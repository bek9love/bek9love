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주간홍보동향\9월\9월 1주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externalReferences>
    <externalReference r:id="rId6"/>
    <externalReference r:id="rId7"/>
  </externalReferences>
  <definedNames>
    <definedName name="_xlnm._FilterDatabase" localSheetId="0" hidden="1">'2022년 누적시트'!$A$1:$O$5545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5" r:id="rId8"/>
  </pivotCaches>
  <fileRecoveryPr autoRecover="0"/>
</workbook>
</file>

<file path=xl/calcChain.xml><?xml version="1.0" encoding="utf-8"?>
<calcChain xmlns="http://schemas.openxmlformats.org/spreadsheetml/2006/main">
  <c r="L53" i="7" l="1"/>
  <c r="M53" i="7"/>
  <c r="L54" i="7"/>
  <c r="M54" i="7"/>
  <c r="L55" i="7"/>
  <c r="M55" i="7"/>
  <c r="L56" i="7"/>
  <c r="M56" i="7"/>
  <c r="L57" i="7"/>
  <c r="M57" i="7"/>
  <c r="L58" i="7"/>
  <c r="M58" i="7"/>
  <c r="L59" i="7"/>
  <c r="M59" i="7"/>
  <c r="L60" i="7"/>
  <c r="M60" i="7"/>
  <c r="L61" i="7"/>
  <c r="M61" i="7"/>
  <c r="L62" i="7"/>
  <c r="M62" i="7"/>
  <c r="L63" i="7"/>
  <c r="M63" i="7"/>
  <c r="L64" i="7"/>
  <c r="M64" i="7"/>
  <c r="L65" i="7"/>
  <c r="M65" i="7"/>
  <c r="L66" i="7"/>
  <c r="M66" i="7"/>
  <c r="L67" i="7"/>
  <c r="M67" i="7"/>
  <c r="L68" i="7"/>
  <c r="M68" i="7"/>
  <c r="L69" i="7"/>
  <c r="M69" i="7"/>
  <c r="L70" i="7"/>
  <c r="M70" i="7"/>
  <c r="L71" i="7"/>
  <c r="M71" i="7"/>
  <c r="L72" i="7"/>
  <c r="M72" i="7"/>
  <c r="M4" i="7" l="1"/>
  <c r="L4" i="7"/>
  <c r="M3" i="7"/>
  <c r="L3" i="7"/>
  <c r="M2" i="7"/>
  <c r="L2" i="7"/>
  <c r="M29" i="7" l="1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30" i="7" l="1"/>
  <c r="L30" i="7"/>
  <c r="C7" i="7" l="1"/>
  <c r="D7" i="7" s="1"/>
  <c r="M93" i="7" l="1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94" i="7" l="1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C40" i="7" l="1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4" i="7"/>
  <c r="D4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5" i="7"/>
  <c r="D5" i="7" s="1"/>
  <c r="C6" i="7"/>
  <c r="D6" i="7" s="1"/>
  <c r="C2" i="7"/>
  <c r="D2" i="7" s="1"/>
  <c r="C3" i="7"/>
  <c r="D3" i="7" s="1"/>
  <c r="C41" i="7" l="1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50" i="7"/>
  <c r="D50" i="7" s="1"/>
  <c r="C51" i="7"/>
  <c r="D51" i="7" s="1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D73" i="7" s="1"/>
  <c r="C74" i="7"/>
  <c r="D74" i="7" s="1"/>
  <c r="C75" i="7"/>
  <c r="D75" i="7" s="1"/>
  <c r="C76" i="7"/>
  <c r="D76" i="7" s="1"/>
  <c r="C77" i="7"/>
  <c r="D77" i="7" s="1"/>
  <c r="C78" i="7"/>
  <c r="D78" i="7" s="1"/>
  <c r="C79" i="7"/>
  <c r="D79" i="7" s="1"/>
  <c r="C80" i="7"/>
  <c r="D80" i="7" s="1"/>
  <c r="C81" i="7"/>
  <c r="D81" i="7" s="1"/>
  <c r="C82" i="7"/>
  <c r="D82" i="7" s="1"/>
  <c r="C83" i="7"/>
  <c r="D83" i="7" s="1"/>
  <c r="C84" i="7"/>
  <c r="D84" i="7" s="1"/>
  <c r="C85" i="7"/>
  <c r="D85" i="7" s="1"/>
  <c r="C86" i="7"/>
  <c r="D86" i="7" s="1"/>
  <c r="C87" i="7"/>
  <c r="D87" i="7" s="1"/>
  <c r="C88" i="7"/>
  <c r="D88" i="7" s="1"/>
  <c r="C89" i="7"/>
  <c r="D89" i="7" s="1"/>
  <c r="C90" i="7"/>
  <c r="D90" i="7" s="1"/>
  <c r="C91" i="7"/>
  <c r="D91" i="7" s="1"/>
  <c r="C92" i="7"/>
  <c r="D92" i="7" s="1"/>
  <c r="C93" i="7"/>
  <c r="D93" i="7" s="1"/>
  <c r="C94" i="7"/>
  <c r="D94" i="7" s="1"/>
  <c r="C95" i="7"/>
  <c r="D95" i="7" s="1"/>
  <c r="C96" i="7"/>
  <c r="D96" i="7" s="1"/>
  <c r="C97" i="7"/>
  <c r="D97" i="7" s="1"/>
  <c r="C98" i="7"/>
  <c r="D98" i="7" s="1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  <c r="D57" i="7" l="1"/>
  <c r="D72" i="7" l="1"/>
  <c r="D71" i="7"/>
  <c r="D70" i="7"/>
  <c r="D69" i="7"/>
  <c r="D68" i="7"/>
  <c r="D67" i="7"/>
  <c r="D65" i="7"/>
  <c r="D64" i="7"/>
  <c r="D63" i="7"/>
  <c r="D62" i="7"/>
  <c r="D55" i="7"/>
  <c r="D52" i="7"/>
</calcChain>
</file>

<file path=xl/sharedStrings.xml><?xml version="1.0" encoding="utf-8"?>
<sst xmlns="http://schemas.openxmlformats.org/spreadsheetml/2006/main" count="1911" uniqueCount="958">
  <si>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</si>
  <si>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</si>
  <si>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</si>
  <si>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</si>
  <si>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</si>
  <si>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</si>
  <si>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</si>
  <si>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</si>
  <si>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</si>
  <si>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</si>
  <si>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</si>
  <si>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</si>
  <si>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</si>
  <si>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</si>
  <si>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</si>
  <si>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</si>
  <si>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</si>
  <si>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</si>
  <si>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</si>
  <si>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</si>
  <si>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</si>
  <si>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</si>
  <si>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</si>
  <si>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</si>
  <si>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</si>
  <si>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</si>
  <si>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</si>
  <si>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</si>
  <si>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</si>
  <si>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</si>
  <si>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</si>
  <si>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</si>
  <si>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</si>
  <si>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</si>
  <si>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</si>
  <si>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</si>
  <si>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</si>
  <si>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</si>
  <si>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</si>
  <si>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</si>
  <si>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</si>
  <si>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</si>
  <si>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</si>
  <si>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</si>
  <si>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</si>
  <si>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</si>
  <si>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</si>
  <si>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</si>
  <si>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</si>
  <si>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</si>
  <si>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</si>
  <si>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</si>
  <si>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</si>
  <si>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</si>
  <si>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</si>
  <si>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</si>
  <si>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</si>
  <si>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</si>
  <si>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</si>
  <si>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</si>
  <si>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</si>
  <si>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</si>
  <si>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</si>
  <si>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</si>
  <si>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</si>
  <si>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</si>
  <si>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</si>
  <si>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</si>
  <si>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</si>
  <si>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</si>
  <si>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</si>
  <si>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</si>
  <si>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</si>
  <si>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</si>
  <si>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</si>
  <si>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</si>
  <si>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</si>
  <si>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</si>
  <si>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</si>
  <si>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</si>
  <si>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</si>
  <si>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</si>
  <si>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</si>
  <si>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</si>
  <si>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</si>
  <si>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</si>
  <si>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</si>
  <si>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</si>
  <si>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</si>
  <si>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</si>
  <si>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</si>
  <si>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</si>
  <si>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</si>
  <si>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</si>
  <si>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</si>
  <si>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</si>
  <si>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</si>
  <si>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</si>
  <si>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</si>
  <si>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</si>
  <si>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</si>
  <si>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</si>
  <si>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</si>
  <si>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</si>
  <si>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</si>
  <si>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</si>
  <si>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</si>
  <si>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</si>
  <si>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</si>
  <si>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</si>
  <si>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</si>
  <si>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</si>
  <si>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</si>
  <si>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</si>
  <si>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</si>
  <si>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</si>
  <si>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</si>
  <si>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</si>
  <si>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</si>
  <si>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</si>
  <si>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</si>
  <si>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</si>
  <si>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</si>
  <si>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</si>
  <si>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</si>
  <si>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</si>
  <si>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</si>
  <si>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</si>
  <si>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</si>
  <si>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</si>
  <si>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</si>
  <si>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</si>
  <si>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</si>
  <si>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</si>
  <si>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</si>
  <si>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</si>
  <si>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</si>
  <si>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</si>
  <si>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</si>
  <si>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</si>
  <si>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</si>
  <si>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</si>
  <si>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</si>
  <si>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</si>
  <si>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</si>
  <si>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</si>
  <si>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</si>
  <si>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</si>
  <si>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</si>
  <si>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</si>
  <si>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</si>
  <si>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</si>
  <si>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</si>
  <si>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</si>
  <si>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</si>
  <si>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</si>
  <si>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</si>
  <si>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</si>
  <si>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</si>
  <si>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</si>
  <si>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</si>
  <si>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</si>
  <si>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</si>
  <si>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</si>
  <si>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</si>
  <si>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</si>
  <si>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</si>
  <si>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</si>
  <si>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</si>
  <si>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</si>
  <si>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</si>
  <si>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</si>
  <si>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</si>
  <si>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</si>
  <si>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</si>
  <si>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</si>
  <si>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</si>
  <si>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</si>
  <si>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</si>
  <si>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</si>
  <si>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</si>
  <si>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</si>
  <si>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</si>
  <si>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</si>
  <si>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</si>
  <si>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</si>
  <si>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</si>
  <si>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</si>
  <si>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</si>
  <si>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</si>
  <si>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</si>
  <si>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</si>
  <si>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</si>
  <si>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</si>
  <si>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</si>
  <si>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</si>
  <si>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</si>
  <si>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</si>
  <si>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</si>
  <si>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</si>
  <si>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</si>
  <si>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</si>
  <si>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</si>
  <si>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</si>
  <si>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</si>
  <si>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</si>
  <si>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</si>
  <si>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</si>
  <si>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</si>
  <si>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</si>
  <si>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</si>
  <si>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</si>
  <si>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</si>
  <si>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</si>
  <si>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</si>
  <si>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</si>
  <si>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</si>
  <si>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</si>
  <si>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</si>
  <si>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</si>
  <si>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</si>
  <si>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</si>
  <si>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</si>
  <si>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</si>
  <si>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</si>
  <si>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</si>
  <si>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</si>
  <si>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</si>
  <si>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</si>
  <si>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</si>
  <si>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</si>
  <si>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</si>
  <si>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</si>
  <si>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</si>
  <si>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</si>
  <si>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</si>
  <si>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</si>
  <si>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</si>
  <si>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</si>
  <si>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</si>
  <si>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</si>
  <si>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</si>
  <si>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</si>
  <si>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</si>
  <si>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</si>
  <si>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</si>
  <si>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</si>
  <si>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</si>
  <si>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</si>
  <si>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</si>
  <si>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</si>
  <si>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</si>
  <si>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</si>
  <si>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</si>
  <si>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</si>
  <si>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</si>
  <si>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</si>
  <si>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</si>
  <si>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</si>
  <si>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</si>
  <si>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</si>
  <si>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</si>
  <si>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</si>
  <si>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</si>
  <si>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</si>
  <si>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</si>
  <si>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</si>
  <si>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</si>
  <si>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</si>
  <si>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</si>
  <si>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</si>
  <si>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</si>
  <si>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</si>
  <si>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</si>
  <si>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</si>
  <si>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</si>
  <si>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</si>
  <si>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</si>
  <si>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</si>
  <si>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</si>
  <si>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</si>
  <si>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</si>
  <si>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</si>
  <si>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</si>
  <si>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</si>
  <si>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</si>
  <si>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</si>
  <si>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</si>
  <si>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</si>
  <si>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</si>
  <si>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</si>
  <si>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</si>
  <si>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</si>
  <si>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</si>
  <si>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</si>
  <si>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</si>
  <si>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</si>
  <si>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</si>
  <si>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</si>
  <si>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</si>
  <si>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</si>
  <si>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</si>
  <si>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</si>
  <si>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</si>
  <si>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</si>
  <si>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</si>
  <si>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</si>
  <si>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</si>
  <si>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</si>
  <si>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</si>
  <si>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</si>
  <si>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</si>
  <si>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</si>
  <si>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</si>
  <si>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</si>
  <si>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</si>
  <si>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</si>
  <si>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</si>
  <si>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</si>
  <si>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</si>
  <si>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</si>
  <si>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</si>
  <si>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</si>
  <si>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</si>
  <si>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</si>
  <si>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</si>
  <si>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</si>
  <si>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</si>
  <si>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</si>
  <si>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</si>
  <si>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</si>
  <si>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</si>
  <si>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</si>
  <si>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</si>
  <si>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</si>
  <si>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</si>
  <si>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</si>
  <si>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</si>
  <si>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</si>
  <si>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</si>
  <si>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</si>
  <si>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</si>
  <si>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</si>
  <si>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</si>
  <si>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</si>
  <si>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</si>
  <si>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</si>
  <si>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</si>
  <si>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</si>
  <si>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</si>
  <si>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</si>
  <si>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</si>
  <si>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</si>
  <si>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</si>
  <si>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</si>
  <si>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</si>
  <si>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</si>
  <si>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</si>
  <si>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</si>
  <si>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</si>
  <si>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</si>
  <si>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</si>
  <si>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</si>
  <si>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</si>
  <si>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</si>
  <si>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</si>
  <si>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</si>
  <si>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</si>
  <si>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</si>
  <si>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</si>
  <si>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</si>
  <si>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</si>
  <si>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</si>
  <si>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</si>
  <si>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</si>
  <si>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</si>
  <si>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</si>
  <si>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</si>
  <si>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</si>
  <si>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</si>
  <si>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</si>
  <si>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</si>
  <si>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</si>
  <si>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</si>
  <si>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</si>
  <si>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</si>
  <si>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</si>
  <si>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</si>
  <si>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</si>
  <si>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</si>
  <si>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</si>
  <si>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</si>
  <si>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</si>
  <si>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</si>
  <si>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</si>
  <si>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</si>
  <si>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</si>
  <si>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</si>
  <si>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</si>
  <si>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</si>
  <si>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</si>
  <si>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</si>
  <si>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</si>
  <si>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</si>
  <si>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</si>
  <si>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</si>
  <si>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</si>
  <si>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</si>
  <si>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</si>
  <si>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</si>
  <si>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</si>
  <si>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</si>
  <si>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</si>
  <si>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</si>
  <si>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</si>
  <si>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</si>
  <si>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</si>
  <si>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</si>
  <si>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</si>
  <si>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</si>
  <si>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</si>
  <si>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</si>
  <si>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</si>
  <si>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</si>
  <si>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</si>
  <si>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</si>
  <si>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</si>
  <si>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</si>
  <si>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</si>
  <si>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</si>
  <si>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</si>
  <si>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</si>
  <si>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</si>
  <si>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</si>
  <si>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</si>
  <si>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</si>
  <si>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</si>
  <si>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</si>
  <si>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</si>
  <si>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</si>
  <si>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</si>
  <si>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</si>
  <si>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</si>
  <si>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</si>
  <si>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</si>
  <si>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</si>
  <si>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</si>
  <si>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</si>
  <si>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</si>
  <si>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</si>
  <si>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</si>
  <si>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</si>
  <si>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</si>
  <si>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</si>
  <si>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</si>
  <si>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</si>
  <si>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</si>
  <si>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</si>
  <si>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</si>
  <si>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</si>
  <si>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</si>
  <si>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</si>
  <si>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</si>
  <si>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</si>
  <si>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</si>
  <si>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</si>
  <si>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</si>
  <si>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</si>
  <si>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</si>
  <si>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</si>
  <si>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</si>
  <si>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</si>
  <si>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</si>
  <si>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</si>
  <si>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</si>
  <si>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</si>
  <si>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</si>
  <si>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</si>
  <si>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</si>
  <si>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</si>
  <si>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</si>
  <si>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</si>
  <si>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</si>
  <si>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</si>
  <si>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</si>
  <si>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</si>
  <si>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</si>
  <si>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</si>
  <si>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</si>
  <si>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</si>
  <si>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</si>
  <si>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</si>
  <si>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</si>
  <si>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</si>
  <si>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</si>
  <si>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</si>
  <si>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</si>
  <si>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</si>
  <si>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</si>
  <si>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</si>
  <si>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</si>
  <si>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</si>
  <si>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</si>
  <si>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</si>
  <si>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</si>
  <si>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</si>
  <si>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</si>
  <si>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</si>
  <si>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</si>
  <si>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</si>
  <si>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</si>
  <si>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</si>
  <si>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</si>
  <si>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</si>
  <si>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</si>
  <si>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</si>
  <si>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</si>
  <si>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</si>
  <si>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</si>
  <si>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</si>
  <si>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</si>
  <si>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</si>
  <si>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</si>
  <si>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</si>
  <si>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</si>
  <si>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</si>
  <si>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</si>
  <si>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</si>
  <si>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</si>
  <si>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</si>
  <si>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</si>
  <si>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</si>
  <si>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</si>
  <si>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</si>
  <si>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</si>
  <si>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</si>
  <si>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</si>
  <si>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</si>
  <si>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</si>
  <si>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</si>
  <si>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</si>
  <si>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</si>
  <si>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</si>
  <si>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</si>
  <si>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</si>
  <si>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</si>
  <si>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</si>
  <si>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</si>
  <si>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</si>
  <si>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</si>
  <si>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</si>
  <si>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</si>
  <si>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</si>
  <si>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</si>
  <si>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</si>
  <si>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</si>
  <si>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</si>
  <si>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</si>
  <si>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</si>
  <si>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</si>
  <si>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</si>
  <si>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</si>
  <si>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</si>
  <si>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</si>
  <si>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</si>
  <si>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</si>
  <si>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</si>
  <si>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</si>
  <si>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</si>
  <si>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</si>
  <si>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</si>
  <si>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</si>
  <si>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</si>
  <si>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</si>
  <si>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</si>
  <si>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</si>
  <si>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</si>
  <si>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</si>
  <si>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</si>
  <si>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</si>
  <si>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</si>
  <si>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</si>
  <si>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</si>
  <si>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</si>
  <si>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</si>
  <si>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</si>
  <si>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</si>
  <si>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</si>
  <si>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</si>
  <si>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</si>
  <si>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</si>
  <si>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</si>
  <si>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</si>
  <si>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</si>
  <si>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</si>
  <si>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</si>
  <si>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</si>
  <si>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</si>
  <si>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</si>
  <si>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</si>
  <si>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</si>
  <si>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</si>
  <si>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</si>
  <si>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</si>
  <si>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</si>
  <si>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</si>
  <si>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</si>
  <si>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</si>
  <si>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</si>
  <si>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</si>
  <si>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</si>
  <si>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</si>
  <si>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</si>
  <si>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</si>
  <si>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</si>
  <si>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</si>
  <si>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</si>
  <si>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</si>
  <si>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</si>
  <si>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</si>
  <si>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</si>
  <si>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</si>
  <si>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</si>
  <si>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</si>
  <si>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</si>
  <si>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</si>
  <si>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</si>
  <si>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</si>
  <si>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</si>
  <si>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</si>
  <si>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</si>
  <si>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</si>
  <si>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</si>
  <si>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</si>
  <si>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</si>
  <si>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</si>
  <si>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</si>
  <si>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</si>
  <si>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</si>
  <si>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</si>
  <si>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</si>
  <si>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</si>
  <si>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</si>
  <si>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</si>
  <si>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</si>
  <si>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</si>
  <si>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</si>
  <si>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</si>
  <si>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</si>
  <si>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</si>
  <si>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</si>
  <si>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</si>
  <si>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</si>
  <si>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</si>
  <si>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</si>
  <si>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</si>
  <si>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</si>
  <si>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</si>
  <si>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</si>
  <si>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</si>
  <si>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</si>
  <si>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</si>
  <si>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</si>
  <si>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</si>
  <si>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</si>
  <si>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</si>
  <si>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</si>
  <si>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</si>
  <si>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</si>
  <si>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</si>
  <si>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</si>
  <si>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</si>
  <si>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</si>
  <si>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</si>
  <si>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</si>
  <si>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</si>
  <si>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</si>
  <si>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</si>
  <si>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</si>
  <si>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</si>
  <si>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</si>
  <si>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</si>
  <si>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</si>
  <si>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</si>
  <si>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</si>
  <si>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</si>
  <si>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</si>
  <si>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</si>
  <si>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</si>
  <si>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</si>
  <si>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</si>
  <si>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</si>
  <si>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</si>
  <si>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</si>
  <si>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</si>
  <si>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</si>
  <si>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</si>
  <si>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</si>
  <si>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</si>
  <si>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</si>
  <si>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</si>
  <si>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</si>
  <si>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</si>
  <si>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</si>
  <si>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</si>
  <si>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</si>
  <si>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</si>
  <si>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</si>
  <si>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</si>
  <si>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</si>
  <si>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</si>
  <si>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</si>
  <si>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</si>
  <si>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</si>
  <si>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</si>
  <si>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</si>
  <si>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</si>
  <si>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</si>
  <si>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</si>
  <si>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</si>
  <si>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</si>
  <si>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</si>
  <si>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</si>
  <si>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</si>
  <si>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</si>
  <si>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</si>
  <si>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</si>
  <si>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</si>
  <si>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</si>
  <si>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</si>
  <si>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</si>
  <si>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</si>
  <si>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</si>
  <si>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</si>
  <si>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</si>
  <si>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</si>
  <si>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</si>
  <si>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</si>
  <si>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</si>
  <si>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</si>
  <si>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</si>
  <si>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</si>
  <si>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</si>
  <si>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</si>
  <si>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</si>
  <si>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</si>
  <si>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</si>
  <si>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</si>
  <si>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</si>
  <si>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</si>
  <si>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</si>
  <si>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</si>
  <si>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</si>
  <si>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</si>
  <si>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</si>
  <si>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</si>
  <si>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</si>
  <si>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</si>
  <si>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</si>
  <si>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</si>
  <si>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</si>
  <si>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</si>
  <si>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</si>
  <si>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</si>
  <si>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</si>
  <si>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</si>
  <si>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</si>
  <si>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</si>
  <si>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</si>
  <si>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</si>
  <si>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</si>
  <si>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</si>
  <si>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</si>
  <si>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</si>
  <si>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</si>
  <si>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</si>
  <si>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</si>
  <si>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</si>
  <si>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</si>
  <si>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</si>
  <si>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</si>
  <si>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</si>
  <si>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</si>
  <si>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</si>
  <si>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</si>
  <si>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</si>
  <si>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</si>
  <si>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</si>
  <si>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</si>
  <si>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</si>
  <si>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</si>
  <si>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</si>
  <si>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</si>
  <si>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</si>
  <si>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</si>
  <si>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</si>
  <si>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</si>
  <si>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돼지 인공 수정 위생 관리 주의보</t>
    <phoneticPr fontId="3" type="noConversion"/>
  </si>
  <si>
    <t>경남일보</t>
    <phoneticPr fontId="3" type="noConversion"/>
  </si>
  <si>
    <t>축산원, 가축유전정보검사기관 등록</t>
    <phoneticPr fontId="3" type="noConversion"/>
  </si>
  <si>
    <t>축산경제신문</t>
    <phoneticPr fontId="3" type="noConversion"/>
  </si>
  <si>
    <t>농진청, 사료산업 발전 기술협력 강화</t>
    <phoneticPr fontId="3" type="noConversion"/>
  </si>
  <si>
    <t>농축유통신문</t>
    <phoneticPr fontId="3" type="noConversion"/>
  </si>
  <si>
    <t>축과원, ‘가축 유전자 검사 국제 인증’ 받아</t>
    <phoneticPr fontId="3" type="noConversion"/>
  </si>
  <si>
    <t>축산과학원·천하제일, 업무협약</t>
    <phoneticPr fontId="3" type="noConversion"/>
  </si>
  <si>
    <t>지방 낮고 미네랄 풍부 비만 억제·지방간 개선 콜레스테롤 38% 감소 실험 통해 건강식 입증</t>
    <phoneticPr fontId="3" type="noConversion"/>
  </si>
  <si>
    <t>국산 알팔파 실증시험 착수 현장 둘러보는 임기순 원장</t>
    <phoneticPr fontId="3" type="noConversion"/>
  </si>
  <si>
    <t>뉴시스</t>
    <phoneticPr fontId="3" type="noConversion"/>
  </si>
  <si>
    <t>저지종 공란우 채란 본격 착수</t>
    <phoneticPr fontId="3" type="noConversion"/>
  </si>
  <si>
    <t>전주매일</t>
    <phoneticPr fontId="3" type="noConversion"/>
  </si>
  <si>
    <t>임실군, 저지종 젖소 생채난자흡입술 실시</t>
    <phoneticPr fontId="3" type="noConversion"/>
  </si>
  <si>
    <t>전북일보</t>
    <phoneticPr fontId="3" type="noConversion"/>
  </si>
  <si>
    <t>임실군, 저지종 공란우 채란 착수</t>
    <phoneticPr fontId="3" type="noConversion"/>
  </si>
  <si>
    <t>호남제일신문</t>
    <phoneticPr fontId="3" type="noConversion"/>
  </si>
  <si>
    <t>임실군, 저지종 공란우 채란 본격 착수</t>
    <phoneticPr fontId="3" type="noConversion"/>
  </si>
  <si>
    <t>전북도민일보</t>
    <phoneticPr fontId="3" type="noConversion"/>
  </si>
  <si>
    <t>새전북신문</t>
    <phoneticPr fontId="3" type="noConversion"/>
  </si>
  <si>
    <t>임실군, 저지종 공란우 채란(OPU) 본격 착수</t>
    <phoneticPr fontId="3" type="noConversion"/>
  </si>
  <si>
    <t>전북타임스</t>
    <phoneticPr fontId="3" type="noConversion"/>
  </si>
  <si>
    <t>임실군, 저지종 공란우 난자 채취 본격화</t>
    <phoneticPr fontId="3" type="noConversion"/>
  </si>
  <si>
    <t>전주일보</t>
    <phoneticPr fontId="3" type="noConversion"/>
  </si>
  <si>
    <t>임실군, 농생명산업지구 육성 박차</t>
    <phoneticPr fontId="3" type="noConversion"/>
  </si>
  <si>
    <t>전민일보</t>
    <phoneticPr fontId="3" type="noConversion"/>
  </si>
  <si>
    <t>임실군, 낙농산업 고급화 발판 마련</t>
    <phoneticPr fontId="3" type="noConversion"/>
  </si>
  <si>
    <t>전라일보</t>
    <phoneticPr fontId="3" type="noConversion"/>
  </si>
  <si>
    <t>임실군, 고품질 유제품 생산 시동</t>
    <phoneticPr fontId="3" type="noConversion"/>
  </si>
  <si>
    <t>전북중앙</t>
    <phoneticPr fontId="3" type="noConversion"/>
  </si>
  <si>
    <t>임실N치즈 명품화 ‘신호탄’</t>
    <phoneticPr fontId="3" type="noConversion"/>
  </si>
  <si>
    <t>새만금일보</t>
    <phoneticPr fontId="3" type="noConversion"/>
  </si>
  <si>
    <t>임실, 저지종 공란우 채란(OPU) 착수</t>
    <phoneticPr fontId="3" type="noConversion"/>
  </si>
  <si>
    <t>전라매일</t>
    <phoneticPr fontId="3" type="noConversion"/>
  </si>
  <si>
    <t>임실, 저지종 공란우 난자채취 시작</t>
    <phoneticPr fontId="3" type="noConversion"/>
  </si>
  <si>
    <t>전북제일신문</t>
    <phoneticPr fontId="3" type="noConversion"/>
  </si>
  <si>
    <t>임실 낙농산업 발전 발판 마련</t>
    <phoneticPr fontId="3" type="noConversion"/>
  </si>
  <si>
    <t>전북연합신문</t>
    <phoneticPr fontId="3" type="noConversion"/>
  </si>
  <si>
    <t>사료피, 수확시기 따라 품질·생산성 달라진다</t>
    <phoneticPr fontId="3" type="noConversion"/>
  </si>
  <si>
    <t>전업농신문</t>
    <phoneticPr fontId="3" type="noConversion"/>
  </si>
  <si>
    <t>임실군, 저지종 젖소 ‘공란우’ 난자 채취 본격 시작</t>
    <phoneticPr fontId="3" type="noConversion"/>
  </si>
  <si>
    <t>뉴스1</t>
    <phoneticPr fontId="3" type="noConversion"/>
  </si>
  <si>
    <t>임실군, 저지종 공란우 난자 채취 본격 착수</t>
    <phoneticPr fontId="3" type="noConversion"/>
  </si>
  <si>
    <t>중도일보</t>
    <phoneticPr fontId="3" type="noConversion"/>
  </si>
  <si>
    <t>농장동물 동물복지 사육시설 및 취급개선 방향 포럼 29일 개최</t>
    <phoneticPr fontId="3" type="noConversion"/>
  </si>
  <si>
    <t>데일리벳</t>
    <phoneticPr fontId="3" type="noConversion"/>
  </si>
  <si>
    <t>임실군, ‘저지종 공란우 채란’ 본격화···프리미엄 유제품 생산 시동</t>
    <phoneticPr fontId="3" type="noConversion"/>
  </si>
  <si>
    <t>서울경제TV</t>
    <phoneticPr fontId="3" type="noConversion"/>
  </si>
  <si>
    <t>농촌진흥청 “여름철 돼지 인공 수정용 액상정액 위생관리 철저히 해야”</t>
    <phoneticPr fontId="3" type="noConversion"/>
  </si>
  <si>
    <t>이코노뉴스</t>
    <phoneticPr fontId="3" type="noConversion"/>
  </si>
  <si>
    <t>전북 임실군, 저지종 공란우 채란(OPU)본격 착수</t>
    <phoneticPr fontId="3" type="noConversion"/>
  </si>
  <si>
    <t>민주신문</t>
    <phoneticPr fontId="3" type="noConversion"/>
  </si>
  <si>
    <t>임실군, 우수 저지종 수정란 생산 ‘시동’</t>
    <phoneticPr fontId="3" type="noConversion"/>
  </si>
  <si>
    <t>아이뉴스24</t>
    <phoneticPr fontId="3" type="noConversion"/>
  </si>
  <si>
    <t>임실군, 저지종 젖소 안정확대 ‘공란우’ 채란 본격 착수</t>
    <phoneticPr fontId="3" type="noConversion"/>
  </si>
  <si>
    <t>“1회 채란으로 수정란2-3개 생산”···저지종 젖소 육성 ‘박차’</t>
    <phoneticPr fontId="3" type="noConversion"/>
  </si>
  <si>
    <t>농민신문</t>
    <phoneticPr fontId="3" type="noConversion"/>
  </si>
  <si>
    <t>농진청·한우협회, 한우 종합 기술 교육 성료</t>
    <phoneticPr fontId="3" type="noConversion"/>
  </si>
  <si>
    <t>미디어펜</t>
    <phoneticPr fontId="3" type="noConversion"/>
  </si>
  <si>
    <t>임실군, 저지종 공란우 난자 채취 본격 시작</t>
    <phoneticPr fontId="3" type="noConversion"/>
  </si>
  <si>
    <t>뉴스메이커</t>
    <phoneticPr fontId="3" type="noConversion"/>
  </si>
  <si>
    <t>농촌진흥청, 국산 ‘알팔파’ 실증시험 착수 현장 점검</t>
    <phoneticPr fontId="3" type="noConversion"/>
  </si>
  <si>
    <t>농기자재신문</t>
    <phoneticPr fontId="3" type="noConversion"/>
  </si>
  <si>
    <t>임실군 저지종 전문목장 조성 기술지원</t>
    <phoneticPr fontId="3" type="noConversion"/>
  </si>
  <si>
    <t>농촌진흥청·한우협회, 인공수정·사양·질병 관리 등 기술 전수</t>
    <phoneticPr fontId="3" type="noConversion"/>
  </si>
  <si>
    <t>축과원, 한우농가 대상 맞춤형 기술교육</t>
    <phoneticPr fontId="3" type="noConversion"/>
  </si>
  <si>
    <t>농진청·한우협회, 인공수정·사양·질병 관리 등 기술 전수</t>
    <phoneticPr fontId="3" type="noConversion"/>
  </si>
  <si>
    <t>라이브뉴스</t>
    <phoneticPr fontId="3" type="noConversion"/>
  </si>
  <si>
    <t>한우농가 맞춤형 종합기술교육 성황</t>
    <phoneticPr fontId="3" type="noConversion"/>
  </si>
  <si>
    <t>팜앤마켓</t>
    <phoneticPr fontId="3" type="noConversion"/>
  </si>
  <si>
    <t>“축산냄새 이렇게 줄였어요”···우수농가 비법 엿보기</t>
    <phoneticPr fontId="3" type="noConversion"/>
  </si>
  <si>
    <t>에이비어리 사육환경 2번, 임신돈 군사사육 등 동물복지농장 이슈 다뤘다</t>
    <phoneticPr fontId="3" type="noConversion"/>
  </si>
  <si>
    <t>조달청, 9월 첫째주 공사 37건 등 5328억 규모 입찰 진행</t>
    <phoneticPr fontId="3" type="noConversion"/>
  </si>
  <si>
    <t>뉴스웍스</t>
    <phoneticPr fontId="3" type="noConversion"/>
  </si>
  <si>
    <t>[창간 35주년 Ι 특집] 인공지능 시대, 스마트축산 발전 전략</t>
    <phoneticPr fontId="3" type="noConversion"/>
  </si>
  <si>
    <t>돼지 액상 정액 세균 오염 주의</t>
    <phoneticPr fontId="3" type="noConversion"/>
  </si>
  <si>
    <t>농협, 논 하계 조사료 교육</t>
    <phoneticPr fontId="3" type="noConversion"/>
  </si>
  <si>
    <t>축산농가 냄새 저감 공식 발간</t>
    <phoneticPr fontId="3" type="noConversion"/>
  </si>
  <si>
    <t>영양 만점 수제 사료, 직접 만들어볼까?</t>
    <phoneticPr fontId="3" type="noConversion"/>
  </si>
  <si>
    <t>정책브리핑</t>
    <phoneticPr fontId="3" type="noConversion"/>
  </si>
  <si>
    <t>올가을 제주 특산 ‘흑우’ 맛보러 오세요···내달 브랜드 박람회</t>
    <phoneticPr fontId="3" type="noConversion"/>
  </si>
  <si>
    <t>연합뉴스</t>
    <phoneticPr fontId="3" type="noConversion"/>
  </si>
  <si>
    <t>농진청, 방목생태축산 활성화 본격 지원···국산 목초 보급·규제 완화</t>
    <phoneticPr fontId="3" type="noConversion"/>
  </si>
  <si>
    <t>농촌진흥청, 방목생태축산 제도 개선 이어 현장 지원</t>
    <phoneticPr fontId="3" type="noConversion"/>
  </si>
  <si>
    <t>보도자료85</t>
    <phoneticPr fontId="3" type="noConversion"/>
  </si>
  <si>
    <t>정종성</t>
    <phoneticPr fontId="3" type="noConversion"/>
  </si>
  <si>
    <t>4_조사료생산시스템과</t>
  </si>
  <si>
    <t>보도자료82</t>
    <phoneticPr fontId="3" type="noConversion"/>
  </si>
  <si>
    <t>황옥화</t>
    <phoneticPr fontId="3" type="noConversion"/>
  </si>
  <si>
    <t>4_스마트축산환경과</t>
  </si>
  <si>
    <t>즉시55</t>
    <phoneticPr fontId="3" type="noConversion"/>
  </si>
  <si>
    <t>백선영</t>
    <phoneticPr fontId="3" type="noConversion"/>
  </si>
  <si>
    <t>보도자료83</t>
    <phoneticPr fontId="3" type="noConversion"/>
  </si>
  <si>
    <t>김동현</t>
    <phoneticPr fontId="3" type="noConversion"/>
  </si>
  <si>
    <t>즉시53</t>
    <phoneticPr fontId="3" type="noConversion"/>
  </si>
  <si>
    <t>김승창</t>
    <phoneticPr fontId="3" type="noConversion"/>
  </si>
  <si>
    <t>즉시54</t>
    <phoneticPr fontId="3" type="noConversion"/>
  </si>
  <si>
    <t>강환구</t>
    <phoneticPr fontId="3" type="noConversion"/>
  </si>
  <si>
    <t>5_가축정밀영양과</t>
  </si>
  <si>
    <t>3_축산푸드테크과</t>
  </si>
  <si>
    <t>강선문</t>
    <phoneticPr fontId="3" type="noConversion"/>
  </si>
  <si>
    <t>이지환</t>
    <phoneticPr fontId="3" type="noConversion"/>
  </si>
  <si>
    <t>보도자료81</t>
    <phoneticPr fontId="3" type="noConversion"/>
  </si>
  <si>
    <t>박형수</t>
    <phoneticPr fontId="3" type="noConversion"/>
  </si>
  <si>
    <t>전중환</t>
    <phoneticPr fontId="3" type="noConversion"/>
  </si>
  <si>
    <t>6_동물복지과</t>
  </si>
  <si>
    <t>5_한우연구센터</t>
  </si>
  <si>
    <t>원정일</t>
    <phoneticPr fontId="3" type="noConversion"/>
  </si>
  <si>
    <t>6_축산자원개발부이전추진팀</t>
  </si>
  <si>
    <t>임은아</t>
    <phoneticPr fontId="3" type="noConversion"/>
  </si>
  <si>
    <t>김재은</t>
    <phoneticPr fontId="3" type="noConversion"/>
  </si>
  <si>
    <t>고하늘</t>
    <phoneticPr fontId="3" type="noConversion"/>
  </si>
  <si>
    <t>보도자료77</t>
    <phoneticPr fontId="3" type="noConversion"/>
  </si>
  <si>
    <t>이민영</t>
    <phoneticPr fontId="3" type="noConversion"/>
  </si>
  <si>
    <t>7_난지축산연구센터</t>
  </si>
  <si>
    <t>최재영</t>
    <phoneticPr fontId="3" type="noConversion"/>
  </si>
  <si>
    <t>대한경제</t>
    <phoneticPr fontId="3" type="noConversion"/>
  </si>
  <si>
    <t>금호건설, 6012억 규모 ‘축산자원개발부 이전사업’ 수주 유력</t>
    <phoneticPr fontId="3" type="noConversion"/>
  </si>
  <si>
    <t>임은아</t>
    <phoneticPr fontId="3" type="noConversion"/>
  </si>
  <si>
    <t>전민일보</t>
    <phoneticPr fontId="3" type="noConversion"/>
  </si>
  <si>
    <t>전북도 ‘농생명·자산운용’ 공공기관 이전 바람 이뤄지나</t>
    <phoneticPr fontId="3" type="noConversion"/>
  </si>
  <si>
    <t>최재영</t>
    <phoneticPr fontId="3" type="noConversion"/>
  </si>
  <si>
    <t>농민신문</t>
    <phoneticPr fontId="3" type="noConversion"/>
  </si>
  <si>
    <t>전부 ‘한우 유전체 분석기관 실험실’ 검증한다</t>
    <phoneticPr fontId="3" type="noConversion"/>
  </si>
  <si>
    <t>고해수</t>
    <phoneticPr fontId="3" type="noConversion"/>
  </si>
  <si>
    <t>전주김제완주축협, 제2기 한우경영대학 수료식 성료</t>
    <phoneticPr fontId="3" type="noConversion"/>
  </si>
  <si>
    <t>원정일</t>
    <phoneticPr fontId="3" type="noConversion"/>
  </si>
  <si>
    <t>한국농업신문</t>
    <phoneticPr fontId="3" type="noConversion"/>
  </si>
  <si>
    <t>농진청·한우협회, 인공수정·사양·질병 관리 등 기술 전수</t>
    <phoneticPr fontId="3" type="noConversion"/>
  </si>
  <si>
    <t>헤럴드경제</t>
    <phoneticPr fontId="3" type="noConversion"/>
  </si>
  <si>
    <t>[헤럴드광장] 한우 생산비 절감을 위한 혁신</t>
    <phoneticPr fontId="3" type="noConversion"/>
  </si>
  <si>
    <t>송명섭</t>
    <phoneticPr fontId="3" type="noConversion"/>
  </si>
  <si>
    <t>농촌진흥청, 방목생태축산 활성화 현장 밀착형 지원...국산 목초 보급·규제 완화</t>
    <phoneticPr fontId="3" type="noConversion"/>
  </si>
  <si>
    <t>보도자료85</t>
  </si>
  <si>
    <t>정종성</t>
  </si>
  <si>
    <t>전주김제완주축협 제2기 한우경영대학 수료식</t>
    <phoneticPr fontId="3" type="noConversion"/>
  </si>
  <si>
    <t>전북김제완주축협 ‘제2기 한우경영대학’ 수료식 성료</t>
    <phoneticPr fontId="3" type="noConversion"/>
  </si>
  <si>
    <t>한국농어민신문</t>
    <phoneticPr fontId="3" type="noConversion"/>
  </si>
  <si>
    <t>전주김제완주축협, 제2기 한우경영대학 수료식 성료</t>
    <phoneticPr fontId="3" type="noConversion"/>
  </si>
  <si>
    <t>이투데이</t>
    <phoneticPr fontId="3" type="noConversion"/>
  </si>
  <si>
    <t>제주도 ‘흑우’ 맛보러 오세요...브랜드박람회로</t>
    <phoneticPr fontId="3" type="noConversion"/>
  </si>
  <si>
    <t>돼지농가 10명 중 9명은 ‘인공수정’···여름철 ‘이것’ 관리 철저히</t>
    <phoneticPr fontId="3" type="noConversion"/>
  </si>
  <si>
    <t>보도자료83</t>
  </si>
  <si>
    <t>백선영</t>
  </si>
  <si>
    <t>농진청, ‘방목상태축산’ 활성화위해 현장 밀착형 지원</t>
    <phoneticPr fontId="3" type="noConversion"/>
  </si>
  <si>
    <t>농촌진흥청, 방목상태축산 제도 개선 이어 현장 지원</t>
    <phoneticPr fontId="3" type="noConversion"/>
  </si>
  <si>
    <t>한국영농신문</t>
    <phoneticPr fontId="3" type="noConversion"/>
  </si>
  <si>
    <t>돼지 임신율, 정액 위생이 관건··· 여름철 세균 오염 주의</t>
    <phoneticPr fontId="3" type="noConversion"/>
  </si>
  <si>
    <t>농업인신문</t>
    <phoneticPr fontId="3" type="noConversion"/>
  </si>
  <si>
    <t>여름철 돼지 임신, 정액 위생에 주의해야</t>
    <phoneticPr fontId="3" type="noConversion"/>
  </si>
  <si>
    <t>축산신문</t>
    <phoneticPr fontId="3" type="noConversion"/>
  </si>
  <si>
    <t>농협, 논 하계조사료 품질관리 강화···권역별 조합 교육</t>
    <phoneticPr fontId="3" type="noConversion"/>
  </si>
  <si>
    <t>고하늘</t>
    <phoneticPr fontId="3" type="noConversion"/>
  </si>
  <si>
    <t>전북도 축산연구소, 임실군 저지종 전문목장 조성 기술 지원</t>
    <phoneticPr fontId="3" type="noConversion"/>
  </si>
  <si>
    <t>농가 부담 줄이고 신뢰 높인다</t>
    <phoneticPr fontId="3" type="noConversion"/>
  </si>
  <si>
    <t>즉시54</t>
  </si>
  <si>
    <t>강환구</t>
  </si>
  <si>
    <t>내외일보</t>
    <phoneticPr fontId="3" type="noConversion"/>
  </si>
  <si>
    <t>이지환</t>
  </si>
  <si>
    <t>[기고] 축산AI, 진정한 스마트로 가는 길</t>
    <phoneticPr fontId="3" type="noConversion"/>
  </si>
  <si>
    <t>김시동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</si>
</sst>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83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7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0" fontId="4" fillId="5" borderId="0" xfId="0" applyNumberFormat="1" applyFont="1" applyFill="1" applyBorder="1" applyAlignment="1">
      <alignment horizontal="center" vertical="center"/>
    </xf>
    <xf numFmtId="14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7" fillId="5" borderId="0" xfId="2" applyFont="1" applyFill="1" applyBorder="1" applyAlignment="1">
      <alignment horizontal="left" vertical="center" wrapText="1"/>
    </xf>
    <xf numFmtId="0" fontId="4" fillId="5" borderId="0" xfId="2" applyFont="1" applyFill="1" applyBorder="1" applyAlignment="1">
      <alignment horizontal="left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51648;&#50696;/&#49828;&#53356;&#47017;&#47785;&#47197;/2025&#45380;/&#51068;&#51088;&#48324;%20&#49828;&#53356;&#47017;%20&#47785;&#47197;/9&#50900;/9&#50900;%201-3&#510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2572;&#51648;&#50696;/&#49828;&#53356;&#47017;&#47785;&#47197;/2025&#45380;/&#51068;&#51088;&#48324;%20&#49828;&#53356;&#47017;%20&#47785;&#47197;/8&#50900;/8&#50900;%2028-31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2">
          <cell r="C2" t="str">
            <v>3_양돈과</v>
          </cell>
        </row>
        <row r="5">
          <cell r="C5" t="str">
            <v>2_낙농과</v>
          </cell>
        </row>
        <row r="7">
          <cell r="C7" t="str">
            <v>3_양돈과</v>
          </cell>
        </row>
        <row r="12">
          <cell r="C12" t="str">
            <v>7_난지축산연구센터</v>
          </cell>
        </row>
        <row r="13">
          <cell r="C13" t="str">
            <v>5_한우연구센터</v>
          </cell>
        </row>
        <row r="14">
          <cell r="C14" t="str">
            <v>5_한우연구센터</v>
          </cell>
        </row>
        <row r="15">
          <cell r="C15" t="str">
            <v>5_한우연구센터</v>
          </cell>
        </row>
        <row r="17">
          <cell r="C17" t="str">
            <v>1_기획조정과</v>
          </cell>
        </row>
        <row r="18">
          <cell r="C18" t="str">
            <v>5_한우연구센터</v>
          </cell>
        </row>
        <row r="19">
          <cell r="C19" t="str">
            <v>5_한우연구센터</v>
          </cell>
        </row>
        <row r="20">
          <cell r="C20" t="str">
            <v>1_가축개량평가과</v>
          </cell>
        </row>
        <row r="21">
          <cell r="C21" t="str">
            <v>7_난지축산연구센터</v>
          </cell>
        </row>
        <row r="22">
          <cell r="C22" t="str">
            <v>6_축산자원개발부이전추진팀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5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5"/>
  <sheetViews>
    <sheetView tabSelected="1" zoomScale="85" zoomScaleNormal="85" workbookViewId="0">
      <pane ySplit="1" topLeftCell="A2" activePane="bottomLeft" state="frozen"/>
      <selection pane="bottomLeft" activeCell="E17" sqref="E17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24.5" style="2" bestFit="1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3_양돈과</v>
      </c>
      <c r="D2" s="30" t="str">
        <f>IFERROR(VLOOKUP(C2,소속부서!$A$2:$B$20,2,FALSE), "")</f>
        <v>2_축산자원개발부</v>
      </c>
      <c r="E2" s="12" t="s">
        <v>22</v>
      </c>
      <c r="F2" s="37" t="s">
        <v>888</v>
      </c>
      <c r="G2" s="37" t="s">
        <v>889</v>
      </c>
      <c r="H2" s="40" t="s">
        <v>797</v>
      </c>
      <c r="I2" s="1" t="s">
        <v>798</v>
      </c>
      <c r="J2" s="3">
        <v>45896</v>
      </c>
      <c r="K2" s="26">
        <v>13</v>
      </c>
      <c r="L2" s="36" t="str">
        <f>IFERROR(VLOOKUP(I2,보도매체!$A:$C,2,FALSE), "")</f>
        <v>09_지방일간지</v>
      </c>
      <c r="M2" s="38">
        <f>IFERROR(VLOOKUP(I2,보도매체!$A:$C,3,FALSE), "")</f>
        <v>1.5</v>
      </c>
      <c r="N2" s="3">
        <v>45896</v>
      </c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5_가축유전자원센터</v>
      </c>
      <c r="D3" s="30" t="str">
        <f>IFERROR(VLOOKUP(C3,소속부서!$A$2:$B$20,2,FALSE), "")</f>
        <v>0_본원</v>
      </c>
      <c r="E3" s="12" t="s">
        <v>12</v>
      </c>
      <c r="F3" s="37" t="s">
        <v>892</v>
      </c>
      <c r="G3" s="37" t="s">
        <v>891</v>
      </c>
      <c r="H3" s="40" t="s">
        <v>799</v>
      </c>
      <c r="I3" s="1" t="s">
        <v>800</v>
      </c>
      <c r="J3" s="3">
        <v>45894</v>
      </c>
      <c r="K3" s="26">
        <v>4</v>
      </c>
      <c r="L3" s="36" t="str">
        <f>IFERROR(VLOOKUP(I3,보도매체!$A:$C,2,FALSE), "")</f>
        <v>09_농업전문지</v>
      </c>
      <c r="M3" s="38">
        <f>IFERROR(VLOOKUP(I3,보도매체!$A:$C,3,FALSE), "")</f>
        <v>1.5</v>
      </c>
      <c r="N3" s="3">
        <v>45896</v>
      </c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5_가축정밀영양과</v>
      </c>
      <c r="D4" s="30" t="str">
        <f>IFERROR(VLOOKUP(C4,소속부서!$A$2:$B$20,2,FALSE), "")</f>
        <v>1_축산생명환경부</v>
      </c>
      <c r="E4" s="12" t="s">
        <v>895</v>
      </c>
      <c r="F4" s="37" t="s">
        <v>894</v>
      </c>
      <c r="G4" s="37" t="s">
        <v>893</v>
      </c>
      <c r="H4" s="40" t="s">
        <v>801</v>
      </c>
      <c r="I4" s="1" t="s">
        <v>802</v>
      </c>
      <c r="J4" s="3">
        <v>45894</v>
      </c>
      <c r="K4" s="26">
        <v>5</v>
      </c>
      <c r="L4" s="36" t="str">
        <f>IFERROR(VLOOKUP(I4,보도매체!$A:$C,2,FALSE), "")</f>
        <v>09_농업전문지</v>
      </c>
      <c r="M4" s="38">
        <f>IFERROR(VLOOKUP(I4,보도매체!$A:$C,3,FALSE), "")</f>
        <v>1.5</v>
      </c>
      <c r="N4" s="3">
        <v>45896</v>
      </c>
    </row>
    <row r="5" spans="1:15" ht="12" customHeight="1" x14ac:dyDescent="0.3">
      <c r="A5" s="1">
        <v>4</v>
      </c>
      <c r="B5" s="35" t="s">
        <v>29</v>
      </c>
      <c r="C5" s="35" t="str">
        <f t="shared" si="0"/>
        <v>5_가축유전자원센터</v>
      </c>
      <c r="D5" s="30" t="str">
        <f>IFERROR(VLOOKUP(C5,소속부서!$A$2:$B$20,2,FALSE), "")</f>
        <v>0_본원</v>
      </c>
      <c r="E5" s="12" t="s">
        <v>12</v>
      </c>
      <c r="F5" s="37" t="s">
        <v>892</v>
      </c>
      <c r="G5" s="37" t="s">
        <v>891</v>
      </c>
      <c r="H5" s="40" t="s">
        <v>803</v>
      </c>
      <c r="I5" s="1" t="s">
        <v>802</v>
      </c>
      <c r="J5" s="3">
        <v>45894</v>
      </c>
      <c r="K5" s="26">
        <v>4</v>
      </c>
      <c r="L5" s="36" t="str">
        <f>IFERROR(VLOOKUP(I5,보도매체!$A:$C,2,FALSE), "")</f>
        <v>09_농업전문지</v>
      </c>
      <c r="M5" s="38">
        <f>IFERROR(VLOOKUP(I5,보도매체!$A:$C,3,FALSE), "")</f>
        <v>1.5</v>
      </c>
      <c r="N5" s="3">
        <v>45896</v>
      </c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5_가축정밀영양과</v>
      </c>
      <c r="D6" s="30" t="str">
        <f>IFERROR(VLOOKUP(C6,소속부서!$A$2:$B$20,2,FALSE), "")</f>
        <v>1_축산생명환경부</v>
      </c>
      <c r="E6" s="12" t="s">
        <v>895</v>
      </c>
      <c r="F6" s="37" t="s">
        <v>894</v>
      </c>
      <c r="G6" s="37" t="s">
        <v>893</v>
      </c>
      <c r="H6" s="40" t="s">
        <v>804</v>
      </c>
      <c r="I6" s="1" t="s">
        <v>800</v>
      </c>
      <c r="J6" s="3">
        <v>45894</v>
      </c>
      <c r="K6" s="26">
        <v>3</v>
      </c>
      <c r="L6" s="36" t="str">
        <f>IFERROR(VLOOKUP(I6,보도매체!$A:$C,2,FALSE), "")</f>
        <v>09_농업전문지</v>
      </c>
      <c r="M6" s="38">
        <f>IFERROR(VLOOKUP(I6,보도매체!$A:$C,3,FALSE), "")</f>
        <v>1.5</v>
      </c>
      <c r="N6" s="3">
        <v>45896</v>
      </c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3_축산푸드테크과</v>
      </c>
      <c r="D7" s="30" t="str">
        <f>IFERROR(VLOOKUP(C7,소속부서!$A$2:$B$20,2,FALSE), "")</f>
        <v>1_축산생명환경부</v>
      </c>
      <c r="E7" s="12" t="s">
        <v>896</v>
      </c>
      <c r="F7" s="37" t="s">
        <v>897</v>
      </c>
      <c r="G7" s="37"/>
      <c r="H7" s="40" t="s">
        <v>805</v>
      </c>
      <c r="I7" s="1" t="s">
        <v>800</v>
      </c>
      <c r="J7" s="3">
        <v>45894</v>
      </c>
      <c r="K7" s="26">
        <v>6</v>
      </c>
      <c r="L7" s="36" t="str">
        <f>IFERROR(VLOOKUP(I7,보도매체!$A:$C,2,FALSE), "")</f>
        <v>09_농업전문지</v>
      </c>
      <c r="M7" s="38">
        <f>IFERROR(VLOOKUP(I7,보도매체!$A:$C,3,FALSE), "")</f>
        <v>1.5</v>
      </c>
      <c r="N7" s="3">
        <v>45896</v>
      </c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2_낙농과</v>
      </c>
      <c r="D8" s="30" t="str">
        <f>IFERROR(VLOOKUP(C8,소속부서!$A$2:$B$20,2,FALSE), "")</f>
        <v>2_축산자원개발부</v>
      </c>
      <c r="E8" s="12" t="s">
        <v>21</v>
      </c>
      <c r="F8" s="37" t="s">
        <v>890</v>
      </c>
      <c r="G8" s="37" t="s">
        <v>887</v>
      </c>
      <c r="H8" s="40" t="s">
        <v>806</v>
      </c>
      <c r="I8" s="1" t="s">
        <v>807</v>
      </c>
      <c r="J8" s="3">
        <v>45897</v>
      </c>
      <c r="L8" s="36" t="str">
        <f>IFERROR(VLOOKUP(I8,보도매체!$A:$C,2,FALSE), "")</f>
        <v>07_중앙일간지</v>
      </c>
      <c r="M8" s="38">
        <f>IFERROR(VLOOKUP(I8,보도매체!$A:$C,3,FALSE), "")</f>
        <v>5</v>
      </c>
      <c r="N8" s="3">
        <v>45897</v>
      </c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2_낙농과</v>
      </c>
      <c r="D9" s="30" t="str">
        <f>IFERROR(VLOOKUP(C9,소속부서!$A$2:$B$20,2,FALSE), "")</f>
        <v>2_축산자원개발부</v>
      </c>
      <c r="E9" s="12" t="s">
        <v>21</v>
      </c>
      <c r="F9" s="37" t="s">
        <v>898</v>
      </c>
      <c r="G9" s="37"/>
      <c r="H9" s="40" t="s">
        <v>808</v>
      </c>
      <c r="I9" s="1" t="s">
        <v>809</v>
      </c>
      <c r="J9" s="3">
        <v>45897</v>
      </c>
      <c r="K9" s="26">
        <v>11</v>
      </c>
      <c r="L9" s="36" t="str">
        <f>IFERROR(VLOOKUP(I9,보도매체!$A:$C,2,FALSE), "")</f>
        <v>09_지방일간지</v>
      </c>
      <c r="M9" s="38">
        <f>IFERROR(VLOOKUP(I9,보도매체!$A:$C,3,FALSE), "")</f>
        <v>1.5</v>
      </c>
      <c r="N9" s="3">
        <v>45897</v>
      </c>
      <c r="O9" s="37"/>
    </row>
    <row r="10" spans="1:15" ht="12" customHeight="1" x14ac:dyDescent="0.3">
      <c r="A10" s="1">
        <v>9</v>
      </c>
      <c r="B10" s="35" t="s">
        <v>29</v>
      </c>
      <c r="C10" s="35" t="str">
        <f t="shared" si="0"/>
        <v>2_낙농과</v>
      </c>
      <c r="D10" s="30" t="str">
        <f>IFERROR(VLOOKUP(C10,소속부서!$A$2:$B$20,2,FALSE), "")</f>
        <v>2_축산자원개발부</v>
      </c>
      <c r="E10" s="12" t="s">
        <v>21</v>
      </c>
      <c r="F10" s="37" t="s">
        <v>898</v>
      </c>
      <c r="G10" s="37"/>
      <c r="H10" s="40" t="s">
        <v>810</v>
      </c>
      <c r="I10" s="1" t="s">
        <v>811</v>
      </c>
      <c r="J10" s="3">
        <v>45897</v>
      </c>
      <c r="K10" s="26">
        <v>9</v>
      </c>
      <c r="L10" s="36" t="str">
        <f>IFERROR(VLOOKUP(I10,보도매체!$A:$C,2,FALSE), "")</f>
        <v>09_지방일간지</v>
      </c>
      <c r="M10" s="38">
        <f>IFERROR(VLOOKUP(I10,보도매체!$A:$C,3,FALSE), "")</f>
        <v>1.5</v>
      </c>
      <c r="N10" s="3">
        <v>45897</v>
      </c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2_낙농과</v>
      </c>
      <c r="D11" s="30" t="str">
        <f>IFERROR(VLOOKUP(C11,소속부서!$A$2:$B$20,2,FALSE), "")</f>
        <v>2_축산자원개발부</v>
      </c>
      <c r="E11" s="12" t="s">
        <v>21</v>
      </c>
      <c r="F11" s="37" t="s">
        <v>898</v>
      </c>
      <c r="G11" s="37"/>
      <c r="H11" s="40" t="s">
        <v>812</v>
      </c>
      <c r="I11" s="1" t="s">
        <v>813</v>
      </c>
      <c r="J11" s="3">
        <v>45897</v>
      </c>
      <c r="K11" s="26">
        <v>7</v>
      </c>
      <c r="L11" s="36" t="str">
        <f>IFERROR(VLOOKUP(I11,보도매체!$A:$C,2,FALSE), "")</f>
        <v>09_지방일간지</v>
      </c>
      <c r="M11" s="38">
        <f>IFERROR(VLOOKUP(I11,보도매체!$A:$C,3,FALSE), "")</f>
        <v>1.5</v>
      </c>
      <c r="N11" s="3">
        <v>45897</v>
      </c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2_낙농과</v>
      </c>
      <c r="D12" s="30" t="str">
        <f>IFERROR(VLOOKUP(C12,소속부서!$A$2:$B$20,2,FALSE), "")</f>
        <v>2_축산자원개발부</v>
      </c>
      <c r="E12" s="12" t="s">
        <v>21</v>
      </c>
      <c r="F12" s="37" t="s">
        <v>898</v>
      </c>
      <c r="G12" s="37"/>
      <c r="H12" s="40" t="s">
        <v>814</v>
      </c>
      <c r="I12" s="1" t="s">
        <v>815</v>
      </c>
      <c r="J12" s="3">
        <v>45897</v>
      </c>
      <c r="K12" s="26">
        <v>12</v>
      </c>
      <c r="L12" s="36" t="str">
        <f>IFERROR(VLOOKUP(I12,보도매체!$A:$C,2,FALSE), "")</f>
        <v>09_지방일간지</v>
      </c>
      <c r="M12" s="38">
        <f>IFERROR(VLOOKUP(I12,보도매체!$A:$C,3,FALSE), "")</f>
        <v>1.5</v>
      </c>
      <c r="N12" s="3">
        <v>45897</v>
      </c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2_낙농과</v>
      </c>
      <c r="D13" s="30" t="str">
        <f>IFERROR(VLOOKUP(C13,소속부서!$A$2:$B$20,2,FALSE), "")</f>
        <v>2_축산자원개발부</v>
      </c>
      <c r="E13" s="12" t="s">
        <v>21</v>
      </c>
      <c r="F13" s="37" t="s">
        <v>898</v>
      </c>
      <c r="G13" s="37"/>
      <c r="H13" s="40" t="s">
        <v>814</v>
      </c>
      <c r="I13" s="1" t="s">
        <v>816</v>
      </c>
      <c r="J13" s="3">
        <v>45897</v>
      </c>
      <c r="K13" s="26">
        <v>9</v>
      </c>
      <c r="L13" s="36" t="str">
        <f>IFERROR(VLOOKUP(I13,보도매체!$A:$C,2,FALSE), "")</f>
        <v>09_지방일간지</v>
      </c>
      <c r="M13" s="38">
        <f>IFERROR(VLOOKUP(I13,보도매체!$A:$C,3,FALSE), "")</f>
        <v>1.5</v>
      </c>
      <c r="N13" s="3">
        <v>45897</v>
      </c>
    </row>
    <row r="14" spans="1:15" ht="12" customHeight="1" x14ac:dyDescent="0.3">
      <c r="A14" s="1">
        <v>13</v>
      </c>
      <c r="B14" s="35" t="s">
        <v>29</v>
      </c>
      <c r="C14" s="35" t="str">
        <f t="shared" si="0"/>
        <v>2_낙농과</v>
      </c>
      <c r="D14" s="30" t="str">
        <f>IFERROR(VLOOKUP(C14,소속부서!$A$2:$B$20,2,FALSE), "")</f>
        <v>2_축산자원개발부</v>
      </c>
      <c r="E14" s="12" t="s">
        <v>21</v>
      </c>
      <c r="F14" s="37" t="s">
        <v>898</v>
      </c>
      <c r="G14" s="37"/>
      <c r="H14" s="40" t="s">
        <v>817</v>
      </c>
      <c r="I14" s="1" t="s">
        <v>818</v>
      </c>
      <c r="J14" s="3">
        <v>45897</v>
      </c>
      <c r="K14" s="26">
        <v>9</v>
      </c>
      <c r="L14" s="36" t="str">
        <f>IFERROR(VLOOKUP(I14,보도매체!$A:$C,2,FALSE), "")</f>
        <v>09_지방일간지</v>
      </c>
      <c r="M14" s="38">
        <f>IFERROR(VLOOKUP(I14,보도매체!$A:$C,3,FALSE), "")</f>
        <v>1.5</v>
      </c>
      <c r="N14" s="3">
        <v>45897</v>
      </c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4" si="1">E15</f>
        <v>2_낙농과</v>
      </c>
      <c r="D15" s="30" t="str">
        <f>IFERROR(VLOOKUP(C15,소속부서!$A$2:$B$20,2,FALSE), "")</f>
        <v>2_축산자원개발부</v>
      </c>
      <c r="E15" s="12" t="s">
        <v>21</v>
      </c>
      <c r="F15" s="37" t="s">
        <v>898</v>
      </c>
      <c r="G15" s="37"/>
      <c r="H15" s="40" t="s">
        <v>819</v>
      </c>
      <c r="I15" s="1" t="s">
        <v>820</v>
      </c>
      <c r="J15" s="3">
        <v>45897</v>
      </c>
      <c r="K15" s="26">
        <v>10</v>
      </c>
      <c r="L15" s="36" t="str">
        <f>IFERROR(VLOOKUP(I15,보도매체!$A:$C,2,FALSE), "")</f>
        <v>09_지방일간지</v>
      </c>
      <c r="M15" s="38">
        <f>IFERROR(VLOOKUP(I15,보도매체!$A:$C,3,FALSE), "")</f>
        <v>1.5</v>
      </c>
      <c r="N15" s="3">
        <v>45897</v>
      </c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2_낙농과</v>
      </c>
      <c r="D16" s="30" t="str">
        <f>IFERROR(VLOOKUP(C16,소속부서!$A$2:$B$20,2,FALSE), "")</f>
        <v>2_축산자원개발부</v>
      </c>
      <c r="E16" s="12" t="s">
        <v>21</v>
      </c>
      <c r="F16" s="37" t="s">
        <v>898</v>
      </c>
      <c r="G16" s="37"/>
      <c r="H16" s="40" t="s">
        <v>821</v>
      </c>
      <c r="I16" s="1" t="s">
        <v>822</v>
      </c>
      <c r="J16" s="3">
        <v>45897</v>
      </c>
      <c r="K16" s="26">
        <v>10</v>
      </c>
      <c r="L16" s="36" t="str">
        <f>IFERROR(VLOOKUP(I16,보도매체!$A:$C,2,FALSE), "")</f>
        <v>09_지방일간지</v>
      </c>
      <c r="M16" s="38">
        <f>IFERROR(VLOOKUP(I16,보도매체!$A:$C,3,FALSE), "")</f>
        <v>1.5</v>
      </c>
      <c r="N16" s="3">
        <v>45897</v>
      </c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2_낙농과</v>
      </c>
      <c r="D17" s="30" t="str">
        <f>IFERROR(VLOOKUP(C17,소속부서!$A$2:$B$20,2,FALSE), "")</f>
        <v>2_축산자원개발부</v>
      </c>
      <c r="E17" s="12" t="s">
        <v>21</v>
      </c>
      <c r="F17" s="37" t="s">
        <v>898</v>
      </c>
      <c r="G17" s="37"/>
      <c r="H17" s="40" t="s">
        <v>823</v>
      </c>
      <c r="I17" s="1" t="s">
        <v>824</v>
      </c>
      <c r="J17" s="3">
        <v>45897</v>
      </c>
      <c r="K17" s="26">
        <v>8</v>
      </c>
      <c r="L17" s="36" t="str">
        <f>IFERROR(VLOOKUP(I17,보도매체!$A:$C,2,FALSE), "")</f>
        <v>09_지방일간지</v>
      </c>
      <c r="M17" s="38">
        <f>IFERROR(VLOOKUP(I17,보도매체!$A:$C,3,FALSE), "")</f>
        <v>1.5</v>
      </c>
      <c r="N17" s="3">
        <v>45897</v>
      </c>
    </row>
    <row r="18" spans="1:14" ht="12" customHeight="1" x14ac:dyDescent="0.3">
      <c r="A18" s="1">
        <v>17</v>
      </c>
      <c r="B18" s="35" t="s">
        <v>29</v>
      </c>
      <c r="C18" s="35" t="str">
        <f t="shared" si="1"/>
        <v>2_낙농과</v>
      </c>
      <c r="D18" s="30" t="str">
        <f>IFERROR(VLOOKUP(C18,소속부서!$A$2:$B$20,2,FALSE), "")</f>
        <v>2_축산자원개발부</v>
      </c>
      <c r="E18" s="12" t="s">
        <v>21</v>
      </c>
      <c r="F18" s="37" t="s">
        <v>898</v>
      </c>
      <c r="G18" s="37"/>
      <c r="H18" s="40" t="s">
        <v>825</v>
      </c>
      <c r="I18" s="1" t="s">
        <v>826</v>
      </c>
      <c r="J18" s="3">
        <v>45897</v>
      </c>
      <c r="K18" s="26">
        <v>13</v>
      </c>
      <c r="L18" s="36" t="str">
        <f>IFERROR(VLOOKUP(I18,보도매체!$A:$C,2,FALSE), "")</f>
        <v>09_지방일간지</v>
      </c>
      <c r="M18" s="38">
        <f>IFERROR(VLOOKUP(I18,보도매체!$A:$C,3,FALSE), "")</f>
        <v>1.5</v>
      </c>
      <c r="N18" s="3">
        <v>45897</v>
      </c>
    </row>
    <row r="19" spans="1:14" ht="12" customHeight="1" x14ac:dyDescent="0.3">
      <c r="A19" s="1">
        <v>18</v>
      </c>
      <c r="B19" s="35" t="s">
        <v>29</v>
      </c>
      <c r="C19" s="35" t="str">
        <f t="shared" si="1"/>
        <v>2_낙농과</v>
      </c>
      <c r="D19" s="30" t="str">
        <f>IFERROR(VLOOKUP(C19,소속부서!$A$2:$B$20,2,FALSE), "")</f>
        <v>2_축산자원개발부</v>
      </c>
      <c r="E19" s="12" t="s">
        <v>21</v>
      </c>
      <c r="F19" s="37" t="s">
        <v>898</v>
      </c>
      <c r="G19" s="37"/>
      <c r="H19" s="40" t="s">
        <v>827</v>
      </c>
      <c r="I19" s="1" t="s">
        <v>828</v>
      </c>
      <c r="J19" s="3">
        <v>45897</v>
      </c>
      <c r="K19" s="26">
        <v>11</v>
      </c>
      <c r="L19" s="36" t="str">
        <f>IFERROR(VLOOKUP(I19,보도매체!$A:$C,2,FALSE), "")</f>
        <v>09_지방일간지</v>
      </c>
      <c r="M19" s="38">
        <f>IFERROR(VLOOKUP(I19,보도매체!$A:$C,3,FALSE), "")</f>
        <v>1.5</v>
      </c>
      <c r="N19" s="3">
        <v>45897</v>
      </c>
    </row>
    <row r="20" spans="1:14" ht="12" customHeight="1" x14ac:dyDescent="0.3">
      <c r="A20" s="1">
        <v>19</v>
      </c>
      <c r="B20" s="35" t="s">
        <v>29</v>
      </c>
      <c r="C20" s="35" t="str">
        <f t="shared" si="1"/>
        <v>2_낙농과</v>
      </c>
      <c r="D20" s="30" t="str">
        <f>IFERROR(VLOOKUP(C20,소속부서!$A$2:$B$20,2,FALSE), "")</f>
        <v>2_축산자원개발부</v>
      </c>
      <c r="E20" s="12" t="s">
        <v>21</v>
      </c>
      <c r="F20" s="37" t="s">
        <v>898</v>
      </c>
      <c r="G20" s="37"/>
      <c r="H20" s="40" t="s">
        <v>829</v>
      </c>
      <c r="I20" s="1" t="s">
        <v>830</v>
      </c>
      <c r="J20" s="3">
        <v>45897</v>
      </c>
      <c r="K20" s="26">
        <v>8</v>
      </c>
      <c r="L20" s="36" t="str">
        <f>IFERROR(VLOOKUP(I20,보도매체!$A:$C,2,FALSE), "")</f>
        <v>09_지방일간지</v>
      </c>
      <c r="M20" s="38">
        <f>IFERROR(VLOOKUP(I20,보도매체!$A:$C,3,FALSE), "")</f>
        <v>1.5</v>
      </c>
      <c r="N20" s="3">
        <v>45897</v>
      </c>
    </row>
    <row r="21" spans="1:14" ht="12" customHeight="1" x14ac:dyDescent="0.3">
      <c r="A21" s="1">
        <v>20</v>
      </c>
      <c r="B21" s="35" t="s">
        <v>29</v>
      </c>
      <c r="C21" s="35" t="str">
        <f t="shared" si="1"/>
        <v>2_낙농과</v>
      </c>
      <c r="D21" s="30" t="str">
        <f>IFERROR(VLOOKUP(C21,소속부서!$A$2:$B$20,2,FALSE), "")</f>
        <v>2_축산자원개발부</v>
      </c>
      <c r="E21" s="12" t="s">
        <v>21</v>
      </c>
      <c r="F21" s="37" t="s">
        <v>898</v>
      </c>
      <c r="G21" s="37"/>
      <c r="H21" s="40" t="s">
        <v>831</v>
      </c>
      <c r="I21" s="1" t="s">
        <v>832</v>
      </c>
      <c r="J21" s="3">
        <v>45897</v>
      </c>
      <c r="K21" s="26">
        <v>9</v>
      </c>
      <c r="L21" s="36" t="str">
        <f>IFERROR(VLOOKUP(I21,보도매체!$A:$C,2,FALSE), "")</f>
        <v>09_지방일간지</v>
      </c>
      <c r="M21" s="38">
        <f>IFERROR(VLOOKUP(I21,보도매체!$A:$C,3,FALSE), "")</f>
        <v>1.5</v>
      </c>
      <c r="N21" s="3">
        <v>45897</v>
      </c>
    </row>
    <row r="22" spans="1:14" ht="12" customHeight="1" x14ac:dyDescent="0.3">
      <c r="A22" s="1">
        <v>21</v>
      </c>
      <c r="B22" s="35" t="s">
        <v>29</v>
      </c>
      <c r="C22" s="35" t="str">
        <f t="shared" si="1"/>
        <v>2_낙농과</v>
      </c>
      <c r="D22" s="30" t="str">
        <f>IFERROR(VLOOKUP(C22,소속부서!$A$2:$B$20,2,FALSE), "")</f>
        <v>2_축산자원개발부</v>
      </c>
      <c r="E22" s="12" t="s">
        <v>21</v>
      </c>
      <c r="F22" s="37" t="s">
        <v>898</v>
      </c>
      <c r="G22" s="37"/>
      <c r="H22" s="40" t="s">
        <v>833</v>
      </c>
      <c r="I22" s="1" t="s">
        <v>834</v>
      </c>
      <c r="J22" s="3">
        <v>45897</v>
      </c>
      <c r="K22" s="26">
        <v>8</v>
      </c>
      <c r="L22" s="36" t="str">
        <f>IFERROR(VLOOKUP(I22,보도매체!$A:$C,2,FALSE), "")</f>
        <v>09_지방일간지</v>
      </c>
      <c r="M22" s="38">
        <f>IFERROR(VLOOKUP(I22,보도매체!$A:$C,3,FALSE), "")</f>
        <v>1.5</v>
      </c>
      <c r="N22" s="3">
        <v>45896</v>
      </c>
    </row>
    <row r="23" spans="1:14" ht="12" customHeight="1" x14ac:dyDescent="0.3">
      <c r="A23" s="1">
        <v>22</v>
      </c>
      <c r="B23" s="35" t="s">
        <v>29</v>
      </c>
      <c r="C23" s="35" t="str">
        <f t="shared" si="1"/>
        <v>4_조사료생산시스템과</v>
      </c>
      <c r="D23" s="30" t="str">
        <f>IFERROR(VLOOKUP(C23,소속부서!$A$2:$B$20,2,FALSE), "")</f>
        <v>2_축산자원개발부</v>
      </c>
      <c r="E23" s="12" t="s">
        <v>883</v>
      </c>
      <c r="F23" s="37" t="s">
        <v>900</v>
      </c>
      <c r="G23" s="37" t="s">
        <v>899</v>
      </c>
      <c r="H23" s="40" t="s">
        <v>835</v>
      </c>
      <c r="I23" s="1" t="s">
        <v>836</v>
      </c>
      <c r="J23" s="3">
        <v>45896</v>
      </c>
      <c r="K23" s="26">
        <v>11</v>
      </c>
      <c r="L23" s="36" t="str">
        <f>IFERROR(VLOOKUP(I23,보도매체!$A:$C,2,FALSE), "")</f>
        <v>09_농업전문지</v>
      </c>
      <c r="M23" s="38">
        <f>IFERROR(VLOOKUP(I23,보도매체!$A:$C,3,FALSE), "")</f>
        <v>1.5</v>
      </c>
      <c r="N23" s="3">
        <v>45896</v>
      </c>
    </row>
    <row r="24" spans="1:14" ht="12" customHeight="1" x14ac:dyDescent="0.3">
      <c r="A24" s="1">
        <v>23</v>
      </c>
      <c r="B24" s="35" t="s">
        <v>29</v>
      </c>
      <c r="C24" s="35" t="str">
        <f t="shared" si="1"/>
        <v>2_낙농과</v>
      </c>
      <c r="D24" s="30" t="str">
        <f>IFERROR(VLOOKUP(C24,소속부서!$A$2:$B$20,2,FALSE), "")</f>
        <v>2_축산자원개발부</v>
      </c>
      <c r="E24" s="12" t="s">
        <v>21</v>
      </c>
      <c r="F24" s="37" t="s">
        <v>898</v>
      </c>
      <c r="G24" s="37"/>
      <c r="H24" s="40" t="s">
        <v>837</v>
      </c>
      <c r="I24" s="1" t="s">
        <v>838</v>
      </c>
      <c r="J24" s="3">
        <v>45896</v>
      </c>
      <c r="L24" s="36" t="str">
        <f>IFERROR(VLOOKUP(I24,보도매체!$A:$C,2,FALSE), "")</f>
        <v>07_중앙일간지</v>
      </c>
      <c r="M24" s="38">
        <f>IFERROR(VLOOKUP(I24,보도매체!$A:$C,3,FALSE), "")</f>
        <v>5</v>
      </c>
      <c r="N24" s="3">
        <v>45896</v>
      </c>
    </row>
    <row r="25" spans="1:14" ht="11.25" customHeight="1" x14ac:dyDescent="0.3">
      <c r="A25" s="1">
        <v>24</v>
      </c>
      <c r="B25" s="35" t="s">
        <v>29</v>
      </c>
      <c r="C25" s="35" t="str">
        <f t="shared" si="1"/>
        <v>2_낙농과</v>
      </c>
      <c r="D25" s="30" t="str">
        <f>IFERROR(VLOOKUP(C25,소속부서!$A$2:$B$20,2,FALSE), "")</f>
        <v>2_축산자원개발부</v>
      </c>
      <c r="E25" s="12" t="s">
        <v>21</v>
      </c>
      <c r="F25" s="37" t="s">
        <v>898</v>
      </c>
      <c r="G25" s="37"/>
      <c r="H25" s="40" t="s">
        <v>839</v>
      </c>
      <c r="I25" s="1" t="s">
        <v>840</v>
      </c>
      <c r="J25" s="3">
        <v>45896</v>
      </c>
      <c r="L25" s="36" t="str">
        <f>IFERROR(VLOOKUP(I25,보도매체!$A:$C,2,FALSE), "")</f>
        <v>09_지방일간지</v>
      </c>
      <c r="M25" s="38">
        <f>IFERROR(VLOOKUP(I25,보도매체!$A:$C,3,FALSE), "")</f>
        <v>1.5</v>
      </c>
      <c r="N25" s="3">
        <v>45896</v>
      </c>
    </row>
    <row r="26" spans="1:14" ht="12" customHeight="1" x14ac:dyDescent="0.3">
      <c r="A26" s="1">
        <v>25</v>
      </c>
      <c r="B26" s="35" t="s">
        <v>29</v>
      </c>
      <c r="C26" s="35" t="str">
        <f t="shared" si="1"/>
        <v>6_동물복지과</v>
      </c>
      <c r="D26" s="30" t="str">
        <f>IFERROR(VLOOKUP(C26,소속부서!$A$2:$B$20,2,FALSE), "")</f>
        <v>1_축산생명환경부</v>
      </c>
      <c r="E26" s="12" t="s">
        <v>902</v>
      </c>
      <c r="F26" s="37" t="s">
        <v>901</v>
      </c>
      <c r="G26" s="37"/>
      <c r="H26" s="40" t="s">
        <v>841</v>
      </c>
      <c r="I26" s="1" t="s">
        <v>842</v>
      </c>
      <c r="J26" s="3">
        <v>45896</v>
      </c>
      <c r="L26" s="36" t="str">
        <f>IFERROR(VLOOKUP(I26,보도매체!$A:$C,2,FALSE), "")</f>
        <v>13_인터넷포털</v>
      </c>
      <c r="M26" s="38">
        <f>IFERROR(VLOOKUP(I26,보도매체!$A:$C,3,FALSE), "")</f>
        <v>0.1</v>
      </c>
      <c r="N26" s="3">
        <v>45896</v>
      </c>
    </row>
    <row r="27" spans="1:14" ht="12" customHeight="1" x14ac:dyDescent="0.3">
      <c r="A27" s="1">
        <v>26</v>
      </c>
      <c r="B27" s="35" t="s">
        <v>29</v>
      </c>
      <c r="C27" s="35" t="str">
        <f t="shared" si="1"/>
        <v>2_낙농과</v>
      </c>
      <c r="D27" s="30" t="str">
        <f>IFERROR(VLOOKUP(C27,소속부서!$A$2:$B$20,2,FALSE), "")</f>
        <v>2_축산자원개발부</v>
      </c>
      <c r="E27" s="12" t="s">
        <v>21</v>
      </c>
      <c r="F27" s="37" t="s">
        <v>898</v>
      </c>
      <c r="G27" s="37"/>
      <c r="H27" s="40" t="s">
        <v>843</v>
      </c>
      <c r="I27" s="1" t="s">
        <v>844</v>
      </c>
      <c r="J27" s="3">
        <v>45896</v>
      </c>
      <c r="L27" s="36" t="str">
        <f>IFERROR(VLOOKUP(I27,보도매체!$A:$C,2,FALSE), "")</f>
        <v>13_인터넷포털</v>
      </c>
      <c r="M27" s="38">
        <f>IFERROR(VLOOKUP(I27,보도매체!$A:$C,3,FALSE), "")</f>
        <v>0.1</v>
      </c>
      <c r="N27" s="3">
        <v>45896</v>
      </c>
    </row>
    <row r="28" spans="1:14" ht="12" customHeight="1" x14ac:dyDescent="0.3">
      <c r="A28" s="1">
        <v>27</v>
      </c>
      <c r="B28" s="35" t="s">
        <v>29</v>
      </c>
      <c r="C28" s="35" t="str">
        <f t="shared" si="1"/>
        <v>3_양돈과</v>
      </c>
      <c r="D28" s="30" t="str">
        <f>IFERROR(VLOOKUP(C28,소속부서!$A$2:$B$20,2,FALSE), "")</f>
        <v>2_축산자원개발부</v>
      </c>
      <c r="E28" s="12" t="s">
        <v>22</v>
      </c>
      <c r="F28" s="37" t="s">
        <v>888</v>
      </c>
      <c r="G28" s="37" t="s">
        <v>889</v>
      </c>
      <c r="H28" s="40" t="s">
        <v>845</v>
      </c>
      <c r="I28" s="1" t="s">
        <v>846</v>
      </c>
      <c r="J28" s="3">
        <v>45896</v>
      </c>
      <c r="L28" s="36" t="str">
        <f>IFERROR(VLOOKUP(I28,보도매체!$A:$C,2,FALSE), "")</f>
        <v>13_인터넷포털</v>
      </c>
      <c r="M28" s="38">
        <f>IFERROR(VLOOKUP(I28,보도매체!$A:$C,3,FALSE), "")</f>
        <v>0.1</v>
      </c>
      <c r="N28" s="3">
        <v>45896</v>
      </c>
    </row>
    <row r="29" spans="1:14" ht="12" customHeight="1" x14ac:dyDescent="0.3">
      <c r="A29" s="1">
        <v>28</v>
      </c>
      <c r="B29" s="35" t="s">
        <v>29</v>
      </c>
      <c r="C29" s="35" t="str">
        <f t="shared" si="1"/>
        <v>2_낙농과</v>
      </c>
      <c r="D29" s="30" t="str">
        <f>IFERROR(VLOOKUP(C29,소속부서!$A$2:$B$20,2,FALSE), "")</f>
        <v>2_축산자원개발부</v>
      </c>
      <c r="E29" s="12" t="s">
        <v>21</v>
      </c>
      <c r="F29" s="37" t="s">
        <v>898</v>
      </c>
      <c r="G29" s="37"/>
      <c r="H29" s="40" t="s">
        <v>847</v>
      </c>
      <c r="I29" s="1" t="s">
        <v>848</v>
      </c>
      <c r="J29" s="3">
        <v>45896</v>
      </c>
      <c r="L29" s="36" t="str">
        <f>IFERROR(VLOOKUP(I29,보도매체!$A:$C,2,FALSE), "")</f>
        <v>13_인터넷포털</v>
      </c>
      <c r="M29" s="38">
        <f>IFERROR(VLOOKUP(I29,보도매체!$A:$C,3,FALSE), "")</f>
        <v>0.1</v>
      </c>
      <c r="N29" s="3">
        <v>45896</v>
      </c>
    </row>
    <row r="30" spans="1:14" ht="12" customHeight="1" x14ac:dyDescent="0.3">
      <c r="A30" s="1">
        <v>29</v>
      </c>
      <c r="B30" s="35" t="s">
        <v>29</v>
      </c>
      <c r="C30" s="35" t="str">
        <f t="shared" si="1"/>
        <v>2_낙농과</v>
      </c>
      <c r="D30" s="30" t="str">
        <f>IFERROR(VLOOKUP(C30,소속부서!$A$2:$B$20,2,FALSE), "")</f>
        <v>2_축산자원개발부</v>
      </c>
      <c r="E30" s="12" t="s">
        <v>21</v>
      </c>
      <c r="F30" s="37" t="s">
        <v>898</v>
      </c>
      <c r="G30" s="37"/>
      <c r="H30" s="40" t="s">
        <v>849</v>
      </c>
      <c r="I30" s="1" t="s">
        <v>850</v>
      </c>
      <c r="J30" s="3">
        <v>45896</v>
      </c>
      <c r="L30" s="36" t="str">
        <f>IFERROR(VLOOKUP(I30,보도매체!$A:$C,2,FALSE), "")</f>
        <v>13_인터넷포털</v>
      </c>
      <c r="M30" s="38">
        <f>IFERROR(VLOOKUP(I30,보도매체!$A:$C,3,FALSE), "")</f>
        <v>0.1</v>
      </c>
      <c r="N30" s="3">
        <v>45896</v>
      </c>
    </row>
    <row r="31" spans="1:14" ht="12" customHeight="1" x14ac:dyDescent="0.3">
      <c r="A31" s="1">
        <v>30</v>
      </c>
      <c r="B31" s="35" t="s">
        <v>29</v>
      </c>
      <c r="C31" s="35" t="str">
        <f t="shared" si="1"/>
        <v>2_낙농과</v>
      </c>
      <c r="D31" s="30" t="str">
        <f>IFERROR(VLOOKUP(C31,소속부서!$A$2:$B$20,2,FALSE), "")</f>
        <v>2_축산자원개발부</v>
      </c>
      <c r="E31" s="12" t="s">
        <v>21</v>
      </c>
      <c r="F31" s="37" t="s">
        <v>898</v>
      </c>
      <c r="G31" s="37"/>
      <c r="H31" s="40" t="s">
        <v>851</v>
      </c>
      <c r="I31" s="1" t="s">
        <v>807</v>
      </c>
      <c r="J31" s="3">
        <v>45896</v>
      </c>
      <c r="L31" s="36" t="str">
        <f>IFERROR(VLOOKUP(I31,보도매체!$A:$C,2,FALSE), "")</f>
        <v>07_중앙일간지</v>
      </c>
      <c r="M31" s="38">
        <f>IFERROR(VLOOKUP(I31,보도매체!$A:$C,3,FALSE), "")</f>
        <v>5</v>
      </c>
      <c r="N31" s="3">
        <v>45896</v>
      </c>
    </row>
    <row r="32" spans="1:14" ht="12" customHeight="1" x14ac:dyDescent="0.3">
      <c r="A32" s="1">
        <v>31</v>
      </c>
      <c r="B32" s="35" t="s">
        <v>29</v>
      </c>
      <c r="C32" s="35" t="str">
        <f t="shared" si="1"/>
        <v>2_낙농과</v>
      </c>
      <c r="D32" s="30" t="str">
        <f>IFERROR(VLOOKUP(C32,소속부서!$A$2:$B$20,2,FALSE), "")</f>
        <v>2_축산자원개발부</v>
      </c>
      <c r="E32" s="12" t="s">
        <v>21</v>
      </c>
      <c r="F32" s="37" t="s">
        <v>898</v>
      </c>
      <c r="G32" s="37"/>
      <c r="H32" s="40" t="s">
        <v>852</v>
      </c>
      <c r="I32" s="1" t="s">
        <v>853</v>
      </c>
      <c r="J32" s="3">
        <v>45897</v>
      </c>
      <c r="L32" s="36" t="str">
        <f>IFERROR(VLOOKUP(I32,보도매체!$A:$C,2,FALSE), "")</f>
        <v>09_농업전문지</v>
      </c>
      <c r="M32" s="38">
        <f>IFERROR(VLOOKUP(I32,보도매체!$A:$C,3,FALSE), "")</f>
        <v>1.5</v>
      </c>
      <c r="N32" s="3">
        <v>45896</v>
      </c>
    </row>
    <row r="33" spans="1:14" ht="12" customHeight="1" x14ac:dyDescent="0.3">
      <c r="A33" s="1">
        <v>32</v>
      </c>
      <c r="B33" s="35" t="s">
        <v>29</v>
      </c>
      <c r="C33" s="35" t="str">
        <f t="shared" si="1"/>
        <v>5_한우연구센터</v>
      </c>
      <c r="D33" s="30" t="str">
        <f>IFERROR(VLOOKUP(C33,소속부서!$A$2:$B$20,2,FALSE), "")</f>
        <v>2_축산자원개발부</v>
      </c>
      <c r="E33" s="12" t="s">
        <v>903</v>
      </c>
      <c r="F33" s="37" t="s">
        <v>904</v>
      </c>
      <c r="G33" s="37"/>
      <c r="H33" s="40" t="s">
        <v>854</v>
      </c>
      <c r="I33" s="1" t="s">
        <v>855</v>
      </c>
      <c r="J33" s="3">
        <v>45897</v>
      </c>
      <c r="L33" s="36" t="str">
        <f>IFERROR(VLOOKUP(I33,보도매체!$A:$C,2,FALSE), "")</f>
        <v>13_인터넷포털</v>
      </c>
      <c r="M33" s="38">
        <f>IFERROR(VLOOKUP(I33,보도매체!$A:$C,3,FALSE), "")</f>
        <v>0.1</v>
      </c>
      <c r="N33" s="3">
        <v>45898</v>
      </c>
    </row>
    <row r="34" spans="1:14" ht="12" customHeight="1" x14ac:dyDescent="0.3">
      <c r="A34" s="1">
        <v>33</v>
      </c>
      <c r="B34" s="35" t="s">
        <v>29</v>
      </c>
      <c r="C34" s="35" t="str">
        <f t="shared" si="1"/>
        <v>2_낙농과</v>
      </c>
      <c r="D34" s="30" t="str">
        <f>IFERROR(VLOOKUP(C34,소속부서!$A$2:$B$20,2,FALSE), "")</f>
        <v>2_축산자원개발부</v>
      </c>
      <c r="E34" s="12" t="s">
        <v>21</v>
      </c>
      <c r="F34" s="37" t="s">
        <v>898</v>
      </c>
      <c r="G34" s="37"/>
      <c r="H34" s="40" t="s">
        <v>856</v>
      </c>
      <c r="I34" s="1" t="s">
        <v>857</v>
      </c>
      <c r="J34" s="3">
        <v>45897</v>
      </c>
      <c r="L34" s="36" t="str">
        <f>IFERROR(VLOOKUP(I34,보도매체!$A:$C,2,FALSE), "")</f>
        <v>10_기타월간지</v>
      </c>
      <c r="M34" s="38">
        <f>IFERROR(VLOOKUP(I34,보도매체!$A:$C,3,FALSE), "")</f>
        <v>1</v>
      </c>
      <c r="N34" s="3">
        <v>45898</v>
      </c>
    </row>
    <row r="35" spans="1:14" ht="12" customHeight="1" x14ac:dyDescent="0.3">
      <c r="A35" s="1">
        <v>34</v>
      </c>
      <c r="B35" s="35" t="s">
        <v>29</v>
      </c>
      <c r="C35" s="35" t="str">
        <f t="shared" si="1"/>
        <v>2_낙농과</v>
      </c>
      <c r="D35" s="30" t="str">
        <f>IFERROR(VLOOKUP(C35,소속부서!$A$2:$B$20,2,FALSE), "")</f>
        <v>2_축산자원개발부</v>
      </c>
      <c r="E35" s="12" t="s">
        <v>21</v>
      </c>
      <c r="F35" s="37" t="s">
        <v>890</v>
      </c>
      <c r="G35" s="37" t="s">
        <v>887</v>
      </c>
      <c r="H35" s="40" t="s">
        <v>858</v>
      </c>
      <c r="I35" s="1" t="s">
        <v>859</v>
      </c>
      <c r="J35" s="3">
        <v>45897</v>
      </c>
      <c r="L35" s="36" t="str">
        <f>IFERROR(VLOOKUP(I35,보도매체!$A:$C,2,FALSE), "")</f>
        <v>09_농업전문지</v>
      </c>
      <c r="M35" s="38">
        <f>IFERROR(VLOOKUP(I35,보도매체!$A:$C,3,FALSE), "")</f>
        <v>1.5</v>
      </c>
      <c r="N35" s="3">
        <v>45898</v>
      </c>
    </row>
    <row r="36" spans="1:14" ht="12" customHeight="1" x14ac:dyDescent="0.3">
      <c r="A36" s="1">
        <v>35</v>
      </c>
      <c r="B36" s="35" t="s">
        <v>29</v>
      </c>
      <c r="C36" s="35" t="str">
        <f t="shared" si="1"/>
        <v>2_낙농과</v>
      </c>
      <c r="D36" s="30" t="str">
        <f>IFERROR(VLOOKUP(C36,소속부서!$A$2:$B$20,2,FALSE), "")</f>
        <v>2_축산자원개발부</v>
      </c>
      <c r="E36" s="12" t="s">
        <v>21</v>
      </c>
      <c r="F36" s="37" t="s">
        <v>898</v>
      </c>
      <c r="G36" s="37"/>
      <c r="H36" s="40" t="s">
        <v>860</v>
      </c>
      <c r="I36" s="1" t="s">
        <v>802</v>
      </c>
      <c r="J36" s="3">
        <v>45897</v>
      </c>
      <c r="L36" s="36" t="str">
        <f>IFERROR(VLOOKUP(I36,보도매체!$A:$C,2,FALSE), "")</f>
        <v>09_농업전문지</v>
      </c>
      <c r="M36" s="38">
        <f>IFERROR(VLOOKUP(I36,보도매체!$A:$C,3,FALSE), "")</f>
        <v>1.5</v>
      </c>
      <c r="N36" s="3">
        <v>45898</v>
      </c>
    </row>
    <row r="37" spans="1:14" ht="12" customHeight="1" x14ac:dyDescent="0.3">
      <c r="A37" s="1">
        <v>36</v>
      </c>
      <c r="B37" s="35" t="s">
        <v>29</v>
      </c>
      <c r="C37" s="35" t="str">
        <f t="shared" si="1"/>
        <v>5_한우연구센터</v>
      </c>
      <c r="D37" s="30" t="str">
        <f>IFERROR(VLOOKUP(C37,소속부서!$A$2:$B$20,2,FALSE), "")</f>
        <v>2_축산자원개발부</v>
      </c>
      <c r="E37" s="12" t="s">
        <v>903</v>
      </c>
      <c r="F37" s="37" t="s">
        <v>904</v>
      </c>
      <c r="G37" s="37"/>
      <c r="H37" s="40" t="s">
        <v>861</v>
      </c>
      <c r="I37" s="1" t="s">
        <v>859</v>
      </c>
      <c r="J37" s="3">
        <v>45898</v>
      </c>
      <c r="L37" s="36" t="str">
        <f>IFERROR(VLOOKUP(I37,보도매체!$A:$C,2,FALSE), "")</f>
        <v>09_농업전문지</v>
      </c>
      <c r="M37" s="38">
        <f>IFERROR(VLOOKUP(I37,보도매체!$A:$C,3,FALSE), "")</f>
        <v>1.5</v>
      </c>
      <c r="N37" s="3">
        <v>45898</v>
      </c>
    </row>
    <row r="38" spans="1:14" ht="12" customHeight="1" x14ac:dyDescent="0.3">
      <c r="A38" s="1">
        <v>37</v>
      </c>
      <c r="B38" s="35" t="s">
        <v>29</v>
      </c>
      <c r="C38" s="35" t="str">
        <f t="shared" si="1"/>
        <v>5_한우연구센터</v>
      </c>
      <c r="D38" s="30" t="str">
        <f>IFERROR(VLOOKUP(C38,소속부서!$A$2:$B$20,2,FALSE), "")</f>
        <v>2_축산자원개발부</v>
      </c>
      <c r="E38" s="12" t="s">
        <v>903</v>
      </c>
      <c r="F38" s="37" t="s">
        <v>904</v>
      </c>
      <c r="G38" s="37"/>
      <c r="H38" s="40" t="s">
        <v>862</v>
      </c>
      <c r="I38" s="1" t="s">
        <v>853</v>
      </c>
      <c r="J38" s="3">
        <v>45898</v>
      </c>
      <c r="L38" s="36" t="str">
        <f>IFERROR(VLOOKUP(I38,보도매체!$A:$C,2,FALSE), "")</f>
        <v>09_농업전문지</v>
      </c>
      <c r="M38" s="38">
        <f>IFERROR(VLOOKUP(I38,보도매체!$A:$C,3,FALSE), "")</f>
        <v>1.5</v>
      </c>
      <c r="N38" s="3">
        <v>45898</v>
      </c>
    </row>
    <row r="39" spans="1:14" ht="12" customHeight="1" x14ac:dyDescent="0.3">
      <c r="A39" s="1">
        <v>38</v>
      </c>
      <c r="B39" s="35" t="s">
        <v>29</v>
      </c>
      <c r="C39" s="35" t="str">
        <f t="shared" si="1"/>
        <v>5_한우연구센터</v>
      </c>
      <c r="D39" s="30" t="str">
        <f>IFERROR(VLOOKUP(C39,소속부서!$A$2:$B$20,2,FALSE), "")</f>
        <v>2_축산자원개발부</v>
      </c>
      <c r="E39" s="12" t="s">
        <v>903</v>
      </c>
      <c r="F39" s="37" t="s">
        <v>904</v>
      </c>
      <c r="G39" s="37"/>
      <c r="H39" s="40" t="s">
        <v>863</v>
      </c>
      <c r="I39" s="1" t="s">
        <v>864</v>
      </c>
      <c r="J39" s="3">
        <v>45898</v>
      </c>
      <c r="L39" s="36" t="str">
        <f>IFERROR(VLOOKUP(I39,보도매체!$A:$C,2,FALSE), "")</f>
        <v>13_인터넷포털</v>
      </c>
      <c r="M39" s="38">
        <f>IFERROR(VLOOKUP(I39,보도매체!$A:$C,3,FALSE), "")</f>
        <v>0.1</v>
      </c>
      <c r="N39" s="3">
        <v>45898</v>
      </c>
    </row>
    <row r="40" spans="1:14" ht="12" customHeight="1" x14ac:dyDescent="0.3">
      <c r="A40" s="1">
        <v>39</v>
      </c>
      <c r="B40" s="35" t="s">
        <v>29</v>
      </c>
      <c r="C40" s="35" t="str">
        <f t="shared" si="1"/>
        <v>5_한우연구센터</v>
      </c>
      <c r="D40" s="30" t="str">
        <f>IFERROR(VLOOKUP(C40,소속부서!$A$2:$B$20,2,FALSE), "")</f>
        <v>2_축산자원개발부</v>
      </c>
      <c r="E40" s="12" t="s">
        <v>903</v>
      </c>
      <c r="F40" s="37" t="s">
        <v>904</v>
      </c>
      <c r="G40" s="37"/>
      <c r="H40" s="40" t="s">
        <v>865</v>
      </c>
      <c r="I40" s="1" t="s">
        <v>866</v>
      </c>
      <c r="J40" s="3">
        <v>45898</v>
      </c>
      <c r="L40" s="36" t="str">
        <f>IFERROR(VLOOKUP(I40,보도매체!$A:$C,2,FALSE), "")</f>
        <v>13_인터넷포털</v>
      </c>
      <c r="M40" s="38">
        <f>IFERROR(VLOOKUP(I40,보도매체!$A:$C,3,FALSE), "")</f>
        <v>0.1</v>
      </c>
      <c r="N40" s="3">
        <v>45898</v>
      </c>
    </row>
    <row r="41" spans="1:14" ht="12" customHeight="1" x14ac:dyDescent="0.3">
      <c r="A41" s="1">
        <v>40</v>
      </c>
      <c r="B41" s="35" t="s">
        <v>29</v>
      </c>
      <c r="C41" s="35" t="str">
        <f t="shared" si="1"/>
        <v>4_스마트축산환경과</v>
      </c>
      <c r="D41" s="65" t="str">
        <f>IFERROR(VLOOKUP(C41,소속부서!$A$2:$B$20,2,FALSE), "")</f>
        <v>1_축산생명환경부</v>
      </c>
      <c r="E41" s="66" t="s">
        <v>886</v>
      </c>
      <c r="F41" s="67" t="s">
        <v>885</v>
      </c>
      <c r="G41" s="67" t="s">
        <v>884</v>
      </c>
      <c r="H41" s="68" t="s">
        <v>867</v>
      </c>
      <c r="I41" s="67" t="s">
        <v>853</v>
      </c>
      <c r="J41" s="69">
        <v>45898</v>
      </c>
      <c r="K41" s="70"/>
      <c r="L41" s="71" t="str">
        <f>IFERROR(VLOOKUP(I41,보도매체!$A:$C,2,FALSE), "")</f>
        <v>09_농업전문지</v>
      </c>
      <c r="M41" s="72">
        <f>IFERROR(VLOOKUP(I41,보도매체!$A:$C,3,FALSE), "")</f>
        <v>1.5</v>
      </c>
      <c r="N41" s="3">
        <v>45898</v>
      </c>
    </row>
    <row r="42" spans="1:14" ht="12" customHeight="1" x14ac:dyDescent="0.3">
      <c r="A42" s="1">
        <v>41</v>
      </c>
      <c r="B42" s="35" t="s">
        <v>29</v>
      </c>
      <c r="C42" s="35" t="str">
        <f t="shared" si="1"/>
        <v>6_동물복지과</v>
      </c>
      <c r="D42" s="30" t="str">
        <f>IFERROR(VLOOKUP(C42,소속부서!$A$2:$B$20,2,FALSE), "")</f>
        <v>1_축산생명환경부</v>
      </c>
      <c r="E42" s="12" t="s">
        <v>902</v>
      </c>
      <c r="F42" s="37" t="s">
        <v>901</v>
      </c>
      <c r="G42" s="37"/>
      <c r="H42" s="40" t="s">
        <v>868</v>
      </c>
      <c r="I42" s="1" t="s">
        <v>842</v>
      </c>
      <c r="J42" s="3">
        <v>45898</v>
      </c>
      <c r="L42" s="36" t="str">
        <f>IFERROR(VLOOKUP(I42,보도매체!$A:$C,2,FALSE), "")</f>
        <v>13_인터넷포털</v>
      </c>
      <c r="M42" s="38">
        <f>IFERROR(VLOOKUP(I42,보도매체!$A:$C,3,FALSE), "")</f>
        <v>0.1</v>
      </c>
      <c r="N42" s="3">
        <v>45898</v>
      </c>
    </row>
    <row r="43" spans="1:14" ht="12" customHeight="1" x14ac:dyDescent="0.3">
      <c r="A43" s="1">
        <v>42</v>
      </c>
      <c r="B43" s="35" t="s">
        <v>29</v>
      </c>
      <c r="C43" s="35" t="str">
        <f t="shared" si="1"/>
        <v>6_축산자원개발부이전추진팀</v>
      </c>
      <c r="D43" s="30" t="str">
        <f>IFERROR(VLOOKUP(C43,소속부서!$A$2:$B$20,2,FALSE), "")</f>
        <v>0_본원</v>
      </c>
      <c r="E43" s="12" t="s">
        <v>905</v>
      </c>
      <c r="F43" s="37" t="s">
        <v>906</v>
      </c>
      <c r="G43" s="37"/>
      <c r="H43" s="40" t="s">
        <v>869</v>
      </c>
      <c r="I43" s="1" t="s">
        <v>870</v>
      </c>
      <c r="J43" s="3">
        <v>45898</v>
      </c>
      <c r="L43" s="36" t="str">
        <f>IFERROR(VLOOKUP(I43,보도매체!$A:$C,2,FALSE), "")</f>
        <v>13_인터넷포털</v>
      </c>
      <c r="M43" s="38">
        <f>IFERROR(VLOOKUP(I43,보도매체!$A:$C,3,FALSE), "")</f>
        <v>0.1</v>
      </c>
      <c r="N43" s="3">
        <v>45898</v>
      </c>
    </row>
    <row r="44" spans="1:14" ht="12" customHeight="1" x14ac:dyDescent="0.3">
      <c r="A44" s="1">
        <v>43</v>
      </c>
      <c r="B44" s="35" t="s">
        <v>29</v>
      </c>
      <c r="C44" s="35" t="str">
        <f t="shared" si="1"/>
        <v>4_스마트축산환경과</v>
      </c>
      <c r="D44" s="30" t="str">
        <f>IFERROR(VLOOKUP(C44,소속부서!$A$2:$B$20,2,FALSE), "")</f>
        <v>1_축산생명환경부</v>
      </c>
      <c r="E44" s="12" t="s">
        <v>886</v>
      </c>
      <c r="F44" s="37" t="s">
        <v>907</v>
      </c>
      <c r="G44" s="37"/>
      <c r="H44" s="40" t="s">
        <v>871</v>
      </c>
      <c r="I44" s="1" t="s">
        <v>800</v>
      </c>
      <c r="J44" s="3">
        <v>45898</v>
      </c>
      <c r="L44" s="36" t="str">
        <f>IFERROR(VLOOKUP(I44,보도매체!$A:$C,2,FALSE), "")</f>
        <v>09_농업전문지</v>
      </c>
      <c r="M44" s="38">
        <f>IFERROR(VLOOKUP(I44,보도매체!$A:$C,3,FALSE), "")</f>
        <v>1.5</v>
      </c>
      <c r="N44" s="3">
        <v>45898</v>
      </c>
    </row>
    <row r="45" spans="1:14" ht="12" customHeight="1" x14ac:dyDescent="0.3">
      <c r="A45" s="1">
        <v>44</v>
      </c>
      <c r="B45" s="35" t="s">
        <v>29</v>
      </c>
      <c r="C45" s="35" t="str">
        <f t="shared" si="1"/>
        <v>3_양돈과</v>
      </c>
      <c r="D45" s="30" t="str">
        <f>IFERROR(VLOOKUP(C45,소속부서!$A$2:$B$20,2,FALSE), "")</f>
        <v>2_축산자원개발부</v>
      </c>
      <c r="E45" s="12" t="s">
        <v>22</v>
      </c>
      <c r="F45" s="37" t="s">
        <v>888</v>
      </c>
      <c r="G45" s="37" t="s">
        <v>889</v>
      </c>
      <c r="H45" s="40" t="s">
        <v>872</v>
      </c>
      <c r="I45" s="1" t="s">
        <v>800</v>
      </c>
      <c r="J45" s="3">
        <v>45898</v>
      </c>
      <c r="L45" s="36" t="str">
        <f>IFERROR(VLOOKUP(I45,보도매체!$A:$C,2,FALSE), "")</f>
        <v>09_농업전문지</v>
      </c>
      <c r="M45" s="38">
        <f>IFERROR(VLOOKUP(I45,보도매체!$A:$C,3,FALSE), "")</f>
        <v>1.5</v>
      </c>
      <c r="N45" s="3">
        <v>45898</v>
      </c>
    </row>
    <row r="46" spans="1:14" ht="12" customHeight="1" x14ac:dyDescent="0.3">
      <c r="A46" s="1">
        <v>45</v>
      </c>
      <c r="B46" s="35" t="s">
        <v>29</v>
      </c>
      <c r="C46" s="35" t="str">
        <f t="shared" si="1"/>
        <v>4_조사료생산시스템과</v>
      </c>
      <c r="D46" s="30" t="str">
        <f>IFERROR(VLOOKUP(C46,소속부서!$A$2:$B$20,2,FALSE), "")</f>
        <v>2_축산자원개발부</v>
      </c>
      <c r="E46" s="12" t="s">
        <v>883</v>
      </c>
      <c r="F46" s="37" t="s">
        <v>908</v>
      </c>
      <c r="G46" s="37"/>
      <c r="H46" s="40" t="s">
        <v>873</v>
      </c>
      <c r="I46" s="1" t="s">
        <v>800</v>
      </c>
      <c r="J46" s="3">
        <v>45898</v>
      </c>
      <c r="L46" s="36" t="str">
        <f>IFERROR(VLOOKUP(I46,보도매체!$A:$C,2,FALSE), "")</f>
        <v>09_농업전문지</v>
      </c>
      <c r="M46" s="38">
        <f>IFERROR(VLOOKUP(I46,보도매체!$A:$C,3,FALSE), "")</f>
        <v>1.5</v>
      </c>
      <c r="N46" s="3">
        <v>45898</v>
      </c>
    </row>
    <row r="47" spans="1:14" ht="12" customHeight="1" x14ac:dyDescent="0.3">
      <c r="A47" s="1">
        <v>46</v>
      </c>
      <c r="B47" s="35" t="s">
        <v>29</v>
      </c>
      <c r="C47" s="35" t="str">
        <f t="shared" si="1"/>
        <v>4_스마트축산환경과</v>
      </c>
      <c r="D47" s="65" t="str">
        <f>IFERROR(VLOOKUP(C47,소속부서!$A$2:$B$20,2,FALSE), "")</f>
        <v>1_축산생명환경부</v>
      </c>
      <c r="E47" s="66" t="s">
        <v>886</v>
      </c>
      <c r="F47" s="67" t="s">
        <v>885</v>
      </c>
      <c r="G47" s="67" t="s">
        <v>884</v>
      </c>
      <c r="H47" s="68" t="s">
        <v>874</v>
      </c>
      <c r="I47" s="67" t="s">
        <v>800</v>
      </c>
      <c r="J47" s="69">
        <v>45898</v>
      </c>
      <c r="K47" s="70"/>
      <c r="L47" s="71" t="str">
        <f>IFERROR(VLOOKUP(I47,보도매체!$A:$C,2,FALSE), "")</f>
        <v>09_농업전문지</v>
      </c>
      <c r="M47" s="72">
        <f>IFERROR(VLOOKUP(I47,보도매체!$A:$C,3,FALSE), "")</f>
        <v>1.5</v>
      </c>
      <c r="N47" s="3">
        <v>45898</v>
      </c>
    </row>
    <row r="48" spans="1:14" ht="12" customHeight="1" x14ac:dyDescent="0.3">
      <c r="A48" s="1">
        <v>47</v>
      </c>
      <c r="B48" s="35" t="s">
        <v>29</v>
      </c>
      <c r="C48" s="35" t="str">
        <f t="shared" si="1"/>
        <v>6_동물복지과</v>
      </c>
      <c r="D48" s="30" t="str">
        <f>IFERROR(VLOOKUP(C48,소속부서!$A$2:$B$20,2,FALSE), "")</f>
        <v>1_축산생명환경부</v>
      </c>
      <c r="E48" s="12" t="s">
        <v>902</v>
      </c>
      <c r="F48" s="37" t="s">
        <v>910</v>
      </c>
      <c r="G48" s="37" t="s">
        <v>909</v>
      </c>
      <c r="H48" s="40" t="s">
        <v>875</v>
      </c>
      <c r="I48" s="1" t="s">
        <v>876</v>
      </c>
      <c r="J48" s="3">
        <v>45899</v>
      </c>
      <c r="L48" s="36" t="str">
        <f>IFERROR(VLOOKUP(I48,보도매체!$A:$C,2,FALSE), "")</f>
        <v>13_인터넷포털</v>
      </c>
      <c r="M48" s="38">
        <f>IFERROR(VLOOKUP(I48,보도매체!$A:$C,3,FALSE), "")</f>
        <v>0.1</v>
      </c>
      <c r="N48" s="3">
        <v>45901</v>
      </c>
    </row>
    <row r="49" spans="1:14" ht="12" customHeight="1" x14ac:dyDescent="0.3">
      <c r="A49" s="1">
        <v>48</v>
      </c>
      <c r="B49" s="35" t="s">
        <v>29</v>
      </c>
      <c r="C49" s="35" t="str">
        <f t="shared" si="1"/>
        <v>7_난지축산연구센터</v>
      </c>
      <c r="D49" s="30" t="str">
        <f>IFERROR(VLOOKUP(C49,소속부서!$A$2:$B$20,2,FALSE), "")</f>
        <v>2_축산자원개발부</v>
      </c>
      <c r="E49" s="12" t="s">
        <v>911</v>
      </c>
      <c r="F49" s="37" t="s">
        <v>912</v>
      </c>
      <c r="G49" s="37"/>
      <c r="H49" s="40" t="s">
        <v>877</v>
      </c>
      <c r="I49" s="1" t="s">
        <v>878</v>
      </c>
      <c r="J49" s="3">
        <v>45900</v>
      </c>
      <c r="L49" s="36" t="str">
        <f>IFERROR(VLOOKUP(I49,보도매체!$A:$C,2,FALSE), "")</f>
        <v>07_중앙일간지</v>
      </c>
      <c r="M49" s="38">
        <f>IFERROR(VLOOKUP(I49,보도매체!$A:$C,3,FALSE), "")</f>
        <v>5</v>
      </c>
      <c r="N49" s="3">
        <v>45901</v>
      </c>
    </row>
    <row r="50" spans="1:14" ht="12" customHeight="1" x14ac:dyDescent="0.3">
      <c r="A50" s="1">
        <v>49</v>
      </c>
      <c r="B50" s="35" t="s">
        <v>29</v>
      </c>
      <c r="C50" s="35" t="str">
        <f t="shared" si="1"/>
        <v>4_조사료생산시스템과</v>
      </c>
      <c r="D50" s="30" t="str">
        <f>IFERROR(VLOOKUP(C50,소속부서!$A$2:$B$20,2,FALSE), "")</f>
        <v>2_축산자원개발부</v>
      </c>
      <c r="E50" s="12" t="s">
        <v>883</v>
      </c>
      <c r="F50" s="37" t="s">
        <v>882</v>
      </c>
      <c r="G50" s="37" t="s">
        <v>881</v>
      </c>
      <c r="H50" s="40" t="s">
        <v>879</v>
      </c>
      <c r="I50" s="1" t="s">
        <v>807</v>
      </c>
      <c r="J50" s="3">
        <v>45900</v>
      </c>
      <c r="L50" s="36" t="str">
        <f>IFERROR(VLOOKUP(I50,보도매체!$A:$C,2,FALSE), "")</f>
        <v>07_중앙일간지</v>
      </c>
      <c r="M50" s="38">
        <f>IFERROR(VLOOKUP(I50,보도매체!$A:$C,3,FALSE), "")</f>
        <v>5</v>
      </c>
      <c r="N50" s="3">
        <v>45901</v>
      </c>
    </row>
    <row r="51" spans="1:14" x14ac:dyDescent="0.3">
      <c r="A51" s="1">
        <v>50</v>
      </c>
      <c r="B51" s="35" t="s">
        <v>29</v>
      </c>
      <c r="C51" s="35" t="str">
        <f t="shared" si="1"/>
        <v>4_조사료생산시스템과</v>
      </c>
      <c r="D51" s="30" t="str">
        <f>IFERROR(VLOOKUP(C51,소속부서!$A$2:$B$20,2,FALSE), "")</f>
        <v>2_축산자원개발부</v>
      </c>
      <c r="E51" s="12" t="s">
        <v>883</v>
      </c>
      <c r="F51" s="37" t="s">
        <v>882</v>
      </c>
      <c r="G51" s="37" t="s">
        <v>881</v>
      </c>
      <c r="H51" s="40" t="s">
        <v>880</v>
      </c>
      <c r="I51" s="1" t="s">
        <v>816</v>
      </c>
      <c r="J51" s="3">
        <v>45900</v>
      </c>
      <c r="L51" s="36" t="str">
        <f>IFERROR(VLOOKUP(I51,보도매체!$A:$C,2,FALSE), "")</f>
        <v>09_지방일간지</v>
      </c>
      <c r="M51" s="38">
        <f>IFERROR(VLOOKUP(I51,보도매체!$A:$C,3,FALSE), "")</f>
        <v>1.5</v>
      </c>
      <c r="N51" s="3">
        <v>45901</v>
      </c>
    </row>
    <row r="52" spans="1:14" x14ac:dyDescent="0.3">
      <c r="A52" s="1">
        <v>51</v>
      </c>
      <c r="B52" s="35" t="s">
        <v>29</v>
      </c>
      <c r="C52" s="35" t="e">
        <f>#REF!</f>
        <v>#REF!</v>
      </c>
      <c r="D52" s="82" t="str">
        <f>IFERROR(VLOOKUP('[1]2022년 누적시트'!C2,[1]소속부서!$A$2:$B$20,2,FALSE), "")</f>
        <v>2_축산자원개발부</v>
      </c>
      <c r="E52" s="81" t="s">
        <v>22</v>
      </c>
      <c r="F52" s="79" t="s">
        <v>957</v>
      </c>
      <c r="G52" s="79" t="s">
        <v>54</v>
      </c>
      <c r="H52" s="80" t="s">
        <v>956</v>
      </c>
      <c r="I52" s="79" t="s">
        <v>947</v>
      </c>
      <c r="J52" s="78">
        <v>45898</v>
      </c>
      <c r="K52" s="77">
        <v>3</v>
      </c>
      <c r="L52" s="76" t="s">
        <v>706</v>
      </c>
      <c r="M52" s="75">
        <v>8</v>
      </c>
      <c r="N52" s="3">
        <v>45901</v>
      </c>
    </row>
    <row r="53" spans="1:14" x14ac:dyDescent="0.3">
      <c r="A53" s="1">
        <v>52</v>
      </c>
      <c r="B53" s="35" t="s">
        <v>29</v>
      </c>
      <c r="C53" s="35" t="e">
        <f>#REF!</f>
        <v>#REF!</v>
      </c>
      <c r="D53" s="30" t="s">
        <v>19</v>
      </c>
      <c r="E53" s="12" t="s">
        <v>21</v>
      </c>
      <c r="F53" s="37" t="s">
        <v>955</v>
      </c>
      <c r="G53" s="37"/>
      <c r="H53" s="40" t="s">
        <v>814</v>
      </c>
      <c r="I53" s="1" t="s">
        <v>954</v>
      </c>
      <c r="J53" s="3">
        <v>45898</v>
      </c>
      <c r="K53" s="26">
        <v>14</v>
      </c>
      <c r="L53" s="36" t="str">
        <f>IFERROR(VLOOKUP(I53,[1]보도매체!$A:$C,2,FALSE), "")</f>
        <v>09_지방일간지</v>
      </c>
      <c r="M53" s="38">
        <f>IFERROR(VLOOKUP(I53,[1]보도매체!$A:$C,3,FALSE), "")</f>
        <v>1.5</v>
      </c>
      <c r="N53" s="3">
        <v>45901</v>
      </c>
    </row>
    <row r="54" spans="1:14" x14ac:dyDescent="0.3">
      <c r="A54" s="1">
        <v>53</v>
      </c>
      <c r="B54" s="35" t="s">
        <v>29</v>
      </c>
      <c r="C54" s="35" t="e">
        <f>#REF!</f>
        <v>#REF!</v>
      </c>
      <c r="D54" s="30" t="s">
        <v>14</v>
      </c>
      <c r="E54" s="12" t="s">
        <v>895</v>
      </c>
      <c r="F54" s="37" t="s">
        <v>953</v>
      </c>
      <c r="G54" s="37" t="s">
        <v>952</v>
      </c>
      <c r="H54" s="40" t="s">
        <v>951</v>
      </c>
      <c r="I54" s="1" t="s">
        <v>947</v>
      </c>
      <c r="J54" s="3">
        <v>45898</v>
      </c>
      <c r="K54" s="26">
        <v>20</v>
      </c>
      <c r="L54" s="36" t="str">
        <f>IFERROR(VLOOKUP(I54,[1]보도매체!$A:$C,2,FALSE), "")</f>
        <v>09_농업전문지</v>
      </c>
      <c r="M54" s="38">
        <f>IFERROR(VLOOKUP(I54,[1]보도매체!$A:$C,3,FALSE), "")</f>
        <v>1.5</v>
      </c>
      <c r="N54" s="3">
        <v>45901</v>
      </c>
    </row>
    <row r="55" spans="1:14" x14ac:dyDescent="0.3">
      <c r="A55" s="1">
        <v>54</v>
      </c>
      <c r="B55" s="35" t="s">
        <v>29</v>
      </c>
      <c r="C55" s="35" t="e">
        <f>#REF!</f>
        <v>#REF!</v>
      </c>
      <c r="D55" s="30" t="str">
        <f>IFERROR(VLOOKUP('[1]2022년 누적시트'!C5,[2]소속부서!$A$2:$B$20,2,FALSE), "")</f>
        <v>2_축산자원개발부</v>
      </c>
      <c r="E55" s="12" t="s">
        <v>21</v>
      </c>
      <c r="F55" s="37" t="s">
        <v>898</v>
      </c>
      <c r="G55" s="37"/>
      <c r="H55" s="40" t="s">
        <v>950</v>
      </c>
      <c r="I55" s="1" t="s">
        <v>947</v>
      </c>
      <c r="J55" s="3">
        <v>45898</v>
      </c>
      <c r="K55" s="26">
        <v>6</v>
      </c>
      <c r="L55" s="36" t="str">
        <f>IFERROR(VLOOKUP(I55,[1]보도매체!$A:$C,2,FALSE), "")</f>
        <v>09_농업전문지</v>
      </c>
      <c r="M55" s="38">
        <f>IFERROR(VLOOKUP(I55,[1]보도매체!$A:$C,3,FALSE), "")</f>
        <v>1.5</v>
      </c>
      <c r="N55" s="3">
        <v>45901</v>
      </c>
    </row>
    <row r="56" spans="1:14" x14ac:dyDescent="0.3">
      <c r="A56" s="1">
        <v>55</v>
      </c>
      <c r="B56" s="35" t="s">
        <v>29</v>
      </c>
      <c r="C56" s="35" t="e">
        <f>#REF!</f>
        <v>#REF!</v>
      </c>
      <c r="D56" s="30" t="s">
        <v>19</v>
      </c>
      <c r="E56" s="12" t="s">
        <v>883</v>
      </c>
      <c r="F56" s="37" t="s">
        <v>949</v>
      </c>
      <c r="G56" s="37"/>
      <c r="H56" s="40" t="s">
        <v>948</v>
      </c>
      <c r="I56" s="1" t="s">
        <v>947</v>
      </c>
      <c r="J56" s="3">
        <v>45898</v>
      </c>
      <c r="K56" s="26">
        <v>2</v>
      </c>
      <c r="L56" s="36" t="str">
        <f>IFERROR(VLOOKUP(I56,[1]보도매체!$A:$C,2,FALSE), "")</f>
        <v>09_농업전문지</v>
      </c>
      <c r="M56" s="38">
        <f>IFERROR(VLOOKUP(I56,[1]보도매체!$A:$C,3,FALSE), "")</f>
        <v>1.5</v>
      </c>
      <c r="N56" s="3">
        <v>45901</v>
      </c>
    </row>
    <row r="57" spans="1:14" x14ac:dyDescent="0.3">
      <c r="A57" s="1">
        <v>56</v>
      </c>
      <c r="B57" s="35" t="s">
        <v>29</v>
      </c>
      <c r="C57" s="35" t="e">
        <f>#REF!</f>
        <v>#REF!</v>
      </c>
      <c r="D57" s="30" t="str">
        <f>IFERROR(VLOOKUP('[1]2022년 누적시트'!C7,[2]소속부서!$A$2:$B$20,2,FALSE), "")</f>
        <v>2_축산자원개발부</v>
      </c>
      <c r="E57" s="12" t="s">
        <v>22</v>
      </c>
      <c r="F57" s="37" t="s">
        <v>888</v>
      </c>
      <c r="G57" s="37" t="s">
        <v>889</v>
      </c>
      <c r="H57" s="40" t="s">
        <v>946</v>
      </c>
      <c r="I57" s="1" t="s">
        <v>945</v>
      </c>
      <c r="J57" s="3">
        <v>45901</v>
      </c>
      <c r="K57" s="26">
        <v>2</v>
      </c>
      <c r="L57" s="36" t="str">
        <f>IFERROR(VLOOKUP(I57,[1]보도매체!$A:$C,2,FALSE), "")</f>
        <v>09_농업전문지</v>
      </c>
      <c r="M57" s="38">
        <f>IFERROR(VLOOKUP(I57,[1]보도매체!$A:$C,3,FALSE), "")</f>
        <v>1.5</v>
      </c>
      <c r="N57" s="3">
        <v>45901</v>
      </c>
    </row>
    <row r="58" spans="1:14" x14ac:dyDescent="0.3">
      <c r="A58" s="1">
        <v>57</v>
      </c>
      <c r="B58" s="35" t="s">
        <v>29</v>
      </c>
      <c r="C58" s="35" t="e">
        <f>#REF!</f>
        <v>#REF!</v>
      </c>
      <c r="D58" s="30" t="s">
        <v>19</v>
      </c>
      <c r="E58" s="12" t="s">
        <v>22</v>
      </c>
      <c r="F58" s="37" t="s">
        <v>940</v>
      </c>
      <c r="G58" s="37" t="s">
        <v>939</v>
      </c>
      <c r="H58" s="40" t="s">
        <v>944</v>
      </c>
      <c r="I58" s="1" t="s">
        <v>943</v>
      </c>
      <c r="J58" s="3">
        <v>45901</v>
      </c>
      <c r="K58" s="26">
        <v>4</v>
      </c>
      <c r="L58" s="36" t="str">
        <f>IFERROR(VLOOKUP(I58,[1]보도매체!$A:$C,2,FALSE), "")</f>
        <v>09_농업전문지</v>
      </c>
      <c r="M58" s="38">
        <f>IFERROR(VLOOKUP(I58,[1]보도매체!$A:$C,3,FALSE), "")</f>
        <v>1.5</v>
      </c>
      <c r="N58" s="3">
        <v>45902</v>
      </c>
    </row>
    <row r="59" spans="1:14" x14ac:dyDescent="0.3">
      <c r="A59" s="1">
        <v>58</v>
      </c>
      <c r="B59" s="35" t="s">
        <v>29</v>
      </c>
      <c r="C59" s="35" t="e">
        <f>#REF!</f>
        <v>#REF!</v>
      </c>
      <c r="D59" s="30" t="s">
        <v>19</v>
      </c>
      <c r="E59" s="12" t="s">
        <v>883</v>
      </c>
      <c r="F59" s="37" t="s">
        <v>931</v>
      </c>
      <c r="G59" s="37" t="s">
        <v>930</v>
      </c>
      <c r="H59" s="40" t="s">
        <v>942</v>
      </c>
      <c r="I59" s="1" t="s">
        <v>859</v>
      </c>
      <c r="J59" s="3">
        <v>45901</v>
      </c>
      <c r="L59" s="36" t="str">
        <f>IFERROR(VLOOKUP(I59,[1]보도매체!$A:$C,2,FALSE), "")</f>
        <v>09_농업전문지</v>
      </c>
      <c r="M59" s="38">
        <f>IFERROR(VLOOKUP(I59,[1]보도매체!$A:$C,3,FALSE), "")</f>
        <v>1.5</v>
      </c>
      <c r="N59" s="3">
        <v>45902</v>
      </c>
    </row>
    <row r="60" spans="1:14" x14ac:dyDescent="0.3">
      <c r="A60" s="1">
        <v>59</v>
      </c>
      <c r="B60" s="35" t="s">
        <v>29</v>
      </c>
      <c r="C60" s="35" t="e">
        <f>#REF!</f>
        <v>#REF!</v>
      </c>
      <c r="D60" s="30" t="s">
        <v>19</v>
      </c>
      <c r="E60" s="12" t="s">
        <v>883</v>
      </c>
      <c r="F60" s="37" t="s">
        <v>931</v>
      </c>
      <c r="G60" s="37" t="s">
        <v>930</v>
      </c>
      <c r="H60" s="40" t="s">
        <v>941</v>
      </c>
      <c r="I60" s="1" t="s">
        <v>786</v>
      </c>
      <c r="J60" s="3">
        <v>45901</v>
      </c>
      <c r="L60" s="36" t="str">
        <f>IFERROR(VLOOKUP(I60,[1]보도매체!$A:$C,2,FALSE), "")</f>
        <v>13_인터넷포털</v>
      </c>
      <c r="M60" s="38">
        <f>IFERROR(VLOOKUP(I60,[1]보도매체!$A:$C,3,FALSE), "")</f>
        <v>0.1</v>
      </c>
      <c r="N60" s="3">
        <v>45902</v>
      </c>
    </row>
    <row r="61" spans="1:14" x14ac:dyDescent="0.3">
      <c r="A61" s="1">
        <v>60</v>
      </c>
      <c r="B61" s="35" t="s">
        <v>29</v>
      </c>
      <c r="C61" s="35" t="e">
        <f>#REF!</f>
        <v>#REF!</v>
      </c>
      <c r="D61" s="30" t="s">
        <v>19</v>
      </c>
      <c r="E61" s="12" t="s">
        <v>22</v>
      </c>
      <c r="F61" s="37" t="s">
        <v>940</v>
      </c>
      <c r="G61" s="37" t="s">
        <v>939</v>
      </c>
      <c r="H61" s="40" t="s">
        <v>938</v>
      </c>
      <c r="I61" s="1" t="s">
        <v>853</v>
      </c>
      <c r="J61" s="3">
        <v>45901</v>
      </c>
      <c r="L61" s="36" t="str">
        <f>IFERROR(VLOOKUP(I61,[1]보도매체!$A:$C,2,FALSE), "")</f>
        <v>09_농업전문지</v>
      </c>
      <c r="M61" s="38">
        <f>IFERROR(VLOOKUP(I61,[1]보도매체!$A:$C,3,FALSE), "")</f>
        <v>1.5</v>
      </c>
      <c r="N61" s="3">
        <v>45902</v>
      </c>
    </row>
    <row r="62" spans="1:14" x14ac:dyDescent="0.3">
      <c r="A62" s="1">
        <v>61</v>
      </c>
      <c r="B62" s="35" t="s">
        <v>29</v>
      </c>
      <c r="C62" s="35" t="e">
        <f>#REF!</f>
        <v>#REF!</v>
      </c>
      <c r="D62" s="30" t="str">
        <f>IFERROR(VLOOKUP('[1]2022년 누적시트'!C12,[1]소속부서!$A$2:$B$20,2,FALSE), "")</f>
        <v>2_축산자원개발부</v>
      </c>
      <c r="E62" s="12" t="s">
        <v>911</v>
      </c>
      <c r="F62" s="37" t="s">
        <v>918</v>
      </c>
      <c r="G62" s="37"/>
      <c r="H62" s="40" t="s">
        <v>937</v>
      </c>
      <c r="I62" s="1" t="s">
        <v>936</v>
      </c>
      <c r="J62" s="3">
        <v>45901</v>
      </c>
      <c r="L62" s="36" t="str">
        <f>IFERROR(VLOOKUP(I62,[1]보도매체!$A:$C,2,FALSE), "")</f>
        <v>07_중앙일간지</v>
      </c>
      <c r="M62" s="38">
        <f>IFERROR(VLOOKUP(I62,[1]보도매체!$A:$C,3,FALSE), "")</f>
        <v>5</v>
      </c>
      <c r="N62" s="3">
        <v>45902</v>
      </c>
    </row>
    <row r="63" spans="1:14" x14ac:dyDescent="0.3">
      <c r="A63" s="1">
        <v>62</v>
      </c>
      <c r="B63" s="35" t="s">
        <v>29</v>
      </c>
      <c r="C63" s="35" t="e">
        <f>#REF!</f>
        <v>#REF!</v>
      </c>
      <c r="D63" s="30" t="str">
        <f>IFERROR(VLOOKUP('[1]2022년 누적시트'!C13,[1]소속부서!$A$2:$B$20,2,FALSE), "")</f>
        <v>2_축산자원개발부</v>
      </c>
      <c r="E63" s="12" t="s">
        <v>903</v>
      </c>
      <c r="F63" s="37" t="s">
        <v>923</v>
      </c>
      <c r="G63" s="37"/>
      <c r="H63" s="40" t="s">
        <v>935</v>
      </c>
      <c r="I63" s="1" t="s">
        <v>934</v>
      </c>
      <c r="J63" s="3">
        <v>45901</v>
      </c>
      <c r="L63" s="36" t="str">
        <f>IFERROR(VLOOKUP(I63,[1]보도매체!$A:$C,2,FALSE), "")</f>
        <v>09_농업전문지</v>
      </c>
      <c r="M63" s="38">
        <f>IFERROR(VLOOKUP(I63,[1]보도매체!$A:$C,3,FALSE), "")</f>
        <v>1.5</v>
      </c>
      <c r="N63" s="3">
        <v>45902</v>
      </c>
    </row>
    <row r="64" spans="1:14" x14ac:dyDescent="0.3">
      <c r="A64" s="1">
        <v>63</v>
      </c>
      <c r="B64" s="35" t="s">
        <v>29</v>
      </c>
      <c r="C64" s="35" t="e">
        <f>#REF!</f>
        <v>#REF!</v>
      </c>
      <c r="D64" s="30" t="str">
        <f>IFERROR(VLOOKUP('[1]2022년 누적시트'!C14,[1]소속부서!$A$2:$B$20,2,FALSE), "")</f>
        <v>2_축산자원개발부</v>
      </c>
      <c r="E64" s="12" t="s">
        <v>903</v>
      </c>
      <c r="F64" s="37" t="s">
        <v>923</v>
      </c>
      <c r="G64" s="37"/>
      <c r="H64" s="40" t="s">
        <v>933</v>
      </c>
      <c r="I64" s="1" t="s">
        <v>815</v>
      </c>
      <c r="J64" s="3">
        <v>45901</v>
      </c>
      <c r="L64" s="36" t="str">
        <f>IFERROR(VLOOKUP(I64,[1]보도매체!$A:$C,2,FALSE), "")</f>
        <v>09_지방일간지</v>
      </c>
      <c r="M64" s="38">
        <f>IFERROR(VLOOKUP(I64,[1]보도매체!$A:$C,3,FALSE), "")</f>
        <v>1.5</v>
      </c>
      <c r="N64" s="3">
        <v>45902</v>
      </c>
    </row>
    <row r="65" spans="1:14" x14ac:dyDescent="0.3">
      <c r="A65" s="1">
        <v>64</v>
      </c>
      <c r="B65" s="35" t="s">
        <v>29</v>
      </c>
      <c r="C65" s="35" t="e">
        <f>#REF!</f>
        <v>#REF!</v>
      </c>
      <c r="D65" s="30" t="str">
        <f>IFERROR(VLOOKUP('[1]2022년 누적시트'!C15,[1]소속부서!$A$2:$B$20,2,FALSE), "")</f>
        <v>2_축산자원개발부</v>
      </c>
      <c r="E65" s="12" t="s">
        <v>903</v>
      </c>
      <c r="F65" s="37" t="s">
        <v>923</v>
      </c>
      <c r="G65" s="37"/>
      <c r="H65" s="40" t="s">
        <v>932</v>
      </c>
      <c r="I65" s="1" t="s">
        <v>816</v>
      </c>
      <c r="J65" s="3">
        <v>45901</v>
      </c>
      <c r="L65" s="36" t="str">
        <f>IFERROR(VLOOKUP(I65,[1]보도매체!$A:$C,2,FALSE), "")</f>
        <v>09_지방일간지</v>
      </c>
      <c r="M65" s="38">
        <f>IFERROR(VLOOKUP(I65,[1]보도매체!$A:$C,3,FALSE), "")</f>
        <v>1.5</v>
      </c>
      <c r="N65" s="3">
        <v>45902</v>
      </c>
    </row>
    <row r="66" spans="1:14" x14ac:dyDescent="0.3">
      <c r="A66" s="1">
        <v>65</v>
      </c>
      <c r="B66" s="35" t="s">
        <v>29</v>
      </c>
      <c r="C66" s="35" t="e">
        <f>#REF!</f>
        <v>#REF!</v>
      </c>
      <c r="D66" s="30" t="s">
        <v>19</v>
      </c>
      <c r="E66" s="12" t="s">
        <v>883</v>
      </c>
      <c r="F66" s="37" t="s">
        <v>931</v>
      </c>
      <c r="G66" s="37" t="s">
        <v>930</v>
      </c>
      <c r="H66" s="40" t="s">
        <v>929</v>
      </c>
      <c r="I66" s="1" t="s">
        <v>846</v>
      </c>
      <c r="J66" s="3">
        <v>45901</v>
      </c>
      <c r="L66" s="36" t="str">
        <f>IFERROR(VLOOKUP(I66,[1]보도매체!$A:$C,2,FALSE), "")</f>
        <v>13_인터넷포털</v>
      </c>
      <c r="M66" s="38">
        <f>IFERROR(VLOOKUP(I66,[1]보도매체!$A:$C,3,FALSE), "")</f>
        <v>0.1</v>
      </c>
      <c r="N66" s="3">
        <v>45902</v>
      </c>
    </row>
    <row r="67" spans="1:14" x14ac:dyDescent="0.3">
      <c r="A67" s="1">
        <v>66</v>
      </c>
      <c r="B67" s="35" t="s">
        <v>29</v>
      </c>
      <c r="C67" s="35" t="e">
        <f>#REF!</f>
        <v>#REF!</v>
      </c>
      <c r="D67" s="30" t="str">
        <f>IFERROR(VLOOKUP('[1]2022년 누적시트'!C17,[1]소속부서!$A$2:$B$20,2,FALSE), "")</f>
        <v>0_본원</v>
      </c>
      <c r="E67" s="12" t="s">
        <v>9</v>
      </c>
      <c r="F67" s="37" t="s">
        <v>928</v>
      </c>
      <c r="G67" s="37"/>
      <c r="H67" s="40" t="s">
        <v>927</v>
      </c>
      <c r="I67" s="1" t="s">
        <v>926</v>
      </c>
      <c r="J67" s="3">
        <v>45902</v>
      </c>
      <c r="L67" s="36" t="str">
        <f>IFERROR(VLOOKUP(I67,[1]보도매체!$A:$C,2,FALSE), "")</f>
        <v>07_중앙일간지</v>
      </c>
      <c r="M67" s="38">
        <f>IFERROR(VLOOKUP(I67,[1]보도매체!$A:$C,3,FALSE), "")</f>
        <v>5</v>
      </c>
      <c r="N67" s="3">
        <v>45902</v>
      </c>
    </row>
    <row r="68" spans="1:14" x14ac:dyDescent="0.3">
      <c r="A68" s="1">
        <v>67</v>
      </c>
      <c r="B68" s="35" t="s">
        <v>29</v>
      </c>
      <c r="C68" s="35" t="e">
        <f>#REF!</f>
        <v>#REF!</v>
      </c>
      <c r="D68" s="30" t="str">
        <f>IFERROR(VLOOKUP('[1]2022년 누적시트'!C18,[1]소속부서!$A$2:$B$20,2,FALSE), "")</f>
        <v>2_축산자원개발부</v>
      </c>
      <c r="E68" s="12" t="s">
        <v>903</v>
      </c>
      <c r="F68" s="37" t="s">
        <v>923</v>
      </c>
      <c r="G68" s="37"/>
      <c r="H68" s="40" t="s">
        <v>925</v>
      </c>
      <c r="I68" s="1" t="s">
        <v>924</v>
      </c>
      <c r="J68" s="3">
        <v>45902</v>
      </c>
      <c r="L68" s="36" t="str">
        <f>IFERROR(VLOOKUP(I68,[1]보도매체!$A:$C,2,FALSE), "")</f>
        <v>09_농업전문지</v>
      </c>
      <c r="M68" s="38">
        <f>IFERROR(VLOOKUP(I68,[1]보도매체!$A:$C,3,FALSE), "")</f>
        <v>1.5</v>
      </c>
      <c r="N68" s="3">
        <v>45903</v>
      </c>
    </row>
    <row r="69" spans="1:14" x14ac:dyDescent="0.3">
      <c r="A69" s="1">
        <v>68</v>
      </c>
      <c r="B69" s="35" t="s">
        <v>29</v>
      </c>
      <c r="C69" s="35" t="e">
        <f>#REF!</f>
        <v>#REF!</v>
      </c>
      <c r="D69" s="30" t="str">
        <f>IFERROR(VLOOKUP('[1]2022년 누적시트'!C19,[1]소속부서!$A$2:$B$20,2,FALSE), "")</f>
        <v>2_축산자원개발부</v>
      </c>
      <c r="E69" s="12" t="s">
        <v>903</v>
      </c>
      <c r="F69" s="37" t="s">
        <v>923</v>
      </c>
      <c r="G69" s="37"/>
      <c r="H69" s="40" t="s">
        <v>922</v>
      </c>
      <c r="I69" s="1" t="s">
        <v>919</v>
      </c>
      <c r="J69" s="3">
        <v>45902</v>
      </c>
      <c r="L69" s="36" t="str">
        <f>IFERROR(VLOOKUP(I69,[1]보도매체!$A:$C,2,FALSE), "")</f>
        <v>09_농업전문지</v>
      </c>
      <c r="M69" s="38">
        <f>IFERROR(VLOOKUP(I69,[1]보도매체!$A:$C,3,FALSE), "")</f>
        <v>1.5</v>
      </c>
      <c r="N69" s="3">
        <v>45903</v>
      </c>
    </row>
    <row r="70" spans="1:14" x14ac:dyDescent="0.3">
      <c r="A70" s="1">
        <v>69</v>
      </c>
      <c r="B70" s="35" t="s">
        <v>29</v>
      </c>
      <c r="C70" s="35" t="e">
        <f>#REF!</f>
        <v>#REF!</v>
      </c>
      <c r="D70" s="30" t="str">
        <f>IFERROR(VLOOKUP('[1]2022년 누적시트'!C20,[1]소속부서!$A$2:$B$20,2,FALSE), "")</f>
        <v>2_축산자원개발부</v>
      </c>
      <c r="E70" s="12" t="s">
        <v>20</v>
      </c>
      <c r="F70" s="37" t="s">
        <v>921</v>
      </c>
      <c r="G70" s="37"/>
      <c r="H70" s="40" t="s">
        <v>920</v>
      </c>
      <c r="I70" s="1" t="s">
        <v>919</v>
      </c>
      <c r="J70" s="3">
        <v>45903</v>
      </c>
      <c r="L70" s="36" t="str">
        <f>IFERROR(VLOOKUP(I70,[1]보도매체!$A:$C,2,FALSE), "")</f>
        <v>09_농업전문지</v>
      </c>
      <c r="M70" s="38">
        <f>IFERROR(VLOOKUP(I70,[1]보도매체!$A:$C,3,FALSE), "")</f>
        <v>1.5</v>
      </c>
      <c r="N70" s="3">
        <v>45903</v>
      </c>
    </row>
    <row r="71" spans="1:14" x14ac:dyDescent="0.3">
      <c r="A71" s="1">
        <v>70</v>
      </c>
      <c r="B71" s="35" t="s">
        <v>29</v>
      </c>
      <c r="C71" s="35" t="e">
        <f>#REF!</f>
        <v>#REF!</v>
      </c>
      <c r="D71" s="30" t="str">
        <f>IFERROR(VLOOKUP('[1]2022년 누적시트'!C21,[1]소속부서!$A$2:$B$20,2,FALSE), "")</f>
        <v>2_축산자원개발부</v>
      </c>
      <c r="E71" s="12" t="s">
        <v>911</v>
      </c>
      <c r="F71" s="37" t="s">
        <v>918</v>
      </c>
      <c r="G71" s="37"/>
      <c r="H71" s="40" t="s">
        <v>917</v>
      </c>
      <c r="I71" s="1" t="s">
        <v>916</v>
      </c>
      <c r="J71" s="3">
        <v>45903</v>
      </c>
      <c r="L71" s="36" t="str">
        <f>IFERROR(VLOOKUP(I71,[1]보도매체!$A:$C,2,FALSE), "")</f>
        <v>09_지방일간지</v>
      </c>
      <c r="M71" s="38">
        <f>IFERROR(VLOOKUP(I71,[1]보도매체!$A:$C,3,FALSE), "")</f>
        <v>1.5</v>
      </c>
      <c r="N71" s="3">
        <v>45903</v>
      </c>
    </row>
    <row r="72" spans="1:14" x14ac:dyDescent="0.3">
      <c r="A72" s="1">
        <v>71</v>
      </c>
      <c r="B72" s="35" t="s">
        <v>29</v>
      </c>
      <c r="C72" s="35" t="e">
        <f>#REF!</f>
        <v>#REF!</v>
      </c>
      <c r="D72" s="30" t="str">
        <f>IFERROR(VLOOKUP('[1]2022년 누적시트'!C22,[1]소속부서!$A$2:$B$20,2,FALSE), "")</f>
        <v>0_본원</v>
      </c>
      <c r="E72" s="12" t="s">
        <v>905</v>
      </c>
      <c r="F72" s="37" t="s">
        <v>915</v>
      </c>
      <c r="G72" s="37"/>
      <c r="H72" s="40" t="s">
        <v>914</v>
      </c>
      <c r="I72" s="1" t="s">
        <v>913</v>
      </c>
      <c r="J72" s="3">
        <v>45903</v>
      </c>
      <c r="L72" s="36" t="str">
        <f>IFERROR(VLOOKUP(I72,[1]보도매체!$A:$C,2,FALSE), "")</f>
        <v>13_인터넷포털</v>
      </c>
      <c r="M72" s="38">
        <f>IFERROR(VLOOKUP(I72,[1]보도매체!$A:$C,3,FALSE), "")</f>
        <v>0.1</v>
      </c>
      <c r="N72" s="3">
        <v>45903</v>
      </c>
    </row>
    <row r="73" spans="1:14" x14ac:dyDescent="0.3">
      <c r="A73" s="1">
        <v>72</v>
      </c>
      <c r="B73" s="35"/>
      <c r="C73" s="35">
        <f t="shared" ref="C65:C128" si="2">E73</f>
        <v>0</v>
      </c>
      <c r="D73" s="30" t="str">
        <f>IFERROR(VLOOKUP(C73,소속부서!$A$2:$B$20,2,FALSE), "")</f>
        <v/>
      </c>
      <c r="E73" s="12"/>
      <c r="F73" s="37"/>
      <c r="G73" s="37"/>
      <c r="H73" s="40"/>
      <c r="L73" s="36" t="str">
        <f>IFERROR(VLOOKUP(I73,보도매체!$A:$C,2,FALSE), "")</f>
        <v/>
      </c>
      <c r="M73" s="38" t="str">
        <f>IFERROR(VLOOKUP(I73,보도매체!$A:$C,3,FALSE), "")</f>
        <v/>
      </c>
      <c r="N73" s="3"/>
    </row>
    <row r="74" spans="1:14" x14ac:dyDescent="0.3">
      <c r="A74" s="1">
        <v>73</v>
      </c>
      <c r="B74" s="35"/>
      <c r="C74" s="35">
        <f t="shared" si="2"/>
        <v>0</v>
      </c>
      <c r="D74" s="30" t="str">
        <f>IFERROR(VLOOKUP(C74,소속부서!$A$2:$B$20,2,FALSE), "")</f>
        <v/>
      </c>
      <c r="E74" s="12"/>
      <c r="F74" s="37"/>
      <c r="G74" s="37"/>
      <c r="H74" s="40"/>
      <c r="L74" s="36" t="str">
        <f>IFERROR(VLOOKUP(I74,보도매체!$A:$C,2,FALSE), "")</f>
        <v/>
      </c>
      <c r="M74" s="38" t="str">
        <f>IFERROR(VLOOKUP(I74,보도매체!$A:$C,3,FALSE), "")</f>
        <v/>
      </c>
      <c r="N74" s="3"/>
    </row>
    <row r="75" spans="1:14" x14ac:dyDescent="0.3">
      <c r="A75" s="1">
        <v>74</v>
      </c>
      <c r="B75" s="35"/>
      <c r="C75" s="35">
        <f t="shared" si="2"/>
        <v>0</v>
      </c>
      <c r="D75" s="30" t="str">
        <f>IFERROR(VLOOKUP(C75,소속부서!$A$2:$B$20,2,FALSE), "")</f>
        <v/>
      </c>
      <c r="E75" s="12"/>
      <c r="F75" s="37"/>
      <c r="G75" s="37"/>
      <c r="H75" s="40"/>
      <c r="L75" s="36" t="str">
        <f>IFERROR(VLOOKUP(I75,보도매체!$A:$C,2,FALSE), "")</f>
        <v/>
      </c>
      <c r="M75" s="38" t="str">
        <f>IFERROR(VLOOKUP(I75,보도매체!$A:$C,3,FALSE), "")</f>
        <v/>
      </c>
      <c r="N75" s="3"/>
    </row>
    <row r="76" spans="1:14" x14ac:dyDescent="0.3">
      <c r="A76" s="1">
        <v>75</v>
      </c>
      <c r="B76" s="35"/>
      <c r="C76" s="35">
        <f t="shared" si="2"/>
        <v>0</v>
      </c>
      <c r="D76" s="30" t="str">
        <f>IFERROR(VLOOKUP(C76,소속부서!$A$2:$B$20,2,FALSE), "")</f>
        <v/>
      </c>
      <c r="E76" s="12"/>
      <c r="F76" s="37"/>
      <c r="G76" s="37"/>
      <c r="H76" s="40"/>
      <c r="L76" s="36" t="str">
        <f>IFERROR(VLOOKUP(I76,보도매체!$A:$C,2,FALSE), "")</f>
        <v/>
      </c>
      <c r="M76" s="38" t="str">
        <f>IFERROR(VLOOKUP(I76,보도매체!$A:$C,3,FALSE), "")</f>
        <v/>
      </c>
      <c r="N76" s="3"/>
    </row>
    <row r="77" spans="1:14" x14ac:dyDescent="0.3">
      <c r="A77" s="1">
        <v>76</v>
      </c>
      <c r="B77" s="35"/>
      <c r="C77" s="35">
        <f t="shared" si="2"/>
        <v>0</v>
      </c>
      <c r="D77" s="30" t="str">
        <f>IFERROR(VLOOKUP(C77,소속부서!$A$2:$B$20,2,FALSE), "")</f>
        <v/>
      </c>
      <c r="E77" s="12"/>
      <c r="F77" s="37"/>
      <c r="G77" s="37"/>
      <c r="H77" s="40"/>
      <c r="L77" s="36" t="str">
        <f>IFERROR(VLOOKUP(I77,보도매체!$A:$C,2,FALSE), "")</f>
        <v/>
      </c>
      <c r="M77" s="38" t="str">
        <f>IFERROR(VLOOKUP(I77,보도매체!$A:$C,3,FALSE), "")</f>
        <v/>
      </c>
      <c r="N77" s="3"/>
    </row>
    <row r="78" spans="1:14" x14ac:dyDescent="0.3">
      <c r="A78" s="1">
        <v>77</v>
      </c>
      <c r="B78" s="35"/>
      <c r="C78" s="35">
        <f t="shared" si="2"/>
        <v>0</v>
      </c>
      <c r="D78" s="30" t="str">
        <f>IFERROR(VLOOKUP(C78,소속부서!$A$2:$B$20,2,FALSE), "")</f>
        <v/>
      </c>
      <c r="E78" s="12"/>
      <c r="F78" s="37"/>
      <c r="G78" s="37"/>
      <c r="H78" s="40"/>
      <c r="L78" s="36" t="str">
        <f>IFERROR(VLOOKUP(I78,보도매체!$A:$C,2,FALSE), "")</f>
        <v/>
      </c>
      <c r="M78" s="38" t="str">
        <f>IFERROR(VLOOKUP(I78,보도매체!$A:$C,3,FALSE), "")</f>
        <v/>
      </c>
      <c r="N78" s="3"/>
    </row>
    <row r="79" spans="1:14" x14ac:dyDescent="0.3">
      <c r="A79" s="1">
        <v>78</v>
      </c>
      <c r="B79" s="35"/>
      <c r="C79" s="35">
        <f t="shared" si="2"/>
        <v>0</v>
      </c>
      <c r="D79" s="30" t="str">
        <f>IFERROR(VLOOKUP(C79,소속부서!$A$2:$B$20,2,FALSE), "")</f>
        <v/>
      </c>
      <c r="E79" s="12"/>
      <c r="F79" s="37"/>
      <c r="G79" s="37"/>
      <c r="H79" s="40"/>
      <c r="L79" s="36" t="str">
        <f>IFERROR(VLOOKUP(I79,보도매체!$A:$C,2,FALSE), "")</f>
        <v/>
      </c>
      <c r="M79" s="38" t="str">
        <f>IFERROR(VLOOKUP(I79,보도매체!$A:$C,3,FALSE), "")</f>
        <v/>
      </c>
      <c r="N79" s="3"/>
    </row>
    <row r="80" spans="1:14" x14ac:dyDescent="0.3">
      <c r="A80" s="1">
        <v>79</v>
      </c>
      <c r="B80" s="35"/>
      <c r="C80" s="35">
        <f t="shared" si="2"/>
        <v>0</v>
      </c>
      <c r="D80" s="30" t="str">
        <f>IFERROR(VLOOKUP(C80,소속부서!$A$2:$B$20,2,FALSE), "")</f>
        <v/>
      </c>
      <c r="E80" s="12"/>
      <c r="F80" s="37"/>
      <c r="G80" s="37"/>
      <c r="H80" s="40"/>
      <c r="L80" s="36" t="str">
        <f>IFERROR(VLOOKUP(I80,보도매체!$A:$C,2,FALSE), "")</f>
        <v/>
      </c>
      <c r="M80" s="38" t="str">
        <f>IFERROR(VLOOKUP(I80,보도매체!$A:$C,3,FALSE), "")</f>
        <v/>
      </c>
      <c r="N80" s="3"/>
    </row>
    <row r="81" spans="1:14" x14ac:dyDescent="0.3">
      <c r="A81" s="1">
        <v>80</v>
      </c>
      <c r="B81" s="35"/>
      <c r="C81" s="35">
        <f t="shared" si="2"/>
        <v>0</v>
      </c>
      <c r="D81" s="30" t="str">
        <f>IFERROR(VLOOKUP(C81,소속부서!$A$2:$B$20,2,FALSE), "")</f>
        <v/>
      </c>
      <c r="E81" s="12"/>
      <c r="F81" s="37"/>
      <c r="G81" s="37"/>
      <c r="H81" s="40"/>
      <c r="L81" s="36" t="str">
        <f>IFERROR(VLOOKUP(I81,보도매체!$A:$C,2,FALSE), "")</f>
        <v/>
      </c>
      <c r="M81" s="38" t="str">
        <f>IFERROR(VLOOKUP(I81,보도매체!$A:$C,3,FALSE), "")</f>
        <v/>
      </c>
      <c r="N81" s="3"/>
    </row>
    <row r="82" spans="1:14" x14ac:dyDescent="0.3">
      <c r="A82" s="1">
        <v>81</v>
      </c>
      <c r="B82" s="35"/>
      <c r="C82" s="35">
        <f t="shared" si="2"/>
        <v>0</v>
      </c>
      <c r="D82" s="30" t="str">
        <f>IFERROR(VLOOKUP(C82,소속부서!$A$2:$B$20,2,FALSE), "")</f>
        <v/>
      </c>
      <c r="E82" s="12"/>
      <c r="F82" s="37"/>
      <c r="G82" s="37"/>
      <c r="H82" s="40"/>
      <c r="L82" s="36" t="str">
        <f>IFERROR(VLOOKUP(I82,보도매체!$A:$C,2,FALSE), "")</f>
        <v/>
      </c>
      <c r="M82" s="38" t="str">
        <f>IFERROR(VLOOKUP(I82,보도매체!$A:$C,3,FALSE), "")</f>
        <v/>
      </c>
      <c r="N82" s="3"/>
    </row>
    <row r="83" spans="1:14" x14ac:dyDescent="0.3">
      <c r="A83" s="1">
        <v>82</v>
      </c>
      <c r="B83" s="35"/>
      <c r="C83" s="35">
        <f t="shared" si="2"/>
        <v>0</v>
      </c>
      <c r="D83" s="30" t="str">
        <f>IFERROR(VLOOKUP(C83,소속부서!$A$2:$B$20,2,FALSE), "")</f>
        <v/>
      </c>
      <c r="E83" s="12"/>
      <c r="F83" s="37"/>
      <c r="G83" s="37"/>
      <c r="H83" s="40"/>
      <c r="L83" s="36" t="str">
        <f>IFERROR(VLOOKUP(I83,보도매체!$A:$C,2,FALSE), "")</f>
        <v/>
      </c>
      <c r="M83" s="38" t="str">
        <f>IFERROR(VLOOKUP(I83,보도매체!$A:$C,3,FALSE), "")</f>
        <v/>
      </c>
      <c r="N83" s="3"/>
    </row>
    <row r="84" spans="1:14" x14ac:dyDescent="0.3">
      <c r="A84" s="1">
        <v>83</v>
      </c>
      <c r="B84" s="35"/>
      <c r="C84" s="35">
        <f t="shared" si="2"/>
        <v>0</v>
      </c>
      <c r="D84" s="30" t="str">
        <f>IFERROR(VLOOKUP(C84,소속부서!$A$2:$B$20,2,FALSE), "")</f>
        <v/>
      </c>
      <c r="E84" s="12"/>
      <c r="F84" s="37"/>
      <c r="G84" s="37"/>
      <c r="H84" s="40"/>
      <c r="L84" s="36" t="str">
        <f>IFERROR(VLOOKUP(I84,보도매체!$A:$C,2,FALSE), "")</f>
        <v/>
      </c>
      <c r="M84" s="38" t="str">
        <f>IFERROR(VLOOKUP(I84,보도매체!$A:$C,3,FALSE), "")</f>
        <v/>
      </c>
      <c r="N84" s="3"/>
    </row>
    <row r="85" spans="1:14" x14ac:dyDescent="0.3">
      <c r="A85" s="1">
        <v>84</v>
      </c>
      <c r="B85" s="35"/>
      <c r="C85" s="35">
        <f t="shared" si="2"/>
        <v>0</v>
      </c>
      <c r="D85" s="30" t="str">
        <f>IFERROR(VLOOKUP(C85,소속부서!$A$2:$B$20,2,FALSE), "")</f>
        <v/>
      </c>
      <c r="E85" s="12"/>
      <c r="F85" s="37"/>
      <c r="G85" s="37"/>
      <c r="H85" s="40"/>
      <c r="L85" s="36" t="str">
        <f>IFERROR(VLOOKUP(I85,보도매체!$A:$C,2,FALSE), "")</f>
        <v/>
      </c>
      <c r="M85" s="38" t="str">
        <f>IFERROR(VLOOKUP(I85,보도매체!$A:$C,3,FALSE), "")</f>
        <v/>
      </c>
      <c r="N85" s="3"/>
    </row>
    <row r="86" spans="1:14" x14ac:dyDescent="0.3">
      <c r="A86" s="1">
        <v>85</v>
      </c>
      <c r="B86" s="35"/>
      <c r="C86" s="35">
        <f t="shared" si="2"/>
        <v>0</v>
      </c>
      <c r="D86" s="30" t="str">
        <f>IFERROR(VLOOKUP(C86,소속부서!$A$2:$B$20,2,FALSE), "")</f>
        <v/>
      </c>
      <c r="E86" s="12"/>
      <c r="F86" s="37"/>
      <c r="G86" s="37"/>
      <c r="H86" s="40"/>
      <c r="L86" s="36" t="str">
        <f>IFERROR(VLOOKUP(I86,보도매체!$A:$C,2,FALSE), "")</f>
        <v/>
      </c>
      <c r="M86" s="38" t="str">
        <f>IFERROR(VLOOKUP(I86,보도매체!$A:$C,3,FALSE), "")</f>
        <v/>
      </c>
      <c r="N86" s="3"/>
    </row>
    <row r="87" spans="1:14" x14ac:dyDescent="0.3">
      <c r="A87" s="1">
        <v>86</v>
      </c>
      <c r="B87" s="35"/>
      <c r="C87" s="35">
        <f t="shared" si="2"/>
        <v>0</v>
      </c>
      <c r="D87" s="30" t="str">
        <f>IFERROR(VLOOKUP(C87,소속부서!$A$2:$B$20,2,FALSE), "")</f>
        <v/>
      </c>
      <c r="E87" s="12"/>
      <c r="F87" s="37"/>
      <c r="G87" s="37"/>
      <c r="H87" s="40"/>
      <c r="L87" s="36" t="str">
        <f>IFERROR(VLOOKUP(I87,보도매체!$A:$C,2,FALSE), "")</f>
        <v/>
      </c>
      <c r="M87" s="38" t="str">
        <f>IFERROR(VLOOKUP(I87,보도매체!$A:$C,3,FALSE), "")</f>
        <v/>
      </c>
      <c r="N87" s="3"/>
    </row>
    <row r="88" spans="1:14" x14ac:dyDescent="0.3">
      <c r="A88" s="1">
        <v>87</v>
      </c>
      <c r="B88" s="35"/>
      <c r="C88" s="35">
        <f t="shared" si="2"/>
        <v>0</v>
      </c>
      <c r="D88" s="30" t="str">
        <f>IFERROR(VLOOKUP(C88,소속부서!$A$2:$B$20,2,FALSE), "")</f>
        <v/>
      </c>
      <c r="E88" s="12"/>
      <c r="F88" s="37"/>
      <c r="G88" s="37"/>
      <c r="H88" s="40"/>
      <c r="L88" s="36" t="str">
        <f>IFERROR(VLOOKUP(I88,보도매체!$A:$C,2,FALSE), "")</f>
        <v/>
      </c>
      <c r="M88" s="38" t="str">
        <f>IFERROR(VLOOKUP(I88,보도매체!$A:$C,3,FALSE), "")</f>
        <v/>
      </c>
      <c r="N88" s="3"/>
    </row>
    <row r="89" spans="1:14" x14ac:dyDescent="0.3">
      <c r="A89" s="1">
        <v>88</v>
      </c>
      <c r="B89" s="35"/>
      <c r="C89" s="35">
        <f t="shared" si="2"/>
        <v>0</v>
      </c>
      <c r="D89" s="30" t="str">
        <f>IFERROR(VLOOKUP(C89,소속부서!$A$2:$B$20,2,FALSE), "")</f>
        <v/>
      </c>
      <c r="E89" s="12"/>
      <c r="F89" s="37"/>
      <c r="G89" s="37"/>
      <c r="H89" s="40"/>
      <c r="L89" s="36" t="str">
        <f>IFERROR(VLOOKUP(I89,보도매체!$A:$C,2,FALSE), "")</f>
        <v/>
      </c>
      <c r="M89" s="38" t="str">
        <f>IFERROR(VLOOKUP(I89,보도매체!$A:$C,3,FALSE), "")</f>
        <v/>
      </c>
      <c r="N89" s="3"/>
    </row>
    <row r="90" spans="1:14" x14ac:dyDescent="0.3">
      <c r="A90" s="1">
        <v>89</v>
      </c>
      <c r="B90" s="35"/>
      <c r="C90" s="35">
        <f t="shared" si="2"/>
        <v>0</v>
      </c>
      <c r="D90" s="30" t="str">
        <f>IFERROR(VLOOKUP(C90,소속부서!$A$2:$B$20,2,FALSE), "")</f>
        <v/>
      </c>
      <c r="E90" s="12"/>
      <c r="F90" s="37"/>
      <c r="G90" s="37"/>
      <c r="H90" s="40"/>
      <c r="L90" s="36" t="str">
        <f>IFERROR(VLOOKUP(I90,보도매체!$A:$C,2,FALSE), "")</f>
        <v/>
      </c>
      <c r="M90" s="38" t="str">
        <f>IFERROR(VLOOKUP(I90,보도매체!$A:$C,3,FALSE), "")</f>
        <v/>
      </c>
      <c r="N90" s="3"/>
    </row>
    <row r="91" spans="1:14" x14ac:dyDescent="0.3">
      <c r="A91" s="1">
        <v>90</v>
      </c>
      <c r="B91" s="35"/>
      <c r="C91" s="35">
        <f t="shared" si="2"/>
        <v>0</v>
      </c>
      <c r="D91" s="30" t="str">
        <f>IFERROR(VLOOKUP(C91,소속부서!$A$2:$B$20,2,FALSE), "")</f>
        <v/>
      </c>
      <c r="E91" s="12"/>
      <c r="F91" s="37"/>
      <c r="G91" s="37"/>
      <c r="H91" s="40"/>
      <c r="L91" s="36" t="str">
        <f>IFERROR(VLOOKUP(I91,보도매체!$A:$C,2,FALSE), "")</f>
        <v/>
      </c>
      <c r="M91" s="38" t="str">
        <f>IFERROR(VLOOKUP(I91,보도매체!$A:$C,3,FALSE), "")</f>
        <v/>
      </c>
      <c r="N91" s="3"/>
    </row>
    <row r="92" spans="1:14" x14ac:dyDescent="0.3">
      <c r="A92" s="1">
        <v>91</v>
      </c>
      <c r="B92" s="35"/>
      <c r="C92" s="35">
        <f t="shared" si="2"/>
        <v>0</v>
      </c>
      <c r="D92" s="30" t="str">
        <f>IFERROR(VLOOKUP(C92,소속부서!$A$2:$B$20,2,FALSE), "")</f>
        <v/>
      </c>
      <c r="E92" s="12"/>
      <c r="F92" s="37"/>
      <c r="G92" s="37"/>
      <c r="H92" s="40"/>
      <c r="L92" s="36" t="str">
        <f>IFERROR(VLOOKUP(I92,보도매체!$A:$C,2,FALSE), "")</f>
        <v/>
      </c>
      <c r="M92" s="38" t="str">
        <f>IFERROR(VLOOKUP(I92,보도매체!$A:$C,3,FALSE), "")</f>
        <v/>
      </c>
      <c r="N92" s="3"/>
    </row>
    <row r="93" spans="1:14" x14ac:dyDescent="0.3">
      <c r="A93" s="1">
        <v>92</v>
      </c>
      <c r="B93" s="35"/>
      <c r="C93" s="35">
        <f t="shared" si="2"/>
        <v>0</v>
      </c>
      <c r="D93" s="30" t="str">
        <f>IFERROR(VLOOKUP(C93,소속부서!$A$2:$B$20,2,FALSE), "")</f>
        <v/>
      </c>
      <c r="E93" s="12"/>
      <c r="F93" s="37"/>
      <c r="G93" s="37"/>
      <c r="H93" s="40"/>
      <c r="L93" s="36" t="str">
        <f>IFERROR(VLOOKUP(I93,보도매체!$A:$C,2,FALSE), "")</f>
        <v/>
      </c>
      <c r="M93" s="38" t="str">
        <f>IFERROR(VLOOKUP(I93,보도매체!$A:$C,3,FALSE), "")</f>
        <v/>
      </c>
      <c r="N93" s="3"/>
    </row>
    <row r="94" spans="1:14" x14ac:dyDescent="0.3">
      <c r="A94" s="1">
        <v>93</v>
      </c>
      <c r="B94" s="35"/>
      <c r="C94" s="35">
        <f t="shared" si="2"/>
        <v>0</v>
      </c>
      <c r="D94" s="30" t="str">
        <f>IFERROR(VLOOKUP(C94,소속부서!$A$2:$B$20,2,FALSE), "")</f>
        <v/>
      </c>
      <c r="E94" s="12"/>
      <c r="F94" s="37"/>
      <c r="G94" s="37"/>
      <c r="H94" s="40"/>
      <c r="L94" s="36" t="str">
        <f>IFERROR(VLOOKUP(I94,보도매체!$A:$C,2,FALSE), "")</f>
        <v/>
      </c>
      <c r="M94" s="38" t="str">
        <f>IFERROR(VLOOKUP(I94,보도매체!$A:$C,3,FALSE), "")</f>
        <v/>
      </c>
      <c r="N94" s="3"/>
    </row>
    <row r="95" spans="1:14" x14ac:dyDescent="0.3">
      <c r="A95" s="1">
        <v>94</v>
      </c>
      <c r="B95" s="35"/>
      <c r="C95" s="35">
        <f t="shared" si="2"/>
        <v>0</v>
      </c>
      <c r="D95" s="30" t="str">
        <f>IFERROR(VLOOKUP(C95,소속부서!$A$2:$B$20,2,FALSE), "")</f>
        <v/>
      </c>
      <c r="G95" s="37"/>
      <c r="H95" s="40"/>
      <c r="L95" s="36" t="str">
        <f>IFERROR(VLOOKUP(I95,보도매체!$A:$C,2,FALSE), "")</f>
        <v/>
      </c>
      <c r="M95" s="38" t="str">
        <f>IFERROR(VLOOKUP(I95,보도매체!$A:$C,3,FALSE), "")</f>
        <v/>
      </c>
      <c r="N95" s="3"/>
    </row>
    <row r="96" spans="1:14" x14ac:dyDescent="0.3">
      <c r="A96" s="1">
        <v>95</v>
      </c>
      <c r="B96" s="35"/>
      <c r="C96" s="35">
        <f t="shared" si="2"/>
        <v>0</v>
      </c>
      <c r="D96" s="30" t="str">
        <f>IFERROR(VLOOKUP(C96,소속부서!$A$2:$B$20,2,FALSE), "")</f>
        <v/>
      </c>
      <c r="G96" s="37"/>
      <c r="H96" s="40"/>
      <c r="L96" s="36" t="str">
        <f>IFERROR(VLOOKUP(I96,보도매체!$A:$C,2,FALSE), "")</f>
        <v/>
      </c>
      <c r="M96" s="38" t="str">
        <f>IFERROR(VLOOKUP(I96,보도매체!$A:$C,3,FALSE), "")</f>
        <v/>
      </c>
      <c r="N96" s="3"/>
    </row>
    <row r="97" spans="1:14" x14ac:dyDescent="0.3">
      <c r="A97" s="1">
        <v>96</v>
      </c>
      <c r="B97" s="35"/>
      <c r="C97" s="35">
        <f t="shared" si="2"/>
        <v>0</v>
      </c>
      <c r="D97" s="30" t="str">
        <f>IFERROR(VLOOKUP(C97,소속부서!$A$2:$B$20,2,FALSE), "")</f>
        <v/>
      </c>
      <c r="E97" s="35"/>
      <c r="G97" s="37"/>
      <c r="H97" s="40"/>
      <c r="L97" s="36" t="str">
        <f>IFERROR(VLOOKUP(I97,보도매체!$A:$C,2,FALSE), "")</f>
        <v/>
      </c>
      <c r="M97" s="38" t="str">
        <f>IFERROR(VLOOKUP(I97,보도매체!$A:$C,3,FALSE), "")</f>
        <v/>
      </c>
      <c r="N97" s="3"/>
    </row>
    <row r="98" spans="1:14" x14ac:dyDescent="0.3">
      <c r="A98" s="1">
        <v>97</v>
      </c>
      <c r="B98" s="35"/>
      <c r="C98" s="35">
        <f t="shared" si="2"/>
        <v>0</v>
      </c>
      <c r="D98" s="30" t="str">
        <f>IFERROR(VLOOKUP(C98,소속부서!$A$2:$B$20,2,FALSE), "")</f>
        <v/>
      </c>
      <c r="G98" s="37"/>
      <c r="H98" s="40"/>
      <c r="L98" s="36" t="str">
        <f>IFERROR(VLOOKUP(I98,보도매체!$A:$C,2,FALSE), "")</f>
        <v/>
      </c>
      <c r="M98" s="38" t="str">
        <f>IFERROR(VLOOKUP(I98,보도매체!$A:$C,3,FALSE), "")</f>
        <v/>
      </c>
      <c r="N98" s="3"/>
    </row>
    <row r="99" spans="1:14" x14ac:dyDescent="0.3">
      <c r="A99" s="1">
        <v>98</v>
      </c>
      <c r="B99" s="35"/>
      <c r="C99" s="35">
        <f t="shared" si="2"/>
        <v>0</v>
      </c>
      <c r="D99" s="30" t="str">
        <f>IFERROR(VLOOKUP(C99,소속부서!$A$2:$B$20,2,FALSE), "")</f>
        <v/>
      </c>
      <c r="E99" s="12"/>
      <c r="F99" s="37"/>
      <c r="G99" s="44"/>
      <c r="H99" s="56"/>
      <c r="I99" s="55"/>
      <c r="J99" s="33"/>
      <c r="K99" s="57"/>
      <c r="L99" s="36" t="str">
        <f>IFERROR(VLOOKUP(I99,보도매체!$A:$C,2,FALSE), "")</f>
        <v/>
      </c>
      <c r="M99" s="38" t="str">
        <f>IFERROR(VLOOKUP(I99,보도매체!$A:$C,3,FALSE), "")</f>
        <v/>
      </c>
      <c r="N99" s="33"/>
    </row>
    <row r="100" spans="1:14" x14ac:dyDescent="0.3">
      <c r="A100" s="1">
        <v>99</v>
      </c>
      <c r="B100" s="35"/>
      <c r="C100" s="35">
        <f t="shared" si="2"/>
        <v>0</v>
      </c>
      <c r="D100" s="30" t="str">
        <f>IFERROR(VLOOKUP(C100,소속부서!$A$2:$B$20,2,FALSE), "")</f>
        <v/>
      </c>
      <c r="G100" s="37"/>
      <c r="H100" s="58"/>
      <c r="I100" s="55"/>
      <c r="J100" s="33"/>
      <c r="K100" s="55"/>
      <c r="L100" s="36" t="str">
        <f>IFERROR(VLOOKUP(I100,보도매체!$A:$C,2,FALSE), "")</f>
        <v/>
      </c>
      <c r="M100" s="38" t="str">
        <f>IFERROR(VLOOKUP(I100,보도매체!$A:$C,3,FALSE), "")</f>
        <v/>
      </c>
      <c r="N100" s="33"/>
    </row>
    <row r="101" spans="1:14" x14ac:dyDescent="0.3">
      <c r="A101" s="1">
        <v>100</v>
      </c>
      <c r="B101" s="35"/>
      <c r="C101" s="35">
        <f t="shared" si="2"/>
        <v>0</v>
      </c>
      <c r="D101" s="30" t="str">
        <f>IFERROR(VLOOKUP(C101,소속부서!$A$2:$B$20,2,FALSE), "")</f>
        <v/>
      </c>
      <c r="E101" s="12"/>
      <c r="G101" s="37"/>
      <c r="H101" s="59"/>
      <c r="I101" s="55"/>
      <c r="J101" s="33"/>
      <c r="K101" s="60"/>
      <c r="L101" s="36" t="str">
        <f>IFERROR(VLOOKUP(I101,보도매체!$A:$C,2,FALSE), "")</f>
        <v/>
      </c>
      <c r="M101" s="38" t="str">
        <f>IFERROR(VLOOKUP(I101,보도매체!$A:$C,3,FALSE), "")</f>
        <v/>
      </c>
      <c r="N101" s="33"/>
    </row>
    <row r="102" spans="1:14" x14ac:dyDescent="0.3">
      <c r="A102" s="1">
        <v>101</v>
      </c>
      <c r="B102" s="35"/>
      <c r="C102" s="35">
        <f t="shared" si="2"/>
        <v>0</v>
      </c>
      <c r="D102" s="30" t="str">
        <f>IFERROR(VLOOKUP(C102,소속부서!$A$2:$B$20,2,FALSE), "")</f>
        <v/>
      </c>
      <c r="G102" s="44"/>
      <c r="H102" s="54"/>
      <c r="I102" s="55"/>
      <c r="J102" s="33"/>
      <c r="K102" s="55"/>
      <c r="L102" s="36" t="str">
        <f>IFERROR(VLOOKUP(I102,보도매체!$A:$C,2,FALSE), "")</f>
        <v/>
      </c>
      <c r="M102" s="38" t="str">
        <f>IFERROR(VLOOKUP(I102,보도매체!$A:$C,3,FALSE), "")</f>
        <v/>
      </c>
      <c r="N102" s="33"/>
    </row>
    <row r="103" spans="1:14" x14ac:dyDescent="0.3">
      <c r="A103" s="1">
        <v>102</v>
      </c>
      <c r="B103" s="35"/>
      <c r="C103" s="35">
        <f t="shared" si="2"/>
        <v>0</v>
      </c>
      <c r="D103" s="30" t="str">
        <f>IFERROR(VLOOKUP(C103,소속부서!$A$2:$B$20,2,FALSE), "")</f>
        <v/>
      </c>
      <c r="G103" s="37"/>
      <c r="H103" s="54"/>
      <c r="I103" s="55"/>
      <c r="J103" s="33"/>
      <c r="K103" s="44"/>
      <c r="L103" s="36" t="str">
        <f>IFERROR(VLOOKUP(I103,보도매체!$A:$C,2,FALSE), "")</f>
        <v/>
      </c>
      <c r="M103" s="38" t="str">
        <f>IFERROR(VLOOKUP(I103,보도매체!$A:$C,3,FALSE), "")</f>
        <v/>
      </c>
      <c r="N103" s="33"/>
    </row>
    <row r="104" spans="1:14" x14ac:dyDescent="0.3">
      <c r="A104" s="1">
        <v>103</v>
      </c>
      <c r="B104" s="35"/>
      <c r="C104" s="35">
        <f t="shared" si="2"/>
        <v>0</v>
      </c>
      <c r="D104" s="30" t="str">
        <f>IFERROR(VLOOKUP(C104,소속부서!$A$2:$B$20,2,FALSE), "")</f>
        <v/>
      </c>
      <c r="G104" s="44"/>
      <c r="H104" s="58"/>
      <c r="I104" s="55"/>
      <c r="J104" s="33"/>
      <c r="K104" s="55"/>
      <c r="L104" s="36" t="str">
        <f>IFERROR(VLOOKUP(I104,보도매체!$A:$C,2,FALSE), "")</f>
        <v/>
      </c>
      <c r="M104" s="38" t="str">
        <f>IFERROR(VLOOKUP(I104,보도매체!$A:$C,3,FALSE), "")</f>
        <v/>
      </c>
      <c r="N104" s="33"/>
    </row>
    <row r="105" spans="1:14" x14ac:dyDescent="0.3">
      <c r="A105" s="1">
        <v>104</v>
      </c>
      <c r="B105" s="35"/>
      <c r="C105" s="35">
        <f t="shared" si="2"/>
        <v>0</v>
      </c>
      <c r="D105" s="30" t="str">
        <f>IFERROR(VLOOKUP(C105,소속부서!$A$2:$B$20,2,FALSE), "")</f>
        <v/>
      </c>
      <c r="G105" s="44"/>
      <c r="H105" s="58"/>
      <c r="I105" s="55"/>
      <c r="J105" s="33"/>
      <c r="K105" s="55"/>
      <c r="L105" s="36" t="str">
        <f>IFERROR(VLOOKUP(I105,보도매체!$A:$C,2,FALSE), "")</f>
        <v/>
      </c>
      <c r="M105" s="38" t="str">
        <f>IFERROR(VLOOKUP(I105,보도매체!$A:$C,3,FALSE), "")</f>
        <v/>
      </c>
      <c r="N105" s="33"/>
    </row>
    <row r="106" spans="1:14" x14ac:dyDescent="0.3">
      <c r="A106" s="1">
        <v>105</v>
      </c>
      <c r="B106" s="35"/>
      <c r="C106" s="35">
        <f t="shared" si="2"/>
        <v>0</v>
      </c>
      <c r="D106" s="30" t="str">
        <f>IFERROR(VLOOKUP(C106,소속부서!$A$2:$B$20,2,FALSE), "")</f>
        <v/>
      </c>
      <c r="E106" s="12"/>
      <c r="G106" s="37"/>
      <c r="H106" s="58"/>
      <c r="I106" s="55"/>
      <c r="J106" s="33"/>
      <c r="K106" s="37"/>
      <c r="L106" s="36" t="str">
        <f>IFERROR(VLOOKUP(I106,보도매체!$A:$C,2,FALSE), "")</f>
        <v/>
      </c>
      <c r="M106" s="38" t="str">
        <f>IFERROR(VLOOKUP(I106,보도매체!$A:$C,3,FALSE), "")</f>
        <v/>
      </c>
      <c r="N106" s="33"/>
    </row>
    <row r="107" spans="1:14" x14ac:dyDescent="0.3">
      <c r="A107" s="1">
        <v>106</v>
      </c>
      <c r="B107" s="35"/>
      <c r="C107" s="35">
        <f t="shared" si="2"/>
        <v>0</v>
      </c>
      <c r="D107" s="30" t="str">
        <f>IFERROR(VLOOKUP(C107,소속부서!$A$2:$B$20,2,FALSE), "")</f>
        <v/>
      </c>
      <c r="E107" s="35"/>
      <c r="F107" s="37"/>
      <c r="G107" s="37"/>
      <c r="H107" s="42"/>
      <c r="I107" s="55"/>
      <c r="J107" s="33"/>
      <c r="K107" s="61"/>
      <c r="L107" s="36" t="str">
        <f>IFERROR(VLOOKUP(I107,보도매체!$A:$C,2,FALSE), "")</f>
        <v/>
      </c>
      <c r="M107" s="38" t="str">
        <f>IFERROR(VLOOKUP(I107,보도매체!$A:$C,3,FALSE), "")</f>
        <v/>
      </c>
      <c r="N107" s="33"/>
    </row>
    <row r="108" spans="1:14" x14ac:dyDescent="0.3">
      <c r="A108" s="1">
        <v>107</v>
      </c>
      <c r="B108" s="35"/>
      <c r="C108" s="35">
        <f t="shared" si="2"/>
        <v>0</v>
      </c>
      <c r="D108" s="30" t="str">
        <f>IFERROR(VLOOKUP(C108,소속부서!$A$2:$B$20,2,FALSE), "")</f>
        <v/>
      </c>
      <c r="G108" s="37"/>
      <c r="H108" s="40"/>
      <c r="L108" s="36" t="str">
        <f>IFERROR(VLOOKUP(I108,보도매체!$A:$C,2,FALSE), "")</f>
        <v/>
      </c>
      <c r="M108" s="38" t="str">
        <f>IFERROR(VLOOKUP(I108,보도매체!$A:$C,3,FALSE), "")</f>
        <v/>
      </c>
      <c r="N108" s="3"/>
    </row>
    <row r="109" spans="1:14" x14ac:dyDescent="0.3">
      <c r="A109" s="1">
        <v>108</v>
      </c>
      <c r="B109" s="35"/>
      <c r="C109" s="35">
        <f t="shared" si="2"/>
        <v>0</v>
      </c>
      <c r="D109" s="30" t="str">
        <f>IFERROR(VLOOKUP(C109,소속부서!$A$2:$B$20,2,FALSE), "")</f>
        <v/>
      </c>
      <c r="E109" s="35"/>
      <c r="G109" s="37"/>
      <c r="H109" s="40"/>
      <c r="J109" s="41"/>
      <c r="L109" s="36" t="str">
        <f>IFERROR(VLOOKUP(I109,보도매체!$A:$C,2,FALSE), "")</f>
        <v/>
      </c>
      <c r="M109" s="38" t="str">
        <f>IFERROR(VLOOKUP(I109,보도매체!$A:$C,3,FALSE), "")</f>
        <v/>
      </c>
      <c r="N109" s="3"/>
    </row>
    <row r="110" spans="1:14" x14ac:dyDescent="0.3">
      <c r="A110" s="1">
        <v>109</v>
      </c>
      <c r="B110" s="35"/>
      <c r="C110" s="35">
        <f t="shared" si="2"/>
        <v>0</v>
      </c>
      <c r="D110" s="30" t="str">
        <f>IFERROR(VLOOKUP(C110,소속부서!$A$2:$B$20,2,FALSE), "")</f>
        <v/>
      </c>
      <c r="E110" s="45"/>
      <c r="G110" s="37"/>
      <c r="H110" s="40"/>
      <c r="I110" s="37"/>
      <c r="J110" s="41"/>
      <c r="K110" s="28"/>
      <c r="L110" s="36" t="str">
        <f>IFERROR(VLOOKUP(I110,보도매체!$A:$C,2,FALSE), "")</f>
        <v/>
      </c>
      <c r="M110" s="38" t="str">
        <f>IFERROR(VLOOKUP(I110,보도매체!$A:$C,3,FALSE), "")</f>
        <v/>
      </c>
      <c r="N110" s="3"/>
    </row>
    <row r="111" spans="1:14" x14ac:dyDescent="0.3">
      <c r="A111" s="1">
        <v>110</v>
      </c>
      <c r="B111" s="35"/>
      <c r="C111" s="35">
        <f t="shared" si="2"/>
        <v>0</v>
      </c>
      <c r="D111" s="30" t="str">
        <f>IFERROR(VLOOKUP(C111,소속부서!$A$2:$B$20,2,FALSE), "")</f>
        <v/>
      </c>
      <c r="E111" s="12"/>
      <c r="F111" s="37"/>
      <c r="G111" s="37"/>
      <c r="H111" s="40"/>
      <c r="I111" s="37"/>
      <c r="J111" s="41"/>
      <c r="K111" s="28"/>
      <c r="L111" s="36" t="str">
        <f>IFERROR(VLOOKUP(I111,보도매체!$A:$C,2,FALSE), "")</f>
        <v/>
      </c>
      <c r="M111" s="38" t="str">
        <f>IFERROR(VLOOKUP(I111,보도매체!$A:$C,3,FALSE), "")</f>
        <v/>
      </c>
      <c r="N111" s="3"/>
    </row>
    <row r="112" spans="1:14" x14ac:dyDescent="0.3">
      <c r="A112" s="1">
        <v>111</v>
      </c>
      <c r="B112" s="35"/>
      <c r="C112" s="35">
        <f t="shared" si="2"/>
        <v>0</v>
      </c>
      <c r="D112" s="30" t="str">
        <f>IFERROR(VLOOKUP(C112,소속부서!$A$2:$B$20,2,FALSE), "")</f>
        <v/>
      </c>
      <c r="G112" s="44"/>
      <c r="H112" s="40"/>
      <c r="L112" s="36" t="str">
        <f>IFERROR(VLOOKUP(I112,보도매체!$A:$C,2,FALSE), "")</f>
        <v/>
      </c>
      <c r="M112" s="38" t="str">
        <f>IFERROR(VLOOKUP(I112,보도매체!$A:$C,3,FALSE), "")</f>
        <v/>
      </c>
      <c r="N112" s="3"/>
    </row>
    <row r="113" spans="1:14" x14ac:dyDescent="0.3">
      <c r="A113" s="1">
        <v>112</v>
      </c>
      <c r="B113" s="35"/>
      <c r="C113" s="35">
        <f t="shared" si="2"/>
        <v>0</v>
      </c>
      <c r="D113" s="30" t="str">
        <f>IFERROR(VLOOKUP(C113,소속부서!$A$2:$B$20,2,FALSE), "")</f>
        <v/>
      </c>
      <c r="G113" s="37"/>
      <c r="H113" s="40"/>
      <c r="L113" s="36" t="str">
        <f>IFERROR(VLOOKUP(I113,보도매체!$A:$C,2,FALSE), "")</f>
        <v/>
      </c>
      <c r="M113" s="38" t="str">
        <f>IFERROR(VLOOKUP(I113,보도매체!$A:$C,3,FALSE), "")</f>
        <v/>
      </c>
      <c r="N113" s="3"/>
    </row>
    <row r="114" spans="1:14" x14ac:dyDescent="0.3">
      <c r="A114" s="1">
        <v>113</v>
      </c>
      <c r="B114" s="35"/>
      <c r="C114" s="35">
        <f t="shared" si="2"/>
        <v>0</v>
      </c>
      <c r="D114" s="30" t="str">
        <f>IFERROR(VLOOKUP(C114,소속부서!$A$2:$B$20,2,FALSE), "")</f>
        <v/>
      </c>
      <c r="G114" s="37"/>
      <c r="H114" s="40"/>
      <c r="L114" s="36" t="str">
        <f>IFERROR(VLOOKUP(I114,보도매체!$A:$C,2,FALSE), "")</f>
        <v/>
      </c>
      <c r="M114" s="38" t="str">
        <f>IFERROR(VLOOKUP(I114,보도매체!$A:$C,3,FALSE), "")</f>
        <v/>
      </c>
      <c r="N114" s="3"/>
    </row>
    <row r="115" spans="1:14" x14ac:dyDescent="0.3">
      <c r="A115" s="1">
        <v>114</v>
      </c>
      <c r="B115" s="35"/>
      <c r="C115" s="35">
        <f t="shared" si="2"/>
        <v>0</v>
      </c>
      <c r="D115" s="30" t="str">
        <f>IFERROR(VLOOKUP(C115,소속부서!$A$2:$B$20,2,FALSE), "")</f>
        <v/>
      </c>
      <c r="E115" s="35"/>
      <c r="G115" s="37"/>
      <c r="H115" s="40"/>
      <c r="L115" s="36" t="str">
        <f>IFERROR(VLOOKUP(I115,보도매체!$A:$C,2,FALSE), "")</f>
        <v/>
      </c>
      <c r="M115" s="38" t="str">
        <f>IFERROR(VLOOKUP(I115,보도매체!$A:$C,3,FALSE), "")</f>
        <v/>
      </c>
      <c r="N115" s="3"/>
    </row>
    <row r="116" spans="1:14" x14ac:dyDescent="0.3">
      <c r="A116" s="1">
        <v>115</v>
      </c>
      <c r="B116" s="35"/>
      <c r="C116" s="35">
        <f t="shared" si="2"/>
        <v>0</v>
      </c>
      <c r="D116" s="30" t="str">
        <f>IFERROR(VLOOKUP(C116,소속부서!$A$2:$B$20,2,FALSE), "")</f>
        <v/>
      </c>
      <c r="E116" s="35"/>
      <c r="G116" s="37"/>
      <c r="H116" s="40"/>
      <c r="L116" s="36" t="str">
        <f>IFERROR(VLOOKUP(I116,보도매체!$A:$C,2,FALSE), "")</f>
        <v/>
      </c>
      <c r="M116" s="38" t="str">
        <f>IFERROR(VLOOKUP(I116,보도매체!$A:$C,3,FALSE), "")</f>
        <v/>
      </c>
      <c r="N116" s="3"/>
    </row>
    <row r="117" spans="1:14" x14ac:dyDescent="0.3">
      <c r="A117" s="1">
        <v>116</v>
      </c>
      <c r="B117" s="35"/>
      <c r="C117" s="35">
        <f t="shared" si="2"/>
        <v>0</v>
      </c>
      <c r="D117" s="30" t="str">
        <f>IFERROR(VLOOKUP(C117,소속부서!$A$2:$B$20,2,FALSE), "")</f>
        <v/>
      </c>
      <c r="E117" s="35"/>
      <c r="G117" s="37"/>
      <c r="H117" s="40"/>
      <c r="L117" s="36" t="str">
        <f>IFERROR(VLOOKUP(I117,보도매체!$A:$C,2,FALSE), "")</f>
        <v/>
      </c>
      <c r="M117" s="38" t="str">
        <f>IFERROR(VLOOKUP(I117,보도매체!$A:$C,3,FALSE), "")</f>
        <v/>
      </c>
      <c r="N117" s="3"/>
    </row>
    <row r="118" spans="1:14" x14ac:dyDescent="0.3">
      <c r="A118" s="1">
        <v>117</v>
      </c>
      <c r="B118" s="35"/>
      <c r="C118" s="35">
        <f t="shared" si="2"/>
        <v>0</v>
      </c>
      <c r="D118" s="30" t="str">
        <f>IFERROR(VLOOKUP(C118,소속부서!$A$2:$B$20,2,FALSE), "")</f>
        <v/>
      </c>
      <c r="E118" s="12"/>
      <c r="F118" s="37"/>
      <c r="G118" s="44"/>
      <c r="H118" s="56"/>
      <c r="I118" s="55"/>
      <c r="J118" s="33"/>
      <c r="K118" s="57"/>
      <c r="L118" s="36" t="str">
        <f>IFERROR(VLOOKUP(I118,보도매체!$A:$C,2,FALSE), "")</f>
        <v/>
      </c>
      <c r="M118" s="38" t="str">
        <f>IFERROR(VLOOKUP(I118,보도매체!$A:$C,3,FALSE), "")</f>
        <v/>
      </c>
      <c r="N118" s="33"/>
    </row>
    <row r="119" spans="1:14" x14ac:dyDescent="0.3">
      <c r="A119" s="1">
        <v>118</v>
      </c>
      <c r="B119" s="35"/>
      <c r="C119" s="35">
        <f t="shared" si="2"/>
        <v>0</v>
      </c>
      <c r="D119" s="30" t="str">
        <f>IFERROR(VLOOKUP(C119,소속부서!$A$2:$B$20,2,FALSE), "")</f>
        <v/>
      </c>
      <c r="G119" s="37"/>
      <c r="H119" s="58"/>
      <c r="I119" s="55"/>
      <c r="J119" s="33"/>
      <c r="K119" s="55"/>
      <c r="L119" s="36" t="str">
        <f>IFERROR(VLOOKUP(I119,보도매체!$A:$C,2,FALSE), "")</f>
        <v/>
      </c>
      <c r="M119" s="38" t="str">
        <f>IFERROR(VLOOKUP(I119,보도매체!$A:$C,3,FALSE), "")</f>
        <v/>
      </c>
      <c r="N119" s="33"/>
    </row>
    <row r="120" spans="1:14" x14ac:dyDescent="0.3">
      <c r="A120" s="1">
        <v>119</v>
      </c>
      <c r="B120" s="35"/>
      <c r="C120" s="35">
        <f t="shared" si="2"/>
        <v>0</v>
      </c>
      <c r="D120" s="30" t="str">
        <f>IFERROR(VLOOKUP(C120,소속부서!$A$2:$B$20,2,FALSE), "")</f>
        <v/>
      </c>
      <c r="E120" s="12"/>
      <c r="G120" s="37"/>
      <c r="H120" s="59"/>
      <c r="I120" s="55"/>
      <c r="J120" s="33"/>
      <c r="K120" s="60"/>
      <c r="L120" s="36" t="str">
        <f>IFERROR(VLOOKUP(I120,보도매체!$A:$C,2,FALSE), "")</f>
        <v/>
      </c>
      <c r="M120" s="38" t="str">
        <f>IFERROR(VLOOKUP(I120,보도매체!$A:$C,3,FALSE), "")</f>
        <v/>
      </c>
      <c r="N120" s="33"/>
    </row>
    <row r="121" spans="1:14" x14ac:dyDescent="0.3">
      <c r="A121" s="1">
        <v>120</v>
      </c>
      <c r="B121" s="35"/>
      <c r="C121" s="35">
        <f t="shared" si="2"/>
        <v>0</v>
      </c>
      <c r="D121" s="30" t="str">
        <f>IFERROR(VLOOKUP(C121,소속부서!$A$2:$B$20,2,FALSE), "")</f>
        <v/>
      </c>
      <c r="G121" s="44"/>
      <c r="H121" s="54"/>
      <c r="I121" s="55"/>
      <c r="J121" s="33"/>
      <c r="K121" s="55"/>
      <c r="L121" s="36" t="str">
        <f>IFERROR(VLOOKUP(I121,보도매체!$A:$C,2,FALSE), "")</f>
        <v/>
      </c>
      <c r="M121" s="38" t="str">
        <f>IFERROR(VLOOKUP(I121,보도매체!$A:$C,3,FALSE), "")</f>
        <v/>
      </c>
      <c r="N121" s="33"/>
    </row>
    <row r="122" spans="1:14" x14ac:dyDescent="0.3">
      <c r="A122" s="1">
        <v>121</v>
      </c>
      <c r="B122" s="35"/>
      <c r="C122" s="35">
        <f t="shared" si="2"/>
        <v>0</v>
      </c>
      <c r="D122" s="30" t="str">
        <f>IFERROR(VLOOKUP(C122,소속부서!$A$2:$B$20,2,FALSE), "")</f>
        <v/>
      </c>
      <c r="G122" s="37"/>
      <c r="H122" s="54"/>
      <c r="I122" s="55"/>
      <c r="J122" s="33"/>
      <c r="K122" s="44"/>
      <c r="L122" s="36" t="str">
        <f>IFERROR(VLOOKUP(I122,보도매체!$A:$C,2,FALSE), "")</f>
        <v/>
      </c>
      <c r="M122" s="38" t="str">
        <f>IFERROR(VLOOKUP(I122,보도매체!$A:$C,3,FALSE), "")</f>
        <v/>
      </c>
      <c r="N122" s="33"/>
    </row>
    <row r="123" spans="1:14" x14ac:dyDescent="0.3">
      <c r="A123" s="1">
        <v>122</v>
      </c>
      <c r="B123" s="35"/>
      <c r="C123" s="35">
        <f t="shared" si="2"/>
        <v>0</v>
      </c>
      <c r="D123" s="30" t="str">
        <f>IFERROR(VLOOKUP(C123,소속부서!$A$2:$B$20,2,FALSE), "")</f>
        <v/>
      </c>
      <c r="G123" s="44"/>
      <c r="H123" s="58"/>
      <c r="I123" s="55"/>
      <c r="J123" s="33"/>
      <c r="K123" s="55"/>
      <c r="L123" s="36" t="str">
        <f>IFERROR(VLOOKUP(I123,보도매체!$A:$C,2,FALSE), "")</f>
        <v/>
      </c>
      <c r="M123" s="38" t="str">
        <f>IFERROR(VLOOKUP(I123,보도매체!$A:$C,3,FALSE), "")</f>
        <v/>
      </c>
      <c r="N123" s="33"/>
    </row>
    <row r="124" spans="1:14" x14ac:dyDescent="0.3">
      <c r="A124" s="1">
        <v>123</v>
      </c>
      <c r="B124" s="35"/>
      <c r="C124" s="35">
        <f t="shared" si="2"/>
        <v>0</v>
      </c>
      <c r="D124" s="30" t="str">
        <f>IFERROR(VLOOKUP(C124,소속부서!$A$2:$B$20,2,FALSE), "")</f>
        <v/>
      </c>
      <c r="G124" s="44"/>
      <c r="H124" s="58"/>
      <c r="I124" s="55"/>
      <c r="J124" s="33"/>
      <c r="K124" s="55"/>
      <c r="L124" s="36" t="str">
        <f>IFERROR(VLOOKUP(I124,보도매체!$A:$C,2,FALSE), "")</f>
        <v/>
      </c>
      <c r="M124" s="38" t="str">
        <f>IFERROR(VLOOKUP(I124,보도매체!$A:$C,3,FALSE), "")</f>
        <v/>
      </c>
      <c r="N124" s="33"/>
    </row>
    <row r="125" spans="1:14" x14ac:dyDescent="0.3">
      <c r="A125" s="1">
        <v>124</v>
      </c>
      <c r="B125" s="35"/>
      <c r="C125" s="35">
        <f t="shared" si="2"/>
        <v>0</v>
      </c>
      <c r="D125" s="30" t="str">
        <f>IFERROR(VLOOKUP(C125,소속부서!$A$2:$B$20,2,FALSE), "")</f>
        <v/>
      </c>
      <c r="E125" s="12"/>
      <c r="G125" s="37"/>
      <c r="H125" s="58"/>
      <c r="I125" s="55"/>
      <c r="J125" s="33"/>
      <c r="K125" s="37"/>
      <c r="L125" s="36" t="str">
        <f>IFERROR(VLOOKUP(I125,보도매체!$A:$C,2,FALSE), "")</f>
        <v/>
      </c>
      <c r="M125" s="38" t="str">
        <f>IFERROR(VLOOKUP(I125,보도매체!$A:$C,3,FALSE), "")</f>
        <v/>
      </c>
      <c r="N125" s="33"/>
    </row>
    <row r="126" spans="1:14" x14ac:dyDescent="0.3">
      <c r="A126" s="1">
        <v>125</v>
      </c>
      <c r="B126" s="35"/>
      <c r="C126" s="35">
        <f t="shared" si="2"/>
        <v>0</v>
      </c>
      <c r="D126" s="30" t="str">
        <f>IFERROR(VLOOKUP(C126,소속부서!$A$2:$B$20,2,FALSE), "")</f>
        <v/>
      </c>
      <c r="E126" s="35"/>
      <c r="F126" s="37"/>
      <c r="G126" s="37"/>
      <c r="H126" s="42"/>
      <c r="I126" s="55"/>
      <c r="J126" s="33"/>
      <c r="K126" s="61"/>
      <c r="L126" s="36" t="str">
        <f>IFERROR(VLOOKUP(I126,보도매체!$A:$C,2,FALSE), "")</f>
        <v/>
      </c>
      <c r="M126" s="38" t="str">
        <f>IFERROR(VLOOKUP(I126,보도매체!$A:$C,3,FALSE), "")</f>
        <v/>
      </c>
      <c r="N126" s="33"/>
    </row>
    <row r="127" spans="1:14" x14ac:dyDescent="0.3">
      <c r="A127" s="1">
        <v>126</v>
      </c>
      <c r="B127" s="35"/>
      <c r="C127" s="35">
        <f t="shared" si="2"/>
        <v>0</v>
      </c>
      <c r="D127" s="30" t="str">
        <f>IFERROR(VLOOKUP(C127,소속부서!$A$2:$B$20,2,FALSE), "")</f>
        <v/>
      </c>
      <c r="G127" s="37"/>
      <c r="H127" s="46"/>
      <c r="J127" s="41"/>
      <c r="L127" s="36" t="str">
        <f>IFERROR(VLOOKUP(I127,보도매체!$A:$C,2,FALSE), "")</f>
        <v/>
      </c>
      <c r="M127" s="38" t="str">
        <f>IFERROR(VLOOKUP(I127,보도매체!$A:$C,3,FALSE), "")</f>
        <v/>
      </c>
      <c r="N127" s="3"/>
    </row>
    <row r="128" spans="1:14" x14ac:dyDescent="0.3">
      <c r="A128" s="1">
        <v>127</v>
      </c>
      <c r="B128" s="35"/>
      <c r="C128" s="35">
        <f t="shared" si="2"/>
        <v>0</v>
      </c>
      <c r="D128" s="30" t="str">
        <f>IFERROR(VLOOKUP(C128,소속부서!$A$2:$B$20,2,FALSE), "")</f>
        <v/>
      </c>
      <c r="G128" s="37"/>
      <c r="H128" s="46"/>
      <c r="L128" s="36" t="str">
        <f>IFERROR(VLOOKUP(I128,보도매체!$A:$C,2,FALSE), "")</f>
        <v/>
      </c>
      <c r="M128" s="38" t="str">
        <f>IFERROR(VLOOKUP(I128,보도매체!$A:$C,3,FALSE), "")</f>
        <v/>
      </c>
      <c r="N128" s="3"/>
    </row>
    <row r="129" spans="1:14" x14ac:dyDescent="0.3">
      <c r="A129" s="1">
        <v>128</v>
      </c>
      <c r="B129" s="35"/>
      <c r="C129" s="35">
        <f t="shared" ref="C129:C192" si="3">E129</f>
        <v>0</v>
      </c>
      <c r="D129" s="30" t="str">
        <f>IFERROR(VLOOKUP(C129,소속부서!$A$2:$B$20,2,FALSE), "")</f>
        <v/>
      </c>
      <c r="G129" s="37"/>
      <c r="H129" s="46"/>
      <c r="L129" s="36" t="str">
        <f>IFERROR(VLOOKUP(I129,보도매체!$A:$C,2,FALSE), "")</f>
        <v/>
      </c>
      <c r="M129" s="38" t="str">
        <f>IFERROR(VLOOKUP(I129,보도매체!$A:$C,3,FALSE), "")</f>
        <v/>
      </c>
      <c r="N129" s="3"/>
    </row>
    <row r="130" spans="1:14" x14ac:dyDescent="0.3">
      <c r="A130" s="1">
        <v>129</v>
      </c>
      <c r="B130" s="35"/>
      <c r="C130" s="35">
        <f t="shared" si="3"/>
        <v>0</v>
      </c>
      <c r="D130" s="30" t="str">
        <f>IFERROR(VLOOKUP(C130,소속부서!$A$2:$B$20,2,FALSE), "")</f>
        <v/>
      </c>
      <c r="G130" s="37"/>
      <c r="H130" s="46"/>
      <c r="L130" s="36" t="str">
        <f>IFERROR(VLOOKUP(I130,보도매체!$A:$C,2,FALSE), "")</f>
        <v/>
      </c>
      <c r="M130" s="38" t="str">
        <f>IFERROR(VLOOKUP(I130,보도매체!$A:$C,3,FALSE), "")</f>
        <v/>
      </c>
      <c r="N130" s="3"/>
    </row>
    <row r="131" spans="1:14" x14ac:dyDescent="0.3">
      <c r="A131" s="1">
        <v>130</v>
      </c>
      <c r="B131" s="35"/>
      <c r="C131" s="35">
        <f t="shared" si="3"/>
        <v>0</v>
      </c>
      <c r="D131" s="30" t="str">
        <f>IFERROR(VLOOKUP(C131,소속부서!$A$2:$B$20,2,FALSE), "")</f>
        <v/>
      </c>
      <c r="E131" s="35"/>
      <c r="G131" s="37"/>
      <c r="H131" s="46"/>
      <c r="L131" s="36" t="str">
        <f>IFERROR(VLOOKUP(I131,보도매체!$A:$C,2,FALSE), "")</f>
        <v/>
      </c>
      <c r="M131" s="38" t="str">
        <f>IFERROR(VLOOKUP(I131,보도매체!$A:$C,3,FALSE), "")</f>
        <v/>
      </c>
      <c r="N131" s="3"/>
    </row>
    <row r="132" spans="1:14" x14ac:dyDescent="0.3">
      <c r="A132" s="1">
        <v>131</v>
      </c>
      <c r="B132" s="35"/>
      <c r="C132" s="35">
        <f t="shared" si="3"/>
        <v>0</v>
      </c>
      <c r="D132" s="30" t="str">
        <f>IFERROR(VLOOKUP(C132,소속부서!$A$2:$B$20,2,FALSE), "")</f>
        <v/>
      </c>
      <c r="G132" s="37"/>
      <c r="H132" s="46"/>
      <c r="L132" s="36" t="str">
        <f>IFERROR(VLOOKUP(I132,보도매체!$A:$C,2,FALSE), "")</f>
        <v/>
      </c>
      <c r="M132" s="38" t="str">
        <f>IFERROR(VLOOKUP(I132,보도매체!$A:$C,3,FALSE), "")</f>
        <v/>
      </c>
      <c r="N132" s="3"/>
    </row>
    <row r="133" spans="1:14" x14ac:dyDescent="0.3">
      <c r="A133" s="1">
        <v>132</v>
      </c>
      <c r="B133" s="35"/>
      <c r="C133" s="35">
        <f t="shared" si="3"/>
        <v>0</v>
      </c>
      <c r="D133" s="30" t="str">
        <f>IFERROR(VLOOKUP(C133,소속부서!$A$2:$B$20,2,FALSE), "")</f>
        <v/>
      </c>
      <c r="E133" s="35"/>
      <c r="G133" s="37"/>
      <c r="H133" s="46"/>
      <c r="L133" s="36" t="str">
        <f>IFERROR(VLOOKUP(I133,보도매체!$A:$C,2,FALSE), "")</f>
        <v/>
      </c>
      <c r="M133" s="38" t="str">
        <f>IFERROR(VLOOKUP(I133,보도매체!$A:$C,3,FALSE), "")</f>
        <v/>
      </c>
      <c r="N133" s="3"/>
    </row>
    <row r="134" spans="1:14" x14ac:dyDescent="0.3">
      <c r="A134" s="1">
        <v>133</v>
      </c>
      <c r="B134" s="35"/>
      <c r="C134" s="35">
        <f t="shared" si="3"/>
        <v>0</v>
      </c>
      <c r="D134" s="30" t="str">
        <f>IFERROR(VLOOKUP(C134,소속부서!$A$2:$B$20,2,FALSE), "")</f>
        <v/>
      </c>
      <c r="G134" s="37"/>
      <c r="H134" s="46"/>
      <c r="L134" s="36" t="str">
        <f>IFERROR(VLOOKUP(I134,보도매체!$A:$C,2,FALSE), "")</f>
        <v/>
      </c>
      <c r="M134" s="38" t="str">
        <f>IFERROR(VLOOKUP(I134,보도매체!$A:$C,3,FALSE), "")</f>
        <v/>
      </c>
      <c r="N134" s="3"/>
    </row>
    <row r="135" spans="1:14" x14ac:dyDescent="0.3">
      <c r="A135" s="1">
        <v>134</v>
      </c>
      <c r="B135" s="35"/>
      <c r="C135" s="35">
        <f t="shared" si="3"/>
        <v>0</v>
      </c>
      <c r="D135" s="30" t="str">
        <f>IFERROR(VLOOKUP(C135,소속부서!$A$2:$B$20,2,FALSE), "")</f>
        <v/>
      </c>
      <c r="G135" s="37"/>
      <c r="H135" s="46"/>
      <c r="L135" s="36" t="str">
        <f>IFERROR(VLOOKUP(I135,보도매체!$A:$C,2,FALSE), "")</f>
        <v/>
      </c>
      <c r="M135" s="38" t="str">
        <f>IFERROR(VLOOKUP(I135,보도매체!$A:$C,3,FALSE), "")</f>
        <v/>
      </c>
      <c r="N135" s="3"/>
    </row>
    <row r="136" spans="1:14" x14ac:dyDescent="0.3">
      <c r="A136" s="1">
        <v>135</v>
      </c>
      <c r="B136" s="35"/>
      <c r="C136" s="35">
        <f t="shared" si="3"/>
        <v>0</v>
      </c>
      <c r="D136" s="30" t="str">
        <f>IFERROR(VLOOKUP(C136,소속부서!$A$2:$B$20,2,FALSE), "")</f>
        <v/>
      </c>
      <c r="G136" s="37"/>
      <c r="H136" s="46"/>
      <c r="L136" s="36" t="str">
        <f>IFERROR(VLOOKUP(I136,보도매체!$A:$C,2,FALSE), "")</f>
        <v/>
      </c>
      <c r="M136" s="38" t="str">
        <f>IFERROR(VLOOKUP(I136,보도매체!$A:$C,3,FALSE), "")</f>
        <v/>
      </c>
      <c r="N136" s="3"/>
    </row>
    <row r="137" spans="1:14" x14ac:dyDescent="0.3">
      <c r="A137" s="1">
        <v>136</v>
      </c>
      <c r="B137" s="35"/>
      <c r="C137" s="35">
        <f t="shared" si="3"/>
        <v>0</v>
      </c>
      <c r="D137" s="30" t="str">
        <f>IFERROR(VLOOKUP(C137,소속부서!$A$2:$B$20,2,FALSE), "")</f>
        <v/>
      </c>
      <c r="G137" s="37"/>
      <c r="H137" s="46"/>
      <c r="I137" s="37"/>
      <c r="J137" s="41"/>
      <c r="K137" s="28"/>
      <c r="L137" s="36" t="str">
        <f>IFERROR(VLOOKUP(I137,보도매체!$A:$C,2,FALSE), "")</f>
        <v/>
      </c>
      <c r="M137" s="38" t="str">
        <f>IFERROR(VLOOKUP(I137,보도매체!$A:$C,3,FALSE), "")</f>
        <v/>
      </c>
      <c r="N137" s="3"/>
    </row>
    <row r="138" spans="1:14" x14ac:dyDescent="0.3">
      <c r="A138" s="1">
        <v>137</v>
      </c>
      <c r="B138" s="35"/>
      <c r="C138" s="35">
        <f t="shared" si="3"/>
        <v>0</v>
      </c>
      <c r="D138" s="30" t="str">
        <f>IFERROR(VLOOKUP(C138,소속부서!$A$2:$B$20,2,FALSE), "")</f>
        <v/>
      </c>
      <c r="G138" s="37"/>
      <c r="H138" s="46"/>
      <c r="J138" s="41"/>
      <c r="L138" s="36" t="str">
        <f>IFERROR(VLOOKUP(I138,보도매체!$A:$C,2,FALSE), "")</f>
        <v/>
      </c>
      <c r="M138" s="38" t="str">
        <f>IFERROR(VLOOKUP(I138,보도매체!$A:$C,3,FALSE), "")</f>
        <v/>
      </c>
      <c r="N138" s="3"/>
    </row>
    <row r="139" spans="1:14" x14ac:dyDescent="0.3">
      <c r="A139" s="1">
        <v>138</v>
      </c>
      <c r="B139" s="35"/>
      <c r="C139" s="35">
        <f t="shared" si="3"/>
        <v>0</v>
      </c>
      <c r="D139" s="30" t="str">
        <f>IFERROR(VLOOKUP(C139,소속부서!$A$2:$B$20,2,FALSE), "")</f>
        <v/>
      </c>
      <c r="G139" s="37"/>
      <c r="H139" s="46"/>
      <c r="L139" s="36" t="str">
        <f>IFERROR(VLOOKUP(I139,보도매체!$A:$C,2,FALSE), "")</f>
        <v/>
      </c>
      <c r="M139" s="38" t="str">
        <f>IFERROR(VLOOKUP(I139,보도매체!$A:$C,3,FALSE), "")</f>
        <v/>
      </c>
      <c r="N139" s="3"/>
    </row>
    <row r="140" spans="1:14" x14ac:dyDescent="0.3">
      <c r="A140" s="1">
        <v>139</v>
      </c>
      <c r="B140" s="35"/>
      <c r="C140" s="35">
        <f t="shared" si="3"/>
        <v>0</v>
      </c>
      <c r="D140" s="30" t="str">
        <f>IFERROR(VLOOKUP(C140,소속부서!$A$2:$B$20,2,FALSE), "")</f>
        <v/>
      </c>
      <c r="G140" s="37"/>
      <c r="H140" s="40"/>
      <c r="J140" s="41"/>
      <c r="L140" s="36" t="str">
        <f>IFERROR(VLOOKUP(I140,보도매체!$A:$C,2,FALSE), "")</f>
        <v/>
      </c>
      <c r="M140" s="38" t="str">
        <f>IFERROR(VLOOKUP(I140,보도매체!$A:$C,3,FALSE), "")</f>
        <v/>
      </c>
      <c r="N140" s="41"/>
    </row>
    <row r="141" spans="1:14" x14ac:dyDescent="0.3">
      <c r="A141" s="1">
        <v>140</v>
      </c>
      <c r="B141" s="35"/>
      <c r="C141" s="35">
        <f t="shared" si="3"/>
        <v>0</v>
      </c>
      <c r="D141" s="30" t="str">
        <f>IFERROR(VLOOKUP(C141,소속부서!$A$2:$B$20,2,FALSE), "")</f>
        <v/>
      </c>
      <c r="E141" s="45"/>
      <c r="G141" s="37"/>
      <c r="H141" s="40"/>
      <c r="K141" s="1"/>
      <c r="L141" s="36" t="str">
        <f>IFERROR(VLOOKUP(I141,보도매체!$A:$C,2,FALSE), "")</f>
        <v/>
      </c>
      <c r="M141" s="38" t="str">
        <f>IFERROR(VLOOKUP(I141,보도매체!$A:$C,3,FALSE), "")</f>
        <v/>
      </c>
      <c r="N141" s="41"/>
    </row>
    <row r="142" spans="1:14" x14ac:dyDescent="0.3">
      <c r="A142" s="1">
        <v>141</v>
      </c>
      <c r="B142" s="35"/>
      <c r="C142" s="35">
        <f t="shared" si="3"/>
        <v>0</v>
      </c>
      <c r="D142" s="30" t="str">
        <f>IFERROR(VLOOKUP(C142,소속부서!$A$2:$B$20,2,FALSE), "")</f>
        <v/>
      </c>
      <c r="E142" s="35"/>
      <c r="G142" s="37"/>
      <c r="H142" s="40"/>
      <c r="K142" s="1"/>
      <c r="L142" s="36" t="str">
        <f>IFERROR(VLOOKUP(I142,보도매체!$A:$C,2,FALSE), "")</f>
        <v/>
      </c>
      <c r="M142" s="38" t="str">
        <f>IFERROR(VLOOKUP(I142,보도매체!$A:$C,3,FALSE), "")</f>
        <v/>
      </c>
      <c r="N142" s="41"/>
    </row>
    <row r="143" spans="1:14" x14ac:dyDescent="0.3">
      <c r="A143" s="1">
        <v>142</v>
      </c>
      <c r="B143" s="35"/>
      <c r="C143" s="35">
        <f t="shared" si="3"/>
        <v>0</v>
      </c>
      <c r="D143" s="30" t="str">
        <f>IFERROR(VLOOKUP(C143,소속부서!$A$2:$B$20,2,FALSE), "")</f>
        <v/>
      </c>
      <c r="E143" s="35"/>
      <c r="G143" s="37"/>
      <c r="H143" s="40"/>
      <c r="L143" s="36" t="str">
        <f>IFERROR(VLOOKUP(I143,보도매체!$A:$C,2,FALSE), "")</f>
        <v/>
      </c>
      <c r="M143" s="38" t="str">
        <f>IFERROR(VLOOKUP(I143,보도매체!$A:$C,3,FALSE), "")</f>
        <v/>
      </c>
      <c r="N143" s="41"/>
    </row>
    <row r="144" spans="1:14" x14ac:dyDescent="0.3">
      <c r="A144" s="1">
        <v>143</v>
      </c>
      <c r="B144" s="35"/>
      <c r="C144" s="35">
        <f t="shared" si="3"/>
        <v>0</v>
      </c>
      <c r="D144" s="30" t="str">
        <f>IFERROR(VLOOKUP(C144,소속부서!$A$2:$B$20,2,FALSE), "")</f>
        <v/>
      </c>
      <c r="G144" s="37"/>
      <c r="H144" s="40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3"/>
        <v>0</v>
      </c>
      <c r="D145" s="30" t="str">
        <f>IFERROR(VLOOKUP(C145,소속부서!$A$2:$B$20,2,FALSE), "")</f>
        <v/>
      </c>
      <c r="G145" s="37"/>
      <c r="H145" s="40"/>
      <c r="I145" s="37"/>
      <c r="J145" s="4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3"/>
        <v>0</v>
      </c>
      <c r="D146" s="30" t="str">
        <f>IFERROR(VLOOKUP(C146,소속부서!$A$2:$B$20,2,FALSE), "")</f>
        <v/>
      </c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3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3"/>
        <v>0</v>
      </c>
      <c r="D148" s="30" t="str">
        <f>IFERROR(VLOOKUP(C148,소속부서!$A$2:$B$20,2,FALSE), "")</f>
        <v/>
      </c>
      <c r="G148" s="37"/>
      <c r="H148" s="40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3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3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3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3"/>
        <v>0</v>
      </c>
      <c r="D152" s="30" t="str">
        <f>IFERROR(VLOOKUP(C152,소속부서!$A$2:$B$20,2,FALSE), "")</f>
        <v/>
      </c>
      <c r="E152" s="12"/>
      <c r="F152" s="37"/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3"/>
        <v>0</v>
      </c>
      <c r="D153" s="30" t="str">
        <f>IFERROR(VLOOKUP(C153,소속부서!$A$2:$B$20,2,FALSE), "")</f>
        <v/>
      </c>
      <c r="G153" s="44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3"/>
        <v>0</v>
      </c>
      <c r="D154" s="30" t="str">
        <f>IFERROR(VLOOKUP(C154,소속부서!$A$2:$B$20,2,FALSE), "")</f>
        <v/>
      </c>
      <c r="E154" s="12"/>
      <c r="F154" s="37"/>
      <c r="G154" s="44"/>
      <c r="H154" s="56"/>
      <c r="I154" s="55"/>
      <c r="J154" s="33"/>
      <c r="K154" s="57"/>
      <c r="L154" s="36" t="str">
        <f>IFERROR(VLOOKUP(I154,보도매체!$A:$C,2,FALSE), "")</f>
        <v/>
      </c>
      <c r="M154" s="38" t="str">
        <f>IFERROR(VLOOKUP(I154,보도매체!$A:$C,3,FALSE), "")</f>
        <v/>
      </c>
      <c r="N154" s="33"/>
    </row>
    <row r="155" spans="1:14" x14ac:dyDescent="0.3">
      <c r="A155" s="1">
        <v>154</v>
      </c>
      <c r="B155" s="35"/>
      <c r="C155" s="35">
        <f t="shared" si="3"/>
        <v>0</v>
      </c>
      <c r="D155" s="30" t="str">
        <f>IFERROR(VLOOKUP(C155,소속부서!$A$2:$B$20,2,FALSE), "")</f>
        <v/>
      </c>
      <c r="G155" s="37"/>
      <c r="H155" s="58"/>
      <c r="I155" s="55"/>
      <c r="J155" s="33"/>
      <c r="K155" s="55"/>
      <c r="L155" s="36" t="str">
        <f>IFERROR(VLOOKUP(I155,보도매체!$A:$C,2,FALSE), "")</f>
        <v/>
      </c>
      <c r="M155" s="38" t="str">
        <f>IFERROR(VLOOKUP(I155,보도매체!$A:$C,3,FALSE), "")</f>
        <v/>
      </c>
      <c r="N155" s="33"/>
    </row>
    <row r="156" spans="1:14" x14ac:dyDescent="0.3">
      <c r="A156" s="1">
        <v>155</v>
      </c>
      <c r="B156" s="35"/>
      <c r="C156" s="35">
        <f t="shared" si="3"/>
        <v>0</v>
      </c>
      <c r="D156" s="30" t="str">
        <f>IFERROR(VLOOKUP(C156,소속부서!$A$2:$B$20,2,FALSE), "")</f>
        <v/>
      </c>
      <c r="E156" s="12"/>
      <c r="G156" s="37"/>
      <c r="H156" s="59"/>
      <c r="I156" s="55"/>
      <c r="J156" s="33"/>
      <c r="K156" s="6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33"/>
    </row>
    <row r="157" spans="1:14" x14ac:dyDescent="0.3">
      <c r="A157" s="1">
        <v>156</v>
      </c>
      <c r="B157" s="35"/>
      <c r="C157" s="35">
        <f t="shared" si="3"/>
        <v>0</v>
      </c>
      <c r="D157" s="30" t="str">
        <f>IFERROR(VLOOKUP(C157,소속부서!$A$2:$B$20,2,FALSE), "")</f>
        <v/>
      </c>
      <c r="G157" s="44"/>
      <c r="H157" s="54"/>
      <c r="I157" s="55"/>
      <c r="J157" s="33"/>
      <c r="K157" s="55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3"/>
        <v>0</v>
      </c>
      <c r="D158" s="30" t="str">
        <f>IFERROR(VLOOKUP(C158,소속부서!$A$2:$B$20,2,FALSE), "")</f>
        <v/>
      </c>
      <c r="G158" s="37"/>
      <c r="H158" s="54"/>
      <c r="I158" s="55"/>
      <c r="J158" s="33"/>
      <c r="K158" s="44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3"/>
        <v>0</v>
      </c>
      <c r="D159" s="30" t="str">
        <f>IFERROR(VLOOKUP(C159,소속부서!$A$2:$B$20,2,FALSE), "")</f>
        <v/>
      </c>
      <c r="G159" s="44"/>
      <c r="H159" s="58"/>
      <c r="I159" s="55"/>
      <c r="J159" s="33"/>
      <c r="K159" s="55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3"/>
        <v>0</v>
      </c>
      <c r="D160" s="30" t="str">
        <f>IFERROR(VLOOKUP(C160,소속부서!$A$2:$B$20,2,FALSE), "")</f>
        <v/>
      </c>
      <c r="G160" s="44"/>
      <c r="H160" s="58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3"/>
        <v>0</v>
      </c>
      <c r="D161" s="30" t="str">
        <f>IFERROR(VLOOKUP(C161,소속부서!$A$2:$B$20,2,FALSE), "")</f>
        <v/>
      </c>
      <c r="E161" s="12"/>
      <c r="G161" s="37"/>
      <c r="H161" s="58"/>
      <c r="I161" s="55"/>
      <c r="J161" s="33"/>
      <c r="K161" s="37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3"/>
        <v>0</v>
      </c>
      <c r="D162" s="30" t="str">
        <f>IFERROR(VLOOKUP(C162,소속부서!$A$2:$B$20,2,FALSE), "")</f>
        <v/>
      </c>
      <c r="E162" s="35"/>
      <c r="F162" s="37"/>
      <c r="G162" s="37"/>
      <c r="H162" s="42"/>
      <c r="I162" s="55"/>
      <c r="J162" s="33"/>
      <c r="K162" s="61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3"/>
        <v>0</v>
      </c>
      <c r="D163" s="30" t="str">
        <f>IFERROR(VLOOKUP(C163,소속부서!$A$2:$B$20,2,FALSE), "")</f>
        <v/>
      </c>
      <c r="G163" s="37"/>
      <c r="H163" s="46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"/>
    </row>
    <row r="164" spans="1:14" x14ac:dyDescent="0.3">
      <c r="A164" s="1">
        <v>163</v>
      </c>
      <c r="B164" s="35"/>
      <c r="C164" s="35">
        <f t="shared" si="3"/>
        <v>0</v>
      </c>
      <c r="D164" s="30" t="str">
        <f>IFERROR(VLOOKUP(C164,소속부서!$A$2:$B$20,2,FALSE), "")</f>
        <v/>
      </c>
      <c r="G164" s="44"/>
      <c r="H164" s="46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"/>
    </row>
    <row r="165" spans="1:14" x14ac:dyDescent="0.3">
      <c r="A165" s="1">
        <v>164</v>
      </c>
      <c r="B165" s="35"/>
      <c r="C165" s="35">
        <f t="shared" si="3"/>
        <v>0</v>
      </c>
      <c r="D165" s="30" t="str">
        <f>IFERROR(VLOOKUP(C165,소속부서!$A$2:$B$20,2,FALSE), "")</f>
        <v/>
      </c>
      <c r="E165" s="35"/>
      <c r="G165" s="37"/>
      <c r="H165" s="46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"/>
    </row>
    <row r="166" spans="1:14" x14ac:dyDescent="0.3">
      <c r="A166" s="1">
        <v>165</v>
      </c>
      <c r="B166" s="35"/>
      <c r="C166" s="35">
        <f t="shared" si="3"/>
        <v>0</v>
      </c>
      <c r="D166" s="30" t="str">
        <f>IFERROR(VLOOKUP(C166,소속부서!$A$2:$B$20,2,FALSE), "")</f>
        <v/>
      </c>
      <c r="E166" s="35"/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3"/>
        <v>0</v>
      </c>
      <c r="D167" s="30" t="str">
        <f>IFERROR(VLOOKUP(C167,소속부서!$A$2:$B$20,2,FALSE), "")</f>
        <v/>
      </c>
      <c r="G167" s="37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3"/>
        <v>0</v>
      </c>
      <c r="D168" s="30" t="str">
        <f>IFERROR(VLOOKUP(C168,소속부서!$A$2:$B$20,2,FALSE), "")</f>
        <v/>
      </c>
      <c r="E168" s="4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3"/>
        <v>0</v>
      </c>
      <c r="D169" s="30" t="str">
        <f>IFERROR(VLOOKUP(C169,소속부서!$A$2:$B$20,2,FALSE), "")</f>
        <v/>
      </c>
      <c r="E169" s="31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3"/>
        <v>0</v>
      </c>
      <c r="D170" s="30" t="str">
        <f>IFERROR(VLOOKUP(C170,소속부서!$A$2:$B$20,2,FALSE), "")</f>
        <v/>
      </c>
      <c r="G170" s="37"/>
      <c r="H170" s="40"/>
      <c r="J170" s="41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3"/>
        <v>0</v>
      </c>
      <c r="D171" s="30" t="str">
        <f>IFERROR(VLOOKUP(C171,소속부서!$A$2:$B$20,2,FALSE), "")</f>
        <v/>
      </c>
      <c r="E171" s="12"/>
      <c r="G171" s="37"/>
      <c r="H171" s="40"/>
      <c r="J171" s="41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3"/>
        <v>0</v>
      </c>
      <c r="D172" s="30" t="str">
        <f>IFERROR(VLOOKUP(C172,소속부서!$A$2:$B$20,2,FALSE), "")</f>
        <v/>
      </c>
      <c r="E172" s="45"/>
      <c r="G172" s="37"/>
      <c r="H172" s="40"/>
      <c r="J172" s="41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3"/>
        <v>0</v>
      </c>
      <c r="D173" s="30" t="str">
        <f>IFERROR(VLOOKUP(C173,소속부서!$A$2:$B$20,2,FALSE), "")</f>
        <v/>
      </c>
      <c r="G173" s="37"/>
      <c r="H173" s="46"/>
      <c r="I173" s="37"/>
      <c r="J173" s="41"/>
      <c r="K173" s="28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3"/>
        <v>0</v>
      </c>
      <c r="D174" s="30" t="str">
        <f>IFERROR(VLOOKUP(C174,소속부서!$A$2:$B$20,2,FALSE), "")</f>
        <v/>
      </c>
      <c r="G174" s="37"/>
      <c r="H174" s="46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3"/>
        <v>0</v>
      </c>
      <c r="D175" s="30" t="str">
        <f>IFERROR(VLOOKUP(C175,소속부서!$A$2:$B$20,2,FALSE), "")</f>
        <v/>
      </c>
      <c r="G175" s="37"/>
      <c r="H175" s="46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3"/>
        <v>0</v>
      </c>
      <c r="D176" s="30" t="str">
        <f>IFERROR(VLOOKUP(C176,소속부서!$A$2:$B$20,2,FALSE), "")</f>
        <v/>
      </c>
      <c r="G176" s="37"/>
      <c r="H176" s="46"/>
      <c r="J176" s="41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3"/>
        <v>0</v>
      </c>
      <c r="D177" s="30" t="str">
        <f>IFERROR(VLOOKUP(C177,소속부서!$A$2:$B$20,2,FALSE), "")</f>
        <v/>
      </c>
      <c r="G177" s="37"/>
      <c r="H177" s="46"/>
      <c r="J177" s="41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3"/>
        <v>0</v>
      </c>
      <c r="D178" s="30" t="str">
        <f>IFERROR(VLOOKUP(C178,소속부서!$A$2:$B$20,2,FALSE), "")</f>
        <v/>
      </c>
      <c r="G178" s="37"/>
      <c r="H178" s="46"/>
      <c r="J178" s="41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3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3"/>
        <v>0</v>
      </c>
      <c r="D180" s="30" t="str">
        <f>IFERROR(VLOOKUP(C180,소속부서!$A$2:$B$20,2,FALSE), "")</f>
        <v/>
      </c>
      <c r="G180" s="37"/>
      <c r="H180" s="46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3"/>
        <v>0</v>
      </c>
      <c r="D181" s="30" t="str">
        <f>IFERROR(VLOOKUP(C181,소속부서!$A$2:$B$20,2,FALSE), "")</f>
        <v/>
      </c>
      <c r="G181" s="37"/>
      <c r="H181" s="40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3"/>
        <v>0</v>
      </c>
      <c r="D182" s="30" t="str">
        <f>IFERROR(VLOOKUP(C182,소속부서!$A$2:$B$20,2,FALSE), "")</f>
        <v/>
      </c>
      <c r="G182" s="37"/>
      <c r="H182" s="40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3"/>
        <v>0</v>
      </c>
      <c r="D183" s="30" t="str">
        <f>IFERROR(VLOOKUP(C183,소속부서!$A$2:$B$20,2,FALSE), "")</f>
        <v/>
      </c>
      <c r="G183" s="37"/>
      <c r="H183" s="40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3"/>
        <v>0</v>
      </c>
      <c r="D184" s="30" t="str">
        <f>IFERROR(VLOOKUP(C184,소속부서!$A$2:$B$20,2,FALSE), "")</f>
        <v/>
      </c>
      <c r="G184" s="37"/>
      <c r="H184" s="40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3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3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3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3"/>
        <v>0</v>
      </c>
      <c r="D188" s="30" t="str">
        <f>IFERROR(VLOOKUP(C188,소속부서!$A$2:$B$20,2,FALSE), "")</f>
        <v/>
      </c>
      <c r="E188" s="35"/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3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3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3"/>
        <v>0</v>
      </c>
      <c r="D191" s="30" t="str">
        <f>IFERROR(VLOOKUP(C191,소속부서!$A$2:$B$20,2,FALSE), "")</f>
        <v/>
      </c>
      <c r="G191" s="37"/>
      <c r="H191" s="40"/>
      <c r="J191" s="41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3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ref="C193:C256" si="4">E193</f>
        <v>0</v>
      </c>
      <c r="D193" s="30" t="str">
        <f>IFERROR(VLOOKUP(C193,소속부서!$A$2:$B$20,2,FALSE), "")</f>
        <v/>
      </c>
      <c r="G193" s="37"/>
      <c r="H193" s="40"/>
      <c r="I193" s="48"/>
      <c r="J193" s="41"/>
      <c r="K193" s="1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4"/>
        <v>0</v>
      </c>
      <c r="D194" s="30" t="str">
        <f>IFERROR(VLOOKUP(C194,소속부서!$A$2:$B$20,2,FALSE), "")</f>
        <v/>
      </c>
      <c r="G194" s="37"/>
      <c r="H194" s="40"/>
      <c r="I194" s="37"/>
      <c r="K194" s="28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4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si="4"/>
        <v>0</v>
      </c>
      <c r="D196" s="30" t="str">
        <f>IFERROR(VLOOKUP(C196,소속부서!$A$2:$B$20,2,FALSE), "")</f>
        <v/>
      </c>
      <c r="E196" s="35"/>
      <c r="G196" s="37"/>
      <c r="H196" s="40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4"/>
        <v>0</v>
      </c>
      <c r="D197" s="30" t="str">
        <f>IFERROR(VLOOKUP(C197,소속부서!$A$2:$B$20,2,FALSE), "")</f>
        <v/>
      </c>
      <c r="E197" s="35"/>
      <c r="G197" s="37"/>
      <c r="H197" s="40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4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4"/>
        <v>0</v>
      </c>
      <c r="D199" s="30" t="str">
        <f>IFERROR(VLOOKUP(C199,소속부서!$A$2:$B$20,2,FALSE), "")</f>
        <v/>
      </c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4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4"/>
        <v>0</v>
      </c>
      <c r="D201" s="30" t="str">
        <f>IFERROR(VLOOKUP(C201,소속부서!$A$2:$B$20,2,FALSE), "")</f>
        <v/>
      </c>
      <c r="E201" s="35"/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4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4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4"/>
        <v>0</v>
      </c>
      <c r="D204" s="30" t="str">
        <f>IFERROR(VLOOKUP(C204,소속부서!$A$2:$B$20,2,FALSE), "")</f>
        <v/>
      </c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4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4"/>
        <v>0</v>
      </c>
      <c r="D206" s="30" t="str">
        <f>IFERROR(VLOOKUP(C206,소속부서!$A$2:$B$20,2,FALSE), "")</f>
        <v/>
      </c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4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4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4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4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4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4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4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4"/>
        <v>0</v>
      </c>
      <c r="D214" s="30" t="str">
        <f>IFERROR(VLOOKUP(C214,소속부서!$A$2:$B$20,2,FALSE), "")</f>
        <v/>
      </c>
      <c r="G214" s="37"/>
      <c r="H214" s="40"/>
      <c r="J214" s="41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4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4"/>
        <v>0</v>
      </c>
      <c r="D216" s="30" t="str">
        <f>IFERROR(VLOOKUP(C216,소속부서!$A$2:$B$20,2,FALSE), "")</f>
        <v/>
      </c>
      <c r="E216" s="12"/>
      <c r="F216" s="37"/>
      <c r="G216" s="44"/>
      <c r="H216" s="56"/>
      <c r="I216" s="55"/>
      <c r="J216" s="33"/>
      <c r="K216" s="57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3"/>
    </row>
    <row r="217" spans="1:14" x14ac:dyDescent="0.3">
      <c r="A217" s="1">
        <v>216</v>
      </c>
      <c r="B217" s="35"/>
      <c r="C217" s="35">
        <f t="shared" si="4"/>
        <v>0</v>
      </c>
      <c r="D217" s="30" t="str">
        <f>IFERROR(VLOOKUP(C217,소속부서!$A$2:$B$20,2,FALSE), "")</f>
        <v/>
      </c>
      <c r="G217" s="37"/>
      <c r="H217" s="58"/>
      <c r="I217" s="55"/>
      <c r="J217" s="33"/>
      <c r="K217" s="55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3"/>
    </row>
    <row r="218" spans="1:14" x14ac:dyDescent="0.3">
      <c r="A218" s="1">
        <v>217</v>
      </c>
      <c r="B218" s="35"/>
      <c r="C218" s="35">
        <f t="shared" si="4"/>
        <v>0</v>
      </c>
      <c r="D218" s="30" t="str">
        <f>IFERROR(VLOOKUP(C218,소속부서!$A$2:$B$20,2,FALSE), "")</f>
        <v/>
      </c>
      <c r="E218" s="12"/>
      <c r="G218" s="37"/>
      <c r="H218" s="59"/>
      <c r="I218" s="55"/>
      <c r="J218" s="33"/>
      <c r="K218" s="6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3"/>
    </row>
    <row r="219" spans="1:14" x14ac:dyDescent="0.3">
      <c r="A219" s="1">
        <v>218</v>
      </c>
      <c r="B219" s="35"/>
      <c r="C219" s="35">
        <f t="shared" si="4"/>
        <v>0</v>
      </c>
      <c r="D219" s="30" t="str">
        <f>IFERROR(VLOOKUP(C219,소속부서!$A$2:$B$20,2,FALSE), "")</f>
        <v/>
      </c>
      <c r="G219" s="44"/>
      <c r="H219" s="54"/>
      <c r="I219" s="55"/>
      <c r="J219" s="33"/>
      <c r="K219" s="55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4"/>
        <v>0</v>
      </c>
      <c r="D220" s="30" t="str">
        <f>IFERROR(VLOOKUP(C220,소속부서!$A$2:$B$20,2,FALSE), "")</f>
        <v/>
      </c>
      <c r="G220" s="37"/>
      <c r="H220" s="54"/>
      <c r="I220" s="55"/>
      <c r="J220" s="33"/>
      <c r="K220" s="44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4"/>
        <v>0</v>
      </c>
      <c r="D221" s="30" t="str">
        <f>IFERROR(VLOOKUP(C221,소속부서!$A$2:$B$20,2,FALSE), "")</f>
        <v/>
      </c>
      <c r="G221" s="44"/>
      <c r="H221" s="58"/>
      <c r="I221" s="55"/>
      <c r="J221" s="33"/>
      <c r="K221" s="55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4"/>
        <v>0</v>
      </c>
      <c r="D222" s="30" t="str">
        <f>IFERROR(VLOOKUP(C222,소속부서!$A$2:$B$20,2,FALSE), "")</f>
        <v/>
      </c>
      <c r="G222" s="44"/>
      <c r="H222" s="58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4"/>
        <v>0</v>
      </c>
      <c r="D223" s="30" t="str">
        <f>IFERROR(VLOOKUP(C223,소속부서!$A$2:$B$20,2,FALSE), "")</f>
        <v/>
      </c>
      <c r="E223" s="12"/>
      <c r="G223" s="37"/>
      <c r="H223" s="58"/>
      <c r="I223" s="55"/>
      <c r="J223" s="33"/>
      <c r="K223" s="37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4"/>
        <v>0</v>
      </c>
      <c r="D224" s="30" t="str">
        <f>IFERROR(VLOOKUP(C224,소속부서!$A$2:$B$20,2,FALSE), "")</f>
        <v/>
      </c>
      <c r="E224" s="35"/>
      <c r="F224" s="37"/>
      <c r="G224" s="37"/>
      <c r="H224" s="42"/>
      <c r="I224" s="55"/>
      <c r="J224" s="33"/>
      <c r="K224" s="61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4"/>
        <v>0</v>
      </c>
      <c r="D225" s="30" t="str">
        <f>IFERROR(VLOOKUP(C225,소속부서!$A$2:$B$20,2,FALSE), "")</f>
        <v/>
      </c>
      <c r="E225" s="12"/>
      <c r="F225" s="37"/>
      <c r="G225" s="37"/>
      <c r="H225" s="46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"/>
    </row>
    <row r="226" spans="1:14" x14ac:dyDescent="0.3">
      <c r="A226" s="1">
        <v>225</v>
      </c>
      <c r="B226" s="35"/>
      <c r="C226" s="35">
        <f t="shared" si="4"/>
        <v>0</v>
      </c>
      <c r="D226" s="30" t="str">
        <f>IFERROR(VLOOKUP(C226,소속부서!$A$2:$B$20,2,FALSE), "")</f>
        <v/>
      </c>
      <c r="G226" s="37"/>
      <c r="H226" s="46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"/>
    </row>
    <row r="227" spans="1:14" x14ac:dyDescent="0.3">
      <c r="A227" s="1">
        <v>226</v>
      </c>
      <c r="B227" s="35"/>
      <c r="C227" s="35">
        <f t="shared" si="4"/>
        <v>0</v>
      </c>
      <c r="D227" s="30" t="str">
        <f>IFERROR(VLOOKUP(C227,소속부서!$A$2:$B$20,2,FALSE), "")</f>
        <v/>
      </c>
      <c r="G227" s="37"/>
      <c r="H227" s="46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"/>
    </row>
    <row r="228" spans="1:14" x14ac:dyDescent="0.3">
      <c r="A228" s="1">
        <v>227</v>
      </c>
      <c r="B228" s="35"/>
      <c r="C228" s="35">
        <f t="shared" si="4"/>
        <v>0</v>
      </c>
      <c r="D228" s="30" t="str">
        <f>IFERROR(VLOOKUP(C228,소속부서!$A$2:$B$20,2,FALSE), "")</f>
        <v/>
      </c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4"/>
        <v>0</v>
      </c>
      <c r="D229" s="30" t="str">
        <f>IFERROR(VLOOKUP(C229,소속부서!$A$2:$B$20,2,FALSE), "")</f>
        <v/>
      </c>
      <c r="E229" s="35"/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4"/>
        <v>0</v>
      </c>
      <c r="D230" s="30" t="str">
        <f>IFERROR(VLOOKUP(C230,소속부서!$A$2:$B$20,2,FALSE), "")</f>
        <v/>
      </c>
      <c r="E230" s="12"/>
      <c r="F230" s="37"/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4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4"/>
        <v>0</v>
      </c>
      <c r="D232" s="30" t="str">
        <f>IFERROR(VLOOKUP(C232,소속부서!$A$2:$B$20,2,FALSE), "")</f>
        <v/>
      </c>
      <c r="G232" s="37"/>
      <c r="H232" s="49"/>
      <c r="J232" s="33"/>
      <c r="K232" s="28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4"/>
        <v>0</v>
      </c>
      <c r="D233" s="30" t="str">
        <f>IFERROR(VLOOKUP(C233,소속부서!$A$2:$B$20,2,FALSE), "")</f>
        <v/>
      </c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4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4"/>
        <v>0</v>
      </c>
      <c r="D235" s="30" t="str">
        <f>IFERROR(VLOOKUP(C235,소속부서!$A$2:$B$20,2,FALSE), "")</f>
        <v/>
      </c>
      <c r="G235" s="37"/>
      <c r="H235" s="46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4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4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4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4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4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4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4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4"/>
        <v>0</v>
      </c>
      <c r="D243" s="30" t="str">
        <f>IFERROR(VLOOKUP(C243,소속부서!$A$2:$B$20,2,FALSE), "")</f>
        <v/>
      </c>
      <c r="G243" s="37"/>
      <c r="H243" s="40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4"/>
        <v>0</v>
      </c>
      <c r="D244" s="30" t="str">
        <f>IFERROR(VLOOKUP(C244,소속부서!$A$2:$B$20,2,FALSE), "")</f>
        <v/>
      </c>
      <c r="F244" s="50"/>
      <c r="G244" s="37"/>
      <c r="H244" s="40"/>
      <c r="J244" s="41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4"/>
        <v>0</v>
      </c>
      <c r="D245" s="30" t="str">
        <f>IFERROR(VLOOKUP(C245,소속부서!$A$2:$B$20,2,FALSE), "")</f>
        <v/>
      </c>
      <c r="G245" s="37"/>
      <c r="H245" s="40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4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4"/>
        <v>0</v>
      </c>
      <c r="D247" s="30" t="str">
        <f>IFERROR(VLOOKUP(C247,소속부서!$A$2:$B$20,2,FALSE), "")</f>
        <v/>
      </c>
      <c r="G247" s="37"/>
      <c r="H247" s="40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4"/>
        <v>0</v>
      </c>
      <c r="D248" s="30" t="str">
        <f>IFERROR(VLOOKUP(C248,소속부서!$A$2:$B$20,2,FALSE), "")</f>
        <v/>
      </c>
      <c r="F248" s="50"/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4"/>
        <v>0</v>
      </c>
      <c r="D249" s="30" t="str">
        <f>IFERROR(VLOOKUP(C249,소속부서!$A$2:$B$20,2,FALSE), "")</f>
        <v/>
      </c>
      <c r="F249" s="50"/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4"/>
        <v>0</v>
      </c>
      <c r="D250" s="30" t="str">
        <f>IFERROR(VLOOKUP(C250,소속부서!$A$2:$B$20,2,FALSE), "")</f>
        <v/>
      </c>
      <c r="F250" s="50"/>
      <c r="G250" s="37"/>
      <c r="H250" s="40"/>
      <c r="J250" s="41"/>
      <c r="K250" s="28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4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4"/>
        <v>0</v>
      </c>
      <c r="D252" s="30" t="str">
        <f>IFERROR(VLOOKUP(C252,소속부서!$A$2:$B$20,2,FALSE), "")</f>
        <v/>
      </c>
      <c r="G252" s="37"/>
      <c r="H252" s="40"/>
      <c r="J252" s="41"/>
      <c r="K252" s="28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4"/>
        <v>0</v>
      </c>
      <c r="D253" s="30" t="str">
        <f>IFERROR(VLOOKUP(C253,소속부서!$A$2:$B$20,2,FALSE), "")</f>
        <v/>
      </c>
      <c r="E253" s="36"/>
      <c r="G253" s="37"/>
      <c r="H253" s="40"/>
      <c r="I253" s="51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4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4"/>
        <v>0</v>
      </c>
      <c r="D255" s="30" t="str">
        <f>IFERROR(VLOOKUP(C255,소속부서!$A$2:$B$20,2,FALSE), "")</f>
        <v/>
      </c>
      <c r="F255" s="50"/>
      <c r="G255" s="37"/>
      <c r="H255" s="40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4"/>
        <v>0</v>
      </c>
      <c r="D256" s="30" t="str">
        <f>IFERROR(VLOOKUP(C256,소속부서!$A$2:$B$20,2,FALSE), "")</f>
        <v/>
      </c>
      <c r="F256" s="50"/>
      <c r="G256" s="37"/>
      <c r="H256" s="40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ref="C257:C320" si="5">E257</f>
        <v>0</v>
      </c>
      <c r="D257" s="30" t="str">
        <f>IFERROR(VLOOKUP(C257,소속부서!$A$2:$B$20,2,FALSE), "")</f>
        <v/>
      </c>
      <c r="G257" s="37"/>
      <c r="H257" s="40"/>
      <c r="I257" s="37"/>
      <c r="J257" s="41"/>
      <c r="K257" s="28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5"/>
        <v>0</v>
      </c>
      <c r="D258" s="30" t="str">
        <f>IFERROR(VLOOKUP(C258,소속부서!$A$2:$B$20,2,FALSE), "")</f>
        <v/>
      </c>
      <c r="F258" s="50"/>
      <c r="G258" s="37"/>
      <c r="H258" s="46"/>
      <c r="J258" s="41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5"/>
        <v>0</v>
      </c>
      <c r="D259" s="30" t="str">
        <f>IFERROR(VLOOKUP(C259,소속부서!$A$2:$B$20,2,FALSE), "")</f>
        <v/>
      </c>
      <c r="G259" s="37"/>
      <c r="H259" s="46"/>
      <c r="J259" s="41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si="5"/>
        <v>0</v>
      </c>
      <c r="D260" s="30" t="str">
        <f>IFERROR(VLOOKUP(C260,소속부서!$A$2:$B$20,2,FALSE), "")</f>
        <v/>
      </c>
      <c r="F260" s="50"/>
      <c r="G260" s="37"/>
      <c r="H260" s="46"/>
      <c r="I260" s="37"/>
      <c r="K260" s="37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5"/>
        <v>0</v>
      </c>
      <c r="D261" s="30" t="str">
        <f>IFERROR(VLOOKUP(C261,소속부서!$A$2:$B$20,2,FALSE), "")</f>
        <v/>
      </c>
      <c r="G261" s="37"/>
      <c r="H261" s="46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5"/>
        <v>0</v>
      </c>
      <c r="D262" s="30" t="str">
        <f>IFERROR(VLOOKUP(C262,소속부서!$A$2:$B$20,2,FALSE), "")</f>
        <v/>
      </c>
      <c r="G262" s="37"/>
      <c r="H262" s="46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5"/>
        <v>0</v>
      </c>
      <c r="D263" s="30" t="str">
        <f>IFERROR(VLOOKUP(C263,소속부서!$A$2:$B$20,2,FALSE), "")</f>
        <v/>
      </c>
      <c r="G263" s="37"/>
      <c r="H263" s="46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5"/>
        <v>0</v>
      </c>
      <c r="D264" s="30" t="str">
        <f>IFERROR(VLOOKUP(C264,소속부서!$A$2:$B$20,2,FALSE), "")</f>
        <v/>
      </c>
      <c r="F264" s="50"/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5"/>
        <v>0</v>
      </c>
      <c r="D265" s="30" t="str">
        <f>IFERROR(VLOOKUP(C265,소속부서!$A$2:$B$20,2,FALSE), "")</f>
        <v/>
      </c>
      <c r="F265" s="50"/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5"/>
        <v>0</v>
      </c>
      <c r="D266" s="30" t="str">
        <f>IFERROR(VLOOKUP(C266,소속부서!$A$2:$B$20,2,FALSE), "")</f>
        <v/>
      </c>
      <c r="F266" s="50"/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5"/>
        <v>0</v>
      </c>
      <c r="D267" s="30" t="str">
        <f>IFERROR(VLOOKUP(C267,소속부서!$A$2:$B$20,2,FALSE), "")</f>
        <v/>
      </c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5"/>
        <v>0</v>
      </c>
      <c r="D268" s="30" t="str">
        <f>IFERROR(VLOOKUP(C268,소속부서!$A$2:$B$20,2,FALSE), "")</f>
        <v/>
      </c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5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5"/>
        <v>0</v>
      </c>
      <c r="D270" s="30" t="str">
        <f>IFERROR(VLOOKUP(C270,소속부서!$A$2:$B$20,2,FALSE), "")</f>
        <v/>
      </c>
      <c r="F270" s="50"/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5"/>
        <v>0</v>
      </c>
      <c r="D271" s="30" t="str">
        <f>IFERROR(VLOOKUP(C271,소속부서!$A$2:$B$20,2,FALSE), "")</f>
        <v/>
      </c>
      <c r="F271" s="50"/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5"/>
        <v>0</v>
      </c>
      <c r="D272" s="30" t="str">
        <f>IFERROR(VLOOKUP(C272,소속부서!$A$2:$B$20,2,FALSE), "")</f>
        <v/>
      </c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5"/>
        <v>0</v>
      </c>
      <c r="D273" s="30" t="str">
        <f>IFERROR(VLOOKUP(C273,소속부서!$A$2:$B$20,2,FALSE), "")</f>
        <v/>
      </c>
      <c r="G273" s="37"/>
      <c r="H273" s="46"/>
      <c r="K273" s="1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5"/>
        <v>0</v>
      </c>
      <c r="D274" s="30" t="str">
        <f>IFERROR(VLOOKUP(C274,소속부서!$A$2:$B$20,2,FALSE), "")</f>
        <v/>
      </c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5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5"/>
        <v>0</v>
      </c>
      <c r="D276" s="30" t="str">
        <f>IFERROR(VLOOKUP(C276,소속부서!$A$2:$B$20,2,FALSE), "")</f>
        <v/>
      </c>
      <c r="G276" s="37"/>
      <c r="H276" s="46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5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5"/>
        <v>0</v>
      </c>
      <c r="D278" s="30" t="str">
        <f>IFERROR(VLOOKUP(C278,소속부서!$A$2:$B$20,2,FALSE), "")</f>
        <v/>
      </c>
      <c r="G278" s="37"/>
      <c r="H278" s="40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5"/>
        <v>0</v>
      </c>
      <c r="D279" s="30" t="str">
        <f>IFERROR(VLOOKUP(C279,소속부서!$A$2:$B$20,2,FALSE), "")</f>
        <v/>
      </c>
      <c r="G279" s="37"/>
      <c r="H279" s="40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5"/>
        <v>0</v>
      </c>
      <c r="D280" s="30" t="str">
        <f>IFERROR(VLOOKUP(C280,소속부서!$A$2:$B$20,2,FALSE), "")</f>
        <v/>
      </c>
      <c r="G280" s="37"/>
      <c r="H280" s="40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5"/>
        <v>0</v>
      </c>
      <c r="D281" s="30" t="str">
        <f>IFERROR(VLOOKUP(C281,소속부서!$A$2:$B$20,2,FALSE), "")</f>
        <v/>
      </c>
      <c r="G281" s="37"/>
      <c r="H281" s="40"/>
      <c r="I281" s="37"/>
      <c r="K281" s="28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5"/>
        <v>0</v>
      </c>
      <c r="D282" s="30" t="str">
        <f>IFERROR(VLOOKUP(C282,소속부서!$A$2:$B$20,2,FALSE), "")</f>
        <v/>
      </c>
      <c r="F282" s="50"/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5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5"/>
        <v>0</v>
      </c>
      <c r="D284" s="30" t="str">
        <f>IFERROR(VLOOKUP(C284,소속부서!$A$2:$B$20,2,FALSE), "")</f>
        <v/>
      </c>
      <c r="E284" s="45"/>
      <c r="G284" s="37"/>
      <c r="H284" s="40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5"/>
        <v>0</v>
      </c>
      <c r="D285" s="30" t="str">
        <f>IFERROR(VLOOKUP(C285,소속부서!$A$2:$B$20,2,FALSE), "")</f>
        <v/>
      </c>
      <c r="G285" s="37"/>
      <c r="H285" s="40"/>
      <c r="J285" s="33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5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5"/>
        <v>0</v>
      </c>
      <c r="D287" s="30" t="str">
        <f>IFERROR(VLOOKUP(C287,소속부서!$A$2:$B$20,2,FALSE), "")</f>
        <v/>
      </c>
      <c r="F287" s="50"/>
      <c r="G287" s="37"/>
      <c r="H287" s="40"/>
      <c r="J287" s="33"/>
      <c r="K287" s="28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5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5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5"/>
        <v>0</v>
      </c>
      <c r="D290" s="30" t="str">
        <f>IFERROR(VLOOKUP(C290,소속부서!$A$2:$B$20,2,FALSE), "")</f>
        <v/>
      </c>
      <c r="G290" s="37"/>
      <c r="H290" s="40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5"/>
        <v>0</v>
      </c>
      <c r="D291" s="30" t="str">
        <f>IFERROR(VLOOKUP(C291,소속부서!$A$2:$B$20,2,FALSE), "")</f>
        <v/>
      </c>
      <c r="G291" s="37"/>
      <c r="H291" s="40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5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5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5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5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5"/>
        <v>0</v>
      </c>
      <c r="D296" s="30" t="str">
        <f>IFERROR(VLOOKUP(C296,소속부서!$A$2:$B$20,2,FALSE), "")</f>
        <v/>
      </c>
      <c r="F296" s="50"/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5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5"/>
        <v>0</v>
      </c>
      <c r="D298" s="30" t="str">
        <f>IFERROR(VLOOKUP(C298,소속부서!$A$2:$B$20,2,FALSE), "")</f>
        <v/>
      </c>
      <c r="E298" s="12"/>
      <c r="F298" s="50"/>
      <c r="G298" s="37"/>
      <c r="H298" s="40"/>
      <c r="J298" s="41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5"/>
        <v>0</v>
      </c>
      <c r="D299" s="30" t="str">
        <f>IFERROR(VLOOKUP(C299,소속부서!$A$2:$B$20,2,FALSE), "")</f>
        <v/>
      </c>
      <c r="G299" s="37"/>
      <c r="H299" s="40"/>
      <c r="J299" s="41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5"/>
        <v>0</v>
      </c>
      <c r="D300" s="30" t="str">
        <f>IFERROR(VLOOKUP(C300,소속부서!$A$2:$B$20,2,FALSE), "")</f>
        <v/>
      </c>
      <c r="G300" s="37"/>
      <c r="H300" s="40"/>
      <c r="I300" s="37"/>
      <c r="K300" s="28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5"/>
        <v>0</v>
      </c>
      <c r="D301" s="30" t="str">
        <f>IFERROR(VLOOKUP(C301,소속부서!$A$2:$B$20,2,FALSE), "")</f>
        <v/>
      </c>
      <c r="E301" s="12"/>
      <c r="G301" s="37"/>
      <c r="H301" s="40"/>
      <c r="I301" s="37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5"/>
        <v>0</v>
      </c>
      <c r="D302" s="30" t="str">
        <f>IFERROR(VLOOKUP(C302,소속부서!$A$2:$B$20,2,FALSE), "")</f>
        <v/>
      </c>
      <c r="E302" s="30"/>
      <c r="G302" s="37"/>
      <c r="H302" s="40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5"/>
        <v>0</v>
      </c>
      <c r="D303" s="30" t="str">
        <f>IFERROR(VLOOKUP(C303,소속부서!$A$2:$B$20,2,FALSE), "")</f>
        <v/>
      </c>
      <c r="E303" s="35"/>
      <c r="F303" s="39"/>
      <c r="G303" s="37"/>
      <c r="H303" s="40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5"/>
        <v>0</v>
      </c>
      <c r="D304" s="30" t="str">
        <f>IFERROR(VLOOKUP(C304,소속부서!$A$2:$B$20,2,FALSE), "")</f>
        <v/>
      </c>
      <c r="G304" s="37"/>
      <c r="H304" s="40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5"/>
        <v>0</v>
      </c>
      <c r="D305" s="30" t="str">
        <f>IFERROR(VLOOKUP(C305,소속부서!$A$2:$B$20,2,FALSE), "")</f>
        <v/>
      </c>
      <c r="G305" s="37"/>
      <c r="H305" s="40"/>
      <c r="I305" s="37"/>
      <c r="J305" s="33"/>
      <c r="K305" s="28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5"/>
        <v>0</v>
      </c>
      <c r="D306" s="30" t="str">
        <f>IFERROR(VLOOKUP(C306,소속부서!$A$2:$B$20,2,FALSE), "")</f>
        <v/>
      </c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5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5"/>
        <v>0</v>
      </c>
      <c r="D308" s="30" t="str">
        <f>IFERROR(VLOOKUP(C308,소속부서!$A$2:$B$20,2,FALSE), "")</f>
        <v/>
      </c>
      <c r="G308" s="37"/>
      <c r="H308" s="40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5"/>
        <v>0</v>
      </c>
      <c r="D309" s="30" t="str">
        <f>IFERROR(VLOOKUP(C309,소속부서!$A$2:$B$20,2,FALSE), "")</f>
        <v/>
      </c>
      <c r="E309" s="12"/>
      <c r="F309" s="37"/>
      <c r="G309" s="37"/>
      <c r="H309" s="40"/>
      <c r="K309" s="28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5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5"/>
        <v>0</v>
      </c>
      <c r="D311" s="30" t="str">
        <f>IFERROR(VLOOKUP(C311,소속부서!$A$2:$B$20,2,FALSE), "")</f>
        <v/>
      </c>
      <c r="E311" s="45"/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5"/>
        <v>0</v>
      </c>
      <c r="D312" s="30" t="str">
        <f>IFERROR(VLOOKUP(C312,소속부서!$A$2:$B$20,2,FALSE), "")</f>
        <v/>
      </c>
      <c r="G312" s="37"/>
      <c r="H312" s="40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5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5"/>
        <v>0</v>
      </c>
      <c r="D314" s="30" t="str">
        <f>IFERROR(VLOOKUP(C314,소속부서!$A$2:$B$20,2,FALSE), "")</f>
        <v/>
      </c>
      <c r="E314" s="12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5"/>
        <v>0</v>
      </c>
      <c r="D315" s="30" t="str">
        <f>IFERROR(VLOOKUP(C315,소속부서!$A$2:$B$20,2,FALSE), "")</f>
        <v/>
      </c>
      <c r="E315" s="45"/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5"/>
        <v>0</v>
      </c>
      <c r="D316" s="30" t="str">
        <f>IFERROR(VLOOKUP(C316,소속부서!$A$2:$B$20,2,FALSE), "")</f>
        <v/>
      </c>
      <c r="E316" s="12"/>
      <c r="F316" s="37"/>
      <c r="G316" s="44"/>
      <c r="H316" s="56"/>
      <c r="I316" s="55"/>
      <c r="J316" s="33"/>
      <c r="K316" s="57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3"/>
    </row>
    <row r="317" spans="1:14" x14ac:dyDescent="0.3">
      <c r="A317" s="1">
        <v>316</v>
      </c>
      <c r="B317" s="35"/>
      <c r="C317" s="35">
        <f t="shared" si="5"/>
        <v>0</v>
      </c>
      <c r="D317" s="30" t="str">
        <f>IFERROR(VLOOKUP(C317,소속부서!$A$2:$B$20,2,FALSE), "")</f>
        <v/>
      </c>
      <c r="G317" s="37"/>
      <c r="H317" s="58"/>
      <c r="I317" s="55"/>
      <c r="J317" s="33"/>
      <c r="K317" s="55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3"/>
    </row>
    <row r="318" spans="1:14" x14ac:dyDescent="0.3">
      <c r="A318" s="1">
        <v>317</v>
      </c>
      <c r="B318" s="35"/>
      <c r="C318" s="35">
        <f t="shared" si="5"/>
        <v>0</v>
      </c>
      <c r="D318" s="30" t="str">
        <f>IFERROR(VLOOKUP(C318,소속부서!$A$2:$B$20,2,FALSE), "")</f>
        <v/>
      </c>
      <c r="E318" s="12"/>
      <c r="G318" s="37"/>
      <c r="H318" s="59"/>
      <c r="I318" s="55"/>
      <c r="J318" s="33"/>
      <c r="K318" s="6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3"/>
    </row>
    <row r="319" spans="1:14" x14ac:dyDescent="0.3">
      <c r="A319" s="1">
        <v>318</v>
      </c>
      <c r="B319" s="35"/>
      <c r="C319" s="35">
        <f t="shared" si="5"/>
        <v>0</v>
      </c>
      <c r="D319" s="30" t="str">
        <f>IFERROR(VLOOKUP(C319,소속부서!$A$2:$B$20,2,FALSE), "")</f>
        <v/>
      </c>
      <c r="G319" s="44"/>
      <c r="H319" s="54"/>
      <c r="I319" s="55"/>
      <c r="J319" s="33"/>
      <c r="K319" s="55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5"/>
        <v>0</v>
      </c>
      <c r="D320" s="30" t="str">
        <f>IFERROR(VLOOKUP(C320,소속부서!$A$2:$B$20,2,FALSE), "")</f>
        <v/>
      </c>
      <c r="G320" s="37"/>
      <c r="H320" s="54"/>
      <c r="I320" s="55"/>
      <c r="J320" s="33"/>
      <c r="K320" s="44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ref="C321:C384" si="6">E321</f>
        <v>0</v>
      </c>
      <c r="D321" s="30" t="str">
        <f>IFERROR(VLOOKUP(C321,소속부서!$A$2:$B$20,2,FALSE), "")</f>
        <v/>
      </c>
      <c r="G321" s="44"/>
      <c r="H321" s="58"/>
      <c r="I321" s="55"/>
      <c r="J321" s="33"/>
      <c r="K321" s="55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6"/>
        <v>0</v>
      </c>
      <c r="D322" s="30" t="str">
        <f>IFERROR(VLOOKUP(C322,소속부서!$A$2:$B$20,2,FALSE), "")</f>
        <v/>
      </c>
      <c r="G322" s="44"/>
      <c r="H322" s="58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6"/>
        <v>0</v>
      </c>
      <c r="D323" s="30" t="str">
        <f>IFERROR(VLOOKUP(C323,소속부서!$A$2:$B$20,2,FALSE), "")</f>
        <v/>
      </c>
      <c r="E323" s="12"/>
      <c r="G323" s="37"/>
      <c r="H323" s="58"/>
      <c r="I323" s="55"/>
      <c r="J323" s="33"/>
      <c r="K323" s="37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si="6"/>
        <v>0</v>
      </c>
      <c r="D324" s="30" t="str">
        <f>IFERROR(VLOOKUP(C324,소속부서!$A$2:$B$20,2,FALSE), "")</f>
        <v/>
      </c>
      <c r="E324" s="35"/>
      <c r="F324" s="37"/>
      <c r="G324" s="37"/>
      <c r="H324" s="42"/>
      <c r="I324" s="55"/>
      <c r="J324" s="33"/>
      <c r="K324" s="61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6"/>
        <v>0</v>
      </c>
      <c r="D325" s="30" t="str">
        <f>IFERROR(VLOOKUP(C325,소속부서!$A$2:$B$20,2,FALSE), "")</f>
        <v/>
      </c>
      <c r="E325" s="52"/>
      <c r="F325" s="39"/>
      <c r="G325" s="37"/>
      <c r="H325" s="46"/>
      <c r="I325" s="37"/>
      <c r="J325" s="33"/>
      <c r="K325" s="28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"/>
    </row>
    <row r="326" spans="1:14" x14ac:dyDescent="0.3">
      <c r="A326" s="1">
        <v>325</v>
      </c>
      <c r="B326" s="35"/>
      <c r="C326" s="35">
        <f t="shared" si="6"/>
        <v>0</v>
      </c>
      <c r="D326" s="30" t="str">
        <f>IFERROR(VLOOKUP(C326,소속부서!$A$2:$B$20,2,FALSE), "")</f>
        <v/>
      </c>
      <c r="E326" s="52"/>
      <c r="F326" s="39"/>
      <c r="G326" s="37"/>
      <c r="H326" s="46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"/>
    </row>
    <row r="327" spans="1:14" x14ac:dyDescent="0.3">
      <c r="A327" s="1">
        <v>326</v>
      </c>
      <c r="B327" s="35"/>
      <c r="C327" s="35">
        <f t="shared" si="6"/>
        <v>0</v>
      </c>
      <c r="D327" s="30" t="str">
        <f>IFERROR(VLOOKUP(C327,소속부서!$A$2:$B$20,2,FALSE), "")</f>
        <v/>
      </c>
      <c r="E327" s="12"/>
      <c r="G327" s="37"/>
      <c r="H327" s="46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"/>
    </row>
    <row r="328" spans="1:14" x14ac:dyDescent="0.3">
      <c r="A328" s="1">
        <v>327</v>
      </c>
      <c r="B328" s="35"/>
      <c r="C328" s="35">
        <f t="shared" si="6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6"/>
        <v>0</v>
      </c>
      <c r="D329" s="30" t="str">
        <f>IFERROR(VLOOKUP(C329,소속부서!$A$2:$B$20,2,FALSE), "")</f>
        <v/>
      </c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6"/>
        <v>0</v>
      </c>
      <c r="D330" s="30" t="str">
        <f>IFERROR(VLOOKUP(C330,소속부서!$A$2:$B$20,2,FALSE), "")</f>
        <v/>
      </c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6"/>
        <v>0</v>
      </c>
      <c r="D331" s="30" t="str">
        <f>IFERROR(VLOOKUP(C331,소속부서!$A$2:$B$20,2,FALSE), "")</f>
        <v/>
      </c>
      <c r="F331" s="50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6"/>
        <v>0</v>
      </c>
      <c r="D332" s="30" t="str">
        <f>IFERROR(VLOOKUP(C332,소속부서!$A$2:$B$20,2,FALSE), "")</f>
        <v/>
      </c>
      <c r="G332" s="37"/>
      <c r="H332" s="40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6"/>
        <v>0</v>
      </c>
      <c r="D333" s="30" t="str">
        <f>IFERROR(VLOOKUP(C333,소속부서!$A$2:$B$20,2,FALSE), "")</f>
        <v/>
      </c>
      <c r="E333" s="52"/>
      <c r="F333" s="39"/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6"/>
        <v>0</v>
      </c>
      <c r="D334" s="30" t="str">
        <f>IFERROR(VLOOKUP(C334,소속부서!$A$2:$B$20,2,FALSE), "")</f>
        <v/>
      </c>
      <c r="E334" s="52"/>
      <c r="F334" s="39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6"/>
        <v>0</v>
      </c>
      <c r="D335" s="30" t="str">
        <f>IFERROR(VLOOKUP(C335,소속부서!$A$2:$B$20,2,FALSE), "")</f>
        <v/>
      </c>
      <c r="E335" s="52"/>
      <c r="F335" s="39"/>
      <c r="G335" s="37"/>
      <c r="H335" s="46"/>
      <c r="I335" s="37"/>
      <c r="K335" s="28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6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6"/>
        <v>0</v>
      </c>
      <c r="D337" s="30" t="str">
        <f>IFERROR(VLOOKUP(C337,소속부서!$A$2:$B$20,2,FALSE), "")</f>
        <v/>
      </c>
      <c r="E337" s="52"/>
      <c r="F337" s="39"/>
      <c r="G337" s="37"/>
      <c r="H337" s="49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6"/>
        <v>0</v>
      </c>
      <c r="D338" s="30" t="str">
        <f>IFERROR(VLOOKUP(C338,소속부서!$A$2:$B$20,2,FALSE), "")</f>
        <v/>
      </c>
      <c r="E338" s="12"/>
      <c r="G338" s="37"/>
      <c r="H338" s="46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6"/>
        <v>0</v>
      </c>
      <c r="D339" s="30" t="str">
        <f>IFERROR(VLOOKUP(C339,소속부서!$A$2:$B$20,2,FALSE), "")</f>
        <v/>
      </c>
      <c r="G339" s="37"/>
      <c r="H339" s="46"/>
      <c r="J339" s="41"/>
      <c r="K339" s="28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6"/>
        <v>0</v>
      </c>
      <c r="D340" s="30" t="str">
        <f>IFERROR(VLOOKUP(C340,소속부서!$A$2:$B$20,2,FALSE), "")</f>
        <v/>
      </c>
      <c r="E340" s="12"/>
      <c r="G340" s="37"/>
      <c r="H340" s="46"/>
      <c r="I340" s="37"/>
      <c r="J340" s="41"/>
      <c r="K340" s="28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6"/>
        <v>0</v>
      </c>
      <c r="D341" s="30" t="str">
        <f>IFERROR(VLOOKUP(C341,소속부서!$A$2:$B$20,2,FALSE), "")</f>
        <v/>
      </c>
      <c r="E341" s="52"/>
      <c r="F341" s="39"/>
      <c r="G341" s="37"/>
      <c r="H341" s="40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6"/>
        <v>0</v>
      </c>
      <c r="D342" s="30" t="str">
        <f>IFERROR(VLOOKUP(C342,소속부서!$A$2:$B$20,2,FALSE), "")</f>
        <v/>
      </c>
      <c r="E342" s="52"/>
      <c r="F342" s="39"/>
      <c r="G342" s="37"/>
      <c r="H342" s="40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6"/>
        <v>0</v>
      </c>
      <c r="D343" s="30" t="str">
        <f>IFERROR(VLOOKUP(C343,소속부서!$A$2:$B$20,2,FALSE), "")</f>
        <v/>
      </c>
      <c r="E343" s="52"/>
      <c r="F343" s="39"/>
      <c r="G343" s="37"/>
      <c r="H343" s="40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6"/>
        <v>0</v>
      </c>
      <c r="D344" s="30" t="str">
        <f>IFERROR(VLOOKUP(C344,소속부서!$A$2:$B$20,2,FALSE), "")</f>
        <v/>
      </c>
      <c r="E344" s="52"/>
      <c r="F344" s="39"/>
      <c r="G344" s="37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6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6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6"/>
        <v>0</v>
      </c>
      <c r="D347" s="30" t="str">
        <f>IFERROR(VLOOKUP(C347,소속부서!$A$2:$B$20,2,FALSE), "")</f>
        <v/>
      </c>
      <c r="E347" s="52"/>
      <c r="F347" s="39"/>
      <c r="G347" s="37"/>
      <c r="H347" s="40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6"/>
        <v>0</v>
      </c>
      <c r="D348" s="30" t="str">
        <f>IFERROR(VLOOKUP(C348,소속부서!$A$2:$B$20,2,FALSE), "")</f>
        <v/>
      </c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6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6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6"/>
        <v>0</v>
      </c>
      <c r="D351" s="30" t="str">
        <f>IFERROR(VLOOKUP(C351,소속부서!$A$2:$B$20,2,FALSE), "")</f>
        <v/>
      </c>
      <c r="E351" s="52"/>
      <c r="F351" s="39"/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6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6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6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6"/>
        <v>0</v>
      </c>
      <c r="D355" s="30" t="str">
        <f>IFERROR(VLOOKUP(C355,소속부서!$A$2:$B$20,2,FALSE), "")</f>
        <v/>
      </c>
      <c r="E355" s="12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6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6"/>
        <v>0</v>
      </c>
      <c r="D357" s="30" t="str">
        <f>IFERROR(VLOOKUP(C357,소속부서!$A$2:$B$20,2,FALSE), "")</f>
        <v/>
      </c>
      <c r="E357" s="30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6"/>
        <v>0</v>
      </c>
      <c r="D358" s="30" t="str">
        <f>IFERROR(VLOOKUP(C358,소속부서!$A$2:$B$20,2,FALSE), "")</f>
        <v/>
      </c>
      <c r="E358" s="52"/>
      <c r="F358" s="39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6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6"/>
        <v>0</v>
      </c>
      <c r="D360" s="30" t="str">
        <f>IFERROR(VLOOKUP(C360,소속부서!$A$2:$B$20,2,FALSE), "")</f>
        <v/>
      </c>
      <c r="E360" s="52"/>
      <c r="F360" s="39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6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6"/>
        <v>0</v>
      </c>
      <c r="D362" s="30" t="str">
        <f>IFERROR(VLOOKUP(C362,소속부서!$A$2:$B$20,2,FALSE), "")</f>
        <v/>
      </c>
      <c r="E362" s="30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6"/>
        <v>0</v>
      </c>
      <c r="D363" s="30" t="str">
        <f>IFERROR(VLOOKUP(C363,소속부서!$A$2:$B$20,2,FALSE), "")</f>
        <v/>
      </c>
      <c r="E363" s="52"/>
      <c r="F363" s="39"/>
      <c r="G363" s="37"/>
      <c r="H363" s="46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6"/>
        <v>0</v>
      </c>
      <c r="D364" s="30" t="str">
        <f>IFERROR(VLOOKUP(C364,소속부서!$A$2:$B$20,2,FALSE), "")</f>
        <v/>
      </c>
      <c r="E364" s="52"/>
      <c r="F364" s="39"/>
      <c r="G364" s="37"/>
      <c r="H364" s="46"/>
      <c r="I364" s="37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6"/>
        <v>0</v>
      </c>
      <c r="D365" s="30" t="str">
        <f>IFERROR(VLOOKUP(C365,소속부서!$A$2:$B$20,2,FALSE), "")</f>
        <v/>
      </c>
      <c r="E365" s="52"/>
      <c r="F365" s="39"/>
      <c r="G365" s="37"/>
      <c r="H365" s="46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6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6"/>
        <v>0</v>
      </c>
      <c r="D367" s="30" t="str">
        <f>IFERROR(VLOOKUP(C367,소속부서!$A$2:$B$20,2,FALSE), "")</f>
        <v/>
      </c>
      <c r="E367" s="52"/>
      <c r="F367" s="39"/>
      <c r="G367" s="37"/>
      <c r="H367" s="49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6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6"/>
        <v>0</v>
      </c>
      <c r="D369" s="30" t="str">
        <f>IFERROR(VLOOKUP(C369,소속부서!$A$2:$B$20,2,FALSE), "")</f>
        <v/>
      </c>
      <c r="E369" s="12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6"/>
        <v>0</v>
      </c>
      <c r="D370" s="30" t="str">
        <f>IFERROR(VLOOKUP(C370,소속부서!$A$2:$B$20,2,FALSE), "")</f>
        <v/>
      </c>
      <c r="G370" s="37"/>
      <c r="H370" s="46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6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6"/>
        <v>0</v>
      </c>
      <c r="D372" s="30" t="str">
        <f>IFERROR(VLOOKUP(C372,소속부서!$A$2:$B$20,2,FALSE), "")</f>
        <v/>
      </c>
      <c r="E372" s="52"/>
      <c r="F372" s="39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6"/>
        <v>0</v>
      </c>
      <c r="D373" s="30" t="str">
        <f>IFERROR(VLOOKUP(C373,소속부서!$A$2:$B$20,2,FALSE), "")</f>
        <v/>
      </c>
      <c r="E373" s="52"/>
      <c r="F373" s="39"/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6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K374" s="1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6"/>
        <v>0</v>
      </c>
      <c r="D375" s="30" t="str">
        <f>IFERROR(VLOOKUP(C375,소속부서!$A$2:$B$20,2,FALSE), "")</f>
        <v/>
      </c>
      <c r="E375" s="12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6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6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6"/>
        <v>0</v>
      </c>
      <c r="D378" s="30" t="str">
        <f>IFERROR(VLOOKUP(C378,소속부서!$A$2:$B$20,2,FALSE), "")</f>
        <v/>
      </c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53"/>
      <c r="C379" s="35">
        <f t="shared" si="6"/>
        <v>0</v>
      </c>
      <c r="D379" s="30" t="str">
        <f>IFERROR(VLOOKUP(C379,소속부서!$A$2:$B$20,2,FALSE), "")</f>
        <v/>
      </c>
      <c r="G379" s="37"/>
      <c r="H379" s="54"/>
      <c r="I379" s="55"/>
      <c r="J379" s="33"/>
      <c r="K379" s="44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3"/>
    </row>
    <row r="380" spans="1:14" x14ac:dyDescent="0.3">
      <c r="A380" s="1">
        <v>379</v>
      </c>
      <c r="B380" s="35"/>
      <c r="C380" s="35">
        <f t="shared" si="6"/>
        <v>0</v>
      </c>
      <c r="D380" s="30" t="str">
        <f>IFERROR(VLOOKUP(C380,소속부서!$A$2:$B$20,2,FALSE), "")</f>
        <v/>
      </c>
      <c r="G380" s="44"/>
      <c r="H380" s="54"/>
      <c r="I380" s="55"/>
      <c r="J380" s="33"/>
      <c r="K380" s="44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3"/>
    </row>
    <row r="381" spans="1:14" x14ac:dyDescent="0.3">
      <c r="A381" s="1">
        <v>380</v>
      </c>
      <c r="B381" s="35"/>
      <c r="C381" s="35">
        <f t="shared" si="6"/>
        <v>0</v>
      </c>
      <c r="D381" s="30" t="str">
        <f>IFERROR(VLOOKUP(C381,소속부서!$A$2:$B$20,2,FALSE), "")</f>
        <v/>
      </c>
      <c r="E381" s="12"/>
      <c r="F381" s="37"/>
      <c r="G381" s="44"/>
      <c r="H381" s="56"/>
      <c r="I381" s="55"/>
      <c r="J381" s="33"/>
      <c r="K381" s="57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3"/>
    </row>
    <row r="382" spans="1:14" x14ac:dyDescent="0.3">
      <c r="A382" s="1">
        <v>381</v>
      </c>
      <c r="B382" s="35"/>
      <c r="C382" s="35">
        <f t="shared" si="6"/>
        <v>0</v>
      </c>
      <c r="D382" s="30" t="str">
        <f>IFERROR(VLOOKUP(C382,소속부서!$A$2:$B$20,2,FALSE), "")</f>
        <v/>
      </c>
      <c r="G382" s="37"/>
      <c r="H382" s="58"/>
      <c r="I382" s="55"/>
      <c r="J382" s="33"/>
      <c r="K382" s="55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6"/>
        <v>0</v>
      </c>
      <c r="D383" s="30" t="str">
        <f>IFERROR(VLOOKUP(C383,소속부서!$A$2:$B$20,2,FALSE), "")</f>
        <v/>
      </c>
      <c r="E383" s="12"/>
      <c r="G383" s="37"/>
      <c r="H383" s="59"/>
      <c r="I383" s="55"/>
      <c r="J383" s="33"/>
      <c r="K383" s="60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6"/>
        <v>0</v>
      </c>
      <c r="D384" s="30" t="str">
        <f>IFERROR(VLOOKUP(C384,소속부서!$A$2:$B$20,2,FALSE), "")</f>
        <v/>
      </c>
      <c r="G384" s="44"/>
      <c r="H384" s="54"/>
      <c r="I384" s="55"/>
      <c r="J384" s="33"/>
      <c r="K384" s="55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ref="C385:C448" si="7">E385</f>
        <v>0</v>
      </c>
      <c r="D385" s="30" t="str">
        <f>IFERROR(VLOOKUP(C385,소속부서!$A$2:$B$20,2,FALSE), "")</f>
        <v/>
      </c>
      <c r="G385" s="37"/>
      <c r="H385" s="54"/>
      <c r="I385" s="55"/>
      <c r="J385" s="33"/>
      <c r="K385" s="44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7"/>
        <v>0</v>
      </c>
      <c r="D386" s="30" t="str">
        <f>IFERROR(VLOOKUP(C386,소속부서!$A$2:$B$20,2,FALSE), "")</f>
        <v/>
      </c>
      <c r="G386" s="44"/>
      <c r="H386" s="58"/>
      <c r="I386" s="55"/>
      <c r="J386" s="33"/>
      <c r="K386" s="55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7"/>
        <v>0</v>
      </c>
      <c r="D387" s="30" t="str">
        <f>IFERROR(VLOOKUP(C387,소속부서!$A$2:$B$20,2,FALSE), "")</f>
        <v/>
      </c>
      <c r="G387" s="44"/>
      <c r="H387" s="58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si="7"/>
        <v>0</v>
      </c>
      <c r="D388" s="30" t="str">
        <f>IFERROR(VLOOKUP(C388,소속부서!$A$2:$B$20,2,FALSE), "")</f>
        <v/>
      </c>
      <c r="E388" s="12"/>
      <c r="G388" s="37"/>
      <c r="H388" s="58"/>
      <c r="I388" s="55"/>
      <c r="J388" s="33"/>
      <c r="K388" s="37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7"/>
        <v>0</v>
      </c>
      <c r="D389" s="30" t="str">
        <f>IFERROR(VLOOKUP(C389,소속부서!$A$2:$B$20,2,FALSE), "")</f>
        <v/>
      </c>
      <c r="E389" s="35"/>
      <c r="F389" s="37"/>
      <c r="G389" s="37"/>
      <c r="H389" s="42"/>
      <c r="I389" s="55"/>
      <c r="J389" s="33"/>
      <c r="K389" s="61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7"/>
        <v>0</v>
      </c>
      <c r="D390" s="30" t="str">
        <f>IFERROR(VLOOKUP(C390,소속부서!$A$2:$B$20,2,FALSE), "")</f>
        <v/>
      </c>
      <c r="G390" s="61"/>
      <c r="H390" s="62"/>
      <c r="I390" s="55"/>
      <c r="J390" s="33"/>
      <c r="K390" s="61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7"/>
        <v>0</v>
      </c>
      <c r="D391" s="30" t="str">
        <f>IFERROR(VLOOKUP(C391,소속부서!$A$2:$B$20,2,FALSE), "")</f>
        <v/>
      </c>
      <c r="E391" s="12"/>
      <c r="F391" s="37"/>
      <c r="G391" s="44"/>
      <c r="H391" s="56"/>
      <c r="I391" s="55"/>
      <c r="J391" s="33"/>
      <c r="K391" s="5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7"/>
        <v>0</v>
      </c>
      <c r="D392" s="30" t="str">
        <f>IFERROR(VLOOKUP(C392,소속부서!$A$2:$B$20,2,FALSE), "")</f>
        <v/>
      </c>
      <c r="G392" s="37"/>
      <c r="H392" s="58"/>
      <c r="I392" s="55"/>
      <c r="J392" s="33"/>
      <c r="K392" s="55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7"/>
        <v>0</v>
      </c>
      <c r="D393" s="30" t="str">
        <f>IFERROR(VLOOKUP(C393,소속부서!$A$2:$B$20,2,FALSE), "")</f>
        <v/>
      </c>
      <c r="E393" s="12"/>
      <c r="G393" s="37"/>
      <c r="H393" s="59"/>
      <c r="I393" s="55"/>
      <c r="J393" s="33"/>
      <c r="K393" s="60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7"/>
        <v>0</v>
      </c>
      <c r="D394" s="30" t="str">
        <f>IFERROR(VLOOKUP(C394,소속부서!$A$2:$B$20,2,FALSE), "")</f>
        <v/>
      </c>
      <c r="G394" s="44"/>
      <c r="H394" s="54"/>
      <c r="I394" s="55"/>
      <c r="J394" s="33"/>
      <c r="K394" s="55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7"/>
        <v>0</v>
      </c>
      <c r="D395" s="30" t="str">
        <f>IFERROR(VLOOKUP(C395,소속부서!$A$2:$B$20,2,FALSE), "")</f>
        <v/>
      </c>
      <c r="G395" s="37"/>
      <c r="H395" s="54"/>
      <c r="I395" s="55"/>
      <c r="J395" s="33"/>
      <c r="K395" s="44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7"/>
        <v>0</v>
      </c>
      <c r="D396" s="30" t="str">
        <f>IFERROR(VLOOKUP(C396,소속부서!$A$2:$B$20,2,FALSE), "")</f>
        <v/>
      </c>
      <c r="G396" s="44"/>
      <c r="H396" s="58"/>
      <c r="I396" s="55"/>
      <c r="J396" s="33"/>
      <c r="K396" s="55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7"/>
        <v>0</v>
      </c>
      <c r="D397" s="30" t="str">
        <f>IFERROR(VLOOKUP(C397,소속부서!$A$2:$B$20,2,FALSE), "")</f>
        <v/>
      </c>
      <c r="G397" s="44"/>
      <c r="H397" s="58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7"/>
        <v>0</v>
      </c>
      <c r="D398" s="30" t="str">
        <f>IFERROR(VLOOKUP(C398,소속부서!$A$2:$B$20,2,FALSE), "")</f>
        <v/>
      </c>
      <c r="E398" s="12"/>
      <c r="G398" s="37"/>
      <c r="H398" s="58"/>
      <c r="I398" s="55"/>
      <c r="J398" s="33"/>
      <c r="K398" s="37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7"/>
        <v>0</v>
      </c>
      <c r="D399" s="30" t="str">
        <f>IFERROR(VLOOKUP(C399,소속부서!$A$2:$B$20,2,FALSE), "")</f>
        <v/>
      </c>
      <c r="E399" s="35"/>
      <c r="F399" s="37"/>
      <c r="G399" s="37"/>
      <c r="H399" s="42"/>
      <c r="I399" s="55"/>
      <c r="J399" s="33"/>
      <c r="K399" s="61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7"/>
        <v>0</v>
      </c>
      <c r="D400" s="30" t="str">
        <f>IFERROR(VLOOKUP(C400,소속부서!$A$2:$B$20,2,FALSE), "")</f>
        <v/>
      </c>
      <c r="E400" s="12"/>
      <c r="F400" s="37"/>
      <c r="G400" s="44"/>
      <c r="H400" s="56"/>
      <c r="I400" s="55"/>
      <c r="J400" s="33"/>
      <c r="K400" s="57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7"/>
        <v>0</v>
      </c>
      <c r="D401" s="30" t="str">
        <f>IFERROR(VLOOKUP(C401,소속부서!$A$2:$B$20,2,FALSE), "")</f>
        <v/>
      </c>
      <c r="G401" s="37"/>
      <c r="H401" s="58"/>
      <c r="I401" s="55"/>
      <c r="J401" s="33"/>
      <c r="K401" s="55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7"/>
        <v>0</v>
      </c>
      <c r="D402" s="30" t="str">
        <f>IFERROR(VLOOKUP(C402,소속부서!$A$2:$B$20,2,FALSE), "")</f>
        <v/>
      </c>
      <c r="E402" s="12"/>
      <c r="G402" s="37"/>
      <c r="H402" s="59"/>
      <c r="I402" s="55"/>
      <c r="J402" s="33"/>
      <c r="K402" s="60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7"/>
        <v>0</v>
      </c>
      <c r="D403" s="30" t="str">
        <f>IFERROR(VLOOKUP(C403,소속부서!$A$2:$B$20,2,FALSE), "")</f>
        <v/>
      </c>
      <c r="G403" s="44"/>
      <c r="H403" s="54"/>
      <c r="I403" s="55"/>
      <c r="J403" s="33"/>
      <c r="K403" s="55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7"/>
        <v>0</v>
      </c>
      <c r="D404" s="30" t="str">
        <f>IFERROR(VLOOKUP(C404,소속부서!$A$2:$B$20,2,FALSE), "")</f>
        <v/>
      </c>
      <c r="G404" s="37"/>
      <c r="H404" s="54"/>
      <c r="I404" s="55"/>
      <c r="J404" s="33"/>
      <c r="K404" s="44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7"/>
        <v>0</v>
      </c>
      <c r="D405" s="30" t="str">
        <f>IFERROR(VLOOKUP(C405,소속부서!$A$2:$B$20,2,FALSE), "")</f>
        <v/>
      </c>
      <c r="G405" s="44"/>
      <c r="H405" s="58"/>
      <c r="I405" s="55"/>
      <c r="J405" s="33"/>
      <c r="K405" s="55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7"/>
        <v>0</v>
      </c>
      <c r="D406" s="30" t="str">
        <f>IFERROR(VLOOKUP(C406,소속부서!$A$2:$B$20,2,FALSE), "")</f>
        <v/>
      </c>
      <c r="G406" s="44"/>
      <c r="H406" s="58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7"/>
        <v>0</v>
      </c>
      <c r="D407" s="30" t="str">
        <f>IFERROR(VLOOKUP(C407,소속부서!$A$2:$B$20,2,FALSE), "")</f>
        <v/>
      </c>
      <c r="E407" s="12"/>
      <c r="G407" s="37"/>
      <c r="H407" s="58"/>
      <c r="I407" s="55"/>
      <c r="J407" s="33"/>
      <c r="K407" s="37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7"/>
        <v>0</v>
      </c>
      <c r="D408" s="30" t="str">
        <f>IFERROR(VLOOKUP(C408,소속부서!$A$2:$B$20,2,FALSE), "")</f>
        <v/>
      </c>
      <c r="E408" s="35"/>
      <c r="F408" s="37"/>
      <c r="G408" s="37"/>
      <c r="H408" s="42"/>
      <c r="I408" s="55"/>
      <c r="J408" s="33"/>
      <c r="K408" s="61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7"/>
        <v>0</v>
      </c>
      <c r="D409" s="30" t="str">
        <f>IFERROR(VLOOKUP(C409,소속부서!$A$2:$B$20,2,FALSE), "")</f>
        <v/>
      </c>
      <c r="E409" s="30"/>
      <c r="G409" s="37"/>
      <c r="H409" s="40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"/>
    </row>
    <row r="410" spans="1:14" x14ac:dyDescent="0.3">
      <c r="A410" s="1">
        <v>409</v>
      </c>
      <c r="B410" s="35"/>
      <c r="C410" s="35">
        <f t="shared" si="7"/>
        <v>0</v>
      </c>
      <c r="D410" s="30" t="str">
        <f>IFERROR(VLOOKUP(C410,소속부서!$A$2:$B$20,2,FALSE), "")</f>
        <v/>
      </c>
      <c r="G410" s="37"/>
      <c r="H410" s="40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"/>
    </row>
    <row r="411" spans="1:14" x14ac:dyDescent="0.3">
      <c r="A411" s="1">
        <v>410</v>
      </c>
      <c r="B411" s="35"/>
      <c r="C411" s="35">
        <f t="shared" si="7"/>
        <v>0</v>
      </c>
      <c r="D411" s="30" t="str">
        <f>IFERROR(VLOOKUP(C411,소속부서!$A$2:$B$20,2,FALSE), "")</f>
        <v/>
      </c>
      <c r="G411" s="37"/>
      <c r="H411" s="40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"/>
    </row>
    <row r="412" spans="1:14" x14ac:dyDescent="0.3">
      <c r="A412" s="1">
        <v>411</v>
      </c>
      <c r="B412" s="35"/>
      <c r="C412" s="35">
        <f t="shared" si="7"/>
        <v>0</v>
      </c>
      <c r="D412" s="30" t="str">
        <f>IFERROR(VLOOKUP(C412,소속부서!$A$2:$B$20,2,FALSE), "")</f>
        <v/>
      </c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7"/>
        <v>0</v>
      </c>
      <c r="D413" s="30" t="str">
        <f>IFERROR(VLOOKUP(C413,소속부서!$A$2:$B$20,2,FALSE), "")</f>
        <v/>
      </c>
      <c r="E413" s="12"/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7"/>
        <v>0</v>
      </c>
      <c r="D414" s="30" t="str">
        <f>IFERROR(VLOOKUP(C414,소속부서!$A$2:$B$20,2,FALSE), "")</f>
        <v/>
      </c>
      <c r="G414" s="37"/>
      <c r="H414" s="40"/>
      <c r="I414" s="55"/>
      <c r="J414" s="33"/>
      <c r="K414" s="44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7"/>
        <v>0</v>
      </c>
      <c r="D415" s="30" t="str">
        <f>IFERROR(VLOOKUP(C415,소속부서!$A$2:$B$20,2,FALSE), "")</f>
        <v/>
      </c>
      <c r="G415" s="44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7"/>
        <v>0</v>
      </c>
      <c r="D416" s="30" t="str">
        <f>IFERROR(VLOOKUP(C416,소속부서!$A$2:$B$20,2,FALSE), "")</f>
        <v/>
      </c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7"/>
        <v>0</v>
      </c>
      <c r="D417" s="30" t="str">
        <f>IFERROR(VLOOKUP(C417,소속부서!$A$2:$B$20,2,FALSE), "")</f>
        <v/>
      </c>
      <c r="E417" s="52"/>
      <c r="F417" s="39"/>
      <c r="G417" s="37"/>
      <c r="H417" s="40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7"/>
        <v>0</v>
      </c>
      <c r="D418" s="30" t="str">
        <f>IFERROR(VLOOKUP(C418,소속부서!$A$2:$B$20,2,FALSE), "")</f>
        <v/>
      </c>
      <c r="G418" s="37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7"/>
        <v>0</v>
      </c>
      <c r="D419" s="30" t="str">
        <f>IFERROR(VLOOKUP(C419,소속부서!$A$2:$B$20,2,FALSE), "")</f>
        <v/>
      </c>
      <c r="E419" s="12"/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7"/>
        <v>0</v>
      </c>
      <c r="D420" s="30" t="str">
        <f>IFERROR(VLOOKUP(C420,소속부서!$A$2:$B$20,2,FALSE), "")</f>
        <v/>
      </c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7"/>
        <v>0</v>
      </c>
      <c r="D421" s="30" t="str">
        <f>IFERROR(VLOOKUP(C421,소속부서!$A$2:$B$20,2,FALSE), "")</f>
        <v/>
      </c>
      <c r="G421" s="37"/>
      <c r="H421" s="43"/>
      <c r="I421" s="37"/>
      <c r="J421" s="33"/>
      <c r="K421" s="57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7"/>
        <v>0</v>
      </c>
      <c r="D422" s="30" t="str">
        <f>IFERROR(VLOOKUP(C422,소속부서!$A$2:$B$20,2,FALSE), "")</f>
        <v/>
      </c>
      <c r="G422" s="37"/>
      <c r="H422" s="40"/>
      <c r="I422" s="47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7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7"/>
        <v>0</v>
      </c>
      <c r="D424" s="30" t="str">
        <f>IFERROR(VLOOKUP(C424,소속부서!$A$2:$B$20,2,FALSE), "")</f>
        <v/>
      </c>
      <c r="G424" s="37"/>
      <c r="H424" s="40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7"/>
        <v>0</v>
      </c>
      <c r="D425" s="30" t="str">
        <f>IFERROR(VLOOKUP(C425,소속부서!$A$2:$B$20,2,FALSE), "")</f>
        <v/>
      </c>
      <c r="G425" s="37"/>
      <c r="H425" s="40"/>
      <c r="I425" s="37"/>
      <c r="K425" s="3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7"/>
        <v>0</v>
      </c>
      <c r="D426" s="30" t="str">
        <f>IFERROR(VLOOKUP(C426,소속부서!$A$2:$B$20,2,FALSE), "")</f>
        <v/>
      </c>
      <c r="G426" s="37"/>
      <c r="H426" s="40"/>
      <c r="I426" s="37"/>
      <c r="K426" s="28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7"/>
        <v>0</v>
      </c>
      <c r="D427" s="30" t="str">
        <f>IFERROR(VLOOKUP(C427,소속부서!$A$2:$B$20,2,FALSE), "")</f>
        <v/>
      </c>
      <c r="G427" s="44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7"/>
        <v>0</v>
      </c>
      <c r="D428" s="30" t="str">
        <f>IFERROR(VLOOKUP(C428,소속부서!$A$2:$B$20,2,FALSE), "")</f>
        <v/>
      </c>
      <c r="G428" s="37"/>
      <c r="H428" s="40"/>
      <c r="I428" s="55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7"/>
        <v>0</v>
      </c>
      <c r="D429" s="30" t="str">
        <f>IFERROR(VLOOKUP(C429,소속부서!$A$2:$B$20,2,FALSE), "")</f>
        <v/>
      </c>
      <c r="G429" s="37"/>
      <c r="H429" s="40"/>
      <c r="I429" s="55"/>
      <c r="K429" s="55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7"/>
        <v>0</v>
      </c>
      <c r="D430" s="30" t="str">
        <f>IFERROR(VLOOKUP(C430,소속부서!$A$2:$B$20,2,FALSE), "")</f>
        <v/>
      </c>
      <c r="G430" s="37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7"/>
        <v>0</v>
      </c>
      <c r="D431" s="30" t="str">
        <f>IFERROR(VLOOKUP(C431,소속부서!$A$2:$B$20,2,FALSE), "")</f>
        <v/>
      </c>
      <c r="G431" s="37"/>
      <c r="H431" s="40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C432" s="35">
        <f t="shared" si="7"/>
        <v>0</v>
      </c>
      <c r="D432" s="30" t="str">
        <f>IFERROR(VLOOKUP(C432,소속부서!$A$2:$B$20,2,FALSE), "")</f>
        <v/>
      </c>
      <c r="L432" s="36" t="str">
        <f>IFERROR(VLOOKUP(I432,보도매체!$A:$C,2,FALSE), "")</f>
        <v/>
      </c>
      <c r="M432" s="38" t="str">
        <f>IFERROR(VLOOKUP(I432,보도매체!$A:$C,3,FALSE), "")</f>
        <v/>
      </c>
    </row>
    <row r="433" spans="3:13" x14ac:dyDescent="0.3">
      <c r="C433" s="35">
        <f t="shared" si="7"/>
        <v>0</v>
      </c>
      <c r="D433" s="30" t="str">
        <f>IFERROR(VLOOKUP(C433,소속부서!$A$2:$B$20,2,FALSE), "")</f>
        <v/>
      </c>
      <c r="L433" s="36" t="str">
        <f>IFERROR(VLOOKUP(I433,보도매체!$A:$C,2,FALSE), "")</f>
        <v/>
      </c>
      <c r="M433" s="38" t="str">
        <f>IFERROR(VLOOKUP(I433,보도매체!$A:$C,3,FALSE), "")</f>
        <v/>
      </c>
    </row>
    <row r="434" spans="3:13" x14ac:dyDescent="0.3">
      <c r="C434" s="35">
        <f t="shared" si="7"/>
        <v>0</v>
      </c>
      <c r="D434" s="30" t="str">
        <f>IFERROR(VLOOKUP(C434,소속부서!$A$2:$B$20,2,FALSE), "")</f>
        <v/>
      </c>
      <c r="L434" s="36" t="str">
        <f>IFERROR(VLOOKUP(I434,보도매체!$A:$C,2,FALSE), "")</f>
        <v/>
      </c>
      <c r="M434" s="38" t="str">
        <f>IFERROR(VLOOKUP(I434,보도매체!$A:$C,3,FALSE), "")</f>
        <v/>
      </c>
    </row>
    <row r="435" spans="3:13" x14ac:dyDescent="0.3">
      <c r="C435" s="35">
        <f t="shared" si="7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3:13" x14ac:dyDescent="0.3">
      <c r="C436" s="35">
        <f t="shared" si="7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3:13" x14ac:dyDescent="0.3">
      <c r="C437" s="35">
        <f t="shared" si="7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3:13" x14ac:dyDescent="0.3">
      <c r="C438" s="35">
        <f t="shared" si="7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3:13" x14ac:dyDescent="0.3">
      <c r="C439" s="35">
        <f t="shared" si="7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3:13" x14ac:dyDescent="0.3">
      <c r="C440" s="35">
        <f t="shared" si="7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3:13" x14ac:dyDescent="0.3">
      <c r="C441" s="35">
        <f t="shared" si="7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3:13" x14ac:dyDescent="0.3">
      <c r="C442" s="35">
        <f t="shared" si="7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3:13" x14ac:dyDescent="0.3">
      <c r="C443" s="35">
        <f t="shared" si="7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3:13" x14ac:dyDescent="0.3">
      <c r="C444" s="35">
        <f t="shared" si="7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3:13" x14ac:dyDescent="0.3">
      <c r="C445" s="35">
        <f t="shared" si="7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3:13" x14ac:dyDescent="0.3">
      <c r="C446" s="35">
        <f t="shared" si="7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3:13" x14ac:dyDescent="0.3">
      <c r="C447" s="35">
        <f t="shared" si="7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3:13" x14ac:dyDescent="0.3">
      <c r="C448" s="35">
        <f t="shared" si="7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ref="C449:C512" si="8">E449</f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8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8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si="8"/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8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8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8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8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8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8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8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8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8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8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8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8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8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8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8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8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8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8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8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8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8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8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8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8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8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8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8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8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8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8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8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8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8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8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8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8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8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8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8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8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8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8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8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8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8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8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8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8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8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8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8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8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8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8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8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8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8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8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8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8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ref="C513:C576" si="9">E513</f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9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9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si="9"/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9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9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9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9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9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9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9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9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9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9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9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9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9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9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9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9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9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9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9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9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9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9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9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9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9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9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9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9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9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9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9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9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9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9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9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9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9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9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9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9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9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9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9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9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9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9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9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9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9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9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9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9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9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9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9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9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9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9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9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9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ref="C577:C640" si="10">E577</f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10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10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si="10"/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10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10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10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10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10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10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10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10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10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10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10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10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10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10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10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10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10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10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10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10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10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10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10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10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10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10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10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10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10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10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10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10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10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10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10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10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10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10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10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10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10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10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10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10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10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10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10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10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10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10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10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10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10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10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10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10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10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10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10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10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ref="C641:C704" si="11">E641</f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1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1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si="11"/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1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1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1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1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1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1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1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1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1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1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1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1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1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1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1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1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1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1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1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1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1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1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1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1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1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1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1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1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1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1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1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1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1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1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1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1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1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1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1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1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1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1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1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1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1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1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1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1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1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1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1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1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1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1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1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1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1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1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1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1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ref="C705:C768" si="12">E705</f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2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2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si="12"/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2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2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2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2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2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2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2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2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2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2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2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2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2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2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2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2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2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2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2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2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2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2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2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2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2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2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2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2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2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2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2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2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2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2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2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2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2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2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2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2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2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2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2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2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2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2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2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2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2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2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2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2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2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2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2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2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2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2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2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2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ref="C769:C832" si="13">E769</f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3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3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si="13"/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3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3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3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3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3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3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3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3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3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3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3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3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3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3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3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3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3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3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3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3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3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3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3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3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3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3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3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3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3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3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3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3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3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3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3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3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3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3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3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3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3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3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3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3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3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3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3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3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3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3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3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3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3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3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3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3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3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3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3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3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ref="C833:C896" si="14">E833</f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4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4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si="14"/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4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4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4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4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4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4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4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4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4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4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4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4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4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4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4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4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4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4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4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4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4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4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4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4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4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4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4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4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4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4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4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4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4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4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4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4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4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4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4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4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4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4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4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4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4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4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4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4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4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4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4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4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4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4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4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4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4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4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4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4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ref="C897:C960" si="15">E897</f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5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5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si="15"/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5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5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5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5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5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5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5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5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5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5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5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5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5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5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5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5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5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5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5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5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5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5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5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5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5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5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5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5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5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5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5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5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5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5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5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5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5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5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5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5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5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5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5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5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5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5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5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5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5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5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5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5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5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5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5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5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5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5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5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5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ref="C961:C1024" si="16">E961</f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6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6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si="16"/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6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6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6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6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6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6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6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6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6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6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6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6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6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6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6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6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6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6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6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6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6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6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6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6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6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6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6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6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6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6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6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6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6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6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6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6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6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6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6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6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6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6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6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6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6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6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6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6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6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6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6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6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6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6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6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6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6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6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6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6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ref="C1025:C1088" si="17">E1025</f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7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7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si="17"/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7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7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7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7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7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7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7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7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7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7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7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7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7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7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7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7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7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7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7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7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7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7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7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7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7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7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7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7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7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7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7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7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7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7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7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7"/>
        <v>0</v>
      </c>
      <c r="D1064" s="30" t="str">
        <f>IFERROR(VLOOKUP(C1064,소속부서!$A$2:$B$20,2,FALSE), "")</f>
        <v/>
      </c>
    </row>
    <row r="1065" spans="3:13" x14ac:dyDescent="0.3">
      <c r="C1065" s="35">
        <f t="shared" si="17"/>
        <v>0</v>
      </c>
      <c r="D1065" s="30" t="str">
        <f>IFERROR(VLOOKUP(C1065,소속부서!$A$2:$B$20,2,FALSE), "")</f>
        <v/>
      </c>
    </row>
    <row r="1066" spans="3:13" x14ac:dyDescent="0.3">
      <c r="C1066" s="35">
        <f t="shared" si="17"/>
        <v>0</v>
      </c>
      <c r="D1066" s="30" t="str">
        <f>IFERROR(VLOOKUP(C1066,소속부서!$A$2:$B$20,2,FALSE), "")</f>
        <v/>
      </c>
    </row>
    <row r="1067" spans="3:13" x14ac:dyDescent="0.3">
      <c r="C1067" s="35">
        <f t="shared" si="17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7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7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7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7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7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7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7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7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7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7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7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7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7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7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7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7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7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7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7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7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7"/>
        <v>0</v>
      </c>
      <c r="D1088" s="30" t="str">
        <f>IFERROR(VLOOKUP(C1088,소속부서!$A$2:$B$20,2,FALSE), "")</f>
        <v/>
      </c>
    </row>
    <row r="1089" spans="3:4" x14ac:dyDescent="0.3">
      <c r="C1089" s="35">
        <f t="shared" ref="C1089:C1152" si="18">E1089</f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8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8"/>
        <v>0</v>
      </c>
      <c r="D1091" s="30" t="str">
        <f>IFERROR(VLOOKUP(C1091,소속부서!$A$2:$B$20,2,FALSE), "")</f>
        <v/>
      </c>
    </row>
    <row r="1092" spans="3:4" x14ac:dyDescent="0.3">
      <c r="C1092" s="35">
        <f t="shared" si="18"/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8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8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8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8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8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8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8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8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8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8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8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8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8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8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8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8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8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8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8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8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8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8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8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8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8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8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8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8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8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8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8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8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8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8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8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8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8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8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8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8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8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8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8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8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8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8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8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8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8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8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8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8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8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8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8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8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8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8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8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8"/>
        <v>0</v>
      </c>
      <c r="D1152" s="30" t="str">
        <f>IFERROR(VLOOKUP(C1152,소속부서!$A$2:$B$20,2,FALSE), "")</f>
        <v/>
      </c>
    </row>
    <row r="1153" spans="3:4" x14ac:dyDescent="0.3">
      <c r="C1153" s="35">
        <f t="shared" ref="C1153:C1216" si="19">E1153</f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9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9"/>
        <v>0</v>
      </c>
      <c r="D1155" s="30" t="str">
        <f>IFERROR(VLOOKUP(C1155,소속부서!$A$2:$B$20,2,FALSE), "")</f>
        <v/>
      </c>
    </row>
    <row r="1156" spans="3:4" x14ac:dyDescent="0.3">
      <c r="C1156" s="35">
        <f t="shared" si="19"/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9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9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9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9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9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9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9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9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9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9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9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9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9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9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9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9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9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9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9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9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9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9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9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9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9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9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9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9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9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9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9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9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9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9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9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9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9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9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9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9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9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9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9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9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9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9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9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9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9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9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9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9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9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9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9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9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9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9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9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9"/>
        <v>0</v>
      </c>
      <c r="D1216" s="30" t="str">
        <f>IFERROR(VLOOKUP(C1216,소속부서!$A$2:$B$20,2,FALSE), "")</f>
        <v/>
      </c>
    </row>
    <row r="1217" spans="3:4" x14ac:dyDescent="0.3">
      <c r="C1217" s="35">
        <f t="shared" ref="C1217:C1280" si="20">E1217</f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20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20"/>
        <v>0</v>
      </c>
      <c r="D1219" s="30" t="str">
        <f>IFERROR(VLOOKUP(C1219,소속부서!$A$2:$B$20,2,FALSE), "")</f>
        <v/>
      </c>
    </row>
    <row r="1220" spans="3:4" x14ac:dyDescent="0.3">
      <c r="C1220" s="35">
        <f t="shared" si="20"/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20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20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20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20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20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20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20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20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20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20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20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20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20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20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20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20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20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20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20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20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20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20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20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20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20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20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20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20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20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20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20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20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20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20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20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20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20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20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20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20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20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20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20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20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20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20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20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20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20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20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20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20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20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20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20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20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20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20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20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20"/>
        <v>0</v>
      </c>
      <c r="D1280" s="30" t="str">
        <f>IFERROR(VLOOKUP(C1280,소속부서!$A$2:$B$20,2,FALSE), "")</f>
        <v/>
      </c>
    </row>
    <row r="1281" spans="3:4" x14ac:dyDescent="0.3">
      <c r="C1281" s="35">
        <f t="shared" ref="C1281:C1344" si="21">E1281</f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1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1"/>
        <v>0</v>
      </c>
      <c r="D1283" s="30" t="str">
        <f>IFERROR(VLOOKUP(C1283,소속부서!$A$2:$B$20,2,FALSE), "")</f>
        <v/>
      </c>
    </row>
    <row r="1284" spans="3:4" x14ac:dyDescent="0.3">
      <c r="C1284" s="35">
        <f t="shared" si="21"/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1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1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1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1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1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1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1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1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1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1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1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1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1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1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1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1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1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1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1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1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1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1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1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1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1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1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1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1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1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1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1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1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1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1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1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1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1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1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1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1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1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1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1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1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1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1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1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1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1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1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1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1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1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1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1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1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1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1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1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1"/>
        <v>0</v>
      </c>
      <c r="D1344" s="30" t="str">
        <f>IFERROR(VLOOKUP(C1344,소속부서!$A$2:$B$20,2,FALSE), "")</f>
        <v/>
      </c>
    </row>
    <row r="1345" spans="3:4" x14ac:dyDescent="0.3">
      <c r="C1345" s="35">
        <f t="shared" ref="C1345:C1408" si="22">E1345</f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2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2"/>
        <v>0</v>
      </c>
      <c r="D1347" s="30" t="str">
        <f>IFERROR(VLOOKUP(C1347,소속부서!$A$2:$B$20,2,FALSE), "")</f>
        <v/>
      </c>
    </row>
    <row r="1348" spans="3:4" x14ac:dyDescent="0.3">
      <c r="C1348" s="35">
        <f t="shared" si="22"/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2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2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2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2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2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2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2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2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2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2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2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2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2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2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2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2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2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2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2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2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2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2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2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2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2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2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2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2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2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2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2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2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2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2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2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2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2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2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2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2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2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2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2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2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2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2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2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2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2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2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2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2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2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2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2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2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2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2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2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2"/>
        <v>0</v>
      </c>
      <c r="D1408" s="30" t="str">
        <f>IFERROR(VLOOKUP(C1408,소속부서!$A$2:$B$20,2,FALSE), "")</f>
        <v/>
      </c>
    </row>
    <row r="1409" spans="3:4" x14ac:dyDescent="0.3">
      <c r="C1409" s="35">
        <f t="shared" ref="C1409:C1472" si="23">E1409</f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3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3"/>
        <v>0</v>
      </c>
      <c r="D1411" s="30" t="str">
        <f>IFERROR(VLOOKUP(C1411,소속부서!$A$2:$B$20,2,FALSE), "")</f>
        <v/>
      </c>
    </row>
    <row r="1412" spans="3:4" x14ac:dyDescent="0.3">
      <c r="C1412" s="35">
        <f t="shared" si="23"/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3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3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3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3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3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3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3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3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3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3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3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3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3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3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3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3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3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3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3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3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3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3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3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3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3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3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3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3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3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3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3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3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3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3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3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3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3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3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3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3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3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3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3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3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3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3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3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3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3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3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3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3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3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3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3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3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3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3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3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3"/>
        <v>0</v>
      </c>
      <c r="D1472" s="30" t="str">
        <f>IFERROR(VLOOKUP(C1472,소속부서!$A$2:$B$20,2,FALSE), "")</f>
        <v/>
      </c>
    </row>
    <row r="1473" spans="3:4" x14ac:dyDescent="0.3">
      <c r="C1473" s="35">
        <f t="shared" ref="C1473:C1536" si="24">E1473</f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4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4"/>
        <v>0</v>
      </c>
      <c r="D1475" s="30" t="str">
        <f>IFERROR(VLOOKUP(C1475,소속부서!$A$2:$B$20,2,FALSE), "")</f>
        <v/>
      </c>
    </row>
    <row r="1476" spans="3:4" x14ac:dyDescent="0.3">
      <c r="C1476" s="35">
        <f t="shared" si="24"/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4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4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4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4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4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4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4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4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4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4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4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4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4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4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4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4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4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4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4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4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4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4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4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4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4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4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4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4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4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4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4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4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4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4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4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4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4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4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4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4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4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4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4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4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4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4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4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4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4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4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4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4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4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4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4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4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4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4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4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4"/>
        <v>0</v>
      </c>
      <c r="D1536" s="30" t="str">
        <f>IFERROR(VLOOKUP(C1536,소속부서!$A$2:$B$20,2,FALSE), "")</f>
        <v/>
      </c>
    </row>
    <row r="1537" spans="3:4" x14ac:dyDescent="0.3">
      <c r="C1537" s="35">
        <f t="shared" ref="C1537:C1600" si="25">E1537</f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5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5"/>
        <v>0</v>
      </c>
      <c r="D1539" s="30" t="str">
        <f>IFERROR(VLOOKUP(C1539,소속부서!$A$2:$B$20,2,FALSE), "")</f>
        <v/>
      </c>
    </row>
    <row r="1540" spans="3:4" x14ac:dyDescent="0.3">
      <c r="C1540" s="35">
        <f t="shared" si="25"/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5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5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5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5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5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5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5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5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5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5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5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5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5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5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5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5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5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5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5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5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5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5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5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5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5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5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5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5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5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5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5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5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5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5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5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5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5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5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5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5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5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5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5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5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5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5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5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5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5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5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5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5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5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5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5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5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5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5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5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5"/>
        <v>0</v>
      </c>
      <c r="D1600" s="30" t="str">
        <f>IFERROR(VLOOKUP(C1600,소속부서!$A$2:$B$20,2,FALSE), "")</f>
        <v/>
      </c>
    </row>
    <row r="1601" spans="3:4" x14ac:dyDescent="0.3">
      <c r="C1601" s="35">
        <f t="shared" ref="C1601:C1664" si="26">E1601</f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6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6"/>
        <v>0</v>
      </c>
      <c r="D1603" s="30" t="str">
        <f>IFERROR(VLOOKUP(C1603,소속부서!$A$2:$B$20,2,FALSE), "")</f>
        <v/>
      </c>
    </row>
    <row r="1604" spans="3:4" x14ac:dyDescent="0.3">
      <c r="C1604" s="35">
        <f t="shared" si="26"/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6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6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6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6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6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6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6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6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6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6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6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6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6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6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6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6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6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6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6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6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6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6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6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6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6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6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6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6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6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6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6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6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6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6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6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6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6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6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6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6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6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6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6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6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6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6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6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6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6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6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6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6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6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6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6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6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6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6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6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6"/>
        <v>0</v>
      </c>
      <c r="D1664" s="30" t="str">
        <f>IFERROR(VLOOKUP(C1664,소속부서!$A$2:$B$20,2,FALSE), "")</f>
        <v/>
      </c>
    </row>
    <row r="1665" spans="3:4" x14ac:dyDescent="0.3">
      <c r="C1665" s="35">
        <f t="shared" ref="C1665:C1728" si="27">E1665</f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7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7"/>
        <v>0</v>
      </c>
      <c r="D1667" s="30" t="str">
        <f>IFERROR(VLOOKUP(C1667,소속부서!$A$2:$B$20,2,FALSE), "")</f>
        <v/>
      </c>
    </row>
    <row r="1668" spans="3:4" x14ac:dyDescent="0.3">
      <c r="C1668" s="35">
        <f t="shared" si="27"/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7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7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7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7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7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7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7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7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7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7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7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7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7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7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7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7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7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7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7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7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7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7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7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7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7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7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7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7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7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7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7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7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7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7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7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7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7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7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7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7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7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7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7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7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7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7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7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7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7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7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7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7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7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7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7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7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7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7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7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7"/>
        <v>0</v>
      </c>
      <c r="D1728" s="30" t="str">
        <f>IFERROR(VLOOKUP(C1728,소속부서!$A$2:$B$20,2,FALSE), "")</f>
        <v/>
      </c>
    </row>
    <row r="1729" spans="3:4" x14ac:dyDescent="0.3">
      <c r="C1729" s="35">
        <f t="shared" ref="C1729:C1792" si="28">E1729</f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8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8"/>
        <v>0</v>
      </c>
      <c r="D1731" s="30" t="str">
        <f>IFERROR(VLOOKUP(C1731,소속부서!$A$2:$B$20,2,FALSE), "")</f>
        <v/>
      </c>
    </row>
    <row r="1732" spans="3:4" x14ac:dyDescent="0.3">
      <c r="C1732" s="35">
        <f t="shared" si="28"/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8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8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8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8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8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8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8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8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8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8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8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8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8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8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8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8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8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8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8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8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8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8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8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8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8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8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8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8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8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8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8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8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8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8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8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8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8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8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8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8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8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8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8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8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8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8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8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8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8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8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8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8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8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8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8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8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8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8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8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8"/>
        <v>0</v>
      </c>
      <c r="D1792" s="30" t="str">
        <f>IFERROR(VLOOKUP(C1792,소속부서!$A$2:$B$20,2,FALSE), "")</f>
        <v/>
      </c>
    </row>
    <row r="1793" spans="3:4" x14ac:dyDescent="0.3">
      <c r="C1793" s="35">
        <f t="shared" ref="C1793:C1856" si="29">E1793</f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9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9"/>
        <v>0</v>
      </c>
      <c r="D1795" s="30" t="str">
        <f>IFERROR(VLOOKUP(C1795,소속부서!$A$2:$B$20,2,FALSE), "")</f>
        <v/>
      </c>
    </row>
    <row r="1796" spans="3:4" x14ac:dyDescent="0.3">
      <c r="C1796" s="35">
        <f t="shared" si="29"/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9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9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9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9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9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9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9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9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9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9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9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9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9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9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9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9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9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9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9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9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9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9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9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9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9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9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9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9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9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9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9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9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9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9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9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9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9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9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9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9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9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9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9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9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9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9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9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9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9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9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9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9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9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9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9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9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9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9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9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9"/>
        <v>0</v>
      </c>
      <c r="D1856" s="30" t="str">
        <f>IFERROR(VLOOKUP(C1856,소속부서!$A$2:$B$20,2,FALSE), "")</f>
        <v/>
      </c>
    </row>
    <row r="1857" spans="3:4" x14ac:dyDescent="0.3">
      <c r="C1857" s="35">
        <f t="shared" ref="C1857:C1920" si="30">E1857</f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30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30"/>
        <v>0</v>
      </c>
      <c r="D1859" s="30" t="str">
        <f>IFERROR(VLOOKUP(C1859,소속부서!$A$2:$B$20,2,FALSE), "")</f>
        <v/>
      </c>
    </row>
    <row r="1860" spans="3:4" x14ac:dyDescent="0.3">
      <c r="C1860" s="35">
        <f t="shared" si="30"/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30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30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30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30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30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30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30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30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30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30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30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30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30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30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30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30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30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30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30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30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30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30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30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30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30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30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30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30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30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30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30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30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30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30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30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30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30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30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30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30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30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30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30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30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30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30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30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30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30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30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30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30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30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30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30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30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30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30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30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30"/>
        <v>0</v>
      </c>
      <c r="D1920" s="30" t="str">
        <f>IFERROR(VLOOKUP(C1920,소속부서!$A$2:$B$20,2,FALSE), "")</f>
        <v/>
      </c>
    </row>
    <row r="1921" spans="3:4" x14ac:dyDescent="0.3">
      <c r="C1921" s="35">
        <f t="shared" ref="C1921:C1984" si="31">E1921</f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1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1"/>
        <v>0</v>
      </c>
      <c r="D1923" s="30" t="str">
        <f>IFERROR(VLOOKUP(C1923,소속부서!$A$2:$B$20,2,FALSE), "")</f>
        <v/>
      </c>
    </row>
    <row r="1924" spans="3:4" x14ac:dyDescent="0.3">
      <c r="C1924" s="35">
        <f t="shared" si="31"/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1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1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1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1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1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1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1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1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1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1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1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1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1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1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1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1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1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1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1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1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1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1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1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1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1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1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1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1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1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1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1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1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1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1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1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1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1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1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1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1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1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1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1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1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1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1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1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1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1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1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1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1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1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1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1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1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1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1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1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1"/>
        <v>0</v>
      </c>
      <c r="D1984" s="30" t="str">
        <f>IFERROR(VLOOKUP(C1984,소속부서!$A$2:$B$20,2,FALSE), "")</f>
        <v/>
      </c>
    </row>
    <row r="1985" spans="3:4" x14ac:dyDescent="0.3">
      <c r="C1985" s="35">
        <f t="shared" ref="C1985:C2048" si="32">E1985</f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2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2"/>
        <v>0</v>
      </c>
      <c r="D1987" s="30" t="str">
        <f>IFERROR(VLOOKUP(C1987,소속부서!$A$2:$B$20,2,FALSE), "")</f>
        <v/>
      </c>
    </row>
    <row r="1988" spans="3:4" x14ac:dyDescent="0.3">
      <c r="C1988" s="35">
        <f t="shared" si="32"/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2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2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2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2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2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2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2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2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2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2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2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2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2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2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2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2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2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2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2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2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2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2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2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2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2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2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2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2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2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2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2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2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2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2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2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2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2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2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2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2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2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2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2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2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2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2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2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2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2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2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2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2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2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2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2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2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2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2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2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2"/>
        <v>0</v>
      </c>
      <c r="D2048" s="30" t="str">
        <f>IFERROR(VLOOKUP(C2048,소속부서!$A$2:$B$20,2,FALSE), "")</f>
        <v/>
      </c>
    </row>
    <row r="2049" spans="3:4" x14ac:dyDescent="0.3">
      <c r="C2049" s="35">
        <f t="shared" ref="C2049:C2112" si="33">E2049</f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3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3"/>
        <v>0</v>
      </c>
      <c r="D2051" s="30" t="str">
        <f>IFERROR(VLOOKUP(C2051,소속부서!$A$2:$B$20,2,FALSE), "")</f>
        <v/>
      </c>
    </row>
    <row r="2052" spans="3:4" x14ac:dyDescent="0.3">
      <c r="C2052" s="35">
        <f t="shared" si="33"/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3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3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3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3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3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3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3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3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3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3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3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3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3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3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3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3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3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3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3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3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3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3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3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3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3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3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3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3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3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3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3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3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3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3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3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3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3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3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3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3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3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3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3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3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3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3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3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3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3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3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3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3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3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3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3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3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3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3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3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3"/>
        <v>0</v>
      </c>
      <c r="D2112" s="30" t="str">
        <f>IFERROR(VLOOKUP(C2112,소속부서!$A$2:$B$20,2,FALSE), "")</f>
        <v/>
      </c>
    </row>
    <row r="2113" spans="3:4" x14ac:dyDescent="0.3">
      <c r="C2113" s="35">
        <f t="shared" ref="C2113:C2176" si="34">E2113</f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4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4"/>
        <v>0</v>
      </c>
      <c r="D2115" s="30" t="str">
        <f>IFERROR(VLOOKUP(C2115,소속부서!$A$2:$B$20,2,FALSE), "")</f>
        <v/>
      </c>
    </row>
    <row r="2116" spans="3:4" x14ac:dyDescent="0.3">
      <c r="C2116" s="35">
        <f t="shared" si="34"/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4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4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4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4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4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4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4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4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4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4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4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4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4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4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4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4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4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4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4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4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4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4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4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4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4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4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4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4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4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4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4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4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4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4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4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4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4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4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4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4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4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4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4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4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4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4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4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4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4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4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4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4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4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4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4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4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4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4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4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4"/>
        <v>0</v>
      </c>
      <c r="D2176" s="30" t="str">
        <f>IFERROR(VLOOKUP(C2176,소속부서!$A$2:$B$20,2,FALSE), "")</f>
        <v/>
      </c>
    </row>
    <row r="2177" spans="3:4" x14ac:dyDescent="0.3">
      <c r="C2177" s="35">
        <f t="shared" ref="C2177:C2240" si="35">E2177</f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5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5"/>
        <v>0</v>
      </c>
      <c r="D2179" s="30" t="str">
        <f>IFERROR(VLOOKUP(C2179,소속부서!$A$2:$B$20,2,FALSE), "")</f>
        <v/>
      </c>
    </row>
    <row r="2180" spans="3:4" x14ac:dyDescent="0.3">
      <c r="C2180" s="35">
        <f t="shared" si="35"/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5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5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5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5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5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5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5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5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5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5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5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5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5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5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5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5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5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5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5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5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5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5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5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5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5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5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5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5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5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5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5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5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5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5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5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5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5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5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5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5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5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5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5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5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5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5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5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5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5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5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5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5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5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5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5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5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5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5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5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5"/>
        <v>0</v>
      </c>
      <c r="D2240" s="30" t="str">
        <f>IFERROR(VLOOKUP(C2240,소속부서!$A$2:$B$20,2,FALSE), "")</f>
        <v/>
      </c>
    </row>
    <row r="2241" spans="3:4" x14ac:dyDescent="0.3">
      <c r="C2241" s="35">
        <f t="shared" ref="C2241:C2304" si="36">E2241</f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6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6"/>
        <v>0</v>
      </c>
      <c r="D2243" s="30" t="str">
        <f>IFERROR(VLOOKUP(C2243,소속부서!$A$2:$B$20,2,FALSE), "")</f>
        <v/>
      </c>
    </row>
    <row r="2244" spans="3:4" x14ac:dyDescent="0.3">
      <c r="C2244" s="35">
        <f t="shared" si="36"/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6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6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6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6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6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6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6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6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6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6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6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6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6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6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6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6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6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6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6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6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6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6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6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6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6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6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6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6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6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6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6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6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6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6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6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6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6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6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6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6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6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6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6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6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6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6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6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6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6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6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6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6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6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6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6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6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6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6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6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6"/>
        <v>0</v>
      </c>
      <c r="D2304" s="30" t="str">
        <f>IFERROR(VLOOKUP(C2304,소속부서!$A$2:$B$20,2,FALSE), "")</f>
        <v/>
      </c>
    </row>
    <row r="2305" spans="3:4" x14ac:dyDescent="0.3">
      <c r="C2305" s="35">
        <f t="shared" ref="C2305:C2368" si="37">E2305</f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7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7"/>
        <v>0</v>
      </c>
      <c r="D2307" s="30" t="str">
        <f>IFERROR(VLOOKUP(C2307,소속부서!$A$2:$B$20,2,FALSE), "")</f>
        <v/>
      </c>
    </row>
    <row r="2308" spans="3:4" x14ac:dyDescent="0.3">
      <c r="C2308" s="35">
        <f t="shared" si="37"/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7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7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7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7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7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7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7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7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7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7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7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7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7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7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7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7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7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7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7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7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7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7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7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7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7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7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7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7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7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7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7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7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7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7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7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7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7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7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7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7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7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7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7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7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7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7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7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7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7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7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7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7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7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7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7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7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7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7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7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7"/>
        <v>0</v>
      </c>
      <c r="D2368" s="30" t="str">
        <f>IFERROR(VLOOKUP(C2368,소속부서!$A$2:$B$20,2,FALSE), "")</f>
        <v/>
      </c>
    </row>
    <row r="2369" spans="3:4" x14ac:dyDescent="0.3">
      <c r="C2369" s="35">
        <f t="shared" ref="C2369:C2432" si="38">E2369</f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8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8"/>
        <v>0</v>
      </c>
      <c r="D2371" s="30" t="str">
        <f>IFERROR(VLOOKUP(C2371,소속부서!$A$2:$B$20,2,FALSE), "")</f>
        <v/>
      </c>
    </row>
    <row r="2372" spans="3:4" x14ac:dyDescent="0.3">
      <c r="C2372" s="35">
        <f t="shared" si="38"/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8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8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8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8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8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8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8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8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8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8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8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8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8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8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8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8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8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8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8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8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8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8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8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8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8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8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8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8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8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8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8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8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8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8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8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8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8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8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8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8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8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8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8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8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8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8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8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8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8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8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8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8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8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8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8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8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8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8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8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8"/>
        <v>0</v>
      </c>
      <c r="D2432" s="30" t="str">
        <f>IFERROR(VLOOKUP(C2432,소속부서!$A$2:$B$20,2,FALSE), "")</f>
        <v/>
      </c>
    </row>
    <row r="2433" spans="3:4" x14ac:dyDescent="0.3">
      <c r="C2433" s="35">
        <f t="shared" ref="C2433:C2496" si="39">E2433</f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9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9"/>
        <v>0</v>
      </c>
      <c r="D2435" s="30" t="str">
        <f>IFERROR(VLOOKUP(C2435,소속부서!$A$2:$B$20,2,FALSE), "")</f>
        <v/>
      </c>
    </row>
    <row r="2436" spans="3:4" x14ac:dyDescent="0.3">
      <c r="C2436" s="35">
        <f t="shared" si="39"/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9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9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9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9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9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9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9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9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9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9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9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9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9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9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9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9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9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9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9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9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9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9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9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9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9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9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9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9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9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9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9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9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9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9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9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9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9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9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9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9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9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9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9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9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9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9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9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9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9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9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9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9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9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9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9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9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9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9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9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9"/>
        <v>0</v>
      </c>
      <c r="D2496" s="30" t="str">
        <f>IFERROR(VLOOKUP(C2496,소속부서!$A$2:$B$20,2,FALSE), "")</f>
        <v/>
      </c>
    </row>
    <row r="2497" spans="3:4" x14ac:dyDescent="0.3">
      <c r="C2497" s="35">
        <f t="shared" ref="C2497:C2560" si="40">E2497</f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40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40"/>
        <v>0</v>
      </c>
      <c r="D2499" s="30" t="str">
        <f>IFERROR(VLOOKUP(C2499,소속부서!$A$2:$B$20,2,FALSE), "")</f>
        <v/>
      </c>
    </row>
    <row r="2500" spans="3:4" x14ac:dyDescent="0.3">
      <c r="C2500" s="35">
        <f t="shared" si="40"/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40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40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40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40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40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40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40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40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40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40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40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40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40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40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40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40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40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40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40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40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40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40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40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40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40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40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40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40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40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40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40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40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40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40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40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40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40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40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40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40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40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40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40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40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40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40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40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40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40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40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40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40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40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40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40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40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40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40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40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40"/>
        <v>0</v>
      </c>
      <c r="D2560" s="30" t="str">
        <f>IFERROR(VLOOKUP(C2560,소속부서!$A$2:$B$20,2,FALSE), "")</f>
        <v/>
      </c>
    </row>
    <row r="2561" spans="3:4" x14ac:dyDescent="0.3">
      <c r="C2561" s="35">
        <f t="shared" ref="C2561:C2624" si="41">E2561</f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1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1"/>
        <v>0</v>
      </c>
      <c r="D2563" s="30" t="str">
        <f>IFERROR(VLOOKUP(C2563,소속부서!$A$2:$B$20,2,FALSE), "")</f>
        <v/>
      </c>
    </row>
    <row r="2564" spans="3:4" x14ac:dyDescent="0.3">
      <c r="C2564" s="35">
        <f t="shared" si="41"/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1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1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1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1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1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1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1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1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1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1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1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1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1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1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1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1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1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1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1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1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1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1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1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1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1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1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1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1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1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1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1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1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1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1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1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1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1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1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1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1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1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1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1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1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1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1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1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1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1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1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1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1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1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1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1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1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1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1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1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1"/>
        <v>0</v>
      </c>
      <c r="D2624" s="30" t="str">
        <f>IFERROR(VLOOKUP(C2624,소속부서!$A$2:$B$20,2,FALSE), "")</f>
        <v/>
      </c>
    </row>
    <row r="2625" spans="3:4" x14ac:dyDescent="0.3">
      <c r="C2625" s="35">
        <f t="shared" ref="C2625:C2688" si="42">E2625</f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2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2"/>
        <v>0</v>
      </c>
      <c r="D2627" s="30" t="str">
        <f>IFERROR(VLOOKUP(C2627,소속부서!$A$2:$B$20,2,FALSE), "")</f>
        <v/>
      </c>
    </row>
    <row r="2628" spans="3:4" x14ac:dyDescent="0.3">
      <c r="C2628" s="35">
        <f t="shared" si="42"/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2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2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2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2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2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2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2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2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2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2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2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2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2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2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2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2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2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2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2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2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2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2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2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2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2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2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2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2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2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2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2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2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2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2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2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2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2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2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2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2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2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2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2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2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2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2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2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2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2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2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2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2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2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2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2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2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2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2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2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2"/>
        <v>0</v>
      </c>
      <c r="D2688" s="30" t="str">
        <f>IFERROR(VLOOKUP(C2688,소속부서!$A$2:$B$20,2,FALSE), "")</f>
        <v/>
      </c>
    </row>
    <row r="2689" spans="3:4" x14ac:dyDescent="0.3">
      <c r="C2689" s="35">
        <f t="shared" ref="C2689:C2752" si="43">E2689</f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3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3"/>
        <v>0</v>
      </c>
      <c r="D2691" s="30" t="str">
        <f>IFERROR(VLOOKUP(C2691,소속부서!$A$2:$B$20,2,FALSE), "")</f>
        <v/>
      </c>
    </row>
    <row r="2692" spans="3:4" x14ac:dyDescent="0.3">
      <c r="C2692" s="35">
        <f t="shared" si="43"/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3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3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3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3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3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3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3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3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3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3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3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3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3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3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3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3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3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3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3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3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3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3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3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3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3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3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3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3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3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3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3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3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3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3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3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3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3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3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3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3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3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3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3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3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3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3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3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3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3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3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3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3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3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3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3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3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3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3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3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3"/>
        <v>0</v>
      </c>
      <c r="D2752" s="30" t="str">
        <f>IFERROR(VLOOKUP(C2752,소속부서!$A$2:$B$20,2,FALSE), "")</f>
        <v/>
      </c>
    </row>
    <row r="2753" spans="3:4" x14ac:dyDescent="0.3">
      <c r="C2753" s="35">
        <f t="shared" ref="C2753:C2816" si="44">E2753</f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4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4"/>
        <v>0</v>
      </c>
      <c r="D2755" s="30" t="str">
        <f>IFERROR(VLOOKUP(C2755,소속부서!$A$2:$B$20,2,FALSE), "")</f>
        <v/>
      </c>
    </row>
    <row r="2756" spans="3:4" x14ac:dyDescent="0.3">
      <c r="C2756" s="35">
        <f t="shared" si="44"/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4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4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4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4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4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4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4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4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4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4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4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4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4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4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4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4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4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4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4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4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4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4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4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4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4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4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4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4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4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4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4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4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4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4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4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4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4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4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4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4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4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4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4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4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4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4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4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4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4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4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4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4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4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4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4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4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4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4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4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4"/>
        <v>0</v>
      </c>
      <c r="D2816" s="30" t="str">
        <f>IFERROR(VLOOKUP(C2816,소속부서!$A$2:$B$20,2,FALSE), "")</f>
        <v/>
      </c>
    </row>
    <row r="2817" spans="3:4" x14ac:dyDescent="0.3">
      <c r="C2817" s="35">
        <f t="shared" ref="C2817:C2880" si="45">E2817</f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5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5"/>
        <v>0</v>
      </c>
      <c r="D2819" s="30" t="str">
        <f>IFERROR(VLOOKUP(C2819,소속부서!$A$2:$B$20,2,FALSE), "")</f>
        <v/>
      </c>
    </row>
    <row r="2820" spans="3:4" x14ac:dyDescent="0.3">
      <c r="C2820" s="35">
        <f t="shared" si="45"/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5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5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5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5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5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5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5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5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5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5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5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5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5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5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5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5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5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5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5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5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5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5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5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5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5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5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5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5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5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5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5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5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5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5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5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5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5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5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5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5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5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5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5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5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5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5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5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5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5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5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5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5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5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5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5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5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5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5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5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5"/>
        <v>0</v>
      </c>
      <c r="D2880" s="30" t="str">
        <f>IFERROR(VLOOKUP(C2880,소속부서!$A$2:$B$20,2,FALSE), "")</f>
        <v/>
      </c>
    </row>
    <row r="2881" spans="3:4" x14ac:dyDescent="0.3">
      <c r="C2881" s="35">
        <f t="shared" ref="C2881:C2944" si="46">E2881</f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6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6"/>
        <v>0</v>
      </c>
      <c r="D2883" s="30" t="str">
        <f>IFERROR(VLOOKUP(C2883,소속부서!$A$2:$B$20,2,FALSE), "")</f>
        <v/>
      </c>
    </row>
    <row r="2884" spans="3:4" x14ac:dyDescent="0.3">
      <c r="C2884" s="35">
        <f t="shared" si="46"/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6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6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6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6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6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6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6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6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6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6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6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6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6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6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6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6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6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6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6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6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6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6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6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6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6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6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6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6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6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6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6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6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6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6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6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6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6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6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6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6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6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6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6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6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6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6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6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6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6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6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6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6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6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6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6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6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6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6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6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6"/>
        <v>0</v>
      </c>
      <c r="D2944" s="30" t="str">
        <f>IFERROR(VLOOKUP(C2944,소속부서!$A$2:$B$20,2,FALSE), "")</f>
        <v/>
      </c>
    </row>
    <row r="2945" spans="3:4" x14ac:dyDescent="0.3">
      <c r="C2945" s="35">
        <f t="shared" ref="C2945:C3008" si="47">E2945</f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7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7"/>
        <v>0</v>
      </c>
      <c r="D2947" s="30" t="str">
        <f>IFERROR(VLOOKUP(C2947,소속부서!$A$2:$B$20,2,FALSE), "")</f>
        <v/>
      </c>
    </row>
    <row r="2948" spans="3:4" x14ac:dyDescent="0.3">
      <c r="C2948" s="35">
        <f t="shared" si="47"/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7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7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7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7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7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7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7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7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7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7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7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7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7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7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7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7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7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7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7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7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7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7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7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7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7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7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7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7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7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7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7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7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7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7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7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7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7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7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7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7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7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7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7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7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7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7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7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7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7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7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7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7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7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7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7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7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7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7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7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7"/>
        <v>0</v>
      </c>
      <c r="D3008" s="30" t="str">
        <f>IFERROR(VLOOKUP(C3008,소속부서!$A$2:$B$20,2,FALSE), "")</f>
        <v/>
      </c>
    </row>
    <row r="3009" spans="3:4" x14ac:dyDescent="0.3">
      <c r="C3009" s="35">
        <f t="shared" ref="C3009:C3072" si="48">E3009</f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8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8"/>
        <v>0</v>
      </c>
      <c r="D3011" s="30" t="str">
        <f>IFERROR(VLOOKUP(C3011,소속부서!$A$2:$B$20,2,FALSE), "")</f>
        <v/>
      </c>
    </row>
    <row r="3012" spans="3:4" x14ac:dyDescent="0.3">
      <c r="C3012" s="35">
        <f t="shared" si="48"/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8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8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8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8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8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8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8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8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8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8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8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8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8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8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8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8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8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8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8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8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8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8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8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8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8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8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8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8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8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8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8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8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8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8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8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8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8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8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8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8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8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8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8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8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8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8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8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8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8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8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8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8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8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8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8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8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8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8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8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8"/>
        <v>0</v>
      </c>
      <c r="D3072" s="30" t="str">
        <f>IFERROR(VLOOKUP(C3072,소속부서!$A$2:$B$20,2,FALSE), "")</f>
        <v/>
      </c>
    </row>
    <row r="3073" spans="3:4" x14ac:dyDescent="0.3">
      <c r="C3073" s="35">
        <f t="shared" ref="C3073:C3136" si="49">E3073</f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9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9"/>
        <v>0</v>
      </c>
      <c r="D3075" s="30" t="str">
        <f>IFERROR(VLOOKUP(C3075,소속부서!$A$2:$B$20,2,FALSE), "")</f>
        <v/>
      </c>
    </row>
    <row r="3076" spans="3:4" x14ac:dyDescent="0.3">
      <c r="C3076" s="35">
        <f t="shared" si="49"/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9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9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9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9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9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9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9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9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9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9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9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9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9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9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9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9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9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9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9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9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9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9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9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9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9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9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9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9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9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9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9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9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9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9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9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9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9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9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9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9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9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9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9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9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9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9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9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9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9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9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9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9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9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9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9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9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9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9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9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9"/>
        <v>0</v>
      </c>
      <c r="D3136" s="30" t="str">
        <f>IFERROR(VLOOKUP(C3136,소속부서!$A$2:$B$20,2,FALSE), "")</f>
        <v/>
      </c>
    </row>
    <row r="3137" spans="3:4" x14ac:dyDescent="0.3">
      <c r="C3137" s="35">
        <f t="shared" ref="C3137:C3200" si="50">E3137</f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50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50"/>
        <v>0</v>
      </c>
      <c r="D3139" s="30" t="str">
        <f>IFERROR(VLOOKUP(C3139,소속부서!$A$2:$B$20,2,FALSE), "")</f>
        <v/>
      </c>
    </row>
    <row r="3140" spans="3:4" x14ac:dyDescent="0.3">
      <c r="C3140" s="35">
        <f t="shared" si="50"/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50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50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50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50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50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50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50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50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50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50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50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50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50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50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50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50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50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50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50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50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50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50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50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50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50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50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50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50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50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50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50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50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50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50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50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50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50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50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50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50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50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50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50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50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50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50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50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50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50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50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50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50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50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50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50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50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50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50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50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50"/>
        <v>0</v>
      </c>
      <c r="D3200" s="30" t="str">
        <f>IFERROR(VLOOKUP(C3200,소속부서!$A$2:$B$20,2,FALSE), "")</f>
        <v/>
      </c>
    </row>
    <row r="3201" spans="3:4" x14ac:dyDescent="0.3">
      <c r="C3201" s="35">
        <f t="shared" ref="C3201:C3264" si="51">E3201</f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1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1"/>
        <v>0</v>
      </c>
      <c r="D3203" s="30" t="str">
        <f>IFERROR(VLOOKUP(C3203,소속부서!$A$2:$B$20,2,FALSE), "")</f>
        <v/>
      </c>
    </row>
    <row r="3204" spans="3:4" x14ac:dyDescent="0.3">
      <c r="C3204" s="35">
        <f t="shared" si="51"/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1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1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1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1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1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1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1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1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1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1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1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1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1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1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1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1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1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1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1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1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1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1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1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1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1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1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1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1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1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1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1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1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1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1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1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1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1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1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1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1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1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1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1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1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1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1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1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1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1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1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1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1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1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1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1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1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1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1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1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1"/>
        <v>0</v>
      </c>
      <c r="D3264" s="30" t="str">
        <f>IFERROR(VLOOKUP(C3264,소속부서!$A$2:$B$20,2,FALSE), "")</f>
        <v/>
      </c>
    </row>
    <row r="3265" spans="3:4" x14ac:dyDescent="0.3">
      <c r="C3265" s="35">
        <f t="shared" ref="C3265:C3328" si="52">E3265</f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2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2"/>
        <v>0</v>
      </c>
      <c r="D3267" s="30" t="str">
        <f>IFERROR(VLOOKUP(C3267,소속부서!$A$2:$B$20,2,FALSE), "")</f>
        <v/>
      </c>
    </row>
    <row r="3268" spans="3:4" x14ac:dyDescent="0.3">
      <c r="C3268" s="35">
        <f t="shared" si="52"/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2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2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2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2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2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2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2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2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2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2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2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2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2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2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2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2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2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2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2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2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2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2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2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2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2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2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2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2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2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2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2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2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2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2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2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2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2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2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2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2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2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2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2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2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2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2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2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2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2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2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2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2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2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2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2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2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2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2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2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2"/>
        <v>0</v>
      </c>
      <c r="D3328" s="30" t="str">
        <f>IFERROR(VLOOKUP(C3328,소속부서!$A$2:$B$20,2,FALSE), "")</f>
        <v/>
      </c>
    </row>
    <row r="3329" spans="3:4" x14ac:dyDescent="0.3">
      <c r="C3329" s="35">
        <f t="shared" ref="C3329:C3392" si="53">E3329</f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3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3"/>
        <v>0</v>
      </c>
      <c r="D3331" s="30" t="str">
        <f>IFERROR(VLOOKUP(C3331,소속부서!$A$2:$B$20,2,FALSE), "")</f>
        <v/>
      </c>
    </row>
    <row r="3332" spans="3:4" x14ac:dyDescent="0.3">
      <c r="C3332" s="35">
        <f t="shared" si="53"/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3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3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3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3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3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3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3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3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3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3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3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3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3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3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3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3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3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3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3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3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3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3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3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3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3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3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3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3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3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3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3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3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3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3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3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3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3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3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3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3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3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3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3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3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3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3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3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3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3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3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3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3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3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3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3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3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3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3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3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3"/>
        <v>0</v>
      </c>
      <c r="D3392" s="30" t="str">
        <f>IFERROR(VLOOKUP(C3392,소속부서!$A$2:$B$20,2,FALSE), "")</f>
        <v/>
      </c>
    </row>
    <row r="3393" spans="3:4" x14ac:dyDescent="0.3">
      <c r="C3393" s="35">
        <f t="shared" ref="C3393:C3456" si="54">E3393</f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4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4"/>
        <v>0</v>
      </c>
      <c r="D3395" s="30" t="str">
        <f>IFERROR(VLOOKUP(C3395,소속부서!$A$2:$B$20,2,FALSE), "")</f>
        <v/>
      </c>
    </row>
    <row r="3396" spans="3:4" x14ac:dyDescent="0.3">
      <c r="C3396" s="35">
        <f t="shared" si="54"/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4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4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4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4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4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4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4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4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4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4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4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4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4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4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4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4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4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4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4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4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4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4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4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4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4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4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4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4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4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4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4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4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4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4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4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4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4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4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4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4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4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4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4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4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4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4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4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4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4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4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4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4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4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4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4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4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4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4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4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4"/>
        <v>0</v>
      </c>
      <c r="D3456" s="30" t="str">
        <f>IFERROR(VLOOKUP(C3456,소속부서!$A$2:$B$20,2,FALSE), "")</f>
        <v/>
      </c>
    </row>
    <row r="3457" spans="3:4" x14ac:dyDescent="0.3">
      <c r="C3457" s="35">
        <f t="shared" ref="C3457:C3520" si="55">E3457</f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5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5"/>
        <v>0</v>
      </c>
      <c r="D3459" s="30" t="str">
        <f>IFERROR(VLOOKUP(C3459,소속부서!$A$2:$B$20,2,FALSE), "")</f>
        <v/>
      </c>
    </row>
    <row r="3460" spans="3:4" x14ac:dyDescent="0.3">
      <c r="C3460" s="35">
        <f t="shared" si="55"/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5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5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5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5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5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5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5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5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5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5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5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5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5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5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5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5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5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5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5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5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5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5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5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5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5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5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5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5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5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5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5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5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5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5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5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5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5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5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5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5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5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5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5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5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5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5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5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5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5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5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5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5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5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5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5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5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5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5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5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5"/>
        <v>0</v>
      </c>
      <c r="D3520" s="30" t="str">
        <f>IFERROR(VLOOKUP(C3520,소속부서!$A$2:$B$20,2,FALSE), "")</f>
        <v/>
      </c>
    </row>
    <row r="3521" spans="3:4" x14ac:dyDescent="0.3">
      <c r="C3521" s="35">
        <f t="shared" ref="C3521:C3584" si="56">E3521</f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6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6"/>
        <v>0</v>
      </c>
      <c r="D3523" s="30" t="str">
        <f>IFERROR(VLOOKUP(C3523,소속부서!$A$2:$B$20,2,FALSE), "")</f>
        <v/>
      </c>
    </row>
    <row r="3524" spans="3:4" x14ac:dyDescent="0.3">
      <c r="C3524" s="35">
        <f t="shared" si="56"/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6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6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6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6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6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6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6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6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6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6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6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6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6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6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6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6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6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6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6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6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6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6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6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6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6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6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6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6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6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6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6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6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6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6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6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6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6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6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6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6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6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6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6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6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6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6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6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6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6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6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6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6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6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6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6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6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6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6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6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6"/>
        <v>0</v>
      </c>
      <c r="D3584" s="30" t="str">
        <f>IFERROR(VLOOKUP(C3584,소속부서!$A$2:$B$20,2,FALSE), "")</f>
        <v/>
      </c>
    </row>
    <row r="3585" spans="3:4" x14ac:dyDescent="0.3">
      <c r="C3585" s="35">
        <f t="shared" ref="C3585:C3648" si="57">E3585</f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7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7"/>
        <v>0</v>
      </c>
      <c r="D3587" s="30" t="str">
        <f>IFERROR(VLOOKUP(C3587,소속부서!$A$2:$B$20,2,FALSE), "")</f>
        <v/>
      </c>
    </row>
    <row r="3588" spans="3:4" x14ac:dyDescent="0.3">
      <c r="C3588" s="35">
        <f t="shared" si="57"/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7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7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7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7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7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7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7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7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7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7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7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7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7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7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7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7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7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7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7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7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7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7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7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7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7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7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7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7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7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7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7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7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7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7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7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7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7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7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7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7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7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7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7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7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7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7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7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7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7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7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7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7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7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7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7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7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7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7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7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7"/>
        <v>0</v>
      </c>
      <c r="D3648" s="30" t="str">
        <f>IFERROR(VLOOKUP(C3648,소속부서!$A$2:$B$20,2,FALSE), "")</f>
        <v/>
      </c>
    </row>
    <row r="3649" spans="3:4" x14ac:dyDescent="0.3">
      <c r="C3649" s="35">
        <f t="shared" ref="C3649:C3712" si="58">E3649</f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8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8"/>
        <v>0</v>
      </c>
      <c r="D3651" s="30" t="str">
        <f>IFERROR(VLOOKUP(C3651,소속부서!$A$2:$B$20,2,FALSE), "")</f>
        <v/>
      </c>
    </row>
    <row r="3652" spans="3:4" x14ac:dyDescent="0.3">
      <c r="C3652" s="35">
        <f t="shared" si="58"/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8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8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8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8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8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8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8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8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8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8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8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8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8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8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8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8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8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8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8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8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8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8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8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8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8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8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8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8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8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8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8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8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8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8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8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8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8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8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8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8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8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8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8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8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8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8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8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8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8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8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8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8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8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8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8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8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8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8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8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8"/>
        <v>0</v>
      </c>
      <c r="D3712" s="30" t="str">
        <f>IFERROR(VLOOKUP(C3712,소속부서!$A$2:$B$20,2,FALSE), "")</f>
        <v/>
      </c>
    </row>
    <row r="3713" spans="3:4" x14ac:dyDescent="0.3">
      <c r="C3713" s="35">
        <f t="shared" ref="C3713:C3776" si="59">E3713</f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9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9"/>
        <v>0</v>
      </c>
      <c r="D3715" s="30" t="str">
        <f>IFERROR(VLOOKUP(C3715,소속부서!$A$2:$B$20,2,FALSE), "")</f>
        <v/>
      </c>
    </row>
    <row r="3716" spans="3:4" x14ac:dyDescent="0.3">
      <c r="C3716" s="35">
        <f t="shared" si="59"/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9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9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9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9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9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9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9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9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9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9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9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9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9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9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9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9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9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9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9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9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9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9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9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9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9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9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9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9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9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9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9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9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9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9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9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9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9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9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9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9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9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9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9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9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9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9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9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9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9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9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9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9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9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9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9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9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9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9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9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9"/>
        <v>0</v>
      </c>
      <c r="D3776" s="30" t="str">
        <f>IFERROR(VLOOKUP(C3776,소속부서!$A$2:$B$20,2,FALSE), "")</f>
        <v/>
      </c>
    </row>
    <row r="3777" spans="3:4" x14ac:dyDescent="0.3">
      <c r="C3777" s="35">
        <f t="shared" ref="C3777:C3840" si="60">E3777</f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60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60"/>
        <v>0</v>
      </c>
      <c r="D3779" s="30" t="str">
        <f>IFERROR(VLOOKUP(C3779,소속부서!$A$2:$B$20,2,FALSE), "")</f>
        <v/>
      </c>
    </row>
    <row r="3780" spans="3:4" x14ac:dyDescent="0.3">
      <c r="C3780" s="35">
        <f t="shared" si="60"/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60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60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60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60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60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60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60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60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60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60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60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60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60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60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60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60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60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60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60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60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60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60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60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60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60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60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60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60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60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60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60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60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60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60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60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60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60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60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60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60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60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60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60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60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60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60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60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60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60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60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60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60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60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60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60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60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60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60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60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60"/>
        <v>0</v>
      </c>
      <c r="D3840" s="30" t="str">
        <f>IFERROR(VLOOKUP(C3840,소속부서!$A$2:$B$20,2,FALSE), "")</f>
        <v/>
      </c>
    </row>
    <row r="3841" spans="3:4" x14ac:dyDescent="0.3">
      <c r="C3841" s="35">
        <f t="shared" ref="C3841:C3904" si="61">E3841</f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1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1"/>
        <v>0</v>
      </c>
      <c r="D3843" s="30" t="str">
        <f>IFERROR(VLOOKUP(C3843,소속부서!$A$2:$B$20,2,FALSE), "")</f>
        <v/>
      </c>
    </row>
    <row r="3844" spans="3:4" x14ac:dyDescent="0.3">
      <c r="C3844" s="35">
        <f t="shared" si="61"/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1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1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1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1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1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1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1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1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1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1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1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1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1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1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1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1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1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1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1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1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1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1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1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1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1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1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1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1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1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1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1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1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1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1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1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1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1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1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1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1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1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1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1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1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1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1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1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1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1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1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1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1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1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1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1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1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1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1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1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1"/>
        <v>0</v>
      </c>
      <c r="D3904" s="30" t="str">
        <f>IFERROR(VLOOKUP(C3904,소속부서!$A$2:$B$20,2,FALSE), "")</f>
        <v/>
      </c>
    </row>
    <row r="3905" spans="3:4" x14ac:dyDescent="0.3">
      <c r="C3905" s="35">
        <f t="shared" ref="C3905:C3968" si="62">E3905</f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2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2"/>
        <v>0</v>
      </c>
      <c r="D3907" s="30" t="str">
        <f>IFERROR(VLOOKUP(C3907,소속부서!$A$2:$B$20,2,FALSE), "")</f>
        <v/>
      </c>
    </row>
    <row r="3908" spans="3:4" x14ac:dyDescent="0.3">
      <c r="C3908" s="35">
        <f t="shared" si="62"/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2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2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2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2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2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2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2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2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2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2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2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2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2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2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2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2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2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2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2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2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2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2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2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2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2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2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2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2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2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2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2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2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2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2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2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2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2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2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2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2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2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2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2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2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2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2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2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2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2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2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2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2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2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2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2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2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2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2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2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2"/>
        <v>0</v>
      </c>
      <c r="D3968" s="30" t="str">
        <f>IFERROR(VLOOKUP(C3968,소속부서!$A$2:$B$20,2,FALSE), "")</f>
        <v/>
      </c>
    </row>
    <row r="3969" spans="3:4" x14ac:dyDescent="0.3">
      <c r="C3969" s="35">
        <f t="shared" ref="C3969:C4032" si="63">E3969</f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3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3"/>
        <v>0</v>
      </c>
      <c r="D3971" s="30" t="str">
        <f>IFERROR(VLOOKUP(C3971,소속부서!$A$2:$B$20,2,FALSE), "")</f>
        <v/>
      </c>
    </row>
    <row r="3972" spans="3:4" x14ac:dyDescent="0.3">
      <c r="C3972" s="35">
        <f t="shared" si="63"/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3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3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3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3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3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3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3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3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3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3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3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3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3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3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3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3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3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3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3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3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3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3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3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3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3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3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3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3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3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3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3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3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3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3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3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3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3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3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3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3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3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3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3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3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3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3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3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3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3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3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3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3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3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3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3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3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3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3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3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3"/>
        <v>0</v>
      </c>
      <c r="D4032" s="30" t="str">
        <f>IFERROR(VLOOKUP(C4032,소속부서!$A$2:$B$20,2,FALSE), "")</f>
        <v/>
      </c>
    </row>
    <row r="4033" spans="3:4" x14ac:dyDescent="0.3">
      <c r="C4033" s="35">
        <f t="shared" ref="C4033:C4096" si="64">E4033</f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4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4"/>
        <v>0</v>
      </c>
      <c r="D4035" s="30" t="str">
        <f>IFERROR(VLOOKUP(C4035,소속부서!$A$2:$B$20,2,FALSE), "")</f>
        <v/>
      </c>
    </row>
    <row r="4036" spans="3:4" x14ac:dyDescent="0.3">
      <c r="C4036" s="35">
        <f t="shared" si="64"/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4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4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4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4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4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4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4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4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4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4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4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4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4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4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4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4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4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4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4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4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4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4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4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4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4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4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4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4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4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4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4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4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4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4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4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4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4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4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4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4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4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4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4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4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4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4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4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4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4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4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4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4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4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4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4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4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4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4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4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4"/>
        <v>0</v>
      </c>
      <c r="D4096" s="30" t="str">
        <f>IFERROR(VLOOKUP(C4096,소속부서!$A$2:$B$20,2,FALSE), "")</f>
        <v/>
      </c>
    </row>
    <row r="4097" spans="3:4" x14ac:dyDescent="0.3">
      <c r="C4097" s="35">
        <f t="shared" ref="C4097:C4160" si="65">E4097</f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5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5"/>
        <v>0</v>
      </c>
      <c r="D4099" s="30" t="str">
        <f>IFERROR(VLOOKUP(C4099,소속부서!$A$2:$B$20,2,FALSE), "")</f>
        <v/>
      </c>
    </row>
    <row r="4100" spans="3:4" x14ac:dyDescent="0.3">
      <c r="C4100" s="35">
        <f t="shared" si="65"/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5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5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5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5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5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5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5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5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5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5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5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5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5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5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5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5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5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5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5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5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5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5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5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5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5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5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5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5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5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5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5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5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5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5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5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5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5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5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5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5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5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5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5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5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5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5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5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5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5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5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5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5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5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5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5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5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5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5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5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5"/>
        <v>0</v>
      </c>
      <c r="D4160" s="30" t="str">
        <f>IFERROR(VLOOKUP(C4160,소속부서!$A$2:$B$20,2,FALSE), "")</f>
        <v/>
      </c>
    </row>
    <row r="4161" spans="3:4" x14ac:dyDescent="0.3">
      <c r="C4161" s="35">
        <f t="shared" ref="C4161:C4224" si="66">E4161</f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6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6"/>
        <v>0</v>
      </c>
      <c r="D4163" s="30" t="str">
        <f>IFERROR(VLOOKUP(C4163,소속부서!$A$2:$B$20,2,FALSE), "")</f>
        <v/>
      </c>
    </row>
    <row r="4164" spans="3:4" x14ac:dyDescent="0.3">
      <c r="C4164" s="35">
        <f t="shared" si="66"/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6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6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6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6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6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6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6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6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6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6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6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6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6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6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6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6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6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6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6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6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6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6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6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6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6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6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6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6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6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6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6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6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6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6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6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6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6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6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6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6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6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6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6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6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6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6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6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6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6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6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6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6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6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6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6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6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6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6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6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6"/>
        <v>0</v>
      </c>
      <c r="D4224" s="30" t="str">
        <f>IFERROR(VLOOKUP(C4224,소속부서!$A$2:$B$20,2,FALSE), "")</f>
        <v/>
      </c>
    </row>
    <row r="4225" spans="3:4" x14ac:dyDescent="0.3">
      <c r="C4225" s="35">
        <f t="shared" ref="C4225:C4288" si="67">E4225</f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7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7"/>
        <v>0</v>
      </c>
      <c r="D4227" s="30" t="str">
        <f>IFERROR(VLOOKUP(C4227,소속부서!$A$2:$B$20,2,FALSE), "")</f>
        <v/>
      </c>
    </row>
    <row r="4228" spans="3:4" x14ac:dyDescent="0.3">
      <c r="C4228" s="35">
        <f t="shared" si="67"/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7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7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7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7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7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7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7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7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7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7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7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7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7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7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7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7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7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7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7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7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7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7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7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7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7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7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7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7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7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7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7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7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7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7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7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7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7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7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7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7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7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7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7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7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7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7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7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7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7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7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7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7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7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7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7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7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7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7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7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7"/>
        <v>0</v>
      </c>
      <c r="D4288" s="30" t="str">
        <f>IFERROR(VLOOKUP(C4288,소속부서!$A$2:$B$20,2,FALSE), "")</f>
        <v/>
      </c>
    </row>
    <row r="4289" spans="3:4" x14ac:dyDescent="0.3">
      <c r="C4289" s="35">
        <f t="shared" ref="C4289:C4352" si="68">E4289</f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8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8"/>
        <v>0</v>
      </c>
      <c r="D4291" s="30" t="str">
        <f>IFERROR(VLOOKUP(C4291,소속부서!$A$2:$B$20,2,FALSE), "")</f>
        <v/>
      </c>
    </row>
    <row r="4292" spans="3:4" x14ac:dyDescent="0.3">
      <c r="C4292" s="35">
        <f t="shared" si="68"/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8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8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8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8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8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8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8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8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8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8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8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8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8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8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8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8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8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8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8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8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8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8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8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8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8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8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8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8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8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8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8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8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8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8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8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8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8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8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8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8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8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8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8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8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8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8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8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8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8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8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8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8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8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8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8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8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8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8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8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8"/>
        <v>0</v>
      </c>
      <c r="D4352" s="30" t="str">
        <f>IFERROR(VLOOKUP(C4352,소속부서!$A$2:$B$20,2,FALSE), "")</f>
        <v/>
      </c>
    </row>
    <row r="4353" spans="3:4" x14ac:dyDescent="0.3">
      <c r="C4353" s="35">
        <f t="shared" ref="C4353:C4416" si="69">E4353</f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9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9"/>
        <v>0</v>
      </c>
      <c r="D4355" s="30" t="str">
        <f>IFERROR(VLOOKUP(C4355,소속부서!$A$2:$B$20,2,FALSE), "")</f>
        <v/>
      </c>
    </row>
    <row r="4356" spans="3:4" x14ac:dyDescent="0.3">
      <c r="C4356" s="35">
        <f t="shared" si="69"/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9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9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9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9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9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9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9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9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9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9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9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9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9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9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9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9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9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9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9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9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9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9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9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9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9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9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9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9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9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9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9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9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9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9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9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9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9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9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9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9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9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9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9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9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9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9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9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9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9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9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9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9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9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9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9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9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9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9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9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9"/>
        <v>0</v>
      </c>
      <c r="D4416" s="30" t="str">
        <f>IFERROR(VLOOKUP(C4416,소속부서!$A$2:$B$20,2,FALSE), "")</f>
        <v/>
      </c>
    </row>
    <row r="4417" spans="3:4" x14ac:dyDescent="0.3">
      <c r="C4417" s="35">
        <f t="shared" ref="C4417:C4480" si="70">E4417</f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70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70"/>
        <v>0</v>
      </c>
      <c r="D4419" s="30" t="str">
        <f>IFERROR(VLOOKUP(C4419,소속부서!$A$2:$B$20,2,FALSE), "")</f>
        <v/>
      </c>
    </row>
    <row r="4420" spans="3:4" x14ac:dyDescent="0.3">
      <c r="C4420" s="35">
        <f t="shared" si="70"/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70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70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70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70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70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70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70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70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70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70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70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70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70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70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70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70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70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70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70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70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70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70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70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70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70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70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70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70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70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70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70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70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70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70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70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70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70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70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70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70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70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70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70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70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70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70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70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70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70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70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70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70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70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70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70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70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70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70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70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70"/>
        <v>0</v>
      </c>
      <c r="D4480" s="30" t="str">
        <f>IFERROR(VLOOKUP(C4480,소속부서!$A$2:$B$20,2,FALSE), "")</f>
        <v/>
      </c>
    </row>
    <row r="4481" spans="3:4" x14ac:dyDescent="0.3">
      <c r="C4481" s="35">
        <f t="shared" ref="C4481:C4544" si="71">E4481</f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1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1"/>
        <v>0</v>
      </c>
      <c r="D4483" s="30" t="str">
        <f>IFERROR(VLOOKUP(C4483,소속부서!$A$2:$B$20,2,FALSE), "")</f>
        <v/>
      </c>
    </row>
    <row r="4484" spans="3:4" x14ac:dyDescent="0.3">
      <c r="C4484" s="35">
        <f t="shared" si="71"/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1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1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1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1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1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1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1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1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1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1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1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1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1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1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1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1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1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1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1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1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1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1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1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1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1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1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1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1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1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1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1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1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1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1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1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1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1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1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1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1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1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1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1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1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1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1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1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1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1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1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1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1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1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1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1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1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1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1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1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1"/>
        <v>0</v>
      </c>
      <c r="D4544" s="30" t="str">
        <f>IFERROR(VLOOKUP(C4544,소속부서!$A$2:$B$20,2,FALSE), "")</f>
        <v/>
      </c>
    </row>
    <row r="4545" spans="3:4" x14ac:dyDescent="0.3">
      <c r="C4545" s="35">
        <f t="shared" ref="C4545:C4608" si="72">E4545</f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2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2"/>
        <v>0</v>
      </c>
      <c r="D4547" s="30" t="str">
        <f>IFERROR(VLOOKUP(C4547,소속부서!$A$2:$B$20,2,FALSE), "")</f>
        <v/>
      </c>
    </row>
    <row r="4548" spans="3:4" x14ac:dyDescent="0.3">
      <c r="C4548" s="35">
        <f t="shared" si="72"/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2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2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2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2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2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2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2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2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2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2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2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2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2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2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2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2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2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2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2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2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2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2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2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2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2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2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2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2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2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2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2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2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2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2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2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2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2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2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2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2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2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2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2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2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2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2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2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2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2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2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2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2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2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2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2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2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2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2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2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2"/>
        <v>0</v>
      </c>
      <c r="D4608" s="30" t="str">
        <f>IFERROR(VLOOKUP(C4608,소속부서!$A$2:$B$20,2,FALSE), "")</f>
        <v/>
      </c>
    </row>
    <row r="4609" spans="3:4" x14ac:dyDescent="0.3">
      <c r="C4609" s="35">
        <f t="shared" ref="C4609:C4672" si="73">E4609</f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3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3"/>
        <v>0</v>
      </c>
      <c r="D4611" s="30" t="str">
        <f>IFERROR(VLOOKUP(C4611,소속부서!$A$2:$B$20,2,FALSE), "")</f>
        <v/>
      </c>
    </row>
    <row r="4612" spans="3:4" x14ac:dyDescent="0.3">
      <c r="C4612" s="35">
        <f t="shared" si="73"/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3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3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3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3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3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3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3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3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3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3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3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3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3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3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3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3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3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3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3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3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3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3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3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3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3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3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3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3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3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3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3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3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3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3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3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3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3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3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3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3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3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3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3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3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3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3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3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3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3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3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3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3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3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3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3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3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3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3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3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3"/>
        <v>0</v>
      </c>
      <c r="D4672" s="30" t="str">
        <f>IFERROR(VLOOKUP(C4672,소속부서!$A$2:$B$20,2,FALSE), "")</f>
        <v/>
      </c>
    </row>
    <row r="4673" spans="3:4" x14ac:dyDescent="0.3">
      <c r="C4673" s="35">
        <f t="shared" ref="C4673:C4736" si="74">E4673</f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4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4"/>
        <v>0</v>
      </c>
      <c r="D4675" s="30" t="str">
        <f>IFERROR(VLOOKUP(C4675,소속부서!$A$2:$B$20,2,FALSE), "")</f>
        <v/>
      </c>
    </row>
    <row r="4676" spans="3:4" x14ac:dyDescent="0.3">
      <c r="C4676" s="35">
        <f t="shared" si="74"/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4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4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4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4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4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4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4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4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4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4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4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4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4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4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4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4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4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4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4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4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4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4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4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4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4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4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4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4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4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4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4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4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4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4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4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4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4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4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4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4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4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4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4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4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4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4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4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4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4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4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4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4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4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4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4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4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4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4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4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4"/>
        <v>0</v>
      </c>
      <c r="D4736" s="30" t="str">
        <f>IFERROR(VLOOKUP(C4736,소속부서!$A$2:$B$20,2,FALSE), "")</f>
        <v/>
      </c>
    </row>
    <row r="4737" spans="3:4" x14ac:dyDescent="0.3">
      <c r="C4737" s="35">
        <f t="shared" ref="C4737:C4800" si="75">E4737</f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5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5"/>
        <v>0</v>
      </c>
      <c r="D4739" s="30" t="str">
        <f>IFERROR(VLOOKUP(C4739,소속부서!$A$2:$B$20,2,FALSE), "")</f>
        <v/>
      </c>
    </row>
    <row r="4740" spans="3:4" x14ac:dyDescent="0.3">
      <c r="C4740" s="35">
        <f t="shared" si="75"/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5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5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5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5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5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5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5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5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5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5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5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5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5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5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5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5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5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5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5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5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5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5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5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5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5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5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5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5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5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5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5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5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5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5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5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5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5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5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5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5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5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5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5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5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5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5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5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5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5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5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5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5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5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5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5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5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5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5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5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5"/>
        <v>0</v>
      </c>
      <c r="D4800" s="30" t="str">
        <f>IFERROR(VLOOKUP(C4800,소속부서!$A$2:$B$20,2,FALSE), "")</f>
        <v/>
      </c>
    </row>
    <row r="4801" spans="3:4" x14ac:dyDescent="0.3">
      <c r="C4801" s="35">
        <f t="shared" ref="C4801:C4864" si="76">E4801</f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6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6"/>
        <v>0</v>
      </c>
      <c r="D4803" s="30" t="str">
        <f>IFERROR(VLOOKUP(C4803,소속부서!$A$2:$B$20,2,FALSE), "")</f>
        <v/>
      </c>
    </row>
    <row r="4804" spans="3:4" x14ac:dyDescent="0.3">
      <c r="C4804" s="35">
        <f t="shared" si="76"/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6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6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6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6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6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6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6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6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6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6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6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6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6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6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6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6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6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6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6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6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6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6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6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6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6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6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6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6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6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6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6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6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6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6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6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6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6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6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6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6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6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6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6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6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6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6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6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6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6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6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6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6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6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6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6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6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6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6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6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6"/>
        <v>0</v>
      </c>
      <c r="D4864" s="30" t="str">
        <f>IFERROR(VLOOKUP(C4864,소속부서!$A$2:$B$20,2,FALSE), "")</f>
        <v/>
      </c>
    </row>
    <row r="4865" spans="3:4" x14ac:dyDescent="0.3">
      <c r="C4865" s="35">
        <f t="shared" ref="C4865:C4928" si="77">E4865</f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7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7"/>
        <v>0</v>
      </c>
      <c r="D4867" s="30" t="str">
        <f>IFERROR(VLOOKUP(C4867,소속부서!$A$2:$B$20,2,FALSE), "")</f>
        <v/>
      </c>
    </row>
    <row r="4868" spans="3:4" x14ac:dyDescent="0.3">
      <c r="C4868" s="35">
        <f t="shared" si="77"/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7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7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7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7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7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7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7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7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7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7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7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7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7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7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7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7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7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7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7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7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7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7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7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7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7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7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7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7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7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7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7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7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7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7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7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7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7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7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7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7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7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7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7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7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7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7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7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7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7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7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7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7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7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7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7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7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7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7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7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7"/>
        <v>0</v>
      </c>
      <c r="D4928" s="30" t="str">
        <f>IFERROR(VLOOKUP(C4928,소속부서!$A$2:$B$20,2,FALSE), "")</f>
        <v/>
      </c>
    </row>
    <row r="4929" spans="3:4" x14ac:dyDescent="0.3">
      <c r="C4929" s="35">
        <f t="shared" ref="C4929:C4992" si="78">E4929</f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8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8"/>
        <v>0</v>
      </c>
      <c r="D4931" s="30" t="str">
        <f>IFERROR(VLOOKUP(C4931,소속부서!$A$2:$B$20,2,FALSE), "")</f>
        <v/>
      </c>
    </row>
    <row r="4932" spans="3:4" x14ac:dyDescent="0.3">
      <c r="C4932" s="35">
        <f t="shared" si="78"/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8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8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8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8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8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8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8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8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8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8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8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8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8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8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8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8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8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8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8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8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8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8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8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8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8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8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8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8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8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8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8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8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8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8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8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8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8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8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8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8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8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8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8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8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8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8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8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8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8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8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8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8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8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8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8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8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8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8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8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8"/>
        <v>0</v>
      </c>
      <c r="D4992" s="30" t="str">
        <f>IFERROR(VLOOKUP(C4992,소속부서!$A$2:$B$20,2,FALSE), "")</f>
        <v/>
      </c>
    </row>
    <row r="4993" spans="3:4" x14ac:dyDescent="0.3">
      <c r="C4993" s="35">
        <f t="shared" ref="C4993:C5056" si="79">E4993</f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9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9"/>
        <v>0</v>
      </c>
      <c r="D4995" s="30" t="str">
        <f>IFERROR(VLOOKUP(C4995,소속부서!$A$2:$B$20,2,FALSE), "")</f>
        <v/>
      </c>
    </row>
    <row r="4996" spans="3:4" x14ac:dyDescent="0.3">
      <c r="C4996" s="35">
        <f t="shared" si="79"/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9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9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9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9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9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9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9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9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9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9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9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9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9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9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9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9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9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9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9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9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9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9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9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9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9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9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9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9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9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9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9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9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9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9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9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9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9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9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9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9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9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9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9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9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9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9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9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9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9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9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9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9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9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9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9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9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9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9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9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9"/>
        <v>0</v>
      </c>
      <c r="D5056" s="30" t="str">
        <f>IFERROR(VLOOKUP(C5056,소속부서!$A$2:$B$20,2,FALSE), "")</f>
        <v/>
      </c>
    </row>
    <row r="5057" spans="3:4" x14ac:dyDescent="0.3">
      <c r="C5057" s="35">
        <f t="shared" ref="C5057:C5120" si="80">E5057</f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80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80"/>
        <v>0</v>
      </c>
      <c r="D5059" s="30" t="str">
        <f>IFERROR(VLOOKUP(C5059,소속부서!$A$2:$B$20,2,FALSE), "")</f>
        <v/>
      </c>
    </row>
    <row r="5060" spans="3:4" x14ac:dyDescent="0.3">
      <c r="C5060" s="35">
        <f t="shared" si="80"/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80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80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80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80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80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80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80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80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80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80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80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80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80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80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80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80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80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80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80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80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80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80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80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80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80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80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80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80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80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80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80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80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80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80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80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80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80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80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80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80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80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80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80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80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80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80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80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80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80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80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80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80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80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80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80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80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80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80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80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80"/>
        <v>0</v>
      </c>
      <c r="D5120" s="30" t="str">
        <f>IFERROR(VLOOKUP(C5120,소속부서!$A$2:$B$20,2,FALSE), "")</f>
        <v/>
      </c>
    </row>
    <row r="5121" spans="3:4" x14ac:dyDescent="0.3">
      <c r="C5121" s="35">
        <f t="shared" ref="C5121:C5184" si="81">E5121</f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1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1"/>
        <v>0</v>
      </c>
      <c r="D5123" s="30" t="str">
        <f>IFERROR(VLOOKUP(C5123,소속부서!$A$2:$B$20,2,FALSE), "")</f>
        <v/>
      </c>
    </row>
    <row r="5124" spans="3:4" x14ac:dyDescent="0.3">
      <c r="C5124" s="35">
        <f t="shared" si="81"/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1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1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1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1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1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1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1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1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1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1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1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1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1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1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1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1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1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1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1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1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1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1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1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1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1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1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1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1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1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1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1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1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1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1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1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1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1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1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1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1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1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1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1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1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1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1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1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1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1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1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1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1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1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1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1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1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1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1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1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1"/>
        <v>0</v>
      </c>
      <c r="D5184" s="30" t="str">
        <f>IFERROR(VLOOKUP(C5184,소속부서!$A$2:$B$20,2,FALSE), "")</f>
        <v/>
      </c>
    </row>
    <row r="5185" spans="3:4" x14ac:dyDescent="0.3">
      <c r="C5185" s="35">
        <f t="shared" ref="C5185:C5248" si="82">E5185</f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2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2"/>
        <v>0</v>
      </c>
      <c r="D5187" s="30" t="str">
        <f>IFERROR(VLOOKUP(C5187,소속부서!$A$2:$B$20,2,FALSE), "")</f>
        <v/>
      </c>
    </row>
    <row r="5188" spans="3:4" x14ac:dyDescent="0.3">
      <c r="C5188" s="35">
        <f t="shared" si="82"/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2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2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2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2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2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2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2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2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2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2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2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2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2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2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2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2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2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2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2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2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2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2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2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2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2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2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2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2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2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2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2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2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2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2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2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2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2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2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2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2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2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2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2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2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2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2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2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2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2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2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2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2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2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2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2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2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2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2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2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2"/>
        <v>0</v>
      </c>
      <c r="D5248" s="30" t="str">
        <f>IFERROR(VLOOKUP(C5248,소속부서!$A$2:$B$20,2,FALSE), "")</f>
        <v/>
      </c>
    </row>
    <row r="5249" spans="3:4" x14ac:dyDescent="0.3">
      <c r="C5249" s="35">
        <f t="shared" ref="C5249:C5312" si="83">E5249</f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3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3"/>
        <v>0</v>
      </c>
      <c r="D5251" s="30" t="str">
        <f>IFERROR(VLOOKUP(C5251,소속부서!$A$2:$B$20,2,FALSE), "")</f>
        <v/>
      </c>
    </row>
    <row r="5252" spans="3:4" x14ac:dyDescent="0.3">
      <c r="C5252" s="35">
        <f t="shared" si="83"/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3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3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3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3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3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3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3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3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3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3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3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3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3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3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3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3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3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3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3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3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3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3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3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3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3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3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3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3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3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3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3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3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3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3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3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3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3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3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3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3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3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3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3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3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3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3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3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3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3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3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3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3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3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3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3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3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3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3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3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3"/>
        <v>0</v>
      </c>
      <c r="D5312" s="30" t="str">
        <f>IFERROR(VLOOKUP(C5312,소속부서!$A$2:$B$20,2,FALSE), "")</f>
        <v/>
      </c>
    </row>
    <row r="5313" spans="3:4" x14ac:dyDescent="0.3">
      <c r="C5313" s="35">
        <f t="shared" ref="C5313:C5376" si="84">E5313</f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4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4"/>
        <v>0</v>
      </c>
      <c r="D5315" s="30" t="str">
        <f>IFERROR(VLOOKUP(C5315,소속부서!$A$2:$B$20,2,FALSE), "")</f>
        <v/>
      </c>
    </row>
    <row r="5316" spans="3:4" x14ac:dyDescent="0.3">
      <c r="C5316" s="35">
        <f t="shared" si="84"/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4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4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4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4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4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4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4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4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4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4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4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4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4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4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4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4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4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4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4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4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4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4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4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4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4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4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4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4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4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4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4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4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4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4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4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4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4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4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4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4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4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4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4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4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4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4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4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4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4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4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4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4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4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4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4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4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4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4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4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4"/>
        <v>0</v>
      </c>
      <c r="D5376" s="30" t="str">
        <f>IFERROR(VLOOKUP(C5376,소속부서!$A$2:$B$20,2,FALSE), "")</f>
        <v/>
      </c>
    </row>
    <row r="5377" spans="3:4" x14ac:dyDescent="0.3">
      <c r="C5377" s="35">
        <f t="shared" ref="C5377:C5440" si="85">E5377</f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5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5"/>
        <v>0</v>
      </c>
      <c r="D5379" s="30" t="str">
        <f>IFERROR(VLOOKUP(C5379,소속부서!$A$2:$B$20,2,FALSE), "")</f>
        <v/>
      </c>
    </row>
    <row r="5380" spans="3:4" x14ac:dyDescent="0.3">
      <c r="C5380" s="35">
        <f t="shared" si="85"/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5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5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5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5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5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5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5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5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5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5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5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5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5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5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5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5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5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5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5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5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5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5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5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5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5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5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5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5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5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5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5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5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5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5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5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5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5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5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5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5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5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5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5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5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5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5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5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5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5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5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5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5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5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5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5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5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5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5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5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5"/>
        <v>0</v>
      </c>
      <c r="D5440" s="30" t="str">
        <f>IFERROR(VLOOKUP(C5440,소속부서!$A$2:$B$20,2,FALSE), "")</f>
        <v/>
      </c>
    </row>
    <row r="5441" spans="3:4" x14ac:dyDescent="0.3">
      <c r="C5441" s="35">
        <f t="shared" ref="C5441:C5504" si="86">E5441</f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6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6"/>
        <v>0</v>
      </c>
      <c r="D5443" s="30" t="str">
        <f>IFERROR(VLOOKUP(C5443,소속부서!$A$2:$B$20,2,FALSE), "")</f>
        <v/>
      </c>
    </row>
    <row r="5444" spans="3:4" x14ac:dyDescent="0.3">
      <c r="C5444" s="35">
        <f t="shared" si="86"/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6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6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6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6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6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6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6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6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6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6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6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6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6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6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6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6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6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6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6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6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6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6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6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6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6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6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6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6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6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6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6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6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6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6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6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6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6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6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6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6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6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6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6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6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6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6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6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6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6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6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6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6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6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6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6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6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6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6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6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6"/>
        <v>0</v>
      </c>
      <c r="D5504" s="30" t="str">
        <f>IFERROR(VLOOKUP(C5504,소속부서!$A$2:$B$20,2,FALSE), "")</f>
        <v/>
      </c>
    </row>
    <row r="5505" spans="3:4" x14ac:dyDescent="0.3">
      <c r="C5505" s="35">
        <f t="shared" ref="C5505:C5545" si="87">E5505</f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7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7"/>
        <v>0</v>
      </c>
      <c r="D5507" s="30" t="str">
        <f>IFERROR(VLOOKUP(C5507,소속부서!$A$2:$B$20,2,FALSE), "")</f>
        <v/>
      </c>
    </row>
    <row r="5508" spans="3:4" x14ac:dyDescent="0.3">
      <c r="C5508" s="35">
        <f t="shared" si="87"/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7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7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7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7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7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7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7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7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7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7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7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7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7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7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7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7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7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7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7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7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7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7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7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7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7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7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7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7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7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7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7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7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7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7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7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7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7"/>
        <v>0</v>
      </c>
      <c r="D5545" s="30" t="str">
        <f>IFERROR(VLOOKUP(C5545,소속부서!$A$2:$B$20,2,FALSE), "")</f>
        <v/>
      </c>
    </row>
  </sheetData>
  <autoFilter ref="A1:O5545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73" t="s">
        <v>53</v>
      </c>
      <c r="B26" s="73"/>
      <c r="C26" s="73"/>
      <c r="D26" s="73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74" t="s">
        <v>54</v>
      </c>
      <c r="B41" s="74"/>
      <c r="C41" s="74"/>
      <c r="D41" s="74"/>
      <c r="E41" s="74"/>
      <c r="F41" s="74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2"/>
  <sheetViews>
    <sheetView topLeftCell="A639" workbookViewId="0">
      <selection activeCell="B672" sqref="B672:C672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20" sqref="A20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2025-09-03T05:20:05Z</dcterms:modified>
</cp:coreProperties>
</file>