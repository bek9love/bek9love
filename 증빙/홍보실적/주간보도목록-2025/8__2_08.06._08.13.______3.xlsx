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지예\스크랩목록\2025년\주간홍보동향\8월\8월 2주\"/>
    </mc:Choice>
  </mc:AlternateContent>
  <bookViews>
    <workbookView xWindow="0" yWindow="0" windowWidth="19200" windowHeight="11025"/>
  </bookViews>
  <sheets>
    <sheet name="2022년 누적시트" sheetId="7" r:id="rId1"/>
    <sheet name="Sheet2" sheetId="13" r:id="rId2"/>
    <sheet name="양식" sheetId="2" r:id="rId3"/>
    <sheet name="보도매체" sheetId="14" r:id="rId4"/>
    <sheet name="소속부서" sheetId="15" r:id="rId5"/>
  </sheets>
  <externalReferences>
    <externalReference r:id="rId6"/>
    <externalReference r:id="rId7"/>
  </externalReferences>
  <definedNames>
    <definedName name="_xlnm._FilterDatabase" localSheetId="0" hidden="1">'2022년 누적시트'!$A$1:$O$5545</definedName>
    <definedName name="_xlnm._FilterDatabase" localSheetId="4" hidden="1">소속부서!$B$1:$B$19</definedName>
    <definedName name="_xlnm._FilterDatabase" localSheetId="2" hidden="1">양식!$A$1:$F$87</definedName>
    <definedName name="_xlnm.Print_Area" localSheetId="0">'2022년 누적시트'!#REF!</definedName>
    <definedName name="_xlnm.Print_Area" localSheetId="2">양식!$B$2:$E$20</definedName>
  </definedNames>
  <calcPr calcId="162913"/>
  <pivotCaches>
    <pivotCache cacheId="0" r:id="rId8"/>
  </pivotCaches>
  <fileRecoveryPr autoRecover="0"/>
</workbook>
</file>

<file path=xl/calcChain.xml><?xml version="1.0" encoding="utf-8"?>
<calcChain xmlns="http://schemas.openxmlformats.org/spreadsheetml/2006/main">
  <c r="L69" i="7" l="1"/>
  <c r="M69" i="7"/>
  <c r="L70" i="7"/>
  <c r="M70" i="7"/>
  <c r="L71" i="7"/>
  <c r="M71" i="7"/>
  <c r="L72" i="7"/>
  <c r="M72" i="7"/>
  <c r="L73" i="7"/>
  <c r="M73" i="7"/>
  <c r="L74" i="7"/>
  <c r="M74" i="7"/>
  <c r="L75" i="7"/>
  <c r="M75" i="7"/>
  <c r="L76" i="7"/>
  <c r="M76" i="7"/>
  <c r="L77" i="7"/>
  <c r="M77" i="7"/>
  <c r="L78" i="7"/>
  <c r="M78" i="7"/>
  <c r="L79" i="7"/>
  <c r="M79" i="7"/>
  <c r="L80" i="7"/>
  <c r="M80" i="7"/>
  <c r="L81" i="7"/>
  <c r="M81" i="7"/>
  <c r="L82" i="7"/>
  <c r="M82" i="7"/>
  <c r="L83" i="7"/>
  <c r="M83" i="7"/>
  <c r="L84" i="7"/>
  <c r="M84" i="7"/>
  <c r="L85" i="7"/>
  <c r="M85" i="7"/>
  <c r="L86" i="7"/>
  <c r="M86" i="7"/>
  <c r="L87" i="7"/>
  <c r="M87" i="7"/>
  <c r="L88" i="7"/>
  <c r="M88" i="7"/>
  <c r="L89" i="7"/>
  <c r="M89" i="7"/>
  <c r="L90" i="7"/>
  <c r="M90" i="7"/>
  <c r="L91" i="7"/>
  <c r="M91" i="7"/>
  <c r="L92" i="7"/>
  <c r="M92" i="7"/>
  <c r="L93" i="7"/>
  <c r="M93" i="7"/>
  <c r="L94" i="7"/>
  <c r="M94" i="7"/>
  <c r="L95" i="7"/>
  <c r="M95" i="7"/>
  <c r="L96" i="7"/>
  <c r="M96" i="7"/>
  <c r="L97" i="7"/>
  <c r="M97" i="7"/>
  <c r="L98" i="7"/>
  <c r="M98" i="7"/>
  <c r="L99" i="7"/>
  <c r="M99" i="7"/>
  <c r="L100" i="7"/>
  <c r="M100" i="7"/>
  <c r="L101" i="7"/>
  <c r="M101" i="7"/>
  <c r="L102" i="7"/>
  <c r="M102" i="7"/>
  <c r="L103" i="7"/>
  <c r="M103" i="7"/>
  <c r="L104" i="7"/>
  <c r="M104" i="7"/>
  <c r="L105" i="7"/>
  <c r="M105" i="7"/>
  <c r="L106" i="7"/>
  <c r="M106" i="7"/>
  <c r="L107" i="7"/>
  <c r="M107" i="7"/>
  <c r="L108" i="7"/>
  <c r="M108" i="7"/>
  <c r="L109" i="7"/>
  <c r="M109" i="7"/>
  <c r="L110" i="7"/>
  <c r="M110" i="7"/>
  <c r="L111" i="7"/>
  <c r="M111" i="7"/>
  <c r="L112" i="7"/>
  <c r="M112" i="7"/>
  <c r="L113" i="7"/>
  <c r="M113" i="7"/>
  <c r="L114" i="7"/>
  <c r="M114" i="7"/>
  <c r="L115" i="7"/>
  <c r="M115" i="7"/>
  <c r="L116" i="7"/>
  <c r="M116" i="7"/>
  <c r="L117" i="7"/>
  <c r="M117" i="7"/>
  <c r="L118" i="7"/>
  <c r="M118" i="7"/>
  <c r="L119" i="7"/>
  <c r="M119" i="7"/>
  <c r="L120" i="7"/>
  <c r="M120" i="7"/>
  <c r="L121" i="7"/>
  <c r="M121" i="7"/>
  <c r="L122" i="7"/>
  <c r="M122" i="7"/>
  <c r="L123" i="7"/>
  <c r="M123" i="7"/>
  <c r="L124" i="7"/>
  <c r="M124" i="7"/>
  <c r="L125" i="7"/>
  <c r="M125" i="7"/>
  <c r="L126" i="7"/>
  <c r="M126" i="7"/>
  <c r="L127" i="7"/>
  <c r="M127" i="7"/>
  <c r="L128" i="7"/>
  <c r="M128" i="7"/>
  <c r="L129" i="7"/>
  <c r="M129" i="7"/>
  <c r="L130" i="7"/>
  <c r="M130" i="7"/>
  <c r="L131" i="7"/>
  <c r="M131" i="7"/>
  <c r="L132" i="7"/>
  <c r="M132" i="7"/>
  <c r="L133" i="7"/>
  <c r="M133" i="7"/>
  <c r="L134" i="7"/>
  <c r="M134" i="7"/>
  <c r="L135" i="7"/>
  <c r="M135" i="7"/>
  <c r="L136" i="7"/>
  <c r="M136" i="7"/>
  <c r="L137" i="7"/>
  <c r="M137" i="7"/>
  <c r="L138" i="7"/>
  <c r="M138" i="7"/>
  <c r="L139" i="7"/>
  <c r="M139" i="7"/>
  <c r="L140" i="7"/>
  <c r="M140" i="7"/>
  <c r="L141" i="7"/>
  <c r="M141" i="7"/>
  <c r="L142" i="7"/>
  <c r="M142" i="7"/>
  <c r="L143" i="7"/>
  <c r="M143" i="7"/>
  <c r="D95" i="7" l="1"/>
  <c r="D90" i="7"/>
  <c r="D86" i="7"/>
  <c r="D84" i="7"/>
  <c r="D82" i="7"/>
  <c r="D111" i="7" l="1"/>
  <c r="D136" i="7"/>
  <c r="D139" i="7"/>
  <c r="D143" i="7"/>
  <c r="L36" i="7"/>
  <c r="M36" i="7"/>
  <c r="L37" i="7"/>
  <c r="M37" i="7"/>
  <c r="L38" i="7"/>
  <c r="M38" i="7"/>
  <c r="L39" i="7"/>
  <c r="M39" i="7"/>
  <c r="L40" i="7"/>
  <c r="M40" i="7"/>
  <c r="L41" i="7"/>
  <c r="M41" i="7"/>
  <c r="L42" i="7"/>
  <c r="M42" i="7"/>
  <c r="L43" i="7"/>
  <c r="M43" i="7"/>
  <c r="L44" i="7"/>
  <c r="M44" i="7"/>
  <c r="L45" i="7"/>
  <c r="M45" i="7"/>
  <c r="L46" i="7"/>
  <c r="M46" i="7"/>
  <c r="L47" i="7"/>
  <c r="M47" i="7"/>
  <c r="L48" i="7"/>
  <c r="M48" i="7"/>
  <c r="L49" i="7"/>
  <c r="M49" i="7"/>
  <c r="L50" i="7"/>
  <c r="M50" i="7"/>
  <c r="L51" i="7"/>
  <c r="M51" i="7"/>
  <c r="L52" i="7"/>
  <c r="M52" i="7"/>
  <c r="L53" i="7"/>
  <c r="M53" i="7"/>
  <c r="L54" i="7"/>
  <c r="M54" i="7"/>
  <c r="L55" i="7"/>
  <c r="M55" i="7"/>
  <c r="L56" i="7"/>
  <c r="M56" i="7"/>
  <c r="L57" i="7"/>
  <c r="M57" i="7"/>
  <c r="L58" i="7"/>
  <c r="M58" i="7"/>
  <c r="L59" i="7"/>
  <c r="M59" i="7"/>
  <c r="L60" i="7"/>
  <c r="M60" i="7"/>
  <c r="L61" i="7"/>
  <c r="M61" i="7"/>
  <c r="L62" i="7"/>
  <c r="M62" i="7"/>
  <c r="L63" i="7"/>
  <c r="M63" i="7"/>
  <c r="L64" i="7"/>
  <c r="M64" i="7"/>
  <c r="L65" i="7"/>
  <c r="M65" i="7"/>
  <c r="L66" i="7"/>
  <c r="M66" i="7"/>
  <c r="L67" i="7"/>
  <c r="M67" i="7"/>
  <c r="L68" i="7"/>
  <c r="M68" i="7"/>
  <c r="D64" i="7" l="1"/>
  <c r="D57" i="7"/>
  <c r="D56" i="7"/>
  <c r="M4" i="7" l="1"/>
  <c r="L4" i="7"/>
  <c r="M3" i="7"/>
  <c r="L3" i="7"/>
  <c r="M2" i="7"/>
  <c r="L2" i="7"/>
  <c r="M29" i="7" l="1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30" i="7" l="1"/>
  <c r="L30" i="7"/>
  <c r="C7" i="7" l="1"/>
  <c r="D7" i="7" s="1"/>
  <c r="M35" i="7" l="1"/>
  <c r="L35" i="7"/>
  <c r="M34" i="7"/>
  <c r="L34" i="7"/>
  <c r="M33" i="7"/>
  <c r="L33" i="7"/>
  <c r="M32" i="7"/>
  <c r="L32" i="7"/>
  <c r="M31" i="7"/>
  <c r="L31" i="7"/>
  <c r="M144" i="7" l="1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C40" i="7" l="1"/>
  <c r="C39" i="7"/>
  <c r="C38" i="7"/>
  <c r="C37" i="7"/>
  <c r="C36" i="7"/>
  <c r="C35" i="7"/>
  <c r="D35" i="7" s="1"/>
  <c r="C34" i="7"/>
  <c r="D34" i="7" s="1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1" i="7"/>
  <c r="D21" i="7" s="1"/>
  <c r="C20" i="7"/>
  <c r="D20" i="7" s="1"/>
  <c r="C19" i="7"/>
  <c r="D19" i="7" s="1"/>
  <c r="C18" i="7"/>
  <c r="D18" i="7" s="1"/>
  <c r="C17" i="7"/>
  <c r="D17" i="7" s="1"/>
  <c r="C16" i="7"/>
  <c r="D16" i="7" s="1"/>
  <c r="C15" i="7"/>
  <c r="D15" i="7" s="1"/>
  <c r="C4" i="7"/>
  <c r="D4" i="7" s="1"/>
  <c r="C14" i="7"/>
  <c r="D14" i="7" s="1"/>
  <c r="C13" i="7"/>
  <c r="D13" i="7" s="1"/>
  <c r="C12" i="7"/>
  <c r="D12" i="7" s="1"/>
  <c r="C11" i="7"/>
  <c r="D11" i="7" s="1"/>
  <c r="C10" i="7"/>
  <c r="D10" i="7" s="1"/>
  <c r="C9" i="7"/>
  <c r="D9" i="7" s="1"/>
  <c r="C8" i="7"/>
  <c r="D8" i="7" s="1"/>
  <c r="C5" i="7"/>
  <c r="D5" i="7" s="1"/>
  <c r="C6" i="7"/>
  <c r="D6" i="7" s="1"/>
  <c r="C2" i="7"/>
  <c r="D2" i="7" s="1"/>
  <c r="C3" i="7"/>
  <c r="D3" i="7" s="1"/>
  <c r="C41" i="7" l="1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C1779" i="7"/>
  <c r="D1779" i="7" s="1"/>
  <c r="C1780" i="7"/>
  <c r="D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C1789" i="7"/>
  <c r="D1789" i="7" s="1"/>
  <c r="C1790" i="7"/>
  <c r="D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C1799" i="7"/>
  <c r="D1799" i="7" s="1"/>
  <c r="C1800" i="7"/>
  <c r="D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C1820" i="7"/>
  <c r="D1820" i="7" s="1"/>
  <c r="C1821" i="7"/>
  <c r="D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C1850" i="7"/>
  <c r="D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C1869" i="7"/>
  <c r="D1869" i="7" s="1"/>
  <c r="C1870" i="7"/>
  <c r="D1870" i="7" s="1"/>
  <c r="C1871" i="7"/>
  <c r="D1871" i="7" s="1"/>
  <c r="C1872" i="7"/>
  <c r="D1872" i="7" s="1"/>
  <c r="C1873" i="7"/>
  <c r="D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C1879" i="7"/>
  <c r="D1879" i="7" s="1"/>
  <c r="C1880" i="7"/>
  <c r="D1880" i="7" s="1"/>
  <c r="C1881" i="7"/>
  <c r="D1881" i="7" s="1"/>
  <c r="C1882" i="7"/>
  <c r="D1882" i="7" s="1"/>
  <c r="C1883" i="7"/>
  <c r="D1883" i="7" s="1"/>
  <c r="C1884" i="7"/>
  <c r="D1884" i="7" s="1"/>
  <c r="C1885" i="7"/>
  <c r="D1885" i="7" s="1"/>
  <c r="C1886" i="7"/>
  <c r="D1886" i="7" s="1"/>
  <c r="C1887" i="7"/>
  <c r="D1887" i="7" s="1"/>
  <c r="C1888" i="7"/>
  <c r="D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C1894" i="7"/>
  <c r="D1894" i="7" s="1"/>
  <c r="C1895" i="7"/>
  <c r="D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C1904" i="7"/>
  <c r="D1904" i="7" s="1"/>
  <c r="C1905" i="7"/>
  <c r="D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C1914" i="7"/>
  <c r="D1914" i="7" s="1"/>
  <c r="C1915" i="7"/>
  <c r="D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C1924" i="7"/>
  <c r="D1924" i="7" s="1"/>
  <c r="C1925" i="7"/>
  <c r="D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C1934" i="7"/>
  <c r="D1934" i="7" s="1"/>
  <c r="C1935" i="7"/>
  <c r="D1935" i="7" s="1"/>
  <c r="C1936" i="7"/>
  <c r="D1936" i="7" s="1"/>
  <c r="C1937" i="7"/>
  <c r="D1937" i="7" s="1"/>
  <c r="C1938" i="7"/>
  <c r="D1938" i="7" s="1"/>
  <c r="C1939" i="7"/>
  <c r="D1939" i="7" s="1"/>
  <c r="C1940" i="7"/>
  <c r="D1940" i="7" s="1"/>
  <c r="C1941" i="7"/>
  <c r="D1941" i="7" s="1"/>
  <c r="C1942" i="7"/>
  <c r="D1942" i="7" s="1"/>
  <c r="C1943" i="7"/>
  <c r="D1943" i="7" s="1"/>
  <c r="C1944" i="7"/>
  <c r="D1944" i="7" s="1"/>
  <c r="C1945" i="7"/>
  <c r="D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C1952" i="7"/>
  <c r="D1952" i="7" s="1"/>
  <c r="C1953" i="7"/>
  <c r="D1953" i="7" s="1"/>
  <c r="C1954" i="7"/>
  <c r="D1954" i="7" s="1"/>
  <c r="C1955" i="7"/>
  <c r="D1955" i="7" s="1"/>
  <c r="C1956" i="7"/>
  <c r="D1956" i="7" s="1"/>
  <c r="C1957" i="7"/>
  <c r="D1957" i="7" s="1"/>
  <c r="C1958" i="7"/>
  <c r="D1958" i="7" s="1"/>
  <c r="C1959" i="7"/>
  <c r="D1959" i="7" s="1"/>
  <c r="C1960" i="7"/>
  <c r="D1960" i="7" s="1"/>
  <c r="C1961" i="7"/>
  <c r="D1961" i="7" s="1"/>
  <c r="C1962" i="7"/>
  <c r="D1962" i="7" s="1"/>
  <c r="C1963" i="7"/>
  <c r="D1963" i="7" s="1"/>
  <c r="C1964" i="7"/>
  <c r="D1964" i="7" s="1"/>
  <c r="C1965" i="7"/>
  <c r="D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C1971" i="7"/>
  <c r="D1971" i="7" s="1"/>
  <c r="C1972" i="7"/>
  <c r="D1972" i="7" s="1"/>
  <c r="C1973" i="7"/>
  <c r="D1973" i="7" s="1"/>
  <c r="C1974" i="7"/>
  <c r="D1974" i="7" s="1"/>
  <c r="C1975" i="7"/>
  <c r="D1975" i="7" s="1"/>
  <c r="C1976" i="7"/>
  <c r="D1976" i="7" s="1"/>
  <c r="C1977" i="7"/>
  <c r="D1977" i="7" s="1"/>
  <c r="C1978" i="7"/>
  <c r="D1978" i="7" s="1"/>
  <c r="C1979" i="7"/>
  <c r="D1979" i="7" s="1"/>
  <c r="C1980" i="7"/>
  <c r="D1980" i="7" s="1"/>
  <c r="C1981" i="7"/>
  <c r="D1981" i="7" s="1"/>
  <c r="C1982" i="7"/>
  <c r="D1982" i="7" s="1"/>
  <c r="C1983" i="7"/>
  <c r="D1983" i="7" s="1"/>
  <c r="C1984" i="7"/>
  <c r="D1984" i="7" s="1"/>
  <c r="C1985" i="7"/>
  <c r="D1985" i="7" s="1"/>
  <c r="C1986" i="7"/>
  <c r="D1986" i="7" s="1"/>
  <c r="C1987" i="7"/>
  <c r="D1987" i="7" s="1"/>
  <c r="C1988" i="7"/>
  <c r="D1988" i="7" s="1"/>
  <c r="C1989" i="7"/>
  <c r="D1989" i="7" s="1"/>
  <c r="C1990" i="7"/>
  <c r="D1990" i="7" s="1"/>
  <c r="C1991" i="7"/>
  <c r="D1991" i="7" s="1"/>
  <c r="C1992" i="7"/>
  <c r="D1992" i="7" s="1"/>
  <c r="C1993" i="7"/>
  <c r="D1993" i="7" s="1"/>
  <c r="C1994" i="7"/>
  <c r="D1994" i="7" s="1"/>
  <c r="C1995" i="7"/>
  <c r="D1995" i="7" s="1"/>
  <c r="C1996" i="7"/>
  <c r="D1996" i="7" s="1"/>
  <c r="C1997" i="7"/>
  <c r="D1997" i="7" s="1"/>
  <c r="C1998" i="7"/>
  <c r="D1998" i="7" s="1"/>
  <c r="C1999" i="7"/>
  <c r="D1999" i="7" s="1"/>
  <c r="C2000" i="7"/>
  <c r="D2000" i="7" s="1"/>
  <c r="C2001" i="7"/>
  <c r="D2001" i="7" s="1"/>
  <c r="C2002" i="7"/>
  <c r="D2002" i="7" s="1"/>
  <c r="C2003" i="7"/>
  <c r="D2003" i="7" s="1"/>
  <c r="C2004" i="7"/>
  <c r="D2004" i="7" s="1"/>
  <c r="C2005" i="7"/>
  <c r="D2005" i="7" s="1"/>
  <c r="C2006" i="7"/>
  <c r="D2006" i="7" s="1"/>
  <c r="C2007" i="7"/>
  <c r="D2007" i="7" s="1"/>
  <c r="C2008" i="7"/>
  <c r="D2008" i="7" s="1"/>
  <c r="C2009" i="7"/>
  <c r="D2009" i="7" s="1"/>
  <c r="C2010" i="7"/>
  <c r="D2010" i="7" s="1"/>
  <c r="C2011" i="7"/>
  <c r="D2011" i="7" s="1"/>
  <c r="C2012" i="7"/>
  <c r="D2012" i="7" s="1"/>
  <c r="C2013" i="7"/>
  <c r="D2013" i="7" s="1"/>
  <c r="C2014" i="7"/>
  <c r="D2014" i="7" s="1"/>
  <c r="C2015" i="7"/>
  <c r="D2015" i="7" s="1"/>
  <c r="C2016" i="7"/>
  <c r="D2016" i="7" s="1"/>
  <c r="C2017" i="7"/>
  <c r="D2017" i="7" s="1"/>
  <c r="C2018" i="7"/>
  <c r="D2018" i="7" s="1"/>
  <c r="C2019" i="7"/>
  <c r="D2019" i="7" s="1"/>
  <c r="C2020" i="7"/>
  <c r="D2020" i="7" s="1"/>
  <c r="C2021" i="7"/>
  <c r="D2021" i="7" s="1"/>
  <c r="C2022" i="7"/>
  <c r="D2022" i="7" s="1"/>
  <c r="C2023" i="7"/>
  <c r="D2023" i="7" s="1"/>
  <c r="C2024" i="7"/>
  <c r="D2024" i="7" s="1"/>
  <c r="C2025" i="7"/>
  <c r="D2025" i="7" s="1"/>
  <c r="C2026" i="7"/>
  <c r="D2026" i="7" s="1"/>
  <c r="C2027" i="7"/>
  <c r="D2027" i="7" s="1"/>
  <c r="C2028" i="7"/>
  <c r="D2028" i="7" s="1"/>
  <c r="C2029" i="7"/>
  <c r="D2029" i="7" s="1"/>
  <c r="C2030" i="7"/>
  <c r="D2030" i="7" s="1"/>
  <c r="C2031" i="7"/>
  <c r="D2031" i="7" s="1"/>
  <c r="C2032" i="7"/>
  <c r="D2032" i="7" s="1"/>
  <c r="C2033" i="7"/>
  <c r="D2033" i="7" s="1"/>
  <c r="C2034" i="7"/>
  <c r="D2034" i="7" s="1"/>
  <c r="C2035" i="7"/>
  <c r="D2035" i="7" s="1"/>
  <c r="C2036" i="7"/>
  <c r="D2036" i="7" s="1"/>
  <c r="C2037" i="7"/>
  <c r="D2037" i="7" s="1"/>
  <c r="C2038" i="7"/>
  <c r="D2038" i="7" s="1"/>
  <c r="C2039" i="7"/>
  <c r="D2039" i="7" s="1"/>
  <c r="C2040" i="7"/>
  <c r="D2040" i="7" s="1"/>
  <c r="C2041" i="7"/>
  <c r="D2041" i="7" s="1"/>
  <c r="C2042" i="7"/>
  <c r="D2042" i="7" s="1"/>
  <c r="C2043" i="7"/>
  <c r="D2043" i="7" s="1"/>
  <c r="C2044" i="7"/>
  <c r="D2044" i="7" s="1"/>
  <c r="C2045" i="7"/>
  <c r="D2045" i="7" s="1"/>
  <c r="C2046" i="7"/>
  <c r="D2046" i="7" s="1"/>
  <c r="C2047" i="7"/>
  <c r="D2047" i="7" s="1"/>
  <c r="C2048" i="7"/>
  <c r="D2048" i="7" s="1"/>
  <c r="C2049" i="7"/>
  <c r="D2049" i="7" s="1"/>
  <c r="C2050" i="7"/>
  <c r="D2050" i="7" s="1"/>
  <c r="C2051" i="7"/>
  <c r="D2051" i="7" s="1"/>
  <c r="C2052" i="7"/>
  <c r="D2052" i="7" s="1"/>
  <c r="C2053" i="7"/>
  <c r="D2053" i="7" s="1"/>
  <c r="C2054" i="7"/>
  <c r="D2054" i="7" s="1"/>
  <c r="C2055" i="7"/>
  <c r="D2055" i="7" s="1"/>
  <c r="C2056" i="7"/>
  <c r="D2056" i="7" s="1"/>
  <c r="C2057" i="7"/>
  <c r="D2057" i="7" s="1"/>
  <c r="C2058" i="7"/>
  <c r="D2058" i="7" s="1"/>
  <c r="C2059" i="7"/>
  <c r="D2059" i="7" s="1"/>
  <c r="C2060" i="7"/>
  <c r="D2060" i="7" s="1"/>
  <c r="C2061" i="7"/>
  <c r="D2061" i="7" s="1"/>
  <c r="C2062" i="7"/>
  <c r="D2062" i="7" s="1"/>
  <c r="C2063" i="7"/>
  <c r="D2063" i="7" s="1"/>
  <c r="C2064" i="7"/>
  <c r="D2064" i="7" s="1"/>
  <c r="C2065" i="7"/>
  <c r="D2065" i="7" s="1"/>
  <c r="C2066" i="7"/>
  <c r="D2066" i="7" s="1"/>
  <c r="C2067" i="7"/>
  <c r="D2067" i="7" s="1"/>
  <c r="C2068" i="7"/>
  <c r="D2068" i="7" s="1"/>
  <c r="C2069" i="7"/>
  <c r="D2069" i="7" s="1"/>
  <c r="C2070" i="7"/>
  <c r="D2070" i="7" s="1"/>
  <c r="C2071" i="7"/>
  <c r="D2071" i="7" s="1"/>
  <c r="C2072" i="7"/>
  <c r="D2072" i="7" s="1"/>
  <c r="C2073" i="7"/>
  <c r="D2073" i="7" s="1"/>
  <c r="C2074" i="7"/>
  <c r="D2074" i="7" s="1"/>
  <c r="C2075" i="7"/>
  <c r="D2075" i="7" s="1"/>
  <c r="C2076" i="7"/>
  <c r="D2076" i="7" s="1"/>
  <c r="C2077" i="7"/>
  <c r="D2077" i="7" s="1"/>
  <c r="C2078" i="7"/>
  <c r="D2078" i="7" s="1"/>
  <c r="C2079" i="7"/>
  <c r="D2079" i="7" s="1"/>
  <c r="C2080" i="7"/>
  <c r="D2080" i="7" s="1"/>
  <c r="C2081" i="7"/>
  <c r="D2081" i="7" s="1"/>
  <c r="C2082" i="7"/>
  <c r="D2082" i="7" s="1"/>
  <c r="C2083" i="7"/>
  <c r="D2083" i="7" s="1"/>
  <c r="C2084" i="7"/>
  <c r="D2084" i="7" s="1"/>
  <c r="C2085" i="7"/>
  <c r="D2085" i="7" s="1"/>
  <c r="C2086" i="7"/>
  <c r="D2086" i="7" s="1"/>
  <c r="C2087" i="7"/>
  <c r="D2087" i="7" s="1"/>
  <c r="C2088" i="7"/>
  <c r="D2088" i="7" s="1"/>
  <c r="C2089" i="7"/>
  <c r="D2089" i="7" s="1"/>
  <c r="C2090" i="7"/>
  <c r="D2090" i="7" s="1"/>
  <c r="C2091" i="7"/>
  <c r="D2091" i="7" s="1"/>
  <c r="C2092" i="7"/>
  <c r="D2092" i="7" s="1"/>
  <c r="C2093" i="7"/>
  <c r="D2093" i="7" s="1"/>
  <c r="C2094" i="7"/>
  <c r="D2094" i="7" s="1"/>
  <c r="C2095" i="7"/>
  <c r="D2095" i="7" s="1"/>
  <c r="C2096" i="7"/>
  <c r="D2096" i="7" s="1"/>
  <c r="C2097" i="7"/>
  <c r="D2097" i="7" s="1"/>
  <c r="C2098" i="7"/>
  <c r="D2098" i="7" s="1"/>
  <c r="C2099" i="7"/>
  <c r="D2099" i="7" s="1"/>
  <c r="C2100" i="7"/>
  <c r="D2100" i="7" s="1"/>
  <c r="C2101" i="7"/>
  <c r="D2101" i="7" s="1"/>
  <c r="C2102" i="7"/>
  <c r="D2102" i="7" s="1"/>
  <c r="C2103" i="7"/>
  <c r="D2103" i="7" s="1"/>
  <c r="C2104" i="7"/>
  <c r="D2104" i="7" s="1"/>
  <c r="C2105" i="7"/>
  <c r="D2105" i="7" s="1"/>
  <c r="C2106" i="7"/>
  <c r="D2106" i="7" s="1"/>
  <c r="C2107" i="7"/>
  <c r="D2107" i="7" s="1"/>
  <c r="C2108" i="7"/>
  <c r="D2108" i="7" s="1"/>
  <c r="C2109" i="7"/>
  <c r="D2109" i="7" s="1"/>
  <c r="C2110" i="7"/>
  <c r="D2110" i="7" s="1"/>
  <c r="C2111" i="7"/>
  <c r="D2111" i="7" s="1"/>
  <c r="C2112" i="7"/>
  <c r="D2112" i="7" s="1"/>
  <c r="C2113" i="7"/>
  <c r="D2113" i="7" s="1"/>
  <c r="C2114" i="7"/>
  <c r="D2114" i="7" s="1"/>
  <c r="C2115" i="7"/>
  <c r="D2115" i="7" s="1"/>
  <c r="C2116" i="7"/>
  <c r="D2116" i="7" s="1"/>
  <c r="C2117" i="7"/>
  <c r="D2117" i="7" s="1"/>
  <c r="C2118" i="7"/>
  <c r="D2118" i="7" s="1"/>
  <c r="C2119" i="7"/>
  <c r="D2119" i="7" s="1"/>
  <c r="C2120" i="7"/>
  <c r="D2120" i="7" s="1"/>
  <c r="C2121" i="7"/>
  <c r="D2121" i="7" s="1"/>
  <c r="C2122" i="7"/>
  <c r="D2122" i="7" s="1"/>
  <c r="C2123" i="7"/>
  <c r="D2123" i="7" s="1"/>
  <c r="C2124" i="7"/>
  <c r="D2124" i="7" s="1"/>
  <c r="C2125" i="7"/>
  <c r="D2125" i="7" s="1"/>
  <c r="C2126" i="7"/>
  <c r="D2126" i="7" s="1"/>
  <c r="C2127" i="7"/>
  <c r="D2127" i="7" s="1"/>
  <c r="C2128" i="7"/>
  <c r="D2128" i="7" s="1"/>
  <c r="C2129" i="7"/>
  <c r="D2129" i="7" s="1"/>
  <c r="C2130" i="7"/>
  <c r="D2130" i="7" s="1"/>
  <c r="C2131" i="7"/>
  <c r="D2131" i="7" s="1"/>
  <c r="C2132" i="7"/>
  <c r="D2132" i="7" s="1"/>
  <c r="C2133" i="7"/>
  <c r="D2133" i="7" s="1"/>
  <c r="C2134" i="7"/>
  <c r="D2134" i="7" s="1"/>
  <c r="C2135" i="7"/>
  <c r="D2135" i="7" s="1"/>
  <c r="C2136" i="7"/>
  <c r="D2136" i="7" s="1"/>
  <c r="C2137" i="7"/>
  <c r="D2137" i="7" s="1"/>
  <c r="C2138" i="7"/>
  <c r="D2138" i="7" s="1"/>
  <c r="C2139" i="7"/>
  <c r="D2139" i="7" s="1"/>
  <c r="C2140" i="7"/>
  <c r="D2140" i="7" s="1"/>
  <c r="C2141" i="7"/>
  <c r="D2141" i="7" s="1"/>
  <c r="C2142" i="7"/>
  <c r="D2142" i="7" s="1"/>
  <c r="C2143" i="7"/>
  <c r="D2143" i="7" s="1"/>
  <c r="C2144" i="7"/>
  <c r="D2144" i="7" s="1"/>
  <c r="C2145" i="7"/>
  <c r="D2145" i="7" s="1"/>
  <c r="C2146" i="7"/>
  <c r="D2146" i="7" s="1"/>
  <c r="C2147" i="7"/>
  <c r="D2147" i="7" s="1"/>
  <c r="C2148" i="7"/>
  <c r="D2148" i="7" s="1"/>
  <c r="C2149" i="7"/>
  <c r="D2149" i="7" s="1"/>
  <c r="C2150" i="7"/>
  <c r="D2150" i="7" s="1"/>
  <c r="C2151" i="7"/>
  <c r="D2151" i="7" s="1"/>
  <c r="C2152" i="7"/>
  <c r="D2152" i="7" s="1"/>
  <c r="C2153" i="7"/>
  <c r="D2153" i="7" s="1"/>
  <c r="C2154" i="7"/>
  <c r="D2154" i="7" s="1"/>
  <c r="C2155" i="7"/>
  <c r="D2155" i="7" s="1"/>
  <c r="C2156" i="7"/>
  <c r="D2156" i="7" s="1"/>
  <c r="C2157" i="7"/>
  <c r="D2157" i="7" s="1"/>
  <c r="C2158" i="7"/>
  <c r="D2158" i="7" s="1"/>
  <c r="C2159" i="7"/>
  <c r="D2159" i="7" s="1"/>
  <c r="C2160" i="7"/>
  <c r="D2160" i="7" s="1"/>
  <c r="C2161" i="7"/>
  <c r="D2161" i="7" s="1"/>
  <c r="C2162" i="7"/>
  <c r="D2162" i="7" s="1"/>
  <c r="C2163" i="7"/>
  <c r="D2163" i="7" s="1"/>
  <c r="C2164" i="7"/>
  <c r="D2164" i="7" s="1"/>
  <c r="C2165" i="7"/>
  <c r="D2165" i="7" s="1"/>
  <c r="C2166" i="7"/>
  <c r="D2166" i="7" s="1"/>
  <c r="C2167" i="7"/>
  <c r="D2167" i="7" s="1"/>
  <c r="C2168" i="7"/>
  <c r="D2168" i="7" s="1"/>
  <c r="C2169" i="7"/>
  <c r="D2169" i="7" s="1"/>
  <c r="C2170" i="7"/>
  <c r="D2170" i="7" s="1"/>
  <c r="C2171" i="7"/>
  <c r="D2171" i="7" s="1"/>
  <c r="C2172" i="7"/>
  <c r="D2172" i="7" s="1"/>
  <c r="C2173" i="7"/>
  <c r="D2173" i="7" s="1"/>
  <c r="C2174" i="7"/>
  <c r="D2174" i="7" s="1"/>
  <c r="C2175" i="7"/>
  <c r="D2175" i="7" s="1"/>
  <c r="C2176" i="7"/>
  <c r="D2176" i="7" s="1"/>
  <c r="C2177" i="7"/>
  <c r="D2177" i="7" s="1"/>
  <c r="C2178" i="7"/>
  <c r="D2178" i="7" s="1"/>
  <c r="C2179" i="7"/>
  <c r="D2179" i="7" s="1"/>
  <c r="C2180" i="7"/>
  <c r="D2180" i="7" s="1"/>
  <c r="C2181" i="7"/>
  <c r="D2181" i="7" s="1"/>
  <c r="C2182" i="7"/>
  <c r="D2182" i="7" s="1"/>
  <c r="C2183" i="7"/>
  <c r="D2183" i="7" s="1"/>
  <c r="C2184" i="7"/>
  <c r="D2184" i="7" s="1"/>
  <c r="C2185" i="7"/>
  <c r="D2185" i="7" s="1"/>
  <c r="C2186" i="7"/>
  <c r="D2186" i="7" s="1"/>
  <c r="C2187" i="7"/>
  <c r="D2187" i="7" s="1"/>
  <c r="C2188" i="7"/>
  <c r="D2188" i="7" s="1"/>
  <c r="C2189" i="7"/>
  <c r="D2189" i="7" s="1"/>
  <c r="C2190" i="7"/>
  <c r="D2190" i="7" s="1"/>
  <c r="C2191" i="7"/>
  <c r="D2191" i="7" s="1"/>
  <c r="C2192" i="7"/>
  <c r="D2192" i="7" s="1"/>
  <c r="C2193" i="7"/>
  <c r="D2193" i="7" s="1"/>
  <c r="C2194" i="7"/>
  <c r="D2194" i="7" s="1"/>
  <c r="C2195" i="7"/>
  <c r="D2195" i="7" s="1"/>
  <c r="C2196" i="7"/>
  <c r="D2196" i="7" s="1"/>
  <c r="C2197" i="7"/>
  <c r="D2197" i="7" s="1"/>
  <c r="C2198" i="7"/>
  <c r="D2198" i="7" s="1"/>
  <c r="C2199" i="7"/>
  <c r="D2199" i="7" s="1"/>
  <c r="C2200" i="7"/>
  <c r="D2200" i="7" s="1"/>
  <c r="C2201" i="7"/>
  <c r="D2201" i="7" s="1"/>
  <c r="C2202" i="7"/>
  <c r="D2202" i="7" s="1"/>
  <c r="C2203" i="7"/>
  <c r="D2203" i="7" s="1"/>
  <c r="C2204" i="7"/>
  <c r="D2204" i="7" s="1"/>
  <c r="C2205" i="7"/>
  <c r="D2205" i="7" s="1"/>
  <c r="C2206" i="7"/>
  <c r="D2206" i="7" s="1"/>
  <c r="C2207" i="7"/>
  <c r="D2207" i="7" s="1"/>
  <c r="C2208" i="7"/>
  <c r="D2208" i="7" s="1"/>
  <c r="C2209" i="7"/>
  <c r="D2209" i="7" s="1"/>
  <c r="C2210" i="7"/>
  <c r="D2210" i="7" s="1"/>
  <c r="C2211" i="7"/>
  <c r="D2211" i="7" s="1"/>
  <c r="C2212" i="7"/>
  <c r="D2212" i="7" s="1"/>
  <c r="C2213" i="7"/>
  <c r="D2213" i="7" s="1"/>
  <c r="C2214" i="7"/>
  <c r="D2214" i="7" s="1"/>
  <c r="C2215" i="7"/>
  <c r="D2215" i="7" s="1"/>
  <c r="C2216" i="7"/>
  <c r="D2216" i="7" s="1"/>
  <c r="C2217" i="7"/>
  <c r="D2217" i="7" s="1"/>
  <c r="C2218" i="7"/>
  <c r="D2218" i="7" s="1"/>
  <c r="C2219" i="7"/>
  <c r="D2219" i="7" s="1"/>
  <c r="C2220" i="7"/>
  <c r="D2220" i="7" s="1"/>
  <c r="C2221" i="7"/>
  <c r="D2221" i="7" s="1"/>
  <c r="C2222" i="7"/>
  <c r="D2222" i="7" s="1"/>
  <c r="C2223" i="7"/>
  <c r="D2223" i="7" s="1"/>
  <c r="C2224" i="7"/>
  <c r="D2224" i="7" s="1"/>
  <c r="C2225" i="7"/>
  <c r="D2225" i="7" s="1"/>
  <c r="C2226" i="7"/>
  <c r="D2226" i="7" s="1"/>
  <c r="C2227" i="7"/>
  <c r="D2227" i="7" s="1"/>
  <c r="C2228" i="7"/>
  <c r="D2228" i="7" s="1"/>
  <c r="C2229" i="7"/>
  <c r="D2229" i="7" s="1"/>
  <c r="C2230" i="7"/>
  <c r="D2230" i="7" s="1"/>
  <c r="C2231" i="7"/>
  <c r="D2231" i="7" s="1"/>
  <c r="C2232" i="7"/>
  <c r="D2232" i="7" s="1"/>
  <c r="C2233" i="7"/>
  <c r="D2233" i="7" s="1"/>
  <c r="C2234" i="7"/>
  <c r="D2234" i="7" s="1"/>
  <c r="C2235" i="7"/>
  <c r="D2235" i="7" s="1"/>
  <c r="C2236" i="7"/>
  <c r="D2236" i="7" s="1"/>
  <c r="C2237" i="7"/>
  <c r="D2237" i="7" s="1"/>
  <c r="C2238" i="7"/>
  <c r="D2238" i="7" s="1"/>
  <c r="C2239" i="7"/>
  <c r="D2239" i="7" s="1"/>
  <c r="C2240" i="7"/>
  <c r="D2240" i="7" s="1"/>
  <c r="C2241" i="7"/>
  <c r="D2241" i="7" s="1"/>
  <c r="C2242" i="7"/>
  <c r="D2242" i="7" s="1"/>
  <c r="C2243" i="7"/>
  <c r="D2243" i="7" s="1"/>
  <c r="C2244" i="7"/>
  <c r="D2244" i="7" s="1"/>
  <c r="C2245" i="7"/>
  <c r="D2245" i="7" s="1"/>
  <c r="C2246" i="7"/>
  <c r="D2246" i="7" s="1"/>
  <c r="C2247" i="7"/>
  <c r="D2247" i="7" s="1"/>
  <c r="C2248" i="7"/>
  <c r="D2248" i="7" s="1"/>
  <c r="C2249" i="7"/>
  <c r="D2249" i="7" s="1"/>
  <c r="C2250" i="7"/>
  <c r="D2250" i="7" s="1"/>
  <c r="C2251" i="7"/>
  <c r="D2251" i="7" s="1"/>
  <c r="C2252" i="7"/>
  <c r="D2252" i="7" s="1"/>
  <c r="C2253" i="7"/>
  <c r="D2253" i="7" s="1"/>
  <c r="C2254" i="7"/>
  <c r="D2254" i="7" s="1"/>
  <c r="C2255" i="7"/>
  <c r="D2255" i="7" s="1"/>
  <c r="C2256" i="7"/>
  <c r="D2256" i="7" s="1"/>
  <c r="C2257" i="7"/>
  <c r="D2257" i="7" s="1"/>
  <c r="C2258" i="7"/>
  <c r="D2258" i="7" s="1"/>
  <c r="C2259" i="7"/>
  <c r="D2259" i="7" s="1"/>
  <c r="C2260" i="7"/>
  <c r="D2260" i="7" s="1"/>
  <c r="C2261" i="7"/>
  <c r="D2261" i="7" s="1"/>
  <c r="C2262" i="7"/>
  <c r="D2262" i="7" s="1"/>
  <c r="C2263" i="7"/>
  <c r="D2263" i="7" s="1"/>
  <c r="C2264" i="7"/>
  <c r="D2264" i="7" s="1"/>
  <c r="C2265" i="7"/>
  <c r="D2265" i="7" s="1"/>
  <c r="C2266" i="7"/>
  <c r="D2266" i="7" s="1"/>
  <c r="C2267" i="7"/>
  <c r="D2267" i="7" s="1"/>
  <c r="C2268" i="7"/>
  <c r="D2268" i="7" s="1"/>
  <c r="C2269" i="7"/>
  <c r="D2269" i="7" s="1"/>
  <c r="C2270" i="7"/>
  <c r="D2270" i="7" s="1"/>
  <c r="C2271" i="7"/>
  <c r="D2271" i="7" s="1"/>
  <c r="C2272" i="7"/>
  <c r="D2272" i="7" s="1"/>
  <c r="C2273" i="7"/>
  <c r="D2273" i="7" s="1"/>
  <c r="C2274" i="7"/>
  <c r="D2274" i="7" s="1"/>
  <c r="C2275" i="7"/>
  <c r="D2275" i="7" s="1"/>
  <c r="C2276" i="7"/>
  <c r="D2276" i="7" s="1"/>
  <c r="C2277" i="7"/>
  <c r="D2277" i="7" s="1"/>
  <c r="C2278" i="7"/>
  <c r="D2278" i="7" s="1"/>
  <c r="C2279" i="7"/>
  <c r="D2279" i="7" s="1"/>
  <c r="C2280" i="7"/>
  <c r="D2280" i="7" s="1"/>
  <c r="C2281" i="7"/>
  <c r="D2281" i="7" s="1"/>
  <c r="C2282" i="7"/>
  <c r="D2282" i="7" s="1"/>
  <c r="C2283" i="7"/>
  <c r="D2283" i="7" s="1"/>
  <c r="C2284" i="7"/>
  <c r="D2284" i="7" s="1"/>
  <c r="C2285" i="7"/>
  <c r="D2285" i="7" s="1"/>
  <c r="C2286" i="7"/>
  <c r="D2286" i="7" s="1"/>
  <c r="C2287" i="7"/>
  <c r="D2287" i="7" s="1"/>
  <c r="C2288" i="7"/>
  <c r="D2288" i="7" s="1"/>
  <c r="C2289" i="7"/>
  <c r="D2289" i="7" s="1"/>
  <c r="C2290" i="7"/>
  <c r="D2290" i="7" s="1"/>
  <c r="C2291" i="7"/>
  <c r="D2291" i="7" s="1"/>
  <c r="C2292" i="7"/>
  <c r="D2292" i="7" s="1"/>
  <c r="C2293" i="7"/>
  <c r="D2293" i="7" s="1"/>
  <c r="C2294" i="7"/>
  <c r="D2294" i="7" s="1"/>
  <c r="C2295" i="7"/>
  <c r="D2295" i="7" s="1"/>
  <c r="C2296" i="7"/>
  <c r="D2296" i="7" s="1"/>
  <c r="C2297" i="7"/>
  <c r="D2297" i="7" s="1"/>
  <c r="C2298" i="7"/>
  <c r="D2298" i="7" s="1"/>
  <c r="C2299" i="7"/>
  <c r="D2299" i="7" s="1"/>
  <c r="C2300" i="7"/>
  <c r="D2300" i="7" s="1"/>
  <c r="C2301" i="7"/>
  <c r="D2301" i="7" s="1"/>
  <c r="C2302" i="7"/>
  <c r="D2302" i="7" s="1"/>
  <c r="C2303" i="7"/>
  <c r="D2303" i="7" s="1"/>
  <c r="C2304" i="7"/>
  <c r="D2304" i="7" s="1"/>
  <c r="C2305" i="7"/>
  <c r="D2305" i="7" s="1"/>
  <c r="C2306" i="7"/>
  <c r="D2306" i="7" s="1"/>
  <c r="C2307" i="7"/>
  <c r="D2307" i="7" s="1"/>
  <c r="C2308" i="7"/>
  <c r="D2308" i="7" s="1"/>
  <c r="C2309" i="7"/>
  <c r="D2309" i="7" s="1"/>
  <c r="C2310" i="7"/>
  <c r="D2310" i="7" s="1"/>
  <c r="C2311" i="7"/>
  <c r="D2311" i="7" s="1"/>
  <c r="C2312" i="7"/>
  <c r="D2312" i="7" s="1"/>
  <c r="C2313" i="7"/>
  <c r="D2313" i="7" s="1"/>
  <c r="C2314" i="7"/>
  <c r="D2314" i="7" s="1"/>
  <c r="C2315" i="7"/>
  <c r="D2315" i="7" s="1"/>
  <c r="C2316" i="7"/>
  <c r="D2316" i="7" s="1"/>
  <c r="C2317" i="7"/>
  <c r="D2317" i="7" s="1"/>
  <c r="C2318" i="7"/>
  <c r="D2318" i="7" s="1"/>
  <c r="C2319" i="7"/>
  <c r="D2319" i="7" s="1"/>
  <c r="C2320" i="7"/>
  <c r="D2320" i="7" s="1"/>
  <c r="C2321" i="7"/>
  <c r="D2321" i="7" s="1"/>
  <c r="C2322" i="7"/>
  <c r="D2322" i="7" s="1"/>
  <c r="C2323" i="7"/>
  <c r="D2323" i="7" s="1"/>
  <c r="C2324" i="7"/>
  <c r="D2324" i="7" s="1"/>
  <c r="C2325" i="7"/>
  <c r="D2325" i="7" s="1"/>
  <c r="C2326" i="7"/>
  <c r="D2326" i="7" s="1"/>
  <c r="C2327" i="7"/>
  <c r="D2327" i="7" s="1"/>
  <c r="C2328" i="7"/>
  <c r="D2328" i="7" s="1"/>
  <c r="C2329" i="7"/>
  <c r="D2329" i="7" s="1"/>
  <c r="C2330" i="7"/>
  <c r="D2330" i="7" s="1"/>
  <c r="C2331" i="7"/>
  <c r="D2331" i="7" s="1"/>
  <c r="C2332" i="7"/>
  <c r="D2332" i="7" s="1"/>
  <c r="C2333" i="7"/>
  <c r="D2333" i="7" s="1"/>
  <c r="C2334" i="7"/>
  <c r="D2334" i="7" s="1"/>
  <c r="C2335" i="7"/>
  <c r="D2335" i="7" s="1"/>
  <c r="C2336" i="7"/>
  <c r="D2336" i="7" s="1"/>
  <c r="C2337" i="7"/>
  <c r="D2337" i="7" s="1"/>
  <c r="C2338" i="7"/>
  <c r="D2338" i="7" s="1"/>
  <c r="C2339" i="7"/>
  <c r="D2339" i="7" s="1"/>
  <c r="C2340" i="7"/>
  <c r="D2340" i="7" s="1"/>
  <c r="C2341" i="7"/>
  <c r="D2341" i="7" s="1"/>
  <c r="C2342" i="7"/>
  <c r="D2342" i="7" s="1"/>
  <c r="C2343" i="7"/>
  <c r="D2343" i="7" s="1"/>
  <c r="C2344" i="7"/>
  <c r="D2344" i="7" s="1"/>
  <c r="C2345" i="7"/>
  <c r="D2345" i="7" s="1"/>
  <c r="C2346" i="7"/>
  <c r="D2346" i="7" s="1"/>
  <c r="C2347" i="7"/>
  <c r="D2347" i="7" s="1"/>
  <c r="C2348" i="7"/>
  <c r="D2348" i="7" s="1"/>
  <c r="C2349" i="7"/>
  <c r="D2349" i="7" s="1"/>
  <c r="C2350" i="7"/>
  <c r="D2350" i="7" s="1"/>
  <c r="C2351" i="7"/>
  <c r="D2351" i="7" s="1"/>
  <c r="C2352" i="7"/>
  <c r="D2352" i="7" s="1"/>
  <c r="C2353" i="7"/>
  <c r="D2353" i="7" s="1"/>
  <c r="C2354" i="7"/>
  <c r="D2354" i="7" s="1"/>
  <c r="C2355" i="7"/>
  <c r="D2355" i="7" s="1"/>
  <c r="C2356" i="7"/>
  <c r="D2356" i="7" s="1"/>
  <c r="C2357" i="7"/>
  <c r="D2357" i="7" s="1"/>
  <c r="C2358" i="7"/>
  <c r="D2358" i="7" s="1"/>
  <c r="C2359" i="7"/>
  <c r="D2359" i="7" s="1"/>
  <c r="C2360" i="7"/>
  <c r="D2360" i="7" s="1"/>
  <c r="C2361" i="7"/>
  <c r="D2361" i="7" s="1"/>
  <c r="C2362" i="7"/>
  <c r="D2362" i="7" s="1"/>
  <c r="C2363" i="7"/>
  <c r="D2363" i="7" s="1"/>
  <c r="C2364" i="7"/>
  <c r="D2364" i="7" s="1"/>
  <c r="C2365" i="7"/>
  <c r="D2365" i="7" s="1"/>
  <c r="C2366" i="7"/>
  <c r="D2366" i="7" s="1"/>
  <c r="C2367" i="7"/>
  <c r="D2367" i="7" s="1"/>
  <c r="C2368" i="7"/>
  <c r="D2368" i="7" s="1"/>
  <c r="C2369" i="7"/>
  <c r="D2369" i="7" s="1"/>
  <c r="C2370" i="7"/>
  <c r="D2370" i="7" s="1"/>
  <c r="C2371" i="7"/>
  <c r="D2371" i="7" s="1"/>
  <c r="C2372" i="7"/>
  <c r="D2372" i="7" s="1"/>
  <c r="C2373" i="7"/>
  <c r="D2373" i="7" s="1"/>
  <c r="C2374" i="7"/>
  <c r="D2374" i="7" s="1"/>
  <c r="C2375" i="7"/>
  <c r="D2375" i="7" s="1"/>
  <c r="C2376" i="7"/>
  <c r="D2376" i="7" s="1"/>
  <c r="C2377" i="7"/>
  <c r="D2377" i="7" s="1"/>
  <c r="C2378" i="7"/>
  <c r="D2378" i="7" s="1"/>
  <c r="C2379" i="7"/>
  <c r="D2379" i="7" s="1"/>
  <c r="C2380" i="7"/>
  <c r="D2380" i="7" s="1"/>
  <c r="C2381" i="7"/>
  <c r="D2381" i="7" s="1"/>
  <c r="C2382" i="7"/>
  <c r="D2382" i="7" s="1"/>
  <c r="C2383" i="7"/>
  <c r="D2383" i="7" s="1"/>
  <c r="C2384" i="7"/>
  <c r="D2384" i="7" s="1"/>
  <c r="C2385" i="7"/>
  <c r="D2385" i="7" s="1"/>
  <c r="C2386" i="7"/>
  <c r="D2386" i="7" s="1"/>
  <c r="C2387" i="7"/>
  <c r="D2387" i="7" s="1"/>
  <c r="C2388" i="7"/>
  <c r="D2388" i="7" s="1"/>
  <c r="C2389" i="7"/>
  <c r="D2389" i="7" s="1"/>
  <c r="C2390" i="7"/>
  <c r="D2390" i="7" s="1"/>
  <c r="C2391" i="7"/>
  <c r="D2391" i="7" s="1"/>
  <c r="C2392" i="7"/>
  <c r="D2392" i="7" s="1"/>
  <c r="C2393" i="7"/>
  <c r="D2393" i="7" s="1"/>
  <c r="C2394" i="7"/>
  <c r="D2394" i="7" s="1"/>
  <c r="C2395" i="7"/>
  <c r="D2395" i="7" s="1"/>
  <c r="C2396" i="7"/>
  <c r="D2396" i="7" s="1"/>
  <c r="C2397" i="7"/>
  <c r="D2397" i="7" s="1"/>
  <c r="C2398" i="7"/>
  <c r="D2398" i="7" s="1"/>
  <c r="C2399" i="7"/>
  <c r="D2399" i="7" s="1"/>
  <c r="C2400" i="7"/>
  <c r="D2400" i="7" s="1"/>
  <c r="C2401" i="7"/>
  <c r="D2401" i="7" s="1"/>
  <c r="C2402" i="7"/>
  <c r="D2402" i="7" s="1"/>
  <c r="C2403" i="7"/>
  <c r="D2403" i="7" s="1"/>
  <c r="C2404" i="7"/>
  <c r="D2404" i="7" s="1"/>
  <c r="C2405" i="7"/>
  <c r="D2405" i="7" s="1"/>
  <c r="C2406" i="7"/>
  <c r="D2406" i="7" s="1"/>
  <c r="C2407" i="7"/>
  <c r="D2407" i="7" s="1"/>
  <c r="C2408" i="7"/>
  <c r="D2408" i="7" s="1"/>
  <c r="C2409" i="7"/>
  <c r="D2409" i="7" s="1"/>
  <c r="C2410" i="7"/>
  <c r="D2410" i="7" s="1"/>
  <c r="C2411" i="7"/>
  <c r="D2411" i="7" s="1"/>
  <c r="C2412" i="7"/>
  <c r="D2412" i="7" s="1"/>
  <c r="C2413" i="7"/>
  <c r="D2413" i="7" s="1"/>
  <c r="C2414" i="7"/>
  <c r="D2414" i="7" s="1"/>
  <c r="C2415" i="7"/>
  <c r="D2415" i="7" s="1"/>
  <c r="C2416" i="7"/>
  <c r="D2416" i="7" s="1"/>
  <c r="C2417" i="7"/>
  <c r="D2417" i="7" s="1"/>
  <c r="C2418" i="7"/>
  <c r="D2418" i="7" s="1"/>
  <c r="C2419" i="7"/>
  <c r="D2419" i="7" s="1"/>
  <c r="C2420" i="7"/>
  <c r="D2420" i="7" s="1"/>
  <c r="C2421" i="7"/>
  <c r="D2421" i="7" s="1"/>
  <c r="C2422" i="7"/>
  <c r="D2422" i="7" s="1"/>
  <c r="C2423" i="7"/>
  <c r="D2423" i="7" s="1"/>
  <c r="C2424" i="7"/>
  <c r="D2424" i="7" s="1"/>
  <c r="C2425" i="7"/>
  <c r="D2425" i="7" s="1"/>
  <c r="C2426" i="7"/>
  <c r="D2426" i="7" s="1"/>
  <c r="C2427" i="7"/>
  <c r="D2427" i="7" s="1"/>
  <c r="C2428" i="7"/>
  <c r="D2428" i="7" s="1"/>
  <c r="C2429" i="7"/>
  <c r="D2429" i="7" s="1"/>
  <c r="C2430" i="7"/>
  <c r="D2430" i="7" s="1"/>
  <c r="C2431" i="7"/>
  <c r="D2431" i="7" s="1"/>
  <c r="C2432" i="7"/>
  <c r="D2432" i="7" s="1"/>
  <c r="C2433" i="7"/>
  <c r="D2433" i="7" s="1"/>
  <c r="C2434" i="7"/>
  <c r="D2434" i="7" s="1"/>
  <c r="C2435" i="7"/>
  <c r="D2435" i="7" s="1"/>
  <c r="C2436" i="7"/>
  <c r="D2436" i="7" s="1"/>
  <c r="C2437" i="7"/>
  <c r="D2437" i="7" s="1"/>
  <c r="C2438" i="7"/>
  <c r="D2438" i="7" s="1"/>
  <c r="C2439" i="7"/>
  <c r="D2439" i="7" s="1"/>
  <c r="C2440" i="7"/>
  <c r="D2440" i="7" s="1"/>
  <c r="C2441" i="7"/>
  <c r="D2441" i="7" s="1"/>
  <c r="C2442" i="7"/>
  <c r="D2442" i="7" s="1"/>
  <c r="C2443" i="7"/>
  <c r="D2443" i="7" s="1"/>
  <c r="C2444" i="7"/>
  <c r="D2444" i="7" s="1"/>
  <c r="C2445" i="7"/>
  <c r="D2445" i="7" s="1"/>
  <c r="C2446" i="7"/>
  <c r="D2446" i="7" s="1"/>
  <c r="C2447" i="7"/>
  <c r="D2447" i="7" s="1"/>
  <c r="C2448" i="7"/>
  <c r="D2448" i="7" s="1"/>
  <c r="C2449" i="7"/>
  <c r="D2449" i="7" s="1"/>
  <c r="C2450" i="7"/>
  <c r="D2450" i="7" s="1"/>
  <c r="C2451" i="7"/>
  <c r="D2451" i="7" s="1"/>
  <c r="C2452" i="7"/>
  <c r="D2452" i="7" s="1"/>
  <c r="C2453" i="7"/>
  <c r="D2453" i="7" s="1"/>
  <c r="C2454" i="7"/>
  <c r="D2454" i="7" s="1"/>
  <c r="C2455" i="7"/>
  <c r="D2455" i="7" s="1"/>
  <c r="C2456" i="7"/>
  <c r="D2456" i="7" s="1"/>
  <c r="C2457" i="7"/>
  <c r="D2457" i="7" s="1"/>
  <c r="C2458" i="7"/>
  <c r="D2458" i="7" s="1"/>
  <c r="C2459" i="7"/>
  <c r="D2459" i="7" s="1"/>
  <c r="C2460" i="7"/>
  <c r="D2460" i="7" s="1"/>
  <c r="C2461" i="7"/>
  <c r="D2461" i="7" s="1"/>
  <c r="C2462" i="7"/>
  <c r="D2462" i="7" s="1"/>
  <c r="C2463" i="7"/>
  <c r="D2463" i="7" s="1"/>
  <c r="C2464" i="7"/>
  <c r="D2464" i="7" s="1"/>
  <c r="C2465" i="7"/>
  <c r="D2465" i="7" s="1"/>
  <c r="C2466" i="7"/>
  <c r="D2466" i="7" s="1"/>
  <c r="C2467" i="7"/>
  <c r="D2467" i="7" s="1"/>
  <c r="C2468" i="7"/>
  <c r="D2468" i="7" s="1"/>
  <c r="C2469" i="7"/>
  <c r="D2469" i="7" s="1"/>
  <c r="C2470" i="7"/>
  <c r="D2470" i="7" s="1"/>
  <c r="C2471" i="7"/>
  <c r="D2471" i="7" s="1"/>
  <c r="C2472" i="7"/>
  <c r="D2472" i="7" s="1"/>
  <c r="C2473" i="7"/>
  <c r="D2473" i="7" s="1"/>
  <c r="C2474" i="7"/>
  <c r="D2474" i="7" s="1"/>
  <c r="C2475" i="7"/>
  <c r="D2475" i="7" s="1"/>
  <c r="C2476" i="7"/>
  <c r="D2476" i="7" s="1"/>
  <c r="C2477" i="7"/>
  <c r="D2477" i="7" s="1"/>
  <c r="C2478" i="7"/>
  <c r="D2478" i="7" s="1"/>
  <c r="C2479" i="7"/>
  <c r="D2479" i="7" s="1"/>
  <c r="C2480" i="7"/>
  <c r="D2480" i="7" s="1"/>
  <c r="C2481" i="7"/>
  <c r="D2481" i="7" s="1"/>
  <c r="C2482" i="7"/>
  <c r="D2482" i="7" s="1"/>
  <c r="C2483" i="7"/>
  <c r="D2483" i="7" s="1"/>
  <c r="C2484" i="7"/>
  <c r="D2484" i="7" s="1"/>
  <c r="C2485" i="7"/>
  <c r="D2485" i="7" s="1"/>
  <c r="C2486" i="7"/>
  <c r="D2486" i="7" s="1"/>
  <c r="C2487" i="7"/>
  <c r="D2487" i="7" s="1"/>
  <c r="C2488" i="7"/>
  <c r="D2488" i="7" s="1"/>
  <c r="C2489" i="7"/>
  <c r="D2489" i="7" s="1"/>
  <c r="C2490" i="7"/>
  <c r="D2490" i="7" s="1"/>
  <c r="C2491" i="7"/>
  <c r="D2491" i="7" s="1"/>
  <c r="C2492" i="7"/>
  <c r="D2492" i="7" s="1"/>
  <c r="C2493" i="7"/>
  <c r="D2493" i="7" s="1"/>
  <c r="C2494" i="7"/>
  <c r="D2494" i="7" s="1"/>
  <c r="C2495" i="7"/>
  <c r="D2495" i="7" s="1"/>
  <c r="C2496" i="7"/>
  <c r="D2496" i="7" s="1"/>
  <c r="C2497" i="7"/>
  <c r="D2497" i="7" s="1"/>
  <c r="C2498" i="7"/>
  <c r="D2498" i="7" s="1"/>
  <c r="C2499" i="7"/>
  <c r="D2499" i="7" s="1"/>
  <c r="C2500" i="7"/>
  <c r="D2500" i="7" s="1"/>
  <c r="C2501" i="7"/>
  <c r="D2501" i="7" s="1"/>
  <c r="C2502" i="7"/>
  <c r="D2502" i="7" s="1"/>
  <c r="C2503" i="7"/>
  <c r="D2503" i="7" s="1"/>
  <c r="C2504" i="7"/>
  <c r="D2504" i="7" s="1"/>
  <c r="C2505" i="7"/>
  <c r="D2505" i="7" s="1"/>
  <c r="C2506" i="7"/>
  <c r="D2506" i="7" s="1"/>
  <c r="C2507" i="7"/>
  <c r="D2507" i="7" s="1"/>
  <c r="C2508" i="7"/>
  <c r="D2508" i="7" s="1"/>
  <c r="C2509" i="7"/>
  <c r="D2509" i="7" s="1"/>
  <c r="C2510" i="7"/>
  <c r="D2510" i="7" s="1"/>
  <c r="C2511" i="7"/>
  <c r="D2511" i="7" s="1"/>
  <c r="C2512" i="7"/>
  <c r="D2512" i="7" s="1"/>
  <c r="C2513" i="7"/>
  <c r="D2513" i="7" s="1"/>
  <c r="C2514" i="7"/>
  <c r="D2514" i="7" s="1"/>
  <c r="C2515" i="7"/>
  <c r="D2515" i="7" s="1"/>
  <c r="C2516" i="7"/>
  <c r="D2516" i="7" s="1"/>
  <c r="C2517" i="7"/>
  <c r="D2517" i="7" s="1"/>
  <c r="C2518" i="7"/>
  <c r="D2518" i="7" s="1"/>
  <c r="C2519" i="7"/>
  <c r="D2519" i="7" s="1"/>
  <c r="C2520" i="7"/>
  <c r="D2520" i="7" s="1"/>
  <c r="C2521" i="7"/>
  <c r="D2521" i="7" s="1"/>
  <c r="C2522" i="7"/>
  <c r="D2522" i="7" s="1"/>
  <c r="C2523" i="7"/>
  <c r="D2523" i="7" s="1"/>
  <c r="C2524" i="7"/>
  <c r="D2524" i="7" s="1"/>
  <c r="C2525" i="7"/>
  <c r="D2525" i="7" s="1"/>
  <c r="C2526" i="7"/>
  <c r="D2526" i="7" s="1"/>
  <c r="C2527" i="7"/>
  <c r="D2527" i="7" s="1"/>
  <c r="C2528" i="7"/>
  <c r="D2528" i="7" s="1"/>
  <c r="C2529" i="7"/>
  <c r="D2529" i="7" s="1"/>
  <c r="C2530" i="7"/>
  <c r="D2530" i="7" s="1"/>
  <c r="C2531" i="7"/>
  <c r="D2531" i="7" s="1"/>
  <c r="C2532" i="7"/>
  <c r="D2532" i="7" s="1"/>
  <c r="C2533" i="7"/>
  <c r="D2533" i="7" s="1"/>
  <c r="C2534" i="7"/>
  <c r="D2534" i="7" s="1"/>
  <c r="C2535" i="7"/>
  <c r="D2535" i="7" s="1"/>
  <c r="C2536" i="7"/>
  <c r="D2536" i="7" s="1"/>
  <c r="C2537" i="7"/>
  <c r="D2537" i="7" s="1"/>
  <c r="C2538" i="7"/>
  <c r="D2538" i="7" s="1"/>
  <c r="C2539" i="7"/>
  <c r="D2539" i="7" s="1"/>
  <c r="C2540" i="7"/>
  <c r="D2540" i="7" s="1"/>
  <c r="C2541" i="7"/>
  <c r="D2541" i="7" s="1"/>
  <c r="C2542" i="7"/>
  <c r="D2542" i="7" s="1"/>
  <c r="C2543" i="7"/>
  <c r="D2543" i="7" s="1"/>
  <c r="C2544" i="7"/>
  <c r="D2544" i="7" s="1"/>
  <c r="C2545" i="7"/>
  <c r="D2545" i="7" s="1"/>
  <c r="C2546" i="7"/>
  <c r="D2546" i="7" s="1"/>
  <c r="C2547" i="7"/>
  <c r="D2547" i="7" s="1"/>
  <c r="C2548" i="7"/>
  <c r="D2548" i="7" s="1"/>
  <c r="C2549" i="7"/>
  <c r="D2549" i="7" s="1"/>
  <c r="C2550" i="7"/>
  <c r="D2550" i="7" s="1"/>
  <c r="C2551" i="7"/>
  <c r="D2551" i="7" s="1"/>
  <c r="C2552" i="7"/>
  <c r="D2552" i="7" s="1"/>
  <c r="C2553" i="7"/>
  <c r="D2553" i="7" s="1"/>
  <c r="C2554" i="7"/>
  <c r="D2554" i="7" s="1"/>
  <c r="C2555" i="7"/>
  <c r="D2555" i="7" s="1"/>
  <c r="C2556" i="7"/>
  <c r="D2556" i="7" s="1"/>
  <c r="C2557" i="7"/>
  <c r="D2557" i="7" s="1"/>
  <c r="C2558" i="7"/>
  <c r="D2558" i="7" s="1"/>
  <c r="C2559" i="7"/>
  <c r="D2559" i="7" s="1"/>
  <c r="C2560" i="7"/>
  <c r="D2560" i="7" s="1"/>
  <c r="C2561" i="7"/>
  <c r="D2561" i="7" s="1"/>
  <c r="C2562" i="7"/>
  <c r="D2562" i="7" s="1"/>
  <c r="C2563" i="7"/>
  <c r="D2563" i="7" s="1"/>
  <c r="C2564" i="7"/>
  <c r="D2564" i="7" s="1"/>
  <c r="C2565" i="7"/>
  <c r="D2565" i="7" s="1"/>
  <c r="C2566" i="7"/>
  <c r="D2566" i="7" s="1"/>
  <c r="C2567" i="7"/>
  <c r="D2567" i="7" s="1"/>
  <c r="C2568" i="7"/>
  <c r="D2568" i="7" s="1"/>
  <c r="C2569" i="7"/>
  <c r="D2569" i="7" s="1"/>
  <c r="C2570" i="7"/>
  <c r="D2570" i="7" s="1"/>
  <c r="C2571" i="7"/>
  <c r="D2571" i="7" s="1"/>
  <c r="C2572" i="7"/>
  <c r="D2572" i="7" s="1"/>
  <c r="C2573" i="7"/>
  <c r="D2573" i="7" s="1"/>
  <c r="C2574" i="7"/>
  <c r="D2574" i="7" s="1"/>
  <c r="C2575" i="7"/>
  <c r="D2575" i="7" s="1"/>
  <c r="C2576" i="7"/>
  <c r="D2576" i="7" s="1"/>
  <c r="C2577" i="7"/>
  <c r="D2577" i="7" s="1"/>
  <c r="C2578" i="7"/>
  <c r="D2578" i="7" s="1"/>
  <c r="C2579" i="7"/>
  <c r="D2579" i="7" s="1"/>
  <c r="C2580" i="7"/>
  <c r="D2580" i="7" s="1"/>
  <c r="C2581" i="7"/>
  <c r="D2581" i="7" s="1"/>
  <c r="C2582" i="7"/>
  <c r="D2582" i="7" s="1"/>
  <c r="C2583" i="7"/>
  <c r="D2583" i="7" s="1"/>
  <c r="C2584" i="7"/>
  <c r="D2584" i="7" s="1"/>
  <c r="C2585" i="7"/>
  <c r="D2585" i="7" s="1"/>
  <c r="C2586" i="7"/>
  <c r="D2586" i="7" s="1"/>
  <c r="C2587" i="7"/>
  <c r="D2587" i="7" s="1"/>
  <c r="C2588" i="7"/>
  <c r="D2588" i="7" s="1"/>
  <c r="C2589" i="7"/>
  <c r="D2589" i="7" s="1"/>
  <c r="C2590" i="7"/>
  <c r="D2590" i="7" s="1"/>
  <c r="C2591" i="7"/>
  <c r="D2591" i="7" s="1"/>
  <c r="C2592" i="7"/>
  <c r="D2592" i="7" s="1"/>
  <c r="C2593" i="7"/>
  <c r="D2593" i="7" s="1"/>
  <c r="C2594" i="7"/>
  <c r="D2594" i="7" s="1"/>
  <c r="C2595" i="7"/>
  <c r="D2595" i="7" s="1"/>
  <c r="C2596" i="7"/>
  <c r="D2596" i="7" s="1"/>
  <c r="C2597" i="7"/>
  <c r="D2597" i="7" s="1"/>
  <c r="C2598" i="7"/>
  <c r="D2598" i="7" s="1"/>
  <c r="C2599" i="7"/>
  <c r="D2599" i="7" s="1"/>
  <c r="C2600" i="7"/>
  <c r="D2600" i="7" s="1"/>
  <c r="C2601" i="7"/>
  <c r="D2601" i="7" s="1"/>
  <c r="C2602" i="7"/>
  <c r="D2602" i="7" s="1"/>
  <c r="C2603" i="7"/>
  <c r="D2603" i="7" s="1"/>
  <c r="C2604" i="7"/>
  <c r="D2604" i="7" s="1"/>
  <c r="C2605" i="7"/>
  <c r="D2605" i="7" s="1"/>
  <c r="C2606" i="7"/>
  <c r="D2606" i="7" s="1"/>
  <c r="C2607" i="7"/>
  <c r="D2607" i="7" s="1"/>
  <c r="C2608" i="7"/>
  <c r="D2608" i="7" s="1"/>
  <c r="C2609" i="7"/>
  <c r="D2609" i="7" s="1"/>
  <c r="C2610" i="7"/>
  <c r="D2610" i="7" s="1"/>
  <c r="C2611" i="7"/>
  <c r="D2611" i="7" s="1"/>
  <c r="C2612" i="7"/>
  <c r="D2612" i="7" s="1"/>
  <c r="C2613" i="7"/>
  <c r="D2613" i="7" s="1"/>
  <c r="C2614" i="7"/>
  <c r="D2614" i="7" s="1"/>
  <c r="C2615" i="7"/>
  <c r="D2615" i="7" s="1"/>
  <c r="C2616" i="7"/>
  <c r="D2616" i="7" s="1"/>
  <c r="C2617" i="7"/>
  <c r="D2617" i="7" s="1"/>
  <c r="C2618" i="7"/>
  <c r="D2618" i="7" s="1"/>
  <c r="C2619" i="7"/>
  <c r="D2619" i="7" s="1"/>
  <c r="C2620" i="7"/>
  <c r="D2620" i="7" s="1"/>
  <c r="C2621" i="7"/>
  <c r="D2621" i="7" s="1"/>
  <c r="C2622" i="7"/>
  <c r="D2622" i="7" s="1"/>
  <c r="C2623" i="7"/>
  <c r="D2623" i="7" s="1"/>
  <c r="C2624" i="7"/>
  <c r="D2624" i="7" s="1"/>
  <c r="C2625" i="7"/>
  <c r="D2625" i="7" s="1"/>
  <c r="C2626" i="7"/>
  <c r="D2626" i="7" s="1"/>
  <c r="C2627" i="7"/>
  <c r="D2627" i="7" s="1"/>
  <c r="C2628" i="7"/>
  <c r="D2628" i="7" s="1"/>
  <c r="C2629" i="7"/>
  <c r="D2629" i="7" s="1"/>
  <c r="C2630" i="7"/>
  <c r="D2630" i="7" s="1"/>
  <c r="C2631" i="7"/>
  <c r="D2631" i="7" s="1"/>
  <c r="C2632" i="7"/>
  <c r="D2632" i="7" s="1"/>
  <c r="C2633" i="7"/>
  <c r="D2633" i="7" s="1"/>
  <c r="C2634" i="7"/>
  <c r="D2634" i="7" s="1"/>
  <c r="C2635" i="7"/>
  <c r="D2635" i="7" s="1"/>
  <c r="C2636" i="7"/>
  <c r="D2636" i="7" s="1"/>
  <c r="C2637" i="7"/>
  <c r="D2637" i="7" s="1"/>
  <c r="C2638" i="7"/>
  <c r="D2638" i="7" s="1"/>
  <c r="C2639" i="7"/>
  <c r="D2639" i="7" s="1"/>
  <c r="C2640" i="7"/>
  <c r="D2640" i="7" s="1"/>
  <c r="C2641" i="7"/>
  <c r="D2641" i="7" s="1"/>
  <c r="C2642" i="7"/>
  <c r="D2642" i="7" s="1"/>
  <c r="C2643" i="7"/>
  <c r="D2643" i="7" s="1"/>
  <c r="C2644" i="7"/>
  <c r="D2644" i="7" s="1"/>
  <c r="C2645" i="7"/>
  <c r="D2645" i="7" s="1"/>
  <c r="C2646" i="7"/>
  <c r="D2646" i="7" s="1"/>
  <c r="C2647" i="7"/>
  <c r="D2647" i="7" s="1"/>
  <c r="C2648" i="7"/>
  <c r="D2648" i="7" s="1"/>
  <c r="C2649" i="7"/>
  <c r="D2649" i="7" s="1"/>
  <c r="C2650" i="7"/>
  <c r="D2650" i="7" s="1"/>
  <c r="C2651" i="7"/>
  <c r="D2651" i="7" s="1"/>
  <c r="C2652" i="7"/>
  <c r="D2652" i="7" s="1"/>
  <c r="C2653" i="7"/>
  <c r="D2653" i="7" s="1"/>
  <c r="C2654" i="7"/>
  <c r="D2654" i="7" s="1"/>
  <c r="C2655" i="7"/>
  <c r="D2655" i="7" s="1"/>
  <c r="C2656" i="7"/>
  <c r="D2656" i="7" s="1"/>
  <c r="C2657" i="7"/>
  <c r="D2657" i="7" s="1"/>
  <c r="C2658" i="7"/>
  <c r="D2658" i="7" s="1"/>
  <c r="C2659" i="7"/>
  <c r="D2659" i="7" s="1"/>
  <c r="C2660" i="7"/>
  <c r="D2660" i="7" s="1"/>
  <c r="C2661" i="7"/>
  <c r="D2661" i="7" s="1"/>
  <c r="C2662" i="7"/>
  <c r="D2662" i="7" s="1"/>
  <c r="C2663" i="7"/>
  <c r="D2663" i="7" s="1"/>
  <c r="C2664" i="7"/>
  <c r="D2664" i="7" s="1"/>
  <c r="C2665" i="7"/>
  <c r="D2665" i="7" s="1"/>
  <c r="C2666" i="7"/>
  <c r="D2666" i="7" s="1"/>
  <c r="C2667" i="7"/>
  <c r="D2667" i="7" s="1"/>
  <c r="C2668" i="7"/>
  <c r="D2668" i="7" s="1"/>
  <c r="C2669" i="7"/>
  <c r="D2669" i="7" s="1"/>
  <c r="C2670" i="7"/>
  <c r="D2670" i="7" s="1"/>
  <c r="C2671" i="7"/>
  <c r="D2671" i="7" s="1"/>
  <c r="C2672" i="7"/>
  <c r="D2672" i="7" s="1"/>
  <c r="C2673" i="7"/>
  <c r="D2673" i="7" s="1"/>
  <c r="C2674" i="7"/>
  <c r="D2674" i="7" s="1"/>
  <c r="C2675" i="7"/>
  <c r="D2675" i="7" s="1"/>
  <c r="C2676" i="7"/>
  <c r="D2676" i="7" s="1"/>
  <c r="C2677" i="7"/>
  <c r="D2677" i="7" s="1"/>
  <c r="C2678" i="7"/>
  <c r="D2678" i="7" s="1"/>
  <c r="C2679" i="7"/>
  <c r="D2679" i="7" s="1"/>
  <c r="C2680" i="7"/>
  <c r="D2680" i="7" s="1"/>
  <c r="C2681" i="7"/>
  <c r="D2681" i="7" s="1"/>
  <c r="C2682" i="7"/>
  <c r="D2682" i="7" s="1"/>
  <c r="C2683" i="7"/>
  <c r="D2683" i="7" s="1"/>
  <c r="C2684" i="7"/>
  <c r="D2684" i="7" s="1"/>
  <c r="C2685" i="7"/>
  <c r="D2685" i="7" s="1"/>
  <c r="C2686" i="7"/>
  <c r="D2686" i="7" s="1"/>
  <c r="C2687" i="7"/>
  <c r="D2687" i="7" s="1"/>
  <c r="C2688" i="7"/>
  <c r="D2688" i="7" s="1"/>
  <c r="C2689" i="7"/>
  <c r="D2689" i="7" s="1"/>
  <c r="C2690" i="7"/>
  <c r="D2690" i="7" s="1"/>
  <c r="C2691" i="7"/>
  <c r="D2691" i="7" s="1"/>
  <c r="C2692" i="7"/>
  <c r="D2692" i="7" s="1"/>
  <c r="C2693" i="7"/>
  <c r="D2693" i="7" s="1"/>
  <c r="C2694" i="7"/>
  <c r="D2694" i="7" s="1"/>
  <c r="C2695" i="7"/>
  <c r="D2695" i="7" s="1"/>
  <c r="C2696" i="7"/>
  <c r="D2696" i="7" s="1"/>
  <c r="C2697" i="7"/>
  <c r="D2697" i="7" s="1"/>
  <c r="C2698" i="7"/>
  <c r="D2698" i="7" s="1"/>
  <c r="C2699" i="7"/>
  <c r="D2699" i="7" s="1"/>
  <c r="C2700" i="7"/>
  <c r="D2700" i="7" s="1"/>
  <c r="C2701" i="7"/>
  <c r="D2701" i="7" s="1"/>
  <c r="C2702" i="7"/>
  <c r="D2702" i="7" s="1"/>
  <c r="C2703" i="7"/>
  <c r="D2703" i="7" s="1"/>
  <c r="C2704" i="7"/>
  <c r="D2704" i="7" s="1"/>
  <c r="C2705" i="7"/>
  <c r="D2705" i="7" s="1"/>
  <c r="C2706" i="7"/>
  <c r="D2706" i="7" s="1"/>
  <c r="C2707" i="7"/>
  <c r="D2707" i="7" s="1"/>
  <c r="C2708" i="7"/>
  <c r="D2708" i="7" s="1"/>
  <c r="C2709" i="7"/>
  <c r="D2709" i="7" s="1"/>
  <c r="C2710" i="7"/>
  <c r="D2710" i="7" s="1"/>
  <c r="C2711" i="7"/>
  <c r="D2711" i="7" s="1"/>
  <c r="C2712" i="7"/>
  <c r="D2712" i="7" s="1"/>
  <c r="C2713" i="7"/>
  <c r="D2713" i="7" s="1"/>
  <c r="C2714" i="7"/>
  <c r="D2714" i="7" s="1"/>
  <c r="C2715" i="7"/>
  <c r="D2715" i="7" s="1"/>
  <c r="C2716" i="7"/>
  <c r="D2716" i="7" s="1"/>
  <c r="C2717" i="7"/>
  <c r="D2717" i="7" s="1"/>
  <c r="C2718" i="7"/>
  <c r="D2718" i="7" s="1"/>
  <c r="C2719" i="7"/>
  <c r="D2719" i="7" s="1"/>
  <c r="C2720" i="7"/>
  <c r="D2720" i="7" s="1"/>
  <c r="C2721" i="7"/>
  <c r="D2721" i="7" s="1"/>
  <c r="C2722" i="7"/>
  <c r="D2722" i="7" s="1"/>
  <c r="C2723" i="7"/>
  <c r="D2723" i="7" s="1"/>
  <c r="C2724" i="7"/>
  <c r="D2724" i="7" s="1"/>
  <c r="C2725" i="7"/>
  <c r="D2725" i="7" s="1"/>
  <c r="C2726" i="7"/>
  <c r="D2726" i="7" s="1"/>
  <c r="C2727" i="7"/>
  <c r="D2727" i="7" s="1"/>
  <c r="C2728" i="7"/>
  <c r="D2728" i="7" s="1"/>
  <c r="C2729" i="7"/>
  <c r="D2729" i="7" s="1"/>
  <c r="C2730" i="7"/>
  <c r="D2730" i="7" s="1"/>
  <c r="C2731" i="7"/>
  <c r="D2731" i="7" s="1"/>
  <c r="C2732" i="7"/>
  <c r="D2732" i="7" s="1"/>
  <c r="C2733" i="7"/>
  <c r="D2733" i="7" s="1"/>
  <c r="C2734" i="7"/>
  <c r="D2734" i="7" s="1"/>
  <c r="C2735" i="7"/>
  <c r="D2735" i="7" s="1"/>
  <c r="C2736" i="7"/>
  <c r="D2736" i="7" s="1"/>
  <c r="C2737" i="7"/>
  <c r="D2737" i="7" s="1"/>
  <c r="C2738" i="7"/>
  <c r="D2738" i="7" s="1"/>
  <c r="C2739" i="7"/>
  <c r="D2739" i="7" s="1"/>
  <c r="C2740" i="7"/>
  <c r="D2740" i="7" s="1"/>
  <c r="C2741" i="7"/>
  <c r="D2741" i="7" s="1"/>
  <c r="C2742" i="7"/>
  <c r="D2742" i="7" s="1"/>
  <c r="C2743" i="7"/>
  <c r="D2743" i="7" s="1"/>
  <c r="C2744" i="7"/>
  <c r="D2744" i="7" s="1"/>
  <c r="C2745" i="7"/>
  <c r="D2745" i="7" s="1"/>
  <c r="C2746" i="7"/>
  <c r="D2746" i="7" s="1"/>
  <c r="C2747" i="7"/>
  <c r="D2747" i="7" s="1"/>
  <c r="C2748" i="7"/>
  <c r="D2748" i="7" s="1"/>
  <c r="C2749" i="7"/>
  <c r="D2749" i="7" s="1"/>
  <c r="C2750" i="7"/>
  <c r="D2750" i="7" s="1"/>
  <c r="C2751" i="7"/>
  <c r="D2751" i="7" s="1"/>
  <c r="C2752" i="7"/>
  <c r="D2752" i="7" s="1"/>
  <c r="C2753" i="7"/>
  <c r="D2753" i="7" s="1"/>
  <c r="C2754" i="7"/>
  <c r="D2754" i="7" s="1"/>
  <c r="C2755" i="7"/>
  <c r="D2755" i="7" s="1"/>
  <c r="C2756" i="7"/>
  <c r="D2756" i="7" s="1"/>
  <c r="C2757" i="7"/>
  <c r="D2757" i="7" s="1"/>
  <c r="C2758" i="7"/>
  <c r="D2758" i="7" s="1"/>
  <c r="C2759" i="7"/>
  <c r="D2759" i="7" s="1"/>
  <c r="C2760" i="7"/>
  <c r="D2760" i="7" s="1"/>
  <c r="C2761" i="7"/>
  <c r="D2761" i="7" s="1"/>
  <c r="C2762" i="7"/>
  <c r="D2762" i="7" s="1"/>
  <c r="C2763" i="7"/>
  <c r="D2763" i="7" s="1"/>
  <c r="C2764" i="7"/>
  <c r="D2764" i="7" s="1"/>
  <c r="C2765" i="7"/>
  <c r="D2765" i="7" s="1"/>
  <c r="C2766" i="7"/>
  <c r="D2766" i="7" s="1"/>
  <c r="C2767" i="7"/>
  <c r="D2767" i="7" s="1"/>
  <c r="C2768" i="7"/>
  <c r="D2768" i="7" s="1"/>
  <c r="C2769" i="7"/>
  <c r="D2769" i="7" s="1"/>
  <c r="C2770" i="7"/>
  <c r="D2770" i="7" s="1"/>
  <c r="C2771" i="7"/>
  <c r="D2771" i="7" s="1"/>
  <c r="C2772" i="7"/>
  <c r="D2772" i="7" s="1"/>
  <c r="C2773" i="7"/>
  <c r="D2773" i="7" s="1"/>
  <c r="C2774" i="7"/>
  <c r="D2774" i="7" s="1"/>
  <c r="C2775" i="7"/>
  <c r="D2775" i="7" s="1"/>
  <c r="C2776" i="7"/>
  <c r="D2776" i="7" s="1"/>
  <c r="C2777" i="7"/>
  <c r="D2777" i="7" s="1"/>
  <c r="C2778" i="7"/>
  <c r="D2778" i="7" s="1"/>
  <c r="C2779" i="7"/>
  <c r="D2779" i="7" s="1"/>
  <c r="C2780" i="7"/>
  <c r="D2780" i="7" s="1"/>
  <c r="C2781" i="7"/>
  <c r="D2781" i="7" s="1"/>
  <c r="C2782" i="7"/>
  <c r="D2782" i="7" s="1"/>
  <c r="C2783" i="7"/>
  <c r="D2783" i="7" s="1"/>
  <c r="C2784" i="7"/>
  <c r="D2784" i="7" s="1"/>
  <c r="C2785" i="7"/>
  <c r="D2785" i="7" s="1"/>
  <c r="C2786" i="7"/>
  <c r="D2786" i="7" s="1"/>
  <c r="C2787" i="7"/>
  <c r="D2787" i="7" s="1"/>
  <c r="C2788" i="7"/>
  <c r="D2788" i="7" s="1"/>
  <c r="C2789" i="7"/>
  <c r="D2789" i="7" s="1"/>
  <c r="C2790" i="7"/>
  <c r="D2790" i="7" s="1"/>
  <c r="C2791" i="7"/>
  <c r="D2791" i="7" s="1"/>
  <c r="C2792" i="7"/>
  <c r="D2792" i="7" s="1"/>
  <c r="C2793" i="7"/>
  <c r="D2793" i="7" s="1"/>
  <c r="C2794" i="7"/>
  <c r="D2794" i="7" s="1"/>
  <c r="C2795" i="7"/>
  <c r="D2795" i="7" s="1"/>
  <c r="C2796" i="7"/>
  <c r="D2796" i="7" s="1"/>
  <c r="C2797" i="7"/>
  <c r="D2797" i="7" s="1"/>
  <c r="C2798" i="7"/>
  <c r="D2798" i="7" s="1"/>
  <c r="C2799" i="7"/>
  <c r="D2799" i="7" s="1"/>
  <c r="C2800" i="7"/>
  <c r="D2800" i="7" s="1"/>
  <c r="C2801" i="7"/>
  <c r="D2801" i="7" s="1"/>
  <c r="C2802" i="7"/>
  <c r="D2802" i="7" s="1"/>
  <c r="C2803" i="7"/>
  <c r="D2803" i="7" s="1"/>
  <c r="C2804" i="7"/>
  <c r="D2804" i="7" s="1"/>
  <c r="C2805" i="7"/>
  <c r="D2805" i="7" s="1"/>
  <c r="C2806" i="7"/>
  <c r="D2806" i="7" s="1"/>
  <c r="C2807" i="7"/>
  <c r="D2807" i="7" s="1"/>
  <c r="C2808" i="7"/>
  <c r="D2808" i="7" s="1"/>
  <c r="C2809" i="7"/>
  <c r="D2809" i="7" s="1"/>
  <c r="C2810" i="7"/>
  <c r="D2810" i="7" s="1"/>
  <c r="C2811" i="7"/>
  <c r="D2811" i="7" s="1"/>
  <c r="C2812" i="7"/>
  <c r="D2812" i="7" s="1"/>
  <c r="C2813" i="7"/>
  <c r="D2813" i="7" s="1"/>
  <c r="C2814" i="7"/>
  <c r="D2814" i="7" s="1"/>
  <c r="C2815" i="7"/>
  <c r="D2815" i="7" s="1"/>
  <c r="C2816" i="7"/>
  <c r="D2816" i="7" s="1"/>
  <c r="C2817" i="7"/>
  <c r="D2817" i="7" s="1"/>
  <c r="C2818" i="7"/>
  <c r="D2818" i="7" s="1"/>
  <c r="C2819" i="7"/>
  <c r="D2819" i="7" s="1"/>
  <c r="C2820" i="7"/>
  <c r="D2820" i="7" s="1"/>
  <c r="C2821" i="7"/>
  <c r="D2821" i="7" s="1"/>
  <c r="C2822" i="7"/>
  <c r="D2822" i="7" s="1"/>
  <c r="C2823" i="7"/>
  <c r="D2823" i="7" s="1"/>
  <c r="C2824" i="7"/>
  <c r="D2824" i="7" s="1"/>
  <c r="C2825" i="7"/>
  <c r="D2825" i="7" s="1"/>
  <c r="C2826" i="7"/>
  <c r="D2826" i="7" s="1"/>
  <c r="C2827" i="7"/>
  <c r="D2827" i="7" s="1"/>
  <c r="C2828" i="7"/>
  <c r="D2828" i="7" s="1"/>
  <c r="C2829" i="7"/>
  <c r="D2829" i="7" s="1"/>
  <c r="C2830" i="7"/>
  <c r="D2830" i="7" s="1"/>
  <c r="C2831" i="7"/>
  <c r="D2831" i="7" s="1"/>
  <c r="C2832" i="7"/>
  <c r="D2832" i="7" s="1"/>
  <c r="C2833" i="7"/>
  <c r="D2833" i="7" s="1"/>
  <c r="C2834" i="7"/>
  <c r="D2834" i="7" s="1"/>
  <c r="C2835" i="7"/>
  <c r="D2835" i="7" s="1"/>
  <c r="C2836" i="7"/>
  <c r="D2836" i="7" s="1"/>
  <c r="C2837" i="7"/>
  <c r="D2837" i="7" s="1"/>
  <c r="C2838" i="7"/>
  <c r="D2838" i="7" s="1"/>
  <c r="C2839" i="7"/>
  <c r="D2839" i="7" s="1"/>
  <c r="C2840" i="7"/>
  <c r="D2840" i="7" s="1"/>
  <c r="C2841" i="7"/>
  <c r="D2841" i="7" s="1"/>
  <c r="C2842" i="7"/>
  <c r="D2842" i="7" s="1"/>
  <c r="C2843" i="7"/>
  <c r="D2843" i="7" s="1"/>
  <c r="C2844" i="7"/>
  <c r="D2844" i="7" s="1"/>
  <c r="C2845" i="7"/>
  <c r="D2845" i="7" s="1"/>
  <c r="C2846" i="7"/>
  <c r="D2846" i="7" s="1"/>
  <c r="C2847" i="7"/>
  <c r="D2847" i="7" s="1"/>
  <c r="C2848" i="7"/>
  <c r="D2848" i="7" s="1"/>
  <c r="C2849" i="7"/>
  <c r="D2849" i="7" s="1"/>
  <c r="C2850" i="7"/>
  <c r="D2850" i="7" s="1"/>
  <c r="C2851" i="7"/>
  <c r="D2851" i="7" s="1"/>
  <c r="C2852" i="7"/>
  <c r="D2852" i="7" s="1"/>
  <c r="C2853" i="7"/>
  <c r="D2853" i="7" s="1"/>
  <c r="C2854" i="7"/>
  <c r="D2854" i="7" s="1"/>
  <c r="C2855" i="7"/>
  <c r="D2855" i="7" s="1"/>
  <c r="C2856" i="7"/>
  <c r="D2856" i="7" s="1"/>
  <c r="C2857" i="7"/>
  <c r="D2857" i="7" s="1"/>
  <c r="C2858" i="7"/>
  <c r="D2858" i="7" s="1"/>
  <c r="C2859" i="7"/>
  <c r="D2859" i="7" s="1"/>
  <c r="C2860" i="7"/>
  <c r="D2860" i="7" s="1"/>
  <c r="C2861" i="7"/>
  <c r="D2861" i="7" s="1"/>
  <c r="C2862" i="7"/>
  <c r="D2862" i="7" s="1"/>
  <c r="C2863" i="7"/>
  <c r="D2863" i="7" s="1"/>
  <c r="C2864" i="7"/>
  <c r="D2864" i="7" s="1"/>
  <c r="C2865" i="7"/>
  <c r="D2865" i="7" s="1"/>
  <c r="C2866" i="7"/>
  <c r="D2866" i="7" s="1"/>
  <c r="C2867" i="7"/>
  <c r="D2867" i="7" s="1"/>
  <c r="C2868" i="7"/>
  <c r="D2868" i="7" s="1"/>
  <c r="C2869" i="7"/>
  <c r="D2869" i="7" s="1"/>
  <c r="C2870" i="7"/>
  <c r="D2870" i="7" s="1"/>
  <c r="C2871" i="7"/>
  <c r="D2871" i="7" s="1"/>
  <c r="C2872" i="7"/>
  <c r="D2872" i="7" s="1"/>
  <c r="C2873" i="7"/>
  <c r="D2873" i="7" s="1"/>
  <c r="C2874" i="7"/>
  <c r="D2874" i="7" s="1"/>
  <c r="C2875" i="7"/>
  <c r="D2875" i="7" s="1"/>
  <c r="C2876" i="7"/>
  <c r="D2876" i="7" s="1"/>
  <c r="C2877" i="7"/>
  <c r="D2877" i="7" s="1"/>
  <c r="C2878" i="7"/>
  <c r="D2878" i="7" s="1"/>
  <c r="C2879" i="7"/>
  <c r="D2879" i="7" s="1"/>
  <c r="C2880" i="7"/>
  <c r="D2880" i="7" s="1"/>
  <c r="C2881" i="7"/>
  <c r="D2881" i="7" s="1"/>
  <c r="C2882" i="7"/>
  <c r="D2882" i="7" s="1"/>
  <c r="C2883" i="7"/>
  <c r="D2883" i="7" s="1"/>
  <c r="C2884" i="7"/>
  <c r="D2884" i="7" s="1"/>
  <c r="C2885" i="7"/>
  <c r="D2885" i="7" s="1"/>
  <c r="C2886" i="7"/>
  <c r="D2886" i="7" s="1"/>
  <c r="C2887" i="7"/>
  <c r="D2887" i="7" s="1"/>
  <c r="C2888" i="7"/>
  <c r="D2888" i="7" s="1"/>
  <c r="C2889" i="7"/>
  <c r="D2889" i="7" s="1"/>
  <c r="C2890" i="7"/>
  <c r="D2890" i="7" s="1"/>
  <c r="C2891" i="7"/>
  <c r="D2891" i="7" s="1"/>
  <c r="C2892" i="7"/>
  <c r="D2892" i="7" s="1"/>
  <c r="C2893" i="7"/>
  <c r="D2893" i="7" s="1"/>
  <c r="C2894" i="7"/>
  <c r="D2894" i="7" s="1"/>
  <c r="C2895" i="7"/>
  <c r="D2895" i="7" s="1"/>
  <c r="C2896" i="7"/>
  <c r="D2896" i="7" s="1"/>
  <c r="C2897" i="7"/>
  <c r="D2897" i="7" s="1"/>
  <c r="C2898" i="7"/>
  <c r="D2898" i="7" s="1"/>
  <c r="C2899" i="7"/>
  <c r="D2899" i="7" s="1"/>
  <c r="C2900" i="7"/>
  <c r="D2900" i="7" s="1"/>
  <c r="C2901" i="7"/>
  <c r="D2901" i="7" s="1"/>
  <c r="C2902" i="7"/>
  <c r="D2902" i="7" s="1"/>
  <c r="C2903" i="7"/>
  <c r="D2903" i="7" s="1"/>
  <c r="C2904" i="7"/>
  <c r="D2904" i="7" s="1"/>
  <c r="C2905" i="7"/>
  <c r="D2905" i="7" s="1"/>
  <c r="C2906" i="7"/>
  <c r="D2906" i="7" s="1"/>
  <c r="C2907" i="7"/>
  <c r="D2907" i="7" s="1"/>
  <c r="C2908" i="7"/>
  <c r="D2908" i="7" s="1"/>
  <c r="C2909" i="7"/>
  <c r="D2909" i="7" s="1"/>
  <c r="C2910" i="7"/>
  <c r="D2910" i="7" s="1"/>
  <c r="C2911" i="7"/>
  <c r="D2911" i="7" s="1"/>
  <c r="C2912" i="7"/>
  <c r="D2912" i="7" s="1"/>
  <c r="C2913" i="7"/>
  <c r="D2913" i="7" s="1"/>
  <c r="C2914" i="7"/>
  <c r="D2914" i="7" s="1"/>
  <c r="C2915" i="7"/>
  <c r="D2915" i="7" s="1"/>
  <c r="C2916" i="7"/>
  <c r="D2916" i="7" s="1"/>
  <c r="C2917" i="7"/>
  <c r="D2917" i="7" s="1"/>
  <c r="C2918" i="7"/>
  <c r="D2918" i="7" s="1"/>
  <c r="C2919" i="7"/>
  <c r="D2919" i="7" s="1"/>
  <c r="C2920" i="7"/>
  <c r="D2920" i="7" s="1"/>
  <c r="C2921" i="7"/>
  <c r="D2921" i="7" s="1"/>
  <c r="C2922" i="7"/>
  <c r="D2922" i="7" s="1"/>
  <c r="C2923" i="7"/>
  <c r="D2923" i="7" s="1"/>
  <c r="C2924" i="7"/>
  <c r="D2924" i="7" s="1"/>
  <c r="C2925" i="7"/>
  <c r="D2925" i="7" s="1"/>
  <c r="C2926" i="7"/>
  <c r="D2926" i="7" s="1"/>
  <c r="C2927" i="7"/>
  <c r="D2927" i="7" s="1"/>
  <c r="C2928" i="7"/>
  <c r="D2928" i="7" s="1"/>
  <c r="C2929" i="7"/>
  <c r="D2929" i="7" s="1"/>
  <c r="C2930" i="7"/>
  <c r="D2930" i="7" s="1"/>
  <c r="C2931" i="7"/>
  <c r="D2931" i="7" s="1"/>
  <c r="C2932" i="7"/>
  <c r="D2932" i="7" s="1"/>
  <c r="C2933" i="7"/>
  <c r="D2933" i="7" s="1"/>
  <c r="C2934" i="7"/>
  <c r="D2934" i="7" s="1"/>
  <c r="C2935" i="7"/>
  <c r="D2935" i="7" s="1"/>
  <c r="C2936" i="7"/>
  <c r="D2936" i="7" s="1"/>
  <c r="C2937" i="7"/>
  <c r="D2937" i="7" s="1"/>
  <c r="C2938" i="7"/>
  <c r="D2938" i="7" s="1"/>
  <c r="C2939" i="7"/>
  <c r="D2939" i="7" s="1"/>
  <c r="C2940" i="7"/>
  <c r="D2940" i="7" s="1"/>
  <c r="C2941" i="7"/>
  <c r="D2941" i="7" s="1"/>
  <c r="C2942" i="7"/>
  <c r="D2942" i="7" s="1"/>
  <c r="C2943" i="7"/>
  <c r="D2943" i="7" s="1"/>
  <c r="C2944" i="7"/>
  <c r="D2944" i="7" s="1"/>
  <c r="C2945" i="7"/>
  <c r="D2945" i="7" s="1"/>
  <c r="C2946" i="7"/>
  <c r="D2946" i="7" s="1"/>
  <c r="C2947" i="7"/>
  <c r="D2947" i="7" s="1"/>
  <c r="C2948" i="7"/>
  <c r="D2948" i="7" s="1"/>
  <c r="C2949" i="7"/>
  <c r="D2949" i="7" s="1"/>
  <c r="C2950" i="7"/>
  <c r="D2950" i="7" s="1"/>
  <c r="C2951" i="7"/>
  <c r="D2951" i="7" s="1"/>
  <c r="C2952" i="7"/>
  <c r="D2952" i="7" s="1"/>
  <c r="C2953" i="7"/>
  <c r="D2953" i="7" s="1"/>
  <c r="C2954" i="7"/>
  <c r="D2954" i="7" s="1"/>
  <c r="C2955" i="7"/>
  <c r="D2955" i="7" s="1"/>
  <c r="C2956" i="7"/>
  <c r="D2956" i="7" s="1"/>
  <c r="C2957" i="7"/>
  <c r="D2957" i="7" s="1"/>
  <c r="C2958" i="7"/>
  <c r="D2958" i="7" s="1"/>
  <c r="C2959" i="7"/>
  <c r="D2959" i="7" s="1"/>
  <c r="C2960" i="7"/>
  <c r="D2960" i="7" s="1"/>
  <c r="C2961" i="7"/>
  <c r="D2961" i="7" s="1"/>
  <c r="C2962" i="7"/>
  <c r="D2962" i="7" s="1"/>
  <c r="C2963" i="7"/>
  <c r="D2963" i="7" s="1"/>
  <c r="C2964" i="7"/>
  <c r="D2964" i="7" s="1"/>
  <c r="C2965" i="7"/>
  <c r="D2965" i="7" s="1"/>
  <c r="C2966" i="7"/>
  <c r="D2966" i="7" s="1"/>
  <c r="C2967" i="7"/>
  <c r="D2967" i="7" s="1"/>
  <c r="C2968" i="7"/>
  <c r="D2968" i="7" s="1"/>
  <c r="C2969" i="7"/>
  <c r="D2969" i="7" s="1"/>
  <c r="C2970" i="7"/>
  <c r="D2970" i="7" s="1"/>
  <c r="C2971" i="7"/>
  <c r="D2971" i="7" s="1"/>
  <c r="C2972" i="7"/>
  <c r="D2972" i="7" s="1"/>
  <c r="C2973" i="7"/>
  <c r="D2973" i="7" s="1"/>
  <c r="C2974" i="7"/>
  <c r="D2974" i="7" s="1"/>
  <c r="C2975" i="7"/>
  <c r="D2975" i="7" s="1"/>
  <c r="C2976" i="7"/>
  <c r="D2976" i="7" s="1"/>
  <c r="C2977" i="7"/>
  <c r="D2977" i="7" s="1"/>
  <c r="C2978" i="7"/>
  <c r="D2978" i="7" s="1"/>
  <c r="C2979" i="7"/>
  <c r="D2979" i="7" s="1"/>
  <c r="C2980" i="7"/>
  <c r="D2980" i="7" s="1"/>
  <c r="C2981" i="7"/>
  <c r="D2981" i="7" s="1"/>
  <c r="C2982" i="7"/>
  <c r="D2982" i="7" s="1"/>
  <c r="C2983" i="7"/>
  <c r="D2983" i="7" s="1"/>
  <c r="C2984" i="7"/>
  <c r="D2984" i="7" s="1"/>
  <c r="C2985" i="7"/>
  <c r="D2985" i="7" s="1"/>
  <c r="C2986" i="7"/>
  <c r="D2986" i="7" s="1"/>
  <c r="C2987" i="7"/>
  <c r="D2987" i="7" s="1"/>
  <c r="C2988" i="7"/>
  <c r="D2988" i="7" s="1"/>
  <c r="C2989" i="7"/>
  <c r="D2989" i="7" s="1"/>
  <c r="C2990" i="7"/>
  <c r="D2990" i="7" s="1"/>
  <c r="C2991" i="7"/>
  <c r="D2991" i="7" s="1"/>
  <c r="C2992" i="7"/>
  <c r="D2992" i="7" s="1"/>
  <c r="C2993" i="7"/>
  <c r="D2993" i="7" s="1"/>
  <c r="C2994" i="7"/>
  <c r="D2994" i="7" s="1"/>
  <c r="C2995" i="7"/>
  <c r="D2995" i="7" s="1"/>
  <c r="C2996" i="7"/>
  <c r="D2996" i="7" s="1"/>
  <c r="C2997" i="7"/>
  <c r="D2997" i="7" s="1"/>
  <c r="C2998" i="7"/>
  <c r="D2998" i="7" s="1"/>
  <c r="C2999" i="7"/>
  <c r="D2999" i="7" s="1"/>
  <c r="C3000" i="7"/>
  <c r="D3000" i="7" s="1"/>
  <c r="C3001" i="7"/>
  <c r="D3001" i="7" s="1"/>
  <c r="C3002" i="7"/>
  <c r="D3002" i="7" s="1"/>
  <c r="C3003" i="7"/>
  <c r="D3003" i="7" s="1"/>
  <c r="C3004" i="7"/>
  <c r="D3004" i="7" s="1"/>
  <c r="C3005" i="7"/>
  <c r="D3005" i="7" s="1"/>
  <c r="C3006" i="7"/>
  <c r="D3006" i="7" s="1"/>
  <c r="C3007" i="7"/>
  <c r="D3007" i="7" s="1"/>
  <c r="C3008" i="7"/>
  <c r="D3008" i="7" s="1"/>
  <c r="C3009" i="7"/>
  <c r="D3009" i="7" s="1"/>
  <c r="C3010" i="7"/>
  <c r="D3010" i="7" s="1"/>
  <c r="C3011" i="7"/>
  <c r="D3011" i="7" s="1"/>
  <c r="C3012" i="7"/>
  <c r="D3012" i="7" s="1"/>
  <c r="C3013" i="7"/>
  <c r="D3013" i="7" s="1"/>
  <c r="C3014" i="7"/>
  <c r="D3014" i="7" s="1"/>
  <c r="C3015" i="7"/>
  <c r="D3015" i="7" s="1"/>
  <c r="C3016" i="7"/>
  <c r="D3016" i="7" s="1"/>
  <c r="C3017" i="7"/>
  <c r="D3017" i="7" s="1"/>
  <c r="C3018" i="7"/>
  <c r="D3018" i="7" s="1"/>
  <c r="C3019" i="7"/>
  <c r="D3019" i="7" s="1"/>
  <c r="C3020" i="7"/>
  <c r="D3020" i="7" s="1"/>
  <c r="C3021" i="7"/>
  <c r="D3021" i="7" s="1"/>
  <c r="C3022" i="7"/>
  <c r="D3022" i="7" s="1"/>
  <c r="C3023" i="7"/>
  <c r="D3023" i="7" s="1"/>
  <c r="C3024" i="7"/>
  <c r="D3024" i="7" s="1"/>
  <c r="C3025" i="7"/>
  <c r="D3025" i="7" s="1"/>
  <c r="C3026" i="7"/>
  <c r="D3026" i="7" s="1"/>
  <c r="C3027" i="7"/>
  <c r="D3027" i="7" s="1"/>
  <c r="C3028" i="7"/>
  <c r="D3028" i="7" s="1"/>
  <c r="C3029" i="7"/>
  <c r="D3029" i="7" s="1"/>
  <c r="C3030" i="7"/>
  <c r="D3030" i="7" s="1"/>
  <c r="C3031" i="7"/>
  <c r="D3031" i="7" s="1"/>
  <c r="C3032" i="7"/>
  <c r="D3032" i="7" s="1"/>
  <c r="C3033" i="7"/>
  <c r="D3033" i="7" s="1"/>
  <c r="C3034" i="7"/>
  <c r="D3034" i="7" s="1"/>
  <c r="C3035" i="7"/>
  <c r="D3035" i="7" s="1"/>
  <c r="C3036" i="7"/>
  <c r="D3036" i="7" s="1"/>
  <c r="C3037" i="7"/>
  <c r="D3037" i="7" s="1"/>
  <c r="C3038" i="7"/>
  <c r="D3038" i="7" s="1"/>
  <c r="C3039" i="7"/>
  <c r="D3039" i="7" s="1"/>
  <c r="C3040" i="7"/>
  <c r="D3040" i="7" s="1"/>
  <c r="C3041" i="7"/>
  <c r="D3041" i="7" s="1"/>
  <c r="C3042" i="7"/>
  <c r="D3042" i="7" s="1"/>
  <c r="C3043" i="7"/>
  <c r="D3043" i="7" s="1"/>
  <c r="C3044" i="7"/>
  <c r="D3044" i="7" s="1"/>
  <c r="C3045" i="7"/>
  <c r="D3045" i="7" s="1"/>
  <c r="C3046" i="7"/>
  <c r="D3046" i="7" s="1"/>
  <c r="C3047" i="7"/>
  <c r="D3047" i="7" s="1"/>
  <c r="C3048" i="7"/>
  <c r="D3048" i="7" s="1"/>
  <c r="C3049" i="7"/>
  <c r="D3049" i="7" s="1"/>
  <c r="C3050" i="7"/>
  <c r="D3050" i="7" s="1"/>
  <c r="C3051" i="7"/>
  <c r="D3051" i="7" s="1"/>
  <c r="C3052" i="7"/>
  <c r="D3052" i="7" s="1"/>
  <c r="C3053" i="7"/>
  <c r="D3053" i="7" s="1"/>
  <c r="C3054" i="7"/>
  <c r="D3054" i="7" s="1"/>
  <c r="C3055" i="7"/>
  <c r="D3055" i="7" s="1"/>
  <c r="C3056" i="7"/>
  <c r="D3056" i="7" s="1"/>
  <c r="C3057" i="7"/>
  <c r="D3057" i="7" s="1"/>
  <c r="C3058" i="7"/>
  <c r="D3058" i="7" s="1"/>
  <c r="C3059" i="7"/>
  <c r="D3059" i="7" s="1"/>
  <c r="C3060" i="7"/>
  <c r="D3060" i="7" s="1"/>
  <c r="C3061" i="7"/>
  <c r="D3061" i="7" s="1"/>
  <c r="C3062" i="7"/>
  <c r="D3062" i="7" s="1"/>
  <c r="C3063" i="7"/>
  <c r="D3063" i="7" s="1"/>
  <c r="C3064" i="7"/>
  <c r="D3064" i="7" s="1"/>
  <c r="C3065" i="7"/>
  <c r="D3065" i="7" s="1"/>
  <c r="C3066" i="7"/>
  <c r="D3066" i="7" s="1"/>
  <c r="C3067" i="7"/>
  <c r="D3067" i="7" s="1"/>
  <c r="C3068" i="7"/>
  <c r="D3068" i="7" s="1"/>
  <c r="C3069" i="7"/>
  <c r="D3069" i="7" s="1"/>
  <c r="C3070" i="7"/>
  <c r="D3070" i="7" s="1"/>
  <c r="C3071" i="7"/>
  <c r="D3071" i="7" s="1"/>
  <c r="C3072" i="7"/>
  <c r="D3072" i="7" s="1"/>
  <c r="C3073" i="7"/>
  <c r="D3073" i="7" s="1"/>
  <c r="C3074" i="7"/>
  <c r="D3074" i="7" s="1"/>
  <c r="C3075" i="7"/>
  <c r="D3075" i="7" s="1"/>
  <c r="C3076" i="7"/>
  <c r="D3076" i="7" s="1"/>
  <c r="C3077" i="7"/>
  <c r="D3077" i="7" s="1"/>
  <c r="C3078" i="7"/>
  <c r="D3078" i="7" s="1"/>
  <c r="C3079" i="7"/>
  <c r="D3079" i="7" s="1"/>
  <c r="C3080" i="7"/>
  <c r="D3080" i="7" s="1"/>
  <c r="C3081" i="7"/>
  <c r="D3081" i="7" s="1"/>
  <c r="C3082" i="7"/>
  <c r="D3082" i="7" s="1"/>
  <c r="C3083" i="7"/>
  <c r="D3083" i="7" s="1"/>
  <c r="C3084" i="7"/>
  <c r="D3084" i="7" s="1"/>
  <c r="C3085" i="7"/>
  <c r="D3085" i="7" s="1"/>
  <c r="C3086" i="7"/>
  <c r="D3086" i="7" s="1"/>
  <c r="C3087" i="7"/>
  <c r="D3087" i="7" s="1"/>
  <c r="C3088" i="7"/>
  <c r="D3088" i="7" s="1"/>
  <c r="C3089" i="7"/>
  <c r="D3089" i="7" s="1"/>
  <c r="C3090" i="7"/>
  <c r="D3090" i="7" s="1"/>
  <c r="C3091" i="7"/>
  <c r="D3091" i="7" s="1"/>
  <c r="C3092" i="7"/>
  <c r="D3092" i="7" s="1"/>
  <c r="C3093" i="7"/>
  <c r="D3093" i="7" s="1"/>
  <c r="C3094" i="7"/>
  <c r="D3094" i="7" s="1"/>
  <c r="C3095" i="7"/>
  <c r="D3095" i="7" s="1"/>
  <c r="C3096" i="7"/>
  <c r="D3096" i="7" s="1"/>
  <c r="C3097" i="7"/>
  <c r="D3097" i="7" s="1"/>
  <c r="C3098" i="7"/>
  <c r="D3098" i="7" s="1"/>
  <c r="C3099" i="7"/>
  <c r="D3099" i="7" s="1"/>
  <c r="C3100" i="7"/>
  <c r="D3100" i="7" s="1"/>
  <c r="C3101" i="7"/>
  <c r="D3101" i="7" s="1"/>
  <c r="C3102" i="7"/>
  <c r="D3102" i="7" s="1"/>
  <c r="C3103" i="7"/>
  <c r="D3103" i="7" s="1"/>
  <c r="C3104" i="7"/>
  <c r="D3104" i="7" s="1"/>
  <c r="C3105" i="7"/>
  <c r="D3105" i="7" s="1"/>
  <c r="C3106" i="7"/>
  <c r="D3106" i="7" s="1"/>
  <c r="C3107" i="7"/>
  <c r="D3107" i="7" s="1"/>
  <c r="C3108" i="7"/>
  <c r="D3108" i="7" s="1"/>
  <c r="C3109" i="7"/>
  <c r="D3109" i="7" s="1"/>
  <c r="C3110" i="7"/>
  <c r="D3110" i="7" s="1"/>
  <c r="C3111" i="7"/>
  <c r="D3111" i="7" s="1"/>
  <c r="C3112" i="7"/>
  <c r="D3112" i="7" s="1"/>
  <c r="C3113" i="7"/>
  <c r="D3113" i="7" s="1"/>
  <c r="C3114" i="7"/>
  <c r="D3114" i="7" s="1"/>
  <c r="C3115" i="7"/>
  <c r="D3115" i="7" s="1"/>
  <c r="C3116" i="7"/>
  <c r="D3116" i="7" s="1"/>
  <c r="C3117" i="7"/>
  <c r="D3117" i="7" s="1"/>
  <c r="C3118" i="7"/>
  <c r="D3118" i="7" s="1"/>
  <c r="C3119" i="7"/>
  <c r="D3119" i="7" s="1"/>
  <c r="C3120" i="7"/>
  <c r="D3120" i="7" s="1"/>
  <c r="C3121" i="7"/>
  <c r="D3121" i="7" s="1"/>
  <c r="C3122" i="7"/>
  <c r="D3122" i="7" s="1"/>
  <c r="C3123" i="7"/>
  <c r="D3123" i="7" s="1"/>
  <c r="C3124" i="7"/>
  <c r="D3124" i="7" s="1"/>
  <c r="C3125" i="7"/>
  <c r="D3125" i="7" s="1"/>
  <c r="C3126" i="7"/>
  <c r="D3126" i="7" s="1"/>
  <c r="C3127" i="7"/>
  <c r="D3127" i="7" s="1"/>
  <c r="C3128" i="7"/>
  <c r="D3128" i="7" s="1"/>
  <c r="C3129" i="7"/>
  <c r="D3129" i="7" s="1"/>
  <c r="C3130" i="7"/>
  <c r="D3130" i="7" s="1"/>
  <c r="C3131" i="7"/>
  <c r="D3131" i="7" s="1"/>
  <c r="C3132" i="7"/>
  <c r="D3132" i="7" s="1"/>
  <c r="C3133" i="7"/>
  <c r="D3133" i="7" s="1"/>
  <c r="C3134" i="7"/>
  <c r="D3134" i="7" s="1"/>
  <c r="C3135" i="7"/>
  <c r="D3135" i="7" s="1"/>
  <c r="C3136" i="7"/>
  <c r="D3136" i="7" s="1"/>
  <c r="C3137" i="7"/>
  <c r="D3137" i="7" s="1"/>
  <c r="C3138" i="7"/>
  <c r="D3138" i="7" s="1"/>
  <c r="C3139" i="7"/>
  <c r="D3139" i="7" s="1"/>
  <c r="C3140" i="7"/>
  <c r="D3140" i="7" s="1"/>
  <c r="C3141" i="7"/>
  <c r="D3141" i="7" s="1"/>
  <c r="C3142" i="7"/>
  <c r="D3142" i="7" s="1"/>
  <c r="C3143" i="7"/>
  <c r="D3143" i="7" s="1"/>
  <c r="C3144" i="7"/>
  <c r="D3144" i="7" s="1"/>
  <c r="C3145" i="7"/>
  <c r="D3145" i="7" s="1"/>
  <c r="C3146" i="7"/>
  <c r="D3146" i="7" s="1"/>
  <c r="C3147" i="7"/>
  <c r="D3147" i="7" s="1"/>
  <c r="C3148" i="7"/>
  <c r="D3148" i="7" s="1"/>
  <c r="C3149" i="7"/>
  <c r="D3149" i="7" s="1"/>
  <c r="C3150" i="7"/>
  <c r="D3150" i="7" s="1"/>
  <c r="C3151" i="7"/>
  <c r="D3151" i="7" s="1"/>
  <c r="C3152" i="7"/>
  <c r="D3152" i="7" s="1"/>
  <c r="C3153" i="7"/>
  <c r="D3153" i="7" s="1"/>
  <c r="C3154" i="7"/>
  <c r="D3154" i="7" s="1"/>
  <c r="C3155" i="7"/>
  <c r="D3155" i="7" s="1"/>
  <c r="C3156" i="7"/>
  <c r="D3156" i="7" s="1"/>
  <c r="C3157" i="7"/>
  <c r="D3157" i="7" s="1"/>
  <c r="C3158" i="7"/>
  <c r="D3158" i="7" s="1"/>
  <c r="C3159" i="7"/>
  <c r="D3159" i="7" s="1"/>
  <c r="C3160" i="7"/>
  <c r="D3160" i="7" s="1"/>
  <c r="C3161" i="7"/>
  <c r="D3161" i="7" s="1"/>
  <c r="C3162" i="7"/>
  <c r="D3162" i="7" s="1"/>
  <c r="C3163" i="7"/>
  <c r="D3163" i="7" s="1"/>
  <c r="C3164" i="7"/>
  <c r="D3164" i="7" s="1"/>
  <c r="C3165" i="7"/>
  <c r="D3165" i="7" s="1"/>
  <c r="C3166" i="7"/>
  <c r="D3166" i="7" s="1"/>
  <c r="C3167" i="7"/>
  <c r="D3167" i="7" s="1"/>
  <c r="C3168" i="7"/>
  <c r="D3168" i="7" s="1"/>
  <c r="C3169" i="7"/>
  <c r="D3169" i="7" s="1"/>
  <c r="C3170" i="7"/>
  <c r="D3170" i="7" s="1"/>
  <c r="C3171" i="7"/>
  <c r="D3171" i="7" s="1"/>
  <c r="C3172" i="7"/>
  <c r="D3172" i="7" s="1"/>
  <c r="C3173" i="7"/>
  <c r="D3173" i="7" s="1"/>
  <c r="C3174" i="7"/>
  <c r="D3174" i="7" s="1"/>
  <c r="C3175" i="7"/>
  <c r="D3175" i="7" s="1"/>
  <c r="C3176" i="7"/>
  <c r="D3176" i="7" s="1"/>
  <c r="C3177" i="7"/>
  <c r="D3177" i="7" s="1"/>
  <c r="C3178" i="7"/>
  <c r="D3178" i="7" s="1"/>
  <c r="C3179" i="7"/>
  <c r="D3179" i="7" s="1"/>
  <c r="C3180" i="7"/>
  <c r="D3180" i="7" s="1"/>
  <c r="C3181" i="7"/>
  <c r="D3181" i="7" s="1"/>
  <c r="C3182" i="7"/>
  <c r="D3182" i="7" s="1"/>
  <c r="C3183" i="7"/>
  <c r="D3183" i="7" s="1"/>
  <c r="C3184" i="7"/>
  <c r="D3184" i="7" s="1"/>
  <c r="C3185" i="7"/>
  <c r="D3185" i="7" s="1"/>
  <c r="C3186" i="7"/>
  <c r="D3186" i="7" s="1"/>
  <c r="C3187" i="7"/>
  <c r="D3187" i="7" s="1"/>
  <c r="C3188" i="7"/>
  <c r="D3188" i="7" s="1"/>
  <c r="C3189" i="7"/>
  <c r="D3189" i="7" s="1"/>
  <c r="C3190" i="7"/>
  <c r="D3190" i="7" s="1"/>
  <c r="C3191" i="7"/>
  <c r="D3191" i="7" s="1"/>
  <c r="C3192" i="7"/>
  <c r="D3192" i="7" s="1"/>
  <c r="C3193" i="7"/>
  <c r="D3193" i="7" s="1"/>
  <c r="C3194" i="7"/>
  <c r="D3194" i="7" s="1"/>
  <c r="C3195" i="7"/>
  <c r="D3195" i="7" s="1"/>
  <c r="C3196" i="7"/>
  <c r="D3196" i="7" s="1"/>
  <c r="C3197" i="7"/>
  <c r="D3197" i="7" s="1"/>
  <c r="C3198" i="7"/>
  <c r="D3198" i="7" s="1"/>
  <c r="C3199" i="7"/>
  <c r="D3199" i="7" s="1"/>
  <c r="C3200" i="7"/>
  <c r="D3200" i="7" s="1"/>
  <c r="C3201" i="7"/>
  <c r="D3201" i="7" s="1"/>
  <c r="C3202" i="7"/>
  <c r="D3202" i="7" s="1"/>
  <c r="C3203" i="7"/>
  <c r="D3203" i="7" s="1"/>
  <c r="C3204" i="7"/>
  <c r="D3204" i="7" s="1"/>
  <c r="C3205" i="7"/>
  <c r="D3205" i="7" s="1"/>
  <c r="C3206" i="7"/>
  <c r="D3206" i="7" s="1"/>
  <c r="C3207" i="7"/>
  <c r="D3207" i="7" s="1"/>
  <c r="C3208" i="7"/>
  <c r="D3208" i="7" s="1"/>
  <c r="C3209" i="7"/>
  <c r="D3209" i="7" s="1"/>
  <c r="C3210" i="7"/>
  <c r="D3210" i="7" s="1"/>
  <c r="C3211" i="7"/>
  <c r="D3211" i="7" s="1"/>
  <c r="C3212" i="7"/>
  <c r="D3212" i="7" s="1"/>
  <c r="C3213" i="7"/>
  <c r="D3213" i="7" s="1"/>
  <c r="C3214" i="7"/>
  <c r="D3214" i="7" s="1"/>
  <c r="C3215" i="7"/>
  <c r="D3215" i="7" s="1"/>
  <c r="C3216" i="7"/>
  <c r="D3216" i="7" s="1"/>
  <c r="C3217" i="7"/>
  <c r="D3217" i="7" s="1"/>
  <c r="C3218" i="7"/>
  <c r="D3218" i="7" s="1"/>
  <c r="C3219" i="7"/>
  <c r="D3219" i="7" s="1"/>
  <c r="C3220" i="7"/>
  <c r="D3220" i="7" s="1"/>
  <c r="C3221" i="7"/>
  <c r="D3221" i="7" s="1"/>
  <c r="C3222" i="7"/>
  <c r="D3222" i="7" s="1"/>
  <c r="C3223" i="7"/>
  <c r="D3223" i="7" s="1"/>
  <c r="C3224" i="7"/>
  <c r="D3224" i="7" s="1"/>
  <c r="C3225" i="7"/>
  <c r="D3225" i="7" s="1"/>
  <c r="C3226" i="7"/>
  <c r="D3226" i="7" s="1"/>
  <c r="C3227" i="7"/>
  <c r="D3227" i="7" s="1"/>
  <c r="C3228" i="7"/>
  <c r="D3228" i="7" s="1"/>
  <c r="C3229" i="7"/>
  <c r="D3229" i="7" s="1"/>
  <c r="C3230" i="7"/>
  <c r="D3230" i="7" s="1"/>
  <c r="C3231" i="7"/>
  <c r="D3231" i="7" s="1"/>
  <c r="C3232" i="7"/>
  <c r="D3232" i="7" s="1"/>
  <c r="C3233" i="7"/>
  <c r="D3233" i="7" s="1"/>
  <c r="C3234" i="7"/>
  <c r="D3234" i="7" s="1"/>
  <c r="C3235" i="7"/>
  <c r="D3235" i="7" s="1"/>
  <c r="C3236" i="7"/>
  <c r="D3236" i="7" s="1"/>
  <c r="C3237" i="7"/>
  <c r="D3237" i="7" s="1"/>
  <c r="C3238" i="7"/>
  <c r="D3238" i="7" s="1"/>
  <c r="C3239" i="7"/>
  <c r="D3239" i="7" s="1"/>
  <c r="C3240" i="7"/>
  <c r="D3240" i="7" s="1"/>
  <c r="C3241" i="7"/>
  <c r="D3241" i="7" s="1"/>
  <c r="C3242" i="7"/>
  <c r="D3242" i="7" s="1"/>
  <c r="C3243" i="7"/>
  <c r="D3243" i="7" s="1"/>
  <c r="C3244" i="7"/>
  <c r="D3244" i="7" s="1"/>
  <c r="C3245" i="7"/>
  <c r="D3245" i="7" s="1"/>
  <c r="C3246" i="7"/>
  <c r="D3246" i="7" s="1"/>
  <c r="C3247" i="7"/>
  <c r="D3247" i="7" s="1"/>
  <c r="C3248" i="7"/>
  <c r="D3248" i="7" s="1"/>
  <c r="C3249" i="7"/>
  <c r="D3249" i="7" s="1"/>
  <c r="C3250" i="7"/>
  <c r="D3250" i="7" s="1"/>
  <c r="C3251" i="7"/>
  <c r="D3251" i="7" s="1"/>
  <c r="C3252" i="7"/>
  <c r="D3252" i="7" s="1"/>
  <c r="C3253" i="7"/>
  <c r="D3253" i="7" s="1"/>
  <c r="C3254" i="7"/>
  <c r="D3254" i="7" s="1"/>
  <c r="C3255" i="7"/>
  <c r="D3255" i="7" s="1"/>
  <c r="C3256" i="7"/>
  <c r="D3256" i="7" s="1"/>
  <c r="C3257" i="7"/>
  <c r="D3257" i="7" s="1"/>
  <c r="C3258" i="7"/>
  <c r="D3258" i="7" s="1"/>
  <c r="C3259" i="7"/>
  <c r="D3259" i="7" s="1"/>
  <c r="C3260" i="7"/>
  <c r="D3260" i="7" s="1"/>
  <c r="C3261" i="7"/>
  <c r="D3261" i="7" s="1"/>
  <c r="C3262" i="7"/>
  <c r="D3262" i="7" s="1"/>
  <c r="C3263" i="7"/>
  <c r="D3263" i="7" s="1"/>
  <c r="C3264" i="7"/>
  <c r="D3264" i="7" s="1"/>
  <c r="C3265" i="7"/>
  <c r="D3265" i="7" s="1"/>
  <c r="C3266" i="7"/>
  <c r="D3266" i="7" s="1"/>
  <c r="C3267" i="7"/>
  <c r="D3267" i="7" s="1"/>
  <c r="C3268" i="7"/>
  <c r="D3268" i="7" s="1"/>
  <c r="C3269" i="7"/>
  <c r="D3269" i="7" s="1"/>
  <c r="C3270" i="7"/>
  <c r="D3270" i="7" s="1"/>
  <c r="C3271" i="7"/>
  <c r="D3271" i="7" s="1"/>
  <c r="C3272" i="7"/>
  <c r="D3272" i="7" s="1"/>
  <c r="C3273" i="7"/>
  <c r="D3273" i="7" s="1"/>
  <c r="C3274" i="7"/>
  <c r="D3274" i="7" s="1"/>
  <c r="C3275" i="7"/>
  <c r="D3275" i="7" s="1"/>
  <c r="C3276" i="7"/>
  <c r="D3276" i="7" s="1"/>
  <c r="C3277" i="7"/>
  <c r="D3277" i="7" s="1"/>
  <c r="C3278" i="7"/>
  <c r="D3278" i="7" s="1"/>
  <c r="C3279" i="7"/>
  <c r="D3279" i="7" s="1"/>
  <c r="C3280" i="7"/>
  <c r="D3280" i="7" s="1"/>
  <c r="C3281" i="7"/>
  <c r="D3281" i="7" s="1"/>
  <c r="C3282" i="7"/>
  <c r="D3282" i="7" s="1"/>
  <c r="C3283" i="7"/>
  <c r="D3283" i="7" s="1"/>
  <c r="C3284" i="7"/>
  <c r="D3284" i="7" s="1"/>
  <c r="C3285" i="7"/>
  <c r="D3285" i="7" s="1"/>
  <c r="C3286" i="7"/>
  <c r="D3286" i="7" s="1"/>
  <c r="C3287" i="7"/>
  <c r="D3287" i="7" s="1"/>
  <c r="C3288" i="7"/>
  <c r="D3288" i="7" s="1"/>
  <c r="C3289" i="7"/>
  <c r="D3289" i="7" s="1"/>
  <c r="C3290" i="7"/>
  <c r="D3290" i="7" s="1"/>
  <c r="C3291" i="7"/>
  <c r="D3291" i="7" s="1"/>
  <c r="C3292" i="7"/>
  <c r="D3292" i="7" s="1"/>
  <c r="C3293" i="7"/>
  <c r="D3293" i="7" s="1"/>
  <c r="C3294" i="7"/>
  <c r="D3294" i="7" s="1"/>
  <c r="C3295" i="7"/>
  <c r="D3295" i="7" s="1"/>
  <c r="C3296" i="7"/>
  <c r="D3296" i="7" s="1"/>
  <c r="C3297" i="7"/>
  <c r="D3297" i="7" s="1"/>
  <c r="C3298" i="7"/>
  <c r="D3298" i="7" s="1"/>
  <c r="C3299" i="7"/>
  <c r="D3299" i="7" s="1"/>
  <c r="C3300" i="7"/>
  <c r="D3300" i="7" s="1"/>
  <c r="C3301" i="7"/>
  <c r="D3301" i="7" s="1"/>
  <c r="C3302" i="7"/>
  <c r="D3302" i="7" s="1"/>
  <c r="C3303" i="7"/>
  <c r="D3303" i="7" s="1"/>
  <c r="C3304" i="7"/>
  <c r="D3304" i="7" s="1"/>
  <c r="C3305" i="7"/>
  <c r="D3305" i="7" s="1"/>
  <c r="C3306" i="7"/>
  <c r="D3306" i="7" s="1"/>
  <c r="C3307" i="7"/>
  <c r="D3307" i="7" s="1"/>
  <c r="C3308" i="7"/>
  <c r="D3308" i="7" s="1"/>
  <c r="C3309" i="7"/>
  <c r="D3309" i="7" s="1"/>
  <c r="C3310" i="7"/>
  <c r="D3310" i="7" s="1"/>
  <c r="C3311" i="7"/>
  <c r="D3311" i="7" s="1"/>
  <c r="C3312" i="7"/>
  <c r="D3312" i="7" s="1"/>
  <c r="C3313" i="7"/>
  <c r="D3313" i="7" s="1"/>
  <c r="C3314" i="7"/>
  <c r="D3314" i="7" s="1"/>
  <c r="C3315" i="7"/>
  <c r="D3315" i="7" s="1"/>
  <c r="C3316" i="7"/>
  <c r="D3316" i="7" s="1"/>
  <c r="C3317" i="7"/>
  <c r="D3317" i="7" s="1"/>
  <c r="C3318" i="7"/>
  <c r="D3318" i="7" s="1"/>
  <c r="C3319" i="7"/>
  <c r="D3319" i="7" s="1"/>
  <c r="C3320" i="7"/>
  <c r="D3320" i="7" s="1"/>
  <c r="C3321" i="7"/>
  <c r="D3321" i="7" s="1"/>
  <c r="C3322" i="7"/>
  <c r="D3322" i="7" s="1"/>
  <c r="C3323" i="7"/>
  <c r="D3323" i="7" s="1"/>
  <c r="C3324" i="7"/>
  <c r="D3324" i="7" s="1"/>
  <c r="C3325" i="7"/>
  <c r="D3325" i="7" s="1"/>
  <c r="C3326" i="7"/>
  <c r="D3326" i="7" s="1"/>
  <c r="C3327" i="7"/>
  <c r="D3327" i="7" s="1"/>
  <c r="C3328" i="7"/>
  <c r="D3328" i="7" s="1"/>
  <c r="C3329" i="7"/>
  <c r="D3329" i="7" s="1"/>
  <c r="C3330" i="7"/>
  <c r="D3330" i="7" s="1"/>
  <c r="C3331" i="7"/>
  <c r="D3331" i="7" s="1"/>
  <c r="C3332" i="7"/>
  <c r="D3332" i="7" s="1"/>
  <c r="C3333" i="7"/>
  <c r="D3333" i="7" s="1"/>
  <c r="C3334" i="7"/>
  <c r="D3334" i="7" s="1"/>
  <c r="C3335" i="7"/>
  <c r="D3335" i="7" s="1"/>
  <c r="C3336" i="7"/>
  <c r="D3336" i="7" s="1"/>
  <c r="C3337" i="7"/>
  <c r="D3337" i="7" s="1"/>
  <c r="C3338" i="7"/>
  <c r="D3338" i="7" s="1"/>
  <c r="C3339" i="7"/>
  <c r="D3339" i="7" s="1"/>
  <c r="C3340" i="7"/>
  <c r="D3340" i="7" s="1"/>
  <c r="C3341" i="7"/>
  <c r="D3341" i="7" s="1"/>
  <c r="C3342" i="7"/>
  <c r="D3342" i="7" s="1"/>
  <c r="C3343" i="7"/>
  <c r="D3343" i="7" s="1"/>
  <c r="C3344" i="7"/>
  <c r="D3344" i="7" s="1"/>
  <c r="C3345" i="7"/>
  <c r="D3345" i="7" s="1"/>
  <c r="C3346" i="7"/>
  <c r="D3346" i="7" s="1"/>
  <c r="C3347" i="7"/>
  <c r="D3347" i="7" s="1"/>
  <c r="C3348" i="7"/>
  <c r="D3348" i="7" s="1"/>
  <c r="C3349" i="7"/>
  <c r="D3349" i="7" s="1"/>
  <c r="C3350" i="7"/>
  <c r="D3350" i="7" s="1"/>
  <c r="C3351" i="7"/>
  <c r="D3351" i="7" s="1"/>
  <c r="C3352" i="7"/>
  <c r="D3352" i="7" s="1"/>
  <c r="C3353" i="7"/>
  <c r="D3353" i="7" s="1"/>
  <c r="C3354" i="7"/>
  <c r="D3354" i="7" s="1"/>
  <c r="C3355" i="7"/>
  <c r="D3355" i="7" s="1"/>
  <c r="C3356" i="7"/>
  <c r="D3356" i="7" s="1"/>
  <c r="C3357" i="7"/>
  <c r="D3357" i="7" s="1"/>
  <c r="C3358" i="7"/>
  <c r="D3358" i="7" s="1"/>
  <c r="C3359" i="7"/>
  <c r="D3359" i="7" s="1"/>
  <c r="C3360" i="7"/>
  <c r="D3360" i="7" s="1"/>
  <c r="C3361" i="7"/>
  <c r="D3361" i="7" s="1"/>
  <c r="C3362" i="7"/>
  <c r="D3362" i="7" s="1"/>
  <c r="C3363" i="7"/>
  <c r="D3363" i="7" s="1"/>
  <c r="C3364" i="7"/>
  <c r="D3364" i="7" s="1"/>
  <c r="C3365" i="7"/>
  <c r="D3365" i="7" s="1"/>
  <c r="C3366" i="7"/>
  <c r="D3366" i="7" s="1"/>
  <c r="C3367" i="7"/>
  <c r="D3367" i="7" s="1"/>
  <c r="C3368" i="7"/>
  <c r="D3368" i="7" s="1"/>
  <c r="C3369" i="7"/>
  <c r="D3369" i="7" s="1"/>
  <c r="C3370" i="7"/>
  <c r="D3370" i="7" s="1"/>
  <c r="C3371" i="7"/>
  <c r="D3371" i="7" s="1"/>
  <c r="C3372" i="7"/>
  <c r="D3372" i="7" s="1"/>
  <c r="C3373" i="7"/>
  <c r="D3373" i="7" s="1"/>
  <c r="C3374" i="7"/>
  <c r="D3374" i="7" s="1"/>
  <c r="C3375" i="7"/>
  <c r="D3375" i="7" s="1"/>
  <c r="C3376" i="7"/>
  <c r="D3376" i="7" s="1"/>
  <c r="C3377" i="7"/>
  <c r="D3377" i="7" s="1"/>
  <c r="C3378" i="7"/>
  <c r="D3378" i="7" s="1"/>
  <c r="C3379" i="7"/>
  <c r="D3379" i="7" s="1"/>
  <c r="C3380" i="7"/>
  <c r="D3380" i="7" s="1"/>
  <c r="C3381" i="7"/>
  <c r="D3381" i="7" s="1"/>
  <c r="C3382" i="7"/>
  <c r="D3382" i="7" s="1"/>
  <c r="C3383" i="7"/>
  <c r="D3383" i="7" s="1"/>
  <c r="C3384" i="7"/>
  <c r="D3384" i="7" s="1"/>
  <c r="C3385" i="7"/>
  <c r="D3385" i="7" s="1"/>
  <c r="C3386" i="7"/>
  <c r="D3386" i="7" s="1"/>
  <c r="C3387" i="7"/>
  <c r="D3387" i="7" s="1"/>
  <c r="C3388" i="7"/>
  <c r="D3388" i="7" s="1"/>
  <c r="C3389" i="7"/>
  <c r="D3389" i="7" s="1"/>
  <c r="C3390" i="7"/>
  <c r="D3390" i="7" s="1"/>
  <c r="C3391" i="7"/>
  <c r="D3391" i="7" s="1"/>
  <c r="C3392" i="7"/>
  <c r="D3392" i="7" s="1"/>
  <c r="C3393" i="7"/>
  <c r="D3393" i="7" s="1"/>
  <c r="C3394" i="7"/>
  <c r="D3394" i="7" s="1"/>
  <c r="C3395" i="7"/>
  <c r="D3395" i="7" s="1"/>
  <c r="C3396" i="7"/>
  <c r="D3396" i="7" s="1"/>
  <c r="C3397" i="7"/>
  <c r="D3397" i="7" s="1"/>
  <c r="C3398" i="7"/>
  <c r="D3398" i="7" s="1"/>
  <c r="C3399" i="7"/>
  <c r="D3399" i="7" s="1"/>
  <c r="C3400" i="7"/>
  <c r="D3400" i="7" s="1"/>
  <c r="C3401" i="7"/>
  <c r="D3401" i="7" s="1"/>
  <c r="C3402" i="7"/>
  <c r="D3402" i="7" s="1"/>
  <c r="C3403" i="7"/>
  <c r="D3403" i="7" s="1"/>
  <c r="C3404" i="7"/>
  <c r="D3404" i="7" s="1"/>
  <c r="C3405" i="7"/>
  <c r="D3405" i="7" s="1"/>
  <c r="C3406" i="7"/>
  <c r="D3406" i="7" s="1"/>
  <c r="C3407" i="7"/>
  <c r="D3407" i="7" s="1"/>
  <c r="C3408" i="7"/>
  <c r="D3408" i="7" s="1"/>
  <c r="C3409" i="7"/>
  <c r="D3409" i="7" s="1"/>
  <c r="C3410" i="7"/>
  <c r="D3410" i="7" s="1"/>
  <c r="C3411" i="7"/>
  <c r="D3411" i="7" s="1"/>
  <c r="C3412" i="7"/>
  <c r="D3412" i="7" s="1"/>
  <c r="C3413" i="7"/>
  <c r="D3413" i="7" s="1"/>
  <c r="C3414" i="7"/>
  <c r="D3414" i="7" s="1"/>
  <c r="C3415" i="7"/>
  <c r="D3415" i="7" s="1"/>
  <c r="C3416" i="7"/>
  <c r="D3416" i="7" s="1"/>
  <c r="C3417" i="7"/>
  <c r="D3417" i="7" s="1"/>
  <c r="C3418" i="7"/>
  <c r="D3418" i="7" s="1"/>
  <c r="C3419" i="7"/>
  <c r="D3419" i="7" s="1"/>
  <c r="C3420" i="7"/>
  <c r="D3420" i="7" s="1"/>
  <c r="C3421" i="7"/>
  <c r="D3421" i="7" s="1"/>
  <c r="C3422" i="7"/>
  <c r="D3422" i="7" s="1"/>
  <c r="C3423" i="7"/>
  <c r="D3423" i="7" s="1"/>
  <c r="C3424" i="7"/>
  <c r="D3424" i="7" s="1"/>
  <c r="C3425" i="7"/>
  <c r="D3425" i="7" s="1"/>
  <c r="C3426" i="7"/>
  <c r="D3426" i="7" s="1"/>
  <c r="C3427" i="7"/>
  <c r="D3427" i="7" s="1"/>
  <c r="C3428" i="7"/>
  <c r="D3428" i="7" s="1"/>
  <c r="C3429" i="7"/>
  <c r="D3429" i="7" s="1"/>
  <c r="C3430" i="7"/>
  <c r="D3430" i="7" s="1"/>
  <c r="C3431" i="7"/>
  <c r="D3431" i="7" s="1"/>
  <c r="C3432" i="7"/>
  <c r="D3432" i="7" s="1"/>
  <c r="C3433" i="7"/>
  <c r="D3433" i="7" s="1"/>
  <c r="C3434" i="7"/>
  <c r="D3434" i="7" s="1"/>
  <c r="C3435" i="7"/>
  <c r="D3435" i="7" s="1"/>
  <c r="C3436" i="7"/>
  <c r="D3436" i="7" s="1"/>
  <c r="C3437" i="7"/>
  <c r="D3437" i="7" s="1"/>
  <c r="C3438" i="7"/>
  <c r="D3438" i="7" s="1"/>
  <c r="C3439" i="7"/>
  <c r="D3439" i="7" s="1"/>
  <c r="C3440" i="7"/>
  <c r="D3440" i="7" s="1"/>
  <c r="C3441" i="7"/>
  <c r="D3441" i="7" s="1"/>
  <c r="C3442" i="7"/>
  <c r="D3442" i="7" s="1"/>
  <c r="C3443" i="7"/>
  <c r="D3443" i="7" s="1"/>
  <c r="C3444" i="7"/>
  <c r="D3444" i="7" s="1"/>
  <c r="C3445" i="7"/>
  <c r="D3445" i="7" s="1"/>
  <c r="C3446" i="7"/>
  <c r="D3446" i="7" s="1"/>
  <c r="C3447" i="7"/>
  <c r="D3447" i="7" s="1"/>
  <c r="C3448" i="7"/>
  <c r="D3448" i="7" s="1"/>
  <c r="C3449" i="7"/>
  <c r="D3449" i="7" s="1"/>
  <c r="C3450" i="7"/>
  <c r="D3450" i="7" s="1"/>
  <c r="C3451" i="7"/>
  <c r="D3451" i="7" s="1"/>
  <c r="C3452" i="7"/>
  <c r="D3452" i="7" s="1"/>
  <c r="C3453" i="7"/>
  <c r="D3453" i="7" s="1"/>
  <c r="C3454" i="7"/>
  <c r="D3454" i="7" s="1"/>
  <c r="C3455" i="7"/>
  <c r="D3455" i="7" s="1"/>
  <c r="C3456" i="7"/>
  <c r="D3456" i="7" s="1"/>
  <c r="C3457" i="7"/>
  <c r="D3457" i="7" s="1"/>
  <c r="C3458" i="7"/>
  <c r="D3458" i="7" s="1"/>
  <c r="C3459" i="7"/>
  <c r="D3459" i="7" s="1"/>
  <c r="C3460" i="7"/>
  <c r="D3460" i="7" s="1"/>
  <c r="C3461" i="7"/>
  <c r="D3461" i="7" s="1"/>
  <c r="C3462" i="7"/>
  <c r="D3462" i="7" s="1"/>
  <c r="C3463" i="7"/>
  <c r="D3463" i="7" s="1"/>
  <c r="C3464" i="7"/>
  <c r="D3464" i="7" s="1"/>
  <c r="C3465" i="7"/>
  <c r="D3465" i="7" s="1"/>
  <c r="C3466" i="7"/>
  <c r="D3466" i="7" s="1"/>
  <c r="C3467" i="7"/>
  <c r="D3467" i="7" s="1"/>
  <c r="C3468" i="7"/>
  <c r="D3468" i="7" s="1"/>
  <c r="C3469" i="7"/>
  <c r="D3469" i="7" s="1"/>
  <c r="C3470" i="7"/>
  <c r="D3470" i="7" s="1"/>
  <c r="C3471" i="7"/>
  <c r="D3471" i="7" s="1"/>
  <c r="C3472" i="7"/>
  <c r="D3472" i="7" s="1"/>
  <c r="C3473" i="7"/>
  <c r="D3473" i="7" s="1"/>
  <c r="C3474" i="7"/>
  <c r="D3474" i="7" s="1"/>
  <c r="C3475" i="7"/>
  <c r="D3475" i="7" s="1"/>
  <c r="C3476" i="7"/>
  <c r="D3476" i="7" s="1"/>
  <c r="C3477" i="7"/>
  <c r="D3477" i="7" s="1"/>
  <c r="C3478" i="7"/>
  <c r="D3478" i="7" s="1"/>
  <c r="C3479" i="7"/>
  <c r="D3479" i="7" s="1"/>
  <c r="C3480" i="7"/>
  <c r="D3480" i="7" s="1"/>
  <c r="C3481" i="7"/>
  <c r="D3481" i="7" s="1"/>
  <c r="C3482" i="7"/>
  <c r="D3482" i="7" s="1"/>
  <c r="C3483" i="7"/>
  <c r="D3483" i="7" s="1"/>
  <c r="C3484" i="7"/>
  <c r="D3484" i="7" s="1"/>
  <c r="C3485" i="7"/>
  <c r="D3485" i="7" s="1"/>
  <c r="C3486" i="7"/>
  <c r="D3486" i="7" s="1"/>
  <c r="C3487" i="7"/>
  <c r="D3487" i="7" s="1"/>
  <c r="C3488" i="7"/>
  <c r="D3488" i="7" s="1"/>
  <c r="C3489" i="7"/>
  <c r="D3489" i="7" s="1"/>
  <c r="C3490" i="7"/>
  <c r="D3490" i="7" s="1"/>
  <c r="C3491" i="7"/>
  <c r="D3491" i="7" s="1"/>
  <c r="C3492" i="7"/>
  <c r="D3492" i="7" s="1"/>
  <c r="C3493" i="7"/>
  <c r="D3493" i="7" s="1"/>
  <c r="C3494" i="7"/>
  <c r="D3494" i="7" s="1"/>
  <c r="C3495" i="7"/>
  <c r="D3495" i="7" s="1"/>
  <c r="C3496" i="7"/>
  <c r="D3496" i="7" s="1"/>
  <c r="C3497" i="7"/>
  <c r="D3497" i="7" s="1"/>
  <c r="C3498" i="7"/>
  <c r="D3498" i="7" s="1"/>
  <c r="C3499" i="7"/>
  <c r="D3499" i="7" s="1"/>
  <c r="C3500" i="7"/>
  <c r="D3500" i="7" s="1"/>
  <c r="C3501" i="7"/>
  <c r="D3501" i="7" s="1"/>
  <c r="C3502" i="7"/>
  <c r="D3502" i="7" s="1"/>
  <c r="C3503" i="7"/>
  <c r="D3503" i="7" s="1"/>
  <c r="C3504" i="7"/>
  <c r="D3504" i="7" s="1"/>
  <c r="C3505" i="7"/>
  <c r="D3505" i="7" s="1"/>
  <c r="C3506" i="7"/>
  <c r="D3506" i="7" s="1"/>
  <c r="C3507" i="7"/>
  <c r="D3507" i="7" s="1"/>
  <c r="C3508" i="7"/>
  <c r="D3508" i="7" s="1"/>
  <c r="C3509" i="7"/>
  <c r="D3509" i="7" s="1"/>
  <c r="C3510" i="7"/>
  <c r="D3510" i="7" s="1"/>
  <c r="C3511" i="7"/>
  <c r="D3511" i="7" s="1"/>
  <c r="C3512" i="7"/>
  <c r="D3512" i="7" s="1"/>
  <c r="C3513" i="7"/>
  <c r="D3513" i="7" s="1"/>
  <c r="C3514" i="7"/>
  <c r="D3514" i="7" s="1"/>
  <c r="C3515" i="7"/>
  <c r="D3515" i="7" s="1"/>
  <c r="C3516" i="7"/>
  <c r="D3516" i="7" s="1"/>
  <c r="C3517" i="7"/>
  <c r="D3517" i="7" s="1"/>
  <c r="C3518" i="7"/>
  <c r="D3518" i="7" s="1"/>
  <c r="C3519" i="7"/>
  <c r="D3519" i="7" s="1"/>
  <c r="C3520" i="7"/>
  <c r="D3520" i="7" s="1"/>
  <c r="C3521" i="7"/>
  <c r="D3521" i="7" s="1"/>
  <c r="C3522" i="7"/>
  <c r="D3522" i="7" s="1"/>
  <c r="C3523" i="7"/>
  <c r="D3523" i="7" s="1"/>
  <c r="C3524" i="7"/>
  <c r="D3524" i="7" s="1"/>
  <c r="C3525" i="7"/>
  <c r="D3525" i="7" s="1"/>
  <c r="C3526" i="7"/>
  <c r="D3526" i="7" s="1"/>
  <c r="C3527" i="7"/>
  <c r="D3527" i="7" s="1"/>
  <c r="C3528" i="7"/>
  <c r="D3528" i="7" s="1"/>
  <c r="C3529" i="7"/>
  <c r="D3529" i="7" s="1"/>
  <c r="C3530" i="7"/>
  <c r="D3530" i="7" s="1"/>
  <c r="C3531" i="7"/>
  <c r="D3531" i="7" s="1"/>
  <c r="C3532" i="7"/>
  <c r="D3532" i="7" s="1"/>
  <c r="C3533" i="7"/>
  <c r="D3533" i="7" s="1"/>
  <c r="C3534" i="7"/>
  <c r="D3534" i="7" s="1"/>
  <c r="C3535" i="7"/>
  <c r="D3535" i="7" s="1"/>
  <c r="C3536" i="7"/>
  <c r="D3536" i="7" s="1"/>
  <c r="C3537" i="7"/>
  <c r="D3537" i="7" s="1"/>
  <c r="C3538" i="7"/>
  <c r="D3538" i="7" s="1"/>
  <c r="C3539" i="7"/>
  <c r="D3539" i="7" s="1"/>
  <c r="C3540" i="7"/>
  <c r="D3540" i="7" s="1"/>
  <c r="C3541" i="7"/>
  <c r="D3541" i="7" s="1"/>
  <c r="C3542" i="7"/>
  <c r="D3542" i="7" s="1"/>
  <c r="C3543" i="7"/>
  <c r="D3543" i="7" s="1"/>
  <c r="C3544" i="7"/>
  <c r="D3544" i="7" s="1"/>
  <c r="C3545" i="7"/>
  <c r="D3545" i="7" s="1"/>
  <c r="C3546" i="7"/>
  <c r="D3546" i="7" s="1"/>
  <c r="C3547" i="7"/>
  <c r="D3547" i="7" s="1"/>
  <c r="C3548" i="7"/>
  <c r="D3548" i="7" s="1"/>
  <c r="C3549" i="7"/>
  <c r="D3549" i="7" s="1"/>
  <c r="C3550" i="7"/>
  <c r="D3550" i="7" s="1"/>
  <c r="C3551" i="7"/>
  <c r="D3551" i="7" s="1"/>
  <c r="C3552" i="7"/>
  <c r="D3552" i="7" s="1"/>
  <c r="C3553" i="7"/>
  <c r="D3553" i="7" s="1"/>
  <c r="C3554" i="7"/>
  <c r="D3554" i="7" s="1"/>
  <c r="C3555" i="7"/>
  <c r="D3555" i="7" s="1"/>
  <c r="C3556" i="7"/>
  <c r="D3556" i="7" s="1"/>
  <c r="C3557" i="7"/>
  <c r="D3557" i="7" s="1"/>
  <c r="C3558" i="7"/>
  <c r="D3558" i="7" s="1"/>
  <c r="C3559" i="7"/>
  <c r="D3559" i="7" s="1"/>
  <c r="C3560" i="7"/>
  <c r="D3560" i="7" s="1"/>
  <c r="C3561" i="7"/>
  <c r="D3561" i="7" s="1"/>
  <c r="C3562" i="7"/>
  <c r="D3562" i="7" s="1"/>
  <c r="C3563" i="7"/>
  <c r="D3563" i="7" s="1"/>
  <c r="C3564" i="7"/>
  <c r="D3564" i="7" s="1"/>
  <c r="C3565" i="7"/>
  <c r="D3565" i="7" s="1"/>
  <c r="C3566" i="7"/>
  <c r="D3566" i="7" s="1"/>
  <c r="C3567" i="7"/>
  <c r="D3567" i="7" s="1"/>
  <c r="C3568" i="7"/>
  <c r="D3568" i="7" s="1"/>
  <c r="C3569" i="7"/>
  <c r="D3569" i="7" s="1"/>
  <c r="C3570" i="7"/>
  <c r="D3570" i="7" s="1"/>
  <c r="C3571" i="7"/>
  <c r="D3571" i="7" s="1"/>
  <c r="C3572" i="7"/>
  <c r="D3572" i="7" s="1"/>
  <c r="C3573" i="7"/>
  <c r="D3573" i="7" s="1"/>
  <c r="C3574" i="7"/>
  <c r="D3574" i="7" s="1"/>
  <c r="C3575" i="7"/>
  <c r="D3575" i="7" s="1"/>
  <c r="C3576" i="7"/>
  <c r="D3576" i="7" s="1"/>
  <c r="C3577" i="7"/>
  <c r="D3577" i="7" s="1"/>
  <c r="C3578" i="7"/>
  <c r="D3578" i="7" s="1"/>
  <c r="C3579" i="7"/>
  <c r="D3579" i="7" s="1"/>
  <c r="C3580" i="7"/>
  <c r="D3580" i="7" s="1"/>
  <c r="C3581" i="7"/>
  <c r="D3581" i="7" s="1"/>
  <c r="C3582" i="7"/>
  <c r="D3582" i="7" s="1"/>
  <c r="C3583" i="7"/>
  <c r="D3583" i="7" s="1"/>
  <c r="C3584" i="7"/>
  <c r="D3584" i="7" s="1"/>
  <c r="C3585" i="7"/>
  <c r="D3585" i="7" s="1"/>
  <c r="C3586" i="7"/>
  <c r="D3586" i="7" s="1"/>
  <c r="C3587" i="7"/>
  <c r="D3587" i="7" s="1"/>
  <c r="C3588" i="7"/>
  <c r="D3588" i="7" s="1"/>
  <c r="C3589" i="7"/>
  <c r="D3589" i="7" s="1"/>
  <c r="C3590" i="7"/>
  <c r="D3590" i="7" s="1"/>
  <c r="C3591" i="7"/>
  <c r="D3591" i="7" s="1"/>
  <c r="C3592" i="7"/>
  <c r="D3592" i="7" s="1"/>
  <c r="C3593" i="7"/>
  <c r="D3593" i="7" s="1"/>
  <c r="C3594" i="7"/>
  <c r="D3594" i="7" s="1"/>
  <c r="C3595" i="7"/>
  <c r="D3595" i="7" s="1"/>
  <c r="C3596" i="7"/>
  <c r="D3596" i="7" s="1"/>
  <c r="C3597" i="7"/>
  <c r="D3597" i="7" s="1"/>
  <c r="C3598" i="7"/>
  <c r="D3598" i="7" s="1"/>
  <c r="C3599" i="7"/>
  <c r="D3599" i="7" s="1"/>
  <c r="C3600" i="7"/>
  <c r="D3600" i="7" s="1"/>
  <c r="C3601" i="7"/>
  <c r="D3601" i="7" s="1"/>
  <c r="C3602" i="7"/>
  <c r="D3602" i="7" s="1"/>
  <c r="C3603" i="7"/>
  <c r="D3603" i="7" s="1"/>
  <c r="C3604" i="7"/>
  <c r="D3604" i="7" s="1"/>
  <c r="C3605" i="7"/>
  <c r="D3605" i="7" s="1"/>
  <c r="C3606" i="7"/>
  <c r="D3606" i="7" s="1"/>
  <c r="C3607" i="7"/>
  <c r="D3607" i="7" s="1"/>
  <c r="C3608" i="7"/>
  <c r="D3608" i="7" s="1"/>
  <c r="C3609" i="7"/>
  <c r="D3609" i="7" s="1"/>
  <c r="C3610" i="7"/>
  <c r="D3610" i="7" s="1"/>
  <c r="C3611" i="7"/>
  <c r="D3611" i="7" s="1"/>
  <c r="C3612" i="7"/>
  <c r="D3612" i="7" s="1"/>
  <c r="C3613" i="7"/>
  <c r="D3613" i="7" s="1"/>
  <c r="C3614" i="7"/>
  <c r="D3614" i="7" s="1"/>
  <c r="C3615" i="7"/>
  <c r="D3615" i="7" s="1"/>
  <c r="C3616" i="7"/>
  <c r="D3616" i="7" s="1"/>
  <c r="C3617" i="7"/>
  <c r="D3617" i="7" s="1"/>
  <c r="C3618" i="7"/>
  <c r="D3618" i="7" s="1"/>
  <c r="C3619" i="7"/>
  <c r="D3619" i="7" s="1"/>
  <c r="C3620" i="7"/>
  <c r="D3620" i="7" s="1"/>
  <c r="C3621" i="7"/>
  <c r="D3621" i="7" s="1"/>
  <c r="C3622" i="7"/>
  <c r="D3622" i="7" s="1"/>
  <c r="C3623" i="7"/>
  <c r="D3623" i="7" s="1"/>
  <c r="C3624" i="7"/>
  <c r="D3624" i="7" s="1"/>
  <c r="C3625" i="7"/>
  <c r="D3625" i="7" s="1"/>
  <c r="C3626" i="7"/>
  <c r="D3626" i="7" s="1"/>
  <c r="C3627" i="7"/>
  <c r="D3627" i="7" s="1"/>
  <c r="C3628" i="7"/>
  <c r="D3628" i="7" s="1"/>
  <c r="C3629" i="7"/>
  <c r="D3629" i="7" s="1"/>
  <c r="C3630" i="7"/>
  <c r="D3630" i="7" s="1"/>
  <c r="C3631" i="7"/>
  <c r="D3631" i="7" s="1"/>
  <c r="C3632" i="7"/>
  <c r="D3632" i="7" s="1"/>
  <c r="C3633" i="7"/>
  <c r="D3633" i="7" s="1"/>
  <c r="C3634" i="7"/>
  <c r="D3634" i="7" s="1"/>
  <c r="C3635" i="7"/>
  <c r="D3635" i="7" s="1"/>
  <c r="C3636" i="7"/>
  <c r="D3636" i="7" s="1"/>
  <c r="C3637" i="7"/>
  <c r="D3637" i="7" s="1"/>
  <c r="C3638" i="7"/>
  <c r="D3638" i="7" s="1"/>
  <c r="C3639" i="7"/>
  <c r="D3639" i="7" s="1"/>
  <c r="C3640" i="7"/>
  <c r="D3640" i="7" s="1"/>
  <c r="C3641" i="7"/>
  <c r="D3641" i="7" s="1"/>
  <c r="C3642" i="7"/>
  <c r="D3642" i="7" s="1"/>
  <c r="C3643" i="7"/>
  <c r="D3643" i="7" s="1"/>
  <c r="C3644" i="7"/>
  <c r="D3644" i="7" s="1"/>
  <c r="C3645" i="7"/>
  <c r="D3645" i="7" s="1"/>
  <c r="C3646" i="7"/>
  <c r="D3646" i="7" s="1"/>
  <c r="C3647" i="7"/>
  <c r="D3647" i="7" s="1"/>
  <c r="C3648" i="7"/>
  <c r="D3648" i="7" s="1"/>
  <c r="C3649" i="7"/>
  <c r="D3649" i="7" s="1"/>
  <c r="C3650" i="7"/>
  <c r="D3650" i="7" s="1"/>
  <c r="C3651" i="7"/>
  <c r="D3651" i="7" s="1"/>
  <c r="C3652" i="7"/>
  <c r="D3652" i="7" s="1"/>
  <c r="C3653" i="7"/>
  <c r="D3653" i="7" s="1"/>
  <c r="C3654" i="7"/>
  <c r="D3654" i="7" s="1"/>
  <c r="C3655" i="7"/>
  <c r="D3655" i="7" s="1"/>
  <c r="C3656" i="7"/>
  <c r="D3656" i="7" s="1"/>
  <c r="C3657" i="7"/>
  <c r="D3657" i="7" s="1"/>
  <c r="C3658" i="7"/>
  <c r="D3658" i="7" s="1"/>
  <c r="C3659" i="7"/>
  <c r="D3659" i="7" s="1"/>
  <c r="C3660" i="7"/>
  <c r="D3660" i="7" s="1"/>
  <c r="C3661" i="7"/>
  <c r="D3661" i="7" s="1"/>
  <c r="C3662" i="7"/>
  <c r="D3662" i="7" s="1"/>
  <c r="C3663" i="7"/>
  <c r="D3663" i="7" s="1"/>
  <c r="C3664" i="7"/>
  <c r="D3664" i="7" s="1"/>
  <c r="C3665" i="7"/>
  <c r="D3665" i="7" s="1"/>
  <c r="C3666" i="7"/>
  <c r="D3666" i="7" s="1"/>
  <c r="C3667" i="7"/>
  <c r="D3667" i="7" s="1"/>
  <c r="C3668" i="7"/>
  <c r="D3668" i="7" s="1"/>
  <c r="C3669" i="7"/>
  <c r="D3669" i="7" s="1"/>
  <c r="C3670" i="7"/>
  <c r="D3670" i="7" s="1"/>
  <c r="C3671" i="7"/>
  <c r="D3671" i="7" s="1"/>
  <c r="C3672" i="7"/>
  <c r="D3672" i="7" s="1"/>
  <c r="C3673" i="7"/>
  <c r="D3673" i="7" s="1"/>
  <c r="C3674" i="7"/>
  <c r="D3674" i="7" s="1"/>
  <c r="C3675" i="7"/>
  <c r="D3675" i="7" s="1"/>
  <c r="C3676" i="7"/>
  <c r="D3676" i="7" s="1"/>
  <c r="C3677" i="7"/>
  <c r="D3677" i="7" s="1"/>
  <c r="C3678" i="7"/>
  <c r="D3678" i="7" s="1"/>
  <c r="C3679" i="7"/>
  <c r="D3679" i="7" s="1"/>
  <c r="C3680" i="7"/>
  <c r="D3680" i="7" s="1"/>
  <c r="C3681" i="7"/>
  <c r="D3681" i="7" s="1"/>
  <c r="C3682" i="7"/>
  <c r="D3682" i="7" s="1"/>
  <c r="C3683" i="7"/>
  <c r="D3683" i="7" s="1"/>
  <c r="C3684" i="7"/>
  <c r="D3684" i="7" s="1"/>
  <c r="C3685" i="7"/>
  <c r="D3685" i="7" s="1"/>
  <c r="C3686" i="7"/>
  <c r="D3686" i="7" s="1"/>
  <c r="C3687" i="7"/>
  <c r="D3687" i="7" s="1"/>
  <c r="C3688" i="7"/>
  <c r="D3688" i="7" s="1"/>
  <c r="C3689" i="7"/>
  <c r="D3689" i="7" s="1"/>
  <c r="C3690" i="7"/>
  <c r="D3690" i="7" s="1"/>
  <c r="C3691" i="7"/>
  <c r="D3691" i="7" s="1"/>
  <c r="C3692" i="7"/>
  <c r="D3692" i="7" s="1"/>
  <c r="C3693" i="7"/>
  <c r="D3693" i="7" s="1"/>
  <c r="C3694" i="7"/>
  <c r="D3694" i="7" s="1"/>
  <c r="C3695" i="7"/>
  <c r="D3695" i="7" s="1"/>
  <c r="C3696" i="7"/>
  <c r="D3696" i="7" s="1"/>
  <c r="C3697" i="7"/>
  <c r="D3697" i="7" s="1"/>
  <c r="C3698" i="7"/>
  <c r="D3698" i="7" s="1"/>
  <c r="C3699" i="7"/>
  <c r="D3699" i="7" s="1"/>
  <c r="C3700" i="7"/>
  <c r="D3700" i="7" s="1"/>
  <c r="C3701" i="7"/>
  <c r="D3701" i="7" s="1"/>
  <c r="C3702" i="7"/>
  <c r="D3702" i="7" s="1"/>
  <c r="C3703" i="7"/>
  <c r="D3703" i="7" s="1"/>
  <c r="C3704" i="7"/>
  <c r="D3704" i="7" s="1"/>
  <c r="C3705" i="7"/>
  <c r="D3705" i="7" s="1"/>
  <c r="C3706" i="7"/>
  <c r="D3706" i="7" s="1"/>
  <c r="C3707" i="7"/>
  <c r="D3707" i="7" s="1"/>
  <c r="C3708" i="7"/>
  <c r="D3708" i="7" s="1"/>
  <c r="C3709" i="7"/>
  <c r="D3709" i="7" s="1"/>
  <c r="C3710" i="7"/>
  <c r="D3710" i="7" s="1"/>
  <c r="C3711" i="7"/>
  <c r="D3711" i="7" s="1"/>
  <c r="C3712" i="7"/>
  <c r="D3712" i="7" s="1"/>
  <c r="C3713" i="7"/>
  <c r="D3713" i="7" s="1"/>
  <c r="C3714" i="7"/>
  <c r="D3714" i="7" s="1"/>
  <c r="C3715" i="7"/>
  <c r="D3715" i="7" s="1"/>
  <c r="C3716" i="7"/>
  <c r="D3716" i="7" s="1"/>
  <c r="C3717" i="7"/>
  <c r="D3717" i="7" s="1"/>
  <c r="C3718" i="7"/>
  <c r="D3718" i="7" s="1"/>
  <c r="C3719" i="7"/>
  <c r="D3719" i="7" s="1"/>
  <c r="C3720" i="7"/>
  <c r="D3720" i="7" s="1"/>
  <c r="C3721" i="7"/>
  <c r="D3721" i="7" s="1"/>
  <c r="C3722" i="7"/>
  <c r="D3722" i="7" s="1"/>
  <c r="C3723" i="7"/>
  <c r="D3723" i="7" s="1"/>
  <c r="C3724" i="7"/>
  <c r="D3724" i="7" s="1"/>
  <c r="C3725" i="7"/>
  <c r="D3725" i="7" s="1"/>
  <c r="C3726" i="7"/>
  <c r="D3726" i="7" s="1"/>
  <c r="C3727" i="7"/>
  <c r="D3727" i="7" s="1"/>
  <c r="C3728" i="7"/>
  <c r="D3728" i="7" s="1"/>
  <c r="C3729" i="7"/>
  <c r="D3729" i="7" s="1"/>
  <c r="C3730" i="7"/>
  <c r="D3730" i="7" s="1"/>
  <c r="C3731" i="7"/>
  <c r="D3731" i="7" s="1"/>
  <c r="C3732" i="7"/>
  <c r="D3732" i="7" s="1"/>
  <c r="C3733" i="7"/>
  <c r="D3733" i="7" s="1"/>
  <c r="C3734" i="7"/>
  <c r="D3734" i="7" s="1"/>
  <c r="C3735" i="7"/>
  <c r="D3735" i="7" s="1"/>
  <c r="C3736" i="7"/>
  <c r="D3736" i="7" s="1"/>
  <c r="C3737" i="7"/>
  <c r="D3737" i="7" s="1"/>
  <c r="C3738" i="7"/>
  <c r="D3738" i="7" s="1"/>
  <c r="C3739" i="7"/>
  <c r="D3739" i="7" s="1"/>
  <c r="C3740" i="7"/>
  <c r="D3740" i="7" s="1"/>
  <c r="C3741" i="7"/>
  <c r="D3741" i="7" s="1"/>
  <c r="C3742" i="7"/>
  <c r="D3742" i="7" s="1"/>
  <c r="C3743" i="7"/>
  <c r="D3743" i="7" s="1"/>
  <c r="C3744" i="7"/>
  <c r="D3744" i="7" s="1"/>
  <c r="C3745" i="7"/>
  <c r="D3745" i="7" s="1"/>
  <c r="C3746" i="7"/>
  <c r="D3746" i="7" s="1"/>
  <c r="C3747" i="7"/>
  <c r="D3747" i="7" s="1"/>
  <c r="C3748" i="7"/>
  <c r="D3748" i="7" s="1"/>
  <c r="C3749" i="7"/>
  <c r="D3749" i="7" s="1"/>
  <c r="C3750" i="7"/>
  <c r="D3750" i="7" s="1"/>
  <c r="C3751" i="7"/>
  <c r="D3751" i="7" s="1"/>
  <c r="C3752" i="7"/>
  <c r="D3752" i="7" s="1"/>
  <c r="C3753" i="7"/>
  <c r="D3753" i="7" s="1"/>
  <c r="C3754" i="7"/>
  <c r="D3754" i="7" s="1"/>
  <c r="C3755" i="7"/>
  <c r="D3755" i="7" s="1"/>
  <c r="C3756" i="7"/>
  <c r="D3756" i="7" s="1"/>
  <c r="C3757" i="7"/>
  <c r="D3757" i="7" s="1"/>
  <c r="C3758" i="7"/>
  <c r="D3758" i="7" s="1"/>
  <c r="C3759" i="7"/>
  <c r="D3759" i="7" s="1"/>
  <c r="C3760" i="7"/>
  <c r="D3760" i="7" s="1"/>
  <c r="C3761" i="7"/>
  <c r="D3761" i="7" s="1"/>
  <c r="C3762" i="7"/>
  <c r="D3762" i="7" s="1"/>
  <c r="C3763" i="7"/>
  <c r="D3763" i="7" s="1"/>
  <c r="C3764" i="7"/>
  <c r="D3764" i="7" s="1"/>
  <c r="C3765" i="7"/>
  <c r="D3765" i="7" s="1"/>
  <c r="C3766" i="7"/>
  <c r="D3766" i="7" s="1"/>
  <c r="C3767" i="7"/>
  <c r="D3767" i="7" s="1"/>
  <c r="C3768" i="7"/>
  <c r="D3768" i="7" s="1"/>
  <c r="C3769" i="7"/>
  <c r="D3769" i="7" s="1"/>
  <c r="C3770" i="7"/>
  <c r="D3770" i="7" s="1"/>
  <c r="C3771" i="7"/>
  <c r="D3771" i="7" s="1"/>
  <c r="C3772" i="7"/>
  <c r="D3772" i="7" s="1"/>
  <c r="C3773" i="7"/>
  <c r="D3773" i="7" s="1"/>
  <c r="C3774" i="7"/>
  <c r="D3774" i="7" s="1"/>
  <c r="C3775" i="7"/>
  <c r="D3775" i="7" s="1"/>
  <c r="C3776" i="7"/>
  <c r="D3776" i="7" s="1"/>
  <c r="C3777" i="7"/>
  <c r="D3777" i="7" s="1"/>
  <c r="C3778" i="7"/>
  <c r="D3778" i="7" s="1"/>
  <c r="C3779" i="7"/>
  <c r="D3779" i="7" s="1"/>
  <c r="C3780" i="7"/>
  <c r="D3780" i="7" s="1"/>
  <c r="C3781" i="7"/>
  <c r="D3781" i="7" s="1"/>
  <c r="C3782" i="7"/>
  <c r="D3782" i="7" s="1"/>
  <c r="C3783" i="7"/>
  <c r="D3783" i="7" s="1"/>
  <c r="C3784" i="7"/>
  <c r="D3784" i="7" s="1"/>
  <c r="C3785" i="7"/>
  <c r="D3785" i="7" s="1"/>
  <c r="C3786" i="7"/>
  <c r="D3786" i="7" s="1"/>
  <c r="C3787" i="7"/>
  <c r="D3787" i="7" s="1"/>
  <c r="C3788" i="7"/>
  <c r="D3788" i="7" s="1"/>
  <c r="C3789" i="7"/>
  <c r="D3789" i="7" s="1"/>
  <c r="C3790" i="7"/>
  <c r="D3790" i="7" s="1"/>
  <c r="C3791" i="7"/>
  <c r="D3791" i="7" s="1"/>
  <c r="C3792" i="7"/>
  <c r="D3792" i="7" s="1"/>
  <c r="C3793" i="7"/>
  <c r="D3793" i="7" s="1"/>
  <c r="C3794" i="7"/>
  <c r="D3794" i="7" s="1"/>
  <c r="C3795" i="7"/>
  <c r="D3795" i="7" s="1"/>
  <c r="C3796" i="7"/>
  <c r="D3796" i="7" s="1"/>
  <c r="C3797" i="7"/>
  <c r="D3797" i="7" s="1"/>
  <c r="C3798" i="7"/>
  <c r="D3798" i="7" s="1"/>
  <c r="C3799" i="7"/>
  <c r="D3799" i="7" s="1"/>
  <c r="C3800" i="7"/>
  <c r="D3800" i="7" s="1"/>
  <c r="C3801" i="7"/>
  <c r="D3801" i="7" s="1"/>
  <c r="C3802" i="7"/>
  <c r="D3802" i="7" s="1"/>
  <c r="C3803" i="7"/>
  <c r="D3803" i="7" s="1"/>
  <c r="C3804" i="7"/>
  <c r="D3804" i="7" s="1"/>
  <c r="C3805" i="7"/>
  <c r="D3805" i="7" s="1"/>
  <c r="C3806" i="7"/>
  <c r="D3806" i="7" s="1"/>
  <c r="C3807" i="7"/>
  <c r="D3807" i="7" s="1"/>
  <c r="C3808" i="7"/>
  <c r="D3808" i="7" s="1"/>
  <c r="C3809" i="7"/>
  <c r="D3809" i="7" s="1"/>
  <c r="C3810" i="7"/>
  <c r="D3810" i="7" s="1"/>
  <c r="C3811" i="7"/>
  <c r="D3811" i="7" s="1"/>
  <c r="C3812" i="7"/>
  <c r="D3812" i="7" s="1"/>
  <c r="C3813" i="7"/>
  <c r="D3813" i="7" s="1"/>
  <c r="C3814" i="7"/>
  <c r="D3814" i="7" s="1"/>
  <c r="C3815" i="7"/>
  <c r="D3815" i="7" s="1"/>
  <c r="C3816" i="7"/>
  <c r="D3816" i="7" s="1"/>
  <c r="C3817" i="7"/>
  <c r="D3817" i="7" s="1"/>
  <c r="C3818" i="7"/>
  <c r="D3818" i="7" s="1"/>
  <c r="C3819" i="7"/>
  <c r="D3819" i="7" s="1"/>
  <c r="C3820" i="7"/>
  <c r="D3820" i="7" s="1"/>
  <c r="C3821" i="7"/>
  <c r="D3821" i="7" s="1"/>
  <c r="C3822" i="7"/>
  <c r="D3822" i="7" s="1"/>
  <c r="C3823" i="7"/>
  <c r="D3823" i="7" s="1"/>
  <c r="C3824" i="7"/>
  <c r="D3824" i="7" s="1"/>
  <c r="C3825" i="7"/>
  <c r="D3825" i="7" s="1"/>
  <c r="C3826" i="7"/>
  <c r="D3826" i="7" s="1"/>
  <c r="C3827" i="7"/>
  <c r="D3827" i="7" s="1"/>
  <c r="C3828" i="7"/>
  <c r="D3828" i="7" s="1"/>
  <c r="C3829" i="7"/>
  <c r="D3829" i="7" s="1"/>
  <c r="C3830" i="7"/>
  <c r="D3830" i="7" s="1"/>
  <c r="C3831" i="7"/>
  <c r="D3831" i="7" s="1"/>
  <c r="C3832" i="7"/>
  <c r="D3832" i="7" s="1"/>
  <c r="C3833" i="7"/>
  <c r="D3833" i="7" s="1"/>
  <c r="C3834" i="7"/>
  <c r="D3834" i="7" s="1"/>
  <c r="C3835" i="7"/>
  <c r="D3835" i="7" s="1"/>
  <c r="C3836" i="7"/>
  <c r="D3836" i="7" s="1"/>
  <c r="C3837" i="7"/>
  <c r="D3837" i="7" s="1"/>
  <c r="C3838" i="7"/>
  <c r="D3838" i="7" s="1"/>
  <c r="C3839" i="7"/>
  <c r="D3839" i="7" s="1"/>
  <c r="C3840" i="7"/>
  <c r="D3840" i="7" s="1"/>
  <c r="C3841" i="7"/>
  <c r="D3841" i="7" s="1"/>
  <c r="C3842" i="7"/>
  <c r="D3842" i="7" s="1"/>
  <c r="C3843" i="7"/>
  <c r="D3843" i="7" s="1"/>
  <c r="C3844" i="7"/>
  <c r="D3844" i="7" s="1"/>
  <c r="C3845" i="7"/>
  <c r="D3845" i="7" s="1"/>
  <c r="C3846" i="7"/>
  <c r="D3846" i="7" s="1"/>
  <c r="C3847" i="7"/>
  <c r="D3847" i="7" s="1"/>
  <c r="C3848" i="7"/>
  <c r="D3848" i="7" s="1"/>
  <c r="C3849" i="7"/>
  <c r="D3849" i="7" s="1"/>
  <c r="C3850" i="7"/>
  <c r="D3850" i="7" s="1"/>
  <c r="C3851" i="7"/>
  <c r="D3851" i="7" s="1"/>
  <c r="C3852" i="7"/>
  <c r="D3852" i="7" s="1"/>
  <c r="C3853" i="7"/>
  <c r="D3853" i="7" s="1"/>
  <c r="C3854" i="7"/>
  <c r="D3854" i="7" s="1"/>
  <c r="C3855" i="7"/>
  <c r="D3855" i="7" s="1"/>
  <c r="C3856" i="7"/>
  <c r="D3856" i="7" s="1"/>
  <c r="C3857" i="7"/>
  <c r="D3857" i="7" s="1"/>
  <c r="C3858" i="7"/>
  <c r="D3858" i="7" s="1"/>
  <c r="C3859" i="7"/>
  <c r="D3859" i="7" s="1"/>
  <c r="C3860" i="7"/>
  <c r="D3860" i="7" s="1"/>
  <c r="C3861" i="7"/>
  <c r="D3861" i="7" s="1"/>
  <c r="C3862" i="7"/>
  <c r="D3862" i="7" s="1"/>
  <c r="C3863" i="7"/>
  <c r="D3863" i="7" s="1"/>
  <c r="C3864" i="7"/>
  <c r="D3864" i="7" s="1"/>
  <c r="C3865" i="7"/>
  <c r="D3865" i="7" s="1"/>
  <c r="C3866" i="7"/>
  <c r="D3866" i="7" s="1"/>
  <c r="C3867" i="7"/>
  <c r="D3867" i="7" s="1"/>
  <c r="C3868" i="7"/>
  <c r="D3868" i="7" s="1"/>
  <c r="C3869" i="7"/>
  <c r="D3869" i="7" s="1"/>
  <c r="C3870" i="7"/>
  <c r="D3870" i="7" s="1"/>
  <c r="C3871" i="7"/>
  <c r="D3871" i="7" s="1"/>
  <c r="C3872" i="7"/>
  <c r="D3872" i="7" s="1"/>
  <c r="C3873" i="7"/>
  <c r="D3873" i="7" s="1"/>
  <c r="C3874" i="7"/>
  <c r="D3874" i="7" s="1"/>
  <c r="C3875" i="7"/>
  <c r="D3875" i="7" s="1"/>
  <c r="C3876" i="7"/>
  <c r="D3876" i="7" s="1"/>
  <c r="C3877" i="7"/>
  <c r="D3877" i="7" s="1"/>
  <c r="C3878" i="7"/>
  <c r="D3878" i="7" s="1"/>
  <c r="C3879" i="7"/>
  <c r="D3879" i="7" s="1"/>
  <c r="C3880" i="7"/>
  <c r="D3880" i="7" s="1"/>
  <c r="C3881" i="7"/>
  <c r="D3881" i="7" s="1"/>
  <c r="C3882" i="7"/>
  <c r="D3882" i="7" s="1"/>
  <c r="C3883" i="7"/>
  <c r="D3883" i="7" s="1"/>
  <c r="C3884" i="7"/>
  <c r="D3884" i="7" s="1"/>
  <c r="C3885" i="7"/>
  <c r="D3885" i="7" s="1"/>
  <c r="C3886" i="7"/>
  <c r="D3886" i="7" s="1"/>
  <c r="C3887" i="7"/>
  <c r="D3887" i="7" s="1"/>
  <c r="C3888" i="7"/>
  <c r="D3888" i="7" s="1"/>
  <c r="C3889" i="7"/>
  <c r="D3889" i="7" s="1"/>
  <c r="C3890" i="7"/>
  <c r="D3890" i="7" s="1"/>
  <c r="C3891" i="7"/>
  <c r="D3891" i="7" s="1"/>
  <c r="C3892" i="7"/>
  <c r="D3892" i="7" s="1"/>
  <c r="C3893" i="7"/>
  <c r="D3893" i="7" s="1"/>
  <c r="C3894" i="7"/>
  <c r="D3894" i="7" s="1"/>
  <c r="C3895" i="7"/>
  <c r="D3895" i="7" s="1"/>
  <c r="C3896" i="7"/>
  <c r="D3896" i="7" s="1"/>
  <c r="C3897" i="7"/>
  <c r="D3897" i="7" s="1"/>
  <c r="C3898" i="7"/>
  <c r="D3898" i="7" s="1"/>
  <c r="C3899" i="7"/>
  <c r="D3899" i="7" s="1"/>
  <c r="C3900" i="7"/>
  <c r="D3900" i="7" s="1"/>
  <c r="C3901" i="7"/>
  <c r="D3901" i="7" s="1"/>
  <c r="C3902" i="7"/>
  <c r="D3902" i="7" s="1"/>
  <c r="C3903" i="7"/>
  <c r="D3903" i="7" s="1"/>
  <c r="C3904" i="7"/>
  <c r="D3904" i="7" s="1"/>
  <c r="C3905" i="7"/>
  <c r="D3905" i="7" s="1"/>
  <c r="C3906" i="7"/>
  <c r="D3906" i="7" s="1"/>
  <c r="C3907" i="7"/>
  <c r="D3907" i="7" s="1"/>
  <c r="C3908" i="7"/>
  <c r="D3908" i="7" s="1"/>
  <c r="C3909" i="7"/>
  <c r="D3909" i="7" s="1"/>
  <c r="C3910" i="7"/>
  <c r="D3910" i="7" s="1"/>
  <c r="C3911" i="7"/>
  <c r="D3911" i="7" s="1"/>
  <c r="C3912" i="7"/>
  <c r="D3912" i="7" s="1"/>
  <c r="C3913" i="7"/>
  <c r="D3913" i="7" s="1"/>
  <c r="C3914" i="7"/>
  <c r="D3914" i="7" s="1"/>
  <c r="C3915" i="7"/>
  <c r="D3915" i="7" s="1"/>
  <c r="C3916" i="7"/>
  <c r="D3916" i="7" s="1"/>
  <c r="C3917" i="7"/>
  <c r="D3917" i="7" s="1"/>
  <c r="C3918" i="7"/>
  <c r="D3918" i="7" s="1"/>
  <c r="C3919" i="7"/>
  <c r="D3919" i="7" s="1"/>
  <c r="C3920" i="7"/>
  <c r="D3920" i="7" s="1"/>
  <c r="C3921" i="7"/>
  <c r="D3921" i="7" s="1"/>
  <c r="C3922" i="7"/>
  <c r="D3922" i="7" s="1"/>
  <c r="C3923" i="7"/>
  <c r="D3923" i="7" s="1"/>
  <c r="C3924" i="7"/>
  <c r="D3924" i="7" s="1"/>
  <c r="C3925" i="7"/>
  <c r="D3925" i="7" s="1"/>
  <c r="C3926" i="7"/>
  <c r="D3926" i="7" s="1"/>
  <c r="C3927" i="7"/>
  <c r="D3927" i="7" s="1"/>
  <c r="C3928" i="7"/>
  <c r="D3928" i="7" s="1"/>
  <c r="C3929" i="7"/>
  <c r="D3929" i="7" s="1"/>
  <c r="C3930" i="7"/>
  <c r="D3930" i="7" s="1"/>
  <c r="C3931" i="7"/>
  <c r="D3931" i="7" s="1"/>
  <c r="C3932" i="7"/>
  <c r="D3932" i="7" s="1"/>
  <c r="C3933" i="7"/>
  <c r="D3933" i="7" s="1"/>
  <c r="C3934" i="7"/>
  <c r="D3934" i="7" s="1"/>
  <c r="C3935" i="7"/>
  <c r="D3935" i="7" s="1"/>
  <c r="C3936" i="7"/>
  <c r="D3936" i="7" s="1"/>
  <c r="C3937" i="7"/>
  <c r="D3937" i="7" s="1"/>
  <c r="C3938" i="7"/>
  <c r="D3938" i="7" s="1"/>
  <c r="C3939" i="7"/>
  <c r="D3939" i="7" s="1"/>
  <c r="C3940" i="7"/>
  <c r="D3940" i="7" s="1"/>
  <c r="C3941" i="7"/>
  <c r="D3941" i="7" s="1"/>
  <c r="C3942" i="7"/>
  <c r="D3942" i="7" s="1"/>
  <c r="C3943" i="7"/>
  <c r="D3943" i="7" s="1"/>
  <c r="C3944" i="7"/>
  <c r="D3944" i="7" s="1"/>
  <c r="C3945" i="7"/>
  <c r="D3945" i="7" s="1"/>
  <c r="C3946" i="7"/>
  <c r="D3946" i="7" s="1"/>
  <c r="C3947" i="7"/>
  <c r="D3947" i="7" s="1"/>
  <c r="C3948" i="7"/>
  <c r="D3948" i="7" s="1"/>
  <c r="C3949" i="7"/>
  <c r="D3949" i="7" s="1"/>
  <c r="C3950" i="7"/>
  <c r="D3950" i="7" s="1"/>
  <c r="C3951" i="7"/>
  <c r="D3951" i="7" s="1"/>
  <c r="C3952" i="7"/>
  <c r="D3952" i="7" s="1"/>
  <c r="C3953" i="7"/>
  <c r="D3953" i="7" s="1"/>
  <c r="C3954" i="7"/>
  <c r="D3954" i="7" s="1"/>
  <c r="C3955" i="7"/>
  <c r="D3955" i="7" s="1"/>
  <c r="C3956" i="7"/>
  <c r="D3956" i="7" s="1"/>
  <c r="C3957" i="7"/>
  <c r="D3957" i="7" s="1"/>
  <c r="C3958" i="7"/>
  <c r="D3958" i="7" s="1"/>
  <c r="C3959" i="7"/>
  <c r="D3959" i="7" s="1"/>
  <c r="C3960" i="7"/>
  <c r="D3960" i="7" s="1"/>
  <c r="C3961" i="7"/>
  <c r="D3961" i="7" s="1"/>
  <c r="C3962" i="7"/>
  <c r="D3962" i="7" s="1"/>
  <c r="C3963" i="7"/>
  <c r="D3963" i="7" s="1"/>
  <c r="C3964" i="7"/>
  <c r="D3964" i="7" s="1"/>
  <c r="C3965" i="7"/>
  <c r="D3965" i="7" s="1"/>
  <c r="C3966" i="7"/>
  <c r="D3966" i="7" s="1"/>
  <c r="C3967" i="7"/>
  <c r="D3967" i="7" s="1"/>
  <c r="C3968" i="7"/>
  <c r="D3968" i="7" s="1"/>
  <c r="C3969" i="7"/>
  <c r="D3969" i="7" s="1"/>
  <c r="C3970" i="7"/>
  <c r="D3970" i="7" s="1"/>
  <c r="C3971" i="7"/>
  <c r="D3971" i="7" s="1"/>
  <c r="C3972" i="7"/>
  <c r="D3972" i="7" s="1"/>
  <c r="C3973" i="7"/>
  <c r="D3973" i="7" s="1"/>
  <c r="C3974" i="7"/>
  <c r="D3974" i="7" s="1"/>
  <c r="C3975" i="7"/>
  <c r="D3975" i="7" s="1"/>
  <c r="C3976" i="7"/>
  <c r="D3976" i="7" s="1"/>
  <c r="C3977" i="7"/>
  <c r="D3977" i="7" s="1"/>
  <c r="C3978" i="7"/>
  <c r="D3978" i="7" s="1"/>
  <c r="C3979" i="7"/>
  <c r="D3979" i="7" s="1"/>
  <c r="C3980" i="7"/>
  <c r="D3980" i="7" s="1"/>
  <c r="C3981" i="7"/>
  <c r="D3981" i="7" s="1"/>
  <c r="C3982" i="7"/>
  <c r="D3982" i="7" s="1"/>
  <c r="C3983" i="7"/>
  <c r="D3983" i="7" s="1"/>
  <c r="C3984" i="7"/>
  <c r="D3984" i="7" s="1"/>
  <c r="C3985" i="7"/>
  <c r="D3985" i="7" s="1"/>
  <c r="C3986" i="7"/>
  <c r="D3986" i="7" s="1"/>
  <c r="C3987" i="7"/>
  <c r="D3987" i="7" s="1"/>
  <c r="C3988" i="7"/>
  <c r="D3988" i="7" s="1"/>
  <c r="C3989" i="7"/>
  <c r="D3989" i="7" s="1"/>
  <c r="C3990" i="7"/>
  <c r="D3990" i="7" s="1"/>
  <c r="C3991" i="7"/>
  <c r="D3991" i="7" s="1"/>
  <c r="C3992" i="7"/>
  <c r="D3992" i="7" s="1"/>
  <c r="C3993" i="7"/>
  <c r="D3993" i="7" s="1"/>
  <c r="C3994" i="7"/>
  <c r="D3994" i="7" s="1"/>
  <c r="C3995" i="7"/>
  <c r="D3995" i="7" s="1"/>
  <c r="C3996" i="7"/>
  <c r="D3996" i="7" s="1"/>
  <c r="C3997" i="7"/>
  <c r="D3997" i="7" s="1"/>
  <c r="C3998" i="7"/>
  <c r="D3998" i="7" s="1"/>
  <c r="C3999" i="7"/>
  <c r="D3999" i="7" s="1"/>
  <c r="C4000" i="7"/>
  <c r="D4000" i="7" s="1"/>
  <c r="C4001" i="7"/>
  <c r="D4001" i="7" s="1"/>
  <c r="C4002" i="7"/>
  <c r="D4002" i="7" s="1"/>
  <c r="C4003" i="7"/>
  <c r="D4003" i="7" s="1"/>
  <c r="C4004" i="7"/>
  <c r="D4004" i="7" s="1"/>
  <c r="C4005" i="7"/>
  <c r="D4005" i="7" s="1"/>
  <c r="C4006" i="7"/>
  <c r="D4006" i="7" s="1"/>
  <c r="C4007" i="7"/>
  <c r="D4007" i="7" s="1"/>
  <c r="C4008" i="7"/>
  <c r="D4008" i="7" s="1"/>
  <c r="C4009" i="7"/>
  <c r="D4009" i="7" s="1"/>
  <c r="C4010" i="7"/>
  <c r="D4010" i="7" s="1"/>
  <c r="C4011" i="7"/>
  <c r="D4011" i="7" s="1"/>
  <c r="C4012" i="7"/>
  <c r="D4012" i="7" s="1"/>
  <c r="C4013" i="7"/>
  <c r="D4013" i="7" s="1"/>
  <c r="C4014" i="7"/>
  <c r="D4014" i="7" s="1"/>
  <c r="C4015" i="7"/>
  <c r="D4015" i="7" s="1"/>
  <c r="C4016" i="7"/>
  <c r="D4016" i="7" s="1"/>
  <c r="C4017" i="7"/>
  <c r="D4017" i="7" s="1"/>
  <c r="C4018" i="7"/>
  <c r="D4018" i="7" s="1"/>
  <c r="C4019" i="7"/>
  <c r="D4019" i="7" s="1"/>
  <c r="C4020" i="7"/>
  <c r="D4020" i="7" s="1"/>
  <c r="C4021" i="7"/>
  <c r="D4021" i="7" s="1"/>
  <c r="C4022" i="7"/>
  <c r="D4022" i="7" s="1"/>
  <c r="C4023" i="7"/>
  <c r="D4023" i="7" s="1"/>
  <c r="C4024" i="7"/>
  <c r="D4024" i="7" s="1"/>
  <c r="C4025" i="7"/>
  <c r="D4025" i="7" s="1"/>
  <c r="C4026" i="7"/>
  <c r="D4026" i="7" s="1"/>
  <c r="C4027" i="7"/>
  <c r="D4027" i="7" s="1"/>
  <c r="C4028" i="7"/>
  <c r="D4028" i="7" s="1"/>
  <c r="C4029" i="7"/>
  <c r="D4029" i="7" s="1"/>
  <c r="C4030" i="7"/>
  <c r="D4030" i="7" s="1"/>
  <c r="C4031" i="7"/>
  <c r="D4031" i="7" s="1"/>
  <c r="C4032" i="7"/>
  <c r="D4032" i="7" s="1"/>
  <c r="C4033" i="7"/>
  <c r="D4033" i="7" s="1"/>
  <c r="C4034" i="7"/>
  <c r="D4034" i="7" s="1"/>
  <c r="C4035" i="7"/>
  <c r="D4035" i="7" s="1"/>
  <c r="C4036" i="7"/>
  <c r="D4036" i="7" s="1"/>
  <c r="C4037" i="7"/>
  <c r="D4037" i="7" s="1"/>
  <c r="C4038" i="7"/>
  <c r="D4038" i="7" s="1"/>
  <c r="C4039" i="7"/>
  <c r="D4039" i="7" s="1"/>
  <c r="C4040" i="7"/>
  <c r="D4040" i="7" s="1"/>
  <c r="C4041" i="7"/>
  <c r="D4041" i="7" s="1"/>
  <c r="C4042" i="7"/>
  <c r="D4042" i="7" s="1"/>
  <c r="C4043" i="7"/>
  <c r="D4043" i="7" s="1"/>
  <c r="C4044" i="7"/>
  <c r="D4044" i="7" s="1"/>
  <c r="C4045" i="7"/>
  <c r="D4045" i="7" s="1"/>
  <c r="C4046" i="7"/>
  <c r="D4046" i="7" s="1"/>
  <c r="C4047" i="7"/>
  <c r="D4047" i="7" s="1"/>
  <c r="C4048" i="7"/>
  <c r="D4048" i="7" s="1"/>
  <c r="C4049" i="7"/>
  <c r="D4049" i="7" s="1"/>
  <c r="C4050" i="7"/>
  <c r="D4050" i="7" s="1"/>
  <c r="C4051" i="7"/>
  <c r="D4051" i="7" s="1"/>
  <c r="C4052" i="7"/>
  <c r="D4052" i="7" s="1"/>
  <c r="C4053" i="7"/>
  <c r="D4053" i="7" s="1"/>
  <c r="C4054" i="7"/>
  <c r="D4054" i="7" s="1"/>
  <c r="C4055" i="7"/>
  <c r="D4055" i="7" s="1"/>
  <c r="C4056" i="7"/>
  <c r="D4056" i="7" s="1"/>
  <c r="C4057" i="7"/>
  <c r="D4057" i="7" s="1"/>
  <c r="C4058" i="7"/>
  <c r="D4058" i="7" s="1"/>
  <c r="C4059" i="7"/>
  <c r="D4059" i="7" s="1"/>
  <c r="C4060" i="7"/>
  <c r="D4060" i="7" s="1"/>
  <c r="C4061" i="7"/>
  <c r="D4061" i="7" s="1"/>
  <c r="C4062" i="7"/>
  <c r="D4062" i="7" s="1"/>
  <c r="C4063" i="7"/>
  <c r="D4063" i="7" s="1"/>
  <c r="C4064" i="7"/>
  <c r="D4064" i="7" s="1"/>
  <c r="C4065" i="7"/>
  <c r="D4065" i="7" s="1"/>
  <c r="C4066" i="7"/>
  <c r="D4066" i="7" s="1"/>
  <c r="C4067" i="7"/>
  <c r="D4067" i="7" s="1"/>
  <c r="C4068" i="7"/>
  <c r="D4068" i="7" s="1"/>
  <c r="C4069" i="7"/>
  <c r="D4069" i="7" s="1"/>
  <c r="C4070" i="7"/>
  <c r="D4070" i="7" s="1"/>
  <c r="C4071" i="7"/>
  <c r="D4071" i="7" s="1"/>
  <c r="C4072" i="7"/>
  <c r="D4072" i="7" s="1"/>
  <c r="C4073" i="7"/>
  <c r="D4073" i="7" s="1"/>
  <c r="C4074" i="7"/>
  <c r="D4074" i="7" s="1"/>
  <c r="C4075" i="7"/>
  <c r="D4075" i="7" s="1"/>
  <c r="C4076" i="7"/>
  <c r="D4076" i="7" s="1"/>
  <c r="C4077" i="7"/>
  <c r="D4077" i="7" s="1"/>
  <c r="C4078" i="7"/>
  <c r="D4078" i="7" s="1"/>
  <c r="C4079" i="7"/>
  <c r="D4079" i="7" s="1"/>
  <c r="C4080" i="7"/>
  <c r="D4080" i="7" s="1"/>
  <c r="C4081" i="7"/>
  <c r="D4081" i="7" s="1"/>
  <c r="C4082" i="7"/>
  <c r="D4082" i="7" s="1"/>
  <c r="C4083" i="7"/>
  <c r="D4083" i="7" s="1"/>
  <c r="C4084" i="7"/>
  <c r="D4084" i="7" s="1"/>
  <c r="C4085" i="7"/>
  <c r="D4085" i="7" s="1"/>
  <c r="C4086" i="7"/>
  <c r="D4086" i="7" s="1"/>
  <c r="C4087" i="7"/>
  <c r="D4087" i="7" s="1"/>
  <c r="C4088" i="7"/>
  <c r="D4088" i="7" s="1"/>
  <c r="C4089" i="7"/>
  <c r="D4089" i="7" s="1"/>
  <c r="C4090" i="7"/>
  <c r="D4090" i="7" s="1"/>
  <c r="C4091" i="7"/>
  <c r="D4091" i="7" s="1"/>
  <c r="C4092" i="7"/>
  <c r="D4092" i="7" s="1"/>
  <c r="C4093" i="7"/>
  <c r="D4093" i="7" s="1"/>
  <c r="C4094" i="7"/>
  <c r="D4094" i="7" s="1"/>
  <c r="C4095" i="7"/>
  <c r="D4095" i="7" s="1"/>
  <c r="C4096" i="7"/>
  <c r="D4096" i="7" s="1"/>
  <c r="C4097" i="7"/>
  <c r="D4097" i="7" s="1"/>
  <c r="C4098" i="7"/>
  <c r="D4098" i="7" s="1"/>
  <c r="C4099" i="7"/>
  <c r="D4099" i="7" s="1"/>
  <c r="C4100" i="7"/>
  <c r="D4100" i="7" s="1"/>
  <c r="C4101" i="7"/>
  <c r="D4101" i="7" s="1"/>
  <c r="C4102" i="7"/>
  <c r="D4102" i="7" s="1"/>
  <c r="C4103" i="7"/>
  <c r="D4103" i="7" s="1"/>
  <c r="C4104" i="7"/>
  <c r="D4104" i="7" s="1"/>
  <c r="C4105" i="7"/>
  <c r="D4105" i="7" s="1"/>
  <c r="C4106" i="7"/>
  <c r="D4106" i="7" s="1"/>
  <c r="C4107" i="7"/>
  <c r="D4107" i="7" s="1"/>
  <c r="C4108" i="7"/>
  <c r="D4108" i="7" s="1"/>
  <c r="C4109" i="7"/>
  <c r="D4109" i="7" s="1"/>
  <c r="C4110" i="7"/>
  <c r="D4110" i="7" s="1"/>
  <c r="C4111" i="7"/>
  <c r="D4111" i="7" s="1"/>
  <c r="C4112" i="7"/>
  <c r="D4112" i="7" s="1"/>
  <c r="C4113" i="7"/>
  <c r="D4113" i="7" s="1"/>
  <c r="C4114" i="7"/>
  <c r="D4114" i="7" s="1"/>
  <c r="C4115" i="7"/>
  <c r="D4115" i="7" s="1"/>
  <c r="C4116" i="7"/>
  <c r="D4116" i="7" s="1"/>
  <c r="C4117" i="7"/>
  <c r="D4117" i="7" s="1"/>
  <c r="C4118" i="7"/>
  <c r="D4118" i="7" s="1"/>
  <c r="C4119" i="7"/>
  <c r="D4119" i="7" s="1"/>
  <c r="C4120" i="7"/>
  <c r="D4120" i="7" s="1"/>
  <c r="C4121" i="7"/>
  <c r="D4121" i="7" s="1"/>
  <c r="C4122" i="7"/>
  <c r="D4122" i="7" s="1"/>
  <c r="C4123" i="7"/>
  <c r="D4123" i="7" s="1"/>
  <c r="C4124" i="7"/>
  <c r="D4124" i="7" s="1"/>
  <c r="C4125" i="7"/>
  <c r="D4125" i="7" s="1"/>
  <c r="C4126" i="7"/>
  <c r="D4126" i="7" s="1"/>
  <c r="C4127" i="7"/>
  <c r="D4127" i="7" s="1"/>
  <c r="C4128" i="7"/>
  <c r="D4128" i="7" s="1"/>
  <c r="C4129" i="7"/>
  <c r="D4129" i="7" s="1"/>
  <c r="C4130" i="7"/>
  <c r="D4130" i="7" s="1"/>
  <c r="C4131" i="7"/>
  <c r="D4131" i="7" s="1"/>
  <c r="C4132" i="7"/>
  <c r="D4132" i="7" s="1"/>
  <c r="C4133" i="7"/>
  <c r="D4133" i="7" s="1"/>
  <c r="C4134" i="7"/>
  <c r="D4134" i="7" s="1"/>
  <c r="C4135" i="7"/>
  <c r="D4135" i="7" s="1"/>
  <c r="C4136" i="7"/>
  <c r="D4136" i="7" s="1"/>
  <c r="C4137" i="7"/>
  <c r="D4137" i="7" s="1"/>
  <c r="C4138" i="7"/>
  <c r="D4138" i="7" s="1"/>
  <c r="C4139" i="7"/>
  <c r="D4139" i="7" s="1"/>
  <c r="C4140" i="7"/>
  <c r="D4140" i="7" s="1"/>
  <c r="C4141" i="7"/>
  <c r="D4141" i="7" s="1"/>
  <c r="C4142" i="7"/>
  <c r="D4142" i="7" s="1"/>
  <c r="C4143" i="7"/>
  <c r="D4143" i="7" s="1"/>
  <c r="C4144" i="7"/>
  <c r="D4144" i="7" s="1"/>
  <c r="C4145" i="7"/>
  <c r="D4145" i="7" s="1"/>
  <c r="C4146" i="7"/>
  <c r="D4146" i="7" s="1"/>
  <c r="C4147" i="7"/>
  <c r="D4147" i="7" s="1"/>
  <c r="C4148" i="7"/>
  <c r="D4148" i="7" s="1"/>
  <c r="C4149" i="7"/>
  <c r="D4149" i="7" s="1"/>
  <c r="C4150" i="7"/>
  <c r="D4150" i="7" s="1"/>
  <c r="C4151" i="7"/>
  <c r="D4151" i="7" s="1"/>
  <c r="C4152" i="7"/>
  <c r="D4152" i="7" s="1"/>
  <c r="C4153" i="7"/>
  <c r="D4153" i="7" s="1"/>
  <c r="C4154" i="7"/>
  <c r="D4154" i="7" s="1"/>
  <c r="C4155" i="7"/>
  <c r="D4155" i="7" s="1"/>
  <c r="C4156" i="7"/>
  <c r="D4156" i="7" s="1"/>
  <c r="C4157" i="7"/>
  <c r="D4157" i="7" s="1"/>
  <c r="C4158" i="7"/>
  <c r="D4158" i="7" s="1"/>
  <c r="C4159" i="7"/>
  <c r="D4159" i="7" s="1"/>
  <c r="C4160" i="7"/>
  <c r="D4160" i="7" s="1"/>
  <c r="C4161" i="7"/>
  <c r="D4161" i="7" s="1"/>
  <c r="C4162" i="7"/>
  <c r="D4162" i="7" s="1"/>
  <c r="C4163" i="7"/>
  <c r="D4163" i="7" s="1"/>
  <c r="C4164" i="7"/>
  <c r="D4164" i="7" s="1"/>
  <c r="C4165" i="7"/>
  <c r="D4165" i="7" s="1"/>
  <c r="C4166" i="7"/>
  <c r="D4166" i="7" s="1"/>
  <c r="C4167" i="7"/>
  <c r="D4167" i="7" s="1"/>
  <c r="C4168" i="7"/>
  <c r="D4168" i="7" s="1"/>
  <c r="C4169" i="7"/>
  <c r="D4169" i="7" s="1"/>
  <c r="C4170" i="7"/>
  <c r="D4170" i="7" s="1"/>
  <c r="C4171" i="7"/>
  <c r="D4171" i="7" s="1"/>
  <c r="C4172" i="7"/>
  <c r="D4172" i="7" s="1"/>
  <c r="C4173" i="7"/>
  <c r="D4173" i="7" s="1"/>
  <c r="C4174" i="7"/>
  <c r="D4174" i="7" s="1"/>
  <c r="C4175" i="7"/>
  <c r="D4175" i="7" s="1"/>
  <c r="C4176" i="7"/>
  <c r="D4176" i="7" s="1"/>
  <c r="C4177" i="7"/>
  <c r="D4177" i="7" s="1"/>
  <c r="C4178" i="7"/>
  <c r="D4178" i="7" s="1"/>
  <c r="C4179" i="7"/>
  <c r="D4179" i="7" s="1"/>
  <c r="C4180" i="7"/>
  <c r="D4180" i="7" s="1"/>
  <c r="C4181" i="7"/>
  <c r="D4181" i="7" s="1"/>
  <c r="C4182" i="7"/>
  <c r="D4182" i="7" s="1"/>
  <c r="C4183" i="7"/>
  <c r="D4183" i="7" s="1"/>
  <c r="C4184" i="7"/>
  <c r="D4184" i="7" s="1"/>
  <c r="C4185" i="7"/>
  <c r="D4185" i="7" s="1"/>
  <c r="C4186" i="7"/>
  <c r="D4186" i="7" s="1"/>
  <c r="C4187" i="7"/>
  <c r="D4187" i="7" s="1"/>
  <c r="C4188" i="7"/>
  <c r="D4188" i="7" s="1"/>
  <c r="C4189" i="7"/>
  <c r="D4189" i="7" s="1"/>
  <c r="C4190" i="7"/>
  <c r="D4190" i="7" s="1"/>
  <c r="C4191" i="7"/>
  <c r="D4191" i="7" s="1"/>
  <c r="C4192" i="7"/>
  <c r="D4192" i="7" s="1"/>
  <c r="C4193" i="7"/>
  <c r="D4193" i="7" s="1"/>
  <c r="C4194" i="7"/>
  <c r="D4194" i="7" s="1"/>
  <c r="C4195" i="7"/>
  <c r="D4195" i="7" s="1"/>
  <c r="C4196" i="7"/>
  <c r="D4196" i="7" s="1"/>
  <c r="C4197" i="7"/>
  <c r="D4197" i="7" s="1"/>
  <c r="C4198" i="7"/>
  <c r="D4198" i="7" s="1"/>
  <c r="C4199" i="7"/>
  <c r="D4199" i="7" s="1"/>
  <c r="C4200" i="7"/>
  <c r="D4200" i="7" s="1"/>
  <c r="C4201" i="7"/>
  <c r="D4201" i="7" s="1"/>
  <c r="C4202" i="7"/>
  <c r="D4202" i="7" s="1"/>
  <c r="C4203" i="7"/>
  <c r="D4203" i="7" s="1"/>
  <c r="C4204" i="7"/>
  <c r="D4204" i="7" s="1"/>
  <c r="C4205" i="7"/>
  <c r="D4205" i="7" s="1"/>
  <c r="C4206" i="7"/>
  <c r="D4206" i="7" s="1"/>
  <c r="C4207" i="7"/>
  <c r="D4207" i="7" s="1"/>
  <c r="C4208" i="7"/>
  <c r="D4208" i="7" s="1"/>
  <c r="C4209" i="7"/>
  <c r="D4209" i="7" s="1"/>
  <c r="C4210" i="7"/>
  <c r="D4210" i="7" s="1"/>
  <c r="C4211" i="7"/>
  <c r="D4211" i="7" s="1"/>
  <c r="C4212" i="7"/>
  <c r="D4212" i="7" s="1"/>
  <c r="C4213" i="7"/>
  <c r="D4213" i="7" s="1"/>
  <c r="C4214" i="7"/>
  <c r="D4214" i="7" s="1"/>
  <c r="C4215" i="7"/>
  <c r="D4215" i="7" s="1"/>
  <c r="C4216" i="7"/>
  <c r="D4216" i="7" s="1"/>
  <c r="C4217" i="7"/>
  <c r="D4217" i="7" s="1"/>
  <c r="C4218" i="7"/>
  <c r="D4218" i="7" s="1"/>
  <c r="C4219" i="7"/>
  <c r="D4219" i="7" s="1"/>
  <c r="C4220" i="7"/>
  <c r="D4220" i="7" s="1"/>
  <c r="C4221" i="7"/>
  <c r="D4221" i="7" s="1"/>
  <c r="C4222" i="7"/>
  <c r="D4222" i="7" s="1"/>
  <c r="C4223" i="7"/>
  <c r="D4223" i="7" s="1"/>
  <c r="C4224" i="7"/>
  <c r="D4224" i="7" s="1"/>
  <c r="C4225" i="7"/>
  <c r="D4225" i="7" s="1"/>
  <c r="C4226" i="7"/>
  <c r="D4226" i="7" s="1"/>
  <c r="C4227" i="7"/>
  <c r="D4227" i="7" s="1"/>
  <c r="C4228" i="7"/>
  <c r="D4228" i="7" s="1"/>
  <c r="C4229" i="7"/>
  <c r="D4229" i="7" s="1"/>
  <c r="C4230" i="7"/>
  <c r="D4230" i="7" s="1"/>
  <c r="C4231" i="7"/>
  <c r="D4231" i="7" s="1"/>
  <c r="C4232" i="7"/>
  <c r="D4232" i="7" s="1"/>
  <c r="C4233" i="7"/>
  <c r="D4233" i="7" s="1"/>
  <c r="C4234" i="7"/>
  <c r="D4234" i="7" s="1"/>
  <c r="C4235" i="7"/>
  <c r="D4235" i="7" s="1"/>
  <c r="C4236" i="7"/>
  <c r="D4236" i="7" s="1"/>
  <c r="C4237" i="7"/>
  <c r="D4237" i="7" s="1"/>
  <c r="C4238" i="7"/>
  <c r="D4238" i="7" s="1"/>
  <c r="C4239" i="7"/>
  <c r="D4239" i="7" s="1"/>
  <c r="C4240" i="7"/>
  <c r="D4240" i="7" s="1"/>
  <c r="C4241" i="7"/>
  <c r="D4241" i="7" s="1"/>
  <c r="C4242" i="7"/>
  <c r="D4242" i="7" s="1"/>
  <c r="C4243" i="7"/>
  <c r="D4243" i="7" s="1"/>
  <c r="C4244" i="7"/>
  <c r="D4244" i="7" s="1"/>
  <c r="C4245" i="7"/>
  <c r="D4245" i="7" s="1"/>
  <c r="C4246" i="7"/>
  <c r="D4246" i="7" s="1"/>
  <c r="C4247" i="7"/>
  <c r="D4247" i="7" s="1"/>
  <c r="C4248" i="7"/>
  <c r="D4248" i="7" s="1"/>
  <c r="C4249" i="7"/>
  <c r="D4249" i="7" s="1"/>
  <c r="C4250" i="7"/>
  <c r="D4250" i="7" s="1"/>
  <c r="C4251" i="7"/>
  <c r="D4251" i="7" s="1"/>
  <c r="C4252" i="7"/>
  <c r="D4252" i="7" s="1"/>
  <c r="C4253" i="7"/>
  <c r="D4253" i="7" s="1"/>
  <c r="C4254" i="7"/>
  <c r="D4254" i="7" s="1"/>
  <c r="C4255" i="7"/>
  <c r="D4255" i="7" s="1"/>
  <c r="C4256" i="7"/>
  <c r="D4256" i="7" s="1"/>
  <c r="C4257" i="7"/>
  <c r="D4257" i="7" s="1"/>
  <c r="C4258" i="7"/>
  <c r="D4258" i="7" s="1"/>
  <c r="C4259" i="7"/>
  <c r="D4259" i="7" s="1"/>
  <c r="C4260" i="7"/>
  <c r="D4260" i="7" s="1"/>
  <c r="C4261" i="7"/>
  <c r="D4261" i="7" s="1"/>
  <c r="C4262" i="7"/>
  <c r="D4262" i="7" s="1"/>
  <c r="C4263" i="7"/>
  <c r="D4263" i="7" s="1"/>
  <c r="C4264" i="7"/>
  <c r="D4264" i="7" s="1"/>
  <c r="C4265" i="7"/>
  <c r="D4265" i="7" s="1"/>
  <c r="C4266" i="7"/>
  <c r="D4266" i="7" s="1"/>
  <c r="C4267" i="7"/>
  <c r="D4267" i="7" s="1"/>
  <c r="C4268" i="7"/>
  <c r="D4268" i="7" s="1"/>
  <c r="C4269" i="7"/>
  <c r="D4269" i="7" s="1"/>
  <c r="C4270" i="7"/>
  <c r="D4270" i="7" s="1"/>
  <c r="C4271" i="7"/>
  <c r="D4271" i="7" s="1"/>
  <c r="C4272" i="7"/>
  <c r="D4272" i="7" s="1"/>
  <c r="C4273" i="7"/>
  <c r="D4273" i="7" s="1"/>
  <c r="C4274" i="7"/>
  <c r="D4274" i="7" s="1"/>
  <c r="C4275" i="7"/>
  <c r="D4275" i="7" s="1"/>
  <c r="C4276" i="7"/>
  <c r="D4276" i="7" s="1"/>
  <c r="C4277" i="7"/>
  <c r="D4277" i="7" s="1"/>
  <c r="C4278" i="7"/>
  <c r="D4278" i="7" s="1"/>
  <c r="C4279" i="7"/>
  <c r="D4279" i="7" s="1"/>
  <c r="C4280" i="7"/>
  <c r="D4280" i="7" s="1"/>
  <c r="C4281" i="7"/>
  <c r="D4281" i="7" s="1"/>
  <c r="C4282" i="7"/>
  <c r="D4282" i="7" s="1"/>
  <c r="C4283" i="7"/>
  <c r="D4283" i="7" s="1"/>
  <c r="C4284" i="7"/>
  <c r="D4284" i="7" s="1"/>
  <c r="C4285" i="7"/>
  <c r="D4285" i="7" s="1"/>
  <c r="C4286" i="7"/>
  <c r="D4286" i="7" s="1"/>
  <c r="C4287" i="7"/>
  <c r="D4287" i="7" s="1"/>
  <c r="C4288" i="7"/>
  <c r="D4288" i="7" s="1"/>
  <c r="C4289" i="7"/>
  <c r="D4289" i="7" s="1"/>
  <c r="C4290" i="7"/>
  <c r="D4290" i="7" s="1"/>
  <c r="C4291" i="7"/>
  <c r="D4291" i="7" s="1"/>
  <c r="C4292" i="7"/>
  <c r="D4292" i="7" s="1"/>
  <c r="C4293" i="7"/>
  <c r="D4293" i="7" s="1"/>
  <c r="C4294" i="7"/>
  <c r="D4294" i="7" s="1"/>
  <c r="C4295" i="7"/>
  <c r="D4295" i="7" s="1"/>
  <c r="C4296" i="7"/>
  <c r="D4296" i="7" s="1"/>
  <c r="C4297" i="7"/>
  <c r="D4297" i="7" s="1"/>
  <c r="C4298" i="7"/>
  <c r="D4298" i="7" s="1"/>
  <c r="C4299" i="7"/>
  <c r="D4299" i="7" s="1"/>
  <c r="C4300" i="7"/>
  <c r="D4300" i="7" s="1"/>
  <c r="C4301" i="7"/>
  <c r="D4301" i="7" s="1"/>
  <c r="C4302" i="7"/>
  <c r="D4302" i="7" s="1"/>
  <c r="C4303" i="7"/>
  <c r="D4303" i="7" s="1"/>
  <c r="C4304" i="7"/>
  <c r="D4304" i="7" s="1"/>
  <c r="C4305" i="7"/>
  <c r="D4305" i="7" s="1"/>
  <c r="C4306" i="7"/>
  <c r="D4306" i="7" s="1"/>
  <c r="C4307" i="7"/>
  <c r="D4307" i="7" s="1"/>
  <c r="C4308" i="7"/>
  <c r="D4308" i="7" s="1"/>
  <c r="C4309" i="7"/>
  <c r="D4309" i="7" s="1"/>
  <c r="C4310" i="7"/>
  <c r="D4310" i="7" s="1"/>
  <c r="C4311" i="7"/>
  <c r="D4311" i="7" s="1"/>
  <c r="C4312" i="7"/>
  <c r="D4312" i="7" s="1"/>
  <c r="C4313" i="7"/>
  <c r="D4313" i="7" s="1"/>
  <c r="C4314" i="7"/>
  <c r="D4314" i="7" s="1"/>
  <c r="C4315" i="7"/>
  <c r="D4315" i="7" s="1"/>
  <c r="C4316" i="7"/>
  <c r="D4316" i="7" s="1"/>
  <c r="C4317" i="7"/>
  <c r="D4317" i="7" s="1"/>
  <c r="C4318" i="7"/>
  <c r="D4318" i="7" s="1"/>
  <c r="C4319" i="7"/>
  <c r="D4319" i="7" s="1"/>
  <c r="C4320" i="7"/>
  <c r="D4320" i="7" s="1"/>
  <c r="C4321" i="7"/>
  <c r="D4321" i="7" s="1"/>
  <c r="C4322" i="7"/>
  <c r="D4322" i="7" s="1"/>
  <c r="C4323" i="7"/>
  <c r="D4323" i="7" s="1"/>
  <c r="C4324" i="7"/>
  <c r="D4324" i="7" s="1"/>
  <c r="C4325" i="7"/>
  <c r="D4325" i="7" s="1"/>
  <c r="C4326" i="7"/>
  <c r="D4326" i="7" s="1"/>
  <c r="C4327" i="7"/>
  <c r="D4327" i="7" s="1"/>
  <c r="C4328" i="7"/>
  <c r="D4328" i="7" s="1"/>
  <c r="C4329" i="7"/>
  <c r="D4329" i="7" s="1"/>
  <c r="C4330" i="7"/>
  <c r="D4330" i="7" s="1"/>
  <c r="C4331" i="7"/>
  <c r="D4331" i="7" s="1"/>
  <c r="C4332" i="7"/>
  <c r="D4332" i="7" s="1"/>
  <c r="C4333" i="7"/>
  <c r="D4333" i="7" s="1"/>
  <c r="C4334" i="7"/>
  <c r="D4334" i="7" s="1"/>
  <c r="C4335" i="7"/>
  <c r="D4335" i="7" s="1"/>
  <c r="C4336" i="7"/>
  <c r="D4336" i="7" s="1"/>
  <c r="C4337" i="7"/>
  <c r="D4337" i="7" s="1"/>
  <c r="C4338" i="7"/>
  <c r="D4338" i="7" s="1"/>
  <c r="C4339" i="7"/>
  <c r="D4339" i="7" s="1"/>
  <c r="C4340" i="7"/>
  <c r="D4340" i="7" s="1"/>
  <c r="C4341" i="7"/>
  <c r="D4341" i="7" s="1"/>
  <c r="C4342" i="7"/>
  <c r="D4342" i="7" s="1"/>
  <c r="C4343" i="7"/>
  <c r="D4343" i="7" s="1"/>
  <c r="C4344" i="7"/>
  <c r="D4344" i="7" s="1"/>
  <c r="C4345" i="7"/>
  <c r="D4345" i="7" s="1"/>
  <c r="C4346" i="7"/>
  <c r="D4346" i="7" s="1"/>
  <c r="C4347" i="7"/>
  <c r="D4347" i="7" s="1"/>
  <c r="C4348" i="7"/>
  <c r="D4348" i="7" s="1"/>
  <c r="C4349" i="7"/>
  <c r="D4349" i="7" s="1"/>
  <c r="C4350" i="7"/>
  <c r="D4350" i="7" s="1"/>
  <c r="C4351" i="7"/>
  <c r="D4351" i="7" s="1"/>
  <c r="C4352" i="7"/>
  <c r="D4352" i="7" s="1"/>
  <c r="C4353" i="7"/>
  <c r="D4353" i="7" s="1"/>
  <c r="C4354" i="7"/>
  <c r="D4354" i="7" s="1"/>
  <c r="C4355" i="7"/>
  <c r="D4355" i="7" s="1"/>
  <c r="C4356" i="7"/>
  <c r="D4356" i="7" s="1"/>
  <c r="C4357" i="7"/>
  <c r="D4357" i="7" s="1"/>
  <c r="C4358" i="7"/>
  <c r="D4358" i="7" s="1"/>
  <c r="C4359" i="7"/>
  <c r="D4359" i="7" s="1"/>
  <c r="C4360" i="7"/>
  <c r="D4360" i="7" s="1"/>
  <c r="C4361" i="7"/>
  <c r="D4361" i="7" s="1"/>
  <c r="C4362" i="7"/>
  <c r="D4362" i="7" s="1"/>
  <c r="C4363" i="7"/>
  <c r="D4363" i="7" s="1"/>
  <c r="C4364" i="7"/>
  <c r="D4364" i="7" s="1"/>
  <c r="C4365" i="7"/>
  <c r="D4365" i="7" s="1"/>
  <c r="C4366" i="7"/>
  <c r="D4366" i="7" s="1"/>
  <c r="C4367" i="7"/>
  <c r="D4367" i="7" s="1"/>
  <c r="C4368" i="7"/>
  <c r="D4368" i="7" s="1"/>
  <c r="C4369" i="7"/>
  <c r="D4369" i="7" s="1"/>
  <c r="C4370" i="7"/>
  <c r="D4370" i="7" s="1"/>
  <c r="C4371" i="7"/>
  <c r="D4371" i="7" s="1"/>
  <c r="C4372" i="7"/>
  <c r="D4372" i="7" s="1"/>
  <c r="C4373" i="7"/>
  <c r="D4373" i="7" s="1"/>
  <c r="C4374" i="7"/>
  <c r="D4374" i="7" s="1"/>
  <c r="C4375" i="7"/>
  <c r="D4375" i="7" s="1"/>
  <c r="C4376" i="7"/>
  <c r="D4376" i="7" s="1"/>
  <c r="C4377" i="7"/>
  <c r="D4377" i="7" s="1"/>
  <c r="C4378" i="7"/>
  <c r="D4378" i="7" s="1"/>
  <c r="C4379" i="7"/>
  <c r="D4379" i="7" s="1"/>
  <c r="C4380" i="7"/>
  <c r="D4380" i="7" s="1"/>
  <c r="C4381" i="7"/>
  <c r="D4381" i="7" s="1"/>
  <c r="C4382" i="7"/>
  <c r="D4382" i="7" s="1"/>
  <c r="C4383" i="7"/>
  <c r="D4383" i="7" s="1"/>
  <c r="C4384" i="7"/>
  <c r="D4384" i="7" s="1"/>
  <c r="C4385" i="7"/>
  <c r="D4385" i="7" s="1"/>
  <c r="C4386" i="7"/>
  <c r="D4386" i="7" s="1"/>
  <c r="C4387" i="7"/>
  <c r="D4387" i="7" s="1"/>
  <c r="C4388" i="7"/>
  <c r="D4388" i="7" s="1"/>
  <c r="C4389" i="7"/>
  <c r="D4389" i="7" s="1"/>
  <c r="C4390" i="7"/>
  <c r="D4390" i="7" s="1"/>
  <c r="C4391" i="7"/>
  <c r="D4391" i="7" s="1"/>
  <c r="C4392" i="7"/>
  <c r="D4392" i="7" s="1"/>
  <c r="C4393" i="7"/>
  <c r="D4393" i="7" s="1"/>
  <c r="C4394" i="7"/>
  <c r="D4394" i="7" s="1"/>
  <c r="C4395" i="7"/>
  <c r="D4395" i="7" s="1"/>
  <c r="C4396" i="7"/>
  <c r="D4396" i="7" s="1"/>
  <c r="C4397" i="7"/>
  <c r="D4397" i="7" s="1"/>
  <c r="C4398" i="7"/>
  <c r="D4398" i="7" s="1"/>
  <c r="C4399" i="7"/>
  <c r="D4399" i="7" s="1"/>
  <c r="C4400" i="7"/>
  <c r="D4400" i="7" s="1"/>
  <c r="C4401" i="7"/>
  <c r="D4401" i="7" s="1"/>
  <c r="C4402" i="7"/>
  <c r="D4402" i="7" s="1"/>
  <c r="C4403" i="7"/>
  <c r="D4403" i="7" s="1"/>
  <c r="C4404" i="7"/>
  <c r="D4404" i="7" s="1"/>
  <c r="C4405" i="7"/>
  <c r="D4405" i="7" s="1"/>
  <c r="C4406" i="7"/>
  <c r="D4406" i="7" s="1"/>
  <c r="C4407" i="7"/>
  <c r="D4407" i="7" s="1"/>
  <c r="C4408" i="7"/>
  <c r="D4408" i="7" s="1"/>
  <c r="C4409" i="7"/>
  <c r="D4409" i="7" s="1"/>
  <c r="C4410" i="7"/>
  <c r="D4410" i="7" s="1"/>
  <c r="C4411" i="7"/>
  <c r="D4411" i="7" s="1"/>
  <c r="C4412" i="7"/>
  <c r="D4412" i="7" s="1"/>
  <c r="C4413" i="7"/>
  <c r="D4413" i="7" s="1"/>
  <c r="C4414" i="7"/>
  <c r="D4414" i="7" s="1"/>
  <c r="C4415" i="7"/>
  <c r="D4415" i="7" s="1"/>
  <c r="C4416" i="7"/>
  <c r="D4416" i="7" s="1"/>
  <c r="C4417" i="7"/>
  <c r="D4417" i="7" s="1"/>
  <c r="C4418" i="7"/>
  <c r="D4418" i="7" s="1"/>
  <c r="C4419" i="7"/>
  <c r="D4419" i="7" s="1"/>
  <c r="C4420" i="7"/>
  <c r="D4420" i="7" s="1"/>
  <c r="C4421" i="7"/>
  <c r="D4421" i="7" s="1"/>
  <c r="C4422" i="7"/>
  <c r="D4422" i="7" s="1"/>
  <c r="C4423" i="7"/>
  <c r="D4423" i="7" s="1"/>
  <c r="C4424" i="7"/>
  <c r="D4424" i="7" s="1"/>
  <c r="C4425" i="7"/>
  <c r="D4425" i="7" s="1"/>
  <c r="C4426" i="7"/>
  <c r="D4426" i="7" s="1"/>
  <c r="C4427" i="7"/>
  <c r="D4427" i="7" s="1"/>
  <c r="C4428" i="7"/>
  <c r="D4428" i="7" s="1"/>
  <c r="C4429" i="7"/>
  <c r="D4429" i="7" s="1"/>
  <c r="C4430" i="7"/>
  <c r="D4430" i="7" s="1"/>
  <c r="C4431" i="7"/>
  <c r="D4431" i="7" s="1"/>
  <c r="C4432" i="7"/>
  <c r="D4432" i="7" s="1"/>
  <c r="C4433" i="7"/>
  <c r="D4433" i="7" s="1"/>
  <c r="C4434" i="7"/>
  <c r="D4434" i="7" s="1"/>
  <c r="C4435" i="7"/>
  <c r="D4435" i="7" s="1"/>
  <c r="C4436" i="7"/>
  <c r="D4436" i="7" s="1"/>
  <c r="C4437" i="7"/>
  <c r="D4437" i="7" s="1"/>
  <c r="C4438" i="7"/>
  <c r="D4438" i="7" s="1"/>
  <c r="C4439" i="7"/>
  <c r="D4439" i="7" s="1"/>
  <c r="C4440" i="7"/>
  <c r="D4440" i="7" s="1"/>
  <c r="C4441" i="7"/>
  <c r="D4441" i="7" s="1"/>
  <c r="C4442" i="7"/>
  <c r="D4442" i="7" s="1"/>
  <c r="C4443" i="7"/>
  <c r="D4443" i="7" s="1"/>
  <c r="C4444" i="7"/>
  <c r="D4444" i="7" s="1"/>
  <c r="C4445" i="7"/>
  <c r="D4445" i="7" s="1"/>
  <c r="C4446" i="7"/>
  <c r="D4446" i="7" s="1"/>
  <c r="C4447" i="7"/>
  <c r="D4447" i="7" s="1"/>
  <c r="C4448" i="7"/>
  <c r="D4448" i="7" s="1"/>
  <c r="C4449" i="7"/>
  <c r="D4449" i="7" s="1"/>
  <c r="C4450" i="7"/>
  <c r="D4450" i="7" s="1"/>
  <c r="C4451" i="7"/>
  <c r="D4451" i="7" s="1"/>
  <c r="C4452" i="7"/>
  <c r="D4452" i="7" s="1"/>
  <c r="C4453" i="7"/>
  <c r="D4453" i="7" s="1"/>
  <c r="C4454" i="7"/>
  <c r="D4454" i="7" s="1"/>
  <c r="C4455" i="7"/>
  <c r="D4455" i="7" s="1"/>
  <c r="C4456" i="7"/>
  <c r="D4456" i="7" s="1"/>
  <c r="C4457" i="7"/>
  <c r="D4457" i="7" s="1"/>
  <c r="C4458" i="7"/>
  <c r="D4458" i="7" s="1"/>
  <c r="C4459" i="7"/>
  <c r="D4459" i="7" s="1"/>
  <c r="C4460" i="7"/>
  <c r="D4460" i="7" s="1"/>
  <c r="C4461" i="7"/>
  <c r="D4461" i="7" s="1"/>
  <c r="C4462" i="7"/>
  <c r="D4462" i="7" s="1"/>
  <c r="C4463" i="7"/>
  <c r="D4463" i="7" s="1"/>
  <c r="C4464" i="7"/>
  <c r="D4464" i="7" s="1"/>
  <c r="C4465" i="7"/>
  <c r="D4465" i="7" s="1"/>
  <c r="C4466" i="7"/>
  <c r="D4466" i="7" s="1"/>
  <c r="C4467" i="7"/>
  <c r="D4467" i="7" s="1"/>
  <c r="C4468" i="7"/>
  <c r="D4468" i="7" s="1"/>
  <c r="C4469" i="7"/>
  <c r="D4469" i="7" s="1"/>
  <c r="C4470" i="7"/>
  <c r="D4470" i="7" s="1"/>
  <c r="C4471" i="7"/>
  <c r="D4471" i="7" s="1"/>
  <c r="C4472" i="7"/>
  <c r="D4472" i="7" s="1"/>
  <c r="C4473" i="7"/>
  <c r="D4473" i="7" s="1"/>
  <c r="C4474" i="7"/>
  <c r="D4474" i="7" s="1"/>
  <c r="C4475" i="7"/>
  <c r="D4475" i="7" s="1"/>
  <c r="C4476" i="7"/>
  <c r="D4476" i="7" s="1"/>
  <c r="C4477" i="7"/>
  <c r="D4477" i="7" s="1"/>
  <c r="C4478" i="7"/>
  <c r="D4478" i="7" s="1"/>
  <c r="C4479" i="7"/>
  <c r="D4479" i="7" s="1"/>
  <c r="C4480" i="7"/>
  <c r="D4480" i="7" s="1"/>
  <c r="C4481" i="7"/>
  <c r="D4481" i="7" s="1"/>
  <c r="C4482" i="7"/>
  <c r="D4482" i="7" s="1"/>
  <c r="C4483" i="7"/>
  <c r="D4483" i="7" s="1"/>
  <c r="C4484" i="7"/>
  <c r="D4484" i="7" s="1"/>
  <c r="C4485" i="7"/>
  <c r="D4485" i="7" s="1"/>
  <c r="C4486" i="7"/>
  <c r="D4486" i="7" s="1"/>
  <c r="C4487" i="7"/>
  <c r="D4487" i="7" s="1"/>
  <c r="C4488" i="7"/>
  <c r="D4488" i="7" s="1"/>
  <c r="C4489" i="7"/>
  <c r="D4489" i="7" s="1"/>
  <c r="C4490" i="7"/>
  <c r="D4490" i="7" s="1"/>
  <c r="C4491" i="7"/>
  <c r="D4491" i="7" s="1"/>
  <c r="C4492" i="7"/>
  <c r="D4492" i="7" s="1"/>
  <c r="C4493" i="7"/>
  <c r="D4493" i="7" s="1"/>
  <c r="C4494" i="7"/>
  <c r="D4494" i="7" s="1"/>
  <c r="C4495" i="7"/>
  <c r="D4495" i="7" s="1"/>
  <c r="C4496" i="7"/>
  <c r="D4496" i="7" s="1"/>
  <c r="C4497" i="7"/>
  <c r="D4497" i="7" s="1"/>
  <c r="C4498" i="7"/>
  <c r="D4498" i="7" s="1"/>
  <c r="C4499" i="7"/>
  <c r="D4499" i="7" s="1"/>
  <c r="C4500" i="7"/>
  <c r="D4500" i="7" s="1"/>
  <c r="C4501" i="7"/>
  <c r="D4501" i="7" s="1"/>
  <c r="C4502" i="7"/>
  <c r="D4502" i="7" s="1"/>
  <c r="C4503" i="7"/>
  <c r="D4503" i="7" s="1"/>
  <c r="C4504" i="7"/>
  <c r="D4504" i="7" s="1"/>
  <c r="C4505" i="7"/>
  <c r="D4505" i="7" s="1"/>
  <c r="C4506" i="7"/>
  <c r="D4506" i="7" s="1"/>
  <c r="C4507" i="7"/>
  <c r="D4507" i="7" s="1"/>
  <c r="C4508" i="7"/>
  <c r="D4508" i="7" s="1"/>
  <c r="C4509" i="7"/>
  <c r="D4509" i="7" s="1"/>
  <c r="C4510" i="7"/>
  <c r="D4510" i="7" s="1"/>
  <c r="C4511" i="7"/>
  <c r="D4511" i="7" s="1"/>
  <c r="C4512" i="7"/>
  <c r="D4512" i="7" s="1"/>
  <c r="C4513" i="7"/>
  <c r="D4513" i="7" s="1"/>
  <c r="C4514" i="7"/>
  <c r="D4514" i="7" s="1"/>
  <c r="C4515" i="7"/>
  <c r="D4515" i="7" s="1"/>
  <c r="C4516" i="7"/>
  <c r="D4516" i="7" s="1"/>
  <c r="C4517" i="7"/>
  <c r="D4517" i="7" s="1"/>
  <c r="C4518" i="7"/>
  <c r="D4518" i="7" s="1"/>
  <c r="C4519" i="7"/>
  <c r="D4519" i="7" s="1"/>
  <c r="C4520" i="7"/>
  <c r="D4520" i="7" s="1"/>
  <c r="C4521" i="7"/>
  <c r="D4521" i="7" s="1"/>
  <c r="C4522" i="7"/>
  <c r="D4522" i="7" s="1"/>
  <c r="C4523" i="7"/>
  <c r="D4523" i="7" s="1"/>
  <c r="C4524" i="7"/>
  <c r="D4524" i="7" s="1"/>
  <c r="C4525" i="7"/>
  <c r="D4525" i="7" s="1"/>
  <c r="C4526" i="7"/>
  <c r="D4526" i="7" s="1"/>
  <c r="C4527" i="7"/>
  <c r="D4527" i="7" s="1"/>
  <c r="C4528" i="7"/>
  <c r="D4528" i="7" s="1"/>
  <c r="C4529" i="7"/>
  <c r="D4529" i="7" s="1"/>
  <c r="C4530" i="7"/>
  <c r="D4530" i="7" s="1"/>
  <c r="C4531" i="7"/>
  <c r="D4531" i="7" s="1"/>
  <c r="C4532" i="7"/>
  <c r="D4532" i="7" s="1"/>
  <c r="C4533" i="7"/>
  <c r="D4533" i="7" s="1"/>
  <c r="C4534" i="7"/>
  <c r="D4534" i="7" s="1"/>
  <c r="C4535" i="7"/>
  <c r="D4535" i="7" s="1"/>
  <c r="C4536" i="7"/>
  <c r="D4536" i="7" s="1"/>
  <c r="C4537" i="7"/>
  <c r="D4537" i="7" s="1"/>
  <c r="C4538" i="7"/>
  <c r="D4538" i="7" s="1"/>
  <c r="C4539" i="7"/>
  <c r="D4539" i="7" s="1"/>
  <c r="C4540" i="7"/>
  <c r="D4540" i="7" s="1"/>
  <c r="C4541" i="7"/>
  <c r="D4541" i="7" s="1"/>
  <c r="C4542" i="7"/>
  <c r="D4542" i="7" s="1"/>
  <c r="C4543" i="7"/>
  <c r="D4543" i="7" s="1"/>
  <c r="C4544" i="7"/>
  <c r="D4544" i="7" s="1"/>
  <c r="C4545" i="7"/>
  <c r="D4545" i="7" s="1"/>
  <c r="C4546" i="7"/>
  <c r="D4546" i="7" s="1"/>
  <c r="C4547" i="7"/>
  <c r="D4547" i="7" s="1"/>
  <c r="C4548" i="7"/>
  <c r="D4548" i="7" s="1"/>
  <c r="C4549" i="7"/>
  <c r="D4549" i="7" s="1"/>
  <c r="C4550" i="7"/>
  <c r="D4550" i="7" s="1"/>
  <c r="C4551" i="7"/>
  <c r="D4551" i="7" s="1"/>
  <c r="C4552" i="7"/>
  <c r="D4552" i="7" s="1"/>
  <c r="C4553" i="7"/>
  <c r="D4553" i="7" s="1"/>
  <c r="C4554" i="7"/>
  <c r="D4554" i="7" s="1"/>
  <c r="C4555" i="7"/>
  <c r="D4555" i="7" s="1"/>
  <c r="C4556" i="7"/>
  <c r="D4556" i="7" s="1"/>
  <c r="C4557" i="7"/>
  <c r="D4557" i="7" s="1"/>
  <c r="C4558" i="7"/>
  <c r="D4558" i="7" s="1"/>
  <c r="C4559" i="7"/>
  <c r="D4559" i="7" s="1"/>
  <c r="C4560" i="7"/>
  <c r="D4560" i="7" s="1"/>
  <c r="C4561" i="7"/>
  <c r="D4561" i="7" s="1"/>
  <c r="C4562" i="7"/>
  <c r="D4562" i="7" s="1"/>
  <c r="C4563" i="7"/>
  <c r="D4563" i="7" s="1"/>
  <c r="C4564" i="7"/>
  <c r="D4564" i="7" s="1"/>
  <c r="C4565" i="7"/>
  <c r="D4565" i="7" s="1"/>
  <c r="C4566" i="7"/>
  <c r="D4566" i="7" s="1"/>
  <c r="C4567" i="7"/>
  <c r="D4567" i="7" s="1"/>
  <c r="C4568" i="7"/>
  <c r="D4568" i="7" s="1"/>
  <c r="C4569" i="7"/>
  <c r="D4569" i="7" s="1"/>
  <c r="C4570" i="7"/>
  <c r="D4570" i="7" s="1"/>
  <c r="C4571" i="7"/>
  <c r="D4571" i="7" s="1"/>
  <c r="C4572" i="7"/>
  <c r="D4572" i="7" s="1"/>
  <c r="C4573" i="7"/>
  <c r="D4573" i="7" s="1"/>
  <c r="C4574" i="7"/>
  <c r="D4574" i="7" s="1"/>
  <c r="C4575" i="7"/>
  <c r="D4575" i="7" s="1"/>
  <c r="C4576" i="7"/>
  <c r="D4576" i="7" s="1"/>
  <c r="C4577" i="7"/>
  <c r="D4577" i="7" s="1"/>
  <c r="C4578" i="7"/>
  <c r="D4578" i="7" s="1"/>
  <c r="C4579" i="7"/>
  <c r="D4579" i="7" s="1"/>
  <c r="C4580" i="7"/>
  <c r="D4580" i="7" s="1"/>
  <c r="C4581" i="7"/>
  <c r="D4581" i="7" s="1"/>
  <c r="C4582" i="7"/>
  <c r="D4582" i="7" s="1"/>
  <c r="C4583" i="7"/>
  <c r="D4583" i="7" s="1"/>
  <c r="C4584" i="7"/>
  <c r="D4584" i="7" s="1"/>
  <c r="C4585" i="7"/>
  <c r="D4585" i="7" s="1"/>
  <c r="C4586" i="7"/>
  <c r="D4586" i="7" s="1"/>
  <c r="C4587" i="7"/>
  <c r="D4587" i="7" s="1"/>
  <c r="C4588" i="7"/>
  <c r="D4588" i="7" s="1"/>
  <c r="C4589" i="7"/>
  <c r="D4589" i="7" s="1"/>
  <c r="C4590" i="7"/>
  <c r="D4590" i="7" s="1"/>
  <c r="C4591" i="7"/>
  <c r="D4591" i="7" s="1"/>
  <c r="C4592" i="7"/>
  <c r="D4592" i="7" s="1"/>
  <c r="C4593" i="7"/>
  <c r="D4593" i="7" s="1"/>
  <c r="C4594" i="7"/>
  <c r="D4594" i="7" s="1"/>
  <c r="C4595" i="7"/>
  <c r="D4595" i="7" s="1"/>
  <c r="C4596" i="7"/>
  <c r="D4596" i="7" s="1"/>
  <c r="C4597" i="7"/>
  <c r="D4597" i="7" s="1"/>
  <c r="C4598" i="7"/>
  <c r="D4598" i="7" s="1"/>
  <c r="C4599" i="7"/>
  <c r="D4599" i="7" s="1"/>
  <c r="C4600" i="7"/>
  <c r="D4600" i="7" s="1"/>
  <c r="C4601" i="7"/>
  <c r="D4601" i="7" s="1"/>
  <c r="C4602" i="7"/>
  <c r="D4602" i="7" s="1"/>
  <c r="C4603" i="7"/>
  <c r="D4603" i="7" s="1"/>
  <c r="C4604" i="7"/>
  <c r="D4604" i="7" s="1"/>
  <c r="C4605" i="7"/>
  <c r="D4605" i="7" s="1"/>
  <c r="C4606" i="7"/>
  <c r="D4606" i="7" s="1"/>
  <c r="C4607" i="7"/>
  <c r="D4607" i="7" s="1"/>
  <c r="C4608" i="7"/>
  <c r="D4608" i="7" s="1"/>
  <c r="C4609" i="7"/>
  <c r="D4609" i="7" s="1"/>
  <c r="C4610" i="7"/>
  <c r="D4610" i="7" s="1"/>
  <c r="C4611" i="7"/>
  <c r="D4611" i="7" s="1"/>
  <c r="C4612" i="7"/>
  <c r="D4612" i="7" s="1"/>
  <c r="C4613" i="7"/>
  <c r="D4613" i="7" s="1"/>
  <c r="C4614" i="7"/>
  <c r="D4614" i="7" s="1"/>
  <c r="C4615" i="7"/>
  <c r="D4615" i="7" s="1"/>
  <c r="C4616" i="7"/>
  <c r="D4616" i="7" s="1"/>
  <c r="C4617" i="7"/>
  <c r="D4617" i="7" s="1"/>
  <c r="C4618" i="7"/>
  <c r="D4618" i="7" s="1"/>
  <c r="C4619" i="7"/>
  <c r="D4619" i="7" s="1"/>
  <c r="C4620" i="7"/>
  <c r="D4620" i="7" s="1"/>
  <c r="C4621" i="7"/>
  <c r="D4621" i="7" s="1"/>
  <c r="C4622" i="7"/>
  <c r="D4622" i="7" s="1"/>
  <c r="C4623" i="7"/>
  <c r="D4623" i="7" s="1"/>
  <c r="C4624" i="7"/>
  <c r="D4624" i="7" s="1"/>
  <c r="C4625" i="7"/>
  <c r="D4625" i="7" s="1"/>
  <c r="C4626" i="7"/>
  <c r="D4626" i="7" s="1"/>
  <c r="C4627" i="7"/>
  <c r="D4627" i="7" s="1"/>
  <c r="C4628" i="7"/>
  <c r="D4628" i="7" s="1"/>
  <c r="C4629" i="7"/>
  <c r="D4629" i="7" s="1"/>
  <c r="C4630" i="7"/>
  <c r="D4630" i="7" s="1"/>
  <c r="C4631" i="7"/>
  <c r="D4631" i="7" s="1"/>
  <c r="C4632" i="7"/>
  <c r="D4632" i="7" s="1"/>
  <c r="C4633" i="7"/>
  <c r="D4633" i="7" s="1"/>
  <c r="C4634" i="7"/>
  <c r="D4634" i="7" s="1"/>
  <c r="C4635" i="7"/>
  <c r="D4635" i="7" s="1"/>
  <c r="C4636" i="7"/>
  <c r="D4636" i="7" s="1"/>
  <c r="C4637" i="7"/>
  <c r="D4637" i="7" s="1"/>
  <c r="C4638" i="7"/>
  <c r="D4638" i="7" s="1"/>
  <c r="C4639" i="7"/>
  <c r="D4639" i="7" s="1"/>
  <c r="C4640" i="7"/>
  <c r="D4640" i="7" s="1"/>
  <c r="C4641" i="7"/>
  <c r="D4641" i="7" s="1"/>
  <c r="C4642" i="7"/>
  <c r="D4642" i="7" s="1"/>
  <c r="C4643" i="7"/>
  <c r="D4643" i="7" s="1"/>
  <c r="C4644" i="7"/>
  <c r="D4644" i="7" s="1"/>
  <c r="C4645" i="7"/>
  <c r="D4645" i="7" s="1"/>
  <c r="C4646" i="7"/>
  <c r="D4646" i="7" s="1"/>
  <c r="C4647" i="7"/>
  <c r="D4647" i="7" s="1"/>
  <c r="C4648" i="7"/>
  <c r="D4648" i="7" s="1"/>
  <c r="C4649" i="7"/>
  <c r="D4649" i="7" s="1"/>
  <c r="C4650" i="7"/>
  <c r="D4650" i="7" s="1"/>
  <c r="C4651" i="7"/>
  <c r="D4651" i="7" s="1"/>
  <c r="C4652" i="7"/>
  <c r="D4652" i="7" s="1"/>
  <c r="C4653" i="7"/>
  <c r="D4653" i="7" s="1"/>
  <c r="C4654" i="7"/>
  <c r="D4654" i="7" s="1"/>
  <c r="C4655" i="7"/>
  <c r="D4655" i="7" s="1"/>
  <c r="C4656" i="7"/>
  <c r="D4656" i="7" s="1"/>
  <c r="C4657" i="7"/>
  <c r="D4657" i="7" s="1"/>
  <c r="C4658" i="7"/>
  <c r="D4658" i="7" s="1"/>
  <c r="C4659" i="7"/>
  <c r="D4659" i="7" s="1"/>
  <c r="C4660" i="7"/>
  <c r="D4660" i="7" s="1"/>
  <c r="C4661" i="7"/>
  <c r="D4661" i="7" s="1"/>
  <c r="C4662" i="7"/>
  <c r="D4662" i="7" s="1"/>
  <c r="C4663" i="7"/>
  <c r="D4663" i="7" s="1"/>
  <c r="C4664" i="7"/>
  <c r="D4664" i="7" s="1"/>
  <c r="C4665" i="7"/>
  <c r="D4665" i="7" s="1"/>
  <c r="C4666" i="7"/>
  <c r="D4666" i="7" s="1"/>
  <c r="C4667" i="7"/>
  <c r="D4667" i="7" s="1"/>
  <c r="C4668" i="7"/>
  <c r="D4668" i="7" s="1"/>
  <c r="C4669" i="7"/>
  <c r="D4669" i="7" s="1"/>
  <c r="C4670" i="7"/>
  <c r="D4670" i="7" s="1"/>
  <c r="C4671" i="7"/>
  <c r="D4671" i="7" s="1"/>
  <c r="C4672" i="7"/>
  <c r="D4672" i="7" s="1"/>
  <c r="C4673" i="7"/>
  <c r="D4673" i="7" s="1"/>
  <c r="C4674" i="7"/>
  <c r="D4674" i="7" s="1"/>
  <c r="C4675" i="7"/>
  <c r="D4675" i="7" s="1"/>
  <c r="C4676" i="7"/>
  <c r="D4676" i="7" s="1"/>
  <c r="C4677" i="7"/>
  <c r="D4677" i="7" s="1"/>
  <c r="C4678" i="7"/>
  <c r="D4678" i="7" s="1"/>
  <c r="C4679" i="7"/>
  <c r="D4679" i="7" s="1"/>
  <c r="C4680" i="7"/>
  <c r="D4680" i="7" s="1"/>
  <c r="C4681" i="7"/>
  <c r="D4681" i="7" s="1"/>
  <c r="C4682" i="7"/>
  <c r="D4682" i="7" s="1"/>
  <c r="C4683" i="7"/>
  <c r="D4683" i="7" s="1"/>
  <c r="C4684" i="7"/>
  <c r="D4684" i="7" s="1"/>
  <c r="C4685" i="7"/>
  <c r="D4685" i="7" s="1"/>
  <c r="C4686" i="7"/>
  <c r="D4686" i="7" s="1"/>
  <c r="C4687" i="7"/>
  <c r="D4687" i="7" s="1"/>
  <c r="C4688" i="7"/>
  <c r="D4688" i="7" s="1"/>
  <c r="C4689" i="7"/>
  <c r="D4689" i="7" s="1"/>
  <c r="C4690" i="7"/>
  <c r="D4690" i="7" s="1"/>
  <c r="C4691" i="7"/>
  <c r="D4691" i="7" s="1"/>
  <c r="C4692" i="7"/>
  <c r="D4692" i="7" s="1"/>
  <c r="C4693" i="7"/>
  <c r="D4693" i="7" s="1"/>
  <c r="C4694" i="7"/>
  <c r="D4694" i="7" s="1"/>
  <c r="C4695" i="7"/>
  <c r="D4695" i="7" s="1"/>
  <c r="C4696" i="7"/>
  <c r="D4696" i="7" s="1"/>
  <c r="C4697" i="7"/>
  <c r="D4697" i="7" s="1"/>
  <c r="C4698" i="7"/>
  <c r="D4698" i="7" s="1"/>
  <c r="C4699" i="7"/>
  <c r="D4699" i="7" s="1"/>
  <c r="C4700" i="7"/>
  <c r="D4700" i="7" s="1"/>
  <c r="C4701" i="7"/>
  <c r="D4701" i="7" s="1"/>
  <c r="C4702" i="7"/>
  <c r="D4702" i="7" s="1"/>
  <c r="C4703" i="7"/>
  <c r="D4703" i="7" s="1"/>
  <c r="C4704" i="7"/>
  <c r="D4704" i="7" s="1"/>
  <c r="C4705" i="7"/>
  <c r="D4705" i="7" s="1"/>
  <c r="C4706" i="7"/>
  <c r="D4706" i="7" s="1"/>
  <c r="C4707" i="7"/>
  <c r="D4707" i="7" s="1"/>
  <c r="C4708" i="7"/>
  <c r="D4708" i="7" s="1"/>
  <c r="C4709" i="7"/>
  <c r="D4709" i="7" s="1"/>
  <c r="C4710" i="7"/>
  <c r="D4710" i="7" s="1"/>
  <c r="C4711" i="7"/>
  <c r="D4711" i="7" s="1"/>
  <c r="C4712" i="7"/>
  <c r="D4712" i="7" s="1"/>
  <c r="C4713" i="7"/>
  <c r="D4713" i="7" s="1"/>
  <c r="C4714" i="7"/>
  <c r="D4714" i="7" s="1"/>
  <c r="C4715" i="7"/>
  <c r="D4715" i="7" s="1"/>
  <c r="C4716" i="7"/>
  <c r="D4716" i="7" s="1"/>
  <c r="C4717" i="7"/>
  <c r="D4717" i="7" s="1"/>
  <c r="C4718" i="7"/>
  <c r="D4718" i="7" s="1"/>
  <c r="C4719" i="7"/>
  <c r="D4719" i="7" s="1"/>
  <c r="C4720" i="7"/>
  <c r="D4720" i="7" s="1"/>
  <c r="C4721" i="7"/>
  <c r="D4721" i="7" s="1"/>
  <c r="C4722" i="7"/>
  <c r="D4722" i="7" s="1"/>
  <c r="C4723" i="7"/>
  <c r="D4723" i="7" s="1"/>
  <c r="C4724" i="7"/>
  <c r="D4724" i="7" s="1"/>
  <c r="C4725" i="7"/>
  <c r="D4725" i="7" s="1"/>
  <c r="C4726" i="7"/>
  <c r="D4726" i="7" s="1"/>
  <c r="C4727" i="7"/>
  <c r="D4727" i="7" s="1"/>
  <c r="C4728" i="7"/>
  <c r="D4728" i="7" s="1"/>
  <c r="C4729" i="7"/>
  <c r="D4729" i="7" s="1"/>
  <c r="C4730" i="7"/>
  <c r="D4730" i="7" s="1"/>
  <c r="C4731" i="7"/>
  <c r="D4731" i="7" s="1"/>
  <c r="C4732" i="7"/>
  <c r="D4732" i="7" s="1"/>
  <c r="C4733" i="7"/>
  <c r="D4733" i="7" s="1"/>
  <c r="C4734" i="7"/>
  <c r="D4734" i="7" s="1"/>
  <c r="C4735" i="7"/>
  <c r="D4735" i="7" s="1"/>
  <c r="C4736" i="7"/>
  <c r="D4736" i="7" s="1"/>
  <c r="C4737" i="7"/>
  <c r="D4737" i="7" s="1"/>
  <c r="C4738" i="7"/>
  <c r="D4738" i="7" s="1"/>
  <c r="C4739" i="7"/>
  <c r="D4739" i="7" s="1"/>
  <c r="C4740" i="7"/>
  <c r="D4740" i="7" s="1"/>
  <c r="C4741" i="7"/>
  <c r="D4741" i="7" s="1"/>
  <c r="C4742" i="7"/>
  <c r="D4742" i="7" s="1"/>
  <c r="C4743" i="7"/>
  <c r="D4743" i="7" s="1"/>
  <c r="C4744" i="7"/>
  <c r="D4744" i="7" s="1"/>
  <c r="C4745" i="7"/>
  <c r="D4745" i="7" s="1"/>
  <c r="C4746" i="7"/>
  <c r="D4746" i="7" s="1"/>
  <c r="C4747" i="7"/>
  <c r="D4747" i="7" s="1"/>
  <c r="C4748" i="7"/>
  <c r="D4748" i="7" s="1"/>
  <c r="C4749" i="7"/>
  <c r="D4749" i="7" s="1"/>
  <c r="C4750" i="7"/>
  <c r="D4750" i="7" s="1"/>
  <c r="C4751" i="7"/>
  <c r="D4751" i="7" s="1"/>
  <c r="C4752" i="7"/>
  <c r="D4752" i="7" s="1"/>
  <c r="C4753" i="7"/>
  <c r="D4753" i="7" s="1"/>
  <c r="C4754" i="7"/>
  <c r="D4754" i="7" s="1"/>
  <c r="C4755" i="7"/>
  <c r="D4755" i="7" s="1"/>
  <c r="C4756" i="7"/>
  <c r="D4756" i="7" s="1"/>
  <c r="C4757" i="7"/>
  <c r="D4757" i="7" s="1"/>
  <c r="C4758" i="7"/>
  <c r="D4758" i="7" s="1"/>
  <c r="C4759" i="7"/>
  <c r="D4759" i="7" s="1"/>
  <c r="C4760" i="7"/>
  <c r="D4760" i="7" s="1"/>
  <c r="C4761" i="7"/>
  <c r="D4761" i="7" s="1"/>
  <c r="C4762" i="7"/>
  <c r="D4762" i="7" s="1"/>
  <c r="C4763" i="7"/>
  <c r="D4763" i="7" s="1"/>
  <c r="C4764" i="7"/>
  <c r="D4764" i="7" s="1"/>
  <c r="C4765" i="7"/>
  <c r="D4765" i="7" s="1"/>
  <c r="C4766" i="7"/>
  <c r="D4766" i="7" s="1"/>
  <c r="C4767" i="7"/>
  <c r="D4767" i="7" s="1"/>
  <c r="C4768" i="7"/>
  <c r="D4768" i="7" s="1"/>
  <c r="C4769" i="7"/>
  <c r="D4769" i="7" s="1"/>
  <c r="C4770" i="7"/>
  <c r="D4770" i="7" s="1"/>
  <c r="C4771" i="7"/>
  <c r="D4771" i="7" s="1"/>
  <c r="C4772" i="7"/>
  <c r="D4772" i="7" s="1"/>
  <c r="C4773" i="7"/>
  <c r="D4773" i="7" s="1"/>
  <c r="C4774" i="7"/>
  <c r="D4774" i="7" s="1"/>
  <c r="C4775" i="7"/>
  <c r="D4775" i="7" s="1"/>
  <c r="C4776" i="7"/>
  <c r="D4776" i="7" s="1"/>
  <c r="C4777" i="7"/>
  <c r="D4777" i="7" s="1"/>
  <c r="C4778" i="7"/>
  <c r="D4778" i="7" s="1"/>
  <c r="C4779" i="7"/>
  <c r="D4779" i="7" s="1"/>
  <c r="C4780" i="7"/>
  <c r="D4780" i="7" s="1"/>
  <c r="C4781" i="7"/>
  <c r="D4781" i="7" s="1"/>
  <c r="C4782" i="7"/>
  <c r="D4782" i="7" s="1"/>
  <c r="C4783" i="7"/>
  <c r="D4783" i="7" s="1"/>
  <c r="C4784" i="7"/>
  <c r="D4784" i="7" s="1"/>
  <c r="C4785" i="7"/>
  <c r="D4785" i="7" s="1"/>
  <c r="C4786" i="7"/>
  <c r="D4786" i="7" s="1"/>
  <c r="C4787" i="7"/>
  <c r="D4787" i="7" s="1"/>
  <c r="C4788" i="7"/>
  <c r="D4788" i="7" s="1"/>
  <c r="C4789" i="7"/>
  <c r="D4789" i="7" s="1"/>
  <c r="C4790" i="7"/>
  <c r="D4790" i="7" s="1"/>
  <c r="C4791" i="7"/>
  <c r="D4791" i="7" s="1"/>
  <c r="C4792" i="7"/>
  <c r="D4792" i="7" s="1"/>
  <c r="C4793" i="7"/>
  <c r="D4793" i="7" s="1"/>
  <c r="C4794" i="7"/>
  <c r="D4794" i="7" s="1"/>
  <c r="C4795" i="7"/>
  <c r="D4795" i="7" s="1"/>
  <c r="C4796" i="7"/>
  <c r="D4796" i="7" s="1"/>
  <c r="C4797" i="7"/>
  <c r="D4797" i="7" s="1"/>
  <c r="C4798" i="7"/>
  <c r="D4798" i="7" s="1"/>
  <c r="C4799" i="7"/>
  <c r="D4799" i="7" s="1"/>
  <c r="C4800" i="7"/>
  <c r="D4800" i="7" s="1"/>
  <c r="C4801" i="7"/>
  <c r="D4801" i="7" s="1"/>
  <c r="C4802" i="7"/>
  <c r="D4802" i="7" s="1"/>
  <c r="C4803" i="7"/>
  <c r="D4803" i="7" s="1"/>
  <c r="C4804" i="7"/>
  <c r="D4804" i="7" s="1"/>
  <c r="C4805" i="7"/>
  <c r="D4805" i="7" s="1"/>
  <c r="C4806" i="7"/>
  <c r="D4806" i="7" s="1"/>
  <c r="C4807" i="7"/>
  <c r="D4807" i="7" s="1"/>
  <c r="C4808" i="7"/>
  <c r="D4808" i="7" s="1"/>
  <c r="C4809" i="7"/>
  <c r="D4809" i="7" s="1"/>
  <c r="C4810" i="7"/>
  <c r="D4810" i="7" s="1"/>
  <c r="C4811" i="7"/>
  <c r="D4811" i="7" s="1"/>
  <c r="C4812" i="7"/>
  <c r="D4812" i="7" s="1"/>
  <c r="C4813" i="7"/>
  <c r="D4813" i="7" s="1"/>
  <c r="C4814" i="7"/>
  <c r="D4814" i="7" s="1"/>
  <c r="C4815" i="7"/>
  <c r="D4815" i="7" s="1"/>
  <c r="C4816" i="7"/>
  <c r="D4816" i="7" s="1"/>
  <c r="C4817" i="7"/>
  <c r="D4817" i="7" s="1"/>
  <c r="C4818" i="7"/>
  <c r="D4818" i="7" s="1"/>
  <c r="C4819" i="7"/>
  <c r="D4819" i="7" s="1"/>
  <c r="C4820" i="7"/>
  <c r="D4820" i="7" s="1"/>
  <c r="C4821" i="7"/>
  <c r="D4821" i="7" s="1"/>
  <c r="C4822" i="7"/>
  <c r="D4822" i="7" s="1"/>
  <c r="C4823" i="7"/>
  <c r="D4823" i="7" s="1"/>
  <c r="C4824" i="7"/>
  <c r="D4824" i="7" s="1"/>
  <c r="C4825" i="7"/>
  <c r="D4825" i="7" s="1"/>
  <c r="C4826" i="7"/>
  <c r="D4826" i="7" s="1"/>
  <c r="C4827" i="7"/>
  <c r="D4827" i="7" s="1"/>
  <c r="C4828" i="7"/>
  <c r="D4828" i="7" s="1"/>
  <c r="C4829" i="7"/>
  <c r="D4829" i="7" s="1"/>
  <c r="C4830" i="7"/>
  <c r="D4830" i="7" s="1"/>
  <c r="C4831" i="7"/>
  <c r="D4831" i="7" s="1"/>
  <c r="C4832" i="7"/>
  <c r="D4832" i="7" s="1"/>
  <c r="C4833" i="7"/>
  <c r="D4833" i="7" s="1"/>
  <c r="C4834" i="7"/>
  <c r="D4834" i="7" s="1"/>
  <c r="C4835" i="7"/>
  <c r="D4835" i="7" s="1"/>
  <c r="C4836" i="7"/>
  <c r="D4836" i="7" s="1"/>
  <c r="C4837" i="7"/>
  <c r="D4837" i="7" s="1"/>
  <c r="C4838" i="7"/>
  <c r="D4838" i="7" s="1"/>
  <c r="C4839" i="7"/>
  <c r="D4839" i="7" s="1"/>
  <c r="C4840" i="7"/>
  <c r="D4840" i="7" s="1"/>
  <c r="C4841" i="7"/>
  <c r="D4841" i="7" s="1"/>
  <c r="C4842" i="7"/>
  <c r="D4842" i="7" s="1"/>
  <c r="C4843" i="7"/>
  <c r="D4843" i="7" s="1"/>
  <c r="C4844" i="7"/>
  <c r="D4844" i="7" s="1"/>
  <c r="C4845" i="7"/>
  <c r="D4845" i="7" s="1"/>
  <c r="C4846" i="7"/>
  <c r="D4846" i="7" s="1"/>
  <c r="C4847" i="7"/>
  <c r="D4847" i="7" s="1"/>
  <c r="C4848" i="7"/>
  <c r="D4848" i="7" s="1"/>
  <c r="C4849" i="7"/>
  <c r="D4849" i="7" s="1"/>
  <c r="C4850" i="7"/>
  <c r="D4850" i="7" s="1"/>
  <c r="C4851" i="7"/>
  <c r="D4851" i="7" s="1"/>
  <c r="C4852" i="7"/>
  <c r="D4852" i="7" s="1"/>
  <c r="C4853" i="7"/>
  <c r="D4853" i="7" s="1"/>
  <c r="C4854" i="7"/>
  <c r="D4854" i="7" s="1"/>
  <c r="C4855" i="7"/>
  <c r="D4855" i="7" s="1"/>
  <c r="C4856" i="7"/>
  <c r="D4856" i="7" s="1"/>
  <c r="C4857" i="7"/>
  <c r="D4857" i="7" s="1"/>
  <c r="C4858" i="7"/>
  <c r="D4858" i="7" s="1"/>
  <c r="C4859" i="7"/>
  <c r="D4859" i="7" s="1"/>
  <c r="C4860" i="7"/>
  <c r="D4860" i="7" s="1"/>
  <c r="C4861" i="7"/>
  <c r="D4861" i="7" s="1"/>
  <c r="C4862" i="7"/>
  <c r="D4862" i="7" s="1"/>
  <c r="C4863" i="7"/>
  <c r="D4863" i="7" s="1"/>
  <c r="C4864" i="7"/>
  <c r="D4864" i="7" s="1"/>
  <c r="C4865" i="7"/>
  <c r="D4865" i="7" s="1"/>
  <c r="C4866" i="7"/>
  <c r="D4866" i="7" s="1"/>
  <c r="C4867" i="7"/>
  <c r="D4867" i="7" s="1"/>
  <c r="C4868" i="7"/>
  <c r="D4868" i="7" s="1"/>
  <c r="C4869" i="7"/>
  <c r="D4869" i="7" s="1"/>
  <c r="C4870" i="7"/>
  <c r="D4870" i="7" s="1"/>
  <c r="C4871" i="7"/>
  <c r="D4871" i="7" s="1"/>
  <c r="C4872" i="7"/>
  <c r="D4872" i="7" s="1"/>
  <c r="C4873" i="7"/>
  <c r="D4873" i="7" s="1"/>
  <c r="C4874" i="7"/>
  <c r="D4874" i="7" s="1"/>
  <c r="C4875" i="7"/>
  <c r="D4875" i="7" s="1"/>
  <c r="C4876" i="7"/>
  <c r="D4876" i="7" s="1"/>
  <c r="C4877" i="7"/>
  <c r="D4877" i="7" s="1"/>
  <c r="C4878" i="7"/>
  <c r="D4878" i="7" s="1"/>
  <c r="C4879" i="7"/>
  <c r="D4879" i="7" s="1"/>
  <c r="C4880" i="7"/>
  <c r="D4880" i="7" s="1"/>
  <c r="C4881" i="7"/>
  <c r="D4881" i="7" s="1"/>
  <c r="C4882" i="7"/>
  <c r="D4882" i="7" s="1"/>
  <c r="C4883" i="7"/>
  <c r="D4883" i="7" s="1"/>
  <c r="C4884" i="7"/>
  <c r="D4884" i="7" s="1"/>
  <c r="C4885" i="7"/>
  <c r="D4885" i="7" s="1"/>
  <c r="C4886" i="7"/>
  <c r="D4886" i="7" s="1"/>
  <c r="C4887" i="7"/>
  <c r="D4887" i="7" s="1"/>
  <c r="C4888" i="7"/>
  <c r="D4888" i="7" s="1"/>
  <c r="C4889" i="7"/>
  <c r="D4889" i="7" s="1"/>
  <c r="C4890" i="7"/>
  <c r="D4890" i="7" s="1"/>
  <c r="C4891" i="7"/>
  <c r="D4891" i="7" s="1"/>
  <c r="C4892" i="7"/>
  <c r="D4892" i="7" s="1"/>
  <c r="C4893" i="7"/>
  <c r="D4893" i="7" s="1"/>
  <c r="C4894" i="7"/>
  <c r="D4894" i="7" s="1"/>
  <c r="C4895" i="7"/>
  <c r="D4895" i="7" s="1"/>
  <c r="C4896" i="7"/>
  <c r="D4896" i="7" s="1"/>
  <c r="C4897" i="7"/>
  <c r="D4897" i="7" s="1"/>
  <c r="C4898" i="7"/>
  <c r="D4898" i="7" s="1"/>
  <c r="C4899" i="7"/>
  <c r="D4899" i="7" s="1"/>
  <c r="C4900" i="7"/>
  <c r="D4900" i="7" s="1"/>
  <c r="C4901" i="7"/>
  <c r="D4901" i="7" s="1"/>
  <c r="C4902" i="7"/>
  <c r="D4902" i="7" s="1"/>
  <c r="C4903" i="7"/>
  <c r="D4903" i="7" s="1"/>
  <c r="C4904" i="7"/>
  <c r="D4904" i="7" s="1"/>
  <c r="C4905" i="7"/>
  <c r="D4905" i="7" s="1"/>
  <c r="C4906" i="7"/>
  <c r="D4906" i="7" s="1"/>
  <c r="C4907" i="7"/>
  <c r="D4907" i="7" s="1"/>
  <c r="C4908" i="7"/>
  <c r="D4908" i="7" s="1"/>
  <c r="C4909" i="7"/>
  <c r="D4909" i="7" s="1"/>
  <c r="C4910" i="7"/>
  <c r="D4910" i="7" s="1"/>
  <c r="C4911" i="7"/>
  <c r="D4911" i="7" s="1"/>
  <c r="C4912" i="7"/>
  <c r="D4912" i="7" s="1"/>
  <c r="C4913" i="7"/>
  <c r="D4913" i="7" s="1"/>
  <c r="C4914" i="7"/>
  <c r="D4914" i="7" s="1"/>
  <c r="C4915" i="7"/>
  <c r="D4915" i="7" s="1"/>
  <c r="C4916" i="7"/>
  <c r="D4916" i="7" s="1"/>
  <c r="C4917" i="7"/>
  <c r="D4917" i="7" s="1"/>
  <c r="C4918" i="7"/>
  <c r="D4918" i="7" s="1"/>
  <c r="C4919" i="7"/>
  <c r="D4919" i="7" s="1"/>
  <c r="C4920" i="7"/>
  <c r="D4920" i="7" s="1"/>
  <c r="C4921" i="7"/>
  <c r="D4921" i="7" s="1"/>
  <c r="C4922" i="7"/>
  <c r="D4922" i="7" s="1"/>
  <c r="C4923" i="7"/>
  <c r="D4923" i="7" s="1"/>
  <c r="C4924" i="7"/>
  <c r="D4924" i="7" s="1"/>
  <c r="C4925" i="7"/>
  <c r="D4925" i="7" s="1"/>
  <c r="C4926" i="7"/>
  <c r="D4926" i="7" s="1"/>
  <c r="C4927" i="7"/>
  <c r="D4927" i="7" s="1"/>
  <c r="C4928" i="7"/>
  <c r="D4928" i="7" s="1"/>
  <c r="C4929" i="7"/>
  <c r="D4929" i="7" s="1"/>
  <c r="C4930" i="7"/>
  <c r="D4930" i="7" s="1"/>
  <c r="C4931" i="7"/>
  <c r="D4931" i="7" s="1"/>
  <c r="C4932" i="7"/>
  <c r="D4932" i="7" s="1"/>
  <c r="C4933" i="7"/>
  <c r="D4933" i="7" s="1"/>
  <c r="C4934" i="7"/>
  <c r="D4934" i="7" s="1"/>
  <c r="C4935" i="7"/>
  <c r="D4935" i="7" s="1"/>
  <c r="C4936" i="7"/>
  <c r="D4936" i="7" s="1"/>
  <c r="C4937" i="7"/>
  <c r="D4937" i="7" s="1"/>
  <c r="C4938" i="7"/>
  <c r="D4938" i="7" s="1"/>
  <c r="C4939" i="7"/>
  <c r="D4939" i="7" s="1"/>
  <c r="C4940" i="7"/>
  <c r="D4940" i="7" s="1"/>
  <c r="C4941" i="7"/>
  <c r="D4941" i="7" s="1"/>
  <c r="C4942" i="7"/>
  <c r="D4942" i="7" s="1"/>
  <c r="C4943" i="7"/>
  <c r="D4943" i="7" s="1"/>
  <c r="C4944" i="7"/>
  <c r="D4944" i="7" s="1"/>
  <c r="C4945" i="7"/>
  <c r="D4945" i="7" s="1"/>
  <c r="C4946" i="7"/>
  <c r="D4946" i="7" s="1"/>
  <c r="C4947" i="7"/>
  <c r="D4947" i="7" s="1"/>
  <c r="C4948" i="7"/>
  <c r="D4948" i="7" s="1"/>
  <c r="C4949" i="7"/>
  <c r="D4949" i="7" s="1"/>
  <c r="C4950" i="7"/>
  <c r="D4950" i="7" s="1"/>
  <c r="C4951" i="7"/>
  <c r="D4951" i="7" s="1"/>
  <c r="C4952" i="7"/>
  <c r="D4952" i="7" s="1"/>
  <c r="C4953" i="7"/>
  <c r="D4953" i="7" s="1"/>
  <c r="C4954" i="7"/>
  <c r="D4954" i="7" s="1"/>
  <c r="C4955" i="7"/>
  <c r="D4955" i="7" s="1"/>
  <c r="C4956" i="7"/>
  <c r="D4956" i="7" s="1"/>
  <c r="C4957" i="7"/>
  <c r="D4957" i="7" s="1"/>
  <c r="C4958" i="7"/>
  <c r="D4958" i="7" s="1"/>
  <c r="C4959" i="7"/>
  <c r="D4959" i="7" s="1"/>
  <c r="C4960" i="7"/>
  <c r="D4960" i="7" s="1"/>
  <c r="C4961" i="7"/>
  <c r="D4961" i="7" s="1"/>
  <c r="C4962" i="7"/>
  <c r="D4962" i="7" s="1"/>
  <c r="C4963" i="7"/>
  <c r="D4963" i="7" s="1"/>
  <c r="C4964" i="7"/>
  <c r="D4964" i="7" s="1"/>
  <c r="C4965" i="7"/>
  <c r="D4965" i="7" s="1"/>
  <c r="C4966" i="7"/>
  <c r="D4966" i="7" s="1"/>
  <c r="C4967" i="7"/>
  <c r="D4967" i="7" s="1"/>
  <c r="C4968" i="7"/>
  <c r="D4968" i="7" s="1"/>
  <c r="C4969" i="7"/>
  <c r="D4969" i="7" s="1"/>
  <c r="C4970" i="7"/>
  <c r="D4970" i="7" s="1"/>
  <c r="C4971" i="7"/>
  <c r="D4971" i="7" s="1"/>
  <c r="C4972" i="7"/>
  <c r="D4972" i="7" s="1"/>
  <c r="C4973" i="7"/>
  <c r="D4973" i="7" s="1"/>
  <c r="C4974" i="7"/>
  <c r="D4974" i="7" s="1"/>
  <c r="C4975" i="7"/>
  <c r="D4975" i="7" s="1"/>
  <c r="C4976" i="7"/>
  <c r="D4976" i="7" s="1"/>
  <c r="C4977" i="7"/>
  <c r="D4977" i="7" s="1"/>
  <c r="C4978" i="7"/>
  <c r="D4978" i="7" s="1"/>
  <c r="C4979" i="7"/>
  <c r="D4979" i="7" s="1"/>
  <c r="C4980" i="7"/>
  <c r="D4980" i="7" s="1"/>
  <c r="C4981" i="7"/>
  <c r="D4981" i="7" s="1"/>
  <c r="C4982" i="7"/>
  <c r="D4982" i="7" s="1"/>
  <c r="C4983" i="7"/>
  <c r="D4983" i="7" s="1"/>
  <c r="C4984" i="7"/>
  <c r="D4984" i="7" s="1"/>
  <c r="C4985" i="7"/>
  <c r="D4985" i="7" s="1"/>
  <c r="C4986" i="7"/>
  <c r="D4986" i="7" s="1"/>
  <c r="C4987" i="7"/>
  <c r="D4987" i="7" s="1"/>
  <c r="C4988" i="7"/>
  <c r="D4988" i="7" s="1"/>
  <c r="C4989" i="7"/>
  <c r="D4989" i="7" s="1"/>
  <c r="C4990" i="7"/>
  <c r="D4990" i="7" s="1"/>
  <c r="C4991" i="7"/>
  <c r="D4991" i="7" s="1"/>
  <c r="C4992" i="7"/>
  <c r="D4992" i="7" s="1"/>
  <c r="C4993" i="7"/>
  <c r="D4993" i="7" s="1"/>
  <c r="C4994" i="7"/>
  <c r="D4994" i="7" s="1"/>
  <c r="C4995" i="7"/>
  <c r="D4995" i="7" s="1"/>
  <c r="C4996" i="7"/>
  <c r="D4996" i="7" s="1"/>
  <c r="C4997" i="7"/>
  <c r="D4997" i="7" s="1"/>
  <c r="C4998" i="7"/>
  <c r="D4998" i="7" s="1"/>
  <c r="C4999" i="7"/>
  <c r="D4999" i="7" s="1"/>
  <c r="C5000" i="7"/>
  <c r="D5000" i="7" s="1"/>
  <c r="C5001" i="7"/>
  <c r="D5001" i="7" s="1"/>
  <c r="C5002" i="7"/>
  <c r="D5002" i="7" s="1"/>
  <c r="C5003" i="7"/>
  <c r="D5003" i="7" s="1"/>
  <c r="C5004" i="7"/>
  <c r="D5004" i="7" s="1"/>
  <c r="C5005" i="7"/>
  <c r="D5005" i="7" s="1"/>
  <c r="C5006" i="7"/>
  <c r="D5006" i="7" s="1"/>
  <c r="C5007" i="7"/>
  <c r="D5007" i="7" s="1"/>
  <c r="C5008" i="7"/>
  <c r="D5008" i="7" s="1"/>
  <c r="C5009" i="7"/>
  <c r="D5009" i="7" s="1"/>
  <c r="C5010" i="7"/>
  <c r="D5010" i="7" s="1"/>
  <c r="C5011" i="7"/>
  <c r="D5011" i="7" s="1"/>
  <c r="C5012" i="7"/>
  <c r="D5012" i="7" s="1"/>
  <c r="C5013" i="7"/>
  <c r="D5013" i="7" s="1"/>
  <c r="C5014" i="7"/>
  <c r="D5014" i="7" s="1"/>
  <c r="C5015" i="7"/>
  <c r="D5015" i="7" s="1"/>
  <c r="C5016" i="7"/>
  <c r="D5016" i="7" s="1"/>
  <c r="C5017" i="7"/>
  <c r="D5017" i="7" s="1"/>
  <c r="C5018" i="7"/>
  <c r="D5018" i="7" s="1"/>
  <c r="C5019" i="7"/>
  <c r="D5019" i="7" s="1"/>
  <c r="C5020" i="7"/>
  <c r="D5020" i="7" s="1"/>
  <c r="C5021" i="7"/>
  <c r="D5021" i="7" s="1"/>
  <c r="C5022" i="7"/>
  <c r="D5022" i="7" s="1"/>
  <c r="C5023" i="7"/>
  <c r="D5023" i="7" s="1"/>
  <c r="C5024" i="7"/>
  <c r="D5024" i="7" s="1"/>
  <c r="C5025" i="7"/>
  <c r="D5025" i="7" s="1"/>
  <c r="C5026" i="7"/>
  <c r="D5026" i="7" s="1"/>
  <c r="C5027" i="7"/>
  <c r="D5027" i="7" s="1"/>
  <c r="C5028" i="7"/>
  <c r="D5028" i="7" s="1"/>
  <c r="C5029" i="7"/>
  <c r="D5029" i="7" s="1"/>
  <c r="C5030" i="7"/>
  <c r="D5030" i="7" s="1"/>
  <c r="C5031" i="7"/>
  <c r="D5031" i="7" s="1"/>
  <c r="C5032" i="7"/>
  <c r="D5032" i="7" s="1"/>
  <c r="C5033" i="7"/>
  <c r="D5033" i="7" s="1"/>
  <c r="C5034" i="7"/>
  <c r="D5034" i="7" s="1"/>
  <c r="C5035" i="7"/>
  <c r="D5035" i="7" s="1"/>
  <c r="C5036" i="7"/>
  <c r="D5036" i="7" s="1"/>
  <c r="C5037" i="7"/>
  <c r="D5037" i="7" s="1"/>
  <c r="C5038" i="7"/>
  <c r="D5038" i="7" s="1"/>
  <c r="C5039" i="7"/>
  <c r="D5039" i="7" s="1"/>
  <c r="C5040" i="7"/>
  <c r="D5040" i="7" s="1"/>
  <c r="C5041" i="7"/>
  <c r="D5041" i="7" s="1"/>
  <c r="C5042" i="7"/>
  <c r="D5042" i="7" s="1"/>
  <c r="C5043" i="7"/>
  <c r="D5043" i="7" s="1"/>
  <c r="C5044" i="7"/>
  <c r="D5044" i="7" s="1"/>
  <c r="C5045" i="7"/>
  <c r="D5045" i="7" s="1"/>
  <c r="C5046" i="7"/>
  <c r="D5046" i="7" s="1"/>
  <c r="C5047" i="7"/>
  <c r="D5047" i="7" s="1"/>
  <c r="C5048" i="7"/>
  <c r="D5048" i="7" s="1"/>
  <c r="C5049" i="7"/>
  <c r="D5049" i="7" s="1"/>
  <c r="C5050" i="7"/>
  <c r="D5050" i="7" s="1"/>
  <c r="C5051" i="7"/>
  <c r="D5051" i="7" s="1"/>
  <c r="C5052" i="7"/>
  <c r="D5052" i="7" s="1"/>
  <c r="C5053" i="7"/>
  <c r="D5053" i="7" s="1"/>
  <c r="C5054" i="7"/>
  <c r="D5054" i="7" s="1"/>
  <c r="C5055" i="7"/>
  <c r="D5055" i="7" s="1"/>
  <c r="C5056" i="7"/>
  <c r="D5056" i="7" s="1"/>
  <c r="C5057" i="7"/>
  <c r="D5057" i="7" s="1"/>
  <c r="C5058" i="7"/>
  <c r="D5058" i="7" s="1"/>
  <c r="C5059" i="7"/>
  <c r="D5059" i="7" s="1"/>
  <c r="C5060" i="7"/>
  <c r="D5060" i="7" s="1"/>
  <c r="C5061" i="7"/>
  <c r="D5061" i="7" s="1"/>
  <c r="C5062" i="7"/>
  <c r="D5062" i="7" s="1"/>
  <c r="C5063" i="7"/>
  <c r="D5063" i="7" s="1"/>
  <c r="C5064" i="7"/>
  <c r="D5064" i="7" s="1"/>
  <c r="C5065" i="7"/>
  <c r="D5065" i="7" s="1"/>
  <c r="C5066" i="7"/>
  <c r="D5066" i="7" s="1"/>
  <c r="C5067" i="7"/>
  <c r="D5067" i="7" s="1"/>
  <c r="C5068" i="7"/>
  <c r="D5068" i="7" s="1"/>
  <c r="C5069" i="7"/>
  <c r="D5069" i="7" s="1"/>
  <c r="C5070" i="7"/>
  <c r="D5070" i="7" s="1"/>
  <c r="C5071" i="7"/>
  <c r="D5071" i="7" s="1"/>
  <c r="C5072" i="7"/>
  <c r="D5072" i="7" s="1"/>
  <c r="C5073" i="7"/>
  <c r="D5073" i="7" s="1"/>
  <c r="C5074" i="7"/>
  <c r="D5074" i="7" s="1"/>
  <c r="C5075" i="7"/>
  <c r="D5075" i="7" s="1"/>
  <c r="C5076" i="7"/>
  <c r="D5076" i="7" s="1"/>
  <c r="C5077" i="7"/>
  <c r="D5077" i="7" s="1"/>
  <c r="C5078" i="7"/>
  <c r="D5078" i="7" s="1"/>
  <c r="C5079" i="7"/>
  <c r="D5079" i="7" s="1"/>
  <c r="C5080" i="7"/>
  <c r="D5080" i="7" s="1"/>
  <c r="C5081" i="7"/>
  <c r="D5081" i="7" s="1"/>
  <c r="C5082" i="7"/>
  <c r="D5082" i="7" s="1"/>
  <c r="C5083" i="7"/>
  <c r="D5083" i="7" s="1"/>
  <c r="C5084" i="7"/>
  <c r="D5084" i="7" s="1"/>
  <c r="C5085" i="7"/>
  <c r="D5085" i="7" s="1"/>
  <c r="C5086" i="7"/>
  <c r="D5086" i="7" s="1"/>
  <c r="C5087" i="7"/>
  <c r="D5087" i="7" s="1"/>
  <c r="C5088" i="7"/>
  <c r="D5088" i="7" s="1"/>
  <c r="C5089" i="7"/>
  <c r="D5089" i="7" s="1"/>
  <c r="C5090" i="7"/>
  <c r="D5090" i="7" s="1"/>
  <c r="C5091" i="7"/>
  <c r="D5091" i="7" s="1"/>
  <c r="C5092" i="7"/>
  <c r="D5092" i="7" s="1"/>
  <c r="C5093" i="7"/>
  <c r="D5093" i="7" s="1"/>
  <c r="C5094" i="7"/>
  <c r="D5094" i="7" s="1"/>
  <c r="C5095" i="7"/>
  <c r="D5095" i="7" s="1"/>
  <c r="C5096" i="7"/>
  <c r="D5096" i="7" s="1"/>
  <c r="C5097" i="7"/>
  <c r="D5097" i="7" s="1"/>
  <c r="C5098" i="7"/>
  <c r="D5098" i="7" s="1"/>
  <c r="C5099" i="7"/>
  <c r="D5099" i="7" s="1"/>
  <c r="C5100" i="7"/>
  <c r="D5100" i="7" s="1"/>
  <c r="C5101" i="7"/>
  <c r="D5101" i="7" s="1"/>
  <c r="C5102" i="7"/>
  <c r="D5102" i="7" s="1"/>
  <c r="C5103" i="7"/>
  <c r="D5103" i="7" s="1"/>
  <c r="C5104" i="7"/>
  <c r="D5104" i="7" s="1"/>
  <c r="C5105" i="7"/>
  <c r="D5105" i="7" s="1"/>
  <c r="C5106" i="7"/>
  <c r="D5106" i="7" s="1"/>
  <c r="C5107" i="7"/>
  <c r="D5107" i="7" s="1"/>
  <c r="C5108" i="7"/>
  <c r="D5108" i="7" s="1"/>
  <c r="C5109" i="7"/>
  <c r="D5109" i="7" s="1"/>
  <c r="C5110" i="7"/>
  <c r="D5110" i="7" s="1"/>
  <c r="C5111" i="7"/>
  <c r="D5111" i="7" s="1"/>
  <c r="C5112" i="7"/>
  <c r="D5112" i="7" s="1"/>
  <c r="C5113" i="7"/>
  <c r="D5113" i="7" s="1"/>
  <c r="C5114" i="7"/>
  <c r="D5114" i="7" s="1"/>
  <c r="C5115" i="7"/>
  <c r="D5115" i="7" s="1"/>
  <c r="C5116" i="7"/>
  <c r="D5116" i="7" s="1"/>
  <c r="C5117" i="7"/>
  <c r="D5117" i="7" s="1"/>
  <c r="C5118" i="7"/>
  <c r="D5118" i="7" s="1"/>
  <c r="C5119" i="7"/>
  <c r="D5119" i="7" s="1"/>
  <c r="C5120" i="7"/>
  <c r="D5120" i="7" s="1"/>
  <c r="C5121" i="7"/>
  <c r="D5121" i="7" s="1"/>
  <c r="C5122" i="7"/>
  <c r="D5122" i="7" s="1"/>
  <c r="C5123" i="7"/>
  <c r="D5123" i="7" s="1"/>
  <c r="C5124" i="7"/>
  <c r="D5124" i="7" s="1"/>
  <c r="C5125" i="7"/>
  <c r="D5125" i="7" s="1"/>
  <c r="C5126" i="7"/>
  <c r="D5126" i="7" s="1"/>
  <c r="C5127" i="7"/>
  <c r="D5127" i="7" s="1"/>
  <c r="C5128" i="7"/>
  <c r="D5128" i="7" s="1"/>
  <c r="C5129" i="7"/>
  <c r="D5129" i="7" s="1"/>
  <c r="C5130" i="7"/>
  <c r="D5130" i="7" s="1"/>
  <c r="C5131" i="7"/>
  <c r="D5131" i="7" s="1"/>
  <c r="C5132" i="7"/>
  <c r="D5132" i="7" s="1"/>
  <c r="C5133" i="7"/>
  <c r="D5133" i="7" s="1"/>
  <c r="C5134" i="7"/>
  <c r="D5134" i="7" s="1"/>
  <c r="C5135" i="7"/>
  <c r="D5135" i="7" s="1"/>
  <c r="C5136" i="7"/>
  <c r="D5136" i="7" s="1"/>
  <c r="C5137" i="7"/>
  <c r="D5137" i="7" s="1"/>
  <c r="C5138" i="7"/>
  <c r="D5138" i="7" s="1"/>
  <c r="C5139" i="7"/>
  <c r="D5139" i="7" s="1"/>
  <c r="C5140" i="7"/>
  <c r="D5140" i="7" s="1"/>
  <c r="C5141" i="7"/>
  <c r="D5141" i="7" s="1"/>
  <c r="C5142" i="7"/>
  <c r="D5142" i="7" s="1"/>
  <c r="C5143" i="7"/>
  <c r="D5143" i="7" s="1"/>
  <c r="C5144" i="7"/>
  <c r="D5144" i="7" s="1"/>
  <c r="C5145" i="7"/>
  <c r="D5145" i="7" s="1"/>
  <c r="C5146" i="7"/>
  <c r="D5146" i="7" s="1"/>
  <c r="C5147" i="7"/>
  <c r="D5147" i="7" s="1"/>
  <c r="C5148" i="7"/>
  <c r="D5148" i="7" s="1"/>
  <c r="C5149" i="7"/>
  <c r="D5149" i="7" s="1"/>
  <c r="C5150" i="7"/>
  <c r="D5150" i="7" s="1"/>
  <c r="C5151" i="7"/>
  <c r="D5151" i="7" s="1"/>
  <c r="C5152" i="7"/>
  <c r="D5152" i="7" s="1"/>
  <c r="C5153" i="7"/>
  <c r="D5153" i="7" s="1"/>
  <c r="C5154" i="7"/>
  <c r="D5154" i="7" s="1"/>
  <c r="C5155" i="7"/>
  <c r="D5155" i="7" s="1"/>
  <c r="C5156" i="7"/>
  <c r="D5156" i="7" s="1"/>
  <c r="C5157" i="7"/>
  <c r="D5157" i="7" s="1"/>
  <c r="C5158" i="7"/>
  <c r="D5158" i="7" s="1"/>
  <c r="C5159" i="7"/>
  <c r="D5159" i="7" s="1"/>
  <c r="C5160" i="7"/>
  <c r="D5160" i="7" s="1"/>
  <c r="C5161" i="7"/>
  <c r="D5161" i="7" s="1"/>
  <c r="C5162" i="7"/>
  <c r="D5162" i="7" s="1"/>
  <c r="C5163" i="7"/>
  <c r="D5163" i="7" s="1"/>
  <c r="C5164" i="7"/>
  <c r="D5164" i="7" s="1"/>
  <c r="C5165" i="7"/>
  <c r="D5165" i="7" s="1"/>
  <c r="C5166" i="7"/>
  <c r="D5166" i="7" s="1"/>
  <c r="C5167" i="7"/>
  <c r="D5167" i="7" s="1"/>
  <c r="C5168" i="7"/>
  <c r="D5168" i="7" s="1"/>
  <c r="C5169" i="7"/>
  <c r="D5169" i="7" s="1"/>
  <c r="C5170" i="7"/>
  <c r="D5170" i="7" s="1"/>
  <c r="C5171" i="7"/>
  <c r="D5171" i="7" s="1"/>
  <c r="C5172" i="7"/>
  <c r="D5172" i="7" s="1"/>
  <c r="C5173" i="7"/>
  <c r="D5173" i="7" s="1"/>
  <c r="C5174" i="7"/>
  <c r="D5174" i="7" s="1"/>
  <c r="C5175" i="7"/>
  <c r="D5175" i="7" s="1"/>
  <c r="C5176" i="7"/>
  <c r="D5176" i="7" s="1"/>
  <c r="C5177" i="7"/>
  <c r="D5177" i="7" s="1"/>
  <c r="C5178" i="7"/>
  <c r="D5178" i="7" s="1"/>
  <c r="C5179" i="7"/>
  <c r="D5179" i="7" s="1"/>
  <c r="C5180" i="7"/>
  <c r="D5180" i="7" s="1"/>
  <c r="C5181" i="7"/>
  <c r="D5181" i="7" s="1"/>
  <c r="C5182" i="7"/>
  <c r="D5182" i="7" s="1"/>
  <c r="C5183" i="7"/>
  <c r="D5183" i="7" s="1"/>
  <c r="C5184" i="7"/>
  <c r="D5184" i="7" s="1"/>
  <c r="C5185" i="7"/>
  <c r="D5185" i="7" s="1"/>
  <c r="C5186" i="7"/>
  <c r="D5186" i="7" s="1"/>
  <c r="C5187" i="7"/>
  <c r="D5187" i="7" s="1"/>
  <c r="C5188" i="7"/>
  <c r="D5188" i="7" s="1"/>
  <c r="C5189" i="7"/>
  <c r="D5189" i="7" s="1"/>
  <c r="C5190" i="7"/>
  <c r="D5190" i="7" s="1"/>
  <c r="C5191" i="7"/>
  <c r="D5191" i="7" s="1"/>
  <c r="C5192" i="7"/>
  <c r="D5192" i="7" s="1"/>
  <c r="C5193" i="7"/>
  <c r="D5193" i="7" s="1"/>
  <c r="C5194" i="7"/>
  <c r="D5194" i="7" s="1"/>
  <c r="C5195" i="7"/>
  <c r="D5195" i="7" s="1"/>
  <c r="C5196" i="7"/>
  <c r="D5196" i="7" s="1"/>
  <c r="C5197" i="7"/>
  <c r="D5197" i="7" s="1"/>
  <c r="C5198" i="7"/>
  <c r="D5198" i="7" s="1"/>
  <c r="C5199" i="7"/>
  <c r="D5199" i="7" s="1"/>
  <c r="C5200" i="7"/>
  <c r="D5200" i="7" s="1"/>
  <c r="C5201" i="7"/>
  <c r="D5201" i="7" s="1"/>
  <c r="C5202" i="7"/>
  <c r="D5202" i="7" s="1"/>
  <c r="C5203" i="7"/>
  <c r="D5203" i="7" s="1"/>
  <c r="C5204" i="7"/>
  <c r="D5204" i="7" s="1"/>
  <c r="C5205" i="7"/>
  <c r="D5205" i="7" s="1"/>
  <c r="C5206" i="7"/>
  <c r="D5206" i="7" s="1"/>
  <c r="C5207" i="7"/>
  <c r="D5207" i="7" s="1"/>
  <c r="C5208" i="7"/>
  <c r="D5208" i="7" s="1"/>
  <c r="C5209" i="7"/>
  <c r="D5209" i="7" s="1"/>
  <c r="C5210" i="7"/>
  <c r="D5210" i="7" s="1"/>
  <c r="C5211" i="7"/>
  <c r="D5211" i="7" s="1"/>
  <c r="C5212" i="7"/>
  <c r="D5212" i="7" s="1"/>
  <c r="C5213" i="7"/>
  <c r="D5213" i="7" s="1"/>
  <c r="C5214" i="7"/>
  <c r="D5214" i="7" s="1"/>
  <c r="C5215" i="7"/>
  <c r="D5215" i="7" s="1"/>
  <c r="C5216" i="7"/>
  <c r="D5216" i="7" s="1"/>
  <c r="C5217" i="7"/>
  <c r="D5217" i="7" s="1"/>
  <c r="C5218" i="7"/>
  <c r="D5218" i="7" s="1"/>
  <c r="C5219" i="7"/>
  <c r="D5219" i="7" s="1"/>
  <c r="C5220" i="7"/>
  <c r="D5220" i="7" s="1"/>
  <c r="C5221" i="7"/>
  <c r="D5221" i="7" s="1"/>
  <c r="C5222" i="7"/>
  <c r="D5222" i="7" s="1"/>
  <c r="C5223" i="7"/>
  <c r="D5223" i="7" s="1"/>
  <c r="C5224" i="7"/>
  <c r="D5224" i="7" s="1"/>
  <c r="C5225" i="7"/>
  <c r="D5225" i="7" s="1"/>
  <c r="C5226" i="7"/>
  <c r="D5226" i="7" s="1"/>
  <c r="C5227" i="7"/>
  <c r="D5227" i="7" s="1"/>
  <c r="C5228" i="7"/>
  <c r="D5228" i="7" s="1"/>
  <c r="C5229" i="7"/>
  <c r="D5229" i="7" s="1"/>
  <c r="C5230" i="7"/>
  <c r="D5230" i="7" s="1"/>
  <c r="C5231" i="7"/>
  <c r="D5231" i="7" s="1"/>
  <c r="C5232" i="7"/>
  <c r="D5232" i="7" s="1"/>
  <c r="C5233" i="7"/>
  <c r="D5233" i="7" s="1"/>
  <c r="C5234" i="7"/>
  <c r="D5234" i="7" s="1"/>
  <c r="C5235" i="7"/>
  <c r="D5235" i="7" s="1"/>
  <c r="C5236" i="7"/>
  <c r="D5236" i="7" s="1"/>
  <c r="C5237" i="7"/>
  <c r="D5237" i="7" s="1"/>
  <c r="C5238" i="7"/>
  <c r="D5238" i="7" s="1"/>
  <c r="C5239" i="7"/>
  <c r="D5239" i="7" s="1"/>
  <c r="C5240" i="7"/>
  <c r="D5240" i="7" s="1"/>
  <c r="C5241" i="7"/>
  <c r="D5241" i="7" s="1"/>
  <c r="C5242" i="7"/>
  <c r="D5242" i="7" s="1"/>
  <c r="C5243" i="7"/>
  <c r="D5243" i="7" s="1"/>
  <c r="C5244" i="7"/>
  <c r="D5244" i="7" s="1"/>
  <c r="C5245" i="7"/>
  <c r="D5245" i="7" s="1"/>
  <c r="C5246" i="7"/>
  <c r="D5246" i="7" s="1"/>
  <c r="C5247" i="7"/>
  <c r="D5247" i="7" s="1"/>
  <c r="C5248" i="7"/>
  <c r="D5248" i="7" s="1"/>
  <c r="C5249" i="7"/>
  <c r="D5249" i="7" s="1"/>
  <c r="C5250" i="7"/>
  <c r="D5250" i="7" s="1"/>
  <c r="C5251" i="7"/>
  <c r="D5251" i="7" s="1"/>
  <c r="C5252" i="7"/>
  <c r="D5252" i="7" s="1"/>
  <c r="C5253" i="7"/>
  <c r="D5253" i="7" s="1"/>
  <c r="C5254" i="7"/>
  <c r="D5254" i="7" s="1"/>
  <c r="C5255" i="7"/>
  <c r="D5255" i="7" s="1"/>
  <c r="C5256" i="7"/>
  <c r="D5256" i="7" s="1"/>
  <c r="C5257" i="7"/>
  <c r="D5257" i="7" s="1"/>
  <c r="C5258" i="7"/>
  <c r="D5258" i="7" s="1"/>
  <c r="C5259" i="7"/>
  <c r="D5259" i="7" s="1"/>
  <c r="C5260" i="7"/>
  <c r="D5260" i="7" s="1"/>
  <c r="C5261" i="7"/>
  <c r="D5261" i="7" s="1"/>
  <c r="C5262" i="7"/>
  <c r="D5262" i="7" s="1"/>
  <c r="C5263" i="7"/>
  <c r="D5263" i="7" s="1"/>
  <c r="C5264" i="7"/>
  <c r="D5264" i="7" s="1"/>
  <c r="C5265" i="7"/>
  <c r="D5265" i="7" s="1"/>
  <c r="C5266" i="7"/>
  <c r="D5266" i="7" s="1"/>
  <c r="C5267" i="7"/>
  <c r="D5267" i="7" s="1"/>
  <c r="C5268" i="7"/>
  <c r="D5268" i="7" s="1"/>
  <c r="C5269" i="7"/>
  <c r="D5269" i="7" s="1"/>
  <c r="C5270" i="7"/>
  <c r="D5270" i="7" s="1"/>
  <c r="C5271" i="7"/>
  <c r="D5271" i="7" s="1"/>
  <c r="C5272" i="7"/>
  <c r="D5272" i="7" s="1"/>
  <c r="C5273" i="7"/>
  <c r="D5273" i="7" s="1"/>
  <c r="C5274" i="7"/>
  <c r="D5274" i="7" s="1"/>
  <c r="C5275" i="7"/>
  <c r="D5275" i="7" s="1"/>
  <c r="C5276" i="7"/>
  <c r="D5276" i="7" s="1"/>
  <c r="C5277" i="7"/>
  <c r="D5277" i="7" s="1"/>
  <c r="C5278" i="7"/>
  <c r="D5278" i="7" s="1"/>
  <c r="C5279" i="7"/>
  <c r="D5279" i="7" s="1"/>
  <c r="C5280" i="7"/>
  <c r="D5280" i="7" s="1"/>
  <c r="C5281" i="7"/>
  <c r="D5281" i="7" s="1"/>
  <c r="C5282" i="7"/>
  <c r="D5282" i="7" s="1"/>
  <c r="C5283" i="7"/>
  <c r="D5283" i="7" s="1"/>
  <c r="C5284" i="7"/>
  <c r="D5284" i="7" s="1"/>
  <c r="C5285" i="7"/>
  <c r="D5285" i="7" s="1"/>
  <c r="C5286" i="7"/>
  <c r="D5286" i="7" s="1"/>
  <c r="C5287" i="7"/>
  <c r="D5287" i="7" s="1"/>
  <c r="C5288" i="7"/>
  <c r="D5288" i="7" s="1"/>
  <c r="C5289" i="7"/>
  <c r="D5289" i="7" s="1"/>
  <c r="C5290" i="7"/>
  <c r="D5290" i="7" s="1"/>
  <c r="C5291" i="7"/>
  <c r="D5291" i="7" s="1"/>
  <c r="C5292" i="7"/>
  <c r="D5292" i="7" s="1"/>
  <c r="C5293" i="7"/>
  <c r="D5293" i="7" s="1"/>
  <c r="C5294" i="7"/>
  <c r="D5294" i="7" s="1"/>
  <c r="C5295" i="7"/>
  <c r="D5295" i="7" s="1"/>
  <c r="C5296" i="7"/>
  <c r="D5296" i="7" s="1"/>
  <c r="C5297" i="7"/>
  <c r="D5297" i="7" s="1"/>
  <c r="C5298" i="7"/>
  <c r="D5298" i="7" s="1"/>
  <c r="C5299" i="7"/>
  <c r="D5299" i="7" s="1"/>
  <c r="C5300" i="7"/>
  <c r="D5300" i="7" s="1"/>
  <c r="C5301" i="7"/>
  <c r="D5301" i="7" s="1"/>
  <c r="C5302" i="7"/>
  <c r="D5302" i="7" s="1"/>
  <c r="C5303" i="7"/>
  <c r="D5303" i="7" s="1"/>
  <c r="C5304" i="7"/>
  <c r="D5304" i="7" s="1"/>
  <c r="C5305" i="7"/>
  <c r="D5305" i="7" s="1"/>
  <c r="C5306" i="7"/>
  <c r="D5306" i="7" s="1"/>
  <c r="C5307" i="7"/>
  <c r="D5307" i="7" s="1"/>
  <c r="C5308" i="7"/>
  <c r="D5308" i="7" s="1"/>
  <c r="C5309" i="7"/>
  <c r="D5309" i="7" s="1"/>
  <c r="C5310" i="7"/>
  <c r="D5310" i="7" s="1"/>
  <c r="C5311" i="7"/>
  <c r="D5311" i="7" s="1"/>
  <c r="C5312" i="7"/>
  <c r="D5312" i="7" s="1"/>
  <c r="C5313" i="7"/>
  <c r="D5313" i="7" s="1"/>
  <c r="C5314" i="7"/>
  <c r="D5314" i="7" s="1"/>
  <c r="C5315" i="7"/>
  <c r="D5315" i="7" s="1"/>
  <c r="C5316" i="7"/>
  <c r="D5316" i="7" s="1"/>
  <c r="C5317" i="7"/>
  <c r="D5317" i="7" s="1"/>
  <c r="C5318" i="7"/>
  <c r="D5318" i="7" s="1"/>
  <c r="C5319" i="7"/>
  <c r="D5319" i="7" s="1"/>
  <c r="C5320" i="7"/>
  <c r="D5320" i="7" s="1"/>
  <c r="C5321" i="7"/>
  <c r="D5321" i="7" s="1"/>
  <c r="C5322" i="7"/>
  <c r="D5322" i="7" s="1"/>
  <c r="C5323" i="7"/>
  <c r="D5323" i="7" s="1"/>
  <c r="C5324" i="7"/>
  <c r="D5324" i="7" s="1"/>
  <c r="C5325" i="7"/>
  <c r="D5325" i="7" s="1"/>
  <c r="C5326" i="7"/>
  <c r="D5326" i="7" s="1"/>
  <c r="C5327" i="7"/>
  <c r="D5327" i="7" s="1"/>
  <c r="C5328" i="7"/>
  <c r="D5328" i="7" s="1"/>
  <c r="C5329" i="7"/>
  <c r="D5329" i="7" s="1"/>
  <c r="C5330" i="7"/>
  <c r="D5330" i="7" s="1"/>
  <c r="C5331" i="7"/>
  <c r="D5331" i="7" s="1"/>
  <c r="C5332" i="7"/>
  <c r="D5332" i="7" s="1"/>
  <c r="C5333" i="7"/>
  <c r="D5333" i="7" s="1"/>
  <c r="C5334" i="7"/>
  <c r="D5334" i="7" s="1"/>
  <c r="C5335" i="7"/>
  <c r="D5335" i="7" s="1"/>
  <c r="C5336" i="7"/>
  <c r="D5336" i="7" s="1"/>
  <c r="C5337" i="7"/>
  <c r="D5337" i="7" s="1"/>
  <c r="C5338" i="7"/>
  <c r="D5338" i="7" s="1"/>
  <c r="C5339" i="7"/>
  <c r="D5339" i="7" s="1"/>
  <c r="C5340" i="7"/>
  <c r="D5340" i="7" s="1"/>
  <c r="C5341" i="7"/>
  <c r="D5341" i="7" s="1"/>
  <c r="C5342" i="7"/>
  <c r="D5342" i="7" s="1"/>
  <c r="C5343" i="7"/>
  <c r="D5343" i="7" s="1"/>
  <c r="C5344" i="7"/>
  <c r="D5344" i="7" s="1"/>
  <c r="C5345" i="7"/>
  <c r="D5345" i="7" s="1"/>
  <c r="C5346" i="7"/>
  <c r="D5346" i="7" s="1"/>
  <c r="C5347" i="7"/>
  <c r="D5347" i="7" s="1"/>
  <c r="C5348" i="7"/>
  <c r="D5348" i="7" s="1"/>
  <c r="C5349" i="7"/>
  <c r="D5349" i="7" s="1"/>
  <c r="C5350" i="7"/>
  <c r="D5350" i="7" s="1"/>
  <c r="C5351" i="7"/>
  <c r="D5351" i="7" s="1"/>
  <c r="C5352" i="7"/>
  <c r="D5352" i="7" s="1"/>
  <c r="C5353" i="7"/>
  <c r="D5353" i="7" s="1"/>
  <c r="C5354" i="7"/>
  <c r="D5354" i="7" s="1"/>
  <c r="C5355" i="7"/>
  <c r="D5355" i="7" s="1"/>
  <c r="C5356" i="7"/>
  <c r="D5356" i="7" s="1"/>
  <c r="C5357" i="7"/>
  <c r="D5357" i="7" s="1"/>
  <c r="C5358" i="7"/>
  <c r="D5358" i="7" s="1"/>
  <c r="C5359" i="7"/>
  <c r="D5359" i="7" s="1"/>
  <c r="C5360" i="7"/>
  <c r="D5360" i="7" s="1"/>
  <c r="C5361" i="7"/>
  <c r="D5361" i="7" s="1"/>
  <c r="C5362" i="7"/>
  <c r="D5362" i="7" s="1"/>
  <c r="C5363" i="7"/>
  <c r="D5363" i="7" s="1"/>
  <c r="C5364" i="7"/>
  <c r="D5364" i="7" s="1"/>
  <c r="C5365" i="7"/>
  <c r="D5365" i="7" s="1"/>
  <c r="C5366" i="7"/>
  <c r="D5366" i="7" s="1"/>
  <c r="C5367" i="7"/>
  <c r="D5367" i="7" s="1"/>
  <c r="C5368" i="7"/>
  <c r="D5368" i="7" s="1"/>
  <c r="C5369" i="7"/>
  <c r="D5369" i="7" s="1"/>
  <c r="C5370" i="7"/>
  <c r="D5370" i="7" s="1"/>
  <c r="C5371" i="7"/>
  <c r="D5371" i="7" s="1"/>
  <c r="C5372" i="7"/>
  <c r="D5372" i="7" s="1"/>
  <c r="C5373" i="7"/>
  <c r="D5373" i="7" s="1"/>
  <c r="C5374" i="7"/>
  <c r="D5374" i="7" s="1"/>
  <c r="C5375" i="7"/>
  <c r="D5375" i="7" s="1"/>
  <c r="C5376" i="7"/>
  <c r="D5376" i="7" s="1"/>
  <c r="C5377" i="7"/>
  <c r="D5377" i="7" s="1"/>
  <c r="C5378" i="7"/>
  <c r="D5378" i="7" s="1"/>
  <c r="C5379" i="7"/>
  <c r="D5379" i="7" s="1"/>
  <c r="C5380" i="7"/>
  <c r="D5380" i="7" s="1"/>
  <c r="C5381" i="7"/>
  <c r="D5381" i="7" s="1"/>
  <c r="C5382" i="7"/>
  <c r="D5382" i="7" s="1"/>
  <c r="C5383" i="7"/>
  <c r="D5383" i="7" s="1"/>
  <c r="C5384" i="7"/>
  <c r="D5384" i="7" s="1"/>
  <c r="C5385" i="7"/>
  <c r="D5385" i="7" s="1"/>
  <c r="C5386" i="7"/>
  <c r="D5386" i="7" s="1"/>
  <c r="C5387" i="7"/>
  <c r="D5387" i="7" s="1"/>
  <c r="C5388" i="7"/>
  <c r="D5388" i="7" s="1"/>
  <c r="C5389" i="7"/>
  <c r="D5389" i="7" s="1"/>
  <c r="C5390" i="7"/>
  <c r="D5390" i="7" s="1"/>
  <c r="C5391" i="7"/>
  <c r="D5391" i="7" s="1"/>
  <c r="C5392" i="7"/>
  <c r="D5392" i="7" s="1"/>
  <c r="C5393" i="7"/>
  <c r="D5393" i="7" s="1"/>
  <c r="C5394" i="7"/>
  <c r="D5394" i="7" s="1"/>
  <c r="C5395" i="7"/>
  <c r="D5395" i="7" s="1"/>
  <c r="C5396" i="7"/>
  <c r="D5396" i="7" s="1"/>
  <c r="C5397" i="7"/>
  <c r="D5397" i="7" s="1"/>
  <c r="C5398" i="7"/>
  <c r="D5398" i="7" s="1"/>
  <c r="C5399" i="7"/>
  <c r="D5399" i="7" s="1"/>
  <c r="C5400" i="7"/>
  <c r="D5400" i="7" s="1"/>
  <c r="C5401" i="7"/>
  <c r="D5401" i="7" s="1"/>
  <c r="C5402" i="7"/>
  <c r="D5402" i="7" s="1"/>
  <c r="C5403" i="7"/>
  <c r="D5403" i="7" s="1"/>
  <c r="C5404" i="7"/>
  <c r="D5404" i="7" s="1"/>
  <c r="C5405" i="7"/>
  <c r="D5405" i="7" s="1"/>
  <c r="C5406" i="7"/>
  <c r="D5406" i="7" s="1"/>
  <c r="C5407" i="7"/>
  <c r="D5407" i="7" s="1"/>
  <c r="C5408" i="7"/>
  <c r="D5408" i="7" s="1"/>
  <c r="C5409" i="7"/>
  <c r="D5409" i="7" s="1"/>
  <c r="C5410" i="7"/>
  <c r="D5410" i="7" s="1"/>
  <c r="C5411" i="7"/>
  <c r="D5411" i="7" s="1"/>
  <c r="C5412" i="7"/>
  <c r="D5412" i="7" s="1"/>
  <c r="C5413" i="7"/>
  <c r="D5413" i="7" s="1"/>
  <c r="C5414" i="7"/>
  <c r="D5414" i="7" s="1"/>
  <c r="C5415" i="7"/>
  <c r="D5415" i="7" s="1"/>
  <c r="C5416" i="7"/>
  <c r="D5416" i="7" s="1"/>
  <c r="C5417" i="7"/>
  <c r="D5417" i="7" s="1"/>
  <c r="C5418" i="7"/>
  <c r="D5418" i="7" s="1"/>
  <c r="C5419" i="7"/>
  <c r="D5419" i="7" s="1"/>
  <c r="C5420" i="7"/>
  <c r="D5420" i="7" s="1"/>
  <c r="C5421" i="7"/>
  <c r="D5421" i="7" s="1"/>
  <c r="C5422" i="7"/>
  <c r="D5422" i="7" s="1"/>
  <c r="C5423" i="7"/>
  <c r="D5423" i="7" s="1"/>
  <c r="C5424" i="7"/>
  <c r="D5424" i="7" s="1"/>
  <c r="C5425" i="7"/>
  <c r="D5425" i="7" s="1"/>
  <c r="C5426" i="7"/>
  <c r="D5426" i="7" s="1"/>
  <c r="C5427" i="7"/>
  <c r="D5427" i="7" s="1"/>
  <c r="C5428" i="7"/>
  <c r="D5428" i="7" s="1"/>
  <c r="C5429" i="7"/>
  <c r="D5429" i="7" s="1"/>
  <c r="C5430" i="7"/>
  <c r="D5430" i="7" s="1"/>
  <c r="C5431" i="7"/>
  <c r="D5431" i="7" s="1"/>
  <c r="C5432" i="7"/>
  <c r="D5432" i="7" s="1"/>
  <c r="C5433" i="7"/>
  <c r="D5433" i="7" s="1"/>
  <c r="C5434" i="7"/>
  <c r="D5434" i="7" s="1"/>
  <c r="C5435" i="7"/>
  <c r="D5435" i="7" s="1"/>
  <c r="C5436" i="7"/>
  <c r="D5436" i="7" s="1"/>
  <c r="C5437" i="7"/>
  <c r="D5437" i="7" s="1"/>
  <c r="C5438" i="7"/>
  <c r="D5438" i="7" s="1"/>
  <c r="C5439" i="7"/>
  <c r="D5439" i="7" s="1"/>
  <c r="C5440" i="7"/>
  <c r="D5440" i="7" s="1"/>
  <c r="C5441" i="7"/>
  <c r="D5441" i="7" s="1"/>
  <c r="C5442" i="7"/>
  <c r="D5442" i="7" s="1"/>
  <c r="C5443" i="7"/>
  <c r="D5443" i="7" s="1"/>
  <c r="C5444" i="7"/>
  <c r="D5444" i="7" s="1"/>
  <c r="C5445" i="7"/>
  <c r="D5445" i="7" s="1"/>
  <c r="C5446" i="7"/>
  <c r="D5446" i="7" s="1"/>
  <c r="C5447" i="7"/>
  <c r="D5447" i="7" s="1"/>
  <c r="C5448" i="7"/>
  <c r="D5448" i="7" s="1"/>
  <c r="C5449" i="7"/>
  <c r="D5449" i="7" s="1"/>
  <c r="C5450" i="7"/>
  <c r="D5450" i="7" s="1"/>
  <c r="C5451" i="7"/>
  <c r="D5451" i="7" s="1"/>
  <c r="C5452" i="7"/>
  <c r="D5452" i="7" s="1"/>
  <c r="C5453" i="7"/>
  <c r="D5453" i="7" s="1"/>
  <c r="C5454" i="7"/>
  <c r="D5454" i="7" s="1"/>
  <c r="C5455" i="7"/>
  <c r="D5455" i="7" s="1"/>
  <c r="C5456" i="7"/>
  <c r="D5456" i="7" s="1"/>
  <c r="C5457" i="7"/>
  <c r="D5457" i="7" s="1"/>
  <c r="C5458" i="7"/>
  <c r="D5458" i="7" s="1"/>
  <c r="C5459" i="7"/>
  <c r="D5459" i="7" s="1"/>
  <c r="C5460" i="7"/>
  <c r="D5460" i="7" s="1"/>
  <c r="C5461" i="7"/>
  <c r="D5461" i="7" s="1"/>
  <c r="C5462" i="7"/>
  <c r="D5462" i="7" s="1"/>
  <c r="C5463" i="7"/>
  <c r="D5463" i="7" s="1"/>
  <c r="C5464" i="7"/>
  <c r="D5464" i="7" s="1"/>
  <c r="C5465" i="7"/>
  <c r="D5465" i="7" s="1"/>
  <c r="C5466" i="7"/>
  <c r="D5466" i="7" s="1"/>
  <c r="C5467" i="7"/>
  <c r="D5467" i="7" s="1"/>
  <c r="C5468" i="7"/>
  <c r="D5468" i="7" s="1"/>
  <c r="C5469" i="7"/>
  <c r="D5469" i="7" s="1"/>
  <c r="C5470" i="7"/>
  <c r="D5470" i="7" s="1"/>
  <c r="C5471" i="7"/>
  <c r="D5471" i="7" s="1"/>
  <c r="C5472" i="7"/>
  <c r="D5472" i="7" s="1"/>
  <c r="C5473" i="7"/>
  <c r="D5473" i="7" s="1"/>
  <c r="C5474" i="7"/>
  <c r="D5474" i="7" s="1"/>
  <c r="C5475" i="7"/>
  <c r="D5475" i="7" s="1"/>
  <c r="C5476" i="7"/>
  <c r="D5476" i="7" s="1"/>
  <c r="C5477" i="7"/>
  <c r="D5477" i="7" s="1"/>
  <c r="C5478" i="7"/>
  <c r="D5478" i="7" s="1"/>
  <c r="C5479" i="7"/>
  <c r="D5479" i="7" s="1"/>
  <c r="C5480" i="7"/>
  <c r="D5480" i="7" s="1"/>
  <c r="C5481" i="7"/>
  <c r="D5481" i="7" s="1"/>
  <c r="C5482" i="7"/>
  <c r="D5482" i="7" s="1"/>
  <c r="C5483" i="7"/>
  <c r="D5483" i="7" s="1"/>
  <c r="C5484" i="7"/>
  <c r="D5484" i="7" s="1"/>
  <c r="C5485" i="7"/>
  <c r="D5485" i="7" s="1"/>
  <c r="C5486" i="7"/>
  <c r="D5486" i="7" s="1"/>
  <c r="C5487" i="7"/>
  <c r="D5487" i="7" s="1"/>
  <c r="C5488" i="7"/>
  <c r="D5488" i="7" s="1"/>
  <c r="C5489" i="7"/>
  <c r="D5489" i="7" s="1"/>
  <c r="C5490" i="7"/>
  <c r="D5490" i="7" s="1"/>
  <c r="C5491" i="7"/>
  <c r="D5491" i="7" s="1"/>
  <c r="C5492" i="7"/>
  <c r="D5492" i="7" s="1"/>
  <c r="C5493" i="7"/>
  <c r="D5493" i="7" s="1"/>
  <c r="C5494" i="7"/>
  <c r="D5494" i="7" s="1"/>
  <c r="C5495" i="7"/>
  <c r="D5495" i="7" s="1"/>
  <c r="C5496" i="7"/>
  <c r="D5496" i="7" s="1"/>
  <c r="C5497" i="7"/>
  <c r="D5497" i="7" s="1"/>
  <c r="C5498" i="7"/>
  <c r="D5498" i="7" s="1"/>
  <c r="C5499" i="7"/>
  <c r="D5499" i="7" s="1"/>
  <c r="C5500" i="7"/>
  <c r="D5500" i="7" s="1"/>
  <c r="C5501" i="7"/>
  <c r="D5501" i="7" s="1"/>
  <c r="C5502" i="7"/>
  <c r="D5502" i="7" s="1"/>
  <c r="C5503" i="7"/>
  <c r="D5503" i="7" s="1"/>
  <c r="C5504" i="7"/>
  <c r="D5504" i="7" s="1"/>
  <c r="C5505" i="7"/>
  <c r="D5505" i="7" s="1"/>
  <c r="C5506" i="7"/>
  <c r="D5506" i="7" s="1"/>
  <c r="C5507" i="7"/>
  <c r="D5507" i="7" s="1"/>
  <c r="C5508" i="7"/>
  <c r="D5508" i="7" s="1"/>
  <c r="C5509" i="7"/>
  <c r="D5509" i="7" s="1"/>
  <c r="C5510" i="7"/>
  <c r="D5510" i="7" s="1"/>
  <c r="C5511" i="7"/>
  <c r="D5511" i="7" s="1"/>
  <c r="C5512" i="7"/>
  <c r="D5512" i="7" s="1"/>
  <c r="C5513" i="7"/>
  <c r="D5513" i="7" s="1"/>
  <c r="C5514" i="7"/>
  <c r="D5514" i="7" s="1"/>
  <c r="C5515" i="7"/>
  <c r="D5515" i="7" s="1"/>
  <c r="C5516" i="7"/>
  <c r="D5516" i="7" s="1"/>
  <c r="C5517" i="7"/>
  <c r="D5517" i="7" s="1"/>
  <c r="C5518" i="7"/>
  <c r="D5518" i="7" s="1"/>
  <c r="C5519" i="7"/>
  <c r="D5519" i="7" s="1"/>
  <c r="C5520" i="7"/>
  <c r="D5520" i="7" s="1"/>
  <c r="C5521" i="7"/>
  <c r="D5521" i="7" s="1"/>
  <c r="C5522" i="7"/>
  <c r="D5522" i="7" s="1"/>
  <c r="C5523" i="7"/>
  <c r="D5523" i="7" s="1"/>
  <c r="C5524" i="7"/>
  <c r="D5524" i="7" s="1"/>
  <c r="C5525" i="7"/>
  <c r="D5525" i="7" s="1"/>
  <c r="C5526" i="7"/>
  <c r="D5526" i="7" s="1"/>
  <c r="C5527" i="7"/>
  <c r="D5527" i="7" s="1"/>
  <c r="C5528" i="7"/>
  <c r="D5528" i="7" s="1"/>
  <c r="C5529" i="7"/>
  <c r="D5529" i="7" s="1"/>
  <c r="C5530" i="7"/>
  <c r="D5530" i="7" s="1"/>
  <c r="C5531" i="7"/>
  <c r="D5531" i="7" s="1"/>
  <c r="C5532" i="7"/>
  <c r="D5532" i="7" s="1"/>
  <c r="C5533" i="7"/>
  <c r="D5533" i="7" s="1"/>
  <c r="C5534" i="7"/>
  <c r="D5534" i="7" s="1"/>
  <c r="C5535" i="7"/>
  <c r="D5535" i="7" s="1"/>
  <c r="C5536" i="7"/>
  <c r="D5536" i="7" s="1"/>
  <c r="C5537" i="7"/>
  <c r="D5537" i="7" s="1"/>
  <c r="C5538" i="7"/>
  <c r="D5538" i="7" s="1"/>
  <c r="C5539" i="7"/>
  <c r="D5539" i="7" s="1"/>
  <c r="C5540" i="7"/>
  <c r="D5540" i="7" s="1"/>
  <c r="C5541" i="7"/>
  <c r="D5541" i="7" s="1"/>
  <c r="C5542" i="7"/>
  <c r="D5542" i="7" s="1"/>
  <c r="C5543" i="7"/>
  <c r="D5543" i="7" s="1"/>
  <c r="C5544" i="7"/>
  <c r="D5544" i="7" s="1"/>
  <c r="C5545" i="7"/>
  <c r="D5545" i="7" s="1"/>
</calcChain>
</file>

<file path=xl/sharedStrings.xml><?xml version="1.0" encoding="utf-8"?>
<sst xmlns="http://schemas.openxmlformats.org/spreadsheetml/2006/main" count="2453" uniqueCount="1066">
  <si>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</si>
  <si>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</si>
  <si>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</si>
  <si>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</si>
  <si>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</si>
  <si>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</si>
  <si>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</si>
  <si>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</si>
  <si>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</si>
  <si>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</si>
  <si>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</si>
  <si>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</si>
  <si>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</si>
  <si>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</si>
  <si>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</si>
  <si>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</si>
  <si>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</si>
  <si>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</si>
  <si>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</si>
  <si>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</si>
  <si>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</si>
  <si>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</si>
  <si>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</si>
  <si>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</si>
  <si>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</si>
  <si>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</si>
  <si>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</si>
  <si>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</si>
  <si>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</si>
  <si>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</si>
  <si>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</si>
  <si>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</si>
  <si>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</si>
  <si>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</si>
  <si>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</si>
  <si>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</si>
  <si>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</si>
  <si>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</si>
  <si>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</si>
  <si>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</si>
  <si>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</si>
  <si>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</si>
  <si>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</si>
  <si>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</si>
  <si>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</si>
  <si>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</si>
  <si>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</si>
  <si>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</si>
  <si>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</si>
  <si>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</si>
  <si>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</si>
  <si>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</si>
  <si>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</si>
  <si>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</si>
  <si>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</si>
  <si>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</si>
  <si>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</si>
  <si>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</si>
  <si>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</si>
  <si>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</si>
  <si>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</si>
  <si>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</si>
  <si>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</si>
  <si>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</si>
  <si>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</si>
  <si>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</si>
  <si>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</si>
  <si>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</si>
  <si>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</si>
  <si>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</si>
  <si>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</si>
  <si>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</si>
  <si>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</si>
  <si>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</si>
  <si>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</si>
  <si>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</si>
  <si>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</si>
  <si>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</si>
  <si>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</si>
  <si>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</si>
  <si>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</si>
  <si>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</si>
  <si>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</si>
  <si>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</si>
  <si>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</si>
  <si>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</si>
  <si>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</si>
  <si>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</si>
  <si>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</si>
  <si>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</si>
  <si>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</si>
  <si>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</si>
  <si>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5_동물영양생리과</t>
    <phoneticPr fontId="3" type="noConversion"/>
  </si>
  <si>
    <t>25-1_네이버팜(유튜브)</t>
    <phoneticPr fontId="3" type="noConversion"/>
  </si>
  <si>
    <t>YTN 사이언스</t>
  </si>
  <si>
    <t>YTN</t>
  </si>
  <si>
    <t>서울신문</t>
  </si>
  <si>
    <t>전북연합신문</t>
  </si>
  <si>
    <t>현대축산뉴스</t>
  </si>
  <si>
    <t>충청투데이</t>
  </si>
  <si>
    <t>농수축산신문</t>
  </si>
  <si>
    <t>한국농정</t>
  </si>
  <si>
    <t>농민신문</t>
  </si>
  <si>
    <t>죽산신문</t>
  </si>
  <si>
    <t>한국연합신문</t>
  </si>
  <si>
    <t>한우신문</t>
  </si>
  <si>
    <t>새전북신문</t>
  </si>
  <si>
    <t>축산경제신문</t>
  </si>
  <si>
    <t>M메타 TV 뉴스</t>
  </si>
  <si>
    <t>더코리아뉴스</t>
  </si>
  <si>
    <t>제주교통복지신문</t>
  </si>
  <si>
    <t>비즈니스 포스트</t>
  </si>
  <si>
    <t>전업농신문</t>
  </si>
  <si>
    <t>축산신문</t>
  </si>
  <si>
    <t>부산일보</t>
  </si>
  <si>
    <t>낙농신문</t>
  </si>
  <si>
    <t>무진장뉴스i</t>
  </si>
  <si>
    <t>시대일보</t>
  </si>
  <si>
    <t>한국사회복지저널</t>
  </si>
  <si>
    <t>코리아중앙데일리</t>
  </si>
  <si>
    <t>케이에스피뉴스</t>
  </si>
  <si>
    <t>NGTV</t>
  </si>
  <si>
    <t>일반경제신문</t>
  </si>
  <si>
    <t>농업축산신문</t>
  </si>
  <si>
    <t>농업정보신문</t>
  </si>
  <si>
    <t>전북CBS</t>
  </si>
  <si>
    <t>전주KBS RADIO</t>
  </si>
  <si>
    <t>라이브팜뉴스</t>
  </si>
  <si>
    <t>팜&amp;마켓</t>
  </si>
  <si>
    <t>축산경제신문신문</t>
  </si>
  <si>
    <t>광주가톨릭평화방송</t>
  </si>
  <si>
    <t>플러스코리아 타임즈</t>
  </si>
  <si>
    <t>한국영농신문</t>
  </si>
  <si>
    <t>위클리오늘</t>
  </si>
  <si>
    <t>스브스프리미엄</t>
  </si>
  <si>
    <t>EBN 산업경제</t>
  </si>
  <si>
    <t>전북도민일보</t>
  </si>
  <si>
    <t>한국시민기자협회</t>
  </si>
  <si>
    <t>프레시안</t>
  </si>
  <si>
    <t>서울매일</t>
  </si>
  <si>
    <t>푸드아이콘</t>
  </si>
  <si>
    <t>천지일보</t>
  </si>
  <si>
    <t>세계타임즈</t>
  </si>
  <si>
    <t>자치행정신문</t>
  </si>
  <si>
    <t>서울뉴스통신</t>
  </si>
  <si>
    <t>GBS방송</t>
  </si>
  <si>
    <t>신아일보</t>
  </si>
  <si>
    <t>쿠키뉴스</t>
  </si>
  <si>
    <t>경남에나뉴스</t>
  </si>
  <si>
    <t>광주MBC</t>
  </si>
  <si>
    <t>한국농촌경제신문</t>
  </si>
  <si>
    <t>한국농어촌방송</t>
  </si>
  <si>
    <t>보건뉴스</t>
  </si>
  <si>
    <t>데일리벳</t>
  </si>
  <si>
    <t>머니S</t>
  </si>
  <si>
    <t>농축유통신문</t>
  </si>
  <si>
    <t>농기자재신문</t>
  </si>
  <si>
    <t>새만금일보</t>
  </si>
  <si>
    <t>버섯신문</t>
  </si>
  <si>
    <t>영농자재신문</t>
  </si>
  <si>
    <t>전주KBS라디오</t>
  </si>
  <si>
    <t xml:space="preserve">축산신문 </t>
  </si>
  <si>
    <t xml:space="preserve">농어촌경제신문 </t>
  </si>
  <si>
    <t>돼지와사람</t>
  </si>
  <si>
    <t>농어업경제귀농신문</t>
  </si>
  <si>
    <t>JTV</t>
  </si>
  <si>
    <t>이코노미톡 뉴스</t>
  </si>
  <si>
    <t>한국4-H신문</t>
  </si>
  <si>
    <t>보도매체</t>
  </si>
  <si>
    <t>아주경제</t>
  </si>
  <si>
    <t>한겨레신문</t>
  </si>
  <si>
    <t>국민일보</t>
  </si>
  <si>
    <t>연합뉴스</t>
  </si>
  <si>
    <t>파이낸셜뉴스</t>
  </si>
  <si>
    <t>헤럴드경제</t>
  </si>
  <si>
    <t>KBS 라디오</t>
  </si>
  <si>
    <t>SBS 라디오</t>
  </si>
  <si>
    <t>BBS 라디오</t>
  </si>
  <si>
    <t>아시아타임즈</t>
  </si>
  <si>
    <t>아시아일보</t>
  </si>
  <si>
    <t>전주일보</t>
  </si>
  <si>
    <t>전주매일</t>
  </si>
  <si>
    <t>산경일보</t>
  </si>
  <si>
    <t>시민일보</t>
  </si>
  <si>
    <t>경북신문</t>
  </si>
  <si>
    <t>중도일보</t>
  </si>
  <si>
    <t>전라일보</t>
  </si>
  <si>
    <t>전민일보</t>
  </si>
  <si>
    <t>전북일보</t>
  </si>
  <si>
    <t>농촌여성신문</t>
  </si>
  <si>
    <t>농업인신문</t>
  </si>
  <si>
    <t>데일리안</t>
  </si>
  <si>
    <t>머니에스</t>
  </si>
  <si>
    <t>전북제일신문</t>
  </si>
  <si>
    <t>스포츠한국</t>
  </si>
  <si>
    <t>팜인사이트</t>
  </si>
  <si>
    <t>임팩트온</t>
  </si>
  <si>
    <t>미디어펜</t>
  </si>
  <si>
    <t>데일리메디</t>
  </si>
  <si>
    <t>YTN 라디오</t>
  </si>
  <si>
    <t>광주KBC 라디오</t>
  </si>
  <si>
    <t>세계일보</t>
  </si>
  <si>
    <t>내일신문</t>
  </si>
  <si>
    <t>환경일보</t>
  </si>
  <si>
    <t>내외일보</t>
  </si>
  <si>
    <t>일간경기</t>
  </si>
  <si>
    <t>수도권일보</t>
  </si>
  <si>
    <t>수원화성신문</t>
  </si>
  <si>
    <t>중부뉴스</t>
  </si>
  <si>
    <t>경기eTV뉴스</t>
  </si>
  <si>
    <t>메타TV뉴스</t>
  </si>
  <si>
    <t>미디어투데이</t>
  </si>
  <si>
    <t>경기IN</t>
  </si>
  <si>
    <t>데일리와이</t>
  </si>
  <si>
    <t>뉴스후</t>
  </si>
  <si>
    <t>경기인터넷신문</t>
  </si>
  <si>
    <t>미디어이슈</t>
  </si>
  <si>
    <t>경인투데이뉴스</t>
  </si>
  <si>
    <t>경기&amp;뉴스</t>
  </si>
  <si>
    <t>세계뉴스통신</t>
  </si>
  <si>
    <t>경기경제신문</t>
  </si>
  <si>
    <t>공직신문</t>
  </si>
  <si>
    <t>뉴스피크</t>
  </si>
  <si>
    <t>시사코리아</t>
  </si>
  <si>
    <t>미디어연합</t>
  </si>
  <si>
    <t>식약일보</t>
  </si>
  <si>
    <t>광교신문</t>
  </si>
  <si>
    <t>뉴스타운</t>
  </si>
  <si>
    <t>국민정책평가신문</t>
  </si>
  <si>
    <t>포인트데일리</t>
  </si>
  <si>
    <t>뉴스쉐어</t>
  </si>
  <si>
    <t>디지털데일리</t>
  </si>
  <si>
    <t>메디컬투데이</t>
  </si>
  <si>
    <t>노컷뉴스</t>
  </si>
  <si>
    <t>데일리연합</t>
  </si>
  <si>
    <t>한국농어민신문</t>
  </si>
  <si>
    <t>농축환경신문</t>
  </si>
  <si>
    <t>전주매일신문</t>
  </si>
  <si>
    <t>퀸</t>
  </si>
  <si>
    <t>위키트리</t>
  </si>
  <si>
    <t>정책브리핑</t>
  </si>
  <si>
    <t>일간전북</t>
  </si>
  <si>
    <t>검찰연합일보</t>
  </si>
  <si>
    <t>경찰연합신문</t>
  </si>
  <si>
    <t>세계연합신문</t>
  </si>
  <si>
    <t>전북타임즈</t>
  </si>
  <si>
    <t>매일안전신문</t>
  </si>
  <si>
    <t>정필</t>
  </si>
  <si>
    <t>뉴시스</t>
  </si>
  <si>
    <t>매일일보</t>
  </si>
  <si>
    <t>대전일보</t>
  </si>
  <si>
    <t>광주일보</t>
  </si>
  <si>
    <t>전북중앙</t>
  </si>
  <si>
    <t>국제신문</t>
  </si>
  <si>
    <t>대한급식신문</t>
  </si>
  <si>
    <t>헬스조선</t>
  </si>
  <si>
    <t>조선일보</t>
  </si>
  <si>
    <t>이데일리</t>
  </si>
  <si>
    <t>식품저널</t>
  </si>
  <si>
    <t>머니투데이</t>
  </si>
  <si>
    <t>뉴스1</t>
  </si>
  <si>
    <t>대구광역일보</t>
  </si>
  <si>
    <t>호남제일신문</t>
  </si>
  <si>
    <t>전북타임스</t>
  </si>
  <si>
    <t>금융경제</t>
  </si>
  <si>
    <t>포이트데일리</t>
  </si>
  <si>
    <t>YTN-픽</t>
  </si>
  <si>
    <t>뉴스핌</t>
  </si>
  <si>
    <t>키즈맘</t>
  </si>
  <si>
    <t>경향신문</t>
  </si>
  <si>
    <t>이투데이</t>
  </si>
  <si>
    <t>KBS전주-TV</t>
  </si>
  <si>
    <t>연합뉴스-TV</t>
  </si>
  <si>
    <t>SKB전주-TV</t>
  </si>
  <si>
    <t>동양일보</t>
  </si>
  <si>
    <t>이코노뉴스</t>
  </si>
  <si>
    <t>팜앤마켓</t>
  </si>
  <si>
    <t>뉴스웍스</t>
  </si>
  <si>
    <t>아시아투데이</t>
  </si>
  <si>
    <t>투데이안</t>
  </si>
  <si>
    <t>경인투데이</t>
  </si>
  <si>
    <t>국제뉴스</t>
  </si>
  <si>
    <t>더원방송</t>
  </si>
  <si>
    <t>월간축산</t>
  </si>
  <si>
    <t>월간한우</t>
  </si>
  <si>
    <t>월간한돈</t>
  </si>
  <si>
    <t>Pig&amp;Pork한돈</t>
  </si>
  <si>
    <t>월간낙농‧육우</t>
  </si>
  <si>
    <t>월간낙농</t>
  </si>
  <si>
    <t>월간양계</t>
  </si>
  <si>
    <t>월간닭고기</t>
  </si>
  <si>
    <t>월간산란계</t>
  </si>
  <si>
    <t>스포츠서울</t>
  </si>
  <si>
    <t>데일리스포츠한국</t>
  </si>
  <si>
    <t>매일신문</t>
  </si>
  <si>
    <t>경안일보</t>
  </si>
  <si>
    <t>경북매일</t>
  </si>
  <si>
    <t>세명일보</t>
  </si>
  <si>
    <t>NSP통신</t>
  </si>
  <si>
    <t>이코리아</t>
  </si>
  <si>
    <t>한국농업신문</t>
  </si>
  <si>
    <t>핸드메이커</t>
  </si>
  <si>
    <t>에코타임스</t>
  </si>
  <si>
    <t>위기관리경영</t>
  </si>
  <si>
    <t>검찰연합신문</t>
  </si>
  <si>
    <t>유튜브</t>
  </si>
  <si>
    <t>더농부</t>
  </si>
  <si>
    <t>대구신문</t>
  </si>
  <si>
    <t>데일리대구경북뉴스</t>
  </si>
  <si>
    <t>성주신문</t>
  </si>
  <si>
    <t>뉴스줌</t>
  </si>
  <si>
    <t>시니어매일</t>
  </si>
  <si>
    <t>양돈타임스</t>
  </si>
  <si>
    <t>뉴트리션</t>
  </si>
  <si>
    <t>경상투데이</t>
  </si>
  <si>
    <t>한돈신문</t>
  </si>
  <si>
    <t>정보통신신문</t>
  </si>
  <si>
    <t>미디어투에이</t>
  </si>
  <si>
    <t>칠성고라이프</t>
  </si>
  <si>
    <t>월간환경</t>
  </si>
  <si>
    <t>투데이광주전남</t>
  </si>
  <si>
    <t>프레스뉴스통신</t>
  </si>
  <si>
    <t>뉴스깜</t>
  </si>
  <si>
    <t>동아일보</t>
  </si>
  <si>
    <t>광주매일신문</t>
  </si>
  <si>
    <t>남도일보</t>
  </si>
  <si>
    <t>cnb뉴스</t>
  </si>
  <si>
    <t>아시아에이</t>
  </si>
  <si>
    <t>톡톡뉴스</t>
  </si>
  <si>
    <t>일등방송</t>
  </si>
  <si>
    <t>전남인터넷신문</t>
  </si>
  <si>
    <t>한국공보뉴스</t>
  </si>
  <si>
    <t>무등일보</t>
  </si>
  <si>
    <t>광주타임즈</t>
  </si>
  <si>
    <t>대한일보</t>
  </si>
  <si>
    <t>중앙통신뉴스</t>
  </si>
  <si>
    <t>SBS</t>
  </si>
  <si>
    <t>한국경제</t>
  </si>
  <si>
    <t>전국매일신문</t>
  </si>
  <si>
    <t>이코노믹리뷰</t>
  </si>
  <si>
    <t>한국일보</t>
  </si>
  <si>
    <t>우리문화신문</t>
  </si>
  <si>
    <t>뉴스토마토</t>
  </si>
  <si>
    <t>KBS춘천</t>
  </si>
  <si>
    <t>울산광역매일</t>
  </si>
  <si>
    <t>기호일보</t>
  </si>
  <si>
    <t>전남매일</t>
  </si>
  <si>
    <t>TV조선</t>
  </si>
  <si>
    <t>한국농업방송</t>
  </si>
  <si>
    <t>라이브팜</t>
  </si>
  <si>
    <t>연합뉴스TV</t>
  </si>
  <si>
    <t>OBS</t>
  </si>
  <si>
    <t>전북연햡신문</t>
  </si>
  <si>
    <t>충청타임즈</t>
  </si>
  <si>
    <t>서울우유</t>
  </si>
  <si>
    <t>전주MBC RADIO</t>
  </si>
  <si>
    <t>JTBC RADIO</t>
  </si>
  <si>
    <t>뉴스다임</t>
  </si>
  <si>
    <t>한국임업신문</t>
  </si>
  <si>
    <t>뉴스티앤티</t>
  </si>
  <si>
    <t>KBS전주</t>
  </si>
  <si>
    <t>현대건강신문</t>
  </si>
  <si>
    <t>더 코리아</t>
  </si>
  <si>
    <t>MBN RADIO</t>
  </si>
  <si>
    <t>원주투데이</t>
  </si>
  <si>
    <t>아시아경제</t>
  </si>
  <si>
    <t>TBC</t>
  </si>
  <si>
    <t>디지털타임스</t>
  </si>
  <si>
    <t>중앙매일</t>
  </si>
  <si>
    <t>톱클래스</t>
  </si>
  <si>
    <t>이미디어</t>
  </si>
  <si>
    <t>로이슈</t>
  </si>
  <si>
    <t>브레이크뉴스</t>
  </si>
  <si>
    <t>충청매일</t>
  </si>
  <si>
    <t>뉴스워커</t>
  </si>
  <si>
    <t>영남일보</t>
  </si>
  <si>
    <t>BBS NEWS</t>
  </si>
  <si>
    <t>웹이코노미</t>
  </si>
  <si>
    <t>뉴스프리존</t>
  </si>
  <si>
    <t>더퍼블릭</t>
  </si>
  <si>
    <t>청년일보</t>
  </si>
  <si>
    <t>경북일보</t>
  </si>
  <si>
    <t>경상매일신문</t>
  </si>
  <si>
    <t>한국금융</t>
  </si>
  <si>
    <t>중소기업신문</t>
  </si>
  <si>
    <t>폴리뉴스</t>
  </si>
  <si>
    <t>환경미디어</t>
  </si>
  <si>
    <t>창업일보</t>
  </si>
  <si>
    <t>경인매일</t>
  </si>
  <si>
    <t>광남일보</t>
  </si>
  <si>
    <t>전남일보</t>
  </si>
  <si>
    <t>호남매일</t>
  </si>
  <si>
    <t>광주드림</t>
  </si>
  <si>
    <t>원예산업신문</t>
  </si>
  <si>
    <t>광주kbc RADIO</t>
  </si>
  <si>
    <t>위클리 오늘</t>
  </si>
  <si>
    <t>문화매일</t>
  </si>
  <si>
    <t>글로벌경제신문</t>
  </si>
  <si>
    <t>서울일보</t>
  </si>
  <si>
    <t>현대일보</t>
  </si>
  <si>
    <t>경인종합일보</t>
  </si>
  <si>
    <t>한성일보</t>
  </si>
  <si>
    <t>경기도민일보</t>
  </si>
  <si>
    <t>경기매일</t>
  </si>
  <si>
    <t>열린뉴스통신</t>
  </si>
  <si>
    <t>대한경제</t>
  </si>
  <si>
    <t>UPI뉴스</t>
  </si>
  <si>
    <t>스카이데일리</t>
  </si>
  <si>
    <t>호남신문</t>
  </si>
  <si>
    <t>전광투데이</t>
  </si>
  <si>
    <t>일간투데이</t>
  </si>
  <si>
    <t>도민일보</t>
  </si>
  <si>
    <t>동아사이언스</t>
  </si>
  <si>
    <t>시사일보</t>
  </si>
  <si>
    <t>컨슈머타임스</t>
  </si>
  <si>
    <t>통합뉴스</t>
  </si>
  <si>
    <t>국민TV</t>
  </si>
  <si>
    <t>경기북부탑뉴스</t>
  </si>
  <si>
    <t>한국농기계신문</t>
  </si>
  <si>
    <t>농축산기계</t>
  </si>
  <si>
    <t>경기북부포커스</t>
  </si>
  <si>
    <t>메이킹뉴스</t>
  </si>
  <si>
    <t>이코노믹포스트</t>
  </si>
  <si>
    <t>뉴스에이</t>
  </si>
  <si>
    <t>K재널</t>
  </si>
  <si>
    <t>서울시티</t>
  </si>
  <si>
    <t>파퓰러사이언스</t>
  </si>
  <si>
    <t>전라매일</t>
  </si>
  <si>
    <t>매일경제</t>
  </si>
  <si>
    <t>브릿지경제</t>
  </si>
  <si>
    <t>뉴스경남</t>
  </si>
  <si>
    <t>경남도민신문</t>
  </si>
  <si>
    <t>울산신문</t>
  </si>
  <si>
    <t>울산매일신문</t>
  </si>
  <si>
    <t>로컬세계</t>
  </si>
  <si>
    <t>경북도민일보</t>
  </si>
  <si>
    <t>오늘경제</t>
  </si>
  <si>
    <t>전국뉴스</t>
  </si>
  <si>
    <t>경북인터넷뉴스</t>
  </si>
  <si>
    <t>경북TV뉴스</t>
  </si>
  <si>
    <t>일간경북신문</t>
  </si>
  <si>
    <t>경북중앙신문</t>
  </si>
  <si>
    <t>경북제일신문</t>
  </si>
  <si>
    <t>홍천인터넷뉴스</t>
  </si>
  <si>
    <t>제이누리</t>
  </si>
  <si>
    <t>제민일보</t>
  </si>
  <si>
    <t>강원신문</t>
  </si>
  <si>
    <t>소년한국일보</t>
  </si>
  <si>
    <t>동방일보</t>
  </si>
  <si>
    <t>중앙일보</t>
  </si>
  <si>
    <t>잡포스트</t>
  </si>
  <si>
    <t>창원일보</t>
  </si>
  <si>
    <t>C뉴스041</t>
  </si>
  <si>
    <t>뉴스세상</t>
  </si>
  <si>
    <t>비마이펫</t>
  </si>
  <si>
    <t>충청일보</t>
  </si>
  <si>
    <t>경남매일</t>
  </si>
  <si>
    <t>충남일보</t>
  </si>
  <si>
    <t>이뉴스투데이</t>
  </si>
  <si>
    <t>중부신문</t>
  </si>
  <si>
    <t>충남도민일보</t>
  </si>
  <si>
    <t>충남신문</t>
  </si>
  <si>
    <t>대전투데이</t>
  </si>
  <si>
    <t>시사코리아저널</t>
  </si>
  <si>
    <t>담양곡성타임즈</t>
  </si>
  <si>
    <t>예산뉴스</t>
  </si>
  <si>
    <t>불교공뉴스</t>
  </si>
  <si>
    <t>뉴스메이커</t>
  </si>
  <si>
    <t>누리일보</t>
  </si>
  <si>
    <t>서울경제</t>
  </si>
  <si>
    <t>에너지경제</t>
  </si>
  <si>
    <t>CBN뉴스</t>
  </si>
  <si>
    <t>대경일보</t>
  </si>
  <si>
    <t>전기신문</t>
  </si>
  <si>
    <t>경북일일신문</t>
  </si>
  <si>
    <t>프라임경북뉴스</t>
  </si>
  <si>
    <t>한국디지털뉴스</t>
  </si>
  <si>
    <t>소년조선일보</t>
  </si>
  <si>
    <t>포쓰저널</t>
  </si>
  <si>
    <t>경기앤뉴스</t>
  </si>
  <si>
    <t>월간중앙</t>
  </si>
  <si>
    <t>에코저널</t>
  </si>
  <si>
    <t>전자신문</t>
  </si>
  <si>
    <t>여성종합뉴스</t>
  </si>
  <si>
    <t>로봇신문</t>
  </si>
  <si>
    <t>지디넷코리아</t>
  </si>
  <si>
    <t>데일리임팩트</t>
  </si>
  <si>
    <t>전주KBS 라디오</t>
  </si>
  <si>
    <t>조선비즈</t>
  </si>
  <si>
    <t>와이뉴스</t>
  </si>
  <si>
    <t>대한급식식문</t>
  </si>
  <si>
    <t>스타트업엔</t>
  </si>
  <si>
    <t>중부매일</t>
  </si>
  <si>
    <t>프라임경제</t>
  </si>
  <si>
    <t>경인신문</t>
  </si>
  <si>
    <t>이천뉴스</t>
  </si>
  <si>
    <t>중앙신문</t>
  </si>
  <si>
    <t>충청뉴스</t>
  </si>
  <si>
    <t>충청신문</t>
  </si>
  <si>
    <t>수원인터넷뉴스</t>
  </si>
  <si>
    <t>경기데일리</t>
  </si>
  <si>
    <t>시사이천</t>
  </si>
  <si>
    <t>투데이경제</t>
  </si>
  <si>
    <t>서산인터넷뉴스</t>
  </si>
  <si>
    <t>뉴스밴드</t>
  </si>
  <si>
    <t>금강일보</t>
  </si>
  <si>
    <t>한국목재신문</t>
  </si>
  <si>
    <t>천안신문</t>
  </si>
  <si>
    <t>베리타스알파</t>
  </si>
  <si>
    <t>베타뉴스</t>
  </si>
  <si>
    <t>천안일보</t>
  </si>
  <si>
    <t>충청탑뉴스</t>
  </si>
  <si>
    <t>현대경제</t>
  </si>
  <si>
    <t>한우마당</t>
  </si>
  <si>
    <t>KNN</t>
  </si>
  <si>
    <t>디트뉴스24</t>
  </si>
  <si>
    <t>데이터솜</t>
  </si>
  <si>
    <t>뉴스충청인</t>
  </si>
  <si>
    <t>남해미래</t>
  </si>
  <si>
    <t>KBS강릉-TV</t>
  </si>
  <si>
    <t>YTN-TV</t>
  </si>
  <si>
    <t>식품외식경제</t>
  </si>
  <si>
    <t>OBS라디오</t>
  </si>
  <si>
    <t>JTBC-TV</t>
  </si>
  <si>
    <t>KBS강원</t>
  </si>
  <si>
    <t>한라일보</t>
  </si>
  <si>
    <t>제주일보</t>
  </si>
  <si>
    <t>K채널</t>
  </si>
  <si>
    <t>대학저널</t>
  </si>
  <si>
    <t>k스피릿</t>
  </si>
  <si>
    <t>국민매일</t>
  </si>
  <si>
    <t>더팩트</t>
  </si>
  <si>
    <t>아이뉴스24</t>
  </si>
  <si>
    <t>데일리한국</t>
  </si>
  <si>
    <t>이로운넷</t>
  </si>
  <si>
    <t>경남일보</t>
  </si>
  <si>
    <t>일요신문</t>
  </si>
  <si>
    <t>국제i저널</t>
  </si>
  <si>
    <t>백제뉴스</t>
  </si>
  <si>
    <t>중부뉴스통신</t>
  </si>
  <si>
    <t>충청도민일보</t>
  </si>
  <si>
    <t>경남연합일보</t>
  </si>
  <si>
    <t>격월간 사료</t>
  </si>
  <si>
    <t>월간낙농육우</t>
  </si>
  <si>
    <t>시민의 소리</t>
  </si>
  <si>
    <t>시사포커스</t>
  </si>
  <si>
    <t>파이낸스투데이</t>
  </si>
  <si>
    <t>테니스피플</t>
  </si>
  <si>
    <t>시사뉴스24</t>
  </si>
  <si>
    <t>유교신문</t>
  </si>
  <si>
    <t>충북일보</t>
  </si>
  <si>
    <t>농업기술</t>
  </si>
  <si>
    <t>뉴스포털1</t>
  </si>
  <si>
    <t>시사우리신문</t>
  </si>
  <si>
    <t>시사뉴스</t>
  </si>
  <si>
    <t>로컬투데이</t>
  </si>
  <si>
    <t>곡성투데이</t>
  </si>
  <si>
    <t>호남타임즈</t>
  </si>
  <si>
    <t>푸드투데이</t>
  </si>
  <si>
    <t>광주일등뉴스</t>
  </si>
  <si>
    <t>빛가람뉴스</t>
  </si>
  <si>
    <t>여수인터넷뉴스</t>
  </si>
  <si>
    <t>광주리포트</t>
  </si>
  <si>
    <t>광주인</t>
  </si>
  <si>
    <t>전남광역공보뉴스</t>
  </si>
  <si>
    <t>전남제일신문</t>
  </si>
  <si>
    <t>신문고뉴스</t>
  </si>
  <si>
    <t>봉화일보</t>
  </si>
  <si>
    <t>특급뉴스</t>
  </si>
  <si>
    <t>대전경제뉴스</t>
  </si>
  <si>
    <t>세종방송</t>
  </si>
  <si>
    <t>한국강사신문</t>
  </si>
  <si>
    <t>경북연합일보</t>
  </si>
  <si>
    <t>대구경북일보</t>
  </si>
  <si>
    <t>목포KBS 라디오</t>
  </si>
  <si>
    <t>ESG경제</t>
  </si>
  <si>
    <t>농어촌경제신문</t>
  </si>
  <si>
    <t>농어촌신문</t>
  </si>
  <si>
    <t>국토경제뉴스</t>
  </si>
  <si>
    <t>여성동아</t>
  </si>
  <si>
    <t>강원일보</t>
  </si>
  <si>
    <t>경남창원공보뉴스</t>
  </si>
  <si>
    <t>등잔일보</t>
  </si>
  <si>
    <t>이데이뉴스</t>
  </si>
  <si>
    <t>내외통신</t>
  </si>
  <si>
    <t>대한뉴스</t>
  </si>
  <si>
    <t>나눔일보</t>
  </si>
  <si>
    <t>에이빙뉴스</t>
  </si>
  <si>
    <t>NF통신</t>
  </si>
  <si>
    <t>대전MBC</t>
  </si>
  <si>
    <t>한국타임즈</t>
  </si>
  <si>
    <t>엔디엔뉴스</t>
  </si>
  <si>
    <t>뉴스온</t>
  </si>
  <si>
    <t>이슈앤비즈</t>
  </si>
  <si>
    <t>전남함평공보뉴스</t>
  </si>
  <si>
    <t>서울와이어</t>
  </si>
  <si>
    <t>퍼블릭뉴스</t>
  </si>
  <si>
    <t>KBS청주</t>
  </si>
  <si>
    <t>뉴스로</t>
  </si>
  <si>
    <t>대전KBS</t>
  </si>
  <si>
    <t>여수넷통뉴스</t>
  </si>
  <si>
    <t>주간조선</t>
  </si>
  <si>
    <t>한국농정신문</t>
  </si>
  <si>
    <t>뉴시안</t>
  </si>
  <si>
    <t>광주kbc라디오</t>
  </si>
  <si>
    <t>스마트에프엔</t>
  </si>
  <si>
    <t>더나은미래</t>
  </si>
  <si>
    <t>안동MBC</t>
  </si>
  <si>
    <t>경남신문</t>
  </si>
  <si>
    <t xml:space="preserve">서울일보 </t>
  </si>
  <si>
    <t xml:space="preserve">농수축산신문 </t>
  </si>
  <si>
    <t>시사저널</t>
  </si>
  <si>
    <t>LG헬로비전</t>
  </si>
  <si>
    <t>푸드경제</t>
  </si>
  <si>
    <t>식품음료신문</t>
  </si>
  <si>
    <t>KBS</t>
  </si>
  <si>
    <t>AI타임스</t>
  </si>
  <si>
    <t>포항MBC</t>
  </si>
  <si>
    <t>CJB</t>
  </si>
  <si>
    <t>더리포트</t>
  </si>
  <si>
    <t>kbc광주방송</t>
  </si>
  <si>
    <t>새한일보</t>
  </si>
  <si>
    <t>비지니스포스트</t>
  </si>
  <si>
    <t>SR타임스</t>
  </si>
  <si>
    <t>굿모닝경제</t>
  </si>
  <si>
    <t>경인일보</t>
  </si>
  <si>
    <t>강원도민일보</t>
  </si>
  <si>
    <t>안전신문</t>
  </si>
  <si>
    <t>문화일보</t>
  </si>
  <si>
    <t>씨엠비광주방송</t>
  </si>
  <si>
    <t>리얼푸드</t>
  </si>
  <si>
    <t>오마이뉴스</t>
  </si>
  <si>
    <t>중부일보</t>
  </si>
  <si>
    <t>전주MBC</t>
  </si>
  <si>
    <t>KTV</t>
  </si>
  <si>
    <t>하이닥</t>
  </si>
  <si>
    <t>채널A</t>
  </si>
  <si>
    <t>전북제일</t>
  </si>
  <si>
    <t>당진시대</t>
  </si>
  <si>
    <t>뉴데일리</t>
  </si>
  <si>
    <t>SKB전주</t>
  </si>
  <si>
    <t>워크투데이</t>
  </si>
  <si>
    <t>더농부뉴스</t>
  </si>
  <si>
    <t>교수신문</t>
  </si>
  <si>
    <t>MTN(머니투데이방송)</t>
  </si>
  <si>
    <t>한국식품의약신문</t>
  </si>
  <si>
    <t>더소셜뉴스</t>
  </si>
  <si>
    <t>제주KBS</t>
  </si>
  <si>
    <t>위메이크뉴스</t>
  </si>
  <si>
    <t>인사이트</t>
  </si>
  <si>
    <t>CMB광주방송</t>
  </si>
  <si>
    <t>FETV</t>
  </si>
  <si>
    <t>지이코노미</t>
  </si>
  <si>
    <t>스포츠W</t>
  </si>
  <si>
    <t>EBN</t>
  </si>
  <si>
    <t>한국NGO신문</t>
  </si>
  <si>
    <t>스마트투데이</t>
  </si>
  <si>
    <t>더퍼스트</t>
  </si>
  <si>
    <t>민주신문</t>
  </si>
  <si>
    <t>우먼타임스</t>
  </si>
  <si>
    <t>민중의 소리</t>
  </si>
  <si>
    <t>아이티데일리</t>
  </si>
  <si>
    <t>인공지능신문</t>
  </si>
  <si>
    <t>보안뉴스</t>
  </si>
  <si>
    <t>헬로티</t>
  </si>
  <si>
    <t>경기일보</t>
  </si>
  <si>
    <t>뉴제주일보</t>
  </si>
  <si>
    <t>어린이동아</t>
  </si>
  <si>
    <t>마켓뉴스</t>
  </si>
  <si>
    <t>나우타임즈</t>
  </si>
  <si>
    <t>전주KBS</t>
  </si>
  <si>
    <t>국토일보</t>
  </si>
  <si>
    <t>서울파이낸스</t>
  </si>
  <si>
    <t>스포츠동아</t>
  </si>
  <si>
    <t>빅데이터뉴스</t>
  </si>
  <si>
    <t>CEO스코어데일리</t>
  </si>
  <si>
    <t>데일리환경</t>
  </si>
  <si>
    <t>넥스트데일리</t>
  </si>
  <si>
    <t>여성소비자신문</t>
  </si>
  <si>
    <t>월요신문</t>
  </si>
  <si>
    <t>프레스맨</t>
  </si>
  <si>
    <t>비지니스코리아</t>
  </si>
  <si>
    <t>리버티코리아포스트</t>
  </si>
  <si>
    <t>인천일보</t>
  </si>
  <si>
    <t>데일리티</t>
  </si>
  <si>
    <t>백세시대</t>
  </si>
  <si>
    <t>시사오늘</t>
  </si>
  <si>
    <t>S-저널</t>
  </si>
  <si>
    <t>뉴스워치</t>
  </si>
  <si>
    <t>라이센스뉴스</t>
  </si>
  <si>
    <t>업다운뉴스</t>
  </si>
  <si>
    <t>나이스경제</t>
  </si>
  <si>
    <t>하비엔뉴스</t>
  </si>
  <si>
    <t>한국정경신문</t>
  </si>
  <si>
    <t>스포츠경향</t>
  </si>
  <si>
    <t>디스커버리뉴스</t>
  </si>
  <si>
    <t>13_인터넷포털</t>
  </si>
  <si>
    <t>06_라디오-지방</t>
  </si>
  <si>
    <t>11_기타(지역주간지)</t>
  </si>
  <si>
    <t>10_기타전문지</t>
  </si>
  <si>
    <t>02_TV-케이블중앙</t>
  </si>
  <si>
    <t>07_중앙일간지</t>
  </si>
  <si>
    <t>08_기타일간지</t>
  </si>
  <si>
    <t>02_TV-종합편성채널</t>
  </si>
  <si>
    <t>10_주간지</t>
  </si>
  <si>
    <t>29_원고집필(그린매거진, 농업기술)</t>
  </si>
  <si>
    <t>17_농업전문지</t>
  </si>
  <si>
    <t>구분 1</t>
  </si>
  <si>
    <t>구분 2(점수)</t>
  </si>
  <si>
    <t>03_TV-케이블지방</t>
  </si>
  <si>
    <t>10_월간지</t>
  </si>
  <si>
    <t>08_스포츠신문</t>
  </si>
  <si>
    <t>23_동영상 콘텐츠 포스팅</t>
  </si>
  <si>
    <t>24_이미지 콘텐츠 포스팅</t>
  </si>
  <si>
    <t>10_기타월간지</t>
  </si>
  <si>
    <t>01_TV-중앙</t>
  </si>
  <si>
    <t>10_무가지</t>
  </si>
  <si>
    <t>18_월간지</t>
  </si>
  <si>
    <t>3_양돈과</t>
    <phoneticPr fontId="3" type="noConversion"/>
  </si>
  <si>
    <t>1_축산생명환경부</t>
    <phoneticPr fontId="3" type="noConversion"/>
  </si>
  <si>
    <t>3_기술지원과</t>
    <phoneticPr fontId="3" type="noConversion"/>
  </si>
  <si>
    <t>0_본원</t>
    <phoneticPr fontId="6" type="noConversion"/>
  </si>
  <si>
    <t>1_기획조정과</t>
    <phoneticPr fontId="3" type="noConversion"/>
  </si>
  <si>
    <t>2_축산자원개발부</t>
    <phoneticPr fontId="3" type="noConversion"/>
  </si>
  <si>
    <t>2_동물유전체과</t>
    <phoneticPr fontId="3" type="noConversion"/>
  </si>
  <si>
    <t>5_가축유전자원센터</t>
    <phoneticPr fontId="3" type="noConversion"/>
  </si>
  <si>
    <t>2_운영지원과</t>
    <phoneticPr fontId="3" type="noConversion"/>
  </si>
  <si>
    <t>소속부</t>
    <phoneticPr fontId="3" type="noConversion"/>
  </si>
  <si>
    <t>소속부서(복사)</t>
    <phoneticPr fontId="3" type="noConversion"/>
  </si>
  <si>
    <t>02_TV-케이블중앙</t>
    <phoneticPr fontId="3" type="noConversion"/>
  </si>
  <si>
    <t>전민일보</t>
    <phoneticPr fontId="3" type="noConversion"/>
  </si>
  <si>
    <t>선경일보</t>
    <phoneticPr fontId="3" type="noConversion"/>
  </si>
  <si>
    <t>조세일보</t>
    <phoneticPr fontId="3" type="noConversion"/>
  </si>
  <si>
    <t>세정일보</t>
    <phoneticPr fontId="3" type="noConversion"/>
  </si>
  <si>
    <t>일간NTN</t>
    <phoneticPr fontId="3" type="noConversion"/>
  </si>
  <si>
    <t>세이프타임즈</t>
    <phoneticPr fontId="3" type="noConversion"/>
  </si>
  <si>
    <t>이코노미퀸</t>
  </si>
  <si>
    <t>세계비즈</t>
    <phoneticPr fontId="3" type="noConversion"/>
  </si>
  <si>
    <t>와이드경제</t>
    <phoneticPr fontId="3" type="noConversion"/>
  </si>
  <si>
    <t>메타tv</t>
    <phoneticPr fontId="3" type="noConversion"/>
  </si>
  <si>
    <t>GNN뉴스</t>
    <phoneticPr fontId="3" type="noConversion"/>
  </si>
  <si>
    <t>코리아타임뉴스</t>
    <phoneticPr fontId="3" type="noConversion"/>
  </si>
  <si>
    <t>코리아일보</t>
    <phoneticPr fontId="3" type="noConversion"/>
  </si>
  <si>
    <t>전국지방자치뉴스</t>
    <phoneticPr fontId="3" type="noConversion"/>
  </si>
  <si>
    <t>한국시사경제</t>
  </si>
  <si>
    <t>더연합타임즈</t>
    <phoneticPr fontId="3" type="noConversion"/>
  </si>
  <si>
    <t>한국산업안전뉴스</t>
    <phoneticPr fontId="3" type="noConversion"/>
  </si>
  <si>
    <t>13_인터넷포털</t>
    <phoneticPr fontId="3" type="noConversion"/>
  </si>
  <si>
    <t>Ch B TV</t>
  </si>
  <si>
    <t>아투시티뉴스</t>
  </si>
  <si>
    <t>한국농기자재산업</t>
    <phoneticPr fontId="3" type="noConversion"/>
  </si>
  <si>
    <t>LG헬로티비</t>
    <phoneticPr fontId="3" type="noConversion"/>
  </si>
  <si>
    <t>한국농업방송(NBS)</t>
    <phoneticPr fontId="3" type="noConversion"/>
  </si>
  <si>
    <t>팜뉴스</t>
    <phoneticPr fontId="3" type="noConversion"/>
  </si>
  <si>
    <t>팍스경제TV</t>
    <phoneticPr fontId="3" type="noConversion"/>
  </si>
  <si>
    <t>OSEN</t>
    <phoneticPr fontId="3" type="noConversion"/>
  </si>
  <si>
    <t>1코노미뉴스</t>
    <phoneticPr fontId="3" type="noConversion"/>
  </si>
  <si>
    <t>뉴스펭귄</t>
    <phoneticPr fontId="3" type="noConversion"/>
  </si>
  <si>
    <t>삼다일보</t>
    <phoneticPr fontId="3" type="noConversion"/>
  </si>
  <si>
    <t>뉴스캠프</t>
    <phoneticPr fontId="3" type="noConversion"/>
  </si>
  <si>
    <t>1_가축개량평가과</t>
    <phoneticPr fontId="3" type="noConversion"/>
  </si>
  <si>
    <t>2_낙농과</t>
    <phoneticPr fontId="3" type="noConversion"/>
  </si>
  <si>
    <t>NBN미디어</t>
    <phoneticPr fontId="3" type="noConversion"/>
  </si>
  <si>
    <t>헤드라인제주</t>
    <phoneticPr fontId="3" type="noConversion"/>
  </si>
  <si>
    <t>이투뉴스</t>
    <phoneticPr fontId="3" type="noConversion"/>
  </si>
  <si>
    <t>뉴데일리 충청·세종</t>
  </si>
  <si>
    <t>뉴스티앤티충남</t>
    <phoneticPr fontId="3" type="noConversion"/>
  </si>
  <si>
    <t>6_축산자원개발부이전추진팀</t>
    <phoneticPr fontId="3" type="noConversion"/>
  </si>
  <si>
    <t>1_동물바이오유전체과</t>
    <phoneticPr fontId="3" type="noConversion"/>
  </si>
  <si>
    <t>3_축산푸드테크과</t>
    <phoneticPr fontId="3" type="noConversion"/>
  </si>
  <si>
    <t>4_스마트축산환경과</t>
    <phoneticPr fontId="3" type="noConversion"/>
  </si>
  <si>
    <t>5_가축정밀영양과</t>
    <phoneticPr fontId="3" type="noConversion"/>
  </si>
  <si>
    <t>6_동물복지과</t>
    <phoneticPr fontId="3" type="noConversion"/>
  </si>
  <si>
    <t>4_조사료생산시스템과</t>
    <phoneticPr fontId="3" type="noConversion"/>
  </si>
  <si>
    <t>5_한우연구센터</t>
    <phoneticPr fontId="3" type="noConversion"/>
  </si>
  <si>
    <t>6_가금연구센터</t>
    <phoneticPr fontId="3" type="noConversion"/>
  </si>
  <si>
    <t>7_난지축산연구센터</t>
    <phoneticPr fontId="3" type="noConversion"/>
  </si>
  <si>
    <t>언더스트리뉴스</t>
  </si>
  <si>
    <t>브레이킹뉴스</t>
  </si>
  <si>
    <t>Hello tv NEWS</t>
  </si>
  <si>
    <t>서울경제TV</t>
  </si>
  <si>
    <t>씨티21뉴스</t>
  </si>
  <si>
    <t>대구일보</t>
    <phoneticPr fontId="3" type="noConversion"/>
  </si>
  <si>
    <t>KBS대구</t>
    <phoneticPr fontId="3" type="noConversion"/>
  </si>
  <si>
    <t>NBS-TV</t>
    <phoneticPr fontId="3" type="noConversion"/>
  </si>
  <si>
    <t>당진신문</t>
    <phoneticPr fontId="3" type="noConversion"/>
  </si>
  <si>
    <t>라이브뉴스</t>
    <phoneticPr fontId="3" type="noConversion"/>
  </si>
  <si>
    <t>MBC-TV</t>
    <phoneticPr fontId="3" type="noConversion"/>
  </si>
  <si>
    <t>15_중앙일간지</t>
    <phoneticPr fontId="3" type="noConversion"/>
  </si>
  <si>
    <t>울산제일일보</t>
    <phoneticPr fontId="3" type="noConversion"/>
  </si>
  <si>
    <t>투데이신문</t>
    <phoneticPr fontId="3" type="noConversion"/>
  </si>
  <si>
    <t>metro</t>
    <phoneticPr fontId="3" type="noConversion"/>
  </si>
  <si>
    <t>에너지데일리</t>
  </si>
  <si>
    <t>글로벌이코노믹</t>
    <phoneticPr fontId="3" type="noConversion"/>
  </si>
  <si>
    <t>17_지방일간지</t>
    <phoneticPr fontId="3" type="noConversion"/>
  </si>
  <si>
    <t>한국무역신문</t>
    <phoneticPr fontId="3" type="noConversion"/>
  </si>
  <si>
    <t>경기신문</t>
    <phoneticPr fontId="3" type="noConversion"/>
  </si>
  <si>
    <t>농진청·기업 개발 로봇착유기 대만 수출...세계시장 진출 발판</t>
    <phoneticPr fontId="3" type="noConversion"/>
  </si>
  <si>
    <t>연합뉴스</t>
    <phoneticPr fontId="3" type="noConversion"/>
  </si>
  <si>
    <t>농진청, ‘K-로봇착유기’ 7대 대만 수출...“국산 기술 경쟁력 입증”</t>
    <phoneticPr fontId="3" type="noConversion"/>
  </si>
  <si>
    <t>아시아투데이</t>
    <phoneticPr fontId="3" type="noConversion"/>
  </si>
  <si>
    <t>농촌진흥청, 로봇 착유기 대만 수출...민간기업과 공동 개발 ‘데어리봇’</t>
    <phoneticPr fontId="3" type="noConversion"/>
  </si>
  <si>
    <t>부산일보</t>
    <phoneticPr fontId="3" type="noConversion"/>
  </si>
  <si>
    <t>국산 로봇착유기 7대 대만 수출...낙농시장 교두보 확보</t>
    <phoneticPr fontId="3" type="noConversion"/>
  </si>
  <si>
    <t>뉴스1</t>
    <phoneticPr fontId="3" type="noConversion"/>
  </si>
  <si>
    <t>국산 로봇착유기 대만 수출 기념식</t>
    <phoneticPr fontId="3" type="noConversion"/>
  </si>
  <si>
    <t>뉴시스</t>
    <phoneticPr fontId="3" type="noConversion"/>
  </si>
  <si>
    <t xml:space="preserve">국산 로봇착유기 대만 수출 </t>
    <phoneticPr fontId="3" type="noConversion"/>
  </si>
  <si>
    <t>최고의 한우 보증씨수소 탄생···경북도, 우수 유전능력 뽐내</t>
    <phoneticPr fontId="3" type="noConversion"/>
  </si>
  <si>
    <t>경상투데이</t>
    <phoneticPr fontId="3" type="noConversion"/>
  </si>
  <si>
    <t>경북축산기술 자체 생산 씨수소 ‘전국 1위’ 우뚝</t>
    <phoneticPr fontId="3" type="noConversion"/>
  </si>
  <si>
    <t>경안일보</t>
    <phoneticPr fontId="3" type="noConversion"/>
  </si>
  <si>
    <t>경북축산기술 자체 개발 한우 KPN1707, 보증씨수소 1위 선발</t>
    <phoneticPr fontId="3" type="noConversion"/>
  </si>
  <si>
    <t>경북일보</t>
    <phoneticPr fontId="3" type="noConversion"/>
  </si>
  <si>
    <t>경북도, 2025년 상반기 한우 보증씨수소 선발 시상</t>
    <phoneticPr fontId="3" type="noConversion"/>
  </si>
  <si>
    <t>대구경북일보</t>
    <phoneticPr fontId="3" type="noConversion"/>
  </si>
  <si>
    <t>경북도, 한우 보증씨수소 개발능력 입증</t>
    <phoneticPr fontId="3" type="noConversion"/>
  </si>
  <si>
    <t>대경일보</t>
    <phoneticPr fontId="3" type="noConversion"/>
  </si>
  <si>
    <t>경북도, 상반기 한우 보증씨수소 선발 시상식</t>
    <phoneticPr fontId="3" type="noConversion"/>
  </si>
  <si>
    <t>세명일보</t>
    <phoneticPr fontId="3" type="noConversion"/>
  </si>
  <si>
    <t>‘국산 로봇착유기’ 대만 수출</t>
    <phoneticPr fontId="3" type="noConversion"/>
  </si>
  <si>
    <t>팜앤마켓</t>
    <phoneticPr fontId="3" type="noConversion"/>
  </si>
  <si>
    <t>‘로봇착유기’ 대만 수출...맞춤형 기술 적용</t>
    <phoneticPr fontId="3" type="noConversion"/>
  </si>
  <si>
    <t>한국경제TV</t>
  </si>
  <si>
    <t>한국경제TV</t>
    <phoneticPr fontId="3" type="noConversion"/>
  </si>
  <si>
    <t>창녕군, 사료피 신품종 현장 평가회 성황</t>
    <phoneticPr fontId="3" type="noConversion"/>
  </si>
  <si>
    <t>이뉴스투데이</t>
    <phoneticPr fontId="3" type="noConversion"/>
  </si>
  <si>
    <t>농촌진흥청 공동 개발 ‘로봇착유기’ 타이완에 첫 수출···세계시장 진출 발판</t>
    <phoneticPr fontId="3" type="noConversion"/>
  </si>
  <si>
    <t>KBS</t>
    <phoneticPr fontId="3" type="noConversion"/>
  </si>
  <si>
    <t>창녕군, 사료피 신품종 ‘다온’ 현장 평가·수확 연시회 개최</t>
    <phoneticPr fontId="3" type="noConversion"/>
  </si>
  <si>
    <t>아시아경제</t>
    <phoneticPr fontId="3" type="noConversion"/>
  </si>
  <si>
    <t>‘국산 로봇착유기’ 대만 수출···세계 시장 진출 발판</t>
    <phoneticPr fontId="3" type="noConversion"/>
  </si>
  <si>
    <t>전북일보</t>
    <phoneticPr fontId="3" type="noConversion"/>
  </si>
  <si>
    <t>창녕군, 고온다습한 여름철에도 강한 신품종 ‘다온’ 첫 선</t>
    <phoneticPr fontId="3" type="noConversion"/>
  </si>
  <si>
    <t>뉴스프리존</t>
    <phoneticPr fontId="3" type="noConversion"/>
  </si>
  <si>
    <t>농진청, 기업 개발 로봇착유기 ‘데어리봇’ 대만 수출</t>
    <phoneticPr fontId="3" type="noConversion"/>
  </si>
  <si>
    <t>포인트데일리</t>
    <phoneticPr fontId="3" type="noConversion"/>
  </si>
  <si>
    <t>창녕군, 사료피 신품종 ‘다온’ 현장 평가 및 수확 연시회 개최</t>
    <phoneticPr fontId="3" type="noConversion"/>
  </si>
  <si>
    <t>신아일보</t>
    <phoneticPr fontId="3" type="noConversion"/>
  </si>
  <si>
    <t>KPI뉴스</t>
    <phoneticPr fontId="3" type="noConversion"/>
  </si>
  <si>
    <t>[창녕군 소식] 사료피 신품종 평가회-남지라이온스클럽 이웃돕기 성품</t>
    <phoneticPr fontId="3" type="noConversion"/>
  </si>
  <si>
    <t>국산 로봇착유기, 대만 첫 수출...아시아 낙농 시장 공략</t>
    <phoneticPr fontId="3" type="noConversion"/>
  </si>
  <si>
    <t>베타뉴스</t>
    <phoneticPr fontId="3" type="noConversion"/>
  </si>
  <si>
    <t>창녕군, 사료피 신품종 현장 평가회 성황리 개최</t>
    <phoneticPr fontId="3" type="noConversion"/>
  </si>
  <si>
    <t>경남도민신문</t>
    <phoneticPr fontId="3" type="noConversion"/>
  </si>
  <si>
    <t>국산 로봇착유기, 아시아 낙농시장 진출 교두보 마련</t>
    <phoneticPr fontId="3" type="noConversion"/>
  </si>
  <si>
    <t>전북중앙</t>
    <phoneticPr fontId="3" type="noConversion"/>
  </si>
  <si>
    <t>‘국산 로봇착유기’ 대만 수출...세계 시장 진출 발판</t>
    <phoneticPr fontId="3" type="noConversion"/>
  </si>
  <si>
    <t>새전북신문</t>
    <phoneticPr fontId="3" type="noConversion"/>
  </si>
  <si>
    <t>창녕군, 사료피 신품종 평가회</t>
    <phoneticPr fontId="3" type="noConversion"/>
  </si>
  <si>
    <t>경남매일</t>
    <phoneticPr fontId="3" type="noConversion"/>
  </si>
  <si>
    <t>염소 고기, 복달임 음식으로 주목···농진청 “여름 생산량 집중”</t>
    <phoneticPr fontId="3" type="noConversion"/>
  </si>
  <si>
    <t>염소탕, 복날 보양식 ＂단백질·철분·비타민E 풍부“</t>
    <phoneticPr fontId="3" type="noConversion"/>
  </si>
  <si>
    <t>복달임 음식 염소고기, 여름철에 생산량 집중</t>
    <phoneticPr fontId="3" type="noConversion"/>
  </si>
  <si>
    <t>라이브뉴스</t>
    <phoneticPr fontId="3" type="noConversion"/>
  </si>
  <si>
    <t>AI로 짜는 우유...젖소 사육도 첨단 시대</t>
    <phoneticPr fontId="3" type="noConversion"/>
  </si>
  <si>
    <t>LG헬로비전</t>
    <phoneticPr fontId="3" type="noConversion"/>
  </si>
  <si>
    <t>보도자료78</t>
    <phoneticPr fontId="3" type="noConversion"/>
  </si>
  <si>
    <t>강선문</t>
    <phoneticPr fontId="3" type="noConversion"/>
  </si>
  <si>
    <t>3_축산푸드테크과</t>
  </si>
  <si>
    <t>즉시51</t>
    <phoneticPr fontId="3" type="noConversion"/>
  </si>
  <si>
    <t>최보람</t>
    <phoneticPr fontId="3" type="noConversion"/>
  </si>
  <si>
    <t>4_조사료생산시스템과</t>
  </si>
  <si>
    <t>즉시52</t>
    <phoneticPr fontId="3" type="noConversion"/>
  </si>
  <si>
    <t>박성민</t>
    <phoneticPr fontId="3" type="noConversion"/>
  </si>
  <si>
    <t>박미나</t>
    <phoneticPr fontId="3" type="noConversion"/>
  </si>
  <si>
    <t>농진청 “고단백·저지방 염소고기, 복날 음식으로 어떠세요?”</t>
    <phoneticPr fontId="3" type="noConversion"/>
  </si>
  <si>
    <t>말복날 앞두고 ‘염소탕’ 주목...알고 먹으면 더 든든한 복날 보양식</t>
    <phoneticPr fontId="3" type="noConversion"/>
  </si>
  <si>
    <t>한국농촌경제신문</t>
    <phoneticPr fontId="3" type="noConversion"/>
  </si>
  <si>
    <t>창녕군, 사료피 신품종 ‘다온’ 등 현장 평가회</t>
    <phoneticPr fontId="3" type="noConversion"/>
  </si>
  <si>
    <t>뉴스메이커</t>
    <phoneticPr fontId="3" type="noConversion"/>
  </si>
  <si>
    <t>국산 로봇착유기, 대만 수출로 아시아 시장 본격 진출</t>
    <phoneticPr fontId="3" type="noConversion"/>
  </si>
  <si>
    <t>즉시52</t>
  </si>
  <si>
    <t>박성민</t>
  </si>
  <si>
    <t>대한경제</t>
    <phoneticPr fontId="3" type="noConversion"/>
  </si>
  <si>
    <t>올해 건축 기술형 최대어 ‘축산자원개발부 이전사업’...누구 품으로?</t>
    <phoneticPr fontId="3" type="noConversion"/>
  </si>
  <si>
    <t>임은아</t>
    <phoneticPr fontId="3" type="noConversion"/>
  </si>
  <si>
    <t>6_축산자원개발부이전추진팀</t>
  </si>
  <si>
    <t>축산경제신문</t>
    <phoneticPr fontId="3" type="noConversion"/>
  </si>
  <si>
    <t>국산 로봇 착유기 대만 수출</t>
    <phoneticPr fontId="3" type="noConversion"/>
  </si>
  <si>
    <t>신품종 ‘다온’...사료 국산화 견인</t>
    <phoneticPr fontId="3" type="noConversion"/>
  </si>
  <si>
    <t>즉시51</t>
  </si>
  <si>
    <t>최보람</t>
  </si>
  <si>
    <t>농촌진흥청, 가축 폭염 대응 기술 보급 박차</t>
    <phoneticPr fontId="3" type="noConversion"/>
  </si>
  <si>
    <t>즉시50</t>
    <phoneticPr fontId="3" type="noConversion"/>
  </si>
  <si>
    <t>김정현</t>
    <phoneticPr fontId="3" type="noConversion"/>
  </si>
  <si>
    <t>즉시49</t>
    <phoneticPr fontId="3" type="noConversion"/>
  </si>
  <si>
    <t>김창한</t>
    <phoneticPr fontId="3" type="noConversion"/>
  </si>
  <si>
    <t>농협, 고능력 유전 개체 시상</t>
    <phoneticPr fontId="3" type="noConversion"/>
  </si>
  <si>
    <t>박미나</t>
  </si>
  <si>
    <t>농민신문</t>
    <phoneticPr fontId="3" type="noConversion"/>
  </si>
  <si>
    <t>“26년만의 쾌거”···‘국산 로봇착유기’ 대만으로 첫 수출</t>
    <phoneticPr fontId="3" type="noConversion"/>
  </si>
  <si>
    <t>농수축산신문</t>
    <phoneticPr fontId="3" type="noConversion"/>
  </si>
  <si>
    <t>[Issue+] 한우 보증씨수소 선발 어디까지 왔나</t>
    <phoneticPr fontId="3" type="noConversion"/>
  </si>
  <si>
    <t>농기자재신문</t>
    <phoneticPr fontId="3" type="noConversion"/>
  </si>
  <si>
    <t>염소탕, 알고 먹으면 더 든든한 복날 보양식</t>
    <phoneticPr fontId="3" type="noConversion"/>
  </si>
  <si>
    <t>보도자료78</t>
  </si>
  <si>
    <t>강선문</t>
  </si>
  <si>
    <t>[축산고수 따라잡기] 꼼꼼한 기록, 철저한 계획교배···기본이 곧 비결/ 월간축산</t>
    <phoneticPr fontId="3" type="noConversion"/>
  </si>
  <si>
    <t>팜인사이트</t>
    <phoneticPr fontId="3" type="noConversion"/>
  </si>
  <si>
    <t>한우 사육기간 단축, 한 발 물러선 농식품부...“강제 입장 아냐..농가 소득 보전 지원 추진”</t>
    <phoneticPr fontId="3" type="noConversion"/>
  </si>
  <si>
    <t>백열창</t>
    <phoneticPr fontId="3" type="noConversion"/>
  </si>
  <si>
    <t>5_한우연구센터</t>
  </si>
  <si>
    <t>반려동물 밥상 위 탄소발자국...펫푸드 산업의 환경 비용</t>
    <phoneticPr fontId="3" type="noConversion"/>
  </si>
  <si>
    <t>이우도</t>
    <phoneticPr fontId="3" type="noConversion"/>
  </si>
  <si>
    <t>6_동물복지과</t>
  </si>
  <si>
    <t>알고 먹으면 더 든든한 복날 보양식 ‘염소탕’</t>
    <phoneticPr fontId="3" type="noConversion"/>
  </si>
  <si>
    <t>대한급식신문</t>
    <phoneticPr fontId="3" type="noConversion"/>
  </si>
  <si>
    <t>여름철 기력 보충, 염소 고기로 ‘보양 한 그릇’</t>
    <phoneticPr fontId="3" type="noConversion"/>
  </si>
  <si>
    <t>버섯신문</t>
    <phoneticPr fontId="3" type="noConversion"/>
  </si>
  <si>
    <t>국립축산과학원, 하계 풀사료 재배 농가 현장 점검</t>
    <phoneticPr fontId="3" type="noConversion"/>
  </si>
  <si>
    <t>서울매일</t>
    <phoneticPr fontId="3" type="noConversion"/>
  </si>
  <si>
    <t>경북,2025년 상반기 한우 보증씨수소 선발 시상식 개최</t>
    <phoneticPr fontId="3" type="noConversion"/>
  </si>
  <si>
    <t>서울일보</t>
    <phoneticPr fontId="3" type="noConversion"/>
  </si>
  <si>
    <t>창녕, 사료피 신품종 현장 평가회 성황리 개최</t>
    <phoneticPr fontId="3" type="noConversion"/>
  </si>
  <si>
    <t>창녕 사료피 신품종 평가회 고온다습 강한 ‘다온’ 첫 선</t>
    <phoneticPr fontId="3" type="noConversion"/>
  </si>
  <si>
    <t>경남연합일보</t>
    <phoneticPr fontId="3" type="noConversion"/>
  </si>
  <si>
    <t>창녕군, 사료피 신품종 현장 평가회 성료</t>
    <phoneticPr fontId="3" type="noConversion"/>
  </si>
  <si>
    <t>국산 로봇착유기 대만 수출···아시아 낙농시장 ‘교두보’</t>
    <phoneticPr fontId="3" type="noConversion"/>
  </si>
  <si>
    <t>전주매일</t>
    <phoneticPr fontId="3" type="noConversion"/>
  </si>
  <si>
    <t>전라매일</t>
    <phoneticPr fontId="3" type="noConversion"/>
  </si>
  <si>
    <t>전북도민일보</t>
    <phoneticPr fontId="3" type="noConversion"/>
  </si>
  <si>
    <t>국산 ‘로봇착유기’ 대만 수출···세계시장 진출 발판</t>
    <phoneticPr fontId="3" type="noConversion"/>
  </si>
  <si>
    <t>전북연합신문</t>
    <phoneticPr fontId="3" type="noConversion"/>
  </si>
  <si>
    <t>‘국산 로봇착유기’ 대만 수출길 올라</t>
    <phoneticPr fontId="3" type="noConversion"/>
  </si>
  <si>
    <t>전북타임스</t>
    <phoneticPr fontId="3" type="noConversion"/>
  </si>
  <si>
    <t>국산 로봇착유기 ‘데어리봇’ 세계 시장 진출</t>
    <phoneticPr fontId="3" type="noConversion"/>
  </si>
  <si>
    <t>“노동 시간 절반으로”··국산 ‘로봇 착유기’ 수출</t>
    <phoneticPr fontId="3" type="noConversion"/>
  </si>
  <si>
    <t>YTN</t>
    <phoneticPr fontId="3" type="noConversion"/>
  </si>
  <si>
    <t>[녹색] 국산 ‘로봇착유기’ 타이완 수출...세계 시장 진출 발판(YTN24)</t>
    <phoneticPr fontId="3" type="noConversion"/>
  </si>
  <si>
    <t>[녹색] 국산 ‘로봇착유기’ 타이완 수출...세계 시장 진출 발판(종합뉴스)</t>
    <phoneticPr fontId="3" type="noConversion"/>
  </si>
  <si>
    <t>뉴스핌</t>
    <phoneticPr fontId="3" type="noConversion"/>
  </si>
  <si>
    <t>말복엔 ‘염소탕’ 드세요...농진청, 간편 조리법 소개</t>
    <phoneticPr fontId="3" type="noConversion"/>
  </si>
  <si>
    <t>농촌진흥청 “여름철 기력회복엔 염소고기”...체력보강에 좋아</t>
    <phoneticPr fontId="3" type="noConversion"/>
  </si>
  <si>
    <t>파이낸셜뉴스</t>
    <phoneticPr fontId="3" type="noConversion"/>
  </si>
  <si>
    <t>복달임 음식으로 주목 받는 ‘염소 고기’...단백질·칼슘·비타민 풍부</t>
    <phoneticPr fontId="3" type="noConversion"/>
  </si>
  <si>
    <t>농진청-제일사료, 국내 사료산업 발전 MOU체결</t>
    <phoneticPr fontId="3" type="noConversion"/>
  </si>
  <si>
    <t>즉시54</t>
    <phoneticPr fontId="3" type="noConversion"/>
  </si>
  <si>
    <t>강환구</t>
    <phoneticPr fontId="3" type="noConversion"/>
  </si>
  <si>
    <t>5_가축정밀영양과</t>
  </si>
  <si>
    <t>라이프인</t>
    <phoneticPr fontId="3" type="noConversion"/>
  </si>
  <si>
    <t>여름철 달걀은 냉장 보관해야 안전</t>
    <phoneticPr fontId="3" type="noConversion"/>
  </si>
  <si>
    <t>보도자료79</t>
  </si>
  <si>
    <t>이은선</t>
  </si>
  <si>
    <t>즉시54</t>
  </si>
  <si>
    <t>강환구</t>
  </si>
  <si>
    <t>농촌진흥청-제일사료(주) 사료산업 발전 기술협력 강화</t>
    <phoneticPr fontId="3" type="noConversion"/>
  </si>
  <si>
    <t>국립축산과학원,‘가축 유전자 검사 국제 인증’ 받았다</t>
    <phoneticPr fontId="3" type="noConversion"/>
  </si>
  <si>
    <t>즉시53</t>
    <phoneticPr fontId="3" type="noConversion"/>
  </si>
  <si>
    <t>김승창</t>
    <phoneticPr fontId="3" type="noConversion"/>
  </si>
  <si>
    <t>건강다이제스트</t>
    <phoneticPr fontId="3" type="noConversion"/>
  </si>
  <si>
    <t>여름 식중독 주의, 달걀 냉장 보관해야 안전</t>
    <phoneticPr fontId="3" type="noConversion"/>
  </si>
  <si>
    <t>베이비뉴스</t>
    <phoneticPr fontId="3" type="noConversion"/>
  </si>
  <si>
    <t>여름 식중독 ‘주의’...“달걀 냉장 보관해야 안전”</t>
    <phoneticPr fontId="3" type="noConversion"/>
  </si>
  <si>
    <t>가축더위지수 연동 자동제어 기술, 폐사율 0.84%포인트↓</t>
    <phoneticPr fontId="3" type="noConversion"/>
  </si>
  <si>
    <t>보도자료80</t>
    <phoneticPr fontId="3" type="noConversion"/>
  </si>
  <si>
    <t>김찬호</t>
    <phoneticPr fontId="3" type="noConversion"/>
  </si>
  <si>
    <t>쿡앤셰프</t>
    <phoneticPr fontId="3" type="noConversion"/>
  </si>
  <si>
    <t>염소탕, 알고 먹으면 더 든든한 여름 보양식</t>
    <phoneticPr fontId="3" type="noConversion"/>
  </si>
  <si>
    <t>데이터솜</t>
    <phoneticPr fontId="3" type="noConversion"/>
  </si>
  <si>
    <t>여름 달걀 안전, 냉장이 답...4도 이하 보관해야 살모넬라 억제</t>
    <phoneticPr fontId="3" type="noConversion"/>
  </si>
  <si>
    <t>가축더위지수 연동 자동제어 기술, 산란계 보호 효과 입증</t>
    <phoneticPr fontId="3" type="noConversion"/>
  </si>
  <si>
    <t>보도자료80</t>
  </si>
  <si>
    <t>김찬호</t>
  </si>
  <si>
    <t>가축더위지수 연동 자동제어 기술, 산란계 보호 효과</t>
    <phoneticPr fontId="3" type="noConversion"/>
  </si>
  <si>
    <t>한국농어민신문</t>
    <phoneticPr fontId="3" type="noConversion"/>
  </si>
  <si>
    <t>국산 로봇착유기 ‘데어리봇’ 대만 수출길</t>
    <phoneticPr fontId="3" type="noConversion"/>
  </si>
  <si>
    <t>로봇착유기 ‘데어리봇’ 대만 수출길 올라</t>
    <phoneticPr fontId="3" type="noConversion"/>
  </si>
  <si>
    <t>흑염소 한 마리가 100평 누려···동물복지 ‘최고 수준’</t>
    <phoneticPr fontId="3" type="noConversion"/>
  </si>
  <si>
    <t>여름철 보양식으로 ‘염소고기’ 인기···맛있는 조리 방법 소개</t>
    <phoneticPr fontId="3" type="noConversion"/>
  </si>
  <si>
    <t>농진청 “가축더위지수 연동해 송풍기 가동 기술...산란계 보호 효과”</t>
    <phoneticPr fontId="3" type="noConversion"/>
  </si>
  <si>
    <t>연합뉴스TV</t>
    <phoneticPr fontId="3" type="noConversion"/>
  </si>
  <si>
    <t>‘더우면 알아서 냉수 공급’...닭 폐사율↓·달걀 품질↑</t>
    <phoneticPr fontId="3" type="noConversion"/>
  </si>
  <si>
    <t>염소탕, 6~8월 생산량 30% 집중</t>
    <phoneticPr fontId="3" type="noConversion"/>
  </si>
  <si>
    <t>‘더우면 자동 냉수 공급’···닭 폐사율 줄고 달걀 품질 높아져</t>
    <phoneticPr fontId="3" type="noConversion"/>
  </si>
  <si>
    <t>인더스트리뉴스</t>
    <phoneticPr fontId="3" type="noConversion"/>
  </si>
  <si>
    <t>산란계 고온 스트레스 줄인다...가축더위지수 기반 자동제어 기술 실증 효과</t>
    <phoneticPr fontId="3" type="noConversion"/>
  </si>
  <si>
    <t>매일안전신문</t>
    <phoneticPr fontId="3" type="noConversion"/>
  </si>
  <si>
    <t>농진청, 집에서도 간편하게 만드는 ‘염소탕’ 조리법 소개</t>
    <phoneticPr fontId="3" type="noConversion"/>
  </si>
  <si>
    <t>농업정보신문</t>
    <phoneticPr fontId="3" type="noConversion"/>
  </si>
  <si>
    <t>K-축산기술 전수·동물약품 수출 청신호</t>
    <phoneticPr fontId="3" type="noConversion"/>
  </si>
  <si>
    <t>보도자료77</t>
  </si>
  <si>
    <t>이민영</t>
  </si>
  <si>
    <t>여름철 달걀 안전, 냉장 보관이 답이다</t>
    <phoneticPr fontId="3" type="noConversion"/>
  </si>
  <si>
    <t>TJB</t>
    <phoneticPr fontId="3" type="noConversion"/>
  </si>
  <si>
    <t>폭염 속 달걀 ‘이중고’..“가격 급등에 살모넬라균까지”</t>
    <phoneticPr fontId="3" type="noConversion"/>
  </si>
  <si>
    <t>댕댕이 집밥, 집에서도 손쉽게</t>
    <phoneticPr fontId="3" type="noConversion"/>
  </si>
  <si>
    <t>복날 지났지만···염소탕, 알고 먹으면 더 ‘든든’</t>
    <phoneticPr fontId="3" type="noConversion"/>
  </si>
  <si>
    <t>국산 로봇착유기‘ 대만 수출</t>
    <phoneticPr fontId="3" type="noConversion"/>
  </si>
  <si>
    <t>농업인신문</t>
    <phoneticPr fontId="3" type="noConversion"/>
  </si>
  <si>
    <t>가축 온열 피해 예방 및 축사 전기 안전 관리 요령</t>
    <phoneticPr fontId="3" type="noConversion"/>
  </si>
  <si>
    <t>보도자료52</t>
    <phoneticPr fontId="3" type="noConversion"/>
  </si>
  <si>
    <t>홍의철</t>
  </si>
  <si>
    <t>6_가금연구센터</t>
  </si>
  <si>
    <t>보도자료51</t>
    <phoneticPr fontId="3" type="noConversion"/>
  </si>
  <si>
    <t>김조은</t>
  </si>
  <si>
    <t>보도자료50</t>
    <phoneticPr fontId="3" type="noConversion"/>
  </si>
  <si>
    <t>허태영</t>
  </si>
  <si>
    <t>보도자료49</t>
    <phoneticPr fontId="3" type="noConversion"/>
  </si>
  <si>
    <t>김정현</t>
  </si>
  <si>
    <t>한국영농신문</t>
    <phoneticPr fontId="3" type="noConversion"/>
  </si>
  <si>
    <t>사료피 신품종 ‘다온’, 폭우 속에도 잘컸다</t>
    <phoneticPr fontId="3" type="noConversion"/>
  </si>
  <si>
    <t>TV조선</t>
    <phoneticPr fontId="3" type="noConversion"/>
  </si>
  <si>
    <t>젖소 우유 짜기도 로봇이 ‘척척’···고령화 된 낙농가 노동시간 감소</t>
    <phoneticPr fontId="3" type="noConversion"/>
  </si>
  <si>
    <t>여름철 달걀 보관, “반드시 냉장고에”...살모넬라균 억제 확인</t>
    <phoneticPr fontId="3" type="noConversion"/>
  </si>
  <si>
    <t>경찰연합신문</t>
    <phoneticPr fontId="3" type="noConversion"/>
  </si>
  <si>
    <t>농촌진흥청, 메탄저감제 실험기관 건국대 지정</t>
    <phoneticPr fontId="3" type="noConversion"/>
  </si>
  <si>
    <t>보도자료72</t>
  </si>
  <si>
    <t>박설화</t>
  </si>
  <si>
    <t>임실군, 한우 스마트팜 번식관리시스템 보급 시범 추진</t>
    <phoneticPr fontId="3" type="noConversion"/>
  </si>
  <si>
    <t>김창한</t>
  </si>
  <si>
    <t>포항시, 한우농가 대상 맞춤형 종합 컨설팅···축산농가 경쟁력 제고</t>
    <phoneticPr fontId="3" type="noConversion"/>
  </si>
  <si>
    <t>이경은</t>
    <phoneticPr fontId="3" type="noConversion"/>
  </si>
  <si>
    <t>농촌진흥청, ‘우리맛닭’ 삼계탕 한 그릇 여름철 원기 회복에 으뜸</t>
    <phoneticPr fontId="3" type="noConversion"/>
  </si>
  <si>
    <t>보도자료73</t>
  </si>
  <si>
    <t>신승철</t>
  </si>
  <si>
    <t>충남도 여름철 가축피해 예방 ‘기술지원’ 추진</t>
    <phoneticPr fontId="3" type="noConversion"/>
  </si>
  <si>
    <t>즉시39</t>
  </si>
  <si>
    <t>이경은</t>
  </si>
  <si>
    <t>즉시38</t>
  </si>
  <si>
    <t>즉시37</t>
  </si>
  <si>
    <t>정영훈</t>
  </si>
  <si>
    <t>충북농기원, 가축 폭염 예방 위해 현장행보</t>
    <phoneticPr fontId="3" type="noConversion"/>
  </si>
  <si>
    <t>보도자료60</t>
    <phoneticPr fontId="3" type="noConversion"/>
  </si>
  <si>
    <t>정읍시, 한우 경쟁력 키운다···현장 맞춤형 교육 실시</t>
    <phoneticPr fontId="3" type="noConversion"/>
  </si>
  <si>
    <t>창녕군, 한우산업 이끌‘축산 청년농업인’ 본격 육성</t>
    <phoneticPr fontId="3" type="noConversion"/>
  </si>
  <si>
    <t>합천군, 축산 맞춤형 종합컨설팅 실시</t>
    <phoneticPr fontId="3" type="noConversion"/>
  </si>
  <si>
    <t>“한우 축사 더위 식히기”청주시, 에어제트팬 공급</t>
    <phoneticPr fontId="3" type="noConversion"/>
  </si>
  <si>
    <t>농촌진흥청, 한우 암소 유전체 분석 후 ‘한우 교배계획 길라잡이’로 정액 선택</t>
    <phoneticPr fontId="3" type="noConversion"/>
  </si>
  <si>
    <t>보도자료76</t>
  </si>
  <si>
    <t>성하승</t>
  </si>
  <si>
    <t>창녕군,사료피 신품종 현장 평가회 성황리 개최</t>
    <phoneticPr fontId="3" type="noConversion"/>
  </si>
  <si>
    <t>한우신문</t>
    <phoneticPr fontId="3" type="noConversion"/>
  </si>
  <si>
    <t>임실, 한우 번식관리 스마트팜 시스템 도입</t>
    <phoneticPr fontId="3" type="noConversion"/>
  </si>
  <si>
    <t>축산과학원, 건국대에 ‘메탄저감제 실험기관’ 현판 전달</t>
    <phoneticPr fontId="3" type="noConversion"/>
  </si>
  <si>
    <t>미디어펜</t>
    <phoneticPr fontId="3" type="noConversion"/>
  </si>
  <si>
    <t>“여름철 달걀, 구매 즉시 4도 이하 냉장 보관해야”</t>
    <phoneticPr fontId="3" type="noConversion"/>
  </si>
  <si>
    <t>보도자료79</t>
    <phoneticPr fontId="3" type="noConversion"/>
  </si>
  <si>
    <t>이은선</t>
    <phoneticPr fontId="3" type="noConversion"/>
  </si>
  <si>
    <t>이코노뉴스</t>
    <phoneticPr fontId="3" type="noConversion"/>
  </si>
  <si>
    <t>농촌진흥청, 국산‘로봇착유기‘ 대만 수출...세계 시장 진출 발판</t>
    <phoneticPr fontId="3" type="noConversion"/>
  </si>
  <si>
    <t>한스경제</t>
    <phoneticPr fontId="3" type="noConversion"/>
  </si>
  <si>
    <t>‘국산 로봇착유기’ 대만 수출길...세계 시장으로 간다</t>
    <phoneticPr fontId="3" type="noConversion"/>
  </si>
  <si>
    <t>인천일보</t>
    <phoneticPr fontId="3" type="noConversion"/>
  </si>
  <si>
    <t>㈜다운·농진청 손잡고 만든 국산 로봇착유기, 대만서 달린다</t>
    <phoneticPr fontId="3" type="noConversion"/>
  </si>
  <si>
    <t>사료피 신품종 ‘다온’,폭우 속에도 잘컸</t>
    <phoneticPr fontId="3" type="noConversion"/>
  </si>
  <si>
    <t>로봇신문</t>
    <phoneticPr fontId="3" type="noConversion"/>
  </si>
  <si>
    <t>한우산업, 유전능력 중심 정밀 개량으로 전환 가속</t>
    <phoneticPr fontId="3" type="noConversion"/>
  </si>
  <si>
    <t>건국대 메탄저감제 실험기관 지정 의미는</t>
    <phoneticPr fontId="3" type="noConversion"/>
  </si>
  <si>
    <t>상주시 한길농장, 보증씨수소 ‘KPN 1690’ 배출</t>
    <phoneticPr fontId="3" type="noConversion"/>
  </si>
  <si>
    <t>낙농가, 폭염·폭우로 ‘이중고’ 줄어드는 산유량에 한숨만</t>
    <phoneticPr fontId="3" type="noConversion"/>
  </si>
  <si>
    <t>즉시50</t>
  </si>
  <si>
    <t>즉시49</t>
  </si>
  <si>
    <t>‘염소탕, 알고 먹으면 복날 보양식’</t>
    <phoneticPr fontId="3" type="noConversion"/>
  </si>
  <si>
    <t>새만금일보</t>
    <phoneticPr fontId="3" type="noConversion"/>
  </si>
  <si>
    <t>“고단백·저지방 염소고기, 복날 음식으로 딱!”</t>
    <phoneticPr fontId="3" type="noConversion"/>
  </si>
  <si>
    <t>농진청, 여름철 보양식 ‘염소탕’ 조리법 소개</t>
    <phoneticPr fontId="3" type="noConversion"/>
  </si>
  <si>
    <t>‘염소 고기’ 여름철 복달임 음식 주목···여름철 생산량 주목</t>
    <phoneticPr fontId="3" type="noConversion"/>
  </si>
  <si>
    <t>농진청 공동 개발 ‘로봇착유기’ 첫 수출</t>
    <phoneticPr fontId="3" type="noConversion"/>
  </si>
  <si>
    <t>OBS</t>
    <phoneticPr fontId="3" type="noConversion"/>
  </si>
  <si>
    <t>‘국산 로봇착유기’ 아시아 시장 본격 진출</t>
    <phoneticPr fontId="3" type="noConversion"/>
  </si>
  <si>
    <t>국산 로봇착유기 아시아 시장 진출···“수출 교두보”</t>
    <phoneticPr fontId="3" type="noConversion"/>
  </si>
  <si>
    <t>‘국산 로봇 착유기’ 아시아시장 진출···기술·가격 경쟁력 ‘주목’</t>
    <phoneticPr fontId="3" type="noConversion"/>
  </si>
  <si>
    <t>Sk브로드밴드</t>
    <phoneticPr fontId="3" type="noConversion"/>
  </si>
  <si>
    <t>소 젖 짜는 로봇착유기, 아시아 시장 본격 진출</t>
    <phoneticPr fontId="3" type="noConversion"/>
  </si>
  <si>
    <t>AI로 짜는 우유···젖소 사육도 첨단 시대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</si>
</sst>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100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76" fontId="5" fillId="2" borderId="0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7" borderId="0" xfId="0" applyNumberFormat="1" applyFont="1" applyFill="1" applyBorder="1" applyAlignment="1">
      <alignment horizontal="center" vertical="center"/>
    </xf>
    <xf numFmtId="176" fontId="4" fillId="7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7" fillId="7" borderId="0" xfId="2" applyFont="1" applyFill="1" applyBorder="1" applyAlignment="1">
      <alignment horizontal="left" vertical="center" wrapText="1"/>
    </xf>
    <xf numFmtId="0" fontId="4" fillId="7" borderId="0" xfId="2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14" fontId="4" fillId="8" borderId="0" xfId="0" applyNumberFormat="1" applyFont="1" applyFill="1" applyBorder="1" applyAlignment="1">
      <alignment horizontal="center" vertical="center"/>
    </xf>
    <xf numFmtId="176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left" vertical="center"/>
    </xf>
    <xf numFmtId="0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0" fontId="7" fillId="8" borderId="0" xfId="2" applyFont="1" applyFill="1" applyBorder="1" applyAlignment="1">
      <alignment horizontal="left" vertical="center" wrapText="1"/>
    </xf>
    <xf numFmtId="0" fontId="4" fillId="8" borderId="0" xfId="2" applyFont="1" applyFill="1" applyBorder="1" applyAlignment="1">
      <alignment horizontal="left" vertical="center"/>
    </xf>
    <xf numFmtId="176" fontId="4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left" vertical="center"/>
    </xf>
    <xf numFmtId="0" fontId="4" fillId="9" borderId="0" xfId="0" applyNumberFormat="1" applyFont="1" applyFill="1" applyBorder="1" applyAlignment="1">
      <alignment horizontal="center" vertical="center"/>
    </xf>
    <xf numFmtId="14" fontId="4" fillId="9" borderId="0" xfId="0" applyNumberFormat="1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4" fillId="10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left" vertical="center"/>
    </xf>
    <xf numFmtId="176" fontId="4" fillId="11" borderId="0" xfId="0" applyNumberFormat="1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left" vertical="center"/>
    </xf>
    <xf numFmtId="0" fontId="4" fillId="11" borderId="0" xfId="0" applyNumberFormat="1" applyFont="1" applyFill="1" applyBorder="1" applyAlignment="1">
      <alignment horizontal="center" vertical="center"/>
    </xf>
    <xf numFmtId="14" fontId="4" fillId="11" borderId="0" xfId="0" applyNumberFormat="1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left" vertical="center"/>
    </xf>
    <xf numFmtId="0" fontId="7" fillId="11" borderId="0" xfId="2" applyFont="1" applyFill="1" applyBorder="1" applyAlignment="1">
      <alignment horizontal="left" vertical="center" wrapText="1"/>
    </xf>
    <xf numFmtId="0" fontId="4" fillId="11" borderId="0" xfId="2" applyFont="1" applyFill="1" applyBorder="1" applyAlignment="1">
      <alignment horizontal="left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  <color rgb="FFE1FFE8"/>
      <color rgb="FFE1E1FF"/>
      <color rgb="FFCCCCFF"/>
      <color rgb="FFFDEDFC"/>
      <color rgb="FFFFD5FF"/>
      <color rgb="FFFFCCFF"/>
      <color rgb="FFFFCCCC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8&#50900;%208&#5106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8&#50900;%2011-13&#510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>
        <row r="22">
          <cell r="C22" t="str">
            <v>6_동물복지과</v>
          </cell>
        </row>
        <row r="23">
          <cell r="C23" t="str">
            <v>5_한우연구센터</v>
          </cell>
        </row>
        <row r="30">
          <cell r="C30" t="str">
            <v>3_기술지원과</v>
          </cell>
        </row>
      </sheetData>
      <sheetData sheetId="1" refreshError="1"/>
      <sheetData sheetId="2" refreshError="1"/>
      <sheetData sheetId="3">
        <row r="1">
          <cell r="A1" t="str">
            <v>보도매체</v>
          </cell>
          <cell r="B1" t="str">
            <v>구분 1</v>
          </cell>
          <cell r="C1" t="str">
            <v>구분 2(점수)</v>
          </cell>
        </row>
        <row r="2">
          <cell r="A2" t="str">
            <v>아주경제</v>
          </cell>
          <cell r="B2" t="str">
            <v>07_중앙일간지</v>
          </cell>
          <cell r="C2">
            <v>5</v>
          </cell>
        </row>
        <row r="3">
          <cell r="A3" t="str">
            <v>서울신문</v>
          </cell>
          <cell r="B3" t="str">
            <v>07_중앙일간지</v>
          </cell>
          <cell r="C3">
            <v>5</v>
          </cell>
        </row>
        <row r="4">
          <cell r="A4" t="str">
            <v>한겨레신문</v>
          </cell>
          <cell r="B4" t="str">
            <v>07_중앙일간지</v>
          </cell>
          <cell r="C4">
            <v>5</v>
          </cell>
        </row>
        <row r="5">
          <cell r="A5" t="str">
            <v>국민일보</v>
          </cell>
          <cell r="B5" t="str">
            <v>07_중앙일간지</v>
          </cell>
          <cell r="C5">
            <v>5</v>
          </cell>
        </row>
        <row r="6">
          <cell r="A6" t="str">
            <v>연합뉴스</v>
          </cell>
          <cell r="B6" t="str">
            <v>07_중앙일간지</v>
          </cell>
          <cell r="C6">
            <v>5</v>
          </cell>
        </row>
        <row r="7">
          <cell r="A7" t="str">
            <v>파이낸셜뉴스</v>
          </cell>
          <cell r="B7" t="str">
            <v>07_중앙일간지</v>
          </cell>
          <cell r="C7">
            <v>5</v>
          </cell>
        </row>
        <row r="8">
          <cell r="A8" t="str">
            <v>헤럴드경제</v>
          </cell>
          <cell r="B8" t="str">
            <v>07_중앙일간지</v>
          </cell>
          <cell r="C8">
            <v>5</v>
          </cell>
        </row>
        <row r="9">
          <cell r="A9" t="str">
            <v>KBS 라디오</v>
          </cell>
          <cell r="B9" t="str">
            <v>05_라디오-중앙</v>
          </cell>
          <cell r="C9">
            <v>3</v>
          </cell>
        </row>
        <row r="10">
          <cell r="A10" t="str">
            <v>SBS 라디오</v>
          </cell>
          <cell r="B10" t="str">
            <v>05_라디오-중앙</v>
          </cell>
          <cell r="C10">
            <v>3</v>
          </cell>
        </row>
        <row r="11">
          <cell r="A11" t="str">
            <v>BBS 라디오</v>
          </cell>
          <cell r="B11" t="str">
            <v>05_라디오-중앙</v>
          </cell>
          <cell r="C11">
            <v>3</v>
          </cell>
        </row>
        <row r="12">
          <cell r="A12" t="str">
            <v>아시아타임즈</v>
          </cell>
          <cell r="B12" t="str">
            <v>08_기타일간지</v>
          </cell>
          <cell r="C12">
            <v>2</v>
          </cell>
        </row>
        <row r="13">
          <cell r="A13" t="str">
            <v>아시아일보</v>
          </cell>
          <cell r="B13" t="str">
            <v>08_기타일간지</v>
          </cell>
          <cell r="C13">
            <v>2</v>
          </cell>
        </row>
        <row r="14">
          <cell r="A14" t="str">
            <v>전주일보</v>
          </cell>
          <cell r="B14" t="str">
            <v>09_지방일간지</v>
          </cell>
          <cell r="C14">
            <v>1.5</v>
          </cell>
        </row>
        <row r="15">
          <cell r="A15" t="str">
            <v>전주매일</v>
          </cell>
          <cell r="B15" t="str">
            <v>09_지방일간지</v>
          </cell>
          <cell r="C15">
            <v>1.5</v>
          </cell>
        </row>
        <row r="16">
          <cell r="A16" t="str">
            <v>산경일보</v>
          </cell>
          <cell r="B16" t="str">
            <v>09_지방일간지</v>
          </cell>
          <cell r="C16">
            <v>1.5</v>
          </cell>
        </row>
        <row r="17">
          <cell r="A17" t="str">
            <v>시민일보</v>
          </cell>
          <cell r="B17" t="str">
            <v>09_지방일간지</v>
          </cell>
          <cell r="C17">
            <v>1.5</v>
          </cell>
        </row>
        <row r="18">
          <cell r="A18" t="str">
            <v>경북신문</v>
          </cell>
          <cell r="B18" t="str">
            <v>09_지방일간지</v>
          </cell>
          <cell r="C18">
            <v>1.5</v>
          </cell>
        </row>
        <row r="19">
          <cell r="A19" t="str">
            <v>중도일보</v>
          </cell>
          <cell r="B19" t="str">
            <v>09_지방일간지</v>
          </cell>
          <cell r="C19">
            <v>1.5</v>
          </cell>
        </row>
        <row r="20">
          <cell r="A20" t="str">
            <v>전라일보</v>
          </cell>
          <cell r="B20" t="str">
            <v>09_지방일간지</v>
          </cell>
          <cell r="C20">
            <v>1.5</v>
          </cell>
        </row>
        <row r="21">
          <cell r="A21" t="str">
            <v>전민일보</v>
          </cell>
          <cell r="B21" t="str">
            <v>09_지방일간지</v>
          </cell>
          <cell r="C21">
            <v>1.5</v>
          </cell>
        </row>
        <row r="22">
          <cell r="A22" t="str">
            <v>전북일보</v>
          </cell>
          <cell r="B22" t="str">
            <v>09_지방일간지</v>
          </cell>
          <cell r="C22">
            <v>1.5</v>
          </cell>
        </row>
        <row r="23">
          <cell r="A23" t="str">
            <v>새전북신문</v>
          </cell>
          <cell r="B23" t="str">
            <v>09_지방일간지</v>
          </cell>
          <cell r="C23">
            <v>1.5</v>
          </cell>
        </row>
        <row r="24">
          <cell r="A24" t="str">
            <v>전북도민일보</v>
          </cell>
          <cell r="B24" t="str">
            <v>09_지방일간지</v>
          </cell>
          <cell r="C24">
            <v>1.5</v>
          </cell>
        </row>
        <row r="25">
          <cell r="A25" t="str">
            <v>농수축산신문</v>
          </cell>
          <cell r="B25" t="str">
            <v>09_농업전문지</v>
          </cell>
          <cell r="C25">
            <v>1.5</v>
          </cell>
        </row>
        <row r="26">
          <cell r="A26" t="str">
            <v>농기자재신문</v>
          </cell>
          <cell r="B26" t="str">
            <v>09_농업전문지</v>
          </cell>
          <cell r="C26">
            <v>1.5</v>
          </cell>
        </row>
        <row r="27">
          <cell r="A27" t="str">
            <v>농민신문</v>
          </cell>
          <cell r="B27" t="str">
            <v>09_농업전문지</v>
          </cell>
          <cell r="C27">
            <v>1.5</v>
          </cell>
        </row>
        <row r="28">
          <cell r="A28" t="str">
            <v>농축유통신문</v>
          </cell>
          <cell r="B28" t="str">
            <v>09_농업전문지</v>
          </cell>
          <cell r="C28">
            <v>1.5</v>
          </cell>
        </row>
        <row r="29">
          <cell r="A29" t="str">
            <v>농촌여성신문</v>
          </cell>
          <cell r="B29" t="str">
            <v>09_농업전문지</v>
          </cell>
          <cell r="C29">
            <v>1.5</v>
          </cell>
        </row>
        <row r="30">
          <cell r="A30" t="str">
            <v>농업인신문</v>
          </cell>
          <cell r="B30" t="str">
            <v>09_농업전문지</v>
          </cell>
          <cell r="C30">
            <v>1.5</v>
          </cell>
        </row>
        <row r="31">
          <cell r="A31" t="str">
            <v>데일리안</v>
          </cell>
          <cell r="B31" t="str">
            <v>13_인터넷포털</v>
          </cell>
          <cell r="C31">
            <v>0.1</v>
          </cell>
        </row>
        <row r="32">
          <cell r="A32" t="str">
            <v>머니에스</v>
          </cell>
          <cell r="B32" t="str">
            <v>13_인터넷포털</v>
          </cell>
          <cell r="C32">
            <v>0.1</v>
          </cell>
        </row>
        <row r="33">
          <cell r="A33" t="str">
            <v>전북제일신문</v>
          </cell>
          <cell r="B33" t="str">
            <v>09_지방일간지</v>
          </cell>
          <cell r="C33">
            <v>1.5</v>
          </cell>
        </row>
        <row r="34">
          <cell r="A34" t="str">
            <v>스포츠한국</v>
          </cell>
          <cell r="B34" t="str">
            <v>13_인터넷포털</v>
          </cell>
          <cell r="C34">
            <v>0.1</v>
          </cell>
        </row>
        <row r="35">
          <cell r="A35" t="str">
            <v>팜인사이트</v>
          </cell>
          <cell r="B35" t="str">
            <v>13_인터넷포털</v>
          </cell>
          <cell r="C35">
            <v>0.1</v>
          </cell>
        </row>
        <row r="36">
          <cell r="A36" t="str">
            <v>임팩트온</v>
          </cell>
          <cell r="B36" t="str">
            <v>13_인터넷포털</v>
          </cell>
          <cell r="C36">
            <v>0.1</v>
          </cell>
        </row>
        <row r="37">
          <cell r="A37" t="str">
            <v>미디어펜</v>
          </cell>
          <cell r="B37" t="str">
            <v>13_인터넷포털</v>
          </cell>
          <cell r="C37">
            <v>0.1</v>
          </cell>
        </row>
        <row r="38">
          <cell r="A38" t="str">
            <v>한국농어촌방송</v>
          </cell>
          <cell r="B38" t="str">
            <v>13_인터넷포털</v>
          </cell>
          <cell r="C38">
            <v>0.1</v>
          </cell>
        </row>
        <row r="39">
          <cell r="A39" t="str">
            <v>팜&amp;마켓</v>
          </cell>
          <cell r="B39" t="str">
            <v>09_농업전문지</v>
          </cell>
          <cell r="C39">
            <v>1.5</v>
          </cell>
        </row>
        <row r="40">
          <cell r="A40" t="str">
            <v>데일리메디</v>
          </cell>
          <cell r="B40" t="str">
            <v>13_인터넷포털</v>
          </cell>
          <cell r="C40">
            <v>0.1</v>
          </cell>
        </row>
        <row r="41">
          <cell r="A41" t="str">
            <v>현대축산뉴스</v>
          </cell>
          <cell r="B41" t="str">
            <v>13_인터넷포털</v>
          </cell>
          <cell r="C41">
            <v>0.1</v>
          </cell>
        </row>
        <row r="42">
          <cell r="A42" t="str">
            <v>YTN 라디오</v>
          </cell>
          <cell r="B42" t="str">
            <v>06_라디오-지방</v>
          </cell>
          <cell r="C42">
            <v>1.5</v>
          </cell>
        </row>
        <row r="43">
          <cell r="A43" t="str">
            <v>광주KBC 라디오</v>
          </cell>
          <cell r="B43" t="str">
            <v>06_라디오-지방</v>
          </cell>
          <cell r="C43">
            <v>1.5</v>
          </cell>
        </row>
        <row r="44">
          <cell r="A44" t="str">
            <v>세계일보</v>
          </cell>
          <cell r="B44" t="str">
            <v>07_중앙일간지</v>
          </cell>
          <cell r="C44">
            <v>5</v>
          </cell>
        </row>
        <row r="45">
          <cell r="A45" t="str">
            <v>내일신문</v>
          </cell>
          <cell r="B45" t="str">
            <v>07_중앙일간지</v>
          </cell>
          <cell r="C45">
            <v>5</v>
          </cell>
        </row>
        <row r="46">
          <cell r="A46" t="str">
            <v>환경일보</v>
          </cell>
          <cell r="B46" t="str">
            <v>08_기타일간지</v>
          </cell>
          <cell r="C46">
            <v>2</v>
          </cell>
        </row>
        <row r="47">
          <cell r="A47" t="str">
            <v>전업농신문</v>
          </cell>
          <cell r="B47" t="str">
            <v>09_농업전문지</v>
          </cell>
          <cell r="C47">
            <v>1.5</v>
          </cell>
        </row>
        <row r="48">
          <cell r="A48" t="str">
            <v>축산신문</v>
          </cell>
          <cell r="B48" t="str">
            <v>09_농업전문지</v>
          </cell>
          <cell r="C48">
            <v>1.5</v>
          </cell>
        </row>
        <row r="49">
          <cell r="A49" t="str">
            <v>내외일보</v>
          </cell>
          <cell r="B49" t="str">
            <v>09_지방일간지</v>
          </cell>
          <cell r="C49">
            <v>1.5</v>
          </cell>
        </row>
        <row r="50">
          <cell r="A50" t="str">
            <v>일간경기</v>
          </cell>
          <cell r="B50" t="str">
            <v>09_지방일간지</v>
          </cell>
          <cell r="C50">
            <v>1.5</v>
          </cell>
        </row>
        <row r="51">
          <cell r="A51" t="str">
            <v>수도권일보</v>
          </cell>
          <cell r="B51" t="str">
            <v>09_지방일간지</v>
          </cell>
          <cell r="C51">
            <v>1.5</v>
          </cell>
        </row>
        <row r="52">
          <cell r="A52" t="str">
            <v>수원화성신문</v>
          </cell>
          <cell r="B52" t="str">
            <v>11_기타(지역주간지)</v>
          </cell>
          <cell r="C52">
            <v>0.5</v>
          </cell>
        </row>
        <row r="53">
          <cell r="A53" t="str">
            <v>중부뉴스</v>
          </cell>
          <cell r="B53" t="str">
            <v>11_기타(지역주간지)</v>
          </cell>
          <cell r="C53">
            <v>0.5</v>
          </cell>
        </row>
        <row r="54">
          <cell r="A54" t="str">
            <v>경기eTV뉴스</v>
          </cell>
          <cell r="B54" t="str">
            <v>13_인터넷포털</v>
          </cell>
          <cell r="C54">
            <v>0.1</v>
          </cell>
        </row>
        <row r="55">
          <cell r="A55" t="str">
            <v>케이에스피뉴스</v>
          </cell>
          <cell r="B55" t="str">
            <v>13_인터넷포털</v>
          </cell>
          <cell r="C55">
            <v>0.1</v>
          </cell>
        </row>
        <row r="56">
          <cell r="A56" t="str">
            <v>메타TV뉴스</v>
          </cell>
          <cell r="B56" t="str">
            <v>13_인터넷포털</v>
          </cell>
          <cell r="C56">
            <v>0.1</v>
          </cell>
        </row>
        <row r="57">
          <cell r="A57" t="str">
            <v>미디어투데이</v>
          </cell>
          <cell r="B57" t="str">
            <v>13_인터넷포털</v>
          </cell>
          <cell r="C57">
            <v>0.1</v>
          </cell>
        </row>
        <row r="58">
          <cell r="A58" t="str">
            <v>경기IN</v>
          </cell>
          <cell r="B58" t="str">
            <v>13_인터넷포털</v>
          </cell>
          <cell r="C58">
            <v>0.1</v>
          </cell>
        </row>
        <row r="59">
          <cell r="A59" t="str">
            <v>데일리와이</v>
          </cell>
          <cell r="B59" t="str">
            <v>13_인터넷포털</v>
          </cell>
          <cell r="C59">
            <v>0.1</v>
          </cell>
        </row>
        <row r="60">
          <cell r="A60" t="str">
            <v>뉴스후</v>
          </cell>
          <cell r="B60" t="str">
            <v>13_인터넷포털</v>
          </cell>
          <cell r="C60">
            <v>0.1</v>
          </cell>
        </row>
        <row r="61">
          <cell r="A61" t="str">
            <v>경기인터넷신문</v>
          </cell>
          <cell r="B61" t="str">
            <v>13_인터넷포털</v>
          </cell>
          <cell r="C61">
            <v>0.1</v>
          </cell>
        </row>
        <row r="62">
          <cell r="A62" t="str">
            <v>미디어이슈</v>
          </cell>
          <cell r="B62" t="str">
            <v>13_인터넷포털</v>
          </cell>
          <cell r="C62">
            <v>0.1</v>
          </cell>
        </row>
        <row r="63">
          <cell r="A63" t="str">
            <v>경인투데이뉴스</v>
          </cell>
          <cell r="B63" t="str">
            <v>13_인터넷포털</v>
          </cell>
          <cell r="C63">
            <v>0.1</v>
          </cell>
        </row>
        <row r="64">
          <cell r="A64" t="str">
            <v>경기&amp;뉴스</v>
          </cell>
          <cell r="B64" t="str">
            <v>13_인터넷포털</v>
          </cell>
          <cell r="C64">
            <v>0.1</v>
          </cell>
        </row>
        <row r="65">
          <cell r="A65" t="str">
            <v>시대일보</v>
          </cell>
          <cell r="B65" t="str">
            <v>13_인터넷포털</v>
          </cell>
          <cell r="C65">
            <v>0.1</v>
          </cell>
        </row>
        <row r="66">
          <cell r="A66" t="str">
            <v>세계뉴스통신</v>
          </cell>
          <cell r="B66" t="str">
            <v>13_인터넷포털</v>
          </cell>
          <cell r="C66">
            <v>0.1</v>
          </cell>
        </row>
        <row r="67">
          <cell r="A67" t="str">
            <v>경기경제신문</v>
          </cell>
          <cell r="B67" t="str">
            <v>13_인터넷포털</v>
          </cell>
          <cell r="C67">
            <v>0.1</v>
          </cell>
        </row>
        <row r="68">
          <cell r="A68" t="str">
            <v>공직신문</v>
          </cell>
          <cell r="B68" t="str">
            <v>13_인터넷포털</v>
          </cell>
          <cell r="C68">
            <v>0.1</v>
          </cell>
        </row>
        <row r="69">
          <cell r="A69" t="str">
            <v>뉴스피크</v>
          </cell>
          <cell r="B69" t="str">
            <v>13_인터넷포털</v>
          </cell>
          <cell r="C69">
            <v>0.1</v>
          </cell>
        </row>
        <row r="70">
          <cell r="A70" t="str">
            <v>시사코리아</v>
          </cell>
          <cell r="B70" t="str">
            <v>13_인터넷포털</v>
          </cell>
          <cell r="C70">
            <v>0.1</v>
          </cell>
        </row>
        <row r="71">
          <cell r="A71" t="str">
            <v>미디어연합</v>
          </cell>
          <cell r="B71" t="str">
            <v>13_인터넷포털</v>
          </cell>
          <cell r="C71">
            <v>0.1</v>
          </cell>
        </row>
        <row r="72">
          <cell r="A72" t="str">
            <v>세계타임즈</v>
          </cell>
          <cell r="B72" t="str">
            <v>11_기타(지역주간지)</v>
          </cell>
          <cell r="C72">
            <v>0.5</v>
          </cell>
        </row>
        <row r="73">
          <cell r="A73" t="str">
            <v>식약일보</v>
          </cell>
          <cell r="B73" t="str">
            <v>10_기타전문지</v>
          </cell>
          <cell r="C73">
            <v>1</v>
          </cell>
        </row>
        <row r="74">
          <cell r="A74" t="str">
            <v>광교신문</v>
          </cell>
          <cell r="B74" t="str">
            <v>13_인터넷포털</v>
          </cell>
          <cell r="C74">
            <v>0.1</v>
          </cell>
        </row>
        <row r="75">
          <cell r="A75" t="str">
            <v>뉴스타운</v>
          </cell>
          <cell r="B75" t="str">
            <v>13_인터넷포털</v>
          </cell>
          <cell r="C75">
            <v>0.1</v>
          </cell>
        </row>
        <row r="76">
          <cell r="A76" t="str">
            <v>국민정책평가신문</v>
          </cell>
          <cell r="B76" t="str">
            <v>13_인터넷포털</v>
          </cell>
          <cell r="C76">
            <v>0.1</v>
          </cell>
        </row>
        <row r="77">
          <cell r="A77" t="str">
            <v>포인트데일리</v>
          </cell>
          <cell r="B77" t="str">
            <v>13_인터넷포털</v>
          </cell>
          <cell r="C77">
            <v>0.1</v>
          </cell>
        </row>
        <row r="78">
          <cell r="A78" t="str">
            <v>뉴스쉐어</v>
          </cell>
          <cell r="B78" t="str">
            <v>13_인터넷포털</v>
          </cell>
          <cell r="C78">
            <v>0.1</v>
          </cell>
        </row>
        <row r="79">
          <cell r="A79" t="str">
            <v>디지털데일리</v>
          </cell>
          <cell r="B79" t="str">
            <v>13_인터넷포털</v>
          </cell>
          <cell r="C79">
            <v>0.1</v>
          </cell>
        </row>
        <row r="80">
          <cell r="A80" t="str">
            <v>메디컬투데이</v>
          </cell>
          <cell r="B80" t="str">
            <v>13_인터넷포털</v>
          </cell>
          <cell r="C80">
            <v>0.1</v>
          </cell>
        </row>
        <row r="81">
          <cell r="A81" t="str">
            <v>노컷뉴스</v>
          </cell>
          <cell r="B81" t="str">
            <v>13_인터넷포털</v>
          </cell>
          <cell r="C81">
            <v>0.1</v>
          </cell>
        </row>
        <row r="82">
          <cell r="A82" t="str">
            <v>YTN 사이언스</v>
          </cell>
          <cell r="B82" t="str">
            <v>02_TV-케이블중앙</v>
          </cell>
          <cell r="C82">
            <v>4</v>
          </cell>
        </row>
        <row r="83">
          <cell r="A83" t="str">
            <v>YTN</v>
          </cell>
          <cell r="B83" t="str">
            <v>02_TV-케이블중앙</v>
          </cell>
          <cell r="C83">
            <v>4</v>
          </cell>
        </row>
        <row r="84">
          <cell r="A84" t="str">
            <v>전북연합신문</v>
          </cell>
          <cell r="B84" t="str">
            <v>09_지방일간지</v>
          </cell>
          <cell r="C84">
            <v>1.5</v>
          </cell>
        </row>
        <row r="85">
          <cell r="A85" t="str">
            <v>한국영농신문</v>
          </cell>
          <cell r="B85" t="str">
            <v>09_농업전문지</v>
          </cell>
          <cell r="C85">
            <v>1.5</v>
          </cell>
        </row>
        <row r="86">
          <cell r="A86" t="str">
            <v>라이브팜뉴스</v>
          </cell>
          <cell r="B86" t="str">
            <v>13_인터넷포털</v>
          </cell>
          <cell r="C86">
            <v>0.1</v>
          </cell>
        </row>
        <row r="87">
          <cell r="A87" t="str">
            <v>충청투데이</v>
          </cell>
          <cell r="B87" t="str">
            <v>09_지방일간지</v>
          </cell>
          <cell r="C87">
            <v>1.5</v>
          </cell>
        </row>
        <row r="88">
          <cell r="A88" t="str">
            <v>한국농정</v>
          </cell>
          <cell r="B88" t="str">
            <v>09_농업전문지</v>
          </cell>
          <cell r="C88">
            <v>1.5</v>
          </cell>
        </row>
        <row r="89">
          <cell r="A89" t="str">
            <v>죽산신문</v>
          </cell>
          <cell r="B89" t="str">
            <v>09_농업전문지</v>
          </cell>
          <cell r="C89">
            <v>1.5</v>
          </cell>
        </row>
        <row r="90">
          <cell r="A90" t="str">
            <v>한국연합신문</v>
          </cell>
          <cell r="B90" t="str">
            <v>13_인터넷포털</v>
          </cell>
          <cell r="C90">
            <v>0.1</v>
          </cell>
        </row>
        <row r="91">
          <cell r="A91" t="str">
            <v>한우신문</v>
          </cell>
          <cell r="B91" t="str">
            <v>10_기타전문지</v>
          </cell>
          <cell r="C91">
            <v>1</v>
          </cell>
        </row>
        <row r="92">
          <cell r="A92" t="str">
            <v>전북제일신문</v>
          </cell>
          <cell r="B92" t="str">
            <v>17_지방일간지</v>
          </cell>
          <cell r="C92">
            <v>8</v>
          </cell>
        </row>
        <row r="93">
          <cell r="A93" t="str">
            <v>데일리연합</v>
          </cell>
          <cell r="B93" t="str">
            <v>13_인터넷포털</v>
          </cell>
          <cell r="C93">
            <v>0.1</v>
          </cell>
        </row>
        <row r="94">
          <cell r="A94" t="str">
            <v>축산경제신문</v>
          </cell>
          <cell r="B94" t="str">
            <v>09_농업전문지</v>
          </cell>
          <cell r="C94">
            <v>1.5</v>
          </cell>
        </row>
        <row r="95">
          <cell r="A95" t="str">
            <v>한국농어민신문</v>
          </cell>
          <cell r="B95" t="str">
            <v>09_농업전문지</v>
          </cell>
          <cell r="C95">
            <v>1.5</v>
          </cell>
        </row>
        <row r="96">
          <cell r="A96" t="str">
            <v>프레시안</v>
          </cell>
          <cell r="B96" t="str">
            <v>13_인터넷포털</v>
          </cell>
          <cell r="C96">
            <v>0.1</v>
          </cell>
        </row>
        <row r="97">
          <cell r="A97" t="str">
            <v>보건뉴스</v>
          </cell>
          <cell r="B97" t="str">
            <v>13_인터넷포털</v>
          </cell>
          <cell r="C97">
            <v>0.1</v>
          </cell>
        </row>
        <row r="98">
          <cell r="A98" t="str">
            <v>농축환경신문</v>
          </cell>
          <cell r="B98" t="str">
            <v>09_농업전문지</v>
          </cell>
          <cell r="C98">
            <v>1.5</v>
          </cell>
        </row>
        <row r="99">
          <cell r="A99" t="str">
            <v>전주매일신문</v>
          </cell>
          <cell r="B99" t="str">
            <v>09_지방일간지</v>
          </cell>
          <cell r="C99">
            <v>1.5</v>
          </cell>
        </row>
        <row r="100">
          <cell r="A100" t="str">
            <v>퀸</v>
          </cell>
          <cell r="B100" t="str">
            <v>13_인터넷포털</v>
          </cell>
          <cell r="C100">
            <v>0.1</v>
          </cell>
        </row>
        <row r="101">
          <cell r="A101" t="str">
            <v>위키트리</v>
          </cell>
          <cell r="B101" t="str">
            <v>13_인터넷포털</v>
          </cell>
          <cell r="C101">
            <v>0.1</v>
          </cell>
        </row>
        <row r="102">
          <cell r="A102" t="str">
            <v>정책브리핑</v>
          </cell>
          <cell r="B102" t="str">
            <v>13_인터넷포털</v>
          </cell>
          <cell r="C102">
            <v>0.1</v>
          </cell>
        </row>
        <row r="103">
          <cell r="A103" t="str">
            <v>일간전북</v>
          </cell>
          <cell r="B103" t="str">
            <v>13_인터넷포털</v>
          </cell>
          <cell r="C103">
            <v>0.1</v>
          </cell>
        </row>
        <row r="104">
          <cell r="A104" t="str">
            <v>검찰연합일보</v>
          </cell>
          <cell r="B104" t="str">
            <v>13_인터넷포털</v>
          </cell>
          <cell r="C104">
            <v>0.1</v>
          </cell>
        </row>
        <row r="105">
          <cell r="A105" t="str">
            <v>경찰연합신문</v>
          </cell>
          <cell r="B105" t="str">
            <v>13_인터넷포털</v>
          </cell>
          <cell r="C105">
            <v>0.1</v>
          </cell>
        </row>
        <row r="106">
          <cell r="A106" t="str">
            <v>세계연합신문</v>
          </cell>
          <cell r="B106" t="str">
            <v>13_인터넷포털</v>
          </cell>
          <cell r="C106">
            <v>0.1</v>
          </cell>
        </row>
        <row r="107">
          <cell r="A107" t="str">
            <v>푸드아이콘</v>
          </cell>
          <cell r="B107" t="str">
            <v>13_인터넷포털</v>
          </cell>
          <cell r="C107">
            <v>0.1</v>
          </cell>
        </row>
        <row r="108">
          <cell r="A108" t="str">
            <v>전북타임즈</v>
          </cell>
          <cell r="B108" t="str">
            <v>09_지방일간지</v>
          </cell>
          <cell r="C108">
            <v>1.5</v>
          </cell>
        </row>
        <row r="109">
          <cell r="A109" t="str">
            <v>매일안전신문</v>
          </cell>
          <cell r="B109" t="str">
            <v>13_인터넷포털</v>
          </cell>
          <cell r="C109">
            <v>0.1</v>
          </cell>
        </row>
        <row r="110">
          <cell r="A110" t="str">
            <v>M메타 TV 뉴스</v>
          </cell>
          <cell r="B110" t="str">
            <v>13_인터넷포털</v>
          </cell>
          <cell r="C110">
            <v>0.1</v>
          </cell>
        </row>
        <row r="111">
          <cell r="A111" t="str">
            <v>정필</v>
          </cell>
          <cell r="B111" t="str">
            <v>13_인터넷포털</v>
          </cell>
          <cell r="C111">
            <v>0.1</v>
          </cell>
        </row>
        <row r="112">
          <cell r="A112" t="str">
            <v>뉴시스</v>
          </cell>
          <cell r="B112" t="str">
            <v>07_중앙일간지</v>
          </cell>
          <cell r="C112">
            <v>5</v>
          </cell>
        </row>
        <row r="113">
          <cell r="A113" t="str">
            <v>매일일보</v>
          </cell>
          <cell r="B113" t="str">
            <v>08_기타일간지</v>
          </cell>
          <cell r="C113">
            <v>2</v>
          </cell>
        </row>
        <row r="114">
          <cell r="A114" t="str">
            <v>대전일보</v>
          </cell>
          <cell r="B114" t="str">
            <v>09_지방일간지</v>
          </cell>
          <cell r="C114">
            <v>1.5</v>
          </cell>
        </row>
        <row r="115">
          <cell r="A115" t="str">
            <v>광주일보</v>
          </cell>
          <cell r="B115" t="str">
            <v>09_지방일간지</v>
          </cell>
          <cell r="C115">
            <v>1.5</v>
          </cell>
        </row>
        <row r="116">
          <cell r="A116" t="str">
            <v>전북중앙</v>
          </cell>
          <cell r="B116" t="str">
            <v>09_지방일간지</v>
          </cell>
          <cell r="C116">
            <v>1.5</v>
          </cell>
        </row>
        <row r="117">
          <cell r="A117" t="str">
            <v>국제신문</v>
          </cell>
          <cell r="B117" t="str">
            <v>09_지방일간지</v>
          </cell>
          <cell r="C117">
            <v>1.5</v>
          </cell>
        </row>
        <row r="118">
          <cell r="A118" t="str">
            <v>대한급식신문</v>
          </cell>
          <cell r="B118" t="str">
            <v>09_농업전문지</v>
          </cell>
          <cell r="C118">
            <v>1.5</v>
          </cell>
        </row>
        <row r="119">
          <cell r="A119" t="str">
            <v>헬스조선</v>
          </cell>
          <cell r="B119" t="str">
            <v>13_인터넷포털</v>
          </cell>
          <cell r="C119">
            <v>0.1</v>
          </cell>
        </row>
        <row r="120">
          <cell r="A120" t="str">
            <v>조선일보</v>
          </cell>
          <cell r="B120" t="str">
            <v>07_중앙일간지</v>
          </cell>
          <cell r="C120">
            <v>5</v>
          </cell>
        </row>
        <row r="121">
          <cell r="A121" t="str">
            <v>이데일리</v>
          </cell>
          <cell r="B121" t="str">
            <v>07_중앙일간지</v>
          </cell>
          <cell r="C121">
            <v>5</v>
          </cell>
        </row>
        <row r="122">
          <cell r="A122" t="str">
            <v>식품저널</v>
          </cell>
          <cell r="B122" t="str">
            <v>09_농업전문지</v>
          </cell>
          <cell r="C122">
            <v>1.5</v>
          </cell>
        </row>
        <row r="123">
          <cell r="A123" t="str">
            <v>머니투데이</v>
          </cell>
          <cell r="B123" t="str">
            <v>07_중앙일간지</v>
          </cell>
          <cell r="C123">
            <v>5</v>
          </cell>
        </row>
        <row r="124">
          <cell r="A124" t="str">
            <v>뉴스1</v>
          </cell>
          <cell r="B124" t="str">
            <v>07_중앙일간지</v>
          </cell>
          <cell r="C124">
            <v>5</v>
          </cell>
        </row>
        <row r="125">
          <cell r="A125" t="str">
            <v>대구광역일보</v>
          </cell>
          <cell r="B125" t="str">
            <v>09_지방일간지</v>
          </cell>
          <cell r="C125">
            <v>1.5</v>
          </cell>
        </row>
        <row r="126">
          <cell r="A126" t="str">
            <v>호남제일신문</v>
          </cell>
          <cell r="B126" t="str">
            <v>09_지방일간지</v>
          </cell>
          <cell r="C126">
            <v>1.5</v>
          </cell>
        </row>
        <row r="127">
          <cell r="A127" t="str">
            <v>전북타임스</v>
          </cell>
          <cell r="B127" t="str">
            <v>09_지방일간지</v>
          </cell>
          <cell r="C127">
            <v>1.5</v>
          </cell>
        </row>
        <row r="128">
          <cell r="A128" t="str">
            <v>금융경제</v>
          </cell>
          <cell r="B128" t="str">
            <v>10_기타전문지</v>
          </cell>
          <cell r="C128">
            <v>1</v>
          </cell>
        </row>
        <row r="129">
          <cell r="A129" t="str">
            <v>더코리아뉴스</v>
          </cell>
          <cell r="B129" t="str">
            <v>13_인터넷포털</v>
          </cell>
          <cell r="C129">
            <v>0.1</v>
          </cell>
        </row>
        <row r="130">
          <cell r="A130" t="str">
            <v>서울뉴스통신</v>
          </cell>
          <cell r="B130" t="str">
            <v>13_인터넷포털</v>
          </cell>
          <cell r="C130">
            <v>0.1</v>
          </cell>
        </row>
        <row r="131">
          <cell r="A131" t="str">
            <v>포이트데일리</v>
          </cell>
          <cell r="B131" t="str">
            <v>13_인터넷포털</v>
          </cell>
          <cell r="C131">
            <v>0.1</v>
          </cell>
        </row>
        <row r="132">
          <cell r="A132" t="str">
            <v>YTN-픽</v>
          </cell>
          <cell r="B132" t="str">
            <v>02_TV-케이블중앙</v>
          </cell>
          <cell r="C132">
            <v>4</v>
          </cell>
        </row>
        <row r="133">
          <cell r="A133" t="str">
            <v>뉴스핌</v>
          </cell>
          <cell r="B133" t="str">
            <v>13_인터넷포털</v>
          </cell>
          <cell r="C133">
            <v>0.1</v>
          </cell>
        </row>
        <row r="134">
          <cell r="A134" t="str">
            <v>키즈맘</v>
          </cell>
          <cell r="B134" t="str">
            <v>13_인터넷포털</v>
          </cell>
          <cell r="C134">
            <v>0.1</v>
          </cell>
        </row>
        <row r="135">
          <cell r="A135" t="str">
            <v>경향신문</v>
          </cell>
          <cell r="B135" t="str">
            <v>07_중앙일간지</v>
          </cell>
          <cell r="C135">
            <v>5</v>
          </cell>
        </row>
        <row r="136">
          <cell r="A136" t="str">
            <v>이투데이</v>
          </cell>
          <cell r="B136" t="str">
            <v>07_중앙일간지</v>
          </cell>
          <cell r="C136">
            <v>5</v>
          </cell>
        </row>
        <row r="137">
          <cell r="A137" t="str">
            <v>KBS전주-TV</v>
          </cell>
          <cell r="B137" t="str">
            <v>02_TV-지방</v>
          </cell>
          <cell r="C137">
            <v>4</v>
          </cell>
        </row>
        <row r="138">
          <cell r="A138" t="str">
            <v>연합뉴스-TV</v>
          </cell>
          <cell r="B138" t="str">
            <v>02_TV-케이블중앙</v>
          </cell>
          <cell r="C138">
            <v>4</v>
          </cell>
        </row>
        <row r="139">
          <cell r="A139" t="str">
            <v>SKB전주-TV</v>
          </cell>
          <cell r="B139" t="str">
            <v>03_TV-케이블지방</v>
          </cell>
          <cell r="C139">
            <v>2.5</v>
          </cell>
        </row>
        <row r="140">
          <cell r="A140" t="str">
            <v>동양일보</v>
          </cell>
          <cell r="B140" t="str">
            <v>09_지방일간지</v>
          </cell>
          <cell r="C140">
            <v>1.5</v>
          </cell>
        </row>
        <row r="141">
          <cell r="A141" t="str">
            <v>이코노뉴스</v>
          </cell>
          <cell r="B141" t="str">
            <v>13_인터넷포털</v>
          </cell>
          <cell r="C141">
            <v>0.1</v>
          </cell>
        </row>
        <row r="142">
          <cell r="A142" t="str">
            <v>팜앤마켓</v>
          </cell>
          <cell r="B142" t="str">
            <v>13_인터넷포털</v>
          </cell>
          <cell r="C142">
            <v>0.1</v>
          </cell>
        </row>
        <row r="143">
          <cell r="A143" t="str">
            <v>제주교통복지신문</v>
          </cell>
          <cell r="B143" t="str">
            <v>13_인터넷포털</v>
          </cell>
          <cell r="C143">
            <v>0.1</v>
          </cell>
        </row>
        <row r="144">
          <cell r="A144" t="str">
            <v>뉴스웍스</v>
          </cell>
          <cell r="B144" t="str">
            <v>13_인터넷포털</v>
          </cell>
          <cell r="C144">
            <v>0.1</v>
          </cell>
        </row>
        <row r="145">
          <cell r="A145" t="str">
            <v>아시아투데이</v>
          </cell>
          <cell r="B145" t="str">
            <v>07_중앙일간지</v>
          </cell>
          <cell r="C145">
            <v>5</v>
          </cell>
        </row>
        <row r="146">
          <cell r="A146" t="str">
            <v>투데이안</v>
          </cell>
          <cell r="B146" t="str">
            <v>13_인터넷포털</v>
          </cell>
          <cell r="C146">
            <v>0.1</v>
          </cell>
        </row>
        <row r="147">
          <cell r="A147" t="str">
            <v>경인투데이</v>
          </cell>
          <cell r="B147" t="str">
            <v>13_인터넷포털</v>
          </cell>
          <cell r="C147">
            <v>0.1</v>
          </cell>
        </row>
        <row r="148">
          <cell r="A148" t="str">
            <v>국제뉴스</v>
          </cell>
          <cell r="B148" t="str">
            <v>13_인터넷포털</v>
          </cell>
          <cell r="C148">
            <v>0.1</v>
          </cell>
        </row>
        <row r="149">
          <cell r="A149" t="str">
            <v>더원방송</v>
          </cell>
          <cell r="B149" t="str">
            <v>13_인터넷포털</v>
          </cell>
          <cell r="C149">
            <v>0.1</v>
          </cell>
        </row>
        <row r="150">
          <cell r="A150" t="str">
            <v>월간축산</v>
          </cell>
          <cell r="B150" t="str">
            <v>09_농업전문지</v>
          </cell>
          <cell r="C150">
            <v>1.5</v>
          </cell>
        </row>
        <row r="151">
          <cell r="A151" t="str">
            <v>월간한우</v>
          </cell>
          <cell r="B151" t="str">
            <v>09_농업전문지</v>
          </cell>
          <cell r="C151">
            <v>1.5</v>
          </cell>
        </row>
        <row r="152">
          <cell r="A152" t="str">
            <v>월간한돈</v>
          </cell>
          <cell r="B152" t="str">
            <v>10_월간지</v>
          </cell>
          <cell r="C152">
            <v>1</v>
          </cell>
        </row>
        <row r="153">
          <cell r="A153" t="str">
            <v>Pig&amp;Pork한돈</v>
          </cell>
          <cell r="B153" t="str">
            <v>10_월간지</v>
          </cell>
          <cell r="C153">
            <v>1</v>
          </cell>
        </row>
        <row r="154">
          <cell r="A154" t="str">
            <v>월간낙농‧육우</v>
          </cell>
          <cell r="B154" t="str">
            <v>10_월간지</v>
          </cell>
          <cell r="C154">
            <v>1</v>
          </cell>
        </row>
        <row r="155">
          <cell r="A155" t="str">
            <v>월간낙농</v>
          </cell>
          <cell r="B155" t="str">
            <v>10_월간지</v>
          </cell>
          <cell r="C155">
            <v>1</v>
          </cell>
        </row>
        <row r="156">
          <cell r="A156" t="str">
            <v>월간양계</v>
          </cell>
          <cell r="B156" t="str">
            <v>10_월간지</v>
          </cell>
          <cell r="C156">
            <v>1</v>
          </cell>
        </row>
        <row r="157">
          <cell r="A157" t="str">
            <v>월간닭고기</v>
          </cell>
          <cell r="B157" t="str">
            <v>10_월간지</v>
          </cell>
          <cell r="C157">
            <v>1</v>
          </cell>
        </row>
        <row r="158">
          <cell r="A158" t="str">
            <v>월간산란계</v>
          </cell>
          <cell r="B158" t="str">
            <v>10_월간지</v>
          </cell>
          <cell r="C158">
            <v>1</v>
          </cell>
        </row>
        <row r="159">
          <cell r="A159" t="str">
            <v>새만금일보</v>
          </cell>
          <cell r="B159" t="str">
            <v>09_지방일간지</v>
          </cell>
          <cell r="C159">
            <v>1.5</v>
          </cell>
        </row>
        <row r="160">
          <cell r="A160" t="str">
            <v>스포츠서울</v>
          </cell>
          <cell r="B160" t="str">
            <v>08_스포츠신문</v>
          </cell>
          <cell r="C160">
            <v>2</v>
          </cell>
        </row>
        <row r="161">
          <cell r="A161" t="str">
            <v>데일리스포츠한국</v>
          </cell>
          <cell r="B161" t="str">
            <v>08_스포츠신문</v>
          </cell>
          <cell r="C161">
            <v>2</v>
          </cell>
        </row>
        <row r="162">
          <cell r="A162" t="str">
            <v>매일신문</v>
          </cell>
          <cell r="B162" t="str">
            <v>09_지방일간지</v>
          </cell>
          <cell r="C162">
            <v>1.5</v>
          </cell>
        </row>
        <row r="163">
          <cell r="A163" t="str">
            <v>경안일보</v>
          </cell>
          <cell r="B163" t="str">
            <v>09_지방일간지</v>
          </cell>
          <cell r="C163">
            <v>1.5</v>
          </cell>
        </row>
        <row r="164">
          <cell r="A164" t="str">
            <v>경북매일</v>
          </cell>
          <cell r="B164" t="str">
            <v>09_지방일간지</v>
          </cell>
          <cell r="C164">
            <v>1.5</v>
          </cell>
        </row>
        <row r="165">
          <cell r="A165" t="str">
            <v>낙농신문</v>
          </cell>
          <cell r="B165" t="str">
            <v>10_기타전문지</v>
          </cell>
          <cell r="C165">
            <v>1</v>
          </cell>
        </row>
        <row r="166">
          <cell r="A166" t="str">
            <v>세명일보</v>
          </cell>
          <cell r="B166" t="str">
            <v>11_기타(지역주간지)</v>
          </cell>
          <cell r="C166">
            <v>0.5</v>
          </cell>
        </row>
        <row r="167">
          <cell r="A167" t="str">
            <v>NSP통신</v>
          </cell>
          <cell r="B167" t="str">
            <v>13_인터넷포털</v>
          </cell>
          <cell r="C167">
            <v>0.1</v>
          </cell>
        </row>
        <row r="168">
          <cell r="A168" t="str">
            <v>이코리아</v>
          </cell>
          <cell r="B168" t="str">
            <v>13_인터넷포털</v>
          </cell>
          <cell r="C168">
            <v>0.1</v>
          </cell>
        </row>
        <row r="169">
          <cell r="A169" t="str">
            <v>한국농업신문</v>
          </cell>
          <cell r="B169" t="str">
            <v>09_농업전문지</v>
          </cell>
          <cell r="C169">
            <v>1.5</v>
          </cell>
        </row>
        <row r="170">
          <cell r="A170" t="str">
            <v>쿠키뉴스</v>
          </cell>
          <cell r="B170" t="str">
            <v>13_인터넷포털</v>
          </cell>
          <cell r="C170">
            <v>0.1</v>
          </cell>
        </row>
        <row r="171">
          <cell r="A171" t="str">
            <v>비즈니스 포스트</v>
          </cell>
          <cell r="B171" t="str">
            <v>13_인터넷포털</v>
          </cell>
          <cell r="C171">
            <v>0.1</v>
          </cell>
        </row>
        <row r="172">
          <cell r="A172" t="str">
            <v>핸드메이커</v>
          </cell>
          <cell r="B172" t="str">
            <v>13_인터넷포털</v>
          </cell>
          <cell r="C172">
            <v>0.1</v>
          </cell>
        </row>
        <row r="173">
          <cell r="A173" t="str">
            <v>에코타임스</v>
          </cell>
          <cell r="B173" t="str">
            <v>13_인터넷포털</v>
          </cell>
          <cell r="C173">
            <v>0.1</v>
          </cell>
        </row>
        <row r="174">
          <cell r="A174" t="str">
            <v>위기관리경영</v>
          </cell>
          <cell r="B174" t="str">
            <v>13_인터넷포털</v>
          </cell>
          <cell r="C174">
            <v>0.1</v>
          </cell>
        </row>
        <row r="175">
          <cell r="A175" t="str">
            <v>검찰연합신문</v>
          </cell>
          <cell r="B175" t="str">
            <v>13_인터넷포털</v>
          </cell>
          <cell r="C175">
            <v>0.1</v>
          </cell>
        </row>
        <row r="176">
          <cell r="A176" t="str">
            <v>유튜브</v>
          </cell>
          <cell r="B176" t="str">
            <v>23_동영상 콘텐츠 포스팅</v>
          </cell>
          <cell r="C176">
            <v>12</v>
          </cell>
        </row>
        <row r="177">
          <cell r="A177" t="str">
            <v>더농부</v>
          </cell>
          <cell r="B177" t="str">
            <v>24_이미지 콘텐츠 포스팅</v>
          </cell>
          <cell r="C177">
            <v>8</v>
          </cell>
        </row>
        <row r="178">
          <cell r="A178" t="str">
            <v>대구신문</v>
          </cell>
          <cell r="B178" t="str">
            <v>09_지방일간지</v>
          </cell>
          <cell r="C178">
            <v>1.5</v>
          </cell>
        </row>
        <row r="179">
          <cell r="A179" t="str">
            <v>데일리대구경북뉴스</v>
          </cell>
          <cell r="B179" t="str">
            <v>11_기타(지역주간지)</v>
          </cell>
          <cell r="C179">
            <v>0.5</v>
          </cell>
        </row>
        <row r="180">
          <cell r="A180" t="str">
            <v>성주신문</v>
          </cell>
          <cell r="B180" t="str">
            <v>11_기타(지역주간지)</v>
          </cell>
          <cell r="C180">
            <v>0.5</v>
          </cell>
        </row>
        <row r="181">
          <cell r="A181" t="str">
            <v>뉴스줌</v>
          </cell>
          <cell r="B181" t="str">
            <v>13_인터넷포털</v>
          </cell>
          <cell r="C181">
            <v>0.1</v>
          </cell>
        </row>
        <row r="182">
          <cell r="A182" t="str">
            <v>시니어매일</v>
          </cell>
          <cell r="B182" t="str">
            <v>13_인터넷포털</v>
          </cell>
          <cell r="C182">
            <v>0.1</v>
          </cell>
        </row>
        <row r="183">
          <cell r="A183" t="str">
            <v>양돈타임스</v>
          </cell>
          <cell r="B183" t="str">
            <v>09_농업전문지</v>
          </cell>
          <cell r="C183">
            <v>1.5</v>
          </cell>
        </row>
        <row r="184">
          <cell r="A184" t="str">
            <v>뉴트리션</v>
          </cell>
          <cell r="B184" t="str">
            <v>13_인터넷포털</v>
          </cell>
          <cell r="C184">
            <v>0.1</v>
          </cell>
        </row>
        <row r="185">
          <cell r="A185" t="str">
            <v>경상투데이</v>
          </cell>
          <cell r="B185" t="str">
            <v>09_지방일간지</v>
          </cell>
          <cell r="C185">
            <v>1.5</v>
          </cell>
        </row>
        <row r="186">
          <cell r="A186" t="str">
            <v>한돈신문</v>
          </cell>
          <cell r="B186" t="str">
            <v>10_기타전문지</v>
          </cell>
          <cell r="C186">
            <v>1</v>
          </cell>
        </row>
        <row r="187">
          <cell r="A187" t="str">
            <v>돼지와사람</v>
          </cell>
          <cell r="B187" t="str">
            <v>13_인터넷포털</v>
          </cell>
          <cell r="C187">
            <v>0.1</v>
          </cell>
        </row>
        <row r="188">
          <cell r="A188" t="str">
            <v>부산일보</v>
          </cell>
          <cell r="B188" t="str">
            <v>09_지방일간지</v>
          </cell>
          <cell r="C188">
            <v>1.5</v>
          </cell>
        </row>
        <row r="189">
          <cell r="A189" t="str">
            <v>무진장뉴스i</v>
          </cell>
          <cell r="B189" t="str">
            <v>13_인터넷포털</v>
          </cell>
          <cell r="C189">
            <v>0.1</v>
          </cell>
        </row>
        <row r="190">
          <cell r="A190" t="str">
            <v>한국사회복지저널</v>
          </cell>
          <cell r="B190" t="str">
            <v>13_인터넷포털</v>
          </cell>
          <cell r="C190">
            <v>0.1</v>
          </cell>
        </row>
        <row r="191">
          <cell r="A191" t="str">
            <v>정보통신신문</v>
          </cell>
          <cell r="B191" t="str">
            <v>10_기타전문지</v>
          </cell>
          <cell r="C191">
            <v>1</v>
          </cell>
        </row>
        <row r="192">
          <cell r="A192" t="str">
            <v>미디어투에이</v>
          </cell>
          <cell r="B192" t="str">
            <v>13_인터넷포털</v>
          </cell>
          <cell r="C192">
            <v>0.1</v>
          </cell>
        </row>
        <row r="193">
          <cell r="A193" t="str">
            <v>코리아중앙데일리</v>
          </cell>
          <cell r="B193" t="str">
            <v>08_기타일간지</v>
          </cell>
          <cell r="C193">
            <v>2</v>
          </cell>
        </row>
        <row r="194">
          <cell r="A194" t="str">
            <v>칠성고라이프</v>
          </cell>
          <cell r="B194" t="str">
            <v>13_인터넷포털</v>
          </cell>
          <cell r="C194">
            <v>0.1</v>
          </cell>
        </row>
        <row r="195">
          <cell r="A195" t="str">
            <v>월간환경</v>
          </cell>
          <cell r="B195" t="str">
            <v>10_기타월간지</v>
          </cell>
          <cell r="C195">
            <v>1</v>
          </cell>
        </row>
        <row r="196">
          <cell r="A196" t="str">
            <v>투데이광주전남</v>
          </cell>
          <cell r="B196" t="str">
            <v>13_인터넷포털</v>
          </cell>
          <cell r="C196">
            <v>0.1</v>
          </cell>
        </row>
        <row r="197">
          <cell r="A197" t="str">
            <v>프레스뉴스통신</v>
          </cell>
          <cell r="B197" t="str">
            <v>13_인터넷포털</v>
          </cell>
          <cell r="C197">
            <v>0.1</v>
          </cell>
        </row>
        <row r="198">
          <cell r="A198" t="str">
            <v>뉴스깜</v>
          </cell>
          <cell r="B198" t="str">
            <v>13_인터넷포털</v>
          </cell>
          <cell r="C198">
            <v>0.1</v>
          </cell>
        </row>
        <row r="199">
          <cell r="A199" t="str">
            <v>동아일보</v>
          </cell>
          <cell r="B199" t="str">
            <v>07_중앙일간지</v>
          </cell>
          <cell r="C199">
            <v>5</v>
          </cell>
        </row>
        <row r="200">
          <cell r="A200" t="str">
            <v>광주매일신문</v>
          </cell>
          <cell r="B200" t="str">
            <v>09_지방일간지</v>
          </cell>
          <cell r="C200">
            <v>1.5</v>
          </cell>
        </row>
        <row r="201">
          <cell r="A201" t="str">
            <v>남도일보</v>
          </cell>
          <cell r="B201" t="str">
            <v>09_지방일간지</v>
          </cell>
          <cell r="C201">
            <v>1.5</v>
          </cell>
        </row>
        <row r="202">
          <cell r="A202" t="str">
            <v>한국농촌경제신문</v>
          </cell>
          <cell r="B202" t="str">
            <v>09_농업전문지</v>
          </cell>
          <cell r="C202">
            <v>1.5</v>
          </cell>
        </row>
        <row r="203">
          <cell r="A203" t="str">
            <v>cnb뉴스</v>
          </cell>
          <cell r="B203" t="str">
            <v>13_인터넷포털</v>
          </cell>
          <cell r="C203">
            <v>0.1</v>
          </cell>
        </row>
        <row r="204">
          <cell r="A204" t="str">
            <v>아시아에이</v>
          </cell>
          <cell r="B204" t="str">
            <v>13_인터넷포털</v>
          </cell>
          <cell r="C204">
            <v>0.1</v>
          </cell>
        </row>
        <row r="205">
          <cell r="A205" t="str">
            <v>톡톡뉴스</v>
          </cell>
          <cell r="B205" t="str">
            <v>13_인터넷포털</v>
          </cell>
          <cell r="C205">
            <v>0.1</v>
          </cell>
        </row>
        <row r="206">
          <cell r="A206" t="str">
            <v>일등방송</v>
          </cell>
          <cell r="B206" t="str">
            <v>13_인터넷포털</v>
          </cell>
          <cell r="C206">
            <v>0.1</v>
          </cell>
        </row>
        <row r="207">
          <cell r="A207" t="str">
            <v>전남인터넷신문</v>
          </cell>
          <cell r="B207" t="str">
            <v>13_인터넷포털</v>
          </cell>
          <cell r="C207">
            <v>0.1</v>
          </cell>
        </row>
        <row r="208">
          <cell r="A208" t="str">
            <v>한국공보뉴스</v>
          </cell>
          <cell r="B208" t="str">
            <v>13_인터넷포털</v>
          </cell>
          <cell r="C208">
            <v>0.1</v>
          </cell>
        </row>
        <row r="209">
          <cell r="A209" t="str">
            <v>농수축산신문</v>
          </cell>
          <cell r="B209" t="str">
            <v>17_농업전문지</v>
          </cell>
          <cell r="C209">
            <v>8</v>
          </cell>
        </row>
        <row r="210">
          <cell r="A210" t="str">
            <v>무등일보</v>
          </cell>
          <cell r="B210" t="str">
            <v>09_지방일간지</v>
          </cell>
          <cell r="C210">
            <v>1.5</v>
          </cell>
        </row>
        <row r="211">
          <cell r="A211" t="str">
            <v>광주타임즈</v>
          </cell>
          <cell r="B211" t="str">
            <v>09_지방일간지</v>
          </cell>
          <cell r="C211">
            <v>1.5</v>
          </cell>
        </row>
        <row r="212">
          <cell r="A212" t="str">
            <v>대한일보</v>
          </cell>
          <cell r="B212" t="str">
            <v>11_기타(지역주간지)</v>
          </cell>
          <cell r="C212">
            <v>0.5</v>
          </cell>
        </row>
        <row r="213">
          <cell r="A213" t="str">
            <v>중앙통신뉴스</v>
          </cell>
          <cell r="B213" t="str">
            <v>13_인터넷포털</v>
          </cell>
          <cell r="C213">
            <v>0.1</v>
          </cell>
        </row>
        <row r="214">
          <cell r="A214" t="str">
            <v>NGTV</v>
          </cell>
          <cell r="B214" t="str">
            <v>13_인터넷포털</v>
          </cell>
          <cell r="C214">
            <v>0.1</v>
          </cell>
        </row>
        <row r="215">
          <cell r="A215" t="str">
            <v>일반경제신문</v>
          </cell>
          <cell r="B215" t="str">
            <v>13_인터넷포털</v>
          </cell>
          <cell r="C215">
            <v>0.1</v>
          </cell>
        </row>
        <row r="216">
          <cell r="A216" t="str">
            <v>SBS</v>
          </cell>
          <cell r="B216" t="str">
            <v>01_TV-중앙</v>
          </cell>
          <cell r="C216">
            <v>8</v>
          </cell>
        </row>
        <row r="217">
          <cell r="A217" t="str">
            <v>한국경제</v>
          </cell>
          <cell r="B217" t="str">
            <v>07_중앙일간지</v>
          </cell>
          <cell r="C217">
            <v>5</v>
          </cell>
        </row>
        <row r="218">
          <cell r="A218" t="str">
            <v>전국매일신문</v>
          </cell>
          <cell r="B218" t="str">
            <v>08_기타일간지</v>
          </cell>
          <cell r="C218">
            <v>2</v>
          </cell>
        </row>
        <row r="219">
          <cell r="A219" t="str">
            <v>이코노믹리뷰</v>
          </cell>
          <cell r="B219" t="str">
            <v>10_기타월간지</v>
          </cell>
          <cell r="C219">
            <v>1</v>
          </cell>
        </row>
        <row r="220">
          <cell r="A220" t="str">
            <v>metro</v>
          </cell>
          <cell r="B220" t="str">
            <v>10_무가지</v>
          </cell>
          <cell r="C220">
            <v>1</v>
          </cell>
        </row>
        <row r="221">
          <cell r="A221" t="str">
            <v>한국일보</v>
          </cell>
          <cell r="B221" t="str">
            <v>07_중앙일간지</v>
          </cell>
          <cell r="C221">
            <v>5</v>
          </cell>
        </row>
        <row r="222">
          <cell r="A222" t="str">
            <v>농업축산신문</v>
          </cell>
          <cell r="B222" t="str">
            <v>09_농업전문지</v>
          </cell>
          <cell r="C222">
            <v>1.5</v>
          </cell>
        </row>
        <row r="223">
          <cell r="A223" t="str">
            <v>우리문화신문</v>
          </cell>
          <cell r="B223" t="str">
            <v>13_인터넷포털</v>
          </cell>
          <cell r="C223">
            <v>0.1</v>
          </cell>
        </row>
        <row r="224">
          <cell r="A224" t="str">
            <v>뉴스토마토</v>
          </cell>
          <cell r="B224" t="str">
            <v>13_인터넷포털</v>
          </cell>
          <cell r="C224">
            <v>0.1</v>
          </cell>
        </row>
        <row r="225">
          <cell r="A225" t="str">
            <v>KBS춘천</v>
          </cell>
          <cell r="B225" t="str">
            <v>02_TV-지방</v>
          </cell>
          <cell r="C225">
            <v>4</v>
          </cell>
        </row>
        <row r="226">
          <cell r="A226" t="str">
            <v>울산광역매일</v>
          </cell>
          <cell r="B226" t="str">
            <v>09_지방일간지</v>
          </cell>
          <cell r="C226">
            <v>1.5</v>
          </cell>
        </row>
        <row r="227">
          <cell r="A227" t="str">
            <v>기호일보</v>
          </cell>
          <cell r="B227" t="str">
            <v>09_지방일간지</v>
          </cell>
          <cell r="C227">
            <v>1.5</v>
          </cell>
        </row>
        <row r="228">
          <cell r="A228" t="str">
            <v>전남매일</v>
          </cell>
          <cell r="B228" t="str">
            <v>09_지방일간지</v>
          </cell>
          <cell r="C228">
            <v>1.5</v>
          </cell>
        </row>
        <row r="229">
          <cell r="A229" t="str">
            <v>TV조선</v>
          </cell>
          <cell r="B229" t="str">
            <v>02_TV-종합편성채널</v>
          </cell>
          <cell r="C229">
            <v>4</v>
          </cell>
        </row>
        <row r="230">
          <cell r="A230" t="str">
            <v>한국농업방송</v>
          </cell>
          <cell r="B230" t="str">
            <v>03_TV-케이블지방</v>
          </cell>
          <cell r="C230">
            <v>2.5</v>
          </cell>
        </row>
        <row r="231">
          <cell r="A231" t="str">
            <v>농업정보신문</v>
          </cell>
          <cell r="B231" t="str">
            <v>09_농업전문지</v>
          </cell>
          <cell r="C231">
            <v>1.5</v>
          </cell>
        </row>
        <row r="232">
          <cell r="A232" t="str">
            <v>라이브팜</v>
          </cell>
          <cell r="B232" t="str">
            <v>13_인터넷포털</v>
          </cell>
          <cell r="C232">
            <v>0.1</v>
          </cell>
        </row>
        <row r="233">
          <cell r="A233" t="str">
            <v>연합뉴스TV</v>
          </cell>
          <cell r="B233" t="str">
            <v>02_TV-케이블중앙</v>
          </cell>
          <cell r="C233">
            <v>4</v>
          </cell>
        </row>
        <row r="234">
          <cell r="A234" t="str">
            <v>OBS</v>
          </cell>
          <cell r="B234" t="str">
            <v>02_TV-지방</v>
          </cell>
          <cell r="C234">
            <v>4</v>
          </cell>
        </row>
        <row r="235">
          <cell r="A235" t="str">
            <v>전북연햡신문</v>
          </cell>
          <cell r="B235" t="str">
            <v>09_지방일간지</v>
          </cell>
          <cell r="C235">
            <v>1.5</v>
          </cell>
        </row>
        <row r="236">
          <cell r="A236" t="str">
            <v>충청타임즈</v>
          </cell>
          <cell r="B236" t="str">
            <v>09_지방일간지</v>
          </cell>
          <cell r="C236">
            <v>1.5</v>
          </cell>
        </row>
        <row r="237">
          <cell r="A237" t="str">
            <v>서울우유</v>
          </cell>
          <cell r="B237" t="str">
            <v>10_월간지</v>
          </cell>
          <cell r="C237">
            <v>1</v>
          </cell>
        </row>
        <row r="238">
          <cell r="A238" t="str">
            <v>전업농신문</v>
          </cell>
          <cell r="B238" t="str">
            <v>17_농업전문지</v>
          </cell>
          <cell r="C238">
            <v>8</v>
          </cell>
        </row>
        <row r="239">
          <cell r="A239" t="str">
            <v>전주MBC RADIO</v>
          </cell>
          <cell r="B239" t="str">
            <v>06_라디오-지방</v>
          </cell>
          <cell r="C239">
            <v>1.5</v>
          </cell>
        </row>
        <row r="240">
          <cell r="A240" t="str">
            <v>JTBC RADIO</v>
          </cell>
          <cell r="B240" t="str">
            <v>06_라디오-지방</v>
          </cell>
          <cell r="C240">
            <v>1.5</v>
          </cell>
        </row>
        <row r="241">
          <cell r="A241" t="str">
            <v>전북CBS</v>
          </cell>
          <cell r="B241" t="str">
            <v>06_라디오-지방</v>
          </cell>
          <cell r="C241">
            <v>1.5</v>
          </cell>
        </row>
        <row r="242">
          <cell r="A242" t="str">
            <v>전주KBS RADIO</v>
          </cell>
          <cell r="B242" t="str">
            <v>06_라디오-지방</v>
          </cell>
          <cell r="C242">
            <v>1.5</v>
          </cell>
        </row>
        <row r="243">
          <cell r="A243" t="str">
            <v>뉴스다임</v>
          </cell>
          <cell r="B243" t="str">
            <v>13_인터넷포털</v>
          </cell>
          <cell r="C243">
            <v>0.1</v>
          </cell>
        </row>
        <row r="244">
          <cell r="A244" t="str">
            <v>전라일보</v>
          </cell>
          <cell r="B244" t="str">
            <v>17_지방일간지</v>
          </cell>
          <cell r="C244">
            <v>8</v>
          </cell>
        </row>
        <row r="245">
          <cell r="A245" t="str">
            <v>전북제일신문</v>
          </cell>
          <cell r="B245" t="str">
            <v>09_농업전문지</v>
          </cell>
          <cell r="C245">
            <v>1.5</v>
          </cell>
        </row>
        <row r="246">
          <cell r="A246" t="str">
            <v>한국임업신문</v>
          </cell>
          <cell r="B246" t="str">
            <v>09_농업전문지</v>
          </cell>
          <cell r="C246">
            <v>1.5</v>
          </cell>
        </row>
        <row r="247">
          <cell r="A247" t="str">
            <v>뉴스티앤티</v>
          </cell>
          <cell r="B247" t="str">
            <v>11_기타(지역주간지)</v>
          </cell>
          <cell r="C247">
            <v>0.5</v>
          </cell>
        </row>
        <row r="248">
          <cell r="A248" t="str">
            <v>KBS전주</v>
          </cell>
          <cell r="B248" t="str">
            <v>02_TV-지방</v>
          </cell>
          <cell r="C248">
            <v>4</v>
          </cell>
        </row>
        <row r="249">
          <cell r="A249" t="str">
            <v>현대건강신문</v>
          </cell>
          <cell r="B249" t="str">
            <v>10_기타전문지</v>
          </cell>
          <cell r="C249">
            <v>1</v>
          </cell>
        </row>
        <row r="250">
          <cell r="A250" t="str">
            <v>더 코리아</v>
          </cell>
          <cell r="B250" t="str">
            <v>13_인터넷포털</v>
          </cell>
          <cell r="C250">
            <v>0.1</v>
          </cell>
        </row>
        <row r="251">
          <cell r="A251" t="str">
            <v>농축유통신문</v>
          </cell>
          <cell r="B251" t="str">
            <v>17_농업전문지</v>
          </cell>
          <cell r="C251">
            <v>8</v>
          </cell>
        </row>
        <row r="252">
          <cell r="A252" t="str">
            <v>MBN RADIO</v>
          </cell>
          <cell r="B252" t="str">
            <v>06_라디오-지방</v>
          </cell>
          <cell r="C252">
            <v>1.5</v>
          </cell>
        </row>
        <row r="253">
          <cell r="A253" t="str">
            <v>원주투데이</v>
          </cell>
          <cell r="B253" t="str">
            <v>11_기타(지역주간지)</v>
          </cell>
          <cell r="C253">
            <v>0.5</v>
          </cell>
        </row>
        <row r="254">
          <cell r="A254" t="str">
            <v>아시아경제</v>
          </cell>
          <cell r="B254" t="str">
            <v>07_중앙일간지</v>
          </cell>
          <cell r="C254">
            <v>5</v>
          </cell>
        </row>
        <row r="255">
          <cell r="A255" t="str">
            <v>JTV</v>
          </cell>
          <cell r="B255" t="str">
            <v>02_TV-지방</v>
          </cell>
          <cell r="C255">
            <v>4</v>
          </cell>
        </row>
        <row r="256">
          <cell r="A256" t="str">
            <v>TBC</v>
          </cell>
          <cell r="B256" t="str">
            <v>02_TV-지방</v>
          </cell>
          <cell r="C256">
            <v>4</v>
          </cell>
        </row>
        <row r="257">
          <cell r="A257" t="str">
            <v>디지털타임스</v>
          </cell>
          <cell r="B257" t="str">
            <v>08_기타일간지</v>
          </cell>
          <cell r="C257">
            <v>2</v>
          </cell>
        </row>
        <row r="258">
          <cell r="A258" t="str">
            <v>중앙매일</v>
          </cell>
          <cell r="B258" t="str">
            <v>09_지방일간지</v>
          </cell>
          <cell r="C258">
            <v>1.5</v>
          </cell>
        </row>
        <row r="259">
          <cell r="A259" t="str">
            <v>톱클래스</v>
          </cell>
          <cell r="B259" t="str">
            <v>13_인터넷포털</v>
          </cell>
          <cell r="C259">
            <v>0.1</v>
          </cell>
        </row>
        <row r="260">
          <cell r="A260" t="str">
            <v>이미디어</v>
          </cell>
          <cell r="B260" t="str">
            <v>10_기타전문지</v>
          </cell>
          <cell r="C260">
            <v>1</v>
          </cell>
        </row>
        <row r="261">
          <cell r="A261" t="str">
            <v>로이슈</v>
          </cell>
          <cell r="B261" t="str">
            <v>13_인터넷포털</v>
          </cell>
          <cell r="C261">
            <v>0.1</v>
          </cell>
        </row>
        <row r="262">
          <cell r="A262" t="str">
            <v>브레이크뉴스</v>
          </cell>
          <cell r="B262" t="str">
            <v>13_인터넷포털</v>
          </cell>
          <cell r="C262">
            <v>0.1</v>
          </cell>
        </row>
        <row r="263">
          <cell r="A263" t="str">
            <v>충청매일</v>
          </cell>
          <cell r="B263" t="str">
            <v>09_지방일간지</v>
          </cell>
          <cell r="C263">
            <v>1.5</v>
          </cell>
        </row>
        <row r="264">
          <cell r="A264" t="str">
            <v>뉴스워커</v>
          </cell>
          <cell r="B264" t="str">
            <v>13_인터넷포털</v>
          </cell>
          <cell r="C264">
            <v>0.1</v>
          </cell>
        </row>
        <row r="265">
          <cell r="A265" t="str">
            <v>영남일보</v>
          </cell>
          <cell r="B265" t="str">
            <v>09_지방일간지</v>
          </cell>
          <cell r="C265">
            <v>1.5</v>
          </cell>
        </row>
        <row r="266">
          <cell r="A266" t="str">
            <v>BBS NEWS</v>
          </cell>
          <cell r="B266" t="str">
            <v>11_기타(지역주간지)</v>
          </cell>
          <cell r="C266">
            <v>0.5</v>
          </cell>
        </row>
        <row r="267">
          <cell r="A267" t="str">
            <v>웹이코노미</v>
          </cell>
          <cell r="B267" t="str">
            <v>13_인터넷포털</v>
          </cell>
          <cell r="C267">
            <v>0.1</v>
          </cell>
        </row>
        <row r="268">
          <cell r="A268" t="str">
            <v>뉴스프리존</v>
          </cell>
          <cell r="B268" t="str">
            <v>13_인터넷포털</v>
          </cell>
          <cell r="C268">
            <v>0.1</v>
          </cell>
        </row>
        <row r="269">
          <cell r="A269" t="str">
            <v>더퍼블릭</v>
          </cell>
          <cell r="B269" t="str">
            <v>13_인터넷포털</v>
          </cell>
          <cell r="C269">
            <v>0.1</v>
          </cell>
        </row>
        <row r="270">
          <cell r="A270" t="str">
            <v>청년일보</v>
          </cell>
          <cell r="B270" t="str">
            <v>13_인터넷포털</v>
          </cell>
          <cell r="C270">
            <v>0.1</v>
          </cell>
        </row>
        <row r="271">
          <cell r="A271" t="str">
            <v>경북일보</v>
          </cell>
          <cell r="B271" t="str">
            <v>09_지방일간지</v>
          </cell>
          <cell r="C271">
            <v>1.5</v>
          </cell>
        </row>
        <row r="272">
          <cell r="A272" t="str">
            <v>경상매일신문</v>
          </cell>
          <cell r="B272" t="str">
            <v>09_지방일간지</v>
          </cell>
          <cell r="C272">
            <v>1.5</v>
          </cell>
        </row>
        <row r="273">
          <cell r="A273" t="str">
            <v>한국금융</v>
          </cell>
          <cell r="B273" t="str">
            <v>10_기타전문지</v>
          </cell>
          <cell r="C273">
            <v>1</v>
          </cell>
        </row>
        <row r="274">
          <cell r="A274" t="str">
            <v>중소기업신문</v>
          </cell>
          <cell r="B274" t="str">
            <v>13_인터넷포털</v>
          </cell>
          <cell r="C274">
            <v>0.1</v>
          </cell>
        </row>
        <row r="275">
          <cell r="A275" t="str">
            <v>폴리뉴스</v>
          </cell>
          <cell r="B275" t="str">
            <v>13_인터넷포털</v>
          </cell>
          <cell r="C275">
            <v>0.1</v>
          </cell>
        </row>
        <row r="276">
          <cell r="A276" t="str">
            <v>환경미디어</v>
          </cell>
          <cell r="B276" t="str">
            <v>10_기타전문지</v>
          </cell>
          <cell r="C276">
            <v>1</v>
          </cell>
        </row>
        <row r="277">
          <cell r="A277" t="str">
            <v>창업일보</v>
          </cell>
          <cell r="B277" t="str">
            <v>13_인터넷포털</v>
          </cell>
          <cell r="C277">
            <v>0.1</v>
          </cell>
        </row>
        <row r="278">
          <cell r="A278" t="str">
            <v>신아일보</v>
          </cell>
          <cell r="B278" t="str">
            <v>08_기타일간지</v>
          </cell>
          <cell r="C278">
            <v>2</v>
          </cell>
        </row>
        <row r="279">
          <cell r="A279" t="str">
            <v>천지일보</v>
          </cell>
          <cell r="B279" t="str">
            <v>08_기타일간지</v>
          </cell>
          <cell r="C279">
            <v>2</v>
          </cell>
        </row>
        <row r="280">
          <cell r="A280" t="str">
            <v>경인매일</v>
          </cell>
          <cell r="B280" t="str">
            <v>09_지방일간지</v>
          </cell>
          <cell r="C280">
            <v>1.5</v>
          </cell>
        </row>
        <row r="281">
          <cell r="A281" t="str">
            <v>광남일보</v>
          </cell>
          <cell r="B281" t="str">
            <v>09_지방일간지</v>
          </cell>
          <cell r="C281">
            <v>1.5</v>
          </cell>
        </row>
        <row r="282">
          <cell r="A282" t="str">
            <v>전남일보</v>
          </cell>
          <cell r="B282" t="str">
            <v>09_지방일간지</v>
          </cell>
          <cell r="C282">
            <v>1.5</v>
          </cell>
        </row>
        <row r="283">
          <cell r="A283" t="str">
            <v>호남매일</v>
          </cell>
          <cell r="B283" t="str">
            <v>09_지방일간지</v>
          </cell>
          <cell r="C283">
            <v>1.5</v>
          </cell>
        </row>
        <row r="284">
          <cell r="A284" t="str">
            <v>광주드림</v>
          </cell>
          <cell r="B284" t="str">
            <v>09_지방일간지</v>
          </cell>
          <cell r="C284">
            <v>1.5</v>
          </cell>
        </row>
        <row r="285">
          <cell r="A285" t="str">
            <v>원예산업신문</v>
          </cell>
          <cell r="B285" t="str">
            <v>09_농업전문지</v>
          </cell>
          <cell r="C285">
            <v>1.5</v>
          </cell>
        </row>
        <row r="286">
          <cell r="A286" t="str">
            <v>광주kbc RADIO</v>
          </cell>
          <cell r="B286" t="str">
            <v>06_라디오-지방</v>
          </cell>
          <cell r="C286">
            <v>1.5</v>
          </cell>
        </row>
        <row r="287">
          <cell r="A287" t="str">
            <v>위클리 오늘</v>
          </cell>
          <cell r="B287" t="str">
            <v>10_주간지</v>
          </cell>
          <cell r="C287">
            <v>1</v>
          </cell>
        </row>
        <row r="288">
          <cell r="A288" t="str">
            <v>문화매일</v>
          </cell>
          <cell r="B288" t="str">
            <v>11_기타(지역주간지)</v>
          </cell>
          <cell r="C288">
            <v>0.5</v>
          </cell>
        </row>
        <row r="289">
          <cell r="A289" t="str">
            <v>글로벌경제신문</v>
          </cell>
          <cell r="B289" t="str">
            <v>13_인터넷포털</v>
          </cell>
          <cell r="C289">
            <v>0.1</v>
          </cell>
        </row>
        <row r="290">
          <cell r="A290" t="str">
            <v>서울일보</v>
          </cell>
          <cell r="B290" t="str">
            <v>08_기타일간지</v>
          </cell>
          <cell r="C290">
            <v>2</v>
          </cell>
        </row>
        <row r="291">
          <cell r="A291" t="str">
            <v>현대일보</v>
          </cell>
          <cell r="B291" t="str">
            <v>09_지방일간지</v>
          </cell>
          <cell r="C291">
            <v>1.5</v>
          </cell>
        </row>
        <row r="292">
          <cell r="A292" t="str">
            <v>신아일보</v>
          </cell>
          <cell r="B292" t="str">
            <v>09_지방일간지</v>
          </cell>
          <cell r="C292">
            <v>1.5</v>
          </cell>
        </row>
        <row r="293">
          <cell r="A293" t="str">
            <v>경인종합일보</v>
          </cell>
          <cell r="B293" t="str">
            <v>09_지방일간지</v>
          </cell>
          <cell r="C293">
            <v>1.5</v>
          </cell>
        </row>
        <row r="294">
          <cell r="A294" t="str">
            <v>한성일보</v>
          </cell>
          <cell r="B294" t="str">
            <v>09_지방일간지</v>
          </cell>
          <cell r="C294">
            <v>1.5</v>
          </cell>
        </row>
        <row r="295">
          <cell r="A295" t="str">
            <v>경기도민일보</v>
          </cell>
          <cell r="B295" t="str">
            <v>09_지방일간지</v>
          </cell>
          <cell r="C295">
            <v>1.5</v>
          </cell>
        </row>
        <row r="296">
          <cell r="A296" t="str">
            <v>서울매일</v>
          </cell>
          <cell r="B296" t="str">
            <v>09_지방일간지</v>
          </cell>
          <cell r="C296">
            <v>1.5</v>
          </cell>
        </row>
        <row r="297">
          <cell r="A297" t="str">
            <v>경기매일</v>
          </cell>
          <cell r="B297" t="str">
            <v>09_지방일간지</v>
          </cell>
          <cell r="C297">
            <v>1.5</v>
          </cell>
        </row>
        <row r="298">
          <cell r="A298" t="str">
            <v>열린뉴스통신</v>
          </cell>
          <cell r="B298" t="str">
            <v>13_인터넷포털</v>
          </cell>
          <cell r="C298">
            <v>0.1</v>
          </cell>
        </row>
        <row r="299">
          <cell r="A299" t="str">
            <v>축산경제신문신문</v>
          </cell>
          <cell r="B299" t="str">
            <v>09_농업전문지</v>
          </cell>
          <cell r="C299">
            <v>1.5</v>
          </cell>
        </row>
        <row r="300">
          <cell r="A300" t="str">
            <v>대한경제</v>
          </cell>
          <cell r="B300" t="str">
            <v>13_인터넷포털</v>
          </cell>
          <cell r="C300">
            <v>0.1</v>
          </cell>
        </row>
        <row r="301">
          <cell r="A301" t="str">
            <v>UPI뉴스</v>
          </cell>
          <cell r="B301" t="str">
            <v>13_인터넷포털</v>
          </cell>
          <cell r="C301">
            <v>0.1</v>
          </cell>
        </row>
        <row r="302">
          <cell r="A302" t="str">
            <v>스카이데일리</v>
          </cell>
          <cell r="B302" t="str">
            <v>13_인터넷포털</v>
          </cell>
          <cell r="C302">
            <v>0.1</v>
          </cell>
        </row>
        <row r="303">
          <cell r="A303" t="str">
            <v>농업인신문</v>
          </cell>
          <cell r="B303" t="str">
            <v>17_농업전문지</v>
          </cell>
          <cell r="C303">
            <v>8</v>
          </cell>
        </row>
        <row r="304">
          <cell r="A304" t="str">
            <v>호남신문</v>
          </cell>
          <cell r="B304" t="str">
            <v>09_지방일간지</v>
          </cell>
          <cell r="C304">
            <v>1.5</v>
          </cell>
        </row>
        <row r="305">
          <cell r="A305" t="str">
            <v>전광투데이</v>
          </cell>
          <cell r="B305" t="str">
            <v>09_지방일간지</v>
          </cell>
          <cell r="C305">
            <v>1.5</v>
          </cell>
        </row>
        <row r="306">
          <cell r="A306" t="str">
            <v>일간투데이</v>
          </cell>
          <cell r="B306" t="str">
            <v>08_기타일간지</v>
          </cell>
          <cell r="C306">
            <v>2</v>
          </cell>
        </row>
        <row r="307">
          <cell r="A307" t="str">
            <v>도민일보</v>
          </cell>
          <cell r="B307" t="str">
            <v>09_지방일간지</v>
          </cell>
          <cell r="C307">
            <v>1.5</v>
          </cell>
        </row>
        <row r="308">
          <cell r="A308" t="str">
            <v>동아사이언스</v>
          </cell>
          <cell r="B308" t="str">
            <v>10_기타월간지</v>
          </cell>
          <cell r="C308">
            <v>1</v>
          </cell>
        </row>
        <row r="309">
          <cell r="A309" t="str">
            <v>시사일보</v>
          </cell>
          <cell r="B309" t="str">
            <v>11_기타(지역주간지)</v>
          </cell>
          <cell r="C309">
            <v>0.5</v>
          </cell>
        </row>
        <row r="310">
          <cell r="A310" t="str">
            <v>컨슈머타임스</v>
          </cell>
          <cell r="B310" t="str">
            <v>13_인터넷포털</v>
          </cell>
          <cell r="C310">
            <v>0.1</v>
          </cell>
        </row>
        <row r="311">
          <cell r="A311" t="str">
            <v>통합뉴스</v>
          </cell>
          <cell r="B311" t="str">
            <v>13_인터넷포털</v>
          </cell>
          <cell r="C311">
            <v>0.1</v>
          </cell>
        </row>
        <row r="312">
          <cell r="A312" t="str">
            <v>국민TV</v>
          </cell>
          <cell r="B312" t="str">
            <v>13_인터넷포털</v>
          </cell>
          <cell r="C312">
            <v>0.1</v>
          </cell>
        </row>
        <row r="313">
          <cell r="A313" t="str">
            <v>경기북부탑뉴스</v>
          </cell>
          <cell r="B313" t="str">
            <v>13_인터넷포털</v>
          </cell>
          <cell r="C313">
            <v>0.1</v>
          </cell>
        </row>
        <row r="314">
          <cell r="A314" t="str">
            <v>아시아경제</v>
          </cell>
          <cell r="B314" t="str">
            <v>15_중앙일간지</v>
          </cell>
          <cell r="C314">
            <v>15</v>
          </cell>
        </row>
        <row r="315">
          <cell r="A315" t="str">
            <v>광주가톨릭평화방송</v>
          </cell>
          <cell r="B315" t="str">
            <v>03_TV-케이블지방</v>
          </cell>
          <cell r="C315">
            <v>2.5</v>
          </cell>
        </row>
        <row r="316">
          <cell r="A316" t="str">
            <v>한국농기계신문</v>
          </cell>
          <cell r="B316" t="str">
            <v>09_농업전문지</v>
          </cell>
          <cell r="C316">
            <v>1.5</v>
          </cell>
        </row>
        <row r="317">
          <cell r="A317" t="str">
            <v>농축산기계</v>
          </cell>
          <cell r="B317" t="str">
            <v>10_기타전문지</v>
          </cell>
          <cell r="C317">
            <v>1</v>
          </cell>
        </row>
        <row r="318">
          <cell r="A318" t="str">
            <v>경기북부포커스</v>
          </cell>
          <cell r="B318" t="str">
            <v>11_기타(지역주간지)</v>
          </cell>
          <cell r="C318">
            <v>0.5</v>
          </cell>
        </row>
        <row r="319">
          <cell r="A319" t="str">
            <v>메이킹뉴스</v>
          </cell>
          <cell r="B319" t="str">
            <v>13_인터넷포털</v>
          </cell>
          <cell r="C319">
            <v>0.1</v>
          </cell>
        </row>
        <row r="320">
          <cell r="A320" t="str">
            <v>이코노믹포스트</v>
          </cell>
          <cell r="B320" t="str">
            <v>13_인터넷포털</v>
          </cell>
          <cell r="C320">
            <v>0.1</v>
          </cell>
        </row>
        <row r="321">
          <cell r="A321" t="str">
            <v>뉴스에이</v>
          </cell>
          <cell r="B321" t="str">
            <v>13_인터넷포털</v>
          </cell>
          <cell r="C321">
            <v>0.1</v>
          </cell>
        </row>
        <row r="322">
          <cell r="A322" t="str">
            <v>K재널</v>
          </cell>
          <cell r="B322" t="str">
            <v>13_인터넷포털</v>
          </cell>
          <cell r="C322">
            <v>0.1</v>
          </cell>
        </row>
        <row r="323">
          <cell r="A323" t="str">
            <v>플러스코리아 타임즈</v>
          </cell>
          <cell r="B323" t="str">
            <v>13_인터넷포털</v>
          </cell>
          <cell r="C323">
            <v>0.1</v>
          </cell>
        </row>
        <row r="324">
          <cell r="A324" t="str">
            <v>GBS방송</v>
          </cell>
          <cell r="B324" t="str">
            <v>13_인터넷포털</v>
          </cell>
          <cell r="C324">
            <v>0.1</v>
          </cell>
        </row>
        <row r="325">
          <cell r="A325" t="str">
            <v>서울시티</v>
          </cell>
          <cell r="B325" t="str">
            <v>13_인터넷포털</v>
          </cell>
          <cell r="C325">
            <v>0.1</v>
          </cell>
        </row>
        <row r="326">
          <cell r="A326" t="str">
            <v>파퓰러사이언스</v>
          </cell>
          <cell r="B326" t="str">
            <v>13_인터넷포털</v>
          </cell>
          <cell r="C326">
            <v>0.1</v>
          </cell>
        </row>
        <row r="327">
          <cell r="A327" t="str">
            <v>전라매일</v>
          </cell>
          <cell r="B327" t="str">
            <v>09_지방일간지</v>
          </cell>
          <cell r="C327">
            <v>1.5</v>
          </cell>
        </row>
        <row r="328">
          <cell r="A328" t="str">
            <v>매일경제</v>
          </cell>
          <cell r="B328" t="str">
            <v>07_중앙일간지</v>
          </cell>
          <cell r="C328">
            <v>5</v>
          </cell>
        </row>
        <row r="329">
          <cell r="A329" t="str">
            <v>브릿지경제</v>
          </cell>
          <cell r="B329" t="str">
            <v>11_기타(지역주간지)</v>
          </cell>
          <cell r="C329">
            <v>0.5</v>
          </cell>
        </row>
        <row r="330">
          <cell r="A330" t="str">
            <v>뉴스경남</v>
          </cell>
          <cell r="B330" t="str">
            <v>09_지방일간지</v>
          </cell>
          <cell r="C330">
            <v>1.5</v>
          </cell>
        </row>
        <row r="331">
          <cell r="A331" t="str">
            <v>경남도민신문</v>
          </cell>
          <cell r="B331" t="str">
            <v>09_지방일간지</v>
          </cell>
          <cell r="C331">
            <v>1.5</v>
          </cell>
        </row>
        <row r="332">
          <cell r="A332" t="str">
            <v>울산신문</v>
          </cell>
          <cell r="B332" t="str">
            <v>09_지방일간지</v>
          </cell>
          <cell r="C332">
            <v>1.5</v>
          </cell>
        </row>
        <row r="333">
          <cell r="A333" t="str">
            <v>울산매일신문</v>
          </cell>
          <cell r="B333" t="str">
            <v>09_지방일간지</v>
          </cell>
          <cell r="C333">
            <v>1.5</v>
          </cell>
        </row>
        <row r="334">
          <cell r="A334" t="str">
            <v>경남에나뉴스</v>
          </cell>
          <cell r="B334" t="str">
            <v>13_인터넷포털</v>
          </cell>
          <cell r="C334">
            <v>0.1</v>
          </cell>
        </row>
        <row r="335">
          <cell r="A335" t="str">
            <v>로컬세계</v>
          </cell>
          <cell r="B335" t="str">
            <v>13_인터넷포털</v>
          </cell>
          <cell r="C335">
            <v>0.1</v>
          </cell>
        </row>
        <row r="336">
          <cell r="A336" t="str">
            <v>경북도민일보</v>
          </cell>
          <cell r="B336" t="str">
            <v>09_지방일간지</v>
          </cell>
          <cell r="C336">
            <v>1.5</v>
          </cell>
        </row>
        <row r="337">
          <cell r="A337" t="str">
            <v>오늘경제</v>
          </cell>
          <cell r="B337" t="str">
            <v>13_인터넷포털</v>
          </cell>
          <cell r="C337">
            <v>0.1</v>
          </cell>
        </row>
        <row r="338">
          <cell r="A338" t="str">
            <v>전국뉴스</v>
          </cell>
          <cell r="B338" t="str">
            <v>13_인터넷포털</v>
          </cell>
          <cell r="C338">
            <v>0.1</v>
          </cell>
        </row>
        <row r="339">
          <cell r="A339" t="str">
            <v>경북인터넷뉴스</v>
          </cell>
          <cell r="B339" t="str">
            <v>13_인터넷포털</v>
          </cell>
          <cell r="C339">
            <v>0.1</v>
          </cell>
        </row>
        <row r="340">
          <cell r="A340" t="str">
            <v>경북TV뉴스</v>
          </cell>
          <cell r="B340" t="str">
            <v>13_인터넷포털</v>
          </cell>
          <cell r="C340">
            <v>0.1</v>
          </cell>
        </row>
        <row r="341">
          <cell r="A341" t="str">
            <v>일간경북신문</v>
          </cell>
          <cell r="B341" t="str">
            <v>09_지방일간지</v>
          </cell>
          <cell r="C341">
            <v>1.5</v>
          </cell>
        </row>
        <row r="342">
          <cell r="A342" t="str">
            <v>경북중앙신문</v>
          </cell>
          <cell r="B342" t="str">
            <v>09_지방일간지</v>
          </cell>
          <cell r="C342">
            <v>1.5</v>
          </cell>
        </row>
        <row r="343">
          <cell r="A343" t="str">
            <v>경북제일신문</v>
          </cell>
          <cell r="B343" t="str">
            <v>13_인터넷포털</v>
          </cell>
          <cell r="C343">
            <v>0.1</v>
          </cell>
        </row>
        <row r="344">
          <cell r="A344" t="str">
            <v>위클리오늘</v>
          </cell>
          <cell r="B344" t="str">
            <v>10_주간지</v>
          </cell>
          <cell r="C344">
            <v>1</v>
          </cell>
        </row>
        <row r="345">
          <cell r="A345" t="str">
            <v>홍천인터넷뉴스</v>
          </cell>
          <cell r="B345" t="str">
            <v>13_인터넷포털</v>
          </cell>
          <cell r="C345">
            <v>0.1</v>
          </cell>
        </row>
        <row r="346">
          <cell r="A346" t="str">
            <v>제이누리</v>
          </cell>
          <cell r="B346" t="str">
            <v>13_인터넷포털</v>
          </cell>
          <cell r="C346">
            <v>0.1</v>
          </cell>
        </row>
        <row r="347">
          <cell r="A347" t="str">
            <v>제민일보</v>
          </cell>
          <cell r="B347" t="str">
            <v>11_기타(지역주간지)</v>
          </cell>
          <cell r="C347">
            <v>0.5</v>
          </cell>
        </row>
        <row r="348">
          <cell r="A348" t="str">
            <v>강원신문</v>
          </cell>
          <cell r="B348" t="str">
            <v>11_기타(지역주간지)</v>
          </cell>
          <cell r="C348">
            <v>0.5</v>
          </cell>
        </row>
        <row r="349">
          <cell r="A349" t="str">
            <v>소년한국일보</v>
          </cell>
          <cell r="B349" t="str">
            <v>13_인터넷포털</v>
          </cell>
          <cell r="C349">
            <v>0.1</v>
          </cell>
        </row>
        <row r="350">
          <cell r="A350" t="str">
            <v>동방일보</v>
          </cell>
          <cell r="B350" t="str">
            <v>08_기타일간지</v>
          </cell>
          <cell r="C350">
            <v>2</v>
          </cell>
        </row>
        <row r="351">
          <cell r="A351" t="str">
            <v>중앙일보</v>
          </cell>
          <cell r="B351" t="str">
            <v>07_중앙일간지</v>
          </cell>
          <cell r="C351">
            <v>5</v>
          </cell>
        </row>
        <row r="352">
          <cell r="A352" t="str">
            <v>잡포스트</v>
          </cell>
          <cell r="B352" t="str">
            <v>13_인터넷포털</v>
          </cell>
          <cell r="C352">
            <v>0.1</v>
          </cell>
        </row>
        <row r="353">
          <cell r="A353" t="str">
            <v>창원일보</v>
          </cell>
          <cell r="B353" t="str">
            <v>09_지방일간지</v>
          </cell>
          <cell r="C353">
            <v>1.5</v>
          </cell>
        </row>
        <row r="354">
          <cell r="A354" t="str">
            <v>C뉴스041</v>
          </cell>
          <cell r="B354" t="str">
            <v>13_인터넷포털</v>
          </cell>
          <cell r="C354">
            <v>0.1</v>
          </cell>
        </row>
        <row r="355">
          <cell r="A355" t="str">
            <v>뉴스세상</v>
          </cell>
          <cell r="B355" t="str">
            <v>13_인터넷포털</v>
          </cell>
          <cell r="C355">
            <v>0.1</v>
          </cell>
        </row>
        <row r="356">
          <cell r="A356" t="str">
            <v>비마이펫</v>
          </cell>
          <cell r="B356" t="str">
            <v>13_인터넷포털</v>
          </cell>
          <cell r="C356">
            <v>0.1</v>
          </cell>
        </row>
        <row r="357">
          <cell r="A357" t="str">
            <v>스브스프리미엄</v>
          </cell>
          <cell r="B357" t="str">
            <v>13_인터넷포털</v>
          </cell>
          <cell r="C357">
            <v>0.1</v>
          </cell>
        </row>
        <row r="358">
          <cell r="A358" t="str">
            <v>충청일보</v>
          </cell>
          <cell r="B358" t="str">
            <v>09_지방일간지</v>
          </cell>
          <cell r="C358">
            <v>1.5</v>
          </cell>
        </row>
        <row r="359">
          <cell r="A359" t="str">
            <v>경남매일</v>
          </cell>
          <cell r="B359" t="str">
            <v>09_지방일간지</v>
          </cell>
          <cell r="C359">
            <v>1.5</v>
          </cell>
        </row>
        <row r="360">
          <cell r="A360" t="str">
            <v>충남일보</v>
          </cell>
          <cell r="B360" t="str">
            <v>09_지방일간지</v>
          </cell>
          <cell r="C360">
            <v>1.5</v>
          </cell>
        </row>
        <row r="361">
          <cell r="A361" t="str">
            <v>시대일보</v>
          </cell>
          <cell r="B361" t="str">
            <v>09_지방일간지</v>
          </cell>
          <cell r="C361">
            <v>1.5</v>
          </cell>
        </row>
        <row r="362">
          <cell r="A362" t="str">
            <v>이뉴스투데이</v>
          </cell>
          <cell r="B362" t="str">
            <v>10_주간지</v>
          </cell>
          <cell r="C362">
            <v>1</v>
          </cell>
        </row>
        <row r="363">
          <cell r="A363" t="str">
            <v>중부신문</v>
          </cell>
          <cell r="B363" t="str">
            <v>11_기타(지역주간지)</v>
          </cell>
          <cell r="C363">
            <v>0.5</v>
          </cell>
        </row>
        <row r="364">
          <cell r="A364" t="str">
            <v>충남도민일보</v>
          </cell>
          <cell r="B364" t="str">
            <v>13_인터넷포털</v>
          </cell>
          <cell r="C364">
            <v>0.1</v>
          </cell>
        </row>
        <row r="365">
          <cell r="A365" t="str">
            <v>충남신문</v>
          </cell>
          <cell r="B365" t="str">
            <v>11_기타(지역주간지)</v>
          </cell>
          <cell r="C365">
            <v>0.5</v>
          </cell>
        </row>
        <row r="366">
          <cell r="A366" t="str">
            <v>대전투데이</v>
          </cell>
          <cell r="B366" t="str">
            <v>09_지방일간지</v>
          </cell>
          <cell r="C366">
            <v>1.5</v>
          </cell>
        </row>
        <row r="367">
          <cell r="A367" t="str">
            <v>시사코리아저널</v>
          </cell>
          <cell r="B367" t="str">
            <v>11_기타(지역주간지)</v>
          </cell>
          <cell r="C367">
            <v>0.5</v>
          </cell>
        </row>
        <row r="368">
          <cell r="A368" t="str">
            <v>담양곡성타임즈</v>
          </cell>
          <cell r="B368" t="str">
            <v>11_기타(지역주간지)</v>
          </cell>
          <cell r="C368">
            <v>0.5</v>
          </cell>
        </row>
        <row r="369">
          <cell r="A369" t="str">
            <v>예산뉴스</v>
          </cell>
          <cell r="B369" t="str">
            <v>13_인터넷포털</v>
          </cell>
          <cell r="C369">
            <v>0.1</v>
          </cell>
        </row>
        <row r="370">
          <cell r="A370" t="str">
            <v>불교공뉴스</v>
          </cell>
          <cell r="B370" t="str">
            <v>13_인터넷포털</v>
          </cell>
          <cell r="C370">
            <v>0.1</v>
          </cell>
        </row>
        <row r="371">
          <cell r="A371" t="str">
            <v>뉴스메이커</v>
          </cell>
          <cell r="B371" t="str">
            <v>10_기타월간지</v>
          </cell>
          <cell r="C371">
            <v>1</v>
          </cell>
        </row>
        <row r="372">
          <cell r="A372" t="str">
            <v>팍스경제TV</v>
          </cell>
          <cell r="B372" t="str">
            <v>13_인터넷포털</v>
          </cell>
          <cell r="C372">
            <v>0.1</v>
          </cell>
        </row>
        <row r="373">
          <cell r="A373" t="str">
            <v>누리일보</v>
          </cell>
          <cell r="B373" t="str">
            <v>13_인터넷포털</v>
          </cell>
          <cell r="C373">
            <v>0.1</v>
          </cell>
        </row>
        <row r="374">
          <cell r="A374" t="str">
            <v>서울경제</v>
          </cell>
          <cell r="B374" t="str">
            <v>07_중앙일간지</v>
          </cell>
          <cell r="C374">
            <v>5</v>
          </cell>
        </row>
        <row r="375">
          <cell r="A375" t="str">
            <v>에너지경제</v>
          </cell>
          <cell r="B375" t="str">
            <v>08_기타일간지</v>
          </cell>
          <cell r="C375">
            <v>2</v>
          </cell>
        </row>
        <row r="376">
          <cell r="A376" t="str">
            <v>CBN뉴스</v>
          </cell>
          <cell r="B376" t="str">
            <v>13_인터넷포털</v>
          </cell>
          <cell r="C376">
            <v>0.1</v>
          </cell>
        </row>
        <row r="377">
          <cell r="A377" t="str">
            <v>대경일보</v>
          </cell>
          <cell r="B377" t="str">
            <v>09_지방일간지</v>
          </cell>
          <cell r="C377">
            <v>1.5</v>
          </cell>
        </row>
        <row r="378">
          <cell r="A378" t="str">
            <v>전기신문</v>
          </cell>
          <cell r="B378" t="str">
            <v>10_기타전문지</v>
          </cell>
          <cell r="C378">
            <v>1</v>
          </cell>
        </row>
        <row r="379">
          <cell r="A379" t="str">
            <v>경북일일신문</v>
          </cell>
          <cell r="B379" t="str">
            <v>11_기타(지역주간지)</v>
          </cell>
          <cell r="C379">
            <v>0.5</v>
          </cell>
        </row>
        <row r="380">
          <cell r="A380" t="str">
            <v>프라임경북뉴스</v>
          </cell>
          <cell r="B380" t="str">
            <v>13_인터넷포털</v>
          </cell>
          <cell r="C380">
            <v>0.1</v>
          </cell>
        </row>
        <row r="381">
          <cell r="A381" t="str">
            <v>한국디지털뉴스</v>
          </cell>
          <cell r="B381" t="str">
            <v>13_인터넷포털</v>
          </cell>
          <cell r="C381">
            <v>0.1</v>
          </cell>
        </row>
        <row r="382">
          <cell r="A382" t="str">
            <v>소년조선일보</v>
          </cell>
          <cell r="B382" t="str">
            <v>13_인터넷포털</v>
          </cell>
          <cell r="C382">
            <v>0.1</v>
          </cell>
        </row>
        <row r="383">
          <cell r="A383" t="str">
            <v>EBN 산업경제</v>
          </cell>
          <cell r="B383" t="str">
            <v>13_인터넷포털</v>
          </cell>
          <cell r="C383">
            <v>0.1</v>
          </cell>
        </row>
        <row r="384">
          <cell r="A384" t="str">
            <v>포쓰저널</v>
          </cell>
          <cell r="B384" t="str">
            <v>13_인터넷포털</v>
          </cell>
          <cell r="C384">
            <v>0.1</v>
          </cell>
        </row>
        <row r="385">
          <cell r="A385" t="str">
            <v>경기앤뉴스</v>
          </cell>
          <cell r="B385" t="str">
            <v>13_인터넷포털</v>
          </cell>
          <cell r="C385">
            <v>0.1</v>
          </cell>
        </row>
        <row r="386">
          <cell r="A386" t="str">
            <v>월간중앙</v>
          </cell>
          <cell r="B386" t="str">
            <v>10_기타월간지</v>
          </cell>
          <cell r="C386">
            <v>1</v>
          </cell>
        </row>
        <row r="387">
          <cell r="A387" t="str">
            <v>에코저널</v>
          </cell>
          <cell r="B387" t="str">
            <v>13_인터넷포털</v>
          </cell>
          <cell r="C387">
            <v>0.1</v>
          </cell>
        </row>
        <row r="388">
          <cell r="A388" t="str">
            <v>농민신문</v>
          </cell>
          <cell r="B388" t="str">
            <v>17_농업전문지</v>
          </cell>
          <cell r="C388">
            <v>8</v>
          </cell>
        </row>
        <row r="389">
          <cell r="A389" t="str">
            <v>전자신문</v>
          </cell>
          <cell r="B389" t="str">
            <v>08_기타일간지</v>
          </cell>
          <cell r="C389">
            <v>2</v>
          </cell>
        </row>
        <row r="390">
          <cell r="A390" t="str">
            <v>여성종합뉴스</v>
          </cell>
          <cell r="B390" t="str">
            <v>13_인터넷포털</v>
          </cell>
          <cell r="C390">
            <v>0.1</v>
          </cell>
        </row>
        <row r="391">
          <cell r="A391" t="str">
            <v>로봇신문</v>
          </cell>
          <cell r="B391" t="str">
            <v>13_인터넷포털</v>
          </cell>
          <cell r="C391">
            <v>0.1</v>
          </cell>
        </row>
        <row r="392">
          <cell r="A392" t="str">
            <v>지디넷코리아</v>
          </cell>
          <cell r="B392" t="str">
            <v>13_인터넷포털</v>
          </cell>
          <cell r="C392">
            <v>0.1</v>
          </cell>
        </row>
        <row r="393">
          <cell r="A393" t="str">
            <v>데일리임팩트</v>
          </cell>
          <cell r="B393" t="str">
            <v>13_인터넷포털</v>
          </cell>
          <cell r="C393">
            <v>0.1</v>
          </cell>
        </row>
        <row r="394">
          <cell r="A394" t="str">
            <v>한국시민기자협회</v>
          </cell>
          <cell r="B394" t="str">
            <v>13_인터넷포털</v>
          </cell>
          <cell r="C394">
            <v>0.1</v>
          </cell>
        </row>
        <row r="395">
          <cell r="A395" t="str">
            <v>전주KBS 라디오</v>
          </cell>
          <cell r="B395" t="str">
            <v>06_라디오-지방</v>
          </cell>
          <cell r="C395">
            <v>1.5</v>
          </cell>
        </row>
        <row r="396">
          <cell r="A396" t="str">
            <v>조선비즈</v>
          </cell>
          <cell r="B396" t="str">
            <v>11_기타(지역주간지)</v>
          </cell>
          <cell r="C396">
            <v>0.5</v>
          </cell>
        </row>
        <row r="397">
          <cell r="A397" t="str">
            <v>와이뉴스</v>
          </cell>
          <cell r="B397" t="str">
            <v>10_기타월간지</v>
          </cell>
          <cell r="C397">
            <v>1</v>
          </cell>
        </row>
        <row r="398">
          <cell r="A398" t="str">
            <v>대한급식식문</v>
          </cell>
          <cell r="B398" t="str">
            <v>09_농업전문지</v>
          </cell>
          <cell r="C398">
            <v>1.5</v>
          </cell>
        </row>
        <row r="399">
          <cell r="A399" t="str">
            <v>스타트업엔</v>
          </cell>
          <cell r="B399" t="str">
            <v>13_인터넷포털</v>
          </cell>
          <cell r="C399">
            <v>0.1</v>
          </cell>
        </row>
        <row r="400">
          <cell r="A400" t="str">
            <v>중부매일</v>
          </cell>
          <cell r="B400" t="str">
            <v>09_지방일간지</v>
          </cell>
          <cell r="C400">
            <v>1.5</v>
          </cell>
        </row>
        <row r="401">
          <cell r="A401" t="str">
            <v>프라임경제</v>
          </cell>
          <cell r="B401" t="str">
            <v>10_주간지</v>
          </cell>
          <cell r="C401">
            <v>1</v>
          </cell>
        </row>
        <row r="402">
          <cell r="A402" t="str">
            <v>경인신문</v>
          </cell>
          <cell r="B402" t="str">
            <v>13_인터넷포털</v>
          </cell>
          <cell r="C402">
            <v>0.1</v>
          </cell>
        </row>
        <row r="403">
          <cell r="A403" t="str">
            <v>이천뉴스</v>
          </cell>
          <cell r="B403" t="str">
            <v>13_인터넷포털</v>
          </cell>
          <cell r="C403">
            <v>0.1</v>
          </cell>
        </row>
        <row r="404">
          <cell r="A404" t="str">
            <v>중앙신문</v>
          </cell>
          <cell r="B404" t="str">
            <v>13_인터넷포털</v>
          </cell>
          <cell r="C404">
            <v>0.1</v>
          </cell>
        </row>
        <row r="405">
          <cell r="A405" t="str">
            <v>충청뉴스</v>
          </cell>
          <cell r="B405" t="str">
            <v>13_인터넷포털</v>
          </cell>
          <cell r="C405">
            <v>0.1</v>
          </cell>
        </row>
        <row r="406">
          <cell r="A406" t="str">
            <v>충청신문</v>
          </cell>
          <cell r="B406" t="str">
            <v>09_지방일간지</v>
          </cell>
          <cell r="C406">
            <v>1.5</v>
          </cell>
        </row>
        <row r="407">
          <cell r="A407" t="str">
            <v>수원인터넷뉴스</v>
          </cell>
          <cell r="B407" t="str">
            <v>13_인터넷포털</v>
          </cell>
          <cell r="C407">
            <v>0.1</v>
          </cell>
        </row>
        <row r="408">
          <cell r="A408" t="str">
            <v>경기데일리</v>
          </cell>
          <cell r="B408" t="str">
            <v>13_인터넷포털</v>
          </cell>
          <cell r="C408">
            <v>0.1</v>
          </cell>
        </row>
        <row r="409">
          <cell r="A409" t="str">
            <v>시사이천</v>
          </cell>
          <cell r="B409" t="str">
            <v>13_인터넷포털</v>
          </cell>
          <cell r="C409">
            <v>0.1</v>
          </cell>
        </row>
        <row r="410">
          <cell r="A410" t="str">
            <v>투데이경제</v>
          </cell>
          <cell r="B410" t="str">
            <v>13_인터넷포털</v>
          </cell>
          <cell r="C410">
            <v>0.1</v>
          </cell>
        </row>
        <row r="411">
          <cell r="A411" t="str">
            <v>서산인터넷뉴스</v>
          </cell>
          <cell r="B411" t="str">
            <v>13_인터넷포털</v>
          </cell>
          <cell r="C411">
            <v>0.1</v>
          </cell>
        </row>
        <row r="412">
          <cell r="A412" t="str">
            <v>뉴스밴드</v>
          </cell>
          <cell r="B412" t="str">
            <v>13_인터넷포털</v>
          </cell>
          <cell r="C412">
            <v>0.1</v>
          </cell>
        </row>
        <row r="413">
          <cell r="A413" t="str">
            <v>금강일보</v>
          </cell>
          <cell r="B413" t="str">
            <v>09_지방일간지</v>
          </cell>
          <cell r="C413">
            <v>1.5</v>
          </cell>
        </row>
        <row r="414">
          <cell r="A414" t="str">
            <v>한국목재신문</v>
          </cell>
          <cell r="B414" t="str">
            <v>10_기타전문지</v>
          </cell>
          <cell r="C414">
            <v>1</v>
          </cell>
        </row>
        <row r="415">
          <cell r="A415" t="str">
            <v>천안신문</v>
          </cell>
          <cell r="B415" t="str">
            <v>11_기타(지역주간지)</v>
          </cell>
          <cell r="C415">
            <v>0.5</v>
          </cell>
        </row>
        <row r="416">
          <cell r="A416" t="str">
            <v>베리타스알파</v>
          </cell>
          <cell r="B416" t="str">
            <v>13_인터넷포털</v>
          </cell>
          <cell r="C416">
            <v>0.1</v>
          </cell>
        </row>
        <row r="417">
          <cell r="A417" t="str">
            <v>베타뉴스</v>
          </cell>
          <cell r="B417" t="str">
            <v>13_인터넷포털</v>
          </cell>
          <cell r="C417">
            <v>0.1</v>
          </cell>
        </row>
        <row r="418">
          <cell r="A418" t="str">
            <v>천안일보</v>
          </cell>
          <cell r="B418" t="str">
            <v>13_인터넷포털</v>
          </cell>
          <cell r="C418">
            <v>0.1</v>
          </cell>
        </row>
        <row r="419">
          <cell r="A419" t="str">
            <v>충청탑뉴스</v>
          </cell>
          <cell r="B419" t="str">
            <v>13_인터넷포털</v>
          </cell>
          <cell r="C419">
            <v>0.1</v>
          </cell>
        </row>
        <row r="420">
          <cell r="A420" t="str">
            <v>현대경제</v>
          </cell>
          <cell r="B420" t="str">
            <v>13_인터넷포털</v>
          </cell>
          <cell r="C420">
            <v>0.1</v>
          </cell>
        </row>
        <row r="421">
          <cell r="A421" t="str">
            <v>한우마당</v>
          </cell>
          <cell r="B421" t="str">
            <v>10_월간지</v>
          </cell>
          <cell r="C421">
            <v>1</v>
          </cell>
        </row>
        <row r="422">
          <cell r="A422" t="str">
            <v>KNN</v>
          </cell>
          <cell r="B422" t="str">
            <v>02_TV-지방</v>
          </cell>
          <cell r="C422">
            <v>4</v>
          </cell>
        </row>
        <row r="423">
          <cell r="A423" t="str">
            <v>디트뉴스24</v>
          </cell>
          <cell r="B423" t="str">
            <v>13_인터넷포털</v>
          </cell>
          <cell r="C423">
            <v>0.1</v>
          </cell>
        </row>
        <row r="424">
          <cell r="A424" t="str">
            <v>데이터솜</v>
          </cell>
          <cell r="B424" t="str">
            <v>13_인터넷포털</v>
          </cell>
          <cell r="C424">
            <v>0.1</v>
          </cell>
        </row>
        <row r="425">
          <cell r="A425" t="str">
            <v>뉴스충청인</v>
          </cell>
          <cell r="B425" t="str">
            <v>13_인터넷포털</v>
          </cell>
          <cell r="C425">
            <v>0.1</v>
          </cell>
        </row>
        <row r="426">
          <cell r="A426" t="str">
            <v>남해미래</v>
          </cell>
          <cell r="B426" t="str">
            <v>13_인터넷포털</v>
          </cell>
          <cell r="C426">
            <v>0.1</v>
          </cell>
        </row>
        <row r="427">
          <cell r="A427" t="str">
            <v>KBS강릉-TV</v>
          </cell>
          <cell r="B427" t="str">
            <v>02_TV-지방</v>
          </cell>
          <cell r="C427">
            <v>4</v>
          </cell>
        </row>
        <row r="428">
          <cell r="A428" t="str">
            <v>YTN-TV</v>
          </cell>
          <cell r="B428" t="str">
            <v>02_TV-케이블중앙</v>
          </cell>
          <cell r="C428">
            <v>4</v>
          </cell>
        </row>
        <row r="429">
          <cell r="A429" t="str">
            <v>식품외식경제</v>
          </cell>
          <cell r="B429" t="str">
            <v>09_농업전문지</v>
          </cell>
          <cell r="C429">
            <v>1.5</v>
          </cell>
        </row>
        <row r="430">
          <cell r="A430" t="str">
            <v>OBS라디오</v>
          </cell>
          <cell r="B430" t="str">
            <v>06_라디오-지방</v>
          </cell>
          <cell r="C430">
            <v>1.5</v>
          </cell>
        </row>
        <row r="431">
          <cell r="A431" t="str">
            <v>JTBC-TV</v>
          </cell>
          <cell r="B431" t="str">
            <v>02_TV-종합편성채널</v>
          </cell>
          <cell r="C431">
            <v>4</v>
          </cell>
        </row>
        <row r="432">
          <cell r="A432" t="str">
            <v>KBS강원</v>
          </cell>
          <cell r="B432" t="str">
            <v>02_TV-지방</v>
          </cell>
          <cell r="C432">
            <v>4</v>
          </cell>
        </row>
        <row r="433">
          <cell r="A433" t="str">
            <v>한라일보</v>
          </cell>
          <cell r="B433" t="str">
            <v>09_지방일간지</v>
          </cell>
          <cell r="C433">
            <v>1.5</v>
          </cell>
        </row>
        <row r="434">
          <cell r="A434" t="str">
            <v>제주일보</v>
          </cell>
          <cell r="B434" t="str">
            <v>09_지방일간지</v>
          </cell>
          <cell r="C434">
            <v>1.5</v>
          </cell>
        </row>
        <row r="435">
          <cell r="A435" t="str">
            <v>K채널</v>
          </cell>
          <cell r="B435" t="str">
            <v>13_인터넷포털</v>
          </cell>
          <cell r="C435">
            <v>0.1</v>
          </cell>
        </row>
        <row r="436">
          <cell r="A436" t="str">
            <v>대학저널</v>
          </cell>
          <cell r="B436" t="str">
            <v>13_인터넷포털</v>
          </cell>
          <cell r="C436">
            <v>0.1</v>
          </cell>
        </row>
        <row r="437">
          <cell r="A437" t="str">
            <v>k스피릿</v>
          </cell>
          <cell r="B437" t="str">
            <v>13_인터넷포털</v>
          </cell>
          <cell r="C437">
            <v>0.1</v>
          </cell>
        </row>
        <row r="438">
          <cell r="A438" t="str">
            <v>국민매일</v>
          </cell>
          <cell r="B438" t="str">
            <v>13_인터넷포털</v>
          </cell>
          <cell r="C438">
            <v>0.1</v>
          </cell>
        </row>
        <row r="439">
          <cell r="A439" t="str">
            <v>더팩트</v>
          </cell>
          <cell r="B439" t="str">
            <v>13_인터넷포털</v>
          </cell>
          <cell r="C439">
            <v>0.1</v>
          </cell>
        </row>
        <row r="440">
          <cell r="A440" t="str">
            <v>아이뉴스24</v>
          </cell>
          <cell r="B440" t="str">
            <v>13_인터넷포털</v>
          </cell>
          <cell r="C440">
            <v>0.1</v>
          </cell>
        </row>
        <row r="441">
          <cell r="A441" t="str">
            <v>데일리한국</v>
          </cell>
          <cell r="B441" t="str">
            <v>13_인터넷포털</v>
          </cell>
          <cell r="C441">
            <v>0.1</v>
          </cell>
        </row>
        <row r="442">
          <cell r="A442" t="str">
            <v>이로운넷</v>
          </cell>
          <cell r="B442" t="str">
            <v>13_인터넷포털</v>
          </cell>
          <cell r="C442">
            <v>0.1</v>
          </cell>
        </row>
        <row r="443">
          <cell r="A443" t="str">
            <v>경남일보</v>
          </cell>
          <cell r="B443" t="str">
            <v>09_지방일간지</v>
          </cell>
          <cell r="C443">
            <v>1.5</v>
          </cell>
        </row>
        <row r="444">
          <cell r="A444" t="str">
            <v>일요신문</v>
          </cell>
          <cell r="B444" t="str">
            <v>10_주간지</v>
          </cell>
          <cell r="C444">
            <v>1</v>
          </cell>
        </row>
        <row r="445">
          <cell r="A445" t="str">
            <v>국제i저널</v>
          </cell>
          <cell r="B445" t="str">
            <v>13_인터넷포털</v>
          </cell>
          <cell r="C445">
            <v>0.1</v>
          </cell>
        </row>
        <row r="446">
          <cell r="A446" t="str">
            <v>백제뉴스</v>
          </cell>
          <cell r="B446" t="str">
            <v>13_인터넷포털</v>
          </cell>
          <cell r="C446">
            <v>0.1</v>
          </cell>
        </row>
        <row r="447">
          <cell r="A447" t="str">
            <v>중부뉴스통신</v>
          </cell>
          <cell r="B447" t="str">
            <v>13_인터넷포털</v>
          </cell>
          <cell r="C447">
            <v>0.1</v>
          </cell>
        </row>
        <row r="448">
          <cell r="A448" t="str">
            <v>충청도민일보</v>
          </cell>
          <cell r="B448" t="str">
            <v>13_인터넷포털</v>
          </cell>
          <cell r="C448">
            <v>0.1</v>
          </cell>
        </row>
        <row r="449">
          <cell r="A449" t="str">
            <v>경남연합일보</v>
          </cell>
          <cell r="B449" t="str">
            <v>09_지방일간지</v>
          </cell>
          <cell r="C449">
            <v>1.5</v>
          </cell>
        </row>
        <row r="450">
          <cell r="A450" t="str">
            <v>격월간 사료</v>
          </cell>
          <cell r="B450" t="str">
            <v>18_월간지</v>
          </cell>
          <cell r="C450">
            <v>4</v>
          </cell>
        </row>
        <row r="451">
          <cell r="A451" t="str">
            <v>월간한돈</v>
          </cell>
          <cell r="B451" t="str">
            <v>18_월간지</v>
          </cell>
          <cell r="C451">
            <v>4</v>
          </cell>
        </row>
        <row r="452">
          <cell r="A452" t="str">
            <v>월간낙농육우</v>
          </cell>
          <cell r="B452" t="str">
            <v>10_월간지</v>
          </cell>
          <cell r="C452">
            <v>1</v>
          </cell>
        </row>
        <row r="453">
          <cell r="A453" t="str">
            <v>시민의 소리</v>
          </cell>
          <cell r="B453" t="str">
            <v>13_인터넷포털</v>
          </cell>
          <cell r="C453">
            <v>0.1</v>
          </cell>
        </row>
        <row r="454">
          <cell r="A454" t="str">
            <v>시사포커스</v>
          </cell>
          <cell r="B454" t="str">
            <v>13_인터넷포털</v>
          </cell>
          <cell r="C454">
            <v>0.1</v>
          </cell>
        </row>
        <row r="455">
          <cell r="A455" t="str">
            <v>파이낸스투데이</v>
          </cell>
          <cell r="B455" t="str">
            <v>13_인터넷포털</v>
          </cell>
          <cell r="C455">
            <v>0.1</v>
          </cell>
        </row>
        <row r="456">
          <cell r="A456" t="str">
            <v>테니스피플</v>
          </cell>
          <cell r="B456" t="str">
            <v>13_인터넷포털</v>
          </cell>
          <cell r="C456">
            <v>0.1</v>
          </cell>
        </row>
        <row r="457">
          <cell r="A457" t="str">
            <v>시사뉴스24</v>
          </cell>
          <cell r="B457" t="str">
            <v>13_인터넷포털</v>
          </cell>
          <cell r="C457">
            <v>0.1</v>
          </cell>
        </row>
        <row r="458">
          <cell r="A458" t="str">
            <v>유교신문</v>
          </cell>
          <cell r="B458" t="str">
            <v>13_인터넷포털</v>
          </cell>
          <cell r="C458">
            <v>0.1</v>
          </cell>
        </row>
        <row r="459">
          <cell r="A459" t="str">
            <v>충북일보</v>
          </cell>
          <cell r="B459" t="str">
            <v>09_지방일간지</v>
          </cell>
          <cell r="C459">
            <v>1.5</v>
          </cell>
        </row>
        <row r="460">
          <cell r="A460" t="str">
            <v>농업기술</v>
          </cell>
          <cell r="B460" t="str">
            <v>29_원고집필(그린매거진, 농업기술)</v>
          </cell>
          <cell r="C460">
            <v>3</v>
          </cell>
        </row>
        <row r="461">
          <cell r="A461" t="str">
            <v>뉴스포털1</v>
          </cell>
          <cell r="B461" t="str">
            <v>13_인터넷포털</v>
          </cell>
          <cell r="C461">
            <v>0.1</v>
          </cell>
        </row>
        <row r="462">
          <cell r="A462" t="str">
            <v>제민일보</v>
          </cell>
          <cell r="B462" t="str">
            <v>09_지방일간지</v>
          </cell>
          <cell r="C462">
            <v>1.5</v>
          </cell>
        </row>
        <row r="463">
          <cell r="A463" t="str">
            <v>시사우리신문</v>
          </cell>
          <cell r="B463" t="str">
            <v>11_기타(지역주간지)</v>
          </cell>
          <cell r="C463">
            <v>0.5</v>
          </cell>
        </row>
        <row r="464">
          <cell r="A464" t="str">
            <v>자치행정신문</v>
          </cell>
          <cell r="B464" t="str">
            <v>13_인터넷포털</v>
          </cell>
          <cell r="C464">
            <v>0.1</v>
          </cell>
        </row>
        <row r="465">
          <cell r="A465" t="str">
            <v>시사뉴스</v>
          </cell>
          <cell r="B465" t="str">
            <v>13_인터넷포털</v>
          </cell>
          <cell r="C465">
            <v>0.1</v>
          </cell>
        </row>
        <row r="466">
          <cell r="A466" t="str">
            <v>로컬투데이</v>
          </cell>
          <cell r="B466" t="str">
            <v>13_인터넷포털</v>
          </cell>
          <cell r="C466">
            <v>0.1</v>
          </cell>
        </row>
        <row r="467">
          <cell r="A467" t="str">
            <v>곡성투데이</v>
          </cell>
          <cell r="B467" t="str">
            <v>13_인터넷포털</v>
          </cell>
          <cell r="C467">
            <v>0.1</v>
          </cell>
        </row>
        <row r="468">
          <cell r="A468" t="str">
            <v>호남타임즈</v>
          </cell>
          <cell r="B468" t="str">
            <v>13_인터넷포털</v>
          </cell>
          <cell r="C468">
            <v>0.1</v>
          </cell>
        </row>
        <row r="469">
          <cell r="A469" t="str">
            <v>푸드투데이</v>
          </cell>
          <cell r="B469" t="str">
            <v>13_인터넷포털</v>
          </cell>
          <cell r="C469">
            <v>0.1</v>
          </cell>
        </row>
        <row r="470">
          <cell r="A470" t="str">
            <v>광주일등뉴스</v>
          </cell>
          <cell r="B470" t="str">
            <v>13_인터넷포털</v>
          </cell>
          <cell r="C470">
            <v>0.1</v>
          </cell>
        </row>
        <row r="471">
          <cell r="A471" t="str">
            <v>빛가람뉴스</v>
          </cell>
          <cell r="B471" t="str">
            <v>13_인터넷포털</v>
          </cell>
          <cell r="C471">
            <v>0.1</v>
          </cell>
        </row>
        <row r="472">
          <cell r="A472" t="str">
            <v>여수인터넷뉴스</v>
          </cell>
          <cell r="B472" t="str">
            <v>13_인터넷포털</v>
          </cell>
          <cell r="C472">
            <v>0.1</v>
          </cell>
        </row>
        <row r="473">
          <cell r="A473" t="str">
            <v>광주리포트</v>
          </cell>
          <cell r="B473" t="str">
            <v>13_인터넷포털</v>
          </cell>
          <cell r="C473">
            <v>0.1</v>
          </cell>
        </row>
        <row r="474">
          <cell r="A474" t="str">
            <v>광주인</v>
          </cell>
          <cell r="B474" t="str">
            <v>13_인터넷포털</v>
          </cell>
          <cell r="C474">
            <v>0.1</v>
          </cell>
        </row>
        <row r="475">
          <cell r="A475" t="str">
            <v>전남광역공보뉴스</v>
          </cell>
          <cell r="B475" t="str">
            <v>13_인터넷포털</v>
          </cell>
          <cell r="C475">
            <v>0.1</v>
          </cell>
        </row>
        <row r="476">
          <cell r="A476" t="str">
            <v>전남제일신문</v>
          </cell>
          <cell r="B476" t="str">
            <v>13_인터넷포털</v>
          </cell>
          <cell r="C476">
            <v>0.1</v>
          </cell>
        </row>
        <row r="477">
          <cell r="A477" t="str">
            <v>신문고뉴스</v>
          </cell>
          <cell r="B477" t="str">
            <v>13_인터넷포털</v>
          </cell>
          <cell r="C477">
            <v>0.1</v>
          </cell>
        </row>
        <row r="478">
          <cell r="A478" t="str">
            <v>봉화일보</v>
          </cell>
          <cell r="B478" t="str">
            <v>11_기타(지역주간지)</v>
          </cell>
          <cell r="C478">
            <v>0.5</v>
          </cell>
        </row>
        <row r="479">
          <cell r="A479" t="str">
            <v>특급뉴스</v>
          </cell>
          <cell r="B479" t="str">
            <v>13_인터넷포털</v>
          </cell>
          <cell r="C479">
            <v>0.1</v>
          </cell>
        </row>
        <row r="480">
          <cell r="A480" t="str">
            <v>대전경제뉴스</v>
          </cell>
          <cell r="B480" t="str">
            <v>13_인터넷포털</v>
          </cell>
          <cell r="C480">
            <v>0.1</v>
          </cell>
        </row>
        <row r="481">
          <cell r="A481" t="str">
            <v>세종방송</v>
          </cell>
          <cell r="B481" t="str">
            <v>13_인터넷포털</v>
          </cell>
          <cell r="C481">
            <v>0.1</v>
          </cell>
        </row>
        <row r="482">
          <cell r="A482" t="str">
            <v>한국강사신문</v>
          </cell>
          <cell r="B482" t="str">
            <v>13_인터넷포털</v>
          </cell>
          <cell r="C482">
            <v>0.1</v>
          </cell>
        </row>
        <row r="483">
          <cell r="A483" t="str">
            <v>경북연합일보</v>
          </cell>
          <cell r="B483" t="str">
            <v>09_지방일간지</v>
          </cell>
          <cell r="C483">
            <v>1.5</v>
          </cell>
        </row>
        <row r="484">
          <cell r="A484" t="str">
            <v>대구경북일보</v>
          </cell>
          <cell r="B484" t="str">
            <v>11_기타(지역주간지)</v>
          </cell>
          <cell r="C484">
            <v>0.5</v>
          </cell>
        </row>
        <row r="485">
          <cell r="A485" t="str">
            <v>목포KBS 라디오</v>
          </cell>
          <cell r="B485" t="str">
            <v>06_라디오-지방</v>
          </cell>
          <cell r="C485">
            <v>1.5</v>
          </cell>
        </row>
        <row r="486">
          <cell r="A486" t="str">
            <v>대구일보</v>
          </cell>
          <cell r="B486" t="str">
            <v>09_지방일간지</v>
          </cell>
          <cell r="C486">
            <v>1.5</v>
          </cell>
        </row>
        <row r="487">
          <cell r="A487" t="str">
            <v>ESG경제</v>
          </cell>
          <cell r="B487" t="str">
            <v>13_인터넷포털</v>
          </cell>
          <cell r="C487">
            <v>0.1</v>
          </cell>
        </row>
        <row r="488">
          <cell r="A488" t="str">
            <v>한국농업방송(NBS)</v>
          </cell>
          <cell r="B488" t="str">
            <v>03_TV-케이블지방</v>
          </cell>
          <cell r="C488">
            <v>2.5</v>
          </cell>
        </row>
        <row r="489">
          <cell r="A489" t="str">
            <v>농어촌경제신문</v>
          </cell>
          <cell r="B489" t="str">
            <v>13_인터넷포털</v>
          </cell>
          <cell r="C489">
            <v>0.1</v>
          </cell>
        </row>
        <row r="490">
          <cell r="A490" t="str">
            <v>농어촌신문</v>
          </cell>
          <cell r="B490" t="str">
            <v>13_인터넷포털</v>
          </cell>
          <cell r="C490">
            <v>0.1</v>
          </cell>
        </row>
        <row r="491">
          <cell r="A491" t="str">
            <v>국토경제뉴스</v>
          </cell>
          <cell r="B491" t="str">
            <v>10_기타전문지</v>
          </cell>
          <cell r="C491">
            <v>1</v>
          </cell>
        </row>
        <row r="492">
          <cell r="A492" t="str">
            <v>여성동아</v>
          </cell>
          <cell r="B492" t="str">
            <v>13_인터넷포털</v>
          </cell>
          <cell r="C492">
            <v>0.1</v>
          </cell>
        </row>
        <row r="493">
          <cell r="A493" t="str">
            <v>강원일보</v>
          </cell>
          <cell r="B493" t="str">
            <v>09_지방일간지</v>
          </cell>
          <cell r="C493">
            <v>1.5</v>
          </cell>
        </row>
        <row r="494">
          <cell r="A494" t="str">
            <v>경남창원공보뉴스</v>
          </cell>
          <cell r="B494" t="str">
            <v>13_인터넷포털</v>
          </cell>
          <cell r="C494">
            <v>0.1</v>
          </cell>
        </row>
        <row r="495">
          <cell r="A495" t="str">
            <v>등잔일보</v>
          </cell>
          <cell r="B495" t="str">
            <v>13_인터넷포털</v>
          </cell>
          <cell r="C495">
            <v>0.1</v>
          </cell>
        </row>
        <row r="496">
          <cell r="A496" t="str">
            <v>이데이뉴스</v>
          </cell>
          <cell r="B496" t="str">
            <v>13_인터넷포털</v>
          </cell>
          <cell r="C496">
            <v>0.1</v>
          </cell>
        </row>
        <row r="497">
          <cell r="A497" t="str">
            <v>축산신문</v>
          </cell>
          <cell r="B497" t="str">
            <v>17_농업전문지</v>
          </cell>
          <cell r="C497">
            <v>8</v>
          </cell>
        </row>
        <row r="498">
          <cell r="A498" t="str">
            <v>내외통신</v>
          </cell>
          <cell r="B498" t="str">
            <v>13_인터넷포털</v>
          </cell>
          <cell r="C498">
            <v>0.1</v>
          </cell>
        </row>
        <row r="499">
          <cell r="A499" t="str">
            <v>대한뉴스</v>
          </cell>
          <cell r="B499" t="str">
            <v>13_인터넷포털</v>
          </cell>
          <cell r="C499">
            <v>0.1</v>
          </cell>
        </row>
        <row r="500">
          <cell r="A500" t="str">
            <v>나눔일보</v>
          </cell>
          <cell r="B500" t="str">
            <v>13_인터넷포털</v>
          </cell>
          <cell r="C500">
            <v>0.1</v>
          </cell>
        </row>
        <row r="501">
          <cell r="A501" t="str">
            <v>에이빙뉴스</v>
          </cell>
          <cell r="B501" t="str">
            <v>13_인터넷포털</v>
          </cell>
          <cell r="C501">
            <v>0.1</v>
          </cell>
        </row>
        <row r="502">
          <cell r="A502" t="str">
            <v>NF통신</v>
          </cell>
          <cell r="B502" t="str">
            <v>13_인터넷포털</v>
          </cell>
          <cell r="C502">
            <v>0.1</v>
          </cell>
        </row>
        <row r="503">
          <cell r="A503" t="str">
            <v>대전MBC</v>
          </cell>
          <cell r="B503" t="str">
            <v>02_TV-지방</v>
          </cell>
          <cell r="C503">
            <v>4</v>
          </cell>
        </row>
        <row r="504">
          <cell r="A504" t="str">
            <v>한국타임즈</v>
          </cell>
          <cell r="B504" t="str">
            <v>13_인터넷포털</v>
          </cell>
          <cell r="C504">
            <v>0.1</v>
          </cell>
        </row>
        <row r="505">
          <cell r="A505" t="str">
            <v>엔디엔뉴스</v>
          </cell>
          <cell r="B505" t="str">
            <v>10_기타월간지</v>
          </cell>
          <cell r="C505">
            <v>1</v>
          </cell>
        </row>
        <row r="506">
          <cell r="A506" t="str">
            <v>공직신문</v>
          </cell>
          <cell r="B506" t="str">
            <v>10_기타월간지</v>
          </cell>
          <cell r="C506">
            <v>1</v>
          </cell>
        </row>
        <row r="507">
          <cell r="A507" t="str">
            <v>뉴스온</v>
          </cell>
          <cell r="B507" t="str">
            <v>13_인터넷포털</v>
          </cell>
          <cell r="C507">
            <v>0.1</v>
          </cell>
        </row>
        <row r="508">
          <cell r="A508" t="str">
            <v>이슈앤비즈</v>
          </cell>
          <cell r="B508" t="str">
            <v>13_인터넷포털</v>
          </cell>
          <cell r="C508">
            <v>0.1</v>
          </cell>
        </row>
        <row r="509">
          <cell r="A509" t="str">
            <v>전남함평공보뉴스</v>
          </cell>
          <cell r="B509" t="str">
            <v>13_인터넷포털</v>
          </cell>
          <cell r="C509">
            <v>0.1</v>
          </cell>
        </row>
        <row r="510">
          <cell r="A510" t="str">
            <v>서울와이어</v>
          </cell>
          <cell r="B510" t="str">
            <v>13_인터넷포털</v>
          </cell>
          <cell r="C510">
            <v>0.1</v>
          </cell>
        </row>
        <row r="511">
          <cell r="A511" t="str">
            <v>퍼블릭뉴스</v>
          </cell>
          <cell r="B511" t="str">
            <v>13_인터넷포털</v>
          </cell>
          <cell r="C511">
            <v>0.1</v>
          </cell>
        </row>
        <row r="512">
          <cell r="A512" t="str">
            <v>KBS청주</v>
          </cell>
          <cell r="B512" t="str">
            <v>02_TV-지방</v>
          </cell>
          <cell r="C512">
            <v>4</v>
          </cell>
        </row>
        <row r="513">
          <cell r="A513" t="str">
            <v>광주MBC</v>
          </cell>
          <cell r="B513" t="str">
            <v>02_TV-지방</v>
          </cell>
          <cell r="C513">
            <v>4</v>
          </cell>
        </row>
        <row r="514">
          <cell r="A514" t="str">
            <v>뉴스로</v>
          </cell>
          <cell r="B514" t="str">
            <v>13_인터넷포털</v>
          </cell>
          <cell r="C514">
            <v>0.1</v>
          </cell>
        </row>
        <row r="515">
          <cell r="A515" t="str">
            <v>대전KBS</v>
          </cell>
          <cell r="B515" t="str">
            <v>02_TV-지방</v>
          </cell>
          <cell r="C515">
            <v>4</v>
          </cell>
        </row>
        <row r="516">
          <cell r="A516" t="str">
            <v>여수넷통뉴스</v>
          </cell>
          <cell r="B516" t="str">
            <v>13_인터넷포털</v>
          </cell>
          <cell r="C516">
            <v>0.1</v>
          </cell>
        </row>
        <row r="517">
          <cell r="A517" t="str">
            <v>주간조선</v>
          </cell>
          <cell r="B517" t="str">
            <v>13_인터넷포털</v>
          </cell>
          <cell r="C517">
            <v>0.1</v>
          </cell>
        </row>
        <row r="518">
          <cell r="A518" t="str">
            <v>한국농정신문</v>
          </cell>
          <cell r="B518" t="str">
            <v>09_농업전문지</v>
          </cell>
          <cell r="C518">
            <v>1.5</v>
          </cell>
        </row>
        <row r="519">
          <cell r="A519" t="str">
            <v>뉴시안</v>
          </cell>
          <cell r="B519" t="str">
            <v>13_인터넷포털</v>
          </cell>
          <cell r="C519">
            <v>0.1</v>
          </cell>
        </row>
        <row r="520">
          <cell r="A520" t="str">
            <v>광주kbc라디오</v>
          </cell>
          <cell r="B520" t="str">
            <v>06_라디오-지방</v>
          </cell>
          <cell r="C520">
            <v>1.5</v>
          </cell>
        </row>
        <row r="521">
          <cell r="A521" t="str">
            <v>스마트에프엔</v>
          </cell>
          <cell r="B521" t="str">
            <v>13_인터넷포털</v>
          </cell>
          <cell r="C521">
            <v>0.1</v>
          </cell>
        </row>
        <row r="522">
          <cell r="A522" t="str">
            <v>더나은미래</v>
          </cell>
          <cell r="B522" t="str">
            <v>13_인터넷포털</v>
          </cell>
          <cell r="C522">
            <v>0.1</v>
          </cell>
        </row>
        <row r="523">
          <cell r="A523" t="str">
            <v>안동MBC</v>
          </cell>
          <cell r="B523" t="str">
            <v>02_TV-지방</v>
          </cell>
          <cell r="C523">
            <v>4</v>
          </cell>
        </row>
        <row r="524">
          <cell r="A524" t="str">
            <v>경남신문</v>
          </cell>
          <cell r="B524" t="str">
            <v>09_지방일간지</v>
          </cell>
          <cell r="C524">
            <v>1.5</v>
          </cell>
        </row>
        <row r="525">
          <cell r="A525" t="str">
            <v xml:space="preserve">서울일보 </v>
          </cell>
          <cell r="B525" t="str">
            <v>08_기타일간지</v>
          </cell>
          <cell r="C525">
            <v>2</v>
          </cell>
        </row>
        <row r="526">
          <cell r="A526" t="str">
            <v xml:space="preserve">농수축산신문 </v>
          </cell>
          <cell r="B526" t="str">
            <v>09_농업전문지</v>
          </cell>
          <cell r="C526">
            <v>1.5</v>
          </cell>
        </row>
        <row r="527">
          <cell r="A527" t="str">
            <v xml:space="preserve">축산신문 </v>
          </cell>
          <cell r="B527" t="str">
            <v>09_농업전문지</v>
          </cell>
          <cell r="C527">
            <v>1.5</v>
          </cell>
        </row>
        <row r="528">
          <cell r="A528" t="str">
            <v>시사저널</v>
          </cell>
          <cell r="B528" t="str">
            <v>10_기타월간지</v>
          </cell>
          <cell r="C528">
            <v>1</v>
          </cell>
        </row>
        <row r="529">
          <cell r="A529" t="str">
            <v>LG헬로비전</v>
          </cell>
          <cell r="B529" t="str">
            <v>03_TV-케이블지방</v>
          </cell>
          <cell r="C529">
            <v>2.5</v>
          </cell>
        </row>
        <row r="530">
          <cell r="A530" t="str">
            <v>푸드경제</v>
          </cell>
          <cell r="B530" t="str">
            <v>13_인터넷포털</v>
          </cell>
          <cell r="C530">
            <v>0.1</v>
          </cell>
        </row>
        <row r="531">
          <cell r="A531" t="str">
            <v>식품음료신문</v>
          </cell>
          <cell r="B531" t="str">
            <v>09_농업전문지</v>
          </cell>
          <cell r="C531">
            <v>1.5</v>
          </cell>
        </row>
        <row r="532">
          <cell r="A532" t="str">
            <v>데일리벳</v>
          </cell>
          <cell r="B532" t="str">
            <v>13_인터넷포털</v>
          </cell>
          <cell r="C532">
            <v>0.1</v>
          </cell>
        </row>
        <row r="533">
          <cell r="A533" t="str">
            <v>KBS</v>
          </cell>
          <cell r="B533" t="str">
            <v>01_TV-중앙</v>
          </cell>
          <cell r="C533">
            <v>8</v>
          </cell>
        </row>
        <row r="534">
          <cell r="A534" t="str">
            <v>머니S</v>
          </cell>
          <cell r="B534" t="str">
            <v>13_인터넷포털</v>
          </cell>
          <cell r="C534">
            <v>0.1</v>
          </cell>
        </row>
        <row r="535">
          <cell r="A535" t="str">
            <v>AI타임스</v>
          </cell>
          <cell r="B535" t="str">
            <v>13_인터넷포털</v>
          </cell>
          <cell r="C535">
            <v>0.1</v>
          </cell>
        </row>
        <row r="536">
          <cell r="A536" t="str">
            <v>포항MBC</v>
          </cell>
          <cell r="B536" t="str">
            <v>02_TV-지방</v>
          </cell>
          <cell r="C536">
            <v>4</v>
          </cell>
        </row>
        <row r="537">
          <cell r="A537" t="str">
            <v>CJB</v>
          </cell>
          <cell r="B537" t="str">
            <v>02_TV-지방</v>
          </cell>
          <cell r="C537">
            <v>4</v>
          </cell>
        </row>
        <row r="538">
          <cell r="A538" t="str">
            <v>더리포트</v>
          </cell>
          <cell r="B538" t="str">
            <v>13_인터넷포털</v>
          </cell>
          <cell r="C538">
            <v>0.1</v>
          </cell>
        </row>
        <row r="539">
          <cell r="A539" t="str">
            <v>kbc광주방송</v>
          </cell>
          <cell r="B539" t="str">
            <v>02_TV-지방</v>
          </cell>
          <cell r="C539">
            <v>4</v>
          </cell>
        </row>
        <row r="540">
          <cell r="A540" t="str">
            <v>새한일보</v>
          </cell>
          <cell r="B540" t="str">
            <v>09_지방일간지</v>
          </cell>
          <cell r="C540">
            <v>1.5</v>
          </cell>
        </row>
        <row r="541">
          <cell r="A541" t="str">
            <v>월간낙농육우</v>
          </cell>
          <cell r="B541" t="str">
            <v>18_월간지</v>
          </cell>
          <cell r="C541">
            <v>4</v>
          </cell>
        </row>
        <row r="542">
          <cell r="A542" t="str">
            <v>비지니스포스트</v>
          </cell>
          <cell r="B542" t="str">
            <v>13_인터넷포털</v>
          </cell>
          <cell r="C542">
            <v>0.1</v>
          </cell>
        </row>
        <row r="543">
          <cell r="A543" t="str">
            <v>SR타임스</v>
          </cell>
          <cell r="B543" t="str">
            <v>13_인터넷포털</v>
          </cell>
          <cell r="C543">
            <v>0.1</v>
          </cell>
        </row>
        <row r="544">
          <cell r="A544" t="str">
            <v>굿모닝경제</v>
          </cell>
          <cell r="B544" t="str">
            <v>13_인터넷포털</v>
          </cell>
          <cell r="C544">
            <v>0.1</v>
          </cell>
        </row>
        <row r="545">
          <cell r="A545" t="str">
            <v>경인일보</v>
          </cell>
          <cell r="B545" t="str">
            <v>09_지방일간지</v>
          </cell>
          <cell r="C545">
            <v>1.5</v>
          </cell>
        </row>
        <row r="546">
          <cell r="A546" t="str">
            <v>강원도민일보</v>
          </cell>
          <cell r="B546" t="str">
            <v>09_지방일간지</v>
          </cell>
          <cell r="C546">
            <v>1.5</v>
          </cell>
        </row>
        <row r="547">
          <cell r="A547" t="str">
            <v>안전신문</v>
          </cell>
          <cell r="B547" t="str">
            <v>13_인터넷포털</v>
          </cell>
          <cell r="C547">
            <v>0.1</v>
          </cell>
        </row>
        <row r="548">
          <cell r="A548" t="str">
            <v>문화일보</v>
          </cell>
          <cell r="B548" t="str">
            <v>07_중앙일간지</v>
          </cell>
          <cell r="C548">
            <v>5</v>
          </cell>
        </row>
        <row r="549">
          <cell r="A549" t="str">
            <v>씨엠비광주방송</v>
          </cell>
          <cell r="B549" t="str">
            <v>03_TV-케이블지방</v>
          </cell>
          <cell r="C549">
            <v>2.5</v>
          </cell>
        </row>
        <row r="550">
          <cell r="A550" t="str">
            <v>버섯신문</v>
          </cell>
          <cell r="B550" t="str">
            <v>09_농업전문지</v>
          </cell>
          <cell r="C550">
            <v>1.5</v>
          </cell>
        </row>
        <row r="551">
          <cell r="A551" t="str">
            <v>리얼푸드</v>
          </cell>
          <cell r="B551" t="str">
            <v>13_인터넷포털</v>
          </cell>
          <cell r="C551">
            <v>0.1</v>
          </cell>
        </row>
        <row r="552">
          <cell r="A552" t="str">
            <v>오마이뉴스</v>
          </cell>
          <cell r="B552" t="str">
            <v>13_인터넷포털</v>
          </cell>
          <cell r="C552">
            <v>0.1</v>
          </cell>
        </row>
        <row r="553">
          <cell r="A553" t="str">
            <v>중부일보</v>
          </cell>
          <cell r="B553" t="str">
            <v>09_지방일간지</v>
          </cell>
          <cell r="C553">
            <v>1.5</v>
          </cell>
        </row>
        <row r="554">
          <cell r="A554" t="str">
            <v>전주MBC</v>
          </cell>
          <cell r="B554" t="str">
            <v>02_TV-지방</v>
          </cell>
          <cell r="C554">
            <v>4</v>
          </cell>
        </row>
        <row r="555">
          <cell r="A555" t="str">
            <v>KTV</v>
          </cell>
          <cell r="B555" t="str">
            <v>02_TV-케이블중앙</v>
          </cell>
          <cell r="C555">
            <v>4</v>
          </cell>
        </row>
        <row r="556">
          <cell r="A556" t="str">
            <v>영농자재신문</v>
          </cell>
          <cell r="B556" t="str">
            <v>09_농업전문지</v>
          </cell>
          <cell r="C556">
            <v>1.5</v>
          </cell>
        </row>
        <row r="557">
          <cell r="A557" t="str">
            <v>하이닥</v>
          </cell>
          <cell r="B557" t="str">
            <v>13_인터넷포털</v>
          </cell>
          <cell r="C557">
            <v>0.1</v>
          </cell>
        </row>
        <row r="558">
          <cell r="A558" t="str">
            <v>채널A</v>
          </cell>
          <cell r="B558" t="str">
            <v>02_TV-종합편성채널</v>
          </cell>
          <cell r="C558">
            <v>4</v>
          </cell>
        </row>
        <row r="559">
          <cell r="A559" t="str">
            <v>월간축산</v>
          </cell>
          <cell r="B559" t="str">
            <v>17_농업전문지</v>
          </cell>
          <cell r="C559">
            <v>8</v>
          </cell>
        </row>
        <row r="560">
          <cell r="A560" t="str">
            <v>전주KBS라디오</v>
          </cell>
          <cell r="B560" t="str">
            <v>06_라디오-지방</v>
          </cell>
          <cell r="C560">
            <v>1.5</v>
          </cell>
        </row>
        <row r="561">
          <cell r="A561" t="str">
            <v xml:space="preserve">농어촌경제신문 </v>
          </cell>
          <cell r="B561" t="str">
            <v>13_인터넷포털</v>
          </cell>
          <cell r="C561">
            <v>0.1</v>
          </cell>
        </row>
        <row r="562">
          <cell r="A562" t="str">
            <v>농어업경제귀농신문</v>
          </cell>
          <cell r="B562" t="str">
            <v>13_인터넷포털</v>
          </cell>
          <cell r="C562">
            <v>0.1</v>
          </cell>
        </row>
        <row r="563">
          <cell r="A563" t="str">
            <v>전북제일</v>
          </cell>
          <cell r="B563" t="str">
            <v>09_지방일간지</v>
          </cell>
          <cell r="C563">
            <v>1.5</v>
          </cell>
        </row>
        <row r="564">
          <cell r="A564" t="str">
            <v>당진시대</v>
          </cell>
          <cell r="B564" t="str">
            <v>11_기타(지역주간지)</v>
          </cell>
          <cell r="C564">
            <v>0.5</v>
          </cell>
        </row>
        <row r="565">
          <cell r="A565" t="str">
            <v>뉴데일리</v>
          </cell>
          <cell r="B565" t="str">
            <v>13_인터넷포털</v>
          </cell>
          <cell r="C565">
            <v>0.1</v>
          </cell>
        </row>
        <row r="566">
          <cell r="A566" t="str">
            <v>SKB전주</v>
          </cell>
          <cell r="B566" t="str">
            <v>03_TV-케이블지방</v>
          </cell>
          <cell r="C566">
            <v>2.5</v>
          </cell>
        </row>
        <row r="567">
          <cell r="A567" t="str">
            <v>워크투데이</v>
          </cell>
          <cell r="B567" t="str">
            <v>13_인터넷포털</v>
          </cell>
          <cell r="C567">
            <v>0.1</v>
          </cell>
        </row>
        <row r="568">
          <cell r="A568" t="str">
            <v>더농부뉴스</v>
          </cell>
          <cell r="B568" t="str">
            <v>24_이미지 콘텐츠 포스팅</v>
          </cell>
          <cell r="C568">
            <v>3</v>
          </cell>
        </row>
        <row r="569">
          <cell r="A569" t="str">
            <v>교수신문</v>
          </cell>
          <cell r="B569" t="str">
            <v>13_인터넷포털</v>
          </cell>
          <cell r="C569">
            <v>0.1</v>
          </cell>
        </row>
        <row r="570">
          <cell r="A570" t="str">
            <v>MTN(머니투데이방송)</v>
          </cell>
          <cell r="B570" t="str">
            <v>02_TV-케이블중앙</v>
          </cell>
          <cell r="C570">
            <v>4</v>
          </cell>
        </row>
        <row r="571">
          <cell r="A571" t="str">
            <v>한국식품의약신문</v>
          </cell>
          <cell r="B571" t="str">
            <v>09_농업전문지</v>
          </cell>
          <cell r="C571">
            <v>1.5</v>
          </cell>
        </row>
        <row r="572">
          <cell r="A572" t="str">
            <v>더소셜뉴스</v>
          </cell>
          <cell r="B572" t="str">
            <v>13_인터넷포털</v>
          </cell>
          <cell r="C572">
            <v>0.1</v>
          </cell>
        </row>
        <row r="573">
          <cell r="A573" t="str">
            <v>축산경제신문</v>
          </cell>
          <cell r="B573" t="str">
            <v>17_농업전문지</v>
          </cell>
          <cell r="C573">
            <v>8</v>
          </cell>
        </row>
        <row r="574">
          <cell r="A574" t="str">
            <v>제주KBS</v>
          </cell>
          <cell r="B574" t="str">
            <v>02_TV-지방</v>
          </cell>
          <cell r="C574">
            <v>4</v>
          </cell>
        </row>
        <row r="575">
          <cell r="A575" t="str">
            <v>위메이크뉴스</v>
          </cell>
          <cell r="B575" t="str">
            <v>13_인터넷포털</v>
          </cell>
          <cell r="C575">
            <v>0.1</v>
          </cell>
        </row>
        <row r="576">
          <cell r="A576" t="str">
            <v>인사이트</v>
          </cell>
          <cell r="B576" t="str">
            <v>13_인터넷포털</v>
          </cell>
          <cell r="C576">
            <v>0.1</v>
          </cell>
        </row>
        <row r="577">
          <cell r="A577" t="str">
            <v>CMB광주방송</v>
          </cell>
          <cell r="B577" t="str">
            <v>03_TV-케이블지방</v>
          </cell>
          <cell r="C577">
            <v>2.5</v>
          </cell>
        </row>
        <row r="578">
          <cell r="A578" t="str">
            <v>FETV</v>
          </cell>
          <cell r="B578" t="str">
            <v>13_인터넷포털</v>
          </cell>
          <cell r="C578">
            <v>0.1</v>
          </cell>
        </row>
        <row r="579">
          <cell r="A579" t="str">
            <v>지이코노미</v>
          </cell>
          <cell r="B579" t="str">
            <v>13_인터넷포털</v>
          </cell>
          <cell r="C579">
            <v>0.1</v>
          </cell>
        </row>
        <row r="580">
          <cell r="A580" t="str">
            <v>스포츠W</v>
          </cell>
          <cell r="B580" t="str">
            <v>13_인터넷포털</v>
          </cell>
          <cell r="C580">
            <v>0.1</v>
          </cell>
        </row>
        <row r="581">
          <cell r="A581" t="str">
            <v>EBN</v>
          </cell>
          <cell r="B581" t="str">
            <v>13_인터넷포털</v>
          </cell>
          <cell r="C581">
            <v>0.1</v>
          </cell>
        </row>
        <row r="582">
          <cell r="A582" t="str">
            <v>한국NGO신문</v>
          </cell>
          <cell r="B582" t="str">
            <v>13_인터넷포털</v>
          </cell>
          <cell r="C582">
            <v>0.1</v>
          </cell>
        </row>
        <row r="583">
          <cell r="A583" t="str">
            <v>스마트투데이</v>
          </cell>
          <cell r="B583" t="str">
            <v>13_인터넷포털</v>
          </cell>
          <cell r="C583">
            <v>0.1</v>
          </cell>
        </row>
        <row r="584">
          <cell r="A584" t="str">
            <v>더퍼스트</v>
          </cell>
          <cell r="B584" t="str">
            <v>13_인터넷포털</v>
          </cell>
          <cell r="C584">
            <v>0.1</v>
          </cell>
        </row>
        <row r="585">
          <cell r="A585" t="str">
            <v>민주신문</v>
          </cell>
          <cell r="B585" t="str">
            <v>13_인터넷포털</v>
          </cell>
          <cell r="C585">
            <v>0.1</v>
          </cell>
        </row>
        <row r="586">
          <cell r="A586" t="str">
            <v>우먼타임스</v>
          </cell>
          <cell r="B586" t="str">
            <v>13_인터넷포털</v>
          </cell>
          <cell r="C586">
            <v>0.1</v>
          </cell>
        </row>
        <row r="587">
          <cell r="A587" t="str">
            <v>민중의 소리</v>
          </cell>
          <cell r="B587" t="str">
            <v>13_인터넷포털</v>
          </cell>
          <cell r="C587">
            <v>0.1</v>
          </cell>
        </row>
        <row r="588">
          <cell r="A588" t="str">
            <v>아이티데일리</v>
          </cell>
          <cell r="B588" t="str">
            <v>13_인터넷포털</v>
          </cell>
          <cell r="C588">
            <v>0.1</v>
          </cell>
        </row>
        <row r="589">
          <cell r="A589" t="str">
            <v>인공지능신문</v>
          </cell>
          <cell r="B589" t="str">
            <v>13_인터넷포털</v>
          </cell>
          <cell r="C589">
            <v>0.1</v>
          </cell>
        </row>
        <row r="590">
          <cell r="A590" t="str">
            <v>보안뉴스</v>
          </cell>
          <cell r="B590" t="str">
            <v>13_인터넷포털</v>
          </cell>
          <cell r="C590">
            <v>0.1</v>
          </cell>
        </row>
        <row r="591">
          <cell r="A591" t="str">
            <v>헬로티</v>
          </cell>
          <cell r="B591" t="str">
            <v>13_인터넷포털</v>
          </cell>
          <cell r="C591">
            <v>0.1</v>
          </cell>
        </row>
        <row r="592">
          <cell r="A592" t="str">
            <v>경기일보</v>
          </cell>
          <cell r="B592" t="str">
            <v>09_지방일간지</v>
          </cell>
          <cell r="C592">
            <v>1.5</v>
          </cell>
        </row>
        <row r="593">
          <cell r="A593" t="str">
            <v>뉴제주일보</v>
          </cell>
          <cell r="B593" t="str">
            <v>09_지방일간지</v>
          </cell>
          <cell r="C593">
            <v>1.5</v>
          </cell>
        </row>
        <row r="594">
          <cell r="A594" t="str">
            <v>어린이동아</v>
          </cell>
          <cell r="B594" t="str">
            <v>10_기타전문지</v>
          </cell>
          <cell r="C594">
            <v>1</v>
          </cell>
        </row>
        <row r="595">
          <cell r="A595" t="str">
            <v>마켓뉴스</v>
          </cell>
          <cell r="B595" t="str">
            <v>13_인터넷포털</v>
          </cell>
          <cell r="C595">
            <v>0.1</v>
          </cell>
        </row>
        <row r="596">
          <cell r="A596" t="str">
            <v>나우타임즈</v>
          </cell>
          <cell r="B596" t="str">
            <v>13_인터넷포털</v>
          </cell>
          <cell r="C596">
            <v>0.1</v>
          </cell>
        </row>
        <row r="597">
          <cell r="A597" t="str">
            <v>전주KBS</v>
          </cell>
          <cell r="B597" t="str">
            <v>02_TV-지방</v>
          </cell>
          <cell r="C597">
            <v>4</v>
          </cell>
        </row>
        <row r="598">
          <cell r="A598" t="str">
            <v>국토일보</v>
          </cell>
          <cell r="B598" t="str">
            <v>10_기타전문지</v>
          </cell>
          <cell r="C598">
            <v>1</v>
          </cell>
        </row>
        <row r="599">
          <cell r="A599" t="str">
            <v>서울파이낸스</v>
          </cell>
          <cell r="B599" t="str">
            <v>10_주간지</v>
          </cell>
          <cell r="C599">
            <v>1</v>
          </cell>
        </row>
        <row r="600">
          <cell r="A600" t="str">
            <v>스포츠동아</v>
          </cell>
          <cell r="B600" t="str">
            <v>08_스포츠신문</v>
          </cell>
          <cell r="C600">
            <v>2</v>
          </cell>
        </row>
        <row r="601">
          <cell r="A601" t="str">
            <v>빅데이터뉴스</v>
          </cell>
          <cell r="B601" t="str">
            <v>13_인터넷포털</v>
          </cell>
          <cell r="C601">
            <v>0.1</v>
          </cell>
        </row>
        <row r="602">
          <cell r="A602" t="str">
            <v>CEO스코어데일리</v>
          </cell>
          <cell r="B602" t="str">
            <v>11_기타(지역주간지)</v>
          </cell>
          <cell r="C602">
            <v>0.5</v>
          </cell>
        </row>
        <row r="603">
          <cell r="A603" t="str">
            <v>데일리환경</v>
          </cell>
          <cell r="B603" t="str">
            <v>13_인터넷포털</v>
          </cell>
          <cell r="C603">
            <v>0.1</v>
          </cell>
        </row>
        <row r="604">
          <cell r="A604" t="str">
            <v>넥스트데일리</v>
          </cell>
          <cell r="B604" t="str">
            <v>13_인터넷포털</v>
          </cell>
          <cell r="C604">
            <v>0.1</v>
          </cell>
        </row>
        <row r="605">
          <cell r="A605" t="str">
            <v>여성소비자신문</v>
          </cell>
          <cell r="B605" t="str">
            <v>13_인터넷포털</v>
          </cell>
          <cell r="C605">
            <v>0.1</v>
          </cell>
        </row>
        <row r="606">
          <cell r="A606" t="str">
            <v>월요신문</v>
          </cell>
          <cell r="B606" t="str">
            <v>13_인터넷포털</v>
          </cell>
          <cell r="C606">
            <v>0.1</v>
          </cell>
        </row>
        <row r="607">
          <cell r="A607" t="str">
            <v>프레스맨</v>
          </cell>
          <cell r="B607" t="str">
            <v>13_인터넷포털</v>
          </cell>
          <cell r="C607">
            <v>0.1</v>
          </cell>
        </row>
        <row r="608">
          <cell r="A608" t="str">
            <v>비지니스코리아</v>
          </cell>
          <cell r="B608" t="str">
            <v>13_인터넷포털</v>
          </cell>
          <cell r="C608">
            <v>0.1</v>
          </cell>
        </row>
        <row r="609">
          <cell r="A609" t="str">
            <v>리버티코리아포스트</v>
          </cell>
          <cell r="B609" t="str">
            <v>13_인터넷포털</v>
          </cell>
          <cell r="C609">
            <v>0.1</v>
          </cell>
        </row>
        <row r="610">
          <cell r="A610" t="str">
            <v>인천일보</v>
          </cell>
          <cell r="B610" t="str">
            <v>09_지방일간지</v>
          </cell>
          <cell r="C610">
            <v>1.5</v>
          </cell>
        </row>
        <row r="611">
          <cell r="A611" t="str">
            <v>데일리티</v>
          </cell>
          <cell r="B611" t="str">
            <v>10_기타전문지</v>
          </cell>
          <cell r="C611">
            <v>1</v>
          </cell>
        </row>
        <row r="612">
          <cell r="A612" t="str">
            <v>백세시대</v>
          </cell>
          <cell r="B612" t="str">
            <v>10_주간지</v>
          </cell>
          <cell r="C612">
            <v>1</v>
          </cell>
        </row>
        <row r="613">
          <cell r="A613" t="str">
            <v>시사오늘</v>
          </cell>
          <cell r="B613" t="str">
            <v>10_기타월간지</v>
          </cell>
          <cell r="C613">
            <v>1</v>
          </cell>
        </row>
        <row r="614">
          <cell r="A614" t="str">
            <v>S-저널</v>
          </cell>
          <cell r="B614" t="str">
            <v>11_기타(지역주간지)</v>
          </cell>
          <cell r="C614">
            <v>0.5</v>
          </cell>
        </row>
        <row r="615">
          <cell r="A615" t="str">
            <v>뉴스워치</v>
          </cell>
          <cell r="B615" t="str">
            <v>13_인터넷포털</v>
          </cell>
          <cell r="C615">
            <v>0.1</v>
          </cell>
        </row>
        <row r="616">
          <cell r="A616" t="str">
            <v>라이센스뉴스</v>
          </cell>
          <cell r="B616" t="str">
            <v>13_인터넷포털</v>
          </cell>
          <cell r="C616">
            <v>0.1</v>
          </cell>
        </row>
        <row r="617">
          <cell r="A617" t="str">
            <v>이코노미톡 뉴스</v>
          </cell>
          <cell r="B617" t="str">
            <v>13_인터넷포털</v>
          </cell>
          <cell r="C617">
            <v>0.1</v>
          </cell>
        </row>
        <row r="618">
          <cell r="A618" t="str">
            <v>업다운뉴스</v>
          </cell>
          <cell r="B618" t="str">
            <v>13_인터넷포털</v>
          </cell>
          <cell r="C618">
            <v>0.1</v>
          </cell>
        </row>
        <row r="619">
          <cell r="A619" t="str">
            <v>나이스경제</v>
          </cell>
          <cell r="B619" t="str">
            <v>13_인터넷포털</v>
          </cell>
          <cell r="C619">
            <v>0.1</v>
          </cell>
        </row>
        <row r="620">
          <cell r="A620" t="str">
            <v>하비엔뉴스</v>
          </cell>
          <cell r="B620" t="str">
            <v>13_인터넷포털</v>
          </cell>
          <cell r="C620">
            <v>0.1</v>
          </cell>
        </row>
        <row r="621">
          <cell r="A621" t="str">
            <v>한국정경신문</v>
          </cell>
          <cell r="B621" t="str">
            <v>13_인터넷포털</v>
          </cell>
          <cell r="C621">
            <v>0.1</v>
          </cell>
        </row>
        <row r="622">
          <cell r="A622" t="str">
            <v>스포츠경향</v>
          </cell>
          <cell r="B622" t="str">
            <v>08_스포츠신문</v>
          </cell>
          <cell r="C622">
            <v>2</v>
          </cell>
        </row>
        <row r="623">
          <cell r="A623" t="str">
            <v>한국4-H신문</v>
          </cell>
          <cell r="B623" t="str">
            <v>09_농업전문지</v>
          </cell>
          <cell r="C623">
            <v>1.5</v>
          </cell>
        </row>
        <row r="624">
          <cell r="A624" t="str">
            <v>디스커버리뉴스</v>
          </cell>
          <cell r="B624" t="str">
            <v>13_인터넷포털</v>
          </cell>
          <cell r="C624">
            <v>0.1</v>
          </cell>
        </row>
        <row r="625">
          <cell r="A625" t="str">
            <v>전민일보</v>
          </cell>
          <cell r="B625" t="str">
            <v>09_지방일간지</v>
          </cell>
          <cell r="C625">
            <v>1.5</v>
          </cell>
        </row>
        <row r="626">
          <cell r="A626" t="str">
            <v>선경일보</v>
          </cell>
          <cell r="B626" t="str">
            <v>09_지방일간지</v>
          </cell>
          <cell r="C626">
            <v>1.5</v>
          </cell>
        </row>
        <row r="627">
          <cell r="A627" t="str">
            <v>조세일보</v>
          </cell>
          <cell r="B627" t="str">
            <v>13_인터넷포털</v>
          </cell>
          <cell r="C627">
            <v>0.1</v>
          </cell>
        </row>
        <row r="628">
          <cell r="A628" t="str">
            <v>세정일보</v>
          </cell>
          <cell r="B628" t="str">
            <v>13_인터넷포털</v>
          </cell>
          <cell r="C628">
            <v>0.1</v>
          </cell>
        </row>
        <row r="629">
          <cell r="A629" t="str">
            <v>일간NTN</v>
          </cell>
          <cell r="B629" t="str">
            <v>13_인터넷포털</v>
          </cell>
          <cell r="C629">
            <v>0.1</v>
          </cell>
        </row>
        <row r="630">
          <cell r="A630" t="str">
            <v>세이프타임즈</v>
          </cell>
          <cell r="B630" t="str">
            <v>13_인터넷포털</v>
          </cell>
          <cell r="C630">
            <v>0.1</v>
          </cell>
        </row>
        <row r="631">
          <cell r="A631" t="str">
            <v>이코노미퀸</v>
          </cell>
          <cell r="B631" t="str">
            <v>13_인터넷포털</v>
          </cell>
          <cell r="C631">
            <v>0.1</v>
          </cell>
        </row>
        <row r="632">
          <cell r="A632" t="str">
            <v>세계비즈</v>
          </cell>
          <cell r="B632" t="str">
            <v>13_인터넷포털</v>
          </cell>
          <cell r="C632">
            <v>0.1</v>
          </cell>
        </row>
        <row r="633">
          <cell r="A633" t="str">
            <v>와이드경제</v>
          </cell>
          <cell r="B633" t="str">
            <v>13_인터넷포털</v>
          </cell>
          <cell r="C633">
            <v>0.1</v>
          </cell>
        </row>
        <row r="634">
          <cell r="A634" t="str">
            <v>메타tv</v>
          </cell>
          <cell r="B634" t="str">
            <v>13_인터넷포털</v>
          </cell>
          <cell r="C634">
            <v>0.1</v>
          </cell>
        </row>
        <row r="635">
          <cell r="A635" t="str">
            <v>GNN뉴스</v>
          </cell>
          <cell r="B635" t="str">
            <v>13_인터넷포털</v>
          </cell>
          <cell r="C635">
            <v>0.1</v>
          </cell>
        </row>
        <row r="636">
          <cell r="A636" t="str">
            <v>코리아타임뉴스</v>
          </cell>
          <cell r="B636" t="str">
            <v>13_인터넷포털</v>
          </cell>
          <cell r="C636">
            <v>0.1</v>
          </cell>
        </row>
        <row r="637">
          <cell r="A637" t="str">
            <v>코리아일보</v>
          </cell>
          <cell r="B637" t="str">
            <v>13_인터넷포털</v>
          </cell>
          <cell r="C637">
            <v>0.1</v>
          </cell>
        </row>
        <row r="638">
          <cell r="A638" t="str">
            <v>전국지방자치뉴스</v>
          </cell>
          <cell r="B638" t="str">
            <v>13_인터넷포털</v>
          </cell>
          <cell r="C638">
            <v>0.1</v>
          </cell>
        </row>
        <row r="639">
          <cell r="A639" t="str">
            <v>한국시사경제</v>
          </cell>
          <cell r="B639" t="str">
            <v>13_인터넷포털</v>
          </cell>
          <cell r="C639">
            <v>0.1</v>
          </cell>
        </row>
        <row r="640">
          <cell r="A640" t="str">
            <v>더연합타임즈</v>
          </cell>
          <cell r="B640" t="str">
            <v>13_인터넷포털</v>
          </cell>
          <cell r="C640">
            <v>0.1</v>
          </cell>
        </row>
        <row r="641">
          <cell r="A641" t="str">
            <v>한국산업안전뉴스</v>
          </cell>
          <cell r="B641" t="str">
            <v>13_인터넷포털</v>
          </cell>
          <cell r="C641">
            <v>0.1</v>
          </cell>
        </row>
        <row r="642">
          <cell r="A642" t="str">
            <v>Ch B TV</v>
          </cell>
          <cell r="B642" t="str">
            <v>03_TV-케이블지방</v>
          </cell>
          <cell r="C642">
            <v>2.5</v>
          </cell>
        </row>
        <row r="643">
          <cell r="A643" t="str">
            <v>아투시티뉴스</v>
          </cell>
          <cell r="B643" t="str">
            <v>13_인터넷포털</v>
          </cell>
          <cell r="C643">
            <v>0.1</v>
          </cell>
        </row>
        <row r="644">
          <cell r="A644" t="str">
            <v>한국농기자재산업</v>
          </cell>
          <cell r="B644" t="str">
            <v>09_농업전문지</v>
          </cell>
          <cell r="C644">
            <v>1.5</v>
          </cell>
        </row>
        <row r="645">
          <cell r="A645" t="str">
            <v>LG헬로티비</v>
          </cell>
          <cell r="B645" t="str">
            <v>03_TV-케이블지방</v>
          </cell>
          <cell r="C645">
            <v>2.5</v>
          </cell>
        </row>
        <row r="646">
          <cell r="A646" t="str">
            <v>팜뉴스</v>
          </cell>
          <cell r="B646" t="str">
            <v>13_인터넷포털</v>
          </cell>
          <cell r="C646">
            <v>0.1</v>
          </cell>
        </row>
        <row r="647">
          <cell r="A647" t="str">
            <v>OSEN</v>
          </cell>
          <cell r="B647" t="str">
            <v>13_인터넷포털</v>
          </cell>
          <cell r="C647">
            <v>0.1</v>
          </cell>
        </row>
        <row r="648">
          <cell r="A648" t="str">
            <v>1코노미뉴스</v>
          </cell>
          <cell r="B648" t="str">
            <v>13_인터넷포털</v>
          </cell>
          <cell r="C648">
            <v>0.1</v>
          </cell>
        </row>
        <row r="649">
          <cell r="A649" t="str">
            <v>뉴스펭귄</v>
          </cell>
          <cell r="B649" t="str">
            <v>13_인터넷포털</v>
          </cell>
          <cell r="C649">
            <v>0.1</v>
          </cell>
        </row>
        <row r="650">
          <cell r="A650" t="str">
            <v>삼다일보</v>
          </cell>
          <cell r="B650" t="str">
            <v>13_인터넷포털</v>
          </cell>
          <cell r="C650">
            <v>0.1</v>
          </cell>
        </row>
        <row r="651">
          <cell r="A651" t="str">
            <v>뉴스캠프</v>
          </cell>
          <cell r="B651" t="str">
            <v>13_인터넷포털</v>
          </cell>
          <cell r="C651">
            <v>0.1</v>
          </cell>
        </row>
        <row r="652">
          <cell r="A652" t="str">
            <v>NBN미디어</v>
          </cell>
          <cell r="B652" t="str">
            <v>13_인터넷포털</v>
          </cell>
          <cell r="C652">
            <v>0.1</v>
          </cell>
        </row>
        <row r="653">
          <cell r="A653" t="str">
            <v>헤드라인제주</v>
          </cell>
          <cell r="B653" t="str">
            <v>13_인터넷포털</v>
          </cell>
          <cell r="C653">
            <v>0.1</v>
          </cell>
        </row>
        <row r="654">
          <cell r="A654" t="str">
            <v>이투뉴스</v>
          </cell>
          <cell r="B654" t="str">
            <v>13_인터넷포털</v>
          </cell>
          <cell r="C654">
            <v>0.1</v>
          </cell>
        </row>
        <row r="655">
          <cell r="A655" t="str">
            <v>뉴데일리 충청·세종</v>
          </cell>
          <cell r="B655" t="str">
            <v>13_인터넷포털</v>
          </cell>
          <cell r="C655">
            <v>0.1</v>
          </cell>
        </row>
        <row r="656">
          <cell r="A656" t="str">
            <v>뉴스티앤티충남</v>
          </cell>
          <cell r="B656" t="str">
            <v>13_인터넷포털</v>
          </cell>
          <cell r="C656">
            <v>0.1</v>
          </cell>
        </row>
        <row r="657">
          <cell r="A657" t="str">
            <v>언더스트리뉴스</v>
          </cell>
          <cell r="B657" t="str">
            <v>13_인터넷포털</v>
          </cell>
          <cell r="C657">
            <v>0.1</v>
          </cell>
        </row>
        <row r="658">
          <cell r="A658" t="str">
            <v>Hello tv NEWS</v>
          </cell>
          <cell r="B658" t="str">
            <v>03_TV-케이블지방</v>
          </cell>
          <cell r="C658">
            <v>2.5</v>
          </cell>
        </row>
        <row r="659">
          <cell r="A659" t="str">
            <v>브레이킹뉴스</v>
          </cell>
          <cell r="B659" t="str">
            <v>13_인터넷포털</v>
          </cell>
          <cell r="C659">
            <v>0.1</v>
          </cell>
        </row>
        <row r="660">
          <cell r="A660" t="str">
            <v>서울경제TV</v>
          </cell>
          <cell r="B660" t="str">
            <v>13_인터넷포털</v>
          </cell>
          <cell r="C660">
            <v>0.1</v>
          </cell>
        </row>
        <row r="661">
          <cell r="A661" t="str">
            <v>씨티21뉴스</v>
          </cell>
          <cell r="B661" t="str">
            <v>13_인터넷포털</v>
          </cell>
          <cell r="C661">
            <v>0.1</v>
          </cell>
        </row>
        <row r="662">
          <cell r="A662" t="str">
            <v>KBS대구</v>
          </cell>
          <cell r="B662" t="str">
            <v>02_TV-지방</v>
          </cell>
          <cell r="C662">
            <v>4</v>
          </cell>
        </row>
        <row r="663">
          <cell r="A663" t="str">
            <v>NBS-TV</v>
          </cell>
          <cell r="B663" t="str">
            <v>03_TV-케이블지방</v>
          </cell>
          <cell r="C663">
            <v>2.5</v>
          </cell>
        </row>
        <row r="664">
          <cell r="A664" t="str">
            <v>당진신문</v>
          </cell>
          <cell r="B664" t="str">
            <v>09_지방일간지</v>
          </cell>
          <cell r="C664">
            <v>1.5</v>
          </cell>
        </row>
        <row r="665">
          <cell r="A665" t="str">
            <v>라이브뉴스</v>
          </cell>
          <cell r="B665" t="str">
            <v>13_인터넷포털</v>
          </cell>
          <cell r="C665">
            <v>0.1</v>
          </cell>
        </row>
        <row r="666">
          <cell r="A666" t="str">
            <v>MBC-TV</v>
          </cell>
          <cell r="B666" t="str">
            <v>02_TV-지방</v>
          </cell>
          <cell r="C666">
            <v>4</v>
          </cell>
        </row>
        <row r="667">
          <cell r="A667" t="str">
            <v>울산제일일보</v>
          </cell>
          <cell r="B667" t="str">
            <v>09_지방일간지</v>
          </cell>
          <cell r="C667">
            <v>1.5</v>
          </cell>
        </row>
        <row r="668">
          <cell r="A668" t="str">
            <v>투데이신문</v>
          </cell>
          <cell r="B668" t="str">
            <v>13_인터넷포털</v>
          </cell>
          <cell r="C668">
            <v>0.1</v>
          </cell>
        </row>
        <row r="669">
          <cell r="A669" t="str">
            <v>에너지데일리</v>
          </cell>
          <cell r="B669" t="str">
            <v>13_인터넷포털</v>
          </cell>
          <cell r="C669">
            <v>0.1</v>
          </cell>
        </row>
        <row r="670">
          <cell r="A670" t="str">
            <v>글로벌이코노믹</v>
          </cell>
          <cell r="B670" t="str">
            <v>13_인터넷포털</v>
          </cell>
          <cell r="C670">
            <v>0.1</v>
          </cell>
        </row>
        <row r="671">
          <cell r="A671" t="str">
            <v>한국무역신문</v>
          </cell>
          <cell r="B671" t="str">
            <v>13_인터넷포털</v>
          </cell>
          <cell r="C671">
            <v>0.1</v>
          </cell>
        </row>
        <row r="672">
          <cell r="A672" t="str">
            <v>경기신문</v>
          </cell>
          <cell r="B672" t="str">
            <v>09_지방일간지</v>
          </cell>
          <cell r="C672">
            <v>1.5</v>
          </cell>
        </row>
      </sheetData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년 누적시트"/>
      <sheetName val="Sheet2"/>
      <sheetName val="양식"/>
      <sheetName val="보도매체"/>
      <sheetName val="소속부서"/>
    </sheetNames>
    <sheetDataSet>
      <sheetData sheetId="0">
        <row r="15">
          <cell r="C15" t="str">
            <v>1_가축개량평가과</v>
          </cell>
        </row>
        <row r="17">
          <cell r="C17" t="str">
            <v>1_가축개량평가과</v>
          </cell>
        </row>
        <row r="19">
          <cell r="C19" t="str">
            <v>4_조사료생산시스템과</v>
          </cell>
        </row>
        <row r="23">
          <cell r="C23" t="str">
            <v>3_축산푸드테크과</v>
          </cell>
        </row>
        <row r="28">
          <cell r="C28" t="str">
            <v>4_조사료생산시스템과</v>
          </cell>
        </row>
        <row r="44">
          <cell r="C44" t="str">
            <v>4_조사료생산시스템과</v>
          </cell>
        </row>
        <row r="69">
          <cell r="C69" t="str">
            <v>6_동물복지과</v>
          </cell>
        </row>
        <row r="72">
          <cell r="C72" t="str">
            <v>5_가축유전자원센터</v>
          </cell>
        </row>
        <row r="76">
          <cell r="C76" t="str">
            <v>5_가축정밀영양과</v>
          </cell>
        </row>
      </sheetData>
      <sheetData sheetId="1" refreshError="1"/>
      <sheetData sheetId="2" refreshError="1"/>
      <sheetData sheetId="3">
        <row r="1">
          <cell r="A1" t="str">
            <v>보도매체</v>
          </cell>
          <cell r="B1" t="str">
            <v>구분 1</v>
          </cell>
          <cell r="C1" t="str">
            <v>구분 2(점수)</v>
          </cell>
        </row>
        <row r="2">
          <cell r="A2" t="str">
            <v>아주경제</v>
          </cell>
          <cell r="B2" t="str">
            <v>07_중앙일간지</v>
          </cell>
          <cell r="C2">
            <v>5</v>
          </cell>
        </row>
        <row r="3">
          <cell r="A3" t="str">
            <v>서울신문</v>
          </cell>
          <cell r="B3" t="str">
            <v>07_중앙일간지</v>
          </cell>
          <cell r="C3">
            <v>5</v>
          </cell>
        </row>
        <row r="4">
          <cell r="A4" t="str">
            <v>한겨레신문</v>
          </cell>
          <cell r="B4" t="str">
            <v>07_중앙일간지</v>
          </cell>
          <cell r="C4">
            <v>5</v>
          </cell>
        </row>
        <row r="5">
          <cell r="A5" t="str">
            <v>국민일보</v>
          </cell>
          <cell r="B5" t="str">
            <v>07_중앙일간지</v>
          </cell>
          <cell r="C5">
            <v>5</v>
          </cell>
        </row>
        <row r="6">
          <cell r="A6" t="str">
            <v>연합뉴스</v>
          </cell>
          <cell r="B6" t="str">
            <v>07_중앙일간지</v>
          </cell>
          <cell r="C6">
            <v>5</v>
          </cell>
        </row>
        <row r="7">
          <cell r="A7" t="str">
            <v>파이낸셜뉴스</v>
          </cell>
          <cell r="B7" t="str">
            <v>07_중앙일간지</v>
          </cell>
          <cell r="C7">
            <v>5</v>
          </cell>
        </row>
        <row r="8">
          <cell r="A8" t="str">
            <v>헤럴드경제</v>
          </cell>
          <cell r="B8" t="str">
            <v>07_중앙일간지</v>
          </cell>
          <cell r="C8">
            <v>5</v>
          </cell>
        </row>
        <row r="9">
          <cell r="A9" t="str">
            <v>KBS 라디오</v>
          </cell>
          <cell r="B9" t="str">
            <v>05_라디오-중앙</v>
          </cell>
          <cell r="C9">
            <v>3</v>
          </cell>
        </row>
        <row r="10">
          <cell r="A10" t="str">
            <v>SBS 라디오</v>
          </cell>
          <cell r="B10" t="str">
            <v>05_라디오-중앙</v>
          </cell>
          <cell r="C10">
            <v>3</v>
          </cell>
        </row>
        <row r="11">
          <cell r="A11" t="str">
            <v>BBS 라디오</v>
          </cell>
          <cell r="B11" t="str">
            <v>05_라디오-중앙</v>
          </cell>
          <cell r="C11">
            <v>3</v>
          </cell>
        </row>
        <row r="12">
          <cell r="A12" t="str">
            <v>아시아타임즈</v>
          </cell>
          <cell r="B12" t="str">
            <v>08_기타일간지</v>
          </cell>
          <cell r="C12">
            <v>2</v>
          </cell>
        </row>
        <row r="13">
          <cell r="A13" t="str">
            <v>아시아일보</v>
          </cell>
          <cell r="B13" t="str">
            <v>08_기타일간지</v>
          </cell>
          <cell r="C13">
            <v>2</v>
          </cell>
        </row>
        <row r="14">
          <cell r="A14" t="str">
            <v>전주일보</v>
          </cell>
          <cell r="B14" t="str">
            <v>09_지방일간지</v>
          </cell>
          <cell r="C14">
            <v>1.5</v>
          </cell>
        </row>
        <row r="15">
          <cell r="A15" t="str">
            <v>전주매일</v>
          </cell>
          <cell r="B15" t="str">
            <v>09_지방일간지</v>
          </cell>
          <cell r="C15">
            <v>1.5</v>
          </cell>
        </row>
        <row r="16">
          <cell r="A16" t="str">
            <v>산경일보</v>
          </cell>
          <cell r="B16" t="str">
            <v>09_지방일간지</v>
          </cell>
          <cell r="C16">
            <v>1.5</v>
          </cell>
        </row>
        <row r="17">
          <cell r="A17" t="str">
            <v>시민일보</v>
          </cell>
          <cell r="B17" t="str">
            <v>09_지방일간지</v>
          </cell>
          <cell r="C17">
            <v>1.5</v>
          </cell>
        </row>
        <row r="18">
          <cell r="A18" t="str">
            <v>경북신문</v>
          </cell>
          <cell r="B18" t="str">
            <v>09_지방일간지</v>
          </cell>
          <cell r="C18">
            <v>1.5</v>
          </cell>
        </row>
        <row r="19">
          <cell r="A19" t="str">
            <v>중도일보</v>
          </cell>
          <cell r="B19" t="str">
            <v>09_지방일간지</v>
          </cell>
          <cell r="C19">
            <v>1.5</v>
          </cell>
        </row>
        <row r="20">
          <cell r="A20" t="str">
            <v>전라일보</v>
          </cell>
          <cell r="B20" t="str">
            <v>09_지방일간지</v>
          </cell>
          <cell r="C20">
            <v>1.5</v>
          </cell>
        </row>
        <row r="21">
          <cell r="A21" t="str">
            <v>전민일보</v>
          </cell>
          <cell r="B21" t="str">
            <v>09_지방일간지</v>
          </cell>
          <cell r="C21">
            <v>1.5</v>
          </cell>
        </row>
        <row r="22">
          <cell r="A22" t="str">
            <v>전북일보</v>
          </cell>
          <cell r="B22" t="str">
            <v>09_지방일간지</v>
          </cell>
          <cell r="C22">
            <v>1.5</v>
          </cell>
        </row>
        <row r="23">
          <cell r="A23" t="str">
            <v>새전북신문</v>
          </cell>
          <cell r="B23" t="str">
            <v>09_지방일간지</v>
          </cell>
          <cell r="C23">
            <v>1.5</v>
          </cell>
        </row>
        <row r="24">
          <cell r="A24" t="str">
            <v>전북도민일보</v>
          </cell>
          <cell r="B24" t="str">
            <v>09_지방일간지</v>
          </cell>
          <cell r="C24">
            <v>1.5</v>
          </cell>
        </row>
        <row r="25">
          <cell r="A25" t="str">
            <v>농수축산신문</v>
          </cell>
          <cell r="B25" t="str">
            <v>09_농업전문지</v>
          </cell>
          <cell r="C25">
            <v>1.5</v>
          </cell>
        </row>
        <row r="26">
          <cell r="A26" t="str">
            <v>농기자재신문</v>
          </cell>
          <cell r="B26" t="str">
            <v>09_농업전문지</v>
          </cell>
          <cell r="C26">
            <v>1.5</v>
          </cell>
        </row>
        <row r="27">
          <cell r="A27" t="str">
            <v>농민신문</v>
          </cell>
          <cell r="B27" t="str">
            <v>09_농업전문지</v>
          </cell>
          <cell r="C27">
            <v>1.5</v>
          </cell>
        </row>
        <row r="28">
          <cell r="A28" t="str">
            <v>농축유통신문</v>
          </cell>
          <cell r="B28" t="str">
            <v>09_농업전문지</v>
          </cell>
          <cell r="C28">
            <v>1.5</v>
          </cell>
        </row>
        <row r="29">
          <cell r="A29" t="str">
            <v>농촌여성신문</v>
          </cell>
          <cell r="B29" t="str">
            <v>09_농업전문지</v>
          </cell>
          <cell r="C29">
            <v>1.5</v>
          </cell>
        </row>
        <row r="30">
          <cell r="A30" t="str">
            <v>농업인신문</v>
          </cell>
          <cell r="B30" t="str">
            <v>09_농업전문지</v>
          </cell>
          <cell r="C30">
            <v>1.5</v>
          </cell>
        </row>
        <row r="31">
          <cell r="A31" t="str">
            <v>데일리안</v>
          </cell>
          <cell r="B31" t="str">
            <v>13_인터넷포털</v>
          </cell>
          <cell r="C31">
            <v>0.1</v>
          </cell>
        </row>
        <row r="32">
          <cell r="A32" t="str">
            <v>머니에스</v>
          </cell>
          <cell r="B32" t="str">
            <v>13_인터넷포털</v>
          </cell>
          <cell r="C32">
            <v>0.1</v>
          </cell>
        </row>
        <row r="33">
          <cell r="A33" t="str">
            <v>전북제일신문</v>
          </cell>
          <cell r="B33" t="str">
            <v>09_지방일간지</v>
          </cell>
          <cell r="C33">
            <v>1.5</v>
          </cell>
        </row>
        <row r="34">
          <cell r="A34" t="str">
            <v>스포츠한국</v>
          </cell>
          <cell r="B34" t="str">
            <v>13_인터넷포털</v>
          </cell>
          <cell r="C34">
            <v>0.1</v>
          </cell>
        </row>
        <row r="35">
          <cell r="A35" t="str">
            <v>팜인사이트</v>
          </cell>
          <cell r="B35" t="str">
            <v>13_인터넷포털</v>
          </cell>
          <cell r="C35">
            <v>0.1</v>
          </cell>
        </row>
        <row r="36">
          <cell r="A36" t="str">
            <v>임팩트온</v>
          </cell>
          <cell r="B36" t="str">
            <v>13_인터넷포털</v>
          </cell>
          <cell r="C36">
            <v>0.1</v>
          </cell>
        </row>
        <row r="37">
          <cell r="A37" t="str">
            <v>미디어펜</v>
          </cell>
          <cell r="B37" t="str">
            <v>13_인터넷포털</v>
          </cell>
          <cell r="C37">
            <v>0.1</v>
          </cell>
        </row>
        <row r="38">
          <cell r="A38" t="str">
            <v>한국농어촌방송</v>
          </cell>
          <cell r="B38" t="str">
            <v>13_인터넷포털</v>
          </cell>
          <cell r="C38">
            <v>0.1</v>
          </cell>
        </row>
        <row r="39">
          <cell r="A39" t="str">
            <v>팜&amp;마켓</v>
          </cell>
          <cell r="B39" t="str">
            <v>09_농업전문지</v>
          </cell>
          <cell r="C39">
            <v>1.5</v>
          </cell>
        </row>
        <row r="40">
          <cell r="A40" t="str">
            <v>데일리메디</v>
          </cell>
          <cell r="B40" t="str">
            <v>13_인터넷포털</v>
          </cell>
          <cell r="C40">
            <v>0.1</v>
          </cell>
        </row>
        <row r="41">
          <cell r="A41" t="str">
            <v>현대축산뉴스</v>
          </cell>
          <cell r="B41" t="str">
            <v>13_인터넷포털</v>
          </cell>
          <cell r="C41">
            <v>0.1</v>
          </cell>
        </row>
        <row r="42">
          <cell r="A42" t="str">
            <v>YTN 라디오</v>
          </cell>
          <cell r="B42" t="str">
            <v>06_라디오-지방</v>
          </cell>
          <cell r="C42">
            <v>1.5</v>
          </cell>
        </row>
        <row r="43">
          <cell r="A43" t="str">
            <v>광주KBC 라디오</v>
          </cell>
          <cell r="B43" t="str">
            <v>06_라디오-지방</v>
          </cell>
          <cell r="C43">
            <v>1.5</v>
          </cell>
        </row>
        <row r="44">
          <cell r="A44" t="str">
            <v>세계일보</v>
          </cell>
          <cell r="B44" t="str">
            <v>07_중앙일간지</v>
          </cell>
          <cell r="C44">
            <v>5</v>
          </cell>
        </row>
        <row r="45">
          <cell r="A45" t="str">
            <v>내일신문</v>
          </cell>
          <cell r="B45" t="str">
            <v>07_중앙일간지</v>
          </cell>
          <cell r="C45">
            <v>5</v>
          </cell>
        </row>
        <row r="46">
          <cell r="A46" t="str">
            <v>환경일보</v>
          </cell>
          <cell r="B46" t="str">
            <v>08_기타일간지</v>
          </cell>
          <cell r="C46">
            <v>2</v>
          </cell>
        </row>
        <row r="47">
          <cell r="A47" t="str">
            <v>전업농신문</v>
          </cell>
          <cell r="B47" t="str">
            <v>09_농업전문지</v>
          </cell>
          <cell r="C47">
            <v>1.5</v>
          </cell>
        </row>
        <row r="48">
          <cell r="A48" t="str">
            <v>축산신문</v>
          </cell>
          <cell r="B48" t="str">
            <v>09_농업전문지</v>
          </cell>
          <cell r="C48">
            <v>1.5</v>
          </cell>
        </row>
        <row r="49">
          <cell r="A49" t="str">
            <v>내외일보</v>
          </cell>
          <cell r="B49" t="str">
            <v>09_지방일간지</v>
          </cell>
          <cell r="C49">
            <v>1.5</v>
          </cell>
        </row>
        <row r="50">
          <cell r="A50" t="str">
            <v>일간경기</v>
          </cell>
          <cell r="B50" t="str">
            <v>09_지방일간지</v>
          </cell>
          <cell r="C50">
            <v>1.5</v>
          </cell>
        </row>
        <row r="51">
          <cell r="A51" t="str">
            <v>수도권일보</v>
          </cell>
          <cell r="B51" t="str">
            <v>09_지방일간지</v>
          </cell>
          <cell r="C51">
            <v>1.5</v>
          </cell>
        </row>
        <row r="52">
          <cell r="A52" t="str">
            <v>수원화성신문</v>
          </cell>
          <cell r="B52" t="str">
            <v>11_기타(지역주간지)</v>
          </cell>
          <cell r="C52">
            <v>0.5</v>
          </cell>
        </row>
        <row r="53">
          <cell r="A53" t="str">
            <v>중부뉴스</v>
          </cell>
          <cell r="B53" t="str">
            <v>11_기타(지역주간지)</v>
          </cell>
          <cell r="C53">
            <v>0.5</v>
          </cell>
        </row>
        <row r="54">
          <cell r="A54" t="str">
            <v>경기eTV뉴스</v>
          </cell>
          <cell r="B54" t="str">
            <v>13_인터넷포털</v>
          </cell>
          <cell r="C54">
            <v>0.1</v>
          </cell>
        </row>
        <row r="55">
          <cell r="A55" t="str">
            <v>케이에스피뉴스</v>
          </cell>
          <cell r="B55" t="str">
            <v>13_인터넷포털</v>
          </cell>
          <cell r="C55">
            <v>0.1</v>
          </cell>
        </row>
        <row r="56">
          <cell r="A56" t="str">
            <v>메타TV뉴스</v>
          </cell>
          <cell r="B56" t="str">
            <v>13_인터넷포털</v>
          </cell>
          <cell r="C56">
            <v>0.1</v>
          </cell>
        </row>
        <row r="57">
          <cell r="A57" t="str">
            <v>미디어투데이</v>
          </cell>
          <cell r="B57" t="str">
            <v>13_인터넷포털</v>
          </cell>
          <cell r="C57">
            <v>0.1</v>
          </cell>
        </row>
        <row r="58">
          <cell r="A58" t="str">
            <v>경기IN</v>
          </cell>
          <cell r="B58" t="str">
            <v>13_인터넷포털</v>
          </cell>
          <cell r="C58">
            <v>0.1</v>
          </cell>
        </row>
        <row r="59">
          <cell r="A59" t="str">
            <v>데일리와이</v>
          </cell>
          <cell r="B59" t="str">
            <v>13_인터넷포털</v>
          </cell>
          <cell r="C59">
            <v>0.1</v>
          </cell>
        </row>
        <row r="60">
          <cell r="A60" t="str">
            <v>뉴스후</v>
          </cell>
          <cell r="B60" t="str">
            <v>13_인터넷포털</v>
          </cell>
          <cell r="C60">
            <v>0.1</v>
          </cell>
        </row>
        <row r="61">
          <cell r="A61" t="str">
            <v>경기인터넷신문</v>
          </cell>
          <cell r="B61" t="str">
            <v>13_인터넷포털</v>
          </cell>
          <cell r="C61">
            <v>0.1</v>
          </cell>
        </row>
        <row r="62">
          <cell r="A62" t="str">
            <v>미디어이슈</v>
          </cell>
          <cell r="B62" t="str">
            <v>13_인터넷포털</v>
          </cell>
          <cell r="C62">
            <v>0.1</v>
          </cell>
        </row>
        <row r="63">
          <cell r="A63" t="str">
            <v>경인투데이뉴스</v>
          </cell>
          <cell r="B63" t="str">
            <v>13_인터넷포털</v>
          </cell>
          <cell r="C63">
            <v>0.1</v>
          </cell>
        </row>
        <row r="64">
          <cell r="A64" t="str">
            <v>경기&amp;뉴스</v>
          </cell>
          <cell r="B64" t="str">
            <v>13_인터넷포털</v>
          </cell>
          <cell r="C64">
            <v>0.1</v>
          </cell>
        </row>
        <row r="65">
          <cell r="A65" t="str">
            <v>시대일보</v>
          </cell>
          <cell r="B65" t="str">
            <v>13_인터넷포털</v>
          </cell>
          <cell r="C65">
            <v>0.1</v>
          </cell>
        </row>
        <row r="66">
          <cell r="A66" t="str">
            <v>세계뉴스통신</v>
          </cell>
          <cell r="B66" t="str">
            <v>13_인터넷포털</v>
          </cell>
          <cell r="C66">
            <v>0.1</v>
          </cell>
        </row>
        <row r="67">
          <cell r="A67" t="str">
            <v>경기경제신문</v>
          </cell>
          <cell r="B67" t="str">
            <v>13_인터넷포털</v>
          </cell>
          <cell r="C67">
            <v>0.1</v>
          </cell>
        </row>
        <row r="68">
          <cell r="A68" t="str">
            <v>공직신문</v>
          </cell>
          <cell r="B68" t="str">
            <v>13_인터넷포털</v>
          </cell>
          <cell r="C68">
            <v>0.1</v>
          </cell>
        </row>
        <row r="69">
          <cell r="A69" t="str">
            <v>뉴스피크</v>
          </cell>
          <cell r="B69" t="str">
            <v>13_인터넷포털</v>
          </cell>
          <cell r="C69">
            <v>0.1</v>
          </cell>
        </row>
        <row r="70">
          <cell r="A70" t="str">
            <v>시사코리아</v>
          </cell>
          <cell r="B70" t="str">
            <v>13_인터넷포털</v>
          </cell>
          <cell r="C70">
            <v>0.1</v>
          </cell>
        </row>
        <row r="71">
          <cell r="A71" t="str">
            <v>미디어연합</v>
          </cell>
          <cell r="B71" t="str">
            <v>13_인터넷포털</v>
          </cell>
          <cell r="C71">
            <v>0.1</v>
          </cell>
        </row>
        <row r="72">
          <cell r="A72" t="str">
            <v>세계타임즈</v>
          </cell>
          <cell r="B72" t="str">
            <v>11_기타(지역주간지)</v>
          </cell>
          <cell r="C72">
            <v>0.5</v>
          </cell>
        </row>
        <row r="73">
          <cell r="A73" t="str">
            <v>식약일보</v>
          </cell>
          <cell r="B73" t="str">
            <v>10_기타전문지</v>
          </cell>
          <cell r="C73">
            <v>1</v>
          </cell>
        </row>
        <row r="74">
          <cell r="A74" t="str">
            <v>광교신문</v>
          </cell>
          <cell r="B74" t="str">
            <v>13_인터넷포털</v>
          </cell>
          <cell r="C74">
            <v>0.1</v>
          </cell>
        </row>
        <row r="75">
          <cell r="A75" t="str">
            <v>뉴스타운</v>
          </cell>
          <cell r="B75" t="str">
            <v>13_인터넷포털</v>
          </cell>
          <cell r="C75">
            <v>0.1</v>
          </cell>
        </row>
        <row r="76">
          <cell r="A76" t="str">
            <v>국민정책평가신문</v>
          </cell>
          <cell r="B76" t="str">
            <v>13_인터넷포털</v>
          </cell>
          <cell r="C76">
            <v>0.1</v>
          </cell>
        </row>
        <row r="77">
          <cell r="A77" t="str">
            <v>포인트데일리</v>
          </cell>
          <cell r="B77" t="str">
            <v>13_인터넷포털</v>
          </cell>
          <cell r="C77">
            <v>0.1</v>
          </cell>
        </row>
        <row r="78">
          <cell r="A78" t="str">
            <v>뉴스쉐어</v>
          </cell>
          <cell r="B78" t="str">
            <v>13_인터넷포털</v>
          </cell>
          <cell r="C78">
            <v>0.1</v>
          </cell>
        </row>
        <row r="79">
          <cell r="A79" t="str">
            <v>디지털데일리</v>
          </cell>
          <cell r="B79" t="str">
            <v>13_인터넷포털</v>
          </cell>
          <cell r="C79">
            <v>0.1</v>
          </cell>
        </row>
        <row r="80">
          <cell r="A80" t="str">
            <v>메디컬투데이</v>
          </cell>
          <cell r="B80" t="str">
            <v>13_인터넷포털</v>
          </cell>
          <cell r="C80">
            <v>0.1</v>
          </cell>
        </row>
        <row r="81">
          <cell r="A81" t="str">
            <v>노컷뉴스</v>
          </cell>
          <cell r="B81" t="str">
            <v>13_인터넷포털</v>
          </cell>
          <cell r="C81">
            <v>0.1</v>
          </cell>
        </row>
        <row r="82">
          <cell r="A82" t="str">
            <v>YTN 사이언스</v>
          </cell>
          <cell r="B82" t="str">
            <v>02_TV-케이블중앙</v>
          </cell>
          <cell r="C82">
            <v>4</v>
          </cell>
        </row>
        <row r="83">
          <cell r="A83" t="str">
            <v>YTN</v>
          </cell>
          <cell r="B83" t="str">
            <v>02_TV-케이블중앙</v>
          </cell>
          <cell r="C83">
            <v>4</v>
          </cell>
        </row>
        <row r="84">
          <cell r="A84" t="str">
            <v>전북연합신문</v>
          </cell>
          <cell r="B84" t="str">
            <v>09_지방일간지</v>
          </cell>
          <cell r="C84">
            <v>1.5</v>
          </cell>
        </row>
        <row r="85">
          <cell r="A85" t="str">
            <v>한국영농신문</v>
          </cell>
          <cell r="B85" t="str">
            <v>09_농업전문지</v>
          </cell>
          <cell r="C85">
            <v>1.5</v>
          </cell>
        </row>
        <row r="86">
          <cell r="A86" t="str">
            <v>라이브팜뉴스</v>
          </cell>
          <cell r="B86" t="str">
            <v>13_인터넷포털</v>
          </cell>
          <cell r="C86">
            <v>0.1</v>
          </cell>
        </row>
        <row r="87">
          <cell r="A87" t="str">
            <v>충청투데이</v>
          </cell>
          <cell r="B87" t="str">
            <v>09_지방일간지</v>
          </cell>
          <cell r="C87">
            <v>1.5</v>
          </cell>
        </row>
        <row r="88">
          <cell r="A88" t="str">
            <v>한국농정</v>
          </cell>
          <cell r="B88" t="str">
            <v>09_농업전문지</v>
          </cell>
          <cell r="C88">
            <v>1.5</v>
          </cell>
        </row>
        <row r="89">
          <cell r="A89" t="str">
            <v>죽산신문</v>
          </cell>
          <cell r="B89" t="str">
            <v>09_농업전문지</v>
          </cell>
          <cell r="C89">
            <v>1.5</v>
          </cell>
        </row>
        <row r="90">
          <cell r="A90" t="str">
            <v>한국연합신문</v>
          </cell>
          <cell r="B90" t="str">
            <v>13_인터넷포털</v>
          </cell>
          <cell r="C90">
            <v>0.1</v>
          </cell>
        </row>
        <row r="91">
          <cell r="A91" t="str">
            <v>한우신문</v>
          </cell>
          <cell r="B91" t="str">
            <v>10_기타전문지</v>
          </cell>
          <cell r="C91">
            <v>1</v>
          </cell>
        </row>
        <row r="92">
          <cell r="A92" t="str">
            <v>전북제일신문</v>
          </cell>
          <cell r="B92" t="str">
            <v>17_지방일간지</v>
          </cell>
          <cell r="C92">
            <v>8</v>
          </cell>
        </row>
        <row r="93">
          <cell r="A93" t="str">
            <v>데일리연합</v>
          </cell>
          <cell r="B93" t="str">
            <v>13_인터넷포털</v>
          </cell>
          <cell r="C93">
            <v>0.1</v>
          </cell>
        </row>
        <row r="94">
          <cell r="A94" t="str">
            <v>축산경제신문</v>
          </cell>
          <cell r="B94" t="str">
            <v>09_농업전문지</v>
          </cell>
          <cell r="C94">
            <v>1.5</v>
          </cell>
        </row>
        <row r="95">
          <cell r="A95" t="str">
            <v>한국농어민신문</v>
          </cell>
          <cell r="B95" t="str">
            <v>09_농업전문지</v>
          </cell>
          <cell r="C95">
            <v>1.5</v>
          </cell>
        </row>
        <row r="96">
          <cell r="A96" t="str">
            <v>프레시안</v>
          </cell>
          <cell r="B96" t="str">
            <v>13_인터넷포털</v>
          </cell>
          <cell r="C96">
            <v>0.1</v>
          </cell>
        </row>
        <row r="97">
          <cell r="A97" t="str">
            <v>보건뉴스</v>
          </cell>
          <cell r="B97" t="str">
            <v>13_인터넷포털</v>
          </cell>
          <cell r="C97">
            <v>0.1</v>
          </cell>
        </row>
        <row r="98">
          <cell r="A98" t="str">
            <v>농축환경신문</v>
          </cell>
          <cell r="B98" t="str">
            <v>09_농업전문지</v>
          </cell>
          <cell r="C98">
            <v>1.5</v>
          </cell>
        </row>
        <row r="99">
          <cell r="A99" t="str">
            <v>전주매일신문</v>
          </cell>
          <cell r="B99" t="str">
            <v>09_지방일간지</v>
          </cell>
          <cell r="C99">
            <v>1.5</v>
          </cell>
        </row>
        <row r="100">
          <cell r="A100" t="str">
            <v>퀸</v>
          </cell>
          <cell r="B100" t="str">
            <v>13_인터넷포털</v>
          </cell>
          <cell r="C100">
            <v>0.1</v>
          </cell>
        </row>
        <row r="101">
          <cell r="A101" t="str">
            <v>위키트리</v>
          </cell>
          <cell r="B101" t="str">
            <v>13_인터넷포털</v>
          </cell>
          <cell r="C101">
            <v>0.1</v>
          </cell>
        </row>
        <row r="102">
          <cell r="A102" t="str">
            <v>정책브리핑</v>
          </cell>
          <cell r="B102" t="str">
            <v>13_인터넷포털</v>
          </cell>
          <cell r="C102">
            <v>0.1</v>
          </cell>
        </row>
        <row r="103">
          <cell r="A103" t="str">
            <v>일간전북</v>
          </cell>
          <cell r="B103" t="str">
            <v>13_인터넷포털</v>
          </cell>
          <cell r="C103">
            <v>0.1</v>
          </cell>
        </row>
        <row r="104">
          <cell r="A104" t="str">
            <v>검찰연합일보</v>
          </cell>
          <cell r="B104" t="str">
            <v>13_인터넷포털</v>
          </cell>
          <cell r="C104">
            <v>0.1</v>
          </cell>
        </row>
        <row r="105">
          <cell r="A105" t="str">
            <v>경찰연합신문</v>
          </cell>
          <cell r="B105" t="str">
            <v>13_인터넷포털</v>
          </cell>
          <cell r="C105">
            <v>0.1</v>
          </cell>
        </row>
        <row r="106">
          <cell r="A106" t="str">
            <v>세계연합신문</v>
          </cell>
          <cell r="B106" t="str">
            <v>13_인터넷포털</v>
          </cell>
          <cell r="C106">
            <v>0.1</v>
          </cell>
        </row>
        <row r="107">
          <cell r="A107" t="str">
            <v>푸드아이콘</v>
          </cell>
          <cell r="B107" t="str">
            <v>13_인터넷포털</v>
          </cell>
          <cell r="C107">
            <v>0.1</v>
          </cell>
        </row>
        <row r="108">
          <cell r="A108" t="str">
            <v>전북타임즈</v>
          </cell>
          <cell r="B108" t="str">
            <v>09_지방일간지</v>
          </cell>
          <cell r="C108">
            <v>1.5</v>
          </cell>
        </row>
        <row r="109">
          <cell r="A109" t="str">
            <v>매일안전신문</v>
          </cell>
          <cell r="B109" t="str">
            <v>13_인터넷포털</v>
          </cell>
          <cell r="C109">
            <v>0.1</v>
          </cell>
        </row>
        <row r="110">
          <cell r="A110" t="str">
            <v>M메타 TV 뉴스</v>
          </cell>
          <cell r="B110" t="str">
            <v>13_인터넷포털</v>
          </cell>
          <cell r="C110">
            <v>0.1</v>
          </cell>
        </row>
        <row r="111">
          <cell r="A111" t="str">
            <v>정필</v>
          </cell>
          <cell r="B111" t="str">
            <v>13_인터넷포털</v>
          </cell>
          <cell r="C111">
            <v>0.1</v>
          </cell>
        </row>
        <row r="112">
          <cell r="A112" t="str">
            <v>뉴시스</v>
          </cell>
          <cell r="B112" t="str">
            <v>07_중앙일간지</v>
          </cell>
          <cell r="C112">
            <v>5</v>
          </cell>
        </row>
        <row r="113">
          <cell r="A113" t="str">
            <v>매일일보</v>
          </cell>
          <cell r="B113" t="str">
            <v>08_기타일간지</v>
          </cell>
          <cell r="C113">
            <v>2</v>
          </cell>
        </row>
        <row r="114">
          <cell r="A114" t="str">
            <v>대전일보</v>
          </cell>
          <cell r="B114" t="str">
            <v>09_지방일간지</v>
          </cell>
          <cell r="C114">
            <v>1.5</v>
          </cell>
        </row>
        <row r="115">
          <cell r="A115" t="str">
            <v>광주일보</v>
          </cell>
          <cell r="B115" t="str">
            <v>09_지방일간지</v>
          </cell>
          <cell r="C115">
            <v>1.5</v>
          </cell>
        </row>
        <row r="116">
          <cell r="A116" t="str">
            <v>전북중앙</v>
          </cell>
          <cell r="B116" t="str">
            <v>09_지방일간지</v>
          </cell>
          <cell r="C116">
            <v>1.5</v>
          </cell>
        </row>
        <row r="117">
          <cell r="A117" t="str">
            <v>국제신문</v>
          </cell>
          <cell r="B117" t="str">
            <v>09_지방일간지</v>
          </cell>
          <cell r="C117">
            <v>1.5</v>
          </cell>
        </row>
        <row r="118">
          <cell r="A118" t="str">
            <v>대한급식신문</v>
          </cell>
          <cell r="B118" t="str">
            <v>09_농업전문지</v>
          </cell>
          <cell r="C118">
            <v>1.5</v>
          </cell>
        </row>
        <row r="119">
          <cell r="A119" t="str">
            <v>헬스조선</v>
          </cell>
          <cell r="B119" t="str">
            <v>13_인터넷포털</v>
          </cell>
          <cell r="C119">
            <v>0.1</v>
          </cell>
        </row>
        <row r="120">
          <cell r="A120" t="str">
            <v>조선일보</v>
          </cell>
          <cell r="B120" t="str">
            <v>07_중앙일간지</v>
          </cell>
          <cell r="C120">
            <v>5</v>
          </cell>
        </row>
        <row r="121">
          <cell r="A121" t="str">
            <v>이데일리</v>
          </cell>
          <cell r="B121" t="str">
            <v>07_중앙일간지</v>
          </cell>
          <cell r="C121">
            <v>5</v>
          </cell>
        </row>
        <row r="122">
          <cell r="A122" t="str">
            <v>식품저널</v>
          </cell>
          <cell r="B122" t="str">
            <v>09_농업전문지</v>
          </cell>
          <cell r="C122">
            <v>1.5</v>
          </cell>
        </row>
        <row r="123">
          <cell r="A123" t="str">
            <v>머니투데이</v>
          </cell>
          <cell r="B123" t="str">
            <v>07_중앙일간지</v>
          </cell>
          <cell r="C123">
            <v>5</v>
          </cell>
        </row>
        <row r="124">
          <cell r="A124" t="str">
            <v>뉴스1</v>
          </cell>
          <cell r="B124" t="str">
            <v>07_중앙일간지</v>
          </cell>
          <cell r="C124">
            <v>5</v>
          </cell>
        </row>
        <row r="125">
          <cell r="A125" t="str">
            <v>대구광역일보</v>
          </cell>
          <cell r="B125" t="str">
            <v>09_지방일간지</v>
          </cell>
          <cell r="C125">
            <v>1.5</v>
          </cell>
        </row>
        <row r="126">
          <cell r="A126" t="str">
            <v>호남제일신문</v>
          </cell>
          <cell r="B126" t="str">
            <v>09_지방일간지</v>
          </cell>
          <cell r="C126">
            <v>1.5</v>
          </cell>
        </row>
        <row r="127">
          <cell r="A127" t="str">
            <v>전북타임스</v>
          </cell>
          <cell r="B127" t="str">
            <v>09_지방일간지</v>
          </cell>
          <cell r="C127">
            <v>1.5</v>
          </cell>
        </row>
        <row r="128">
          <cell r="A128" t="str">
            <v>금융경제</v>
          </cell>
          <cell r="B128" t="str">
            <v>10_기타전문지</v>
          </cell>
          <cell r="C128">
            <v>1</v>
          </cell>
        </row>
        <row r="129">
          <cell r="A129" t="str">
            <v>더코리아뉴스</v>
          </cell>
          <cell r="B129" t="str">
            <v>13_인터넷포털</v>
          </cell>
          <cell r="C129">
            <v>0.1</v>
          </cell>
        </row>
        <row r="130">
          <cell r="A130" t="str">
            <v>서울뉴스통신</v>
          </cell>
          <cell r="B130" t="str">
            <v>13_인터넷포털</v>
          </cell>
          <cell r="C130">
            <v>0.1</v>
          </cell>
        </row>
        <row r="131">
          <cell r="A131" t="str">
            <v>포이트데일리</v>
          </cell>
          <cell r="B131" t="str">
            <v>13_인터넷포털</v>
          </cell>
          <cell r="C131">
            <v>0.1</v>
          </cell>
        </row>
        <row r="132">
          <cell r="A132" t="str">
            <v>YTN-픽</v>
          </cell>
          <cell r="B132" t="str">
            <v>02_TV-케이블중앙</v>
          </cell>
          <cell r="C132">
            <v>4</v>
          </cell>
        </row>
        <row r="133">
          <cell r="A133" t="str">
            <v>뉴스핌</v>
          </cell>
          <cell r="B133" t="str">
            <v>13_인터넷포털</v>
          </cell>
          <cell r="C133">
            <v>0.1</v>
          </cell>
        </row>
        <row r="134">
          <cell r="A134" t="str">
            <v>키즈맘</v>
          </cell>
          <cell r="B134" t="str">
            <v>13_인터넷포털</v>
          </cell>
          <cell r="C134">
            <v>0.1</v>
          </cell>
        </row>
        <row r="135">
          <cell r="A135" t="str">
            <v>경향신문</v>
          </cell>
          <cell r="B135" t="str">
            <v>07_중앙일간지</v>
          </cell>
          <cell r="C135">
            <v>5</v>
          </cell>
        </row>
        <row r="136">
          <cell r="A136" t="str">
            <v>이투데이</v>
          </cell>
          <cell r="B136" t="str">
            <v>07_중앙일간지</v>
          </cell>
          <cell r="C136">
            <v>5</v>
          </cell>
        </row>
        <row r="137">
          <cell r="A137" t="str">
            <v>KBS전주-TV</v>
          </cell>
          <cell r="B137" t="str">
            <v>02_TV-지방</v>
          </cell>
          <cell r="C137">
            <v>4</v>
          </cell>
        </row>
        <row r="138">
          <cell r="A138" t="str">
            <v>연합뉴스-TV</v>
          </cell>
          <cell r="B138" t="str">
            <v>02_TV-케이블중앙</v>
          </cell>
          <cell r="C138">
            <v>4</v>
          </cell>
        </row>
        <row r="139">
          <cell r="A139" t="str">
            <v>SKB전주-TV</v>
          </cell>
          <cell r="B139" t="str">
            <v>03_TV-케이블지방</v>
          </cell>
          <cell r="C139">
            <v>2.5</v>
          </cell>
        </row>
        <row r="140">
          <cell r="A140" t="str">
            <v>동양일보</v>
          </cell>
          <cell r="B140" t="str">
            <v>09_지방일간지</v>
          </cell>
          <cell r="C140">
            <v>1.5</v>
          </cell>
        </row>
        <row r="141">
          <cell r="A141" t="str">
            <v>이코노뉴스</v>
          </cell>
          <cell r="B141" t="str">
            <v>13_인터넷포털</v>
          </cell>
          <cell r="C141">
            <v>0.1</v>
          </cell>
        </row>
        <row r="142">
          <cell r="A142" t="str">
            <v>팜앤마켓</v>
          </cell>
          <cell r="B142" t="str">
            <v>13_인터넷포털</v>
          </cell>
          <cell r="C142">
            <v>0.1</v>
          </cell>
        </row>
        <row r="143">
          <cell r="A143" t="str">
            <v>제주교통복지신문</v>
          </cell>
          <cell r="B143" t="str">
            <v>13_인터넷포털</v>
          </cell>
          <cell r="C143">
            <v>0.1</v>
          </cell>
        </row>
        <row r="144">
          <cell r="A144" t="str">
            <v>뉴스웍스</v>
          </cell>
          <cell r="B144" t="str">
            <v>13_인터넷포털</v>
          </cell>
          <cell r="C144">
            <v>0.1</v>
          </cell>
        </row>
        <row r="145">
          <cell r="A145" t="str">
            <v>아시아투데이</v>
          </cell>
          <cell r="B145" t="str">
            <v>07_중앙일간지</v>
          </cell>
          <cell r="C145">
            <v>5</v>
          </cell>
        </row>
        <row r="146">
          <cell r="A146" t="str">
            <v>투데이안</v>
          </cell>
          <cell r="B146" t="str">
            <v>13_인터넷포털</v>
          </cell>
          <cell r="C146">
            <v>0.1</v>
          </cell>
        </row>
        <row r="147">
          <cell r="A147" t="str">
            <v>경인투데이</v>
          </cell>
          <cell r="B147" t="str">
            <v>13_인터넷포털</v>
          </cell>
          <cell r="C147">
            <v>0.1</v>
          </cell>
        </row>
        <row r="148">
          <cell r="A148" t="str">
            <v>국제뉴스</v>
          </cell>
          <cell r="B148" t="str">
            <v>13_인터넷포털</v>
          </cell>
          <cell r="C148">
            <v>0.1</v>
          </cell>
        </row>
        <row r="149">
          <cell r="A149" t="str">
            <v>더원방송</v>
          </cell>
          <cell r="B149" t="str">
            <v>13_인터넷포털</v>
          </cell>
          <cell r="C149">
            <v>0.1</v>
          </cell>
        </row>
        <row r="150">
          <cell r="A150" t="str">
            <v>월간축산</v>
          </cell>
          <cell r="B150" t="str">
            <v>09_농업전문지</v>
          </cell>
          <cell r="C150">
            <v>1.5</v>
          </cell>
        </row>
        <row r="151">
          <cell r="A151" t="str">
            <v>월간한우</v>
          </cell>
          <cell r="B151" t="str">
            <v>09_농업전문지</v>
          </cell>
          <cell r="C151">
            <v>1.5</v>
          </cell>
        </row>
        <row r="152">
          <cell r="A152" t="str">
            <v>월간한돈</v>
          </cell>
          <cell r="B152" t="str">
            <v>10_월간지</v>
          </cell>
          <cell r="C152">
            <v>1</v>
          </cell>
        </row>
        <row r="153">
          <cell r="A153" t="str">
            <v>Pig&amp;Pork한돈</v>
          </cell>
          <cell r="B153" t="str">
            <v>10_월간지</v>
          </cell>
          <cell r="C153">
            <v>1</v>
          </cell>
        </row>
        <row r="154">
          <cell r="A154" t="str">
            <v>월간낙농‧육우</v>
          </cell>
          <cell r="B154" t="str">
            <v>10_월간지</v>
          </cell>
          <cell r="C154">
            <v>1</v>
          </cell>
        </row>
        <row r="155">
          <cell r="A155" t="str">
            <v>월간낙농</v>
          </cell>
          <cell r="B155" t="str">
            <v>10_월간지</v>
          </cell>
          <cell r="C155">
            <v>1</v>
          </cell>
        </row>
        <row r="156">
          <cell r="A156" t="str">
            <v>월간양계</v>
          </cell>
          <cell r="B156" t="str">
            <v>10_월간지</v>
          </cell>
          <cell r="C156">
            <v>1</v>
          </cell>
        </row>
        <row r="157">
          <cell r="A157" t="str">
            <v>월간닭고기</v>
          </cell>
          <cell r="B157" t="str">
            <v>10_월간지</v>
          </cell>
          <cell r="C157">
            <v>1</v>
          </cell>
        </row>
        <row r="158">
          <cell r="A158" t="str">
            <v>월간산란계</v>
          </cell>
          <cell r="B158" t="str">
            <v>10_월간지</v>
          </cell>
          <cell r="C158">
            <v>1</v>
          </cell>
        </row>
        <row r="159">
          <cell r="A159" t="str">
            <v>새만금일보</v>
          </cell>
          <cell r="B159" t="str">
            <v>09_지방일간지</v>
          </cell>
          <cell r="C159">
            <v>1.5</v>
          </cell>
        </row>
        <row r="160">
          <cell r="A160" t="str">
            <v>스포츠서울</v>
          </cell>
          <cell r="B160" t="str">
            <v>08_스포츠신문</v>
          </cell>
          <cell r="C160">
            <v>2</v>
          </cell>
        </row>
        <row r="161">
          <cell r="A161" t="str">
            <v>데일리스포츠한국</v>
          </cell>
          <cell r="B161" t="str">
            <v>08_스포츠신문</v>
          </cell>
          <cell r="C161">
            <v>2</v>
          </cell>
        </row>
        <row r="162">
          <cell r="A162" t="str">
            <v>매일신문</v>
          </cell>
          <cell r="B162" t="str">
            <v>09_지방일간지</v>
          </cell>
          <cell r="C162">
            <v>1.5</v>
          </cell>
        </row>
        <row r="163">
          <cell r="A163" t="str">
            <v>경안일보</v>
          </cell>
          <cell r="B163" t="str">
            <v>09_지방일간지</v>
          </cell>
          <cell r="C163">
            <v>1.5</v>
          </cell>
        </row>
        <row r="164">
          <cell r="A164" t="str">
            <v>경북매일</v>
          </cell>
          <cell r="B164" t="str">
            <v>09_지방일간지</v>
          </cell>
          <cell r="C164">
            <v>1.5</v>
          </cell>
        </row>
        <row r="165">
          <cell r="A165" t="str">
            <v>낙농신문</v>
          </cell>
          <cell r="B165" t="str">
            <v>10_기타전문지</v>
          </cell>
          <cell r="C165">
            <v>1</v>
          </cell>
        </row>
        <row r="166">
          <cell r="A166" t="str">
            <v>세명일보</v>
          </cell>
          <cell r="B166" t="str">
            <v>11_기타(지역주간지)</v>
          </cell>
          <cell r="C166">
            <v>0.5</v>
          </cell>
        </row>
        <row r="167">
          <cell r="A167" t="str">
            <v>NSP통신</v>
          </cell>
          <cell r="B167" t="str">
            <v>13_인터넷포털</v>
          </cell>
          <cell r="C167">
            <v>0.1</v>
          </cell>
        </row>
        <row r="168">
          <cell r="A168" t="str">
            <v>이코리아</v>
          </cell>
          <cell r="B168" t="str">
            <v>13_인터넷포털</v>
          </cell>
          <cell r="C168">
            <v>0.1</v>
          </cell>
        </row>
        <row r="169">
          <cell r="A169" t="str">
            <v>한국농업신문</v>
          </cell>
          <cell r="B169" t="str">
            <v>09_농업전문지</v>
          </cell>
          <cell r="C169">
            <v>1.5</v>
          </cell>
        </row>
        <row r="170">
          <cell r="A170" t="str">
            <v>쿠키뉴스</v>
          </cell>
          <cell r="B170" t="str">
            <v>13_인터넷포털</v>
          </cell>
          <cell r="C170">
            <v>0.1</v>
          </cell>
        </row>
        <row r="171">
          <cell r="A171" t="str">
            <v>비즈니스 포스트</v>
          </cell>
          <cell r="B171" t="str">
            <v>13_인터넷포털</v>
          </cell>
          <cell r="C171">
            <v>0.1</v>
          </cell>
        </row>
        <row r="172">
          <cell r="A172" t="str">
            <v>핸드메이커</v>
          </cell>
          <cell r="B172" t="str">
            <v>13_인터넷포털</v>
          </cell>
          <cell r="C172">
            <v>0.1</v>
          </cell>
        </row>
        <row r="173">
          <cell r="A173" t="str">
            <v>에코타임스</v>
          </cell>
          <cell r="B173" t="str">
            <v>13_인터넷포털</v>
          </cell>
          <cell r="C173">
            <v>0.1</v>
          </cell>
        </row>
        <row r="174">
          <cell r="A174" t="str">
            <v>위기관리경영</v>
          </cell>
          <cell r="B174" t="str">
            <v>13_인터넷포털</v>
          </cell>
          <cell r="C174">
            <v>0.1</v>
          </cell>
        </row>
        <row r="175">
          <cell r="A175" t="str">
            <v>검찰연합신문</v>
          </cell>
          <cell r="B175" t="str">
            <v>13_인터넷포털</v>
          </cell>
          <cell r="C175">
            <v>0.1</v>
          </cell>
        </row>
        <row r="176">
          <cell r="A176" t="str">
            <v>유튜브</v>
          </cell>
          <cell r="B176" t="str">
            <v>23_동영상 콘텐츠 포스팅</v>
          </cell>
          <cell r="C176">
            <v>12</v>
          </cell>
        </row>
        <row r="177">
          <cell r="A177" t="str">
            <v>더농부</v>
          </cell>
          <cell r="B177" t="str">
            <v>24_이미지 콘텐츠 포스팅</v>
          </cell>
          <cell r="C177">
            <v>8</v>
          </cell>
        </row>
        <row r="178">
          <cell r="A178" t="str">
            <v>대구신문</v>
          </cell>
          <cell r="B178" t="str">
            <v>09_지방일간지</v>
          </cell>
          <cell r="C178">
            <v>1.5</v>
          </cell>
        </row>
        <row r="179">
          <cell r="A179" t="str">
            <v>데일리대구경북뉴스</v>
          </cell>
          <cell r="B179" t="str">
            <v>11_기타(지역주간지)</v>
          </cell>
          <cell r="C179">
            <v>0.5</v>
          </cell>
        </row>
        <row r="180">
          <cell r="A180" t="str">
            <v>성주신문</v>
          </cell>
          <cell r="B180" t="str">
            <v>11_기타(지역주간지)</v>
          </cell>
          <cell r="C180">
            <v>0.5</v>
          </cell>
        </row>
        <row r="181">
          <cell r="A181" t="str">
            <v>뉴스줌</v>
          </cell>
          <cell r="B181" t="str">
            <v>13_인터넷포털</v>
          </cell>
          <cell r="C181">
            <v>0.1</v>
          </cell>
        </row>
        <row r="182">
          <cell r="A182" t="str">
            <v>시니어매일</v>
          </cell>
          <cell r="B182" t="str">
            <v>13_인터넷포털</v>
          </cell>
          <cell r="C182">
            <v>0.1</v>
          </cell>
        </row>
        <row r="183">
          <cell r="A183" t="str">
            <v>양돈타임스</v>
          </cell>
          <cell r="B183" t="str">
            <v>09_농업전문지</v>
          </cell>
          <cell r="C183">
            <v>1.5</v>
          </cell>
        </row>
        <row r="184">
          <cell r="A184" t="str">
            <v>뉴트리션</v>
          </cell>
          <cell r="B184" t="str">
            <v>13_인터넷포털</v>
          </cell>
          <cell r="C184">
            <v>0.1</v>
          </cell>
        </row>
        <row r="185">
          <cell r="A185" t="str">
            <v>경상투데이</v>
          </cell>
          <cell r="B185" t="str">
            <v>09_지방일간지</v>
          </cell>
          <cell r="C185">
            <v>1.5</v>
          </cell>
        </row>
        <row r="186">
          <cell r="A186" t="str">
            <v>한돈신문</v>
          </cell>
          <cell r="B186" t="str">
            <v>10_기타전문지</v>
          </cell>
          <cell r="C186">
            <v>1</v>
          </cell>
        </row>
        <row r="187">
          <cell r="A187" t="str">
            <v>돼지와사람</v>
          </cell>
          <cell r="B187" t="str">
            <v>13_인터넷포털</v>
          </cell>
          <cell r="C187">
            <v>0.1</v>
          </cell>
        </row>
        <row r="188">
          <cell r="A188" t="str">
            <v>부산일보</v>
          </cell>
          <cell r="B188" t="str">
            <v>09_지방일간지</v>
          </cell>
          <cell r="C188">
            <v>1.5</v>
          </cell>
        </row>
        <row r="189">
          <cell r="A189" t="str">
            <v>무진장뉴스i</v>
          </cell>
          <cell r="B189" t="str">
            <v>13_인터넷포털</v>
          </cell>
          <cell r="C189">
            <v>0.1</v>
          </cell>
        </row>
        <row r="190">
          <cell r="A190" t="str">
            <v>한국사회복지저널</v>
          </cell>
          <cell r="B190" t="str">
            <v>13_인터넷포털</v>
          </cell>
          <cell r="C190">
            <v>0.1</v>
          </cell>
        </row>
        <row r="191">
          <cell r="A191" t="str">
            <v>정보통신신문</v>
          </cell>
          <cell r="B191" t="str">
            <v>10_기타전문지</v>
          </cell>
          <cell r="C191">
            <v>1</v>
          </cell>
        </row>
        <row r="192">
          <cell r="A192" t="str">
            <v>미디어투에이</v>
          </cell>
          <cell r="B192" t="str">
            <v>13_인터넷포털</v>
          </cell>
          <cell r="C192">
            <v>0.1</v>
          </cell>
        </row>
        <row r="193">
          <cell r="A193" t="str">
            <v>코리아중앙데일리</v>
          </cell>
          <cell r="B193" t="str">
            <v>08_기타일간지</v>
          </cell>
          <cell r="C193">
            <v>2</v>
          </cell>
        </row>
        <row r="194">
          <cell r="A194" t="str">
            <v>칠성고라이프</v>
          </cell>
          <cell r="B194" t="str">
            <v>13_인터넷포털</v>
          </cell>
          <cell r="C194">
            <v>0.1</v>
          </cell>
        </row>
        <row r="195">
          <cell r="A195" t="str">
            <v>월간환경</v>
          </cell>
          <cell r="B195" t="str">
            <v>10_기타월간지</v>
          </cell>
          <cell r="C195">
            <v>1</v>
          </cell>
        </row>
        <row r="196">
          <cell r="A196" t="str">
            <v>투데이광주전남</v>
          </cell>
          <cell r="B196" t="str">
            <v>13_인터넷포털</v>
          </cell>
          <cell r="C196">
            <v>0.1</v>
          </cell>
        </row>
        <row r="197">
          <cell r="A197" t="str">
            <v>프레스뉴스통신</v>
          </cell>
          <cell r="B197" t="str">
            <v>13_인터넷포털</v>
          </cell>
          <cell r="C197">
            <v>0.1</v>
          </cell>
        </row>
        <row r="198">
          <cell r="A198" t="str">
            <v>뉴스깜</v>
          </cell>
          <cell r="B198" t="str">
            <v>13_인터넷포털</v>
          </cell>
          <cell r="C198">
            <v>0.1</v>
          </cell>
        </row>
        <row r="199">
          <cell r="A199" t="str">
            <v>동아일보</v>
          </cell>
          <cell r="B199" t="str">
            <v>07_중앙일간지</v>
          </cell>
          <cell r="C199">
            <v>5</v>
          </cell>
        </row>
        <row r="200">
          <cell r="A200" t="str">
            <v>광주매일신문</v>
          </cell>
          <cell r="B200" t="str">
            <v>09_지방일간지</v>
          </cell>
          <cell r="C200">
            <v>1.5</v>
          </cell>
        </row>
        <row r="201">
          <cell r="A201" t="str">
            <v>남도일보</v>
          </cell>
          <cell r="B201" t="str">
            <v>09_지방일간지</v>
          </cell>
          <cell r="C201">
            <v>1.5</v>
          </cell>
        </row>
        <row r="202">
          <cell r="A202" t="str">
            <v>한국농촌경제신문</v>
          </cell>
          <cell r="B202" t="str">
            <v>09_농업전문지</v>
          </cell>
          <cell r="C202">
            <v>1.5</v>
          </cell>
        </row>
        <row r="203">
          <cell r="A203" t="str">
            <v>cnb뉴스</v>
          </cell>
          <cell r="B203" t="str">
            <v>13_인터넷포털</v>
          </cell>
          <cell r="C203">
            <v>0.1</v>
          </cell>
        </row>
        <row r="204">
          <cell r="A204" t="str">
            <v>아시아에이</v>
          </cell>
          <cell r="B204" t="str">
            <v>13_인터넷포털</v>
          </cell>
          <cell r="C204">
            <v>0.1</v>
          </cell>
        </row>
        <row r="205">
          <cell r="A205" t="str">
            <v>톡톡뉴스</v>
          </cell>
          <cell r="B205" t="str">
            <v>13_인터넷포털</v>
          </cell>
          <cell r="C205">
            <v>0.1</v>
          </cell>
        </row>
        <row r="206">
          <cell r="A206" t="str">
            <v>일등방송</v>
          </cell>
          <cell r="B206" t="str">
            <v>13_인터넷포털</v>
          </cell>
          <cell r="C206">
            <v>0.1</v>
          </cell>
        </row>
        <row r="207">
          <cell r="A207" t="str">
            <v>전남인터넷신문</v>
          </cell>
          <cell r="B207" t="str">
            <v>13_인터넷포털</v>
          </cell>
          <cell r="C207">
            <v>0.1</v>
          </cell>
        </row>
        <row r="208">
          <cell r="A208" t="str">
            <v>한국공보뉴스</v>
          </cell>
          <cell r="B208" t="str">
            <v>13_인터넷포털</v>
          </cell>
          <cell r="C208">
            <v>0.1</v>
          </cell>
        </row>
        <row r="209">
          <cell r="A209" t="str">
            <v>농수축산신문</v>
          </cell>
          <cell r="B209" t="str">
            <v>17_농업전문지</v>
          </cell>
          <cell r="C209">
            <v>8</v>
          </cell>
        </row>
        <row r="210">
          <cell r="A210" t="str">
            <v>무등일보</v>
          </cell>
          <cell r="B210" t="str">
            <v>09_지방일간지</v>
          </cell>
          <cell r="C210">
            <v>1.5</v>
          </cell>
        </row>
        <row r="211">
          <cell r="A211" t="str">
            <v>광주타임즈</v>
          </cell>
          <cell r="B211" t="str">
            <v>09_지방일간지</v>
          </cell>
          <cell r="C211">
            <v>1.5</v>
          </cell>
        </row>
        <row r="212">
          <cell r="A212" t="str">
            <v>대한일보</v>
          </cell>
          <cell r="B212" t="str">
            <v>11_기타(지역주간지)</v>
          </cell>
          <cell r="C212">
            <v>0.5</v>
          </cell>
        </row>
        <row r="213">
          <cell r="A213" t="str">
            <v>중앙통신뉴스</v>
          </cell>
          <cell r="B213" t="str">
            <v>13_인터넷포털</v>
          </cell>
          <cell r="C213">
            <v>0.1</v>
          </cell>
        </row>
        <row r="214">
          <cell r="A214" t="str">
            <v>NGTV</v>
          </cell>
          <cell r="B214" t="str">
            <v>13_인터넷포털</v>
          </cell>
          <cell r="C214">
            <v>0.1</v>
          </cell>
        </row>
        <row r="215">
          <cell r="A215" t="str">
            <v>일반경제신문</v>
          </cell>
          <cell r="B215" t="str">
            <v>13_인터넷포털</v>
          </cell>
          <cell r="C215">
            <v>0.1</v>
          </cell>
        </row>
        <row r="216">
          <cell r="A216" t="str">
            <v>SBS</v>
          </cell>
          <cell r="B216" t="str">
            <v>01_TV-중앙</v>
          </cell>
          <cell r="C216">
            <v>8</v>
          </cell>
        </row>
        <row r="217">
          <cell r="A217" t="str">
            <v>한국경제</v>
          </cell>
          <cell r="B217" t="str">
            <v>07_중앙일간지</v>
          </cell>
          <cell r="C217">
            <v>5</v>
          </cell>
        </row>
        <row r="218">
          <cell r="A218" t="str">
            <v>전국매일신문</v>
          </cell>
          <cell r="B218" t="str">
            <v>08_기타일간지</v>
          </cell>
          <cell r="C218">
            <v>2</v>
          </cell>
        </row>
        <row r="219">
          <cell r="A219" t="str">
            <v>이코노믹리뷰</v>
          </cell>
          <cell r="B219" t="str">
            <v>10_기타월간지</v>
          </cell>
          <cell r="C219">
            <v>1</v>
          </cell>
        </row>
        <row r="220">
          <cell r="A220" t="str">
            <v>metro</v>
          </cell>
          <cell r="B220" t="str">
            <v>10_무가지</v>
          </cell>
          <cell r="C220">
            <v>1</v>
          </cell>
        </row>
        <row r="221">
          <cell r="A221" t="str">
            <v>한국일보</v>
          </cell>
          <cell r="B221" t="str">
            <v>07_중앙일간지</v>
          </cell>
          <cell r="C221">
            <v>5</v>
          </cell>
        </row>
        <row r="222">
          <cell r="A222" t="str">
            <v>농업축산신문</v>
          </cell>
          <cell r="B222" t="str">
            <v>09_농업전문지</v>
          </cell>
          <cell r="C222">
            <v>1.5</v>
          </cell>
        </row>
        <row r="223">
          <cell r="A223" t="str">
            <v>우리문화신문</v>
          </cell>
          <cell r="B223" t="str">
            <v>13_인터넷포털</v>
          </cell>
          <cell r="C223">
            <v>0.1</v>
          </cell>
        </row>
        <row r="224">
          <cell r="A224" t="str">
            <v>뉴스토마토</v>
          </cell>
          <cell r="B224" t="str">
            <v>13_인터넷포털</v>
          </cell>
          <cell r="C224">
            <v>0.1</v>
          </cell>
        </row>
        <row r="225">
          <cell r="A225" t="str">
            <v>KBS춘천</v>
          </cell>
          <cell r="B225" t="str">
            <v>02_TV-지방</v>
          </cell>
          <cell r="C225">
            <v>4</v>
          </cell>
        </row>
        <row r="226">
          <cell r="A226" t="str">
            <v>울산광역매일</v>
          </cell>
          <cell r="B226" t="str">
            <v>09_지방일간지</v>
          </cell>
          <cell r="C226">
            <v>1.5</v>
          </cell>
        </row>
        <row r="227">
          <cell r="A227" t="str">
            <v>기호일보</v>
          </cell>
          <cell r="B227" t="str">
            <v>09_지방일간지</v>
          </cell>
          <cell r="C227">
            <v>1.5</v>
          </cell>
        </row>
        <row r="228">
          <cell r="A228" t="str">
            <v>전남매일</v>
          </cell>
          <cell r="B228" t="str">
            <v>09_지방일간지</v>
          </cell>
          <cell r="C228">
            <v>1.5</v>
          </cell>
        </row>
        <row r="229">
          <cell r="A229" t="str">
            <v>TV조선</v>
          </cell>
          <cell r="B229" t="str">
            <v>02_TV-종합편성채널</v>
          </cell>
          <cell r="C229">
            <v>4</v>
          </cell>
        </row>
        <row r="230">
          <cell r="A230" t="str">
            <v>한국농업방송</v>
          </cell>
          <cell r="B230" t="str">
            <v>03_TV-케이블지방</v>
          </cell>
          <cell r="C230">
            <v>2.5</v>
          </cell>
        </row>
        <row r="231">
          <cell r="A231" t="str">
            <v>농업정보신문</v>
          </cell>
          <cell r="B231" t="str">
            <v>09_농업전문지</v>
          </cell>
          <cell r="C231">
            <v>1.5</v>
          </cell>
        </row>
        <row r="232">
          <cell r="A232" t="str">
            <v>라이브팜</v>
          </cell>
          <cell r="B232" t="str">
            <v>13_인터넷포털</v>
          </cell>
          <cell r="C232">
            <v>0.1</v>
          </cell>
        </row>
        <row r="233">
          <cell r="A233" t="str">
            <v>연합뉴스TV</v>
          </cell>
          <cell r="B233" t="str">
            <v>02_TV-케이블중앙</v>
          </cell>
          <cell r="C233">
            <v>4</v>
          </cell>
        </row>
        <row r="234">
          <cell r="A234" t="str">
            <v>OBS</v>
          </cell>
          <cell r="B234" t="str">
            <v>02_TV-지방</v>
          </cell>
          <cell r="C234">
            <v>4</v>
          </cell>
        </row>
        <row r="235">
          <cell r="A235" t="str">
            <v>전북연햡신문</v>
          </cell>
          <cell r="B235" t="str">
            <v>09_지방일간지</v>
          </cell>
          <cell r="C235">
            <v>1.5</v>
          </cell>
        </row>
        <row r="236">
          <cell r="A236" t="str">
            <v>충청타임즈</v>
          </cell>
          <cell r="B236" t="str">
            <v>09_지방일간지</v>
          </cell>
          <cell r="C236">
            <v>1.5</v>
          </cell>
        </row>
        <row r="237">
          <cell r="A237" t="str">
            <v>서울우유</v>
          </cell>
          <cell r="B237" t="str">
            <v>10_월간지</v>
          </cell>
          <cell r="C237">
            <v>1</v>
          </cell>
        </row>
        <row r="238">
          <cell r="A238" t="str">
            <v>전업농신문</v>
          </cell>
          <cell r="B238" t="str">
            <v>17_농업전문지</v>
          </cell>
          <cell r="C238">
            <v>8</v>
          </cell>
        </row>
        <row r="239">
          <cell r="A239" t="str">
            <v>전주MBC RADIO</v>
          </cell>
          <cell r="B239" t="str">
            <v>06_라디오-지방</v>
          </cell>
          <cell r="C239">
            <v>1.5</v>
          </cell>
        </row>
        <row r="240">
          <cell r="A240" t="str">
            <v>JTBC RADIO</v>
          </cell>
          <cell r="B240" t="str">
            <v>06_라디오-지방</v>
          </cell>
          <cell r="C240">
            <v>1.5</v>
          </cell>
        </row>
        <row r="241">
          <cell r="A241" t="str">
            <v>전북CBS</v>
          </cell>
          <cell r="B241" t="str">
            <v>06_라디오-지방</v>
          </cell>
          <cell r="C241">
            <v>1.5</v>
          </cell>
        </row>
        <row r="242">
          <cell r="A242" t="str">
            <v>전주KBS RADIO</v>
          </cell>
          <cell r="B242" t="str">
            <v>06_라디오-지방</v>
          </cell>
          <cell r="C242">
            <v>1.5</v>
          </cell>
        </row>
        <row r="243">
          <cell r="A243" t="str">
            <v>뉴스다임</v>
          </cell>
          <cell r="B243" t="str">
            <v>13_인터넷포털</v>
          </cell>
          <cell r="C243">
            <v>0.1</v>
          </cell>
        </row>
        <row r="244">
          <cell r="A244" t="str">
            <v>전라일보</v>
          </cell>
          <cell r="B244" t="str">
            <v>17_지방일간지</v>
          </cell>
          <cell r="C244">
            <v>8</v>
          </cell>
        </row>
        <row r="245">
          <cell r="A245" t="str">
            <v>전북제일신문</v>
          </cell>
          <cell r="B245" t="str">
            <v>09_농업전문지</v>
          </cell>
          <cell r="C245">
            <v>1.5</v>
          </cell>
        </row>
        <row r="246">
          <cell r="A246" t="str">
            <v>한국임업신문</v>
          </cell>
          <cell r="B246" t="str">
            <v>09_농업전문지</v>
          </cell>
          <cell r="C246">
            <v>1.5</v>
          </cell>
        </row>
        <row r="247">
          <cell r="A247" t="str">
            <v>뉴스티앤티</v>
          </cell>
          <cell r="B247" t="str">
            <v>11_기타(지역주간지)</v>
          </cell>
          <cell r="C247">
            <v>0.5</v>
          </cell>
        </row>
        <row r="248">
          <cell r="A248" t="str">
            <v>KBS전주</v>
          </cell>
          <cell r="B248" t="str">
            <v>02_TV-지방</v>
          </cell>
          <cell r="C248">
            <v>4</v>
          </cell>
        </row>
        <row r="249">
          <cell r="A249" t="str">
            <v>현대건강신문</v>
          </cell>
          <cell r="B249" t="str">
            <v>10_기타전문지</v>
          </cell>
          <cell r="C249">
            <v>1</v>
          </cell>
        </row>
        <row r="250">
          <cell r="A250" t="str">
            <v>더 코리아</v>
          </cell>
          <cell r="B250" t="str">
            <v>13_인터넷포털</v>
          </cell>
          <cell r="C250">
            <v>0.1</v>
          </cell>
        </row>
        <row r="251">
          <cell r="A251" t="str">
            <v>농축유통신문</v>
          </cell>
          <cell r="B251" t="str">
            <v>17_농업전문지</v>
          </cell>
          <cell r="C251">
            <v>8</v>
          </cell>
        </row>
        <row r="252">
          <cell r="A252" t="str">
            <v>MBN RADIO</v>
          </cell>
          <cell r="B252" t="str">
            <v>06_라디오-지방</v>
          </cell>
          <cell r="C252">
            <v>1.5</v>
          </cell>
        </row>
        <row r="253">
          <cell r="A253" t="str">
            <v>원주투데이</v>
          </cell>
          <cell r="B253" t="str">
            <v>11_기타(지역주간지)</v>
          </cell>
          <cell r="C253">
            <v>0.5</v>
          </cell>
        </row>
        <row r="254">
          <cell r="A254" t="str">
            <v>아시아경제</v>
          </cell>
          <cell r="B254" t="str">
            <v>07_중앙일간지</v>
          </cell>
          <cell r="C254">
            <v>5</v>
          </cell>
        </row>
        <row r="255">
          <cell r="A255" t="str">
            <v>JTV</v>
          </cell>
          <cell r="B255" t="str">
            <v>02_TV-지방</v>
          </cell>
          <cell r="C255">
            <v>4</v>
          </cell>
        </row>
        <row r="256">
          <cell r="A256" t="str">
            <v>TBC</v>
          </cell>
          <cell r="B256" t="str">
            <v>02_TV-지방</v>
          </cell>
          <cell r="C256">
            <v>4</v>
          </cell>
        </row>
        <row r="257">
          <cell r="A257" t="str">
            <v>디지털타임스</v>
          </cell>
          <cell r="B257" t="str">
            <v>08_기타일간지</v>
          </cell>
          <cell r="C257">
            <v>2</v>
          </cell>
        </row>
        <row r="258">
          <cell r="A258" t="str">
            <v>중앙매일</v>
          </cell>
          <cell r="B258" t="str">
            <v>09_지방일간지</v>
          </cell>
          <cell r="C258">
            <v>1.5</v>
          </cell>
        </row>
        <row r="259">
          <cell r="A259" t="str">
            <v>톱클래스</v>
          </cell>
          <cell r="B259" t="str">
            <v>13_인터넷포털</v>
          </cell>
          <cell r="C259">
            <v>0.1</v>
          </cell>
        </row>
        <row r="260">
          <cell r="A260" t="str">
            <v>이미디어</v>
          </cell>
          <cell r="B260" t="str">
            <v>10_기타전문지</v>
          </cell>
          <cell r="C260">
            <v>1</v>
          </cell>
        </row>
        <row r="261">
          <cell r="A261" t="str">
            <v>로이슈</v>
          </cell>
          <cell r="B261" t="str">
            <v>13_인터넷포털</v>
          </cell>
          <cell r="C261">
            <v>0.1</v>
          </cell>
        </row>
        <row r="262">
          <cell r="A262" t="str">
            <v>브레이크뉴스</v>
          </cell>
          <cell r="B262" t="str">
            <v>13_인터넷포털</v>
          </cell>
          <cell r="C262">
            <v>0.1</v>
          </cell>
        </row>
        <row r="263">
          <cell r="A263" t="str">
            <v>충청매일</v>
          </cell>
          <cell r="B263" t="str">
            <v>09_지방일간지</v>
          </cell>
          <cell r="C263">
            <v>1.5</v>
          </cell>
        </row>
        <row r="264">
          <cell r="A264" t="str">
            <v>뉴스워커</v>
          </cell>
          <cell r="B264" t="str">
            <v>13_인터넷포털</v>
          </cell>
          <cell r="C264">
            <v>0.1</v>
          </cell>
        </row>
        <row r="265">
          <cell r="A265" t="str">
            <v>영남일보</v>
          </cell>
          <cell r="B265" t="str">
            <v>09_지방일간지</v>
          </cell>
          <cell r="C265">
            <v>1.5</v>
          </cell>
        </row>
        <row r="266">
          <cell r="A266" t="str">
            <v>BBS NEWS</v>
          </cell>
          <cell r="B266" t="str">
            <v>11_기타(지역주간지)</v>
          </cell>
          <cell r="C266">
            <v>0.5</v>
          </cell>
        </row>
        <row r="267">
          <cell r="A267" t="str">
            <v>웹이코노미</v>
          </cell>
          <cell r="B267" t="str">
            <v>13_인터넷포털</v>
          </cell>
          <cell r="C267">
            <v>0.1</v>
          </cell>
        </row>
        <row r="268">
          <cell r="A268" t="str">
            <v>뉴스프리존</v>
          </cell>
          <cell r="B268" t="str">
            <v>13_인터넷포털</v>
          </cell>
          <cell r="C268">
            <v>0.1</v>
          </cell>
        </row>
        <row r="269">
          <cell r="A269" t="str">
            <v>더퍼블릭</v>
          </cell>
          <cell r="B269" t="str">
            <v>13_인터넷포털</v>
          </cell>
          <cell r="C269">
            <v>0.1</v>
          </cell>
        </row>
        <row r="270">
          <cell r="A270" t="str">
            <v>청년일보</v>
          </cell>
          <cell r="B270" t="str">
            <v>13_인터넷포털</v>
          </cell>
          <cell r="C270">
            <v>0.1</v>
          </cell>
        </row>
        <row r="271">
          <cell r="A271" t="str">
            <v>경북일보</v>
          </cell>
          <cell r="B271" t="str">
            <v>09_지방일간지</v>
          </cell>
          <cell r="C271">
            <v>1.5</v>
          </cell>
        </row>
        <row r="272">
          <cell r="A272" t="str">
            <v>경상매일신문</v>
          </cell>
          <cell r="B272" t="str">
            <v>09_지방일간지</v>
          </cell>
          <cell r="C272">
            <v>1.5</v>
          </cell>
        </row>
        <row r="273">
          <cell r="A273" t="str">
            <v>한국금융</v>
          </cell>
          <cell r="B273" t="str">
            <v>10_기타전문지</v>
          </cell>
          <cell r="C273">
            <v>1</v>
          </cell>
        </row>
        <row r="274">
          <cell r="A274" t="str">
            <v>중소기업신문</v>
          </cell>
          <cell r="B274" t="str">
            <v>13_인터넷포털</v>
          </cell>
          <cell r="C274">
            <v>0.1</v>
          </cell>
        </row>
        <row r="275">
          <cell r="A275" t="str">
            <v>폴리뉴스</v>
          </cell>
          <cell r="B275" t="str">
            <v>13_인터넷포털</v>
          </cell>
          <cell r="C275">
            <v>0.1</v>
          </cell>
        </row>
        <row r="276">
          <cell r="A276" t="str">
            <v>환경미디어</v>
          </cell>
          <cell r="B276" t="str">
            <v>10_기타전문지</v>
          </cell>
          <cell r="C276">
            <v>1</v>
          </cell>
        </row>
        <row r="277">
          <cell r="A277" t="str">
            <v>창업일보</v>
          </cell>
          <cell r="B277" t="str">
            <v>13_인터넷포털</v>
          </cell>
          <cell r="C277">
            <v>0.1</v>
          </cell>
        </row>
        <row r="278">
          <cell r="A278" t="str">
            <v>신아일보</v>
          </cell>
          <cell r="B278" t="str">
            <v>08_기타일간지</v>
          </cell>
          <cell r="C278">
            <v>2</v>
          </cell>
        </row>
        <row r="279">
          <cell r="A279" t="str">
            <v>천지일보</v>
          </cell>
          <cell r="B279" t="str">
            <v>08_기타일간지</v>
          </cell>
          <cell r="C279">
            <v>2</v>
          </cell>
        </row>
        <row r="280">
          <cell r="A280" t="str">
            <v>경인매일</v>
          </cell>
          <cell r="B280" t="str">
            <v>09_지방일간지</v>
          </cell>
          <cell r="C280">
            <v>1.5</v>
          </cell>
        </row>
        <row r="281">
          <cell r="A281" t="str">
            <v>광남일보</v>
          </cell>
          <cell r="B281" t="str">
            <v>09_지방일간지</v>
          </cell>
          <cell r="C281">
            <v>1.5</v>
          </cell>
        </row>
        <row r="282">
          <cell r="A282" t="str">
            <v>전남일보</v>
          </cell>
          <cell r="B282" t="str">
            <v>09_지방일간지</v>
          </cell>
          <cell r="C282">
            <v>1.5</v>
          </cell>
        </row>
        <row r="283">
          <cell r="A283" t="str">
            <v>호남매일</v>
          </cell>
          <cell r="B283" t="str">
            <v>09_지방일간지</v>
          </cell>
          <cell r="C283">
            <v>1.5</v>
          </cell>
        </row>
        <row r="284">
          <cell r="A284" t="str">
            <v>광주드림</v>
          </cell>
          <cell r="B284" t="str">
            <v>09_지방일간지</v>
          </cell>
          <cell r="C284">
            <v>1.5</v>
          </cell>
        </row>
        <row r="285">
          <cell r="A285" t="str">
            <v>원예산업신문</v>
          </cell>
          <cell r="B285" t="str">
            <v>09_농업전문지</v>
          </cell>
          <cell r="C285">
            <v>1.5</v>
          </cell>
        </row>
        <row r="286">
          <cell r="A286" t="str">
            <v>광주kbc RADIO</v>
          </cell>
          <cell r="B286" t="str">
            <v>06_라디오-지방</v>
          </cell>
          <cell r="C286">
            <v>1.5</v>
          </cell>
        </row>
        <row r="287">
          <cell r="A287" t="str">
            <v>위클리 오늘</v>
          </cell>
          <cell r="B287" t="str">
            <v>10_주간지</v>
          </cell>
          <cell r="C287">
            <v>1</v>
          </cell>
        </row>
        <row r="288">
          <cell r="A288" t="str">
            <v>문화매일</v>
          </cell>
          <cell r="B288" t="str">
            <v>11_기타(지역주간지)</v>
          </cell>
          <cell r="C288">
            <v>0.5</v>
          </cell>
        </row>
        <row r="289">
          <cell r="A289" t="str">
            <v>글로벌경제신문</v>
          </cell>
          <cell r="B289" t="str">
            <v>13_인터넷포털</v>
          </cell>
          <cell r="C289">
            <v>0.1</v>
          </cell>
        </row>
        <row r="290">
          <cell r="A290" t="str">
            <v>서울일보</v>
          </cell>
          <cell r="B290" t="str">
            <v>08_기타일간지</v>
          </cell>
          <cell r="C290">
            <v>2</v>
          </cell>
        </row>
        <row r="291">
          <cell r="A291" t="str">
            <v>현대일보</v>
          </cell>
          <cell r="B291" t="str">
            <v>09_지방일간지</v>
          </cell>
          <cell r="C291">
            <v>1.5</v>
          </cell>
        </row>
        <row r="292">
          <cell r="A292" t="str">
            <v>신아일보</v>
          </cell>
          <cell r="B292" t="str">
            <v>09_지방일간지</v>
          </cell>
          <cell r="C292">
            <v>1.5</v>
          </cell>
        </row>
        <row r="293">
          <cell r="A293" t="str">
            <v>경인종합일보</v>
          </cell>
          <cell r="B293" t="str">
            <v>09_지방일간지</v>
          </cell>
          <cell r="C293">
            <v>1.5</v>
          </cell>
        </row>
        <row r="294">
          <cell r="A294" t="str">
            <v>한성일보</v>
          </cell>
          <cell r="B294" t="str">
            <v>09_지방일간지</v>
          </cell>
          <cell r="C294">
            <v>1.5</v>
          </cell>
        </row>
        <row r="295">
          <cell r="A295" t="str">
            <v>경기도민일보</v>
          </cell>
          <cell r="B295" t="str">
            <v>09_지방일간지</v>
          </cell>
          <cell r="C295">
            <v>1.5</v>
          </cell>
        </row>
        <row r="296">
          <cell r="A296" t="str">
            <v>서울매일</v>
          </cell>
          <cell r="B296" t="str">
            <v>09_지방일간지</v>
          </cell>
          <cell r="C296">
            <v>1.5</v>
          </cell>
        </row>
        <row r="297">
          <cell r="A297" t="str">
            <v>경기매일</v>
          </cell>
          <cell r="B297" t="str">
            <v>09_지방일간지</v>
          </cell>
          <cell r="C297">
            <v>1.5</v>
          </cell>
        </row>
        <row r="298">
          <cell r="A298" t="str">
            <v>열린뉴스통신</v>
          </cell>
          <cell r="B298" t="str">
            <v>13_인터넷포털</v>
          </cell>
          <cell r="C298">
            <v>0.1</v>
          </cell>
        </row>
        <row r="299">
          <cell r="A299" t="str">
            <v>축산경제신문신문</v>
          </cell>
          <cell r="B299" t="str">
            <v>09_농업전문지</v>
          </cell>
          <cell r="C299">
            <v>1.5</v>
          </cell>
        </row>
        <row r="300">
          <cell r="A300" t="str">
            <v>대한경제</v>
          </cell>
          <cell r="B300" t="str">
            <v>13_인터넷포털</v>
          </cell>
          <cell r="C300">
            <v>0.1</v>
          </cell>
        </row>
        <row r="301">
          <cell r="A301" t="str">
            <v>UPI뉴스</v>
          </cell>
          <cell r="B301" t="str">
            <v>13_인터넷포털</v>
          </cell>
          <cell r="C301">
            <v>0.1</v>
          </cell>
        </row>
        <row r="302">
          <cell r="A302" t="str">
            <v>스카이데일리</v>
          </cell>
          <cell r="B302" t="str">
            <v>13_인터넷포털</v>
          </cell>
          <cell r="C302">
            <v>0.1</v>
          </cell>
        </row>
        <row r="303">
          <cell r="A303" t="str">
            <v>농업인신문</v>
          </cell>
          <cell r="B303" t="str">
            <v>17_농업전문지</v>
          </cell>
          <cell r="C303">
            <v>8</v>
          </cell>
        </row>
        <row r="304">
          <cell r="A304" t="str">
            <v>호남신문</v>
          </cell>
          <cell r="B304" t="str">
            <v>09_지방일간지</v>
          </cell>
          <cell r="C304">
            <v>1.5</v>
          </cell>
        </row>
        <row r="305">
          <cell r="A305" t="str">
            <v>전광투데이</v>
          </cell>
          <cell r="B305" t="str">
            <v>09_지방일간지</v>
          </cell>
          <cell r="C305">
            <v>1.5</v>
          </cell>
        </row>
        <row r="306">
          <cell r="A306" t="str">
            <v>일간투데이</v>
          </cell>
          <cell r="B306" t="str">
            <v>08_기타일간지</v>
          </cell>
          <cell r="C306">
            <v>2</v>
          </cell>
        </row>
        <row r="307">
          <cell r="A307" t="str">
            <v>도민일보</v>
          </cell>
          <cell r="B307" t="str">
            <v>09_지방일간지</v>
          </cell>
          <cell r="C307">
            <v>1.5</v>
          </cell>
        </row>
        <row r="308">
          <cell r="A308" t="str">
            <v>동아사이언스</v>
          </cell>
          <cell r="B308" t="str">
            <v>10_기타월간지</v>
          </cell>
          <cell r="C308">
            <v>1</v>
          </cell>
        </row>
        <row r="309">
          <cell r="A309" t="str">
            <v>시사일보</v>
          </cell>
          <cell r="B309" t="str">
            <v>11_기타(지역주간지)</v>
          </cell>
          <cell r="C309">
            <v>0.5</v>
          </cell>
        </row>
        <row r="310">
          <cell r="A310" t="str">
            <v>컨슈머타임스</v>
          </cell>
          <cell r="B310" t="str">
            <v>13_인터넷포털</v>
          </cell>
          <cell r="C310">
            <v>0.1</v>
          </cell>
        </row>
        <row r="311">
          <cell r="A311" t="str">
            <v>통합뉴스</v>
          </cell>
          <cell r="B311" t="str">
            <v>13_인터넷포털</v>
          </cell>
          <cell r="C311">
            <v>0.1</v>
          </cell>
        </row>
        <row r="312">
          <cell r="A312" t="str">
            <v>국민TV</v>
          </cell>
          <cell r="B312" t="str">
            <v>13_인터넷포털</v>
          </cell>
          <cell r="C312">
            <v>0.1</v>
          </cell>
        </row>
        <row r="313">
          <cell r="A313" t="str">
            <v>경기북부탑뉴스</v>
          </cell>
          <cell r="B313" t="str">
            <v>13_인터넷포털</v>
          </cell>
          <cell r="C313">
            <v>0.1</v>
          </cell>
        </row>
        <row r="314">
          <cell r="A314" t="str">
            <v>아시아경제</v>
          </cell>
          <cell r="B314" t="str">
            <v>15_중앙일간지</v>
          </cell>
          <cell r="C314">
            <v>15</v>
          </cell>
        </row>
        <row r="315">
          <cell r="A315" t="str">
            <v>광주가톨릭평화방송</v>
          </cell>
          <cell r="B315" t="str">
            <v>03_TV-케이블지방</v>
          </cell>
          <cell r="C315">
            <v>2.5</v>
          </cell>
        </row>
        <row r="316">
          <cell r="A316" t="str">
            <v>한국농기계신문</v>
          </cell>
          <cell r="B316" t="str">
            <v>09_농업전문지</v>
          </cell>
          <cell r="C316">
            <v>1.5</v>
          </cell>
        </row>
        <row r="317">
          <cell r="A317" t="str">
            <v>농축산기계</v>
          </cell>
          <cell r="B317" t="str">
            <v>10_기타전문지</v>
          </cell>
          <cell r="C317">
            <v>1</v>
          </cell>
        </row>
        <row r="318">
          <cell r="A318" t="str">
            <v>경기북부포커스</v>
          </cell>
          <cell r="B318" t="str">
            <v>11_기타(지역주간지)</v>
          </cell>
          <cell r="C318">
            <v>0.5</v>
          </cell>
        </row>
        <row r="319">
          <cell r="A319" t="str">
            <v>메이킹뉴스</v>
          </cell>
          <cell r="B319" t="str">
            <v>13_인터넷포털</v>
          </cell>
          <cell r="C319">
            <v>0.1</v>
          </cell>
        </row>
        <row r="320">
          <cell r="A320" t="str">
            <v>이코노믹포스트</v>
          </cell>
          <cell r="B320" t="str">
            <v>13_인터넷포털</v>
          </cell>
          <cell r="C320">
            <v>0.1</v>
          </cell>
        </row>
        <row r="321">
          <cell r="A321" t="str">
            <v>뉴스에이</v>
          </cell>
          <cell r="B321" t="str">
            <v>13_인터넷포털</v>
          </cell>
          <cell r="C321">
            <v>0.1</v>
          </cell>
        </row>
        <row r="322">
          <cell r="A322" t="str">
            <v>K재널</v>
          </cell>
          <cell r="B322" t="str">
            <v>13_인터넷포털</v>
          </cell>
          <cell r="C322">
            <v>0.1</v>
          </cell>
        </row>
        <row r="323">
          <cell r="A323" t="str">
            <v>플러스코리아 타임즈</v>
          </cell>
          <cell r="B323" t="str">
            <v>13_인터넷포털</v>
          </cell>
          <cell r="C323">
            <v>0.1</v>
          </cell>
        </row>
        <row r="324">
          <cell r="A324" t="str">
            <v>GBS방송</v>
          </cell>
          <cell r="B324" t="str">
            <v>13_인터넷포털</v>
          </cell>
          <cell r="C324">
            <v>0.1</v>
          </cell>
        </row>
        <row r="325">
          <cell r="A325" t="str">
            <v>서울시티</v>
          </cell>
          <cell r="B325" t="str">
            <v>13_인터넷포털</v>
          </cell>
          <cell r="C325">
            <v>0.1</v>
          </cell>
        </row>
        <row r="326">
          <cell r="A326" t="str">
            <v>파퓰러사이언스</v>
          </cell>
          <cell r="B326" t="str">
            <v>13_인터넷포털</v>
          </cell>
          <cell r="C326">
            <v>0.1</v>
          </cell>
        </row>
        <row r="327">
          <cell r="A327" t="str">
            <v>전라매일</v>
          </cell>
          <cell r="B327" t="str">
            <v>09_지방일간지</v>
          </cell>
          <cell r="C327">
            <v>1.5</v>
          </cell>
        </row>
        <row r="328">
          <cell r="A328" t="str">
            <v>매일경제</v>
          </cell>
          <cell r="B328" t="str">
            <v>07_중앙일간지</v>
          </cell>
          <cell r="C328">
            <v>5</v>
          </cell>
        </row>
        <row r="329">
          <cell r="A329" t="str">
            <v>브릿지경제</v>
          </cell>
          <cell r="B329" t="str">
            <v>11_기타(지역주간지)</v>
          </cell>
          <cell r="C329">
            <v>0.5</v>
          </cell>
        </row>
        <row r="330">
          <cell r="A330" t="str">
            <v>뉴스경남</v>
          </cell>
          <cell r="B330" t="str">
            <v>09_지방일간지</v>
          </cell>
          <cell r="C330">
            <v>1.5</v>
          </cell>
        </row>
        <row r="331">
          <cell r="A331" t="str">
            <v>경남도민신문</v>
          </cell>
          <cell r="B331" t="str">
            <v>09_지방일간지</v>
          </cell>
          <cell r="C331">
            <v>1.5</v>
          </cell>
        </row>
        <row r="332">
          <cell r="A332" t="str">
            <v>울산신문</v>
          </cell>
          <cell r="B332" t="str">
            <v>09_지방일간지</v>
          </cell>
          <cell r="C332">
            <v>1.5</v>
          </cell>
        </row>
        <row r="333">
          <cell r="A333" t="str">
            <v>울산매일신문</v>
          </cell>
          <cell r="B333" t="str">
            <v>09_지방일간지</v>
          </cell>
          <cell r="C333">
            <v>1.5</v>
          </cell>
        </row>
        <row r="334">
          <cell r="A334" t="str">
            <v>경남에나뉴스</v>
          </cell>
          <cell r="B334" t="str">
            <v>13_인터넷포털</v>
          </cell>
          <cell r="C334">
            <v>0.1</v>
          </cell>
        </row>
        <row r="335">
          <cell r="A335" t="str">
            <v>로컬세계</v>
          </cell>
          <cell r="B335" t="str">
            <v>13_인터넷포털</v>
          </cell>
          <cell r="C335">
            <v>0.1</v>
          </cell>
        </row>
        <row r="336">
          <cell r="A336" t="str">
            <v>경북도민일보</v>
          </cell>
          <cell r="B336" t="str">
            <v>09_지방일간지</v>
          </cell>
          <cell r="C336">
            <v>1.5</v>
          </cell>
        </row>
        <row r="337">
          <cell r="A337" t="str">
            <v>오늘경제</v>
          </cell>
          <cell r="B337" t="str">
            <v>13_인터넷포털</v>
          </cell>
          <cell r="C337">
            <v>0.1</v>
          </cell>
        </row>
        <row r="338">
          <cell r="A338" t="str">
            <v>전국뉴스</v>
          </cell>
          <cell r="B338" t="str">
            <v>13_인터넷포털</v>
          </cell>
          <cell r="C338">
            <v>0.1</v>
          </cell>
        </row>
        <row r="339">
          <cell r="A339" t="str">
            <v>경북인터넷뉴스</v>
          </cell>
          <cell r="B339" t="str">
            <v>13_인터넷포털</v>
          </cell>
          <cell r="C339">
            <v>0.1</v>
          </cell>
        </row>
        <row r="340">
          <cell r="A340" t="str">
            <v>경북TV뉴스</v>
          </cell>
          <cell r="B340" t="str">
            <v>13_인터넷포털</v>
          </cell>
          <cell r="C340">
            <v>0.1</v>
          </cell>
        </row>
        <row r="341">
          <cell r="A341" t="str">
            <v>일간경북신문</v>
          </cell>
          <cell r="B341" t="str">
            <v>09_지방일간지</v>
          </cell>
          <cell r="C341">
            <v>1.5</v>
          </cell>
        </row>
        <row r="342">
          <cell r="A342" t="str">
            <v>경북중앙신문</v>
          </cell>
          <cell r="B342" t="str">
            <v>09_지방일간지</v>
          </cell>
          <cell r="C342">
            <v>1.5</v>
          </cell>
        </row>
        <row r="343">
          <cell r="A343" t="str">
            <v>경북제일신문</v>
          </cell>
          <cell r="B343" t="str">
            <v>13_인터넷포털</v>
          </cell>
          <cell r="C343">
            <v>0.1</v>
          </cell>
        </row>
        <row r="344">
          <cell r="A344" t="str">
            <v>위클리오늘</v>
          </cell>
          <cell r="B344" t="str">
            <v>10_주간지</v>
          </cell>
          <cell r="C344">
            <v>1</v>
          </cell>
        </row>
        <row r="345">
          <cell r="A345" t="str">
            <v>홍천인터넷뉴스</v>
          </cell>
          <cell r="B345" t="str">
            <v>13_인터넷포털</v>
          </cell>
          <cell r="C345">
            <v>0.1</v>
          </cell>
        </row>
        <row r="346">
          <cell r="A346" t="str">
            <v>제이누리</v>
          </cell>
          <cell r="B346" t="str">
            <v>13_인터넷포털</v>
          </cell>
          <cell r="C346">
            <v>0.1</v>
          </cell>
        </row>
        <row r="347">
          <cell r="A347" t="str">
            <v>제민일보</v>
          </cell>
          <cell r="B347" t="str">
            <v>11_기타(지역주간지)</v>
          </cell>
          <cell r="C347">
            <v>0.5</v>
          </cell>
        </row>
        <row r="348">
          <cell r="A348" t="str">
            <v>강원신문</v>
          </cell>
          <cell r="B348" t="str">
            <v>11_기타(지역주간지)</v>
          </cell>
          <cell r="C348">
            <v>0.5</v>
          </cell>
        </row>
        <row r="349">
          <cell r="A349" t="str">
            <v>소년한국일보</v>
          </cell>
          <cell r="B349" t="str">
            <v>13_인터넷포털</v>
          </cell>
          <cell r="C349">
            <v>0.1</v>
          </cell>
        </row>
        <row r="350">
          <cell r="A350" t="str">
            <v>동방일보</v>
          </cell>
          <cell r="B350" t="str">
            <v>08_기타일간지</v>
          </cell>
          <cell r="C350">
            <v>2</v>
          </cell>
        </row>
        <row r="351">
          <cell r="A351" t="str">
            <v>중앙일보</v>
          </cell>
          <cell r="B351" t="str">
            <v>07_중앙일간지</v>
          </cell>
          <cell r="C351">
            <v>5</v>
          </cell>
        </row>
        <row r="352">
          <cell r="A352" t="str">
            <v>잡포스트</v>
          </cell>
          <cell r="B352" t="str">
            <v>13_인터넷포털</v>
          </cell>
          <cell r="C352">
            <v>0.1</v>
          </cell>
        </row>
        <row r="353">
          <cell r="A353" t="str">
            <v>창원일보</v>
          </cell>
          <cell r="B353" t="str">
            <v>09_지방일간지</v>
          </cell>
          <cell r="C353">
            <v>1.5</v>
          </cell>
        </row>
        <row r="354">
          <cell r="A354" t="str">
            <v>C뉴스041</v>
          </cell>
          <cell r="B354" t="str">
            <v>13_인터넷포털</v>
          </cell>
          <cell r="C354">
            <v>0.1</v>
          </cell>
        </row>
        <row r="355">
          <cell r="A355" t="str">
            <v>뉴스세상</v>
          </cell>
          <cell r="B355" t="str">
            <v>13_인터넷포털</v>
          </cell>
          <cell r="C355">
            <v>0.1</v>
          </cell>
        </row>
        <row r="356">
          <cell r="A356" t="str">
            <v>비마이펫</v>
          </cell>
          <cell r="B356" t="str">
            <v>13_인터넷포털</v>
          </cell>
          <cell r="C356">
            <v>0.1</v>
          </cell>
        </row>
        <row r="357">
          <cell r="A357" t="str">
            <v>스브스프리미엄</v>
          </cell>
          <cell r="B357" t="str">
            <v>13_인터넷포털</v>
          </cell>
          <cell r="C357">
            <v>0.1</v>
          </cell>
        </row>
        <row r="358">
          <cell r="A358" t="str">
            <v>충청일보</v>
          </cell>
          <cell r="B358" t="str">
            <v>09_지방일간지</v>
          </cell>
          <cell r="C358">
            <v>1.5</v>
          </cell>
        </row>
        <row r="359">
          <cell r="A359" t="str">
            <v>경남매일</v>
          </cell>
          <cell r="B359" t="str">
            <v>09_지방일간지</v>
          </cell>
          <cell r="C359">
            <v>1.5</v>
          </cell>
        </row>
        <row r="360">
          <cell r="A360" t="str">
            <v>충남일보</v>
          </cell>
          <cell r="B360" t="str">
            <v>09_지방일간지</v>
          </cell>
          <cell r="C360">
            <v>1.5</v>
          </cell>
        </row>
        <row r="361">
          <cell r="A361" t="str">
            <v>시대일보</v>
          </cell>
          <cell r="B361" t="str">
            <v>09_지방일간지</v>
          </cell>
          <cell r="C361">
            <v>1.5</v>
          </cell>
        </row>
        <row r="362">
          <cell r="A362" t="str">
            <v>이뉴스투데이</v>
          </cell>
          <cell r="B362" t="str">
            <v>10_주간지</v>
          </cell>
          <cell r="C362">
            <v>1</v>
          </cell>
        </row>
        <row r="363">
          <cell r="A363" t="str">
            <v>중부신문</v>
          </cell>
          <cell r="B363" t="str">
            <v>11_기타(지역주간지)</v>
          </cell>
          <cell r="C363">
            <v>0.5</v>
          </cell>
        </row>
        <row r="364">
          <cell r="A364" t="str">
            <v>충남도민일보</v>
          </cell>
          <cell r="B364" t="str">
            <v>13_인터넷포털</v>
          </cell>
          <cell r="C364">
            <v>0.1</v>
          </cell>
        </row>
        <row r="365">
          <cell r="A365" t="str">
            <v>충남신문</v>
          </cell>
          <cell r="B365" t="str">
            <v>11_기타(지역주간지)</v>
          </cell>
          <cell r="C365">
            <v>0.5</v>
          </cell>
        </row>
        <row r="366">
          <cell r="A366" t="str">
            <v>대전투데이</v>
          </cell>
          <cell r="B366" t="str">
            <v>09_지방일간지</v>
          </cell>
          <cell r="C366">
            <v>1.5</v>
          </cell>
        </row>
        <row r="367">
          <cell r="A367" t="str">
            <v>시사코리아저널</v>
          </cell>
          <cell r="B367" t="str">
            <v>11_기타(지역주간지)</v>
          </cell>
          <cell r="C367">
            <v>0.5</v>
          </cell>
        </row>
        <row r="368">
          <cell r="A368" t="str">
            <v>담양곡성타임즈</v>
          </cell>
          <cell r="B368" t="str">
            <v>11_기타(지역주간지)</v>
          </cell>
          <cell r="C368">
            <v>0.5</v>
          </cell>
        </row>
        <row r="369">
          <cell r="A369" t="str">
            <v>예산뉴스</v>
          </cell>
          <cell r="B369" t="str">
            <v>13_인터넷포털</v>
          </cell>
          <cell r="C369">
            <v>0.1</v>
          </cell>
        </row>
        <row r="370">
          <cell r="A370" t="str">
            <v>불교공뉴스</v>
          </cell>
          <cell r="B370" t="str">
            <v>13_인터넷포털</v>
          </cell>
          <cell r="C370">
            <v>0.1</v>
          </cell>
        </row>
        <row r="371">
          <cell r="A371" t="str">
            <v>뉴스메이커</v>
          </cell>
          <cell r="B371" t="str">
            <v>10_기타월간지</v>
          </cell>
          <cell r="C371">
            <v>1</v>
          </cell>
        </row>
        <row r="372">
          <cell r="A372" t="str">
            <v>팍스경제TV</v>
          </cell>
          <cell r="B372" t="str">
            <v>13_인터넷포털</v>
          </cell>
          <cell r="C372">
            <v>0.1</v>
          </cell>
        </row>
        <row r="373">
          <cell r="A373" t="str">
            <v>누리일보</v>
          </cell>
          <cell r="B373" t="str">
            <v>13_인터넷포털</v>
          </cell>
          <cell r="C373">
            <v>0.1</v>
          </cell>
        </row>
        <row r="374">
          <cell r="A374" t="str">
            <v>서울경제</v>
          </cell>
          <cell r="B374" t="str">
            <v>07_중앙일간지</v>
          </cell>
          <cell r="C374">
            <v>5</v>
          </cell>
        </row>
        <row r="375">
          <cell r="A375" t="str">
            <v>에너지경제</v>
          </cell>
          <cell r="B375" t="str">
            <v>08_기타일간지</v>
          </cell>
          <cell r="C375">
            <v>2</v>
          </cell>
        </row>
        <row r="376">
          <cell r="A376" t="str">
            <v>CBN뉴스</v>
          </cell>
          <cell r="B376" t="str">
            <v>13_인터넷포털</v>
          </cell>
          <cell r="C376">
            <v>0.1</v>
          </cell>
        </row>
        <row r="377">
          <cell r="A377" t="str">
            <v>대경일보</v>
          </cell>
          <cell r="B377" t="str">
            <v>09_지방일간지</v>
          </cell>
          <cell r="C377">
            <v>1.5</v>
          </cell>
        </row>
        <row r="378">
          <cell r="A378" t="str">
            <v>전기신문</v>
          </cell>
          <cell r="B378" t="str">
            <v>10_기타전문지</v>
          </cell>
          <cell r="C378">
            <v>1</v>
          </cell>
        </row>
        <row r="379">
          <cell r="A379" t="str">
            <v>경북일일신문</v>
          </cell>
          <cell r="B379" t="str">
            <v>11_기타(지역주간지)</v>
          </cell>
          <cell r="C379">
            <v>0.5</v>
          </cell>
        </row>
        <row r="380">
          <cell r="A380" t="str">
            <v>프라임경북뉴스</v>
          </cell>
          <cell r="B380" t="str">
            <v>13_인터넷포털</v>
          </cell>
          <cell r="C380">
            <v>0.1</v>
          </cell>
        </row>
        <row r="381">
          <cell r="A381" t="str">
            <v>한국디지털뉴스</v>
          </cell>
          <cell r="B381" t="str">
            <v>13_인터넷포털</v>
          </cell>
          <cell r="C381">
            <v>0.1</v>
          </cell>
        </row>
        <row r="382">
          <cell r="A382" t="str">
            <v>소년조선일보</v>
          </cell>
          <cell r="B382" t="str">
            <v>13_인터넷포털</v>
          </cell>
          <cell r="C382">
            <v>0.1</v>
          </cell>
        </row>
        <row r="383">
          <cell r="A383" t="str">
            <v>EBN 산업경제</v>
          </cell>
          <cell r="B383" t="str">
            <v>13_인터넷포털</v>
          </cell>
          <cell r="C383">
            <v>0.1</v>
          </cell>
        </row>
        <row r="384">
          <cell r="A384" t="str">
            <v>포쓰저널</v>
          </cell>
          <cell r="B384" t="str">
            <v>13_인터넷포털</v>
          </cell>
          <cell r="C384">
            <v>0.1</v>
          </cell>
        </row>
        <row r="385">
          <cell r="A385" t="str">
            <v>경기앤뉴스</v>
          </cell>
          <cell r="B385" t="str">
            <v>13_인터넷포털</v>
          </cell>
          <cell r="C385">
            <v>0.1</v>
          </cell>
        </row>
        <row r="386">
          <cell r="A386" t="str">
            <v>월간중앙</v>
          </cell>
          <cell r="B386" t="str">
            <v>10_기타월간지</v>
          </cell>
          <cell r="C386">
            <v>1</v>
          </cell>
        </row>
        <row r="387">
          <cell r="A387" t="str">
            <v>에코저널</v>
          </cell>
          <cell r="B387" t="str">
            <v>13_인터넷포털</v>
          </cell>
          <cell r="C387">
            <v>0.1</v>
          </cell>
        </row>
        <row r="388">
          <cell r="A388" t="str">
            <v>농민신문</v>
          </cell>
          <cell r="B388" t="str">
            <v>17_농업전문지</v>
          </cell>
          <cell r="C388">
            <v>8</v>
          </cell>
        </row>
        <row r="389">
          <cell r="A389" t="str">
            <v>전자신문</v>
          </cell>
          <cell r="B389" t="str">
            <v>08_기타일간지</v>
          </cell>
          <cell r="C389">
            <v>2</v>
          </cell>
        </row>
        <row r="390">
          <cell r="A390" t="str">
            <v>여성종합뉴스</v>
          </cell>
          <cell r="B390" t="str">
            <v>13_인터넷포털</v>
          </cell>
          <cell r="C390">
            <v>0.1</v>
          </cell>
        </row>
        <row r="391">
          <cell r="A391" t="str">
            <v>로봇신문</v>
          </cell>
          <cell r="B391" t="str">
            <v>13_인터넷포털</v>
          </cell>
          <cell r="C391">
            <v>0.1</v>
          </cell>
        </row>
        <row r="392">
          <cell r="A392" t="str">
            <v>지디넷코리아</v>
          </cell>
          <cell r="B392" t="str">
            <v>13_인터넷포털</v>
          </cell>
          <cell r="C392">
            <v>0.1</v>
          </cell>
        </row>
        <row r="393">
          <cell r="A393" t="str">
            <v>데일리임팩트</v>
          </cell>
          <cell r="B393" t="str">
            <v>13_인터넷포털</v>
          </cell>
          <cell r="C393">
            <v>0.1</v>
          </cell>
        </row>
        <row r="394">
          <cell r="A394" t="str">
            <v>한국시민기자협회</v>
          </cell>
          <cell r="B394" t="str">
            <v>13_인터넷포털</v>
          </cell>
          <cell r="C394">
            <v>0.1</v>
          </cell>
        </row>
        <row r="395">
          <cell r="A395" t="str">
            <v>전주KBS 라디오</v>
          </cell>
          <cell r="B395" t="str">
            <v>06_라디오-지방</v>
          </cell>
          <cell r="C395">
            <v>1.5</v>
          </cell>
        </row>
        <row r="396">
          <cell r="A396" t="str">
            <v>조선비즈</v>
          </cell>
          <cell r="B396" t="str">
            <v>11_기타(지역주간지)</v>
          </cell>
          <cell r="C396">
            <v>0.5</v>
          </cell>
        </row>
        <row r="397">
          <cell r="A397" t="str">
            <v>와이뉴스</v>
          </cell>
          <cell r="B397" t="str">
            <v>10_기타월간지</v>
          </cell>
          <cell r="C397">
            <v>1</v>
          </cell>
        </row>
        <row r="398">
          <cell r="A398" t="str">
            <v>대한급식식문</v>
          </cell>
          <cell r="B398" t="str">
            <v>09_농업전문지</v>
          </cell>
          <cell r="C398">
            <v>1.5</v>
          </cell>
        </row>
        <row r="399">
          <cell r="A399" t="str">
            <v>스타트업엔</v>
          </cell>
          <cell r="B399" t="str">
            <v>13_인터넷포털</v>
          </cell>
          <cell r="C399">
            <v>0.1</v>
          </cell>
        </row>
        <row r="400">
          <cell r="A400" t="str">
            <v>중부매일</v>
          </cell>
          <cell r="B400" t="str">
            <v>09_지방일간지</v>
          </cell>
          <cell r="C400">
            <v>1.5</v>
          </cell>
        </row>
        <row r="401">
          <cell r="A401" t="str">
            <v>프라임경제</v>
          </cell>
          <cell r="B401" t="str">
            <v>10_주간지</v>
          </cell>
          <cell r="C401">
            <v>1</v>
          </cell>
        </row>
        <row r="402">
          <cell r="A402" t="str">
            <v>경인신문</v>
          </cell>
          <cell r="B402" t="str">
            <v>13_인터넷포털</v>
          </cell>
          <cell r="C402">
            <v>0.1</v>
          </cell>
        </row>
        <row r="403">
          <cell r="A403" t="str">
            <v>이천뉴스</v>
          </cell>
          <cell r="B403" t="str">
            <v>13_인터넷포털</v>
          </cell>
          <cell r="C403">
            <v>0.1</v>
          </cell>
        </row>
        <row r="404">
          <cell r="A404" t="str">
            <v>중앙신문</v>
          </cell>
          <cell r="B404" t="str">
            <v>13_인터넷포털</v>
          </cell>
          <cell r="C404">
            <v>0.1</v>
          </cell>
        </row>
        <row r="405">
          <cell r="A405" t="str">
            <v>충청뉴스</v>
          </cell>
          <cell r="B405" t="str">
            <v>13_인터넷포털</v>
          </cell>
          <cell r="C405">
            <v>0.1</v>
          </cell>
        </row>
        <row r="406">
          <cell r="A406" t="str">
            <v>충청신문</v>
          </cell>
          <cell r="B406" t="str">
            <v>09_지방일간지</v>
          </cell>
          <cell r="C406">
            <v>1.5</v>
          </cell>
        </row>
        <row r="407">
          <cell r="A407" t="str">
            <v>수원인터넷뉴스</v>
          </cell>
          <cell r="B407" t="str">
            <v>13_인터넷포털</v>
          </cell>
          <cell r="C407">
            <v>0.1</v>
          </cell>
        </row>
        <row r="408">
          <cell r="A408" t="str">
            <v>경기데일리</v>
          </cell>
          <cell r="B408" t="str">
            <v>13_인터넷포털</v>
          </cell>
          <cell r="C408">
            <v>0.1</v>
          </cell>
        </row>
        <row r="409">
          <cell r="A409" t="str">
            <v>시사이천</v>
          </cell>
          <cell r="B409" t="str">
            <v>13_인터넷포털</v>
          </cell>
          <cell r="C409">
            <v>0.1</v>
          </cell>
        </row>
        <row r="410">
          <cell r="A410" t="str">
            <v>투데이경제</v>
          </cell>
          <cell r="B410" t="str">
            <v>13_인터넷포털</v>
          </cell>
          <cell r="C410">
            <v>0.1</v>
          </cell>
        </row>
        <row r="411">
          <cell r="A411" t="str">
            <v>서산인터넷뉴스</v>
          </cell>
          <cell r="B411" t="str">
            <v>13_인터넷포털</v>
          </cell>
          <cell r="C411">
            <v>0.1</v>
          </cell>
        </row>
        <row r="412">
          <cell r="A412" t="str">
            <v>뉴스밴드</v>
          </cell>
          <cell r="B412" t="str">
            <v>13_인터넷포털</v>
          </cell>
          <cell r="C412">
            <v>0.1</v>
          </cell>
        </row>
        <row r="413">
          <cell r="A413" t="str">
            <v>금강일보</v>
          </cell>
          <cell r="B413" t="str">
            <v>09_지방일간지</v>
          </cell>
          <cell r="C413">
            <v>1.5</v>
          </cell>
        </row>
        <row r="414">
          <cell r="A414" t="str">
            <v>한국목재신문</v>
          </cell>
          <cell r="B414" t="str">
            <v>10_기타전문지</v>
          </cell>
          <cell r="C414">
            <v>1</v>
          </cell>
        </row>
        <row r="415">
          <cell r="A415" t="str">
            <v>천안신문</v>
          </cell>
          <cell r="B415" t="str">
            <v>11_기타(지역주간지)</v>
          </cell>
          <cell r="C415">
            <v>0.5</v>
          </cell>
        </row>
        <row r="416">
          <cell r="A416" t="str">
            <v>베리타스알파</v>
          </cell>
          <cell r="B416" t="str">
            <v>13_인터넷포털</v>
          </cell>
          <cell r="C416">
            <v>0.1</v>
          </cell>
        </row>
        <row r="417">
          <cell r="A417" t="str">
            <v>베타뉴스</v>
          </cell>
          <cell r="B417" t="str">
            <v>13_인터넷포털</v>
          </cell>
          <cell r="C417">
            <v>0.1</v>
          </cell>
        </row>
        <row r="418">
          <cell r="A418" t="str">
            <v>천안일보</v>
          </cell>
          <cell r="B418" t="str">
            <v>13_인터넷포털</v>
          </cell>
          <cell r="C418">
            <v>0.1</v>
          </cell>
        </row>
        <row r="419">
          <cell r="A419" t="str">
            <v>충청탑뉴스</v>
          </cell>
          <cell r="B419" t="str">
            <v>13_인터넷포털</v>
          </cell>
          <cell r="C419">
            <v>0.1</v>
          </cell>
        </row>
        <row r="420">
          <cell r="A420" t="str">
            <v>현대경제</v>
          </cell>
          <cell r="B420" t="str">
            <v>13_인터넷포털</v>
          </cell>
          <cell r="C420">
            <v>0.1</v>
          </cell>
        </row>
        <row r="421">
          <cell r="A421" t="str">
            <v>한우마당</v>
          </cell>
          <cell r="B421" t="str">
            <v>10_월간지</v>
          </cell>
          <cell r="C421">
            <v>1</v>
          </cell>
        </row>
        <row r="422">
          <cell r="A422" t="str">
            <v>KNN</v>
          </cell>
          <cell r="B422" t="str">
            <v>02_TV-지방</v>
          </cell>
          <cell r="C422">
            <v>4</v>
          </cell>
        </row>
        <row r="423">
          <cell r="A423" t="str">
            <v>디트뉴스24</v>
          </cell>
          <cell r="B423" t="str">
            <v>13_인터넷포털</v>
          </cell>
          <cell r="C423">
            <v>0.1</v>
          </cell>
        </row>
        <row r="424">
          <cell r="A424" t="str">
            <v>데이터솜</v>
          </cell>
          <cell r="B424" t="str">
            <v>13_인터넷포털</v>
          </cell>
          <cell r="C424">
            <v>0.1</v>
          </cell>
        </row>
        <row r="425">
          <cell r="A425" t="str">
            <v>뉴스충청인</v>
          </cell>
          <cell r="B425" t="str">
            <v>13_인터넷포털</v>
          </cell>
          <cell r="C425">
            <v>0.1</v>
          </cell>
        </row>
        <row r="426">
          <cell r="A426" t="str">
            <v>남해미래</v>
          </cell>
          <cell r="B426" t="str">
            <v>13_인터넷포털</v>
          </cell>
          <cell r="C426">
            <v>0.1</v>
          </cell>
        </row>
        <row r="427">
          <cell r="A427" t="str">
            <v>KBS강릉-TV</v>
          </cell>
          <cell r="B427" t="str">
            <v>02_TV-지방</v>
          </cell>
          <cell r="C427">
            <v>4</v>
          </cell>
        </row>
        <row r="428">
          <cell r="A428" t="str">
            <v>YTN-TV</v>
          </cell>
          <cell r="B428" t="str">
            <v>02_TV-케이블중앙</v>
          </cell>
          <cell r="C428">
            <v>4</v>
          </cell>
        </row>
        <row r="429">
          <cell r="A429" t="str">
            <v>식품외식경제</v>
          </cell>
          <cell r="B429" t="str">
            <v>09_농업전문지</v>
          </cell>
          <cell r="C429">
            <v>1.5</v>
          </cell>
        </row>
        <row r="430">
          <cell r="A430" t="str">
            <v>OBS라디오</v>
          </cell>
          <cell r="B430" t="str">
            <v>06_라디오-지방</v>
          </cell>
          <cell r="C430">
            <v>1.5</v>
          </cell>
        </row>
        <row r="431">
          <cell r="A431" t="str">
            <v>JTBC-TV</v>
          </cell>
          <cell r="B431" t="str">
            <v>02_TV-종합편성채널</v>
          </cell>
          <cell r="C431">
            <v>4</v>
          </cell>
        </row>
        <row r="432">
          <cell r="A432" t="str">
            <v>KBS강원</v>
          </cell>
          <cell r="B432" t="str">
            <v>02_TV-지방</v>
          </cell>
          <cell r="C432">
            <v>4</v>
          </cell>
        </row>
        <row r="433">
          <cell r="A433" t="str">
            <v>한라일보</v>
          </cell>
          <cell r="B433" t="str">
            <v>09_지방일간지</v>
          </cell>
          <cell r="C433">
            <v>1.5</v>
          </cell>
        </row>
        <row r="434">
          <cell r="A434" t="str">
            <v>제주일보</v>
          </cell>
          <cell r="B434" t="str">
            <v>09_지방일간지</v>
          </cell>
          <cell r="C434">
            <v>1.5</v>
          </cell>
        </row>
        <row r="435">
          <cell r="A435" t="str">
            <v>K채널</v>
          </cell>
          <cell r="B435" t="str">
            <v>13_인터넷포털</v>
          </cell>
          <cell r="C435">
            <v>0.1</v>
          </cell>
        </row>
        <row r="436">
          <cell r="A436" t="str">
            <v>대학저널</v>
          </cell>
          <cell r="B436" t="str">
            <v>13_인터넷포털</v>
          </cell>
          <cell r="C436">
            <v>0.1</v>
          </cell>
        </row>
        <row r="437">
          <cell r="A437" t="str">
            <v>k스피릿</v>
          </cell>
          <cell r="B437" t="str">
            <v>13_인터넷포털</v>
          </cell>
          <cell r="C437">
            <v>0.1</v>
          </cell>
        </row>
        <row r="438">
          <cell r="A438" t="str">
            <v>국민매일</v>
          </cell>
          <cell r="B438" t="str">
            <v>13_인터넷포털</v>
          </cell>
          <cell r="C438">
            <v>0.1</v>
          </cell>
        </row>
        <row r="439">
          <cell r="A439" t="str">
            <v>더팩트</v>
          </cell>
          <cell r="B439" t="str">
            <v>13_인터넷포털</v>
          </cell>
          <cell r="C439">
            <v>0.1</v>
          </cell>
        </row>
        <row r="440">
          <cell r="A440" t="str">
            <v>아이뉴스24</v>
          </cell>
          <cell r="B440" t="str">
            <v>13_인터넷포털</v>
          </cell>
          <cell r="C440">
            <v>0.1</v>
          </cell>
        </row>
        <row r="441">
          <cell r="A441" t="str">
            <v>데일리한국</v>
          </cell>
          <cell r="B441" t="str">
            <v>13_인터넷포털</v>
          </cell>
          <cell r="C441">
            <v>0.1</v>
          </cell>
        </row>
        <row r="442">
          <cell r="A442" t="str">
            <v>이로운넷</v>
          </cell>
          <cell r="B442" t="str">
            <v>13_인터넷포털</v>
          </cell>
          <cell r="C442">
            <v>0.1</v>
          </cell>
        </row>
        <row r="443">
          <cell r="A443" t="str">
            <v>경남일보</v>
          </cell>
          <cell r="B443" t="str">
            <v>09_지방일간지</v>
          </cell>
          <cell r="C443">
            <v>1.5</v>
          </cell>
        </row>
        <row r="444">
          <cell r="A444" t="str">
            <v>일요신문</v>
          </cell>
          <cell r="B444" t="str">
            <v>10_주간지</v>
          </cell>
          <cell r="C444">
            <v>1</v>
          </cell>
        </row>
        <row r="445">
          <cell r="A445" t="str">
            <v>국제i저널</v>
          </cell>
          <cell r="B445" t="str">
            <v>13_인터넷포털</v>
          </cell>
          <cell r="C445">
            <v>0.1</v>
          </cell>
        </row>
        <row r="446">
          <cell r="A446" t="str">
            <v>백제뉴스</v>
          </cell>
          <cell r="B446" t="str">
            <v>13_인터넷포털</v>
          </cell>
          <cell r="C446">
            <v>0.1</v>
          </cell>
        </row>
        <row r="447">
          <cell r="A447" t="str">
            <v>중부뉴스통신</v>
          </cell>
          <cell r="B447" t="str">
            <v>13_인터넷포털</v>
          </cell>
          <cell r="C447">
            <v>0.1</v>
          </cell>
        </row>
        <row r="448">
          <cell r="A448" t="str">
            <v>충청도민일보</v>
          </cell>
          <cell r="B448" t="str">
            <v>13_인터넷포털</v>
          </cell>
          <cell r="C448">
            <v>0.1</v>
          </cell>
        </row>
        <row r="449">
          <cell r="A449" t="str">
            <v>경남연합일보</v>
          </cell>
          <cell r="B449" t="str">
            <v>09_지방일간지</v>
          </cell>
          <cell r="C449">
            <v>1.5</v>
          </cell>
        </row>
        <row r="450">
          <cell r="A450" t="str">
            <v>격월간 사료</v>
          </cell>
          <cell r="B450" t="str">
            <v>18_월간지</v>
          </cell>
          <cell r="C450">
            <v>4</v>
          </cell>
        </row>
        <row r="451">
          <cell r="A451" t="str">
            <v>월간한돈</v>
          </cell>
          <cell r="B451" t="str">
            <v>18_월간지</v>
          </cell>
          <cell r="C451">
            <v>4</v>
          </cell>
        </row>
        <row r="452">
          <cell r="A452" t="str">
            <v>월간낙농육우</v>
          </cell>
          <cell r="B452" t="str">
            <v>10_월간지</v>
          </cell>
          <cell r="C452">
            <v>1</v>
          </cell>
        </row>
        <row r="453">
          <cell r="A453" t="str">
            <v>시민의 소리</v>
          </cell>
          <cell r="B453" t="str">
            <v>13_인터넷포털</v>
          </cell>
          <cell r="C453">
            <v>0.1</v>
          </cell>
        </row>
        <row r="454">
          <cell r="A454" t="str">
            <v>시사포커스</v>
          </cell>
          <cell r="B454" t="str">
            <v>13_인터넷포털</v>
          </cell>
          <cell r="C454">
            <v>0.1</v>
          </cell>
        </row>
        <row r="455">
          <cell r="A455" t="str">
            <v>파이낸스투데이</v>
          </cell>
          <cell r="B455" t="str">
            <v>13_인터넷포털</v>
          </cell>
          <cell r="C455">
            <v>0.1</v>
          </cell>
        </row>
        <row r="456">
          <cell r="A456" t="str">
            <v>테니스피플</v>
          </cell>
          <cell r="B456" t="str">
            <v>13_인터넷포털</v>
          </cell>
          <cell r="C456">
            <v>0.1</v>
          </cell>
        </row>
        <row r="457">
          <cell r="A457" t="str">
            <v>시사뉴스24</v>
          </cell>
          <cell r="B457" t="str">
            <v>13_인터넷포털</v>
          </cell>
          <cell r="C457">
            <v>0.1</v>
          </cell>
        </row>
        <row r="458">
          <cell r="A458" t="str">
            <v>유교신문</v>
          </cell>
          <cell r="B458" t="str">
            <v>13_인터넷포털</v>
          </cell>
          <cell r="C458">
            <v>0.1</v>
          </cell>
        </row>
        <row r="459">
          <cell r="A459" t="str">
            <v>충북일보</v>
          </cell>
          <cell r="B459" t="str">
            <v>09_지방일간지</v>
          </cell>
          <cell r="C459">
            <v>1.5</v>
          </cell>
        </row>
        <row r="460">
          <cell r="A460" t="str">
            <v>농업기술</v>
          </cell>
          <cell r="B460" t="str">
            <v>29_원고집필(그린매거진, 농업기술)</v>
          </cell>
          <cell r="C460">
            <v>3</v>
          </cell>
        </row>
        <row r="461">
          <cell r="A461" t="str">
            <v>뉴스포털1</v>
          </cell>
          <cell r="B461" t="str">
            <v>13_인터넷포털</v>
          </cell>
          <cell r="C461">
            <v>0.1</v>
          </cell>
        </row>
        <row r="462">
          <cell r="A462" t="str">
            <v>제민일보</v>
          </cell>
          <cell r="B462" t="str">
            <v>09_지방일간지</v>
          </cell>
          <cell r="C462">
            <v>1.5</v>
          </cell>
        </row>
        <row r="463">
          <cell r="A463" t="str">
            <v>시사우리신문</v>
          </cell>
          <cell r="B463" t="str">
            <v>11_기타(지역주간지)</v>
          </cell>
          <cell r="C463">
            <v>0.5</v>
          </cell>
        </row>
        <row r="464">
          <cell r="A464" t="str">
            <v>자치행정신문</v>
          </cell>
          <cell r="B464" t="str">
            <v>13_인터넷포털</v>
          </cell>
          <cell r="C464">
            <v>0.1</v>
          </cell>
        </row>
        <row r="465">
          <cell r="A465" t="str">
            <v>시사뉴스</v>
          </cell>
          <cell r="B465" t="str">
            <v>13_인터넷포털</v>
          </cell>
          <cell r="C465">
            <v>0.1</v>
          </cell>
        </row>
        <row r="466">
          <cell r="A466" t="str">
            <v>로컬투데이</v>
          </cell>
          <cell r="B466" t="str">
            <v>13_인터넷포털</v>
          </cell>
          <cell r="C466">
            <v>0.1</v>
          </cell>
        </row>
        <row r="467">
          <cell r="A467" t="str">
            <v>곡성투데이</v>
          </cell>
          <cell r="B467" t="str">
            <v>13_인터넷포털</v>
          </cell>
          <cell r="C467">
            <v>0.1</v>
          </cell>
        </row>
        <row r="468">
          <cell r="A468" t="str">
            <v>호남타임즈</v>
          </cell>
          <cell r="B468" t="str">
            <v>13_인터넷포털</v>
          </cell>
          <cell r="C468">
            <v>0.1</v>
          </cell>
        </row>
        <row r="469">
          <cell r="A469" t="str">
            <v>푸드투데이</v>
          </cell>
          <cell r="B469" t="str">
            <v>13_인터넷포털</v>
          </cell>
          <cell r="C469">
            <v>0.1</v>
          </cell>
        </row>
        <row r="470">
          <cell r="A470" t="str">
            <v>광주일등뉴스</v>
          </cell>
          <cell r="B470" t="str">
            <v>13_인터넷포털</v>
          </cell>
          <cell r="C470">
            <v>0.1</v>
          </cell>
        </row>
        <row r="471">
          <cell r="A471" t="str">
            <v>빛가람뉴스</v>
          </cell>
          <cell r="B471" t="str">
            <v>13_인터넷포털</v>
          </cell>
          <cell r="C471">
            <v>0.1</v>
          </cell>
        </row>
        <row r="472">
          <cell r="A472" t="str">
            <v>여수인터넷뉴스</v>
          </cell>
          <cell r="B472" t="str">
            <v>13_인터넷포털</v>
          </cell>
          <cell r="C472">
            <v>0.1</v>
          </cell>
        </row>
        <row r="473">
          <cell r="A473" t="str">
            <v>광주리포트</v>
          </cell>
          <cell r="B473" t="str">
            <v>13_인터넷포털</v>
          </cell>
          <cell r="C473">
            <v>0.1</v>
          </cell>
        </row>
        <row r="474">
          <cell r="A474" t="str">
            <v>광주인</v>
          </cell>
          <cell r="B474" t="str">
            <v>13_인터넷포털</v>
          </cell>
          <cell r="C474">
            <v>0.1</v>
          </cell>
        </row>
        <row r="475">
          <cell r="A475" t="str">
            <v>전남광역공보뉴스</v>
          </cell>
          <cell r="B475" t="str">
            <v>13_인터넷포털</v>
          </cell>
          <cell r="C475">
            <v>0.1</v>
          </cell>
        </row>
        <row r="476">
          <cell r="A476" t="str">
            <v>전남제일신문</v>
          </cell>
          <cell r="B476" t="str">
            <v>13_인터넷포털</v>
          </cell>
          <cell r="C476">
            <v>0.1</v>
          </cell>
        </row>
        <row r="477">
          <cell r="A477" t="str">
            <v>신문고뉴스</v>
          </cell>
          <cell r="B477" t="str">
            <v>13_인터넷포털</v>
          </cell>
          <cell r="C477">
            <v>0.1</v>
          </cell>
        </row>
        <row r="478">
          <cell r="A478" t="str">
            <v>봉화일보</v>
          </cell>
          <cell r="B478" t="str">
            <v>11_기타(지역주간지)</v>
          </cell>
          <cell r="C478">
            <v>0.5</v>
          </cell>
        </row>
        <row r="479">
          <cell r="A479" t="str">
            <v>특급뉴스</v>
          </cell>
          <cell r="B479" t="str">
            <v>13_인터넷포털</v>
          </cell>
          <cell r="C479">
            <v>0.1</v>
          </cell>
        </row>
        <row r="480">
          <cell r="A480" t="str">
            <v>대전경제뉴스</v>
          </cell>
          <cell r="B480" t="str">
            <v>13_인터넷포털</v>
          </cell>
          <cell r="C480">
            <v>0.1</v>
          </cell>
        </row>
        <row r="481">
          <cell r="A481" t="str">
            <v>세종방송</v>
          </cell>
          <cell r="B481" t="str">
            <v>13_인터넷포털</v>
          </cell>
          <cell r="C481">
            <v>0.1</v>
          </cell>
        </row>
        <row r="482">
          <cell r="A482" t="str">
            <v>한국강사신문</v>
          </cell>
          <cell r="B482" t="str">
            <v>13_인터넷포털</v>
          </cell>
          <cell r="C482">
            <v>0.1</v>
          </cell>
        </row>
        <row r="483">
          <cell r="A483" t="str">
            <v>경북연합일보</v>
          </cell>
          <cell r="B483" t="str">
            <v>09_지방일간지</v>
          </cell>
          <cell r="C483">
            <v>1.5</v>
          </cell>
        </row>
        <row r="484">
          <cell r="A484" t="str">
            <v>대구경북일보</v>
          </cell>
          <cell r="B484" t="str">
            <v>11_기타(지역주간지)</v>
          </cell>
          <cell r="C484">
            <v>0.5</v>
          </cell>
        </row>
        <row r="485">
          <cell r="A485" t="str">
            <v>목포KBS 라디오</v>
          </cell>
          <cell r="B485" t="str">
            <v>06_라디오-지방</v>
          </cell>
          <cell r="C485">
            <v>1.5</v>
          </cell>
        </row>
        <row r="486">
          <cell r="A486" t="str">
            <v>대구일보</v>
          </cell>
          <cell r="B486" t="str">
            <v>09_지방일간지</v>
          </cell>
          <cell r="C486">
            <v>1.5</v>
          </cell>
        </row>
        <row r="487">
          <cell r="A487" t="str">
            <v>ESG경제</v>
          </cell>
          <cell r="B487" t="str">
            <v>13_인터넷포털</v>
          </cell>
          <cell r="C487">
            <v>0.1</v>
          </cell>
        </row>
        <row r="488">
          <cell r="A488" t="str">
            <v>한국농업방송(NBS)</v>
          </cell>
          <cell r="B488" t="str">
            <v>03_TV-케이블지방</v>
          </cell>
          <cell r="C488">
            <v>2.5</v>
          </cell>
        </row>
        <row r="489">
          <cell r="A489" t="str">
            <v>농어촌경제신문</v>
          </cell>
          <cell r="B489" t="str">
            <v>13_인터넷포털</v>
          </cell>
          <cell r="C489">
            <v>0.1</v>
          </cell>
        </row>
        <row r="490">
          <cell r="A490" t="str">
            <v>농어촌신문</v>
          </cell>
          <cell r="B490" t="str">
            <v>13_인터넷포털</v>
          </cell>
          <cell r="C490">
            <v>0.1</v>
          </cell>
        </row>
        <row r="491">
          <cell r="A491" t="str">
            <v>국토경제뉴스</v>
          </cell>
          <cell r="B491" t="str">
            <v>10_기타전문지</v>
          </cell>
          <cell r="C491">
            <v>1</v>
          </cell>
        </row>
        <row r="492">
          <cell r="A492" t="str">
            <v>여성동아</v>
          </cell>
          <cell r="B492" t="str">
            <v>13_인터넷포털</v>
          </cell>
          <cell r="C492">
            <v>0.1</v>
          </cell>
        </row>
        <row r="493">
          <cell r="A493" t="str">
            <v>강원일보</v>
          </cell>
          <cell r="B493" t="str">
            <v>09_지방일간지</v>
          </cell>
          <cell r="C493">
            <v>1.5</v>
          </cell>
        </row>
        <row r="494">
          <cell r="A494" t="str">
            <v>경남창원공보뉴스</v>
          </cell>
          <cell r="B494" t="str">
            <v>13_인터넷포털</v>
          </cell>
          <cell r="C494">
            <v>0.1</v>
          </cell>
        </row>
        <row r="495">
          <cell r="A495" t="str">
            <v>등잔일보</v>
          </cell>
          <cell r="B495" t="str">
            <v>13_인터넷포털</v>
          </cell>
          <cell r="C495">
            <v>0.1</v>
          </cell>
        </row>
        <row r="496">
          <cell r="A496" t="str">
            <v>이데이뉴스</v>
          </cell>
          <cell r="B496" t="str">
            <v>13_인터넷포털</v>
          </cell>
          <cell r="C496">
            <v>0.1</v>
          </cell>
        </row>
        <row r="497">
          <cell r="A497" t="str">
            <v>축산신문</v>
          </cell>
          <cell r="B497" t="str">
            <v>17_농업전문지</v>
          </cell>
          <cell r="C497">
            <v>8</v>
          </cell>
        </row>
        <row r="498">
          <cell r="A498" t="str">
            <v>내외통신</v>
          </cell>
          <cell r="B498" t="str">
            <v>13_인터넷포털</v>
          </cell>
          <cell r="C498">
            <v>0.1</v>
          </cell>
        </row>
        <row r="499">
          <cell r="A499" t="str">
            <v>대한뉴스</v>
          </cell>
          <cell r="B499" t="str">
            <v>13_인터넷포털</v>
          </cell>
          <cell r="C499">
            <v>0.1</v>
          </cell>
        </row>
        <row r="500">
          <cell r="A500" t="str">
            <v>나눔일보</v>
          </cell>
          <cell r="B500" t="str">
            <v>13_인터넷포털</v>
          </cell>
          <cell r="C500">
            <v>0.1</v>
          </cell>
        </row>
        <row r="501">
          <cell r="A501" t="str">
            <v>에이빙뉴스</v>
          </cell>
          <cell r="B501" t="str">
            <v>13_인터넷포털</v>
          </cell>
          <cell r="C501">
            <v>0.1</v>
          </cell>
        </row>
        <row r="502">
          <cell r="A502" t="str">
            <v>NF통신</v>
          </cell>
          <cell r="B502" t="str">
            <v>13_인터넷포털</v>
          </cell>
          <cell r="C502">
            <v>0.1</v>
          </cell>
        </row>
        <row r="503">
          <cell r="A503" t="str">
            <v>대전MBC</v>
          </cell>
          <cell r="B503" t="str">
            <v>02_TV-지방</v>
          </cell>
          <cell r="C503">
            <v>4</v>
          </cell>
        </row>
        <row r="504">
          <cell r="A504" t="str">
            <v>한국타임즈</v>
          </cell>
          <cell r="B504" t="str">
            <v>13_인터넷포털</v>
          </cell>
          <cell r="C504">
            <v>0.1</v>
          </cell>
        </row>
        <row r="505">
          <cell r="A505" t="str">
            <v>엔디엔뉴스</v>
          </cell>
          <cell r="B505" t="str">
            <v>10_기타월간지</v>
          </cell>
          <cell r="C505">
            <v>1</v>
          </cell>
        </row>
        <row r="506">
          <cell r="A506" t="str">
            <v>공직신문</v>
          </cell>
          <cell r="B506" t="str">
            <v>10_기타월간지</v>
          </cell>
          <cell r="C506">
            <v>1</v>
          </cell>
        </row>
        <row r="507">
          <cell r="A507" t="str">
            <v>뉴스온</v>
          </cell>
          <cell r="B507" t="str">
            <v>13_인터넷포털</v>
          </cell>
          <cell r="C507">
            <v>0.1</v>
          </cell>
        </row>
        <row r="508">
          <cell r="A508" t="str">
            <v>이슈앤비즈</v>
          </cell>
          <cell r="B508" t="str">
            <v>13_인터넷포털</v>
          </cell>
          <cell r="C508">
            <v>0.1</v>
          </cell>
        </row>
        <row r="509">
          <cell r="A509" t="str">
            <v>전남함평공보뉴스</v>
          </cell>
          <cell r="B509" t="str">
            <v>13_인터넷포털</v>
          </cell>
          <cell r="C509">
            <v>0.1</v>
          </cell>
        </row>
        <row r="510">
          <cell r="A510" t="str">
            <v>서울와이어</v>
          </cell>
          <cell r="B510" t="str">
            <v>13_인터넷포털</v>
          </cell>
          <cell r="C510">
            <v>0.1</v>
          </cell>
        </row>
        <row r="511">
          <cell r="A511" t="str">
            <v>퍼블릭뉴스</v>
          </cell>
          <cell r="B511" t="str">
            <v>13_인터넷포털</v>
          </cell>
          <cell r="C511">
            <v>0.1</v>
          </cell>
        </row>
        <row r="512">
          <cell r="A512" t="str">
            <v>KBS청주</v>
          </cell>
          <cell r="B512" t="str">
            <v>02_TV-지방</v>
          </cell>
          <cell r="C512">
            <v>4</v>
          </cell>
        </row>
        <row r="513">
          <cell r="A513" t="str">
            <v>광주MBC</v>
          </cell>
          <cell r="B513" t="str">
            <v>02_TV-지방</v>
          </cell>
          <cell r="C513">
            <v>4</v>
          </cell>
        </row>
        <row r="514">
          <cell r="A514" t="str">
            <v>뉴스로</v>
          </cell>
          <cell r="B514" t="str">
            <v>13_인터넷포털</v>
          </cell>
          <cell r="C514">
            <v>0.1</v>
          </cell>
        </row>
        <row r="515">
          <cell r="A515" t="str">
            <v>대전KBS</v>
          </cell>
          <cell r="B515" t="str">
            <v>02_TV-지방</v>
          </cell>
          <cell r="C515">
            <v>4</v>
          </cell>
        </row>
        <row r="516">
          <cell r="A516" t="str">
            <v>여수넷통뉴스</v>
          </cell>
          <cell r="B516" t="str">
            <v>13_인터넷포털</v>
          </cell>
          <cell r="C516">
            <v>0.1</v>
          </cell>
        </row>
        <row r="517">
          <cell r="A517" t="str">
            <v>주간조선</v>
          </cell>
          <cell r="B517" t="str">
            <v>13_인터넷포털</v>
          </cell>
          <cell r="C517">
            <v>0.1</v>
          </cell>
        </row>
        <row r="518">
          <cell r="A518" t="str">
            <v>한국농정신문</v>
          </cell>
          <cell r="B518" t="str">
            <v>09_농업전문지</v>
          </cell>
          <cell r="C518">
            <v>1.5</v>
          </cell>
        </row>
        <row r="519">
          <cell r="A519" t="str">
            <v>뉴시안</v>
          </cell>
          <cell r="B519" t="str">
            <v>13_인터넷포털</v>
          </cell>
          <cell r="C519">
            <v>0.1</v>
          </cell>
        </row>
        <row r="520">
          <cell r="A520" t="str">
            <v>광주kbc라디오</v>
          </cell>
          <cell r="B520" t="str">
            <v>06_라디오-지방</v>
          </cell>
          <cell r="C520">
            <v>1.5</v>
          </cell>
        </row>
        <row r="521">
          <cell r="A521" t="str">
            <v>스마트에프엔</v>
          </cell>
          <cell r="B521" t="str">
            <v>13_인터넷포털</v>
          </cell>
          <cell r="C521">
            <v>0.1</v>
          </cell>
        </row>
        <row r="522">
          <cell r="A522" t="str">
            <v>더나은미래</v>
          </cell>
          <cell r="B522" t="str">
            <v>13_인터넷포털</v>
          </cell>
          <cell r="C522">
            <v>0.1</v>
          </cell>
        </row>
        <row r="523">
          <cell r="A523" t="str">
            <v>안동MBC</v>
          </cell>
          <cell r="B523" t="str">
            <v>02_TV-지방</v>
          </cell>
          <cell r="C523">
            <v>4</v>
          </cell>
        </row>
        <row r="524">
          <cell r="A524" t="str">
            <v>경남신문</v>
          </cell>
          <cell r="B524" t="str">
            <v>09_지방일간지</v>
          </cell>
          <cell r="C524">
            <v>1.5</v>
          </cell>
        </row>
        <row r="525">
          <cell r="A525" t="str">
            <v xml:space="preserve">서울일보 </v>
          </cell>
          <cell r="B525" t="str">
            <v>08_기타일간지</v>
          </cell>
          <cell r="C525">
            <v>2</v>
          </cell>
        </row>
        <row r="526">
          <cell r="A526" t="str">
            <v xml:space="preserve">농수축산신문 </v>
          </cell>
          <cell r="B526" t="str">
            <v>09_농업전문지</v>
          </cell>
          <cell r="C526">
            <v>1.5</v>
          </cell>
        </row>
        <row r="527">
          <cell r="A527" t="str">
            <v xml:space="preserve">축산신문 </v>
          </cell>
          <cell r="B527" t="str">
            <v>09_농업전문지</v>
          </cell>
          <cell r="C527">
            <v>1.5</v>
          </cell>
        </row>
        <row r="528">
          <cell r="A528" t="str">
            <v>시사저널</v>
          </cell>
          <cell r="B528" t="str">
            <v>10_기타월간지</v>
          </cell>
          <cell r="C528">
            <v>1</v>
          </cell>
        </row>
        <row r="529">
          <cell r="A529" t="str">
            <v>LG헬로비전</v>
          </cell>
          <cell r="B529" t="str">
            <v>03_TV-케이블지방</v>
          </cell>
          <cell r="C529">
            <v>2.5</v>
          </cell>
        </row>
        <row r="530">
          <cell r="A530" t="str">
            <v>푸드경제</v>
          </cell>
          <cell r="B530" t="str">
            <v>13_인터넷포털</v>
          </cell>
          <cell r="C530">
            <v>0.1</v>
          </cell>
        </row>
        <row r="531">
          <cell r="A531" t="str">
            <v>식품음료신문</v>
          </cell>
          <cell r="B531" t="str">
            <v>09_농업전문지</v>
          </cell>
          <cell r="C531">
            <v>1.5</v>
          </cell>
        </row>
        <row r="532">
          <cell r="A532" t="str">
            <v>데일리벳</v>
          </cell>
          <cell r="B532" t="str">
            <v>13_인터넷포털</v>
          </cell>
          <cell r="C532">
            <v>0.1</v>
          </cell>
        </row>
        <row r="533">
          <cell r="A533" t="str">
            <v>KBS</v>
          </cell>
          <cell r="B533" t="str">
            <v>01_TV-중앙</v>
          </cell>
          <cell r="C533">
            <v>8</v>
          </cell>
        </row>
        <row r="534">
          <cell r="A534" t="str">
            <v>머니S</v>
          </cell>
          <cell r="B534" t="str">
            <v>13_인터넷포털</v>
          </cell>
          <cell r="C534">
            <v>0.1</v>
          </cell>
        </row>
        <row r="535">
          <cell r="A535" t="str">
            <v>AI타임스</v>
          </cell>
          <cell r="B535" t="str">
            <v>13_인터넷포털</v>
          </cell>
          <cell r="C535">
            <v>0.1</v>
          </cell>
        </row>
        <row r="536">
          <cell r="A536" t="str">
            <v>포항MBC</v>
          </cell>
          <cell r="B536" t="str">
            <v>02_TV-지방</v>
          </cell>
          <cell r="C536">
            <v>4</v>
          </cell>
        </row>
        <row r="537">
          <cell r="A537" t="str">
            <v>CJB</v>
          </cell>
          <cell r="B537" t="str">
            <v>02_TV-지방</v>
          </cell>
          <cell r="C537">
            <v>4</v>
          </cell>
        </row>
        <row r="538">
          <cell r="A538" t="str">
            <v>더리포트</v>
          </cell>
          <cell r="B538" t="str">
            <v>13_인터넷포털</v>
          </cell>
          <cell r="C538">
            <v>0.1</v>
          </cell>
        </row>
        <row r="539">
          <cell r="A539" t="str">
            <v>kbc광주방송</v>
          </cell>
          <cell r="B539" t="str">
            <v>02_TV-지방</v>
          </cell>
          <cell r="C539">
            <v>4</v>
          </cell>
        </row>
        <row r="540">
          <cell r="A540" t="str">
            <v>새한일보</v>
          </cell>
          <cell r="B540" t="str">
            <v>09_지방일간지</v>
          </cell>
          <cell r="C540">
            <v>1.5</v>
          </cell>
        </row>
        <row r="541">
          <cell r="A541" t="str">
            <v>월간낙농육우</v>
          </cell>
          <cell r="B541" t="str">
            <v>18_월간지</v>
          </cell>
          <cell r="C541">
            <v>4</v>
          </cell>
        </row>
        <row r="542">
          <cell r="A542" t="str">
            <v>비지니스포스트</v>
          </cell>
          <cell r="B542" t="str">
            <v>13_인터넷포털</v>
          </cell>
          <cell r="C542">
            <v>0.1</v>
          </cell>
        </row>
        <row r="543">
          <cell r="A543" t="str">
            <v>SR타임스</v>
          </cell>
          <cell r="B543" t="str">
            <v>13_인터넷포털</v>
          </cell>
          <cell r="C543">
            <v>0.1</v>
          </cell>
        </row>
        <row r="544">
          <cell r="A544" t="str">
            <v>굿모닝경제</v>
          </cell>
          <cell r="B544" t="str">
            <v>13_인터넷포털</v>
          </cell>
          <cell r="C544">
            <v>0.1</v>
          </cell>
        </row>
        <row r="545">
          <cell r="A545" t="str">
            <v>경인일보</v>
          </cell>
          <cell r="B545" t="str">
            <v>09_지방일간지</v>
          </cell>
          <cell r="C545">
            <v>1.5</v>
          </cell>
        </row>
        <row r="546">
          <cell r="A546" t="str">
            <v>강원도민일보</v>
          </cell>
          <cell r="B546" t="str">
            <v>09_지방일간지</v>
          </cell>
          <cell r="C546">
            <v>1.5</v>
          </cell>
        </row>
        <row r="547">
          <cell r="A547" t="str">
            <v>안전신문</v>
          </cell>
          <cell r="B547" t="str">
            <v>13_인터넷포털</v>
          </cell>
          <cell r="C547">
            <v>0.1</v>
          </cell>
        </row>
        <row r="548">
          <cell r="A548" t="str">
            <v>문화일보</v>
          </cell>
          <cell r="B548" t="str">
            <v>07_중앙일간지</v>
          </cell>
          <cell r="C548">
            <v>5</v>
          </cell>
        </row>
        <row r="549">
          <cell r="A549" t="str">
            <v>씨엠비광주방송</v>
          </cell>
          <cell r="B549" t="str">
            <v>03_TV-케이블지방</v>
          </cell>
          <cell r="C549">
            <v>2.5</v>
          </cell>
        </row>
        <row r="550">
          <cell r="A550" t="str">
            <v>버섯신문</v>
          </cell>
          <cell r="B550" t="str">
            <v>09_농업전문지</v>
          </cell>
          <cell r="C550">
            <v>1.5</v>
          </cell>
        </row>
        <row r="551">
          <cell r="A551" t="str">
            <v>리얼푸드</v>
          </cell>
          <cell r="B551" t="str">
            <v>13_인터넷포털</v>
          </cell>
          <cell r="C551">
            <v>0.1</v>
          </cell>
        </row>
        <row r="552">
          <cell r="A552" t="str">
            <v>오마이뉴스</v>
          </cell>
          <cell r="B552" t="str">
            <v>13_인터넷포털</v>
          </cell>
          <cell r="C552">
            <v>0.1</v>
          </cell>
        </row>
        <row r="553">
          <cell r="A553" t="str">
            <v>중부일보</v>
          </cell>
          <cell r="B553" t="str">
            <v>09_지방일간지</v>
          </cell>
          <cell r="C553">
            <v>1.5</v>
          </cell>
        </row>
        <row r="554">
          <cell r="A554" t="str">
            <v>전주MBC</v>
          </cell>
          <cell r="B554" t="str">
            <v>02_TV-지방</v>
          </cell>
          <cell r="C554">
            <v>4</v>
          </cell>
        </row>
        <row r="555">
          <cell r="A555" t="str">
            <v>KTV</v>
          </cell>
          <cell r="B555" t="str">
            <v>02_TV-케이블중앙</v>
          </cell>
          <cell r="C555">
            <v>4</v>
          </cell>
        </row>
        <row r="556">
          <cell r="A556" t="str">
            <v>영농자재신문</v>
          </cell>
          <cell r="B556" t="str">
            <v>09_농업전문지</v>
          </cell>
          <cell r="C556">
            <v>1.5</v>
          </cell>
        </row>
        <row r="557">
          <cell r="A557" t="str">
            <v>하이닥</v>
          </cell>
          <cell r="B557" t="str">
            <v>13_인터넷포털</v>
          </cell>
          <cell r="C557">
            <v>0.1</v>
          </cell>
        </row>
        <row r="558">
          <cell r="A558" t="str">
            <v>채널A</v>
          </cell>
          <cell r="B558" t="str">
            <v>02_TV-종합편성채널</v>
          </cell>
          <cell r="C558">
            <v>4</v>
          </cell>
        </row>
        <row r="559">
          <cell r="A559" t="str">
            <v>월간축산</v>
          </cell>
          <cell r="B559" t="str">
            <v>17_농업전문지</v>
          </cell>
          <cell r="C559">
            <v>8</v>
          </cell>
        </row>
        <row r="560">
          <cell r="A560" t="str">
            <v>전주KBS라디오</v>
          </cell>
          <cell r="B560" t="str">
            <v>06_라디오-지방</v>
          </cell>
          <cell r="C560">
            <v>1.5</v>
          </cell>
        </row>
        <row r="561">
          <cell r="A561" t="str">
            <v xml:space="preserve">농어촌경제신문 </v>
          </cell>
          <cell r="B561" t="str">
            <v>13_인터넷포털</v>
          </cell>
          <cell r="C561">
            <v>0.1</v>
          </cell>
        </row>
        <row r="562">
          <cell r="A562" t="str">
            <v>농어업경제귀농신문</v>
          </cell>
          <cell r="B562" t="str">
            <v>13_인터넷포털</v>
          </cell>
          <cell r="C562">
            <v>0.1</v>
          </cell>
        </row>
        <row r="563">
          <cell r="A563" t="str">
            <v>전북제일</v>
          </cell>
          <cell r="B563" t="str">
            <v>09_지방일간지</v>
          </cell>
          <cell r="C563">
            <v>1.5</v>
          </cell>
        </row>
        <row r="564">
          <cell r="A564" t="str">
            <v>당진시대</v>
          </cell>
          <cell r="B564" t="str">
            <v>11_기타(지역주간지)</v>
          </cell>
          <cell r="C564">
            <v>0.5</v>
          </cell>
        </row>
        <row r="565">
          <cell r="A565" t="str">
            <v>뉴데일리</v>
          </cell>
          <cell r="B565" t="str">
            <v>13_인터넷포털</v>
          </cell>
          <cell r="C565">
            <v>0.1</v>
          </cell>
        </row>
        <row r="566">
          <cell r="A566" t="str">
            <v>SKB전주</v>
          </cell>
          <cell r="B566" t="str">
            <v>03_TV-케이블지방</v>
          </cell>
          <cell r="C566">
            <v>2.5</v>
          </cell>
        </row>
        <row r="567">
          <cell r="A567" t="str">
            <v>워크투데이</v>
          </cell>
          <cell r="B567" t="str">
            <v>13_인터넷포털</v>
          </cell>
          <cell r="C567">
            <v>0.1</v>
          </cell>
        </row>
        <row r="568">
          <cell r="A568" t="str">
            <v>더농부뉴스</v>
          </cell>
          <cell r="B568" t="str">
            <v>24_이미지 콘텐츠 포스팅</v>
          </cell>
          <cell r="C568">
            <v>3</v>
          </cell>
        </row>
        <row r="569">
          <cell r="A569" t="str">
            <v>교수신문</v>
          </cell>
          <cell r="B569" t="str">
            <v>13_인터넷포털</v>
          </cell>
          <cell r="C569">
            <v>0.1</v>
          </cell>
        </row>
        <row r="570">
          <cell r="A570" t="str">
            <v>MTN(머니투데이방송)</v>
          </cell>
          <cell r="B570" t="str">
            <v>02_TV-케이블중앙</v>
          </cell>
          <cell r="C570">
            <v>4</v>
          </cell>
        </row>
        <row r="571">
          <cell r="A571" t="str">
            <v>한국식품의약신문</v>
          </cell>
          <cell r="B571" t="str">
            <v>09_농업전문지</v>
          </cell>
          <cell r="C571">
            <v>1.5</v>
          </cell>
        </row>
        <row r="572">
          <cell r="A572" t="str">
            <v>더소셜뉴스</v>
          </cell>
          <cell r="B572" t="str">
            <v>13_인터넷포털</v>
          </cell>
          <cell r="C572">
            <v>0.1</v>
          </cell>
        </row>
        <row r="573">
          <cell r="A573" t="str">
            <v>축산경제신문</v>
          </cell>
          <cell r="B573" t="str">
            <v>17_농업전문지</v>
          </cell>
          <cell r="C573">
            <v>8</v>
          </cell>
        </row>
        <row r="574">
          <cell r="A574" t="str">
            <v>제주KBS</v>
          </cell>
          <cell r="B574" t="str">
            <v>02_TV-지방</v>
          </cell>
          <cell r="C574">
            <v>4</v>
          </cell>
        </row>
        <row r="575">
          <cell r="A575" t="str">
            <v>위메이크뉴스</v>
          </cell>
          <cell r="B575" t="str">
            <v>13_인터넷포털</v>
          </cell>
          <cell r="C575">
            <v>0.1</v>
          </cell>
        </row>
        <row r="576">
          <cell r="A576" t="str">
            <v>인사이트</v>
          </cell>
          <cell r="B576" t="str">
            <v>13_인터넷포털</v>
          </cell>
          <cell r="C576">
            <v>0.1</v>
          </cell>
        </row>
        <row r="577">
          <cell r="A577" t="str">
            <v>CMB광주방송</v>
          </cell>
          <cell r="B577" t="str">
            <v>03_TV-케이블지방</v>
          </cell>
          <cell r="C577">
            <v>2.5</v>
          </cell>
        </row>
        <row r="578">
          <cell r="A578" t="str">
            <v>FETV</v>
          </cell>
          <cell r="B578" t="str">
            <v>13_인터넷포털</v>
          </cell>
          <cell r="C578">
            <v>0.1</v>
          </cell>
        </row>
        <row r="579">
          <cell r="A579" t="str">
            <v>지이코노미</v>
          </cell>
          <cell r="B579" t="str">
            <v>13_인터넷포털</v>
          </cell>
          <cell r="C579">
            <v>0.1</v>
          </cell>
        </row>
        <row r="580">
          <cell r="A580" t="str">
            <v>스포츠W</v>
          </cell>
          <cell r="B580" t="str">
            <v>13_인터넷포털</v>
          </cell>
          <cell r="C580">
            <v>0.1</v>
          </cell>
        </row>
        <row r="581">
          <cell r="A581" t="str">
            <v>EBN</v>
          </cell>
          <cell r="B581" t="str">
            <v>13_인터넷포털</v>
          </cell>
          <cell r="C581">
            <v>0.1</v>
          </cell>
        </row>
        <row r="582">
          <cell r="A582" t="str">
            <v>한국NGO신문</v>
          </cell>
          <cell r="B582" t="str">
            <v>13_인터넷포털</v>
          </cell>
          <cell r="C582">
            <v>0.1</v>
          </cell>
        </row>
        <row r="583">
          <cell r="A583" t="str">
            <v>스마트투데이</v>
          </cell>
          <cell r="B583" t="str">
            <v>13_인터넷포털</v>
          </cell>
          <cell r="C583">
            <v>0.1</v>
          </cell>
        </row>
        <row r="584">
          <cell r="A584" t="str">
            <v>더퍼스트</v>
          </cell>
          <cell r="B584" t="str">
            <v>13_인터넷포털</v>
          </cell>
          <cell r="C584">
            <v>0.1</v>
          </cell>
        </row>
        <row r="585">
          <cell r="A585" t="str">
            <v>민주신문</v>
          </cell>
          <cell r="B585" t="str">
            <v>13_인터넷포털</v>
          </cell>
          <cell r="C585">
            <v>0.1</v>
          </cell>
        </row>
        <row r="586">
          <cell r="A586" t="str">
            <v>우먼타임스</v>
          </cell>
          <cell r="B586" t="str">
            <v>13_인터넷포털</v>
          </cell>
          <cell r="C586">
            <v>0.1</v>
          </cell>
        </row>
        <row r="587">
          <cell r="A587" t="str">
            <v>민중의 소리</v>
          </cell>
          <cell r="B587" t="str">
            <v>13_인터넷포털</v>
          </cell>
          <cell r="C587">
            <v>0.1</v>
          </cell>
        </row>
        <row r="588">
          <cell r="A588" t="str">
            <v>아이티데일리</v>
          </cell>
          <cell r="B588" t="str">
            <v>13_인터넷포털</v>
          </cell>
          <cell r="C588">
            <v>0.1</v>
          </cell>
        </row>
        <row r="589">
          <cell r="A589" t="str">
            <v>인공지능신문</v>
          </cell>
          <cell r="B589" t="str">
            <v>13_인터넷포털</v>
          </cell>
          <cell r="C589">
            <v>0.1</v>
          </cell>
        </row>
        <row r="590">
          <cell r="A590" t="str">
            <v>보안뉴스</v>
          </cell>
          <cell r="B590" t="str">
            <v>13_인터넷포털</v>
          </cell>
          <cell r="C590">
            <v>0.1</v>
          </cell>
        </row>
        <row r="591">
          <cell r="A591" t="str">
            <v>헬로티</v>
          </cell>
          <cell r="B591" t="str">
            <v>13_인터넷포털</v>
          </cell>
          <cell r="C591">
            <v>0.1</v>
          </cell>
        </row>
        <row r="592">
          <cell r="A592" t="str">
            <v>경기일보</v>
          </cell>
          <cell r="B592" t="str">
            <v>09_지방일간지</v>
          </cell>
          <cell r="C592">
            <v>1.5</v>
          </cell>
        </row>
        <row r="593">
          <cell r="A593" t="str">
            <v>뉴제주일보</v>
          </cell>
          <cell r="B593" t="str">
            <v>09_지방일간지</v>
          </cell>
          <cell r="C593">
            <v>1.5</v>
          </cell>
        </row>
        <row r="594">
          <cell r="A594" t="str">
            <v>어린이동아</v>
          </cell>
          <cell r="B594" t="str">
            <v>10_기타전문지</v>
          </cell>
          <cell r="C594">
            <v>1</v>
          </cell>
        </row>
        <row r="595">
          <cell r="A595" t="str">
            <v>마켓뉴스</v>
          </cell>
          <cell r="B595" t="str">
            <v>13_인터넷포털</v>
          </cell>
          <cell r="C595">
            <v>0.1</v>
          </cell>
        </row>
        <row r="596">
          <cell r="A596" t="str">
            <v>나우타임즈</v>
          </cell>
          <cell r="B596" t="str">
            <v>13_인터넷포털</v>
          </cell>
          <cell r="C596">
            <v>0.1</v>
          </cell>
        </row>
        <row r="597">
          <cell r="A597" t="str">
            <v>전주KBS</v>
          </cell>
          <cell r="B597" t="str">
            <v>02_TV-지방</v>
          </cell>
          <cell r="C597">
            <v>4</v>
          </cell>
        </row>
        <row r="598">
          <cell r="A598" t="str">
            <v>국토일보</v>
          </cell>
          <cell r="B598" t="str">
            <v>10_기타전문지</v>
          </cell>
          <cell r="C598">
            <v>1</v>
          </cell>
        </row>
        <row r="599">
          <cell r="A599" t="str">
            <v>서울파이낸스</v>
          </cell>
          <cell r="B599" t="str">
            <v>10_주간지</v>
          </cell>
          <cell r="C599">
            <v>1</v>
          </cell>
        </row>
        <row r="600">
          <cell r="A600" t="str">
            <v>스포츠동아</v>
          </cell>
          <cell r="B600" t="str">
            <v>08_스포츠신문</v>
          </cell>
          <cell r="C600">
            <v>2</v>
          </cell>
        </row>
        <row r="601">
          <cell r="A601" t="str">
            <v>빅데이터뉴스</v>
          </cell>
          <cell r="B601" t="str">
            <v>13_인터넷포털</v>
          </cell>
          <cell r="C601">
            <v>0.1</v>
          </cell>
        </row>
        <row r="602">
          <cell r="A602" t="str">
            <v>CEO스코어데일리</v>
          </cell>
          <cell r="B602" t="str">
            <v>11_기타(지역주간지)</v>
          </cell>
          <cell r="C602">
            <v>0.5</v>
          </cell>
        </row>
        <row r="603">
          <cell r="A603" t="str">
            <v>데일리환경</v>
          </cell>
          <cell r="B603" t="str">
            <v>13_인터넷포털</v>
          </cell>
          <cell r="C603">
            <v>0.1</v>
          </cell>
        </row>
        <row r="604">
          <cell r="A604" t="str">
            <v>넥스트데일리</v>
          </cell>
          <cell r="B604" t="str">
            <v>13_인터넷포털</v>
          </cell>
          <cell r="C604">
            <v>0.1</v>
          </cell>
        </row>
        <row r="605">
          <cell r="A605" t="str">
            <v>여성소비자신문</v>
          </cell>
          <cell r="B605" t="str">
            <v>13_인터넷포털</v>
          </cell>
          <cell r="C605">
            <v>0.1</v>
          </cell>
        </row>
        <row r="606">
          <cell r="A606" t="str">
            <v>월요신문</v>
          </cell>
          <cell r="B606" t="str">
            <v>13_인터넷포털</v>
          </cell>
          <cell r="C606">
            <v>0.1</v>
          </cell>
        </row>
        <row r="607">
          <cell r="A607" t="str">
            <v>프레스맨</v>
          </cell>
          <cell r="B607" t="str">
            <v>13_인터넷포털</v>
          </cell>
          <cell r="C607">
            <v>0.1</v>
          </cell>
        </row>
        <row r="608">
          <cell r="A608" t="str">
            <v>비지니스코리아</v>
          </cell>
          <cell r="B608" t="str">
            <v>13_인터넷포털</v>
          </cell>
          <cell r="C608">
            <v>0.1</v>
          </cell>
        </row>
        <row r="609">
          <cell r="A609" t="str">
            <v>리버티코리아포스트</v>
          </cell>
          <cell r="B609" t="str">
            <v>13_인터넷포털</v>
          </cell>
          <cell r="C609">
            <v>0.1</v>
          </cell>
        </row>
        <row r="610">
          <cell r="A610" t="str">
            <v>인천일보</v>
          </cell>
          <cell r="B610" t="str">
            <v>09_지방일간지</v>
          </cell>
          <cell r="C610">
            <v>1.5</v>
          </cell>
        </row>
        <row r="611">
          <cell r="A611" t="str">
            <v>데일리티</v>
          </cell>
          <cell r="B611" t="str">
            <v>10_기타전문지</v>
          </cell>
          <cell r="C611">
            <v>1</v>
          </cell>
        </row>
        <row r="612">
          <cell r="A612" t="str">
            <v>백세시대</v>
          </cell>
          <cell r="B612" t="str">
            <v>10_주간지</v>
          </cell>
          <cell r="C612">
            <v>1</v>
          </cell>
        </row>
        <row r="613">
          <cell r="A613" t="str">
            <v>시사오늘</v>
          </cell>
          <cell r="B613" t="str">
            <v>10_기타월간지</v>
          </cell>
          <cell r="C613">
            <v>1</v>
          </cell>
        </row>
        <row r="614">
          <cell r="A614" t="str">
            <v>S-저널</v>
          </cell>
          <cell r="B614" t="str">
            <v>11_기타(지역주간지)</v>
          </cell>
          <cell r="C614">
            <v>0.5</v>
          </cell>
        </row>
        <row r="615">
          <cell r="A615" t="str">
            <v>뉴스워치</v>
          </cell>
          <cell r="B615" t="str">
            <v>13_인터넷포털</v>
          </cell>
          <cell r="C615">
            <v>0.1</v>
          </cell>
        </row>
        <row r="616">
          <cell r="A616" t="str">
            <v>라이센스뉴스</v>
          </cell>
          <cell r="B616" t="str">
            <v>13_인터넷포털</v>
          </cell>
          <cell r="C616">
            <v>0.1</v>
          </cell>
        </row>
        <row r="617">
          <cell r="A617" t="str">
            <v>이코노미톡 뉴스</v>
          </cell>
          <cell r="B617" t="str">
            <v>13_인터넷포털</v>
          </cell>
          <cell r="C617">
            <v>0.1</v>
          </cell>
        </row>
        <row r="618">
          <cell r="A618" t="str">
            <v>업다운뉴스</v>
          </cell>
          <cell r="B618" t="str">
            <v>13_인터넷포털</v>
          </cell>
          <cell r="C618">
            <v>0.1</v>
          </cell>
        </row>
        <row r="619">
          <cell r="A619" t="str">
            <v>나이스경제</v>
          </cell>
          <cell r="B619" t="str">
            <v>13_인터넷포털</v>
          </cell>
          <cell r="C619">
            <v>0.1</v>
          </cell>
        </row>
        <row r="620">
          <cell r="A620" t="str">
            <v>하비엔뉴스</v>
          </cell>
          <cell r="B620" t="str">
            <v>13_인터넷포털</v>
          </cell>
          <cell r="C620">
            <v>0.1</v>
          </cell>
        </row>
        <row r="621">
          <cell r="A621" t="str">
            <v>한국정경신문</v>
          </cell>
          <cell r="B621" t="str">
            <v>13_인터넷포털</v>
          </cell>
          <cell r="C621">
            <v>0.1</v>
          </cell>
        </row>
        <row r="622">
          <cell r="A622" t="str">
            <v>스포츠경향</v>
          </cell>
          <cell r="B622" t="str">
            <v>08_스포츠신문</v>
          </cell>
          <cell r="C622">
            <v>2</v>
          </cell>
        </row>
        <row r="623">
          <cell r="A623" t="str">
            <v>한국4-H신문</v>
          </cell>
          <cell r="B623" t="str">
            <v>09_농업전문지</v>
          </cell>
          <cell r="C623">
            <v>1.5</v>
          </cell>
        </row>
        <row r="624">
          <cell r="A624" t="str">
            <v>디스커버리뉴스</v>
          </cell>
          <cell r="B624" t="str">
            <v>13_인터넷포털</v>
          </cell>
          <cell r="C624">
            <v>0.1</v>
          </cell>
        </row>
        <row r="625">
          <cell r="A625" t="str">
            <v>전민일보</v>
          </cell>
          <cell r="B625" t="str">
            <v>09_지방일간지</v>
          </cell>
          <cell r="C625">
            <v>1.5</v>
          </cell>
        </row>
        <row r="626">
          <cell r="A626" t="str">
            <v>선경일보</v>
          </cell>
          <cell r="B626" t="str">
            <v>09_지방일간지</v>
          </cell>
          <cell r="C626">
            <v>1.5</v>
          </cell>
        </row>
        <row r="627">
          <cell r="A627" t="str">
            <v>조세일보</v>
          </cell>
          <cell r="B627" t="str">
            <v>13_인터넷포털</v>
          </cell>
          <cell r="C627">
            <v>0.1</v>
          </cell>
        </row>
        <row r="628">
          <cell r="A628" t="str">
            <v>세정일보</v>
          </cell>
          <cell r="B628" t="str">
            <v>13_인터넷포털</v>
          </cell>
          <cell r="C628">
            <v>0.1</v>
          </cell>
        </row>
        <row r="629">
          <cell r="A629" t="str">
            <v>일간NTN</v>
          </cell>
          <cell r="B629" t="str">
            <v>13_인터넷포털</v>
          </cell>
          <cell r="C629">
            <v>0.1</v>
          </cell>
        </row>
        <row r="630">
          <cell r="A630" t="str">
            <v>세이프타임즈</v>
          </cell>
          <cell r="B630" t="str">
            <v>13_인터넷포털</v>
          </cell>
          <cell r="C630">
            <v>0.1</v>
          </cell>
        </row>
        <row r="631">
          <cell r="A631" t="str">
            <v>이코노미퀸</v>
          </cell>
          <cell r="B631" t="str">
            <v>13_인터넷포털</v>
          </cell>
          <cell r="C631">
            <v>0.1</v>
          </cell>
        </row>
        <row r="632">
          <cell r="A632" t="str">
            <v>세계비즈</v>
          </cell>
          <cell r="B632" t="str">
            <v>13_인터넷포털</v>
          </cell>
          <cell r="C632">
            <v>0.1</v>
          </cell>
        </row>
        <row r="633">
          <cell r="A633" t="str">
            <v>와이드경제</v>
          </cell>
          <cell r="B633" t="str">
            <v>13_인터넷포털</v>
          </cell>
          <cell r="C633">
            <v>0.1</v>
          </cell>
        </row>
        <row r="634">
          <cell r="A634" t="str">
            <v>메타tv</v>
          </cell>
          <cell r="B634" t="str">
            <v>13_인터넷포털</v>
          </cell>
          <cell r="C634">
            <v>0.1</v>
          </cell>
        </row>
        <row r="635">
          <cell r="A635" t="str">
            <v>GNN뉴스</v>
          </cell>
          <cell r="B635" t="str">
            <v>13_인터넷포털</v>
          </cell>
          <cell r="C635">
            <v>0.1</v>
          </cell>
        </row>
        <row r="636">
          <cell r="A636" t="str">
            <v>코리아타임뉴스</v>
          </cell>
          <cell r="B636" t="str">
            <v>13_인터넷포털</v>
          </cell>
          <cell r="C636">
            <v>0.1</v>
          </cell>
        </row>
        <row r="637">
          <cell r="A637" t="str">
            <v>코리아일보</v>
          </cell>
          <cell r="B637" t="str">
            <v>13_인터넷포털</v>
          </cell>
          <cell r="C637">
            <v>0.1</v>
          </cell>
        </row>
        <row r="638">
          <cell r="A638" t="str">
            <v>전국지방자치뉴스</v>
          </cell>
          <cell r="B638" t="str">
            <v>13_인터넷포털</v>
          </cell>
          <cell r="C638">
            <v>0.1</v>
          </cell>
        </row>
        <row r="639">
          <cell r="A639" t="str">
            <v>한국시사경제</v>
          </cell>
          <cell r="B639" t="str">
            <v>13_인터넷포털</v>
          </cell>
          <cell r="C639">
            <v>0.1</v>
          </cell>
        </row>
        <row r="640">
          <cell r="A640" t="str">
            <v>더연합타임즈</v>
          </cell>
          <cell r="B640" t="str">
            <v>13_인터넷포털</v>
          </cell>
          <cell r="C640">
            <v>0.1</v>
          </cell>
        </row>
        <row r="641">
          <cell r="A641" t="str">
            <v>한국산업안전뉴스</v>
          </cell>
          <cell r="B641" t="str">
            <v>13_인터넷포털</v>
          </cell>
          <cell r="C641">
            <v>0.1</v>
          </cell>
        </row>
        <row r="642">
          <cell r="A642" t="str">
            <v>Ch B TV</v>
          </cell>
          <cell r="B642" t="str">
            <v>03_TV-케이블지방</v>
          </cell>
          <cell r="C642">
            <v>2.5</v>
          </cell>
        </row>
        <row r="643">
          <cell r="A643" t="str">
            <v>아투시티뉴스</v>
          </cell>
          <cell r="B643" t="str">
            <v>13_인터넷포털</v>
          </cell>
          <cell r="C643">
            <v>0.1</v>
          </cell>
        </row>
        <row r="644">
          <cell r="A644" t="str">
            <v>한국농기자재산업</v>
          </cell>
          <cell r="B644" t="str">
            <v>09_농업전문지</v>
          </cell>
          <cell r="C644">
            <v>1.5</v>
          </cell>
        </row>
        <row r="645">
          <cell r="A645" t="str">
            <v>LG헬로티비</v>
          </cell>
          <cell r="B645" t="str">
            <v>03_TV-케이블지방</v>
          </cell>
          <cell r="C645">
            <v>2.5</v>
          </cell>
        </row>
        <row r="646">
          <cell r="A646" t="str">
            <v>팜뉴스</v>
          </cell>
          <cell r="B646" t="str">
            <v>13_인터넷포털</v>
          </cell>
          <cell r="C646">
            <v>0.1</v>
          </cell>
        </row>
        <row r="647">
          <cell r="A647" t="str">
            <v>OSEN</v>
          </cell>
          <cell r="B647" t="str">
            <v>13_인터넷포털</v>
          </cell>
          <cell r="C647">
            <v>0.1</v>
          </cell>
        </row>
        <row r="648">
          <cell r="A648" t="str">
            <v>1코노미뉴스</v>
          </cell>
          <cell r="B648" t="str">
            <v>13_인터넷포털</v>
          </cell>
          <cell r="C648">
            <v>0.1</v>
          </cell>
        </row>
        <row r="649">
          <cell r="A649" t="str">
            <v>뉴스펭귄</v>
          </cell>
          <cell r="B649" t="str">
            <v>13_인터넷포털</v>
          </cell>
          <cell r="C649">
            <v>0.1</v>
          </cell>
        </row>
        <row r="650">
          <cell r="A650" t="str">
            <v>삼다일보</v>
          </cell>
          <cell r="B650" t="str">
            <v>13_인터넷포털</v>
          </cell>
          <cell r="C650">
            <v>0.1</v>
          </cell>
        </row>
        <row r="651">
          <cell r="A651" t="str">
            <v>뉴스캠프</v>
          </cell>
          <cell r="B651" t="str">
            <v>13_인터넷포털</v>
          </cell>
          <cell r="C651">
            <v>0.1</v>
          </cell>
        </row>
        <row r="652">
          <cell r="A652" t="str">
            <v>NBN미디어</v>
          </cell>
          <cell r="B652" t="str">
            <v>13_인터넷포털</v>
          </cell>
          <cell r="C652">
            <v>0.1</v>
          </cell>
        </row>
        <row r="653">
          <cell r="A653" t="str">
            <v>헤드라인제주</v>
          </cell>
          <cell r="B653" t="str">
            <v>13_인터넷포털</v>
          </cell>
          <cell r="C653">
            <v>0.1</v>
          </cell>
        </row>
        <row r="654">
          <cell r="A654" t="str">
            <v>이투뉴스</v>
          </cell>
          <cell r="B654" t="str">
            <v>13_인터넷포털</v>
          </cell>
          <cell r="C654">
            <v>0.1</v>
          </cell>
        </row>
        <row r="655">
          <cell r="A655" t="str">
            <v>뉴데일리 충청·세종</v>
          </cell>
          <cell r="B655" t="str">
            <v>13_인터넷포털</v>
          </cell>
          <cell r="C655">
            <v>0.1</v>
          </cell>
        </row>
        <row r="656">
          <cell r="A656" t="str">
            <v>뉴스티앤티충남</v>
          </cell>
          <cell r="B656" t="str">
            <v>13_인터넷포털</v>
          </cell>
          <cell r="C656">
            <v>0.1</v>
          </cell>
        </row>
        <row r="657">
          <cell r="A657" t="str">
            <v>언더스트리뉴스</v>
          </cell>
          <cell r="B657" t="str">
            <v>13_인터넷포털</v>
          </cell>
          <cell r="C657">
            <v>0.1</v>
          </cell>
        </row>
        <row r="658">
          <cell r="A658" t="str">
            <v>Hello tv NEWS</v>
          </cell>
          <cell r="B658" t="str">
            <v>03_TV-케이블지방</v>
          </cell>
          <cell r="C658">
            <v>2.5</v>
          </cell>
        </row>
        <row r="659">
          <cell r="A659" t="str">
            <v>브레이킹뉴스</v>
          </cell>
          <cell r="B659" t="str">
            <v>13_인터넷포털</v>
          </cell>
          <cell r="C659">
            <v>0.1</v>
          </cell>
        </row>
        <row r="660">
          <cell r="A660" t="str">
            <v>서울경제TV</v>
          </cell>
          <cell r="B660" t="str">
            <v>13_인터넷포털</v>
          </cell>
          <cell r="C660">
            <v>0.1</v>
          </cell>
        </row>
        <row r="661">
          <cell r="A661" t="str">
            <v>씨티21뉴스</v>
          </cell>
          <cell r="B661" t="str">
            <v>13_인터넷포털</v>
          </cell>
          <cell r="C661">
            <v>0.1</v>
          </cell>
        </row>
        <row r="662">
          <cell r="A662" t="str">
            <v>KBS대구</v>
          </cell>
          <cell r="B662" t="str">
            <v>02_TV-지방</v>
          </cell>
          <cell r="C662">
            <v>4</v>
          </cell>
        </row>
        <row r="663">
          <cell r="A663" t="str">
            <v>NBS-TV</v>
          </cell>
          <cell r="B663" t="str">
            <v>03_TV-케이블지방</v>
          </cell>
          <cell r="C663">
            <v>2.5</v>
          </cell>
        </row>
        <row r="664">
          <cell r="A664" t="str">
            <v>당진신문</v>
          </cell>
          <cell r="B664" t="str">
            <v>09_지방일간지</v>
          </cell>
          <cell r="C664">
            <v>1.5</v>
          </cell>
        </row>
        <row r="665">
          <cell r="A665" t="str">
            <v>라이브뉴스</v>
          </cell>
          <cell r="B665" t="str">
            <v>13_인터넷포털</v>
          </cell>
          <cell r="C665">
            <v>0.1</v>
          </cell>
        </row>
        <row r="666">
          <cell r="A666" t="str">
            <v>MBC-TV</v>
          </cell>
          <cell r="B666" t="str">
            <v>02_TV-지방</v>
          </cell>
          <cell r="C666">
            <v>4</v>
          </cell>
        </row>
        <row r="667">
          <cell r="A667" t="str">
            <v>울산제일일보</v>
          </cell>
          <cell r="B667" t="str">
            <v>09_지방일간지</v>
          </cell>
          <cell r="C667">
            <v>1.5</v>
          </cell>
        </row>
        <row r="668">
          <cell r="A668" t="str">
            <v>투데이신문</v>
          </cell>
          <cell r="B668" t="str">
            <v>13_인터넷포털</v>
          </cell>
          <cell r="C668">
            <v>0.1</v>
          </cell>
        </row>
        <row r="669">
          <cell r="A669" t="str">
            <v>에너지데일리</v>
          </cell>
          <cell r="B669" t="str">
            <v>13_인터넷포털</v>
          </cell>
          <cell r="C669">
            <v>0.1</v>
          </cell>
        </row>
        <row r="670">
          <cell r="A670" t="str">
            <v>글로벌이코노믹</v>
          </cell>
          <cell r="B670" t="str">
            <v>13_인터넷포털</v>
          </cell>
          <cell r="C670">
            <v>0.1</v>
          </cell>
        </row>
        <row r="671">
          <cell r="A671" t="str">
            <v>한국무역신문</v>
          </cell>
          <cell r="B671" t="str">
            <v>13_인터넷포털</v>
          </cell>
          <cell r="C671">
            <v>0.1</v>
          </cell>
        </row>
        <row r="672">
          <cell r="A672" t="str">
            <v>경기신문</v>
          </cell>
          <cell r="B672" t="str">
            <v>09_지방일간지</v>
          </cell>
          <cell r="C672">
            <v>1.5</v>
          </cell>
        </row>
        <row r="673">
          <cell r="A673" t="str">
            <v>sk브로드밴드</v>
          </cell>
          <cell r="B673" t="str">
            <v>03_TV-케이블지방</v>
          </cell>
          <cell r="C673">
            <v>2.5</v>
          </cell>
        </row>
        <row r="674">
          <cell r="A674" t="str">
            <v>한스경제</v>
          </cell>
          <cell r="B674" t="str">
            <v>13_인터넷포털</v>
          </cell>
          <cell r="C674">
            <v>0.1</v>
          </cell>
        </row>
        <row r="675">
          <cell r="A675" t="str">
            <v>인더스트리뉴스</v>
          </cell>
          <cell r="B675" t="str">
            <v>13_인터넷포털</v>
          </cell>
          <cell r="C675">
            <v>0.1</v>
          </cell>
        </row>
        <row r="676">
          <cell r="A676" t="str">
            <v>TJB</v>
          </cell>
          <cell r="B676" t="str">
            <v>09_지방일간지</v>
          </cell>
          <cell r="C676">
            <v>1.5</v>
          </cell>
        </row>
        <row r="677">
          <cell r="A677" t="str">
            <v>쿡앤셰프</v>
          </cell>
          <cell r="B677" t="str">
            <v>13_인터넷포털</v>
          </cell>
          <cell r="C677">
            <v>0.1</v>
          </cell>
        </row>
        <row r="678">
          <cell r="A678" t="str">
            <v>베이비뉴스</v>
          </cell>
          <cell r="B678" t="str">
            <v>13_인터넷포털</v>
          </cell>
          <cell r="C678">
            <v>0.1</v>
          </cell>
        </row>
        <row r="679">
          <cell r="A679" t="str">
            <v>건강다이제스트</v>
          </cell>
          <cell r="B679" t="str">
            <v>13_인터넷포털</v>
          </cell>
          <cell r="C679">
            <v>0.1</v>
          </cell>
        </row>
        <row r="680">
          <cell r="A680" t="str">
            <v>라이프인</v>
          </cell>
          <cell r="B680" t="str">
            <v>13_인터넷포털</v>
          </cell>
          <cell r="C680">
            <v>0.1</v>
          </cell>
        </row>
      </sheetData>
      <sheetData sheetId="4">
        <row r="2">
          <cell r="A2" t="str">
            <v>1_기획조정과</v>
          </cell>
          <cell r="B2" t="str">
            <v>0_본원</v>
          </cell>
        </row>
        <row r="3">
          <cell r="A3" t="str">
            <v>2_운영지원과</v>
          </cell>
          <cell r="B3" t="str">
            <v>0_본원</v>
          </cell>
        </row>
        <row r="4">
          <cell r="A4" t="str">
            <v>3_기술지원과</v>
          </cell>
          <cell r="B4" t="str">
            <v>0_본원</v>
          </cell>
        </row>
        <row r="5">
          <cell r="A5" t="str">
            <v>4_가축질병방역과</v>
          </cell>
          <cell r="B5" t="str">
            <v>0_본원</v>
          </cell>
        </row>
        <row r="6">
          <cell r="A6" t="str">
            <v>5_가축유전자원센터</v>
          </cell>
          <cell r="B6" t="str">
            <v>0_본원</v>
          </cell>
        </row>
        <row r="7">
          <cell r="A7" t="str">
            <v>6_축산자원개발부이전추진팀</v>
          </cell>
          <cell r="B7" t="str">
            <v>0_본원</v>
          </cell>
        </row>
        <row r="8">
          <cell r="A8" t="str">
            <v>1_동물바이오유전체과</v>
          </cell>
          <cell r="B8" t="str">
            <v>1_축산생명환경부</v>
          </cell>
        </row>
        <row r="9">
          <cell r="A9" t="str">
            <v>2_동물유전체과</v>
          </cell>
          <cell r="B9" t="str">
            <v>1_축산생명환경부</v>
          </cell>
        </row>
        <row r="10">
          <cell r="A10" t="str">
            <v>3_축산푸드테크과</v>
          </cell>
          <cell r="B10" t="str">
            <v>1_축산생명환경부</v>
          </cell>
        </row>
        <row r="11">
          <cell r="A11" t="str">
            <v>4_스마트축산환경과</v>
          </cell>
          <cell r="B11" t="str">
            <v>1_축산생명환경부</v>
          </cell>
        </row>
        <row r="12">
          <cell r="A12" t="str">
            <v>5_가축정밀영양과</v>
          </cell>
          <cell r="B12" t="str">
            <v>1_축산생명환경부</v>
          </cell>
        </row>
        <row r="13">
          <cell r="A13" t="str">
            <v>6_동물복지과</v>
          </cell>
          <cell r="B13" t="str">
            <v>1_축산생명환경부</v>
          </cell>
        </row>
        <row r="14">
          <cell r="A14" t="str">
            <v>1_가축개량평가과</v>
          </cell>
          <cell r="B14" t="str">
            <v>2_축산자원개발부</v>
          </cell>
        </row>
        <row r="15">
          <cell r="A15" t="str">
            <v>2_낙농과</v>
          </cell>
          <cell r="B15" t="str">
            <v>2_축산자원개발부</v>
          </cell>
        </row>
        <row r="16">
          <cell r="A16" t="str">
            <v>3_양돈과</v>
          </cell>
          <cell r="B16" t="str">
            <v>2_축산자원개발부</v>
          </cell>
        </row>
        <row r="17">
          <cell r="A17" t="str">
            <v>4_조사료생산시스템과</v>
          </cell>
          <cell r="B17" t="str">
            <v>2_축산자원개발부</v>
          </cell>
        </row>
        <row r="18">
          <cell r="A18" t="str">
            <v>5_한우연구센터</v>
          </cell>
          <cell r="B18" t="str">
            <v>2_축산자원개발부</v>
          </cell>
        </row>
        <row r="19">
          <cell r="A19" t="str">
            <v>6_가금연구센터</v>
          </cell>
          <cell r="B19" t="str">
            <v>2_축산자원개발부</v>
          </cell>
        </row>
        <row r="20">
          <cell r="A20" t="str">
            <v>7_난지축산연구센터</v>
          </cell>
          <cell r="B20" t="str">
            <v>2_축산자원개발부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N1" sheet="2022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45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6.125" style="2" hidden="1" customWidth="1"/>
    <col min="4" max="4" width="15.25" style="2" customWidth="1"/>
    <col min="5" max="5" width="17.375" style="2" customWidth="1"/>
    <col min="6" max="6" width="12.25" style="1" customWidth="1"/>
    <col min="7" max="7" width="15.875" style="34" customWidth="1"/>
    <col min="8" max="8" width="63" style="2" customWidth="1"/>
    <col min="9" max="9" width="22.25" style="1" bestFit="1" customWidth="1"/>
    <col min="10" max="10" width="12.375" style="3" customWidth="1"/>
    <col min="11" max="11" width="9" style="26" bestFit="1" customWidth="1"/>
    <col min="12" max="12" width="15" style="2" customWidth="1"/>
    <col min="13" max="13" width="7.375" style="48" customWidth="1"/>
    <col min="14" max="14" width="11.5" style="1" customWidth="1"/>
    <col min="15" max="16384" width="9" style="1"/>
  </cols>
  <sheetData>
    <row r="1" spans="1:15" ht="12" customHeight="1" x14ac:dyDescent="0.3">
      <c r="A1" s="4" t="s">
        <v>0</v>
      </c>
      <c r="B1" s="4" t="s">
        <v>78</v>
      </c>
      <c r="C1" s="4" t="s">
        <v>728</v>
      </c>
      <c r="D1" s="4" t="s">
        <v>727</v>
      </c>
      <c r="E1" s="4" t="s">
        <v>3</v>
      </c>
      <c r="F1" s="4" t="s">
        <v>79</v>
      </c>
      <c r="G1" s="4" t="s">
        <v>80</v>
      </c>
      <c r="H1" s="4" t="s">
        <v>4</v>
      </c>
      <c r="I1" s="4" t="s">
        <v>81</v>
      </c>
      <c r="J1" s="5" t="s">
        <v>5</v>
      </c>
      <c r="K1" s="25" t="s">
        <v>6</v>
      </c>
      <c r="L1" s="4" t="s">
        <v>82</v>
      </c>
      <c r="M1" s="63" t="s">
        <v>83</v>
      </c>
      <c r="N1" s="6" t="s">
        <v>84</v>
      </c>
    </row>
    <row r="2" spans="1:15" ht="12" customHeight="1" x14ac:dyDescent="0.3">
      <c r="A2" s="1">
        <v>1</v>
      </c>
      <c r="B2" s="35" t="s">
        <v>29</v>
      </c>
      <c r="C2" s="35" t="str">
        <f t="shared" ref="C2:C14" si="0">E2</f>
        <v>2_낙농과</v>
      </c>
      <c r="D2" s="30" t="str">
        <f>IFERROR(VLOOKUP(C2,소속부서!$A$2:$B$20,2,FALSE), "")</f>
        <v>2_축산자원개발부</v>
      </c>
      <c r="E2" s="12" t="s">
        <v>21</v>
      </c>
      <c r="F2" s="37" t="s">
        <v>864</v>
      </c>
      <c r="G2" s="37" t="s">
        <v>863</v>
      </c>
      <c r="H2" s="40" t="s">
        <v>797</v>
      </c>
      <c r="I2" s="1" t="s">
        <v>798</v>
      </c>
      <c r="J2" s="3">
        <v>45875</v>
      </c>
      <c r="L2" s="36" t="str">
        <f>IFERROR(VLOOKUP(I2,보도매체!$A:$C,2,FALSE), "")</f>
        <v>07_중앙일간지</v>
      </c>
      <c r="M2" s="38">
        <f>IFERROR(VLOOKUP(I2,보도매체!$A:$C,3,FALSE), "")</f>
        <v>5</v>
      </c>
      <c r="N2" s="3">
        <v>45876</v>
      </c>
      <c r="O2" s="37"/>
    </row>
    <row r="3" spans="1:15" ht="12" customHeight="1" x14ac:dyDescent="0.3">
      <c r="A3" s="1">
        <v>2</v>
      </c>
      <c r="B3" s="35" t="s">
        <v>29</v>
      </c>
      <c r="C3" s="35" t="str">
        <f t="shared" si="0"/>
        <v>2_낙농과</v>
      </c>
      <c r="D3" s="30" t="str">
        <f>IFERROR(VLOOKUP(C3,소속부서!$A$2:$B$20,2,FALSE), "")</f>
        <v>2_축산자원개발부</v>
      </c>
      <c r="E3" s="12" t="s">
        <v>21</v>
      </c>
      <c r="F3" s="37" t="s">
        <v>864</v>
      </c>
      <c r="G3" s="37" t="s">
        <v>863</v>
      </c>
      <c r="H3" s="40" t="s">
        <v>799</v>
      </c>
      <c r="I3" s="1" t="s">
        <v>800</v>
      </c>
      <c r="J3" s="3">
        <v>45875</v>
      </c>
      <c r="L3" s="36" t="str">
        <f>IFERROR(VLOOKUP(I3,보도매체!$A:$C,2,FALSE), "")</f>
        <v>07_중앙일간지</v>
      </c>
      <c r="M3" s="38">
        <f>IFERROR(VLOOKUP(I3,보도매체!$A:$C,3,FALSE), "")</f>
        <v>5</v>
      </c>
      <c r="N3" s="3">
        <v>45876</v>
      </c>
      <c r="O3" s="37"/>
    </row>
    <row r="4" spans="1:15" ht="12" customHeight="1" x14ac:dyDescent="0.3">
      <c r="A4" s="1">
        <v>3</v>
      </c>
      <c r="B4" s="35" t="s">
        <v>29</v>
      </c>
      <c r="C4" s="35" t="str">
        <f t="shared" si="0"/>
        <v>2_낙농과</v>
      </c>
      <c r="D4" s="30" t="str">
        <f>IFERROR(VLOOKUP(C4,소속부서!$A$2:$B$20,2,FALSE), "")</f>
        <v>2_축산자원개발부</v>
      </c>
      <c r="E4" s="12" t="s">
        <v>21</v>
      </c>
      <c r="F4" s="37" t="s">
        <v>864</v>
      </c>
      <c r="G4" s="37" t="s">
        <v>863</v>
      </c>
      <c r="H4" s="40" t="s">
        <v>801</v>
      </c>
      <c r="I4" s="1" t="s">
        <v>802</v>
      </c>
      <c r="J4" s="3">
        <v>45875</v>
      </c>
      <c r="L4" s="36" t="str">
        <f>IFERROR(VLOOKUP(I4,보도매체!$A:$C,2,FALSE), "")</f>
        <v>09_지방일간지</v>
      </c>
      <c r="M4" s="38">
        <f>IFERROR(VLOOKUP(I4,보도매체!$A:$C,3,FALSE), "")</f>
        <v>1.5</v>
      </c>
      <c r="N4" s="3">
        <v>45876</v>
      </c>
    </row>
    <row r="5" spans="1:15" ht="12" customHeight="1" x14ac:dyDescent="0.3">
      <c r="A5" s="1">
        <v>4</v>
      </c>
      <c r="B5" s="35" t="s">
        <v>29</v>
      </c>
      <c r="C5" s="35" t="str">
        <f t="shared" si="0"/>
        <v>2_낙농과</v>
      </c>
      <c r="D5" s="30" t="str">
        <f>IFERROR(VLOOKUP(C5,소속부서!$A$2:$B$20,2,FALSE), "")</f>
        <v>2_축산자원개발부</v>
      </c>
      <c r="E5" s="12" t="s">
        <v>21</v>
      </c>
      <c r="F5" s="37" t="s">
        <v>864</v>
      </c>
      <c r="G5" s="37" t="s">
        <v>863</v>
      </c>
      <c r="H5" s="40" t="s">
        <v>803</v>
      </c>
      <c r="I5" s="1" t="s">
        <v>804</v>
      </c>
      <c r="J5" s="3">
        <v>45875</v>
      </c>
      <c r="L5" s="36" t="str">
        <f>IFERROR(VLOOKUP(I5,보도매체!$A:$C,2,FALSE), "")</f>
        <v>07_중앙일간지</v>
      </c>
      <c r="M5" s="38">
        <f>IFERROR(VLOOKUP(I5,보도매체!$A:$C,3,FALSE), "")</f>
        <v>5</v>
      </c>
      <c r="N5" s="3">
        <v>45876</v>
      </c>
      <c r="O5" s="37"/>
    </row>
    <row r="6" spans="1:15" ht="12" customHeight="1" x14ac:dyDescent="0.3">
      <c r="A6" s="1">
        <v>5</v>
      </c>
      <c r="B6" s="35" t="s">
        <v>29</v>
      </c>
      <c r="C6" s="35" t="str">
        <f t="shared" si="0"/>
        <v>2_낙농과</v>
      </c>
      <c r="D6" s="30" t="str">
        <f>IFERROR(VLOOKUP(C6,소속부서!$A$2:$B$20,2,FALSE), "")</f>
        <v>2_축산자원개발부</v>
      </c>
      <c r="E6" s="12" t="s">
        <v>21</v>
      </c>
      <c r="F6" s="37" t="s">
        <v>864</v>
      </c>
      <c r="G6" s="37" t="s">
        <v>863</v>
      </c>
      <c r="H6" s="40" t="s">
        <v>805</v>
      </c>
      <c r="I6" s="1" t="s">
        <v>806</v>
      </c>
      <c r="J6" s="3">
        <v>45875</v>
      </c>
      <c r="L6" s="36" t="str">
        <f>IFERROR(VLOOKUP(I6,보도매체!$A:$C,2,FALSE), "")</f>
        <v>07_중앙일간지</v>
      </c>
      <c r="M6" s="38">
        <f>IFERROR(VLOOKUP(I6,보도매체!$A:$C,3,FALSE), "")</f>
        <v>5</v>
      </c>
      <c r="N6" s="3">
        <v>45876</v>
      </c>
      <c r="O6" s="37"/>
    </row>
    <row r="7" spans="1:15" ht="12" customHeight="1" x14ac:dyDescent="0.3">
      <c r="A7" s="1">
        <v>6</v>
      </c>
      <c r="B7" s="35" t="s">
        <v>29</v>
      </c>
      <c r="C7" s="35" t="str">
        <f t="shared" si="0"/>
        <v>2_낙농과</v>
      </c>
      <c r="D7" s="30" t="str">
        <f>IFERROR(VLOOKUP(C7,소속부서!$A$2:$B$20,2,FALSE), "")</f>
        <v>2_축산자원개발부</v>
      </c>
      <c r="E7" s="12" t="s">
        <v>21</v>
      </c>
      <c r="F7" s="37" t="s">
        <v>864</v>
      </c>
      <c r="G7" s="37" t="s">
        <v>863</v>
      </c>
      <c r="H7" s="40" t="s">
        <v>807</v>
      </c>
      <c r="I7" s="1" t="s">
        <v>806</v>
      </c>
      <c r="J7" s="3">
        <v>45875</v>
      </c>
      <c r="L7" s="36" t="str">
        <f>IFERROR(VLOOKUP(I7,보도매체!$A:$C,2,FALSE), "")</f>
        <v>07_중앙일간지</v>
      </c>
      <c r="M7" s="38">
        <f>IFERROR(VLOOKUP(I7,보도매체!$A:$C,3,FALSE), "")</f>
        <v>5</v>
      </c>
      <c r="N7" s="3">
        <v>45876</v>
      </c>
      <c r="O7" s="37"/>
    </row>
    <row r="8" spans="1:15" ht="12" customHeight="1" x14ac:dyDescent="0.3">
      <c r="A8" s="1">
        <v>7</v>
      </c>
      <c r="B8" s="35" t="s">
        <v>29</v>
      </c>
      <c r="C8" s="35" t="str">
        <f t="shared" si="0"/>
        <v>1_가축개량평가과</v>
      </c>
      <c r="D8" s="30" t="str">
        <f>IFERROR(VLOOKUP(C8,소속부서!$A$2:$B$20,2,FALSE), "")</f>
        <v>2_축산자원개발부</v>
      </c>
      <c r="E8" s="12" t="s">
        <v>20</v>
      </c>
      <c r="F8" s="37" t="s">
        <v>865</v>
      </c>
      <c r="G8" s="37"/>
      <c r="H8" s="40" t="s">
        <v>808</v>
      </c>
      <c r="I8" s="1" t="s">
        <v>809</v>
      </c>
      <c r="J8" s="3">
        <v>45875</v>
      </c>
      <c r="K8" s="26">
        <v>3</v>
      </c>
      <c r="L8" s="36" t="str">
        <f>IFERROR(VLOOKUP(I8,보도매체!$A:$C,2,FALSE), "")</f>
        <v>09_지방일간지</v>
      </c>
      <c r="M8" s="38">
        <f>IFERROR(VLOOKUP(I8,보도매체!$A:$C,3,FALSE), "")</f>
        <v>1.5</v>
      </c>
      <c r="N8" s="3">
        <v>45876</v>
      </c>
      <c r="O8" s="37"/>
    </row>
    <row r="9" spans="1:15" ht="12" customHeight="1" x14ac:dyDescent="0.3">
      <c r="A9" s="1">
        <v>8</v>
      </c>
      <c r="B9" s="35" t="s">
        <v>29</v>
      </c>
      <c r="C9" s="35" t="str">
        <f t="shared" si="0"/>
        <v>1_가축개량평가과</v>
      </c>
      <c r="D9" s="30" t="str">
        <f>IFERROR(VLOOKUP(C9,소속부서!$A$2:$B$20,2,FALSE), "")</f>
        <v>2_축산자원개발부</v>
      </c>
      <c r="E9" s="12" t="s">
        <v>20</v>
      </c>
      <c r="F9" s="37" t="s">
        <v>865</v>
      </c>
      <c r="G9" s="37"/>
      <c r="H9" s="40" t="s">
        <v>810</v>
      </c>
      <c r="I9" s="1" t="s">
        <v>811</v>
      </c>
      <c r="J9" s="3">
        <v>45875</v>
      </c>
      <c r="K9" s="26">
        <v>1</v>
      </c>
      <c r="L9" s="36" t="str">
        <f>IFERROR(VLOOKUP(I9,보도매체!$A:$C,2,FALSE), "")</f>
        <v>09_지방일간지</v>
      </c>
      <c r="M9" s="38">
        <f>IFERROR(VLOOKUP(I9,보도매체!$A:$C,3,FALSE), "")</f>
        <v>1.5</v>
      </c>
      <c r="N9" s="3">
        <v>45876</v>
      </c>
      <c r="O9" s="37"/>
    </row>
    <row r="10" spans="1:15" ht="12" customHeight="1" x14ac:dyDescent="0.3">
      <c r="A10" s="1">
        <v>9</v>
      </c>
      <c r="B10" s="35" t="s">
        <v>29</v>
      </c>
      <c r="C10" s="35" t="str">
        <f t="shared" si="0"/>
        <v>1_가축개량평가과</v>
      </c>
      <c r="D10" s="30" t="str">
        <f>IFERROR(VLOOKUP(C10,소속부서!$A$2:$B$20,2,FALSE), "")</f>
        <v>2_축산자원개발부</v>
      </c>
      <c r="E10" s="12" t="s">
        <v>20</v>
      </c>
      <c r="F10" s="37" t="s">
        <v>865</v>
      </c>
      <c r="G10" s="37"/>
      <c r="H10" s="40" t="s">
        <v>812</v>
      </c>
      <c r="I10" s="1" t="s">
        <v>813</v>
      </c>
      <c r="J10" s="3">
        <v>45875</v>
      </c>
      <c r="K10" s="26">
        <v>11</v>
      </c>
      <c r="L10" s="36" t="str">
        <f>IFERROR(VLOOKUP(I10,보도매체!$A:$C,2,FALSE), "")</f>
        <v>09_지방일간지</v>
      </c>
      <c r="M10" s="38">
        <f>IFERROR(VLOOKUP(I10,보도매체!$A:$C,3,FALSE), "")</f>
        <v>1.5</v>
      </c>
      <c r="N10" s="3">
        <v>45876</v>
      </c>
      <c r="O10" s="37"/>
    </row>
    <row r="11" spans="1:15" ht="12" customHeight="1" x14ac:dyDescent="0.3">
      <c r="A11" s="1">
        <v>10</v>
      </c>
      <c r="B11" s="35" t="s">
        <v>29</v>
      </c>
      <c r="C11" s="35" t="str">
        <f t="shared" si="0"/>
        <v>1_가축개량평가과</v>
      </c>
      <c r="D11" s="30" t="str">
        <f>IFERROR(VLOOKUP(C11,소속부서!$A$2:$B$20,2,FALSE), "")</f>
        <v>2_축산자원개발부</v>
      </c>
      <c r="E11" s="12" t="s">
        <v>20</v>
      </c>
      <c r="F11" s="37" t="s">
        <v>865</v>
      </c>
      <c r="G11" s="37"/>
      <c r="H11" s="40" t="s">
        <v>814</v>
      </c>
      <c r="I11" s="1" t="s">
        <v>815</v>
      </c>
      <c r="J11" s="3">
        <v>45875</v>
      </c>
      <c r="K11" s="26">
        <v>1</v>
      </c>
      <c r="L11" s="36" t="str">
        <f>IFERROR(VLOOKUP(I11,보도매체!$A:$C,2,FALSE), "")</f>
        <v>11_기타(지역주간지)</v>
      </c>
      <c r="M11" s="38">
        <f>IFERROR(VLOOKUP(I11,보도매체!$A:$C,3,FALSE), "")</f>
        <v>0.5</v>
      </c>
      <c r="N11" s="3">
        <v>45876</v>
      </c>
      <c r="O11" s="37"/>
    </row>
    <row r="12" spans="1:15" ht="12" customHeight="1" x14ac:dyDescent="0.3">
      <c r="A12" s="1">
        <v>11</v>
      </c>
      <c r="B12" s="35" t="s">
        <v>29</v>
      </c>
      <c r="C12" s="35" t="str">
        <f t="shared" si="0"/>
        <v>1_가축개량평가과</v>
      </c>
      <c r="D12" s="30" t="str">
        <f>IFERROR(VLOOKUP(C12,소속부서!$A$2:$B$20,2,FALSE), "")</f>
        <v>2_축산자원개발부</v>
      </c>
      <c r="E12" s="12" t="s">
        <v>20</v>
      </c>
      <c r="F12" s="37" t="s">
        <v>865</v>
      </c>
      <c r="G12" s="37"/>
      <c r="H12" s="40" t="s">
        <v>816</v>
      </c>
      <c r="I12" s="1" t="s">
        <v>817</v>
      </c>
      <c r="J12" s="3">
        <v>45875</v>
      </c>
      <c r="K12" s="26">
        <v>2</v>
      </c>
      <c r="L12" s="36" t="str">
        <f>IFERROR(VLOOKUP(I12,보도매체!$A:$C,2,FALSE), "")</f>
        <v>09_지방일간지</v>
      </c>
      <c r="M12" s="38">
        <f>IFERROR(VLOOKUP(I12,보도매체!$A:$C,3,FALSE), "")</f>
        <v>1.5</v>
      </c>
      <c r="N12" s="3">
        <v>45876</v>
      </c>
      <c r="O12" s="37"/>
    </row>
    <row r="13" spans="1:15" ht="12" customHeight="1" x14ac:dyDescent="0.3">
      <c r="A13" s="1">
        <v>12</v>
      </c>
      <c r="B13" s="35" t="s">
        <v>29</v>
      </c>
      <c r="C13" s="35" t="str">
        <f t="shared" si="0"/>
        <v>1_가축개량평가과</v>
      </c>
      <c r="D13" s="30" t="str">
        <f>IFERROR(VLOOKUP(C13,소속부서!$A$2:$B$20,2,FALSE), "")</f>
        <v>2_축산자원개발부</v>
      </c>
      <c r="E13" s="12" t="s">
        <v>20</v>
      </c>
      <c r="F13" s="37" t="s">
        <v>865</v>
      </c>
      <c r="G13" s="37"/>
      <c r="H13" s="40" t="s">
        <v>818</v>
      </c>
      <c r="I13" s="1" t="s">
        <v>819</v>
      </c>
      <c r="J13" s="3">
        <v>45875</v>
      </c>
      <c r="K13" s="26">
        <v>2</v>
      </c>
      <c r="L13" s="36" t="str">
        <f>IFERROR(VLOOKUP(I13,보도매체!$A:$C,2,FALSE), "")</f>
        <v>11_기타(지역주간지)</v>
      </c>
      <c r="M13" s="38">
        <f>IFERROR(VLOOKUP(I13,보도매체!$A:$C,3,FALSE), "")</f>
        <v>0.5</v>
      </c>
      <c r="N13" s="3">
        <v>45876</v>
      </c>
    </row>
    <row r="14" spans="1:15" ht="12" customHeight="1" x14ac:dyDescent="0.3">
      <c r="A14" s="1">
        <v>13</v>
      </c>
      <c r="B14" s="35" t="s">
        <v>29</v>
      </c>
      <c r="C14" s="35" t="str">
        <f t="shared" si="0"/>
        <v>2_낙농과</v>
      </c>
      <c r="D14" s="30" t="str">
        <f>IFERROR(VLOOKUP(C14,소속부서!$A$2:$B$20,2,FALSE), "")</f>
        <v>2_축산자원개발부</v>
      </c>
      <c r="E14" s="12" t="s">
        <v>21</v>
      </c>
      <c r="F14" s="37" t="s">
        <v>864</v>
      </c>
      <c r="G14" s="37" t="s">
        <v>863</v>
      </c>
      <c r="H14" s="40" t="s">
        <v>820</v>
      </c>
      <c r="I14" s="1" t="s">
        <v>821</v>
      </c>
      <c r="J14" s="3">
        <v>45875</v>
      </c>
      <c r="L14" s="36" t="str">
        <f>IFERROR(VLOOKUP(I14,보도매체!$A:$C,2,FALSE), "")</f>
        <v>13_인터넷포털</v>
      </c>
      <c r="M14" s="38">
        <f>IFERROR(VLOOKUP(I14,보도매체!$A:$C,3,FALSE), "")</f>
        <v>0.1</v>
      </c>
      <c r="N14" s="3">
        <v>45876</v>
      </c>
      <c r="O14" s="37"/>
    </row>
    <row r="15" spans="1:15" ht="12" customHeight="1" x14ac:dyDescent="0.3">
      <c r="A15" s="1">
        <v>14</v>
      </c>
      <c r="B15" s="35" t="s">
        <v>29</v>
      </c>
      <c r="C15" s="35" t="str">
        <f t="shared" ref="C15:C64" si="1">E15</f>
        <v>2_낙농과</v>
      </c>
      <c r="D15" s="30" t="str">
        <f>IFERROR(VLOOKUP(C15,소속부서!$A$2:$B$20,2,FALSE), "")</f>
        <v>2_축산자원개발부</v>
      </c>
      <c r="E15" s="12" t="s">
        <v>21</v>
      </c>
      <c r="F15" s="37" t="s">
        <v>864</v>
      </c>
      <c r="G15" s="37" t="s">
        <v>863</v>
      </c>
      <c r="H15" s="40" t="s">
        <v>822</v>
      </c>
      <c r="I15" s="1" t="s">
        <v>824</v>
      </c>
      <c r="J15" s="3">
        <v>45875</v>
      </c>
      <c r="L15" s="36" t="str">
        <f>IFERROR(VLOOKUP(I15,보도매체!$A:$C,2,FALSE), "")</f>
        <v>13_인터넷포털</v>
      </c>
      <c r="M15" s="38">
        <f>IFERROR(VLOOKUP(I15,보도매체!$A:$C,3,FALSE), "")</f>
        <v>0.1</v>
      </c>
      <c r="N15" s="3">
        <v>45876</v>
      </c>
      <c r="O15" s="37"/>
    </row>
    <row r="16" spans="1:15" ht="12" customHeight="1" x14ac:dyDescent="0.3">
      <c r="A16" s="1">
        <v>15</v>
      </c>
      <c r="B16" s="35" t="s">
        <v>29</v>
      </c>
      <c r="C16" s="35" t="str">
        <f t="shared" si="1"/>
        <v>4_조사료생산시스템과</v>
      </c>
      <c r="D16" s="30" t="str">
        <f>IFERROR(VLOOKUP(C16,소속부서!$A$2:$B$20,2,FALSE), "")</f>
        <v>2_축산자원개발부</v>
      </c>
      <c r="E16" s="12" t="s">
        <v>862</v>
      </c>
      <c r="F16" s="37" t="s">
        <v>861</v>
      </c>
      <c r="G16" s="37" t="s">
        <v>860</v>
      </c>
      <c r="H16" s="40" t="s">
        <v>825</v>
      </c>
      <c r="I16" s="1" t="s">
        <v>826</v>
      </c>
      <c r="J16" s="3">
        <v>45875</v>
      </c>
      <c r="L16" s="36" t="str">
        <f>IFERROR(VLOOKUP(I16,보도매체!$A:$C,2,FALSE), "")</f>
        <v>10_주간지</v>
      </c>
      <c r="M16" s="38">
        <f>IFERROR(VLOOKUP(I16,보도매체!$A:$C,3,FALSE), "")</f>
        <v>1</v>
      </c>
      <c r="N16" s="3">
        <v>45876</v>
      </c>
      <c r="O16" s="37"/>
    </row>
    <row r="17" spans="1:14" ht="12" customHeight="1" x14ac:dyDescent="0.3">
      <c r="A17" s="1">
        <v>16</v>
      </c>
      <c r="B17" s="35" t="s">
        <v>29</v>
      </c>
      <c r="C17" s="35" t="str">
        <f t="shared" si="1"/>
        <v>2_낙농과</v>
      </c>
      <c r="D17" s="30" t="str">
        <f>IFERROR(VLOOKUP(C17,소속부서!$A$2:$B$20,2,FALSE), "")</f>
        <v>2_축산자원개발부</v>
      </c>
      <c r="E17" s="12" t="s">
        <v>21</v>
      </c>
      <c r="F17" s="37" t="s">
        <v>864</v>
      </c>
      <c r="G17" s="37" t="s">
        <v>863</v>
      </c>
      <c r="H17" s="40" t="s">
        <v>827</v>
      </c>
      <c r="I17" s="1" t="s">
        <v>828</v>
      </c>
      <c r="J17" s="3">
        <v>45875</v>
      </c>
      <c r="L17" s="36" t="str">
        <f>IFERROR(VLOOKUP(I17,보도매체!$A:$C,2,FALSE), "")</f>
        <v>01_TV-중앙</v>
      </c>
      <c r="M17" s="38">
        <f>IFERROR(VLOOKUP(I17,보도매체!$A:$C,3,FALSE), "")</f>
        <v>8</v>
      </c>
      <c r="N17" s="3">
        <v>45876</v>
      </c>
    </row>
    <row r="18" spans="1:14" ht="12" customHeight="1" x14ac:dyDescent="0.3">
      <c r="A18" s="1">
        <v>17</v>
      </c>
      <c r="B18" s="35" t="s">
        <v>29</v>
      </c>
      <c r="C18" s="35" t="str">
        <f t="shared" si="1"/>
        <v>4_조사료생산시스템과</v>
      </c>
      <c r="D18" s="30" t="str">
        <f>IFERROR(VLOOKUP(C18,소속부서!$A$2:$B$20,2,FALSE), "")</f>
        <v>2_축산자원개발부</v>
      </c>
      <c r="E18" s="12" t="s">
        <v>862</v>
      </c>
      <c r="F18" s="37" t="s">
        <v>861</v>
      </c>
      <c r="G18" s="37" t="s">
        <v>860</v>
      </c>
      <c r="H18" s="40" t="s">
        <v>829</v>
      </c>
      <c r="I18" s="1" t="s">
        <v>830</v>
      </c>
      <c r="J18" s="3">
        <v>45875</v>
      </c>
      <c r="L18" s="36" t="str">
        <f>IFERROR(VLOOKUP(I18,보도매체!$A:$C,2,FALSE), "")</f>
        <v>07_중앙일간지</v>
      </c>
      <c r="M18" s="38">
        <f>IFERROR(VLOOKUP(I18,보도매체!$A:$C,3,FALSE), "")</f>
        <v>5</v>
      </c>
      <c r="N18" s="3">
        <v>45876</v>
      </c>
    </row>
    <row r="19" spans="1:14" ht="12" customHeight="1" x14ac:dyDescent="0.3">
      <c r="A19" s="1">
        <v>18</v>
      </c>
      <c r="B19" s="35" t="s">
        <v>29</v>
      </c>
      <c r="C19" s="35" t="str">
        <f t="shared" si="1"/>
        <v>2_낙농과</v>
      </c>
      <c r="D19" s="30" t="str">
        <f>IFERROR(VLOOKUP(C19,소속부서!$A$2:$B$20,2,FALSE), "")</f>
        <v>2_축산자원개발부</v>
      </c>
      <c r="E19" s="12" t="s">
        <v>21</v>
      </c>
      <c r="F19" s="37" t="s">
        <v>864</v>
      </c>
      <c r="G19" s="37" t="s">
        <v>863</v>
      </c>
      <c r="H19" s="40" t="s">
        <v>831</v>
      </c>
      <c r="I19" s="1" t="s">
        <v>832</v>
      </c>
      <c r="J19" s="3">
        <v>45875</v>
      </c>
      <c r="L19" s="36" t="str">
        <f>IFERROR(VLOOKUP(I19,보도매체!$A:$C,2,FALSE), "")</f>
        <v>09_지방일간지</v>
      </c>
      <c r="M19" s="38">
        <f>IFERROR(VLOOKUP(I19,보도매체!$A:$C,3,FALSE), "")</f>
        <v>1.5</v>
      </c>
      <c r="N19" s="3">
        <v>45876</v>
      </c>
    </row>
    <row r="20" spans="1:14" ht="12" customHeight="1" x14ac:dyDescent="0.3">
      <c r="A20" s="1">
        <v>19</v>
      </c>
      <c r="B20" s="35" t="s">
        <v>29</v>
      </c>
      <c r="C20" s="35" t="str">
        <f t="shared" si="1"/>
        <v>4_조사료생산시스템과</v>
      </c>
      <c r="D20" s="30" t="str">
        <f>IFERROR(VLOOKUP(C20,소속부서!$A$2:$B$20,2,FALSE), "")</f>
        <v>2_축산자원개발부</v>
      </c>
      <c r="E20" s="12" t="s">
        <v>862</v>
      </c>
      <c r="F20" s="37" t="s">
        <v>861</v>
      </c>
      <c r="G20" s="37" t="s">
        <v>860</v>
      </c>
      <c r="H20" s="40" t="s">
        <v>833</v>
      </c>
      <c r="I20" s="1" t="s">
        <v>834</v>
      </c>
      <c r="J20" s="3">
        <v>45875</v>
      </c>
      <c r="L20" s="36" t="str">
        <f>IFERROR(VLOOKUP(I20,보도매체!$A:$C,2,FALSE), "")</f>
        <v>13_인터넷포털</v>
      </c>
      <c r="M20" s="38">
        <f>IFERROR(VLOOKUP(I20,보도매체!$A:$C,3,FALSE), "")</f>
        <v>0.1</v>
      </c>
      <c r="N20" s="3">
        <v>45876</v>
      </c>
    </row>
    <row r="21" spans="1:14" ht="12" customHeight="1" x14ac:dyDescent="0.3">
      <c r="A21" s="1">
        <v>20</v>
      </c>
      <c r="B21" s="35" t="s">
        <v>29</v>
      </c>
      <c r="C21" s="35" t="str">
        <f t="shared" si="1"/>
        <v>2_낙농과</v>
      </c>
      <c r="D21" s="30" t="str">
        <f>IFERROR(VLOOKUP(C21,소속부서!$A$2:$B$20,2,FALSE), "")</f>
        <v>2_축산자원개발부</v>
      </c>
      <c r="E21" s="12" t="s">
        <v>21</v>
      </c>
      <c r="F21" s="37" t="s">
        <v>864</v>
      </c>
      <c r="G21" s="37" t="s">
        <v>863</v>
      </c>
      <c r="H21" s="40" t="s">
        <v>835</v>
      </c>
      <c r="I21" s="1" t="s">
        <v>836</v>
      </c>
      <c r="J21" s="3">
        <v>45875</v>
      </c>
      <c r="L21" s="36" t="str">
        <f>IFERROR(VLOOKUP(I21,보도매체!$A:$C,2,FALSE), "")</f>
        <v>13_인터넷포털</v>
      </c>
      <c r="M21" s="38">
        <f>IFERROR(VLOOKUP(I21,보도매체!$A:$C,3,FALSE), "")</f>
        <v>0.1</v>
      </c>
      <c r="N21" s="3">
        <v>45876</v>
      </c>
    </row>
    <row r="22" spans="1:14" ht="12" customHeight="1" x14ac:dyDescent="0.3">
      <c r="A22" s="1">
        <v>21</v>
      </c>
      <c r="B22" s="35" t="s">
        <v>29</v>
      </c>
      <c r="C22" s="35" t="str">
        <f t="shared" si="1"/>
        <v>4_조사료생산시스템과</v>
      </c>
      <c r="D22" s="30" t="str">
        <f>IFERROR(VLOOKUP(C22,소속부서!$A$2:$B$20,2,FALSE), "")</f>
        <v>2_축산자원개발부</v>
      </c>
      <c r="E22" s="12" t="s">
        <v>862</v>
      </c>
      <c r="F22" s="37" t="s">
        <v>861</v>
      </c>
      <c r="G22" s="37" t="s">
        <v>860</v>
      </c>
      <c r="H22" s="40" t="s">
        <v>837</v>
      </c>
      <c r="I22" s="1" t="s">
        <v>838</v>
      </c>
      <c r="J22" s="3">
        <v>45875</v>
      </c>
      <c r="L22" s="36" t="str">
        <f>IFERROR(VLOOKUP(I22,보도매체!$A:$C,2,FALSE), "")</f>
        <v>08_기타일간지</v>
      </c>
      <c r="M22" s="38">
        <f>IFERROR(VLOOKUP(I22,보도매체!$A:$C,3,FALSE), "")</f>
        <v>2</v>
      </c>
      <c r="N22" s="3">
        <v>45876</v>
      </c>
    </row>
    <row r="23" spans="1:14" ht="12" customHeight="1" x14ac:dyDescent="0.3">
      <c r="A23" s="1">
        <v>22</v>
      </c>
      <c r="B23" s="35" t="s">
        <v>29</v>
      </c>
      <c r="C23" s="35" t="str">
        <f t="shared" si="1"/>
        <v>4_조사료생산시스템과</v>
      </c>
      <c r="D23" s="30" t="str">
        <f>IFERROR(VLOOKUP(C23,소속부서!$A$2:$B$20,2,FALSE), "")</f>
        <v>2_축산자원개발부</v>
      </c>
      <c r="E23" s="12" t="s">
        <v>862</v>
      </c>
      <c r="F23" s="37" t="s">
        <v>861</v>
      </c>
      <c r="G23" s="37" t="s">
        <v>860</v>
      </c>
      <c r="H23" s="40" t="s">
        <v>840</v>
      </c>
      <c r="I23" s="1" t="s">
        <v>839</v>
      </c>
      <c r="J23" s="3">
        <v>45875</v>
      </c>
      <c r="L23" s="36" t="str">
        <f>IFERROR(VLOOKUP(I23,보도매체!$A:$C,2,FALSE), "")</f>
        <v>13_인터넷포털</v>
      </c>
      <c r="M23" s="38">
        <f>IFERROR(VLOOKUP(I23,보도매체!$A:$C,3,FALSE), "")</f>
        <v>0.1</v>
      </c>
      <c r="N23" s="3">
        <v>45876</v>
      </c>
    </row>
    <row r="24" spans="1:14" ht="12" customHeight="1" x14ac:dyDescent="0.3">
      <c r="A24" s="1">
        <v>23</v>
      </c>
      <c r="B24" s="35" t="s">
        <v>29</v>
      </c>
      <c r="C24" s="35" t="str">
        <f t="shared" si="1"/>
        <v>2_낙농과</v>
      </c>
      <c r="D24" s="30" t="str">
        <f>IFERROR(VLOOKUP(C24,소속부서!$A$2:$B$20,2,FALSE), "")</f>
        <v>2_축산자원개발부</v>
      </c>
      <c r="E24" s="12" t="s">
        <v>21</v>
      </c>
      <c r="F24" s="37" t="s">
        <v>864</v>
      </c>
      <c r="G24" s="37" t="s">
        <v>863</v>
      </c>
      <c r="H24" s="40" t="s">
        <v>841</v>
      </c>
      <c r="I24" s="1" t="s">
        <v>842</v>
      </c>
      <c r="J24" s="3">
        <v>45875</v>
      </c>
      <c r="L24" s="36" t="str">
        <f>IFERROR(VLOOKUP(I24,보도매체!$A:$C,2,FALSE), "")</f>
        <v>13_인터넷포털</v>
      </c>
      <c r="M24" s="38">
        <f>IFERROR(VLOOKUP(I24,보도매체!$A:$C,3,FALSE), "")</f>
        <v>0.1</v>
      </c>
      <c r="N24" s="3">
        <v>45876</v>
      </c>
    </row>
    <row r="25" spans="1:14" ht="11.25" customHeight="1" x14ac:dyDescent="0.3">
      <c r="A25" s="1">
        <v>24</v>
      </c>
      <c r="B25" s="35" t="s">
        <v>29</v>
      </c>
      <c r="C25" s="35" t="str">
        <f t="shared" si="1"/>
        <v>4_조사료생산시스템과</v>
      </c>
      <c r="D25" s="30" t="str">
        <f>IFERROR(VLOOKUP(C25,소속부서!$A$2:$B$20,2,FALSE), "")</f>
        <v>2_축산자원개발부</v>
      </c>
      <c r="E25" s="12" t="s">
        <v>862</v>
      </c>
      <c r="F25" s="37" t="s">
        <v>861</v>
      </c>
      <c r="G25" s="37" t="s">
        <v>860</v>
      </c>
      <c r="H25" s="40" t="s">
        <v>843</v>
      </c>
      <c r="I25" s="1" t="s">
        <v>844</v>
      </c>
      <c r="J25" s="3">
        <v>45875</v>
      </c>
      <c r="L25" s="36" t="str">
        <f>IFERROR(VLOOKUP(I25,보도매체!$A:$C,2,FALSE), "")</f>
        <v>09_지방일간지</v>
      </c>
      <c r="M25" s="38">
        <f>IFERROR(VLOOKUP(I25,보도매체!$A:$C,3,FALSE), "")</f>
        <v>1.5</v>
      </c>
      <c r="N25" s="3">
        <v>45876</v>
      </c>
    </row>
    <row r="26" spans="1:14" ht="12" customHeight="1" x14ac:dyDescent="0.3">
      <c r="A26" s="1">
        <v>25</v>
      </c>
      <c r="B26" s="35" t="s">
        <v>29</v>
      </c>
      <c r="C26" s="35" t="str">
        <f t="shared" si="1"/>
        <v>2_낙농과</v>
      </c>
      <c r="D26" s="30" t="str">
        <f>IFERROR(VLOOKUP(C26,소속부서!$A$2:$B$20,2,FALSE), "")</f>
        <v>2_축산자원개발부</v>
      </c>
      <c r="E26" s="12" t="s">
        <v>21</v>
      </c>
      <c r="F26" s="37" t="s">
        <v>864</v>
      </c>
      <c r="G26" s="37" t="s">
        <v>863</v>
      </c>
      <c r="H26" s="40" t="s">
        <v>845</v>
      </c>
      <c r="I26" s="1" t="s">
        <v>846</v>
      </c>
      <c r="J26" s="3">
        <v>45875</v>
      </c>
      <c r="L26" s="36" t="str">
        <f>IFERROR(VLOOKUP(I26,보도매체!$A:$C,2,FALSE), "")</f>
        <v>09_지방일간지</v>
      </c>
      <c r="M26" s="38">
        <f>IFERROR(VLOOKUP(I26,보도매체!$A:$C,3,FALSE), "")</f>
        <v>1.5</v>
      </c>
      <c r="N26" s="3">
        <v>45876</v>
      </c>
    </row>
    <row r="27" spans="1:14" ht="12" customHeight="1" x14ac:dyDescent="0.3">
      <c r="A27" s="1">
        <v>26</v>
      </c>
      <c r="B27" s="35" t="s">
        <v>29</v>
      </c>
      <c r="C27" s="35" t="str">
        <f t="shared" si="1"/>
        <v>2_낙농과</v>
      </c>
      <c r="D27" s="30" t="str">
        <f>IFERROR(VLOOKUP(C27,소속부서!$A$2:$B$20,2,FALSE), "")</f>
        <v>2_축산자원개발부</v>
      </c>
      <c r="E27" s="12" t="s">
        <v>21</v>
      </c>
      <c r="F27" s="37" t="s">
        <v>864</v>
      </c>
      <c r="G27" s="37" t="s">
        <v>863</v>
      </c>
      <c r="H27" s="40" t="s">
        <v>847</v>
      </c>
      <c r="I27" s="1" t="s">
        <v>848</v>
      </c>
      <c r="J27" s="3">
        <v>45875</v>
      </c>
      <c r="L27" s="36" t="str">
        <f>IFERROR(VLOOKUP(I27,보도매체!$A:$C,2,FALSE), "")</f>
        <v>09_지방일간지</v>
      </c>
      <c r="M27" s="38">
        <f>IFERROR(VLOOKUP(I27,보도매체!$A:$C,3,FALSE), "")</f>
        <v>1.5</v>
      </c>
      <c r="N27" s="3">
        <v>45876</v>
      </c>
    </row>
    <row r="28" spans="1:14" ht="12" customHeight="1" x14ac:dyDescent="0.3">
      <c r="A28" s="1">
        <v>27</v>
      </c>
      <c r="B28" s="35" t="s">
        <v>29</v>
      </c>
      <c r="C28" s="35" t="str">
        <f t="shared" si="1"/>
        <v>4_조사료생산시스템과</v>
      </c>
      <c r="D28" s="30" t="str">
        <f>IFERROR(VLOOKUP(C28,소속부서!$A$2:$B$20,2,FALSE), "")</f>
        <v>2_축산자원개발부</v>
      </c>
      <c r="E28" s="12" t="s">
        <v>862</v>
      </c>
      <c r="F28" s="37" t="s">
        <v>861</v>
      </c>
      <c r="G28" s="37" t="s">
        <v>860</v>
      </c>
      <c r="H28" s="40" t="s">
        <v>849</v>
      </c>
      <c r="I28" s="1" t="s">
        <v>850</v>
      </c>
      <c r="J28" s="3">
        <v>45875</v>
      </c>
      <c r="L28" s="36" t="str">
        <f>IFERROR(VLOOKUP(I28,보도매체!$A:$C,2,FALSE), "")</f>
        <v>09_지방일간지</v>
      </c>
      <c r="M28" s="38">
        <f>IFERROR(VLOOKUP(I28,보도매체!$A:$C,3,FALSE), "")</f>
        <v>1.5</v>
      </c>
      <c r="N28" s="3">
        <v>45876</v>
      </c>
    </row>
    <row r="29" spans="1:14" ht="12" customHeight="1" x14ac:dyDescent="0.3">
      <c r="A29" s="1">
        <v>28</v>
      </c>
      <c r="B29" s="35" t="s">
        <v>29</v>
      </c>
      <c r="C29" s="35" t="str">
        <f t="shared" si="1"/>
        <v>3_축산푸드테크과</v>
      </c>
      <c r="D29" s="30" t="str">
        <f>IFERROR(VLOOKUP(C29,소속부서!$A$2:$B$20,2,FALSE), "")</f>
        <v>1_축산생명환경부</v>
      </c>
      <c r="E29" s="12" t="s">
        <v>859</v>
      </c>
      <c r="F29" s="37" t="s">
        <v>858</v>
      </c>
      <c r="G29" s="37" t="s">
        <v>857</v>
      </c>
      <c r="H29" s="40" t="s">
        <v>851</v>
      </c>
      <c r="I29" s="1" t="s">
        <v>798</v>
      </c>
      <c r="J29" s="3">
        <v>45876</v>
      </c>
      <c r="L29" s="36" t="str">
        <f>IFERROR(VLOOKUP(I29,보도매체!$A:$C,2,FALSE), "")</f>
        <v>07_중앙일간지</v>
      </c>
      <c r="M29" s="38">
        <f>IFERROR(VLOOKUP(I29,보도매체!$A:$C,3,FALSE), "")</f>
        <v>5</v>
      </c>
      <c r="N29" s="3">
        <v>45876</v>
      </c>
    </row>
    <row r="30" spans="1:14" ht="12" customHeight="1" x14ac:dyDescent="0.3">
      <c r="A30" s="1">
        <v>29</v>
      </c>
      <c r="B30" s="35" t="s">
        <v>29</v>
      </c>
      <c r="C30" s="35" t="str">
        <f t="shared" si="1"/>
        <v>3_축산푸드테크과</v>
      </c>
      <c r="D30" s="30" t="str">
        <f>IFERROR(VLOOKUP(C30,소속부서!$A$2:$B$20,2,FALSE), "")</f>
        <v>1_축산생명환경부</v>
      </c>
      <c r="E30" s="12" t="s">
        <v>859</v>
      </c>
      <c r="F30" s="37" t="s">
        <v>858</v>
      </c>
      <c r="G30" s="37" t="s">
        <v>857</v>
      </c>
      <c r="H30" s="40" t="s">
        <v>852</v>
      </c>
      <c r="I30" s="1" t="s">
        <v>821</v>
      </c>
      <c r="J30" s="3">
        <v>45876</v>
      </c>
      <c r="L30" s="36" t="str">
        <f>IFERROR(VLOOKUP(I30,보도매체!$A:$C,2,FALSE), "")</f>
        <v>13_인터넷포털</v>
      </c>
      <c r="M30" s="38">
        <f>IFERROR(VLOOKUP(I30,보도매체!$A:$C,3,FALSE), "")</f>
        <v>0.1</v>
      </c>
      <c r="N30" s="3">
        <v>45876</v>
      </c>
    </row>
    <row r="31" spans="1:14" ht="12" customHeight="1" x14ac:dyDescent="0.3">
      <c r="A31" s="1">
        <v>30</v>
      </c>
      <c r="B31" s="35" t="s">
        <v>29</v>
      </c>
      <c r="C31" s="35" t="str">
        <f t="shared" si="1"/>
        <v>3_축산푸드테크과</v>
      </c>
      <c r="D31" s="30" t="str">
        <f>IFERROR(VLOOKUP(C31,소속부서!$A$2:$B$20,2,FALSE), "")</f>
        <v>1_축산생명환경부</v>
      </c>
      <c r="E31" s="12" t="s">
        <v>859</v>
      </c>
      <c r="F31" s="37" t="s">
        <v>858</v>
      </c>
      <c r="G31" s="37" t="s">
        <v>857</v>
      </c>
      <c r="H31" s="40" t="s">
        <v>853</v>
      </c>
      <c r="I31" s="1" t="s">
        <v>854</v>
      </c>
      <c r="J31" s="3">
        <v>45876</v>
      </c>
      <c r="L31" s="36" t="str">
        <f>IFERROR(VLOOKUP(I31,보도매체!$A:$C,2,FALSE), "")</f>
        <v>13_인터넷포털</v>
      </c>
      <c r="M31" s="38">
        <f>IFERROR(VLOOKUP(I31,보도매체!$A:$C,3,FALSE), "")</f>
        <v>0.1</v>
      </c>
      <c r="N31" s="3">
        <v>45876</v>
      </c>
    </row>
    <row r="32" spans="1:14" ht="12" customHeight="1" x14ac:dyDescent="0.3">
      <c r="A32" s="1">
        <v>31</v>
      </c>
      <c r="B32" s="35" t="s">
        <v>29</v>
      </c>
      <c r="C32" s="35" t="str">
        <f t="shared" si="1"/>
        <v>2_낙농과</v>
      </c>
      <c r="D32" s="30" t="str">
        <f>IFERROR(VLOOKUP(C32,소속부서!$A$2:$B$20,2,FALSE), "")</f>
        <v>2_축산자원개발부</v>
      </c>
      <c r="E32" s="12" t="s">
        <v>21</v>
      </c>
      <c r="F32" s="37" t="s">
        <v>864</v>
      </c>
      <c r="G32" s="37" t="s">
        <v>863</v>
      </c>
      <c r="H32" s="40" t="s">
        <v>855</v>
      </c>
      <c r="I32" s="1" t="s">
        <v>856</v>
      </c>
      <c r="J32" s="3">
        <v>45876</v>
      </c>
      <c r="L32" s="36" t="str">
        <f>IFERROR(VLOOKUP(I32,보도매체!$A:$C,2,FALSE), "")</f>
        <v>03_TV-케이블지방</v>
      </c>
      <c r="M32" s="38">
        <f>IFERROR(VLOOKUP(I32,보도매체!$A:$C,3,FALSE), "")</f>
        <v>2.5</v>
      </c>
      <c r="N32" s="3">
        <v>45876</v>
      </c>
    </row>
    <row r="33" spans="1:14" ht="12" customHeight="1" x14ac:dyDescent="0.3">
      <c r="A33" s="1">
        <v>32</v>
      </c>
      <c r="B33" s="35" t="s">
        <v>29</v>
      </c>
      <c r="C33" s="35" t="str">
        <f t="shared" si="1"/>
        <v>3_축산푸드테크과</v>
      </c>
      <c r="D33" s="30" t="str">
        <f>IFERROR(VLOOKUP(C33,소속부서!$A$2:$B$20,2,FALSE), "")</f>
        <v>1_축산생명환경부</v>
      </c>
      <c r="E33" s="12" t="s">
        <v>859</v>
      </c>
      <c r="F33" s="37" t="s">
        <v>858</v>
      </c>
      <c r="G33" s="37" t="s">
        <v>857</v>
      </c>
      <c r="H33" s="40" t="s">
        <v>866</v>
      </c>
      <c r="I33" s="1" t="s">
        <v>804</v>
      </c>
      <c r="J33" s="3">
        <v>45876</v>
      </c>
      <c r="L33" s="36" t="str">
        <f>IFERROR(VLOOKUP(I33,보도매체!$A:$C,2,FALSE), "")</f>
        <v>07_중앙일간지</v>
      </c>
      <c r="M33" s="38">
        <f>IFERROR(VLOOKUP(I33,보도매체!$A:$C,3,FALSE), "")</f>
        <v>5</v>
      </c>
      <c r="N33" s="3">
        <v>45876</v>
      </c>
    </row>
    <row r="34" spans="1:14" ht="12" customHeight="1" x14ac:dyDescent="0.3">
      <c r="A34" s="1">
        <v>33</v>
      </c>
      <c r="B34" s="35" t="s">
        <v>29</v>
      </c>
      <c r="C34" s="35" t="str">
        <f t="shared" si="1"/>
        <v>3_축산푸드테크과</v>
      </c>
      <c r="D34" s="30" t="str">
        <f>IFERROR(VLOOKUP(C34,소속부서!$A$2:$B$20,2,FALSE), "")</f>
        <v>1_축산생명환경부</v>
      </c>
      <c r="E34" s="12" t="s">
        <v>859</v>
      </c>
      <c r="F34" s="37" t="s">
        <v>858</v>
      </c>
      <c r="G34" s="37" t="s">
        <v>857</v>
      </c>
      <c r="H34" s="40" t="s">
        <v>867</v>
      </c>
      <c r="I34" s="1" t="s">
        <v>868</v>
      </c>
      <c r="J34" s="3">
        <v>45876</v>
      </c>
      <c r="L34" s="36" t="str">
        <f>IFERROR(VLOOKUP(I34,보도매체!$A:$C,2,FALSE), "")</f>
        <v>09_농업전문지</v>
      </c>
      <c r="M34" s="38">
        <f>IFERROR(VLOOKUP(I34,보도매체!$A:$C,3,FALSE), "")</f>
        <v>1.5</v>
      </c>
      <c r="N34" s="3">
        <v>45876</v>
      </c>
    </row>
    <row r="35" spans="1:14" ht="12" customHeight="1" x14ac:dyDescent="0.3">
      <c r="A35" s="1">
        <v>34</v>
      </c>
      <c r="B35" s="35" t="s">
        <v>29</v>
      </c>
      <c r="C35" s="35" t="str">
        <f t="shared" si="1"/>
        <v>4_조사료생산시스템과</v>
      </c>
      <c r="D35" s="30" t="str">
        <f>IFERROR(VLOOKUP(C35,소속부서!$A$2:$B$20,2,FALSE), "")</f>
        <v>2_축산자원개발부</v>
      </c>
      <c r="E35" s="12" t="s">
        <v>862</v>
      </c>
      <c r="F35" s="37" t="s">
        <v>861</v>
      </c>
      <c r="G35" s="37" t="s">
        <v>860</v>
      </c>
      <c r="H35" s="40" t="s">
        <v>869</v>
      </c>
      <c r="I35" s="1" t="s">
        <v>870</v>
      </c>
      <c r="J35" s="3">
        <v>45876</v>
      </c>
      <c r="L35" s="36" t="str">
        <f>IFERROR(VLOOKUP(I35,보도매체!$A:$C,2,FALSE), "")</f>
        <v>10_기타월간지</v>
      </c>
      <c r="M35" s="38">
        <f>IFERROR(VLOOKUP(I35,보도매체!$A:$C,3,FALSE), "")</f>
        <v>1</v>
      </c>
      <c r="N35" s="3">
        <v>45876</v>
      </c>
    </row>
    <row r="36" spans="1:14" ht="12" customHeight="1" x14ac:dyDescent="0.3">
      <c r="A36" s="1">
        <v>35</v>
      </c>
      <c r="B36" s="35" t="s">
        <v>29</v>
      </c>
      <c r="C36" s="35" t="e">
        <f>#REF!</f>
        <v>#REF!</v>
      </c>
      <c r="D36" s="30" t="s">
        <v>14</v>
      </c>
      <c r="E36" s="12" t="s">
        <v>859</v>
      </c>
      <c r="F36" s="37" t="s">
        <v>897</v>
      </c>
      <c r="G36" s="37" t="s">
        <v>896</v>
      </c>
      <c r="H36" s="40" t="s">
        <v>935</v>
      </c>
      <c r="I36" s="1" t="s">
        <v>934</v>
      </c>
      <c r="J36" s="3">
        <v>45876</v>
      </c>
      <c r="L36" s="36" t="str">
        <f>IFERROR(VLOOKUP(I36,[1]보도매체!$A:$C,2,FALSE), "")</f>
        <v>07_중앙일간지</v>
      </c>
      <c r="M36" s="38">
        <f>IFERROR(VLOOKUP(I36,[1]보도매체!$A:$C,3,FALSE), "")</f>
        <v>5</v>
      </c>
      <c r="N36" s="3">
        <v>45877</v>
      </c>
    </row>
    <row r="37" spans="1:14" ht="12" customHeight="1" x14ac:dyDescent="0.3">
      <c r="A37" s="1">
        <v>36</v>
      </c>
      <c r="B37" s="35" t="s">
        <v>29</v>
      </c>
      <c r="C37" s="35" t="e">
        <f>#REF!</f>
        <v>#REF!</v>
      </c>
      <c r="D37" s="30" t="s">
        <v>14</v>
      </c>
      <c r="E37" s="12" t="s">
        <v>859</v>
      </c>
      <c r="F37" s="37" t="s">
        <v>897</v>
      </c>
      <c r="G37" s="37" t="s">
        <v>896</v>
      </c>
      <c r="H37" s="40" t="s">
        <v>933</v>
      </c>
      <c r="I37" s="1" t="s">
        <v>802</v>
      </c>
      <c r="J37" s="3">
        <v>45876</v>
      </c>
      <c r="L37" s="36" t="str">
        <f>IFERROR(VLOOKUP(I37,[1]보도매체!$A:$C,2,FALSE), "")</f>
        <v>09_지방일간지</v>
      </c>
      <c r="M37" s="38">
        <f>IFERROR(VLOOKUP(I37,[1]보도매체!$A:$C,3,FALSE), "")</f>
        <v>1.5</v>
      </c>
      <c r="N37" s="3">
        <v>45877</v>
      </c>
    </row>
    <row r="38" spans="1:14" ht="12" customHeight="1" x14ac:dyDescent="0.3">
      <c r="A38" s="1">
        <v>37</v>
      </c>
      <c r="B38" s="35" t="s">
        <v>29</v>
      </c>
      <c r="C38" s="35" t="e">
        <f>#REF!</f>
        <v>#REF!</v>
      </c>
      <c r="D38" s="30" t="s">
        <v>14</v>
      </c>
      <c r="E38" s="12" t="s">
        <v>859</v>
      </c>
      <c r="F38" s="37" t="s">
        <v>897</v>
      </c>
      <c r="G38" s="37" t="s">
        <v>896</v>
      </c>
      <c r="H38" s="40" t="s">
        <v>932</v>
      </c>
      <c r="I38" s="1" t="s">
        <v>931</v>
      </c>
      <c r="J38" s="3">
        <v>45876</v>
      </c>
      <c r="L38" s="36" t="str">
        <f>IFERROR(VLOOKUP(I38,[1]보도매체!$A:$C,2,FALSE), "")</f>
        <v>13_인터넷포털</v>
      </c>
      <c r="M38" s="38">
        <f>IFERROR(VLOOKUP(I38,[1]보도매체!$A:$C,3,FALSE), "")</f>
        <v>0.1</v>
      </c>
      <c r="N38" s="3">
        <v>45877</v>
      </c>
    </row>
    <row r="39" spans="1:14" ht="12" customHeight="1" x14ac:dyDescent="0.3">
      <c r="A39" s="1">
        <v>38</v>
      </c>
      <c r="B39" s="35" t="s">
        <v>29</v>
      </c>
      <c r="C39" s="35" t="e">
        <f>#REF!</f>
        <v>#REF!</v>
      </c>
      <c r="D39" s="74" t="s">
        <v>19</v>
      </c>
      <c r="E39" s="73" t="s">
        <v>21</v>
      </c>
      <c r="F39" s="71" t="s">
        <v>873</v>
      </c>
      <c r="G39" s="71" t="s">
        <v>872</v>
      </c>
      <c r="H39" s="72" t="s">
        <v>930</v>
      </c>
      <c r="I39" s="71" t="s">
        <v>928</v>
      </c>
      <c r="J39" s="67">
        <v>45876</v>
      </c>
      <c r="K39" s="70"/>
      <c r="L39" s="69" t="str">
        <f>IFERROR(VLOOKUP(I39,[1]보도매체!$A:$C,2,FALSE), "")</f>
        <v>02_TV-케이블중앙</v>
      </c>
      <c r="M39" s="68">
        <f>IFERROR(VLOOKUP(I39,[1]보도매체!$A:$C,3,FALSE), "")</f>
        <v>4</v>
      </c>
      <c r="N39" s="67">
        <v>45877</v>
      </c>
    </row>
    <row r="40" spans="1:14" ht="12" customHeight="1" x14ac:dyDescent="0.3">
      <c r="A40" s="1">
        <v>39</v>
      </c>
      <c r="B40" s="35" t="s">
        <v>29</v>
      </c>
      <c r="C40" s="35" t="e">
        <f>#REF!</f>
        <v>#REF!</v>
      </c>
      <c r="D40" s="74" t="s">
        <v>19</v>
      </c>
      <c r="E40" s="73" t="s">
        <v>21</v>
      </c>
      <c r="F40" s="71" t="s">
        <v>873</v>
      </c>
      <c r="G40" s="71" t="s">
        <v>872</v>
      </c>
      <c r="H40" s="72" t="s">
        <v>929</v>
      </c>
      <c r="I40" s="71" t="s">
        <v>928</v>
      </c>
      <c r="J40" s="67">
        <v>45876</v>
      </c>
      <c r="K40" s="70"/>
      <c r="L40" s="69" t="str">
        <f>IFERROR(VLOOKUP(I40,[1]보도매체!$A:$C,2,FALSE), "")</f>
        <v>02_TV-케이블중앙</v>
      </c>
      <c r="M40" s="68">
        <f>IFERROR(VLOOKUP(I40,[1]보도매체!$A:$C,3,FALSE), "")</f>
        <v>4</v>
      </c>
      <c r="N40" s="67">
        <v>45877</v>
      </c>
    </row>
    <row r="41" spans="1:14" ht="12" customHeight="1" x14ac:dyDescent="0.3">
      <c r="A41" s="1">
        <v>40</v>
      </c>
      <c r="B41" s="35" t="s">
        <v>29</v>
      </c>
      <c r="C41" s="35" t="e">
        <f>#REF!</f>
        <v>#REF!</v>
      </c>
      <c r="D41" s="74" t="s">
        <v>19</v>
      </c>
      <c r="E41" s="73" t="s">
        <v>21</v>
      </c>
      <c r="F41" s="71" t="s">
        <v>873</v>
      </c>
      <c r="G41" s="71" t="s">
        <v>872</v>
      </c>
      <c r="H41" s="72" t="s">
        <v>927</v>
      </c>
      <c r="I41" s="71" t="s">
        <v>787</v>
      </c>
      <c r="J41" s="67">
        <v>45876</v>
      </c>
      <c r="K41" s="70"/>
      <c r="L41" s="69" t="str">
        <f>IFERROR(VLOOKUP(I41,[1]보도매체!$A:$C,2,FALSE), "")</f>
        <v>02_TV-지방</v>
      </c>
      <c r="M41" s="68">
        <f>IFERROR(VLOOKUP(I41,[1]보도매체!$A:$C,3,FALSE), "")</f>
        <v>4</v>
      </c>
      <c r="N41" s="67">
        <v>45877</v>
      </c>
    </row>
    <row r="42" spans="1:14" ht="12" customHeight="1" x14ac:dyDescent="0.3">
      <c r="A42" s="1">
        <v>41</v>
      </c>
      <c r="B42" s="35" t="s">
        <v>29</v>
      </c>
      <c r="C42" s="35" t="e">
        <f>#REF!</f>
        <v>#REF!</v>
      </c>
      <c r="D42" s="74" t="s">
        <v>19</v>
      </c>
      <c r="E42" s="73" t="s">
        <v>21</v>
      </c>
      <c r="F42" s="71" t="s">
        <v>873</v>
      </c>
      <c r="G42" s="71" t="s">
        <v>872</v>
      </c>
      <c r="H42" s="72" t="s">
        <v>926</v>
      </c>
      <c r="I42" s="71" t="s">
        <v>925</v>
      </c>
      <c r="J42" s="67">
        <v>45876</v>
      </c>
      <c r="K42" s="70">
        <v>4</v>
      </c>
      <c r="L42" s="69" t="str">
        <f>IFERROR(VLOOKUP(I42,[1]보도매체!$A:$C,2,FALSE), "")</f>
        <v>09_지방일간지</v>
      </c>
      <c r="M42" s="68">
        <f>IFERROR(VLOOKUP(I42,[1]보도매체!$A:$C,3,FALSE), "")</f>
        <v>1.5</v>
      </c>
      <c r="N42" s="67">
        <v>45877</v>
      </c>
    </row>
    <row r="43" spans="1:14" ht="12" customHeight="1" x14ac:dyDescent="0.3">
      <c r="A43" s="1">
        <v>42</v>
      </c>
      <c r="B43" s="35" t="s">
        <v>29</v>
      </c>
      <c r="C43" s="35" t="e">
        <f>#REF!</f>
        <v>#REF!</v>
      </c>
      <c r="D43" s="74" t="s">
        <v>19</v>
      </c>
      <c r="E43" s="73" t="s">
        <v>21</v>
      </c>
      <c r="F43" s="71" t="s">
        <v>873</v>
      </c>
      <c r="G43" s="71" t="s">
        <v>872</v>
      </c>
      <c r="H43" s="72" t="s">
        <v>924</v>
      </c>
      <c r="I43" s="71" t="s">
        <v>923</v>
      </c>
      <c r="J43" s="67">
        <v>45876</v>
      </c>
      <c r="K43" s="70">
        <v>5</v>
      </c>
      <c r="L43" s="69" t="str">
        <f>IFERROR(VLOOKUP(I43,[1]보도매체!$A:$C,2,FALSE), "")</f>
        <v>09_지방일간지</v>
      </c>
      <c r="M43" s="68">
        <f>IFERROR(VLOOKUP(I43,[1]보도매체!$A:$C,3,FALSE), "")</f>
        <v>1.5</v>
      </c>
      <c r="N43" s="67">
        <v>45877</v>
      </c>
    </row>
    <row r="44" spans="1:14" ht="12" customHeight="1" x14ac:dyDescent="0.3">
      <c r="A44" s="1">
        <v>43</v>
      </c>
      <c r="B44" s="35" t="s">
        <v>29</v>
      </c>
      <c r="C44" s="35" t="e">
        <f>#REF!</f>
        <v>#REF!</v>
      </c>
      <c r="D44" s="74" t="s">
        <v>19</v>
      </c>
      <c r="E44" s="73" t="s">
        <v>21</v>
      </c>
      <c r="F44" s="71" t="s">
        <v>873</v>
      </c>
      <c r="G44" s="71" t="s">
        <v>872</v>
      </c>
      <c r="H44" s="72" t="s">
        <v>922</v>
      </c>
      <c r="I44" s="71" t="s">
        <v>921</v>
      </c>
      <c r="J44" s="67">
        <v>45876</v>
      </c>
      <c r="K44" s="70">
        <v>6</v>
      </c>
      <c r="L44" s="69" t="str">
        <f>IFERROR(VLOOKUP(I44,[1]보도매체!$A:$C,2,FALSE), "")</f>
        <v>09_지방일간지</v>
      </c>
      <c r="M44" s="68">
        <f>IFERROR(VLOOKUP(I44,[1]보도매체!$A:$C,3,FALSE), "")</f>
        <v>1.5</v>
      </c>
      <c r="N44" s="67">
        <v>45877</v>
      </c>
    </row>
    <row r="45" spans="1:14" ht="12" customHeight="1" x14ac:dyDescent="0.3">
      <c r="A45" s="1">
        <v>44</v>
      </c>
      <c r="B45" s="35" t="s">
        <v>29</v>
      </c>
      <c r="C45" s="35" t="e">
        <f>#REF!</f>
        <v>#REF!</v>
      </c>
      <c r="D45" s="74" t="s">
        <v>19</v>
      </c>
      <c r="E45" s="73" t="s">
        <v>21</v>
      </c>
      <c r="F45" s="71" t="s">
        <v>873</v>
      </c>
      <c r="G45" s="71" t="s">
        <v>872</v>
      </c>
      <c r="H45" s="72" t="s">
        <v>831</v>
      </c>
      <c r="I45" s="71" t="s">
        <v>920</v>
      </c>
      <c r="J45" s="67">
        <v>45876</v>
      </c>
      <c r="K45" s="70">
        <v>4</v>
      </c>
      <c r="L45" s="69" t="str">
        <f>IFERROR(VLOOKUP(I45,[1]보도매체!$A:$C,2,FALSE), "")</f>
        <v>09_지방일간지</v>
      </c>
      <c r="M45" s="68">
        <f>IFERROR(VLOOKUP(I45,[1]보도매체!$A:$C,3,FALSE), "")</f>
        <v>1.5</v>
      </c>
      <c r="N45" s="67">
        <v>45877</v>
      </c>
    </row>
    <row r="46" spans="1:14" ht="12" customHeight="1" x14ac:dyDescent="0.3">
      <c r="A46" s="1">
        <v>45</v>
      </c>
      <c r="B46" s="35" t="s">
        <v>29</v>
      </c>
      <c r="C46" s="35" t="e">
        <f>#REF!</f>
        <v>#REF!</v>
      </c>
      <c r="D46" s="74" t="s">
        <v>19</v>
      </c>
      <c r="E46" s="73" t="s">
        <v>21</v>
      </c>
      <c r="F46" s="71" t="s">
        <v>873</v>
      </c>
      <c r="G46" s="71" t="s">
        <v>872</v>
      </c>
      <c r="H46" s="72" t="s">
        <v>831</v>
      </c>
      <c r="I46" s="71" t="s">
        <v>848</v>
      </c>
      <c r="J46" s="67">
        <v>45876</v>
      </c>
      <c r="K46" s="70">
        <v>4</v>
      </c>
      <c r="L46" s="69" t="str">
        <f>IFERROR(VLOOKUP(I46,[1]보도매체!$A:$C,2,FALSE), "")</f>
        <v>09_지방일간지</v>
      </c>
      <c r="M46" s="68">
        <f>IFERROR(VLOOKUP(I46,[1]보도매체!$A:$C,3,FALSE), "")</f>
        <v>1.5</v>
      </c>
      <c r="N46" s="67">
        <v>45877</v>
      </c>
    </row>
    <row r="47" spans="1:14" ht="12" customHeight="1" x14ac:dyDescent="0.3">
      <c r="A47" s="1">
        <v>46</v>
      </c>
      <c r="B47" s="35" t="s">
        <v>29</v>
      </c>
      <c r="C47" s="35" t="e">
        <f>#REF!</f>
        <v>#REF!</v>
      </c>
      <c r="D47" s="74" t="s">
        <v>19</v>
      </c>
      <c r="E47" s="73" t="s">
        <v>21</v>
      </c>
      <c r="F47" s="71" t="s">
        <v>873</v>
      </c>
      <c r="G47" s="71" t="s">
        <v>872</v>
      </c>
      <c r="H47" s="72" t="s">
        <v>831</v>
      </c>
      <c r="I47" s="71" t="s">
        <v>919</v>
      </c>
      <c r="J47" s="67">
        <v>45876</v>
      </c>
      <c r="K47" s="70">
        <v>6</v>
      </c>
      <c r="L47" s="69" t="str">
        <f>IFERROR(VLOOKUP(I47,[1]보도매체!$A:$C,2,FALSE), "")</f>
        <v>09_지방일간지</v>
      </c>
      <c r="M47" s="68">
        <f>IFERROR(VLOOKUP(I47,[1]보도매체!$A:$C,3,FALSE), "")</f>
        <v>1.5</v>
      </c>
      <c r="N47" s="67">
        <v>45877</v>
      </c>
    </row>
    <row r="48" spans="1:14" ht="12" customHeight="1" x14ac:dyDescent="0.3">
      <c r="A48" s="1">
        <v>47</v>
      </c>
      <c r="B48" s="35" t="s">
        <v>29</v>
      </c>
      <c r="C48" s="35" t="e">
        <f>#REF!</f>
        <v>#REF!</v>
      </c>
      <c r="D48" s="74" t="s">
        <v>19</v>
      </c>
      <c r="E48" s="73" t="s">
        <v>21</v>
      </c>
      <c r="F48" s="71" t="s">
        <v>873</v>
      </c>
      <c r="G48" s="71" t="s">
        <v>872</v>
      </c>
      <c r="H48" s="72" t="s">
        <v>918</v>
      </c>
      <c r="I48" s="71" t="s">
        <v>832</v>
      </c>
      <c r="J48" s="67">
        <v>45876</v>
      </c>
      <c r="K48" s="70">
        <v>6</v>
      </c>
      <c r="L48" s="69" t="str">
        <f>IFERROR(VLOOKUP(I48,[1]보도매체!$A:$C,2,FALSE), "")</f>
        <v>09_지방일간지</v>
      </c>
      <c r="M48" s="68">
        <f>IFERROR(VLOOKUP(I48,[1]보도매체!$A:$C,3,FALSE), "")</f>
        <v>1.5</v>
      </c>
      <c r="N48" s="67">
        <v>45877</v>
      </c>
    </row>
    <row r="49" spans="1:14" ht="12" customHeight="1" x14ac:dyDescent="0.3">
      <c r="A49" s="1">
        <v>48</v>
      </c>
      <c r="B49" s="35" t="s">
        <v>29</v>
      </c>
      <c r="C49" s="35" t="e">
        <f>#REF!</f>
        <v>#REF!</v>
      </c>
      <c r="D49" s="30" t="s">
        <v>19</v>
      </c>
      <c r="E49" s="12" t="s">
        <v>862</v>
      </c>
      <c r="F49" s="37" t="s">
        <v>882</v>
      </c>
      <c r="G49" s="37" t="s">
        <v>881</v>
      </c>
      <c r="H49" s="40" t="s">
        <v>917</v>
      </c>
      <c r="I49" s="1" t="s">
        <v>916</v>
      </c>
      <c r="J49" s="3">
        <v>45876</v>
      </c>
      <c r="K49" s="26">
        <v>8</v>
      </c>
      <c r="L49" s="36" t="str">
        <f>IFERROR(VLOOKUP(I49,[1]보도매체!$A:$C,2,FALSE), "")</f>
        <v>09_지방일간지</v>
      </c>
      <c r="M49" s="38">
        <f>IFERROR(VLOOKUP(I49,[1]보도매체!$A:$C,3,FALSE), "")</f>
        <v>1.5</v>
      </c>
      <c r="N49" s="3">
        <v>45877</v>
      </c>
    </row>
    <row r="50" spans="1:14" ht="12" customHeight="1" x14ac:dyDescent="0.3">
      <c r="A50" s="1">
        <v>49</v>
      </c>
      <c r="B50" s="35" t="s">
        <v>29</v>
      </c>
      <c r="C50" s="35" t="e">
        <f>#REF!</f>
        <v>#REF!</v>
      </c>
      <c r="D50" s="30" t="s">
        <v>19</v>
      </c>
      <c r="E50" s="12" t="s">
        <v>862</v>
      </c>
      <c r="F50" s="37" t="s">
        <v>882</v>
      </c>
      <c r="G50" s="37" t="s">
        <v>881</v>
      </c>
      <c r="H50" s="40" t="s">
        <v>915</v>
      </c>
      <c r="I50" s="1" t="s">
        <v>850</v>
      </c>
      <c r="J50" s="3">
        <v>45876</v>
      </c>
      <c r="K50" s="26">
        <v>11</v>
      </c>
      <c r="L50" s="36" t="str">
        <f>IFERROR(VLOOKUP(I50,[1]보도매체!$A:$C,2,FALSE), "")</f>
        <v>09_지방일간지</v>
      </c>
      <c r="M50" s="38">
        <f>IFERROR(VLOOKUP(I50,[1]보도매체!$A:$C,3,FALSE), "")</f>
        <v>1.5</v>
      </c>
      <c r="N50" s="3">
        <v>45877</v>
      </c>
    </row>
    <row r="51" spans="1:14" x14ac:dyDescent="0.3">
      <c r="A51" s="1">
        <v>50</v>
      </c>
      <c r="B51" s="35" t="s">
        <v>29</v>
      </c>
      <c r="C51" s="35" t="e">
        <f>#REF!</f>
        <v>#REF!</v>
      </c>
      <c r="D51" s="30" t="s">
        <v>19</v>
      </c>
      <c r="E51" s="12" t="s">
        <v>862</v>
      </c>
      <c r="F51" s="37" t="s">
        <v>882</v>
      </c>
      <c r="G51" s="37" t="s">
        <v>881</v>
      </c>
      <c r="H51" s="40" t="s">
        <v>914</v>
      </c>
      <c r="I51" s="1" t="s">
        <v>913</v>
      </c>
      <c r="J51" s="3">
        <v>45876</v>
      </c>
      <c r="K51" s="26">
        <v>17</v>
      </c>
      <c r="L51" s="36" t="str">
        <f>IFERROR(VLOOKUP(I51,[1]보도매체!$A:$C,2,FALSE), "")</f>
        <v>08_기타일간지</v>
      </c>
      <c r="M51" s="38">
        <f>IFERROR(VLOOKUP(I51,[1]보도매체!$A:$C,3,FALSE), "")</f>
        <v>2</v>
      </c>
      <c r="N51" s="3">
        <v>45877</v>
      </c>
    </row>
    <row r="52" spans="1:14" x14ac:dyDescent="0.3">
      <c r="A52" s="1">
        <v>51</v>
      </c>
      <c r="B52" s="35" t="s">
        <v>29</v>
      </c>
      <c r="C52" s="35" t="e">
        <f>#REF!</f>
        <v>#REF!</v>
      </c>
      <c r="D52" s="30" t="s">
        <v>19</v>
      </c>
      <c r="E52" s="12" t="s">
        <v>20</v>
      </c>
      <c r="F52" s="37" t="s">
        <v>889</v>
      </c>
      <c r="G52" s="37"/>
      <c r="H52" s="40" t="s">
        <v>912</v>
      </c>
      <c r="I52" s="1" t="s">
        <v>911</v>
      </c>
      <c r="J52" s="3">
        <v>45876</v>
      </c>
      <c r="K52" s="26">
        <v>15</v>
      </c>
      <c r="L52" s="36" t="str">
        <f>IFERROR(VLOOKUP(I52,[1]보도매체!$A:$C,2,FALSE), "")</f>
        <v>09_지방일간지</v>
      </c>
      <c r="M52" s="38">
        <f>IFERROR(VLOOKUP(I52,[1]보도매체!$A:$C,3,FALSE), "")</f>
        <v>1.5</v>
      </c>
      <c r="N52" s="3">
        <v>45877</v>
      </c>
    </row>
    <row r="53" spans="1:14" x14ac:dyDescent="0.3">
      <c r="A53" s="1">
        <v>52</v>
      </c>
      <c r="B53" s="35" t="s">
        <v>29</v>
      </c>
      <c r="C53" s="35" t="e">
        <f>#REF!</f>
        <v>#REF!</v>
      </c>
      <c r="D53" s="30" t="s">
        <v>19</v>
      </c>
      <c r="E53" s="12" t="s">
        <v>862</v>
      </c>
      <c r="F53" s="37" t="s">
        <v>882</v>
      </c>
      <c r="G53" s="37" t="s">
        <v>881</v>
      </c>
      <c r="H53" s="40" t="s">
        <v>910</v>
      </c>
      <c r="I53" s="1" t="s">
        <v>909</v>
      </c>
      <c r="J53" s="3">
        <v>45869</v>
      </c>
      <c r="K53" s="26">
        <v>15</v>
      </c>
      <c r="L53" s="36" t="str">
        <f>IFERROR(VLOOKUP(I53,[1]보도매체!$A:$C,2,FALSE), "")</f>
        <v>09_농업전문지</v>
      </c>
      <c r="M53" s="38">
        <f>IFERROR(VLOOKUP(I53,[1]보도매체!$A:$C,3,FALSE), "")</f>
        <v>1.5</v>
      </c>
      <c r="N53" s="3">
        <v>45877</v>
      </c>
    </row>
    <row r="54" spans="1:14" x14ac:dyDescent="0.3">
      <c r="A54" s="1">
        <v>53</v>
      </c>
      <c r="B54" s="35" t="s">
        <v>29</v>
      </c>
      <c r="C54" s="35" t="e">
        <f>#REF!</f>
        <v>#REF!</v>
      </c>
      <c r="D54" s="30" t="s">
        <v>14</v>
      </c>
      <c r="E54" s="12" t="s">
        <v>859</v>
      </c>
      <c r="F54" s="37" t="s">
        <v>897</v>
      </c>
      <c r="G54" s="37" t="s">
        <v>896</v>
      </c>
      <c r="H54" s="40" t="s">
        <v>908</v>
      </c>
      <c r="I54" s="1" t="s">
        <v>907</v>
      </c>
      <c r="J54" s="3">
        <v>45876</v>
      </c>
      <c r="L54" s="36" t="str">
        <f>IFERROR(VLOOKUP(I54,[1]보도매체!$A:$C,2,FALSE), "")</f>
        <v>09_농업전문지</v>
      </c>
      <c r="M54" s="38">
        <f>IFERROR(VLOOKUP(I54,[1]보도매체!$A:$C,3,FALSE), "")</f>
        <v>1.5</v>
      </c>
      <c r="N54" s="3">
        <v>45877</v>
      </c>
    </row>
    <row r="55" spans="1:14" x14ac:dyDescent="0.3">
      <c r="A55" s="1">
        <v>54</v>
      </c>
      <c r="B55" s="35" t="s">
        <v>29</v>
      </c>
      <c r="C55" s="35" t="e">
        <f>#REF!</f>
        <v>#REF!</v>
      </c>
      <c r="D55" s="30" t="s">
        <v>14</v>
      </c>
      <c r="E55" s="12" t="s">
        <v>859</v>
      </c>
      <c r="F55" s="37" t="s">
        <v>897</v>
      </c>
      <c r="G55" s="37" t="s">
        <v>896</v>
      </c>
      <c r="H55" s="2" t="s">
        <v>906</v>
      </c>
      <c r="I55" s="1" t="s">
        <v>846</v>
      </c>
      <c r="J55" s="3">
        <v>45876</v>
      </c>
      <c r="L55" s="36" t="str">
        <f>IFERROR(VLOOKUP(I55,[1]보도매체!$A:$C,2,FALSE), "")</f>
        <v>09_지방일간지</v>
      </c>
      <c r="M55" s="38">
        <f>IFERROR(VLOOKUP(I55,[1]보도매체!$A:$C,3,FALSE), "")</f>
        <v>1.5</v>
      </c>
      <c r="N55" s="3">
        <v>45877</v>
      </c>
    </row>
    <row r="56" spans="1:14" x14ac:dyDescent="0.3">
      <c r="A56" s="1">
        <v>55</v>
      </c>
      <c r="B56" s="35" t="s">
        <v>29</v>
      </c>
      <c r="C56" s="35" t="e">
        <f>#REF!</f>
        <v>#REF!</v>
      </c>
      <c r="D56" s="30" t="str">
        <f>IFERROR(VLOOKUP('[1]2022년 누적시트'!C22,[1]소속부서!$A$2:$B$20,2,FALSE), "")</f>
        <v>1_축산생명환경부</v>
      </c>
      <c r="E56" s="12" t="s">
        <v>905</v>
      </c>
      <c r="F56" s="37" t="s">
        <v>904</v>
      </c>
      <c r="G56" s="37"/>
      <c r="H56" s="40" t="s">
        <v>903</v>
      </c>
      <c r="I56" s="1" t="s">
        <v>757</v>
      </c>
      <c r="J56" s="3">
        <v>45876</v>
      </c>
      <c r="L56" s="36" t="str">
        <f>IFERROR(VLOOKUP(I56,[1]보도매체!$A:$C,2,FALSE), "")</f>
        <v>13_인터넷포털</v>
      </c>
      <c r="M56" s="38">
        <f>IFERROR(VLOOKUP(I56,[1]보도매체!$A:$C,3,FALSE), "")</f>
        <v>0.1</v>
      </c>
      <c r="N56" s="3">
        <v>45877</v>
      </c>
    </row>
    <row r="57" spans="1:14" x14ac:dyDescent="0.3">
      <c r="A57" s="1">
        <v>56</v>
      </c>
      <c r="B57" s="35" t="s">
        <v>29</v>
      </c>
      <c r="C57" s="35" t="e">
        <f>#REF!</f>
        <v>#REF!</v>
      </c>
      <c r="D57" s="30" t="str">
        <f>IFERROR(VLOOKUP('[1]2022년 누적시트'!C23,[1]소속부서!$A$2:$B$20,2,FALSE), "")</f>
        <v>2_축산자원개발부</v>
      </c>
      <c r="E57" s="12" t="s">
        <v>902</v>
      </c>
      <c r="F57" s="37" t="s">
        <v>901</v>
      </c>
      <c r="G57" s="37"/>
      <c r="H57" s="40" t="s">
        <v>900</v>
      </c>
      <c r="I57" s="1" t="s">
        <v>899</v>
      </c>
      <c r="J57" s="3">
        <v>45876</v>
      </c>
      <c r="L57" s="36" t="str">
        <f>IFERROR(VLOOKUP(I57,[1]보도매체!$A:$C,2,FALSE), "")</f>
        <v>13_인터넷포털</v>
      </c>
      <c r="M57" s="38">
        <f>IFERROR(VLOOKUP(I57,[1]보도매체!$A:$C,3,FALSE), "")</f>
        <v>0.1</v>
      </c>
      <c r="N57" s="3">
        <v>45877</v>
      </c>
    </row>
    <row r="58" spans="1:14" x14ac:dyDescent="0.3">
      <c r="A58" s="1">
        <v>57</v>
      </c>
      <c r="B58" s="35" t="s">
        <v>29</v>
      </c>
      <c r="C58" s="35" t="e">
        <f>#REF!</f>
        <v>#REF!</v>
      </c>
      <c r="D58" s="30" t="s">
        <v>19</v>
      </c>
      <c r="E58" s="12" t="s">
        <v>20</v>
      </c>
      <c r="F58" s="37" t="s">
        <v>889</v>
      </c>
      <c r="G58" s="37"/>
      <c r="H58" s="40" t="s">
        <v>898</v>
      </c>
      <c r="I58" s="1" t="s">
        <v>890</v>
      </c>
      <c r="J58" s="3">
        <v>45877</v>
      </c>
      <c r="L58" s="36" t="str">
        <f>IFERROR(VLOOKUP(I58,[1]보도매체!$A:$C,2,FALSE), "")</f>
        <v>09_농업전문지</v>
      </c>
      <c r="M58" s="38">
        <f>IFERROR(VLOOKUP(I58,[1]보도매체!$A:$C,3,FALSE), "")</f>
        <v>1.5</v>
      </c>
      <c r="N58" s="3">
        <v>45877</v>
      </c>
    </row>
    <row r="59" spans="1:14" x14ac:dyDescent="0.3">
      <c r="A59" s="1">
        <v>58</v>
      </c>
      <c r="B59" s="35" t="s">
        <v>29</v>
      </c>
      <c r="C59" s="35" t="e">
        <f>#REF!</f>
        <v>#REF!</v>
      </c>
      <c r="D59" s="30" t="s">
        <v>14</v>
      </c>
      <c r="E59" s="12" t="s">
        <v>859</v>
      </c>
      <c r="F59" s="37" t="s">
        <v>897</v>
      </c>
      <c r="G59" s="37" t="s">
        <v>896</v>
      </c>
      <c r="H59" s="40" t="s">
        <v>895</v>
      </c>
      <c r="I59" s="1" t="s">
        <v>894</v>
      </c>
      <c r="J59" s="3">
        <v>45877</v>
      </c>
      <c r="L59" s="36" t="str">
        <f>IFERROR(VLOOKUP(I59,[1]보도매체!$A:$C,2,FALSE), "")</f>
        <v>09_농업전문지</v>
      </c>
      <c r="M59" s="38">
        <f>IFERROR(VLOOKUP(I59,[1]보도매체!$A:$C,3,FALSE), "")</f>
        <v>1.5</v>
      </c>
      <c r="N59" s="3">
        <v>45877</v>
      </c>
    </row>
    <row r="60" spans="1:14" x14ac:dyDescent="0.3">
      <c r="A60" s="1">
        <v>59</v>
      </c>
      <c r="B60" s="35" t="s">
        <v>29</v>
      </c>
      <c r="C60" s="35" t="e">
        <f>#REF!</f>
        <v>#REF!</v>
      </c>
      <c r="D60" s="30" t="s">
        <v>19</v>
      </c>
      <c r="E60" s="12" t="s">
        <v>20</v>
      </c>
      <c r="F60" s="37" t="s">
        <v>889</v>
      </c>
      <c r="G60" s="37"/>
      <c r="H60" s="40" t="s">
        <v>893</v>
      </c>
      <c r="I60" s="1" t="s">
        <v>892</v>
      </c>
      <c r="J60" s="3">
        <v>45877</v>
      </c>
      <c r="L60" s="36" t="str">
        <f>IFERROR(VLOOKUP(I60,[1]보도매체!$A:$C,2,FALSE), "")</f>
        <v>09_농업전문지</v>
      </c>
      <c r="M60" s="38">
        <f>IFERROR(VLOOKUP(I60,[1]보도매체!$A:$C,3,FALSE), "")</f>
        <v>1.5</v>
      </c>
      <c r="N60" s="3">
        <v>45877</v>
      </c>
    </row>
    <row r="61" spans="1:14" x14ac:dyDescent="0.3">
      <c r="A61" s="1">
        <v>60</v>
      </c>
      <c r="B61" s="35" t="s">
        <v>29</v>
      </c>
      <c r="C61" s="35" t="e">
        <f>#REF!</f>
        <v>#REF!</v>
      </c>
      <c r="D61" s="74" t="s">
        <v>19</v>
      </c>
      <c r="E61" s="73" t="s">
        <v>21</v>
      </c>
      <c r="F61" s="71" t="s">
        <v>873</v>
      </c>
      <c r="G61" s="71" t="s">
        <v>872</v>
      </c>
      <c r="H61" s="72" t="s">
        <v>891</v>
      </c>
      <c r="I61" s="71" t="s">
        <v>890</v>
      </c>
      <c r="J61" s="67">
        <v>45877</v>
      </c>
      <c r="K61" s="70"/>
      <c r="L61" s="69" t="str">
        <f>IFERROR(VLOOKUP(I61,[1]보도매체!$A:$C,2,FALSE), "")</f>
        <v>09_농업전문지</v>
      </c>
      <c r="M61" s="68">
        <f>IFERROR(VLOOKUP(I61,[1]보도매체!$A:$C,3,FALSE), "")</f>
        <v>1.5</v>
      </c>
      <c r="N61" s="67">
        <v>45877</v>
      </c>
    </row>
    <row r="62" spans="1:14" x14ac:dyDescent="0.3">
      <c r="A62" s="1">
        <v>61</v>
      </c>
      <c r="B62" s="35" t="s">
        <v>29</v>
      </c>
      <c r="C62" s="35" t="e">
        <f>#REF!</f>
        <v>#REF!</v>
      </c>
      <c r="D62" s="30" t="s">
        <v>19</v>
      </c>
      <c r="E62" s="12" t="s">
        <v>20</v>
      </c>
      <c r="F62" s="37" t="s">
        <v>889</v>
      </c>
      <c r="G62" s="37"/>
      <c r="H62" s="40" t="s">
        <v>888</v>
      </c>
      <c r="I62" s="1" t="s">
        <v>878</v>
      </c>
      <c r="J62" s="3">
        <v>45877</v>
      </c>
      <c r="L62" s="36" t="str">
        <f>IFERROR(VLOOKUP(I62,[1]보도매체!$A:$C,2,FALSE), "")</f>
        <v>09_농업전문지</v>
      </c>
      <c r="M62" s="38">
        <f>IFERROR(VLOOKUP(I62,[1]보도매체!$A:$C,3,FALSE), "")</f>
        <v>1.5</v>
      </c>
      <c r="N62" s="3">
        <v>45877</v>
      </c>
    </row>
    <row r="63" spans="1:14" x14ac:dyDescent="0.3">
      <c r="A63" s="1">
        <v>62</v>
      </c>
      <c r="B63" s="35" t="s">
        <v>29</v>
      </c>
      <c r="C63" s="35" t="e">
        <f>#REF!</f>
        <v>#REF!</v>
      </c>
      <c r="D63" s="83" t="s">
        <v>8</v>
      </c>
      <c r="E63" s="82" t="s">
        <v>11</v>
      </c>
      <c r="F63" s="80" t="s">
        <v>887</v>
      </c>
      <c r="G63" s="80" t="s">
        <v>886</v>
      </c>
      <c r="H63" s="81" t="s">
        <v>883</v>
      </c>
      <c r="I63" s="80" t="s">
        <v>878</v>
      </c>
      <c r="J63" s="76">
        <v>45877</v>
      </c>
      <c r="K63" s="79"/>
      <c r="L63" s="78" t="str">
        <f>IFERROR(VLOOKUP(I63,[1]보도매체!$A:$C,2,FALSE), "")</f>
        <v>09_농업전문지</v>
      </c>
      <c r="M63" s="77">
        <f>IFERROR(VLOOKUP(I63,[1]보도매체!$A:$C,3,FALSE), "")</f>
        <v>1.5</v>
      </c>
      <c r="N63" s="76">
        <v>45877</v>
      </c>
    </row>
    <row r="64" spans="1:14" x14ac:dyDescent="0.3">
      <c r="A64" s="1">
        <v>63</v>
      </c>
      <c r="B64" s="35" t="s">
        <v>29</v>
      </c>
      <c r="C64" s="35" t="e">
        <f>#REF!</f>
        <v>#REF!</v>
      </c>
      <c r="D64" s="83" t="str">
        <f>IFERROR(VLOOKUP('[1]2022년 누적시트'!C30,[1]소속부서!$A$2:$B$20,2,FALSE), "")</f>
        <v>0_본원</v>
      </c>
      <c r="E64" s="82" t="s">
        <v>11</v>
      </c>
      <c r="F64" s="80" t="s">
        <v>885</v>
      </c>
      <c r="G64" s="80" t="s">
        <v>884</v>
      </c>
      <c r="H64" s="81" t="s">
        <v>883</v>
      </c>
      <c r="I64" s="80" t="s">
        <v>878</v>
      </c>
      <c r="J64" s="76">
        <v>45877</v>
      </c>
      <c r="K64" s="79"/>
      <c r="L64" s="78" t="str">
        <f>IFERROR(VLOOKUP(I64,[1]보도매체!$A:$C,2,FALSE), "")</f>
        <v>09_농업전문지</v>
      </c>
      <c r="M64" s="77">
        <f>IFERROR(VLOOKUP(I64,[1]보도매체!$A:$C,3,FALSE), "")</f>
        <v>1.5</v>
      </c>
      <c r="N64" s="76">
        <v>45877</v>
      </c>
    </row>
    <row r="65" spans="1:14" x14ac:dyDescent="0.3">
      <c r="A65" s="1">
        <v>64</v>
      </c>
      <c r="B65" s="35" t="s">
        <v>29</v>
      </c>
      <c r="C65" s="35" t="e">
        <f>#REF!</f>
        <v>#REF!</v>
      </c>
      <c r="D65" s="30" t="s">
        <v>19</v>
      </c>
      <c r="E65" s="12" t="s">
        <v>862</v>
      </c>
      <c r="F65" s="37" t="s">
        <v>882</v>
      </c>
      <c r="G65" s="37" t="s">
        <v>881</v>
      </c>
      <c r="H65" s="40" t="s">
        <v>880</v>
      </c>
      <c r="I65" s="1" t="s">
        <v>878</v>
      </c>
      <c r="J65" s="3">
        <v>45877</v>
      </c>
      <c r="L65" s="36" t="str">
        <f>IFERROR(VLOOKUP(I65,[1]보도매체!$A:$C,2,FALSE), "")</f>
        <v>09_농업전문지</v>
      </c>
      <c r="M65" s="38">
        <f>IFERROR(VLOOKUP(I65,[1]보도매체!$A:$C,3,FALSE), "")</f>
        <v>1.5</v>
      </c>
      <c r="N65" s="3">
        <v>45877</v>
      </c>
    </row>
    <row r="66" spans="1:14" x14ac:dyDescent="0.3">
      <c r="A66" s="1">
        <v>65</v>
      </c>
      <c r="B66" s="35" t="s">
        <v>29</v>
      </c>
      <c r="C66" s="35" t="e">
        <f>#REF!</f>
        <v>#REF!</v>
      </c>
      <c r="D66" s="74" t="s">
        <v>19</v>
      </c>
      <c r="E66" s="73" t="s">
        <v>21</v>
      </c>
      <c r="F66" s="71" t="s">
        <v>873</v>
      </c>
      <c r="G66" s="71" t="s">
        <v>872</v>
      </c>
      <c r="H66" s="72" t="s">
        <v>879</v>
      </c>
      <c r="I66" s="71" t="s">
        <v>878</v>
      </c>
      <c r="J66" s="67">
        <v>45877</v>
      </c>
      <c r="K66" s="70"/>
      <c r="L66" s="69" t="str">
        <f>IFERROR(VLOOKUP(I66,[1]보도매체!$A:$C,2,FALSE), "")</f>
        <v>09_농업전문지</v>
      </c>
      <c r="M66" s="68">
        <f>IFERROR(VLOOKUP(I66,[1]보도매체!$A:$C,3,FALSE), "")</f>
        <v>1.5</v>
      </c>
      <c r="N66" s="67">
        <v>45877</v>
      </c>
    </row>
    <row r="67" spans="1:14" ht="24" x14ac:dyDescent="0.3">
      <c r="A67" s="1">
        <v>66</v>
      </c>
      <c r="B67" s="35" t="s">
        <v>29</v>
      </c>
      <c r="C67" s="35" t="e">
        <f>#REF!</f>
        <v>#REF!</v>
      </c>
      <c r="D67" s="30" t="s">
        <v>19</v>
      </c>
      <c r="E67" s="12" t="s">
        <v>877</v>
      </c>
      <c r="F67" s="37" t="s">
        <v>876</v>
      </c>
      <c r="G67" s="37"/>
      <c r="H67" s="75" t="s">
        <v>875</v>
      </c>
      <c r="I67" s="37" t="s">
        <v>874</v>
      </c>
      <c r="J67" s="41">
        <v>45877</v>
      </c>
      <c r="K67" s="28"/>
      <c r="L67" s="36" t="str">
        <f>IFERROR(VLOOKUP(I67,[1]보도매체!$A:$C,2,FALSE), "")</f>
        <v>13_인터넷포털</v>
      </c>
      <c r="M67" s="38">
        <f>IFERROR(VLOOKUP(I67,[1]보도매체!$A:$C,3,FALSE), "")</f>
        <v>0.1</v>
      </c>
      <c r="N67" s="41">
        <v>45877</v>
      </c>
    </row>
    <row r="68" spans="1:14" x14ac:dyDescent="0.3">
      <c r="A68" s="1">
        <v>67</v>
      </c>
      <c r="B68" s="35" t="s">
        <v>29</v>
      </c>
      <c r="C68" s="35" t="e">
        <f>#REF!</f>
        <v>#REF!</v>
      </c>
      <c r="D68" s="74" t="s">
        <v>19</v>
      </c>
      <c r="E68" s="73" t="s">
        <v>21</v>
      </c>
      <c r="F68" s="71" t="s">
        <v>873</v>
      </c>
      <c r="G68" s="71" t="s">
        <v>872</v>
      </c>
      <c r="H68" s="72" t="s">
        <v>871</v>
      </c>
      <c r="I68" s="71" t="s">
        <v>759</v>
      </c>
      <c r="J68" s="67">
        <v>45877</v>
      </c>
      <c r="K68" s="70"/>
      <c r="L68" s="69" t="str">
        <f>IFERROR(VLOOKUP(I68,[1]보도매체!$A:$C,2,FALSE), "")</f>
        <v>13_인터넷포털</v>
      </c>
      <c r="M68" s="68">
        <f>IFERROR(VLOOKUP(I68,[1]보도매체!$A:$C,3,FALSE), "")</f>
        <v>0.1</v>
      </c>
      <c r="N68" s="67">
        <v>45877</v>
      </c>
    </row>
    <row r="69" spans="1:14" x14ac:dyDescent="0.3">
      <c r="A69" s="1">
        <v>68</v>
      </c>
      <c r="B69" s="35" t="s">
        <v>29</v>
      </c>
      <c r="C69" s="35" t="e">
        <f>#REF!</f>
        <v>#REF!</v>
      </c>
      <c r="D69" s="74" t="s">
        <v>19</v>
      </c>
      <c r="E69" s="73" t="s">
        <v>21</v>
      </c>
      <c r="F69" s="71" t="s">
        <v>873</v>
      </c>
      <c r="G69" s="71" t="s">
        <v>872</v>
      </c>
      <c r="H69" s="72" t="s">
        <v>1065</v>
      </c>
      <c r="I69" s="71" t="s">
        <v>856</v>
      </c>
      <c r="J69" s="67">
        <v>45876</v>
      </c>
      <c r="K69" s="70"/>
      <c r="L69" s="69" t="str">
        <f>IFERROR(VLOOKUP(I69,[2]보도매체!$A:$C,2,FALSE), "")</f>
        <v>03_TV-케이블지방</v>
      </c>
      <c r="M69" s="68">
        <f>IFERROR(VLOOKUP(I69,[2]보도매체!$A:$C,3,FALSE), "")</f>
        <v>2.5</v>
      </c>
      <c r="N69" s="3"/>
    </row>
    <row r="70" spans="1:14" x14ac:dyDescent="0.3">
      <c r="A70" s="1">
        <v>69</v>
      </c>
      <c r="B70" s="35" t="s">
        <v>29</v>
      </c>
      <c r="C70" s="35" t="e">
        <f>#REF!</f>
        <v>#REF!</v>
      </c>
      <c r="D70" s="74" t="s">
        <v>19</v>
      </c>
      <c r="E70" s="73" t="s">
        <v>21</v>
      </c>
      <c r="F70" s="71" t="s">
        <v>873</v>
      </c>
      <c r="G70" s="71" t="s">
        <v>872</v>
      </c>
      <c r="H70" s="72" t="s">
        <v>1064</v>
      </c>
      <c r="I70" s="71" t="s">
        <v>1063</v>
      </c>
      <c r="J70" s="67">
        <v>45876</v>
      </c>
      <c r="K70" s="70"/>
      <c r="L70" s="69" t="str">
        <f>IFERROR(VLOOKUP(I70,[2]보도매체!$A:$C,2,FALSE), "")</f>
        <v>03_TV-케이블지방</v>
      </c>
      <c r="M70" s="68">
        <f>IFERROR(VLOOKUP(I70,[2]보도매체!$A:$C,3,FALSE), "")</f>
        <v>2.5</v>
      </c>
      <c r="N70" s="3"/>
    </row>
    <row r="71" spans="1:14" x14ac:dyDescent="0.3">
      <c r="A71" s="1">
        <v>70</v>
      </c>
      <c r="B71" s="35" t="s">
        <v>29</v>
      </c>
      <c r="C71" s="35" t="e">
        <f>#REF!</f>
        <v>#REF!</v>
      </c>
      <c r="D71" s="74" t="s">
        <v>19</v>
      </c>
      <c r="E71" s="73" t="s">
        <v>21</v>
      </c>
      <c r="F71" s="71" t="s">
        <v>873</v>
      </c>
      <c r="G71" s="71" t="s">
        <v>872</v>
      </c>
      <c r="H71" s="72" t="s">
        <v>1062</v>
      </c>
      <c r="I71" s="71" t="s">
        <v>784</v>
      </c>
      <c r="J71" s="67">
        <v>45877</v>
      </c>
      <c r="K71" s="70"/>
      <c r="L71" s="69" t="str">
        <f>IFERROR(VLOOKUP(I71,[2]보도매체!$A:$C,2,FALSE), "")</f>
        <v>03_TV-케이블지방</v>
      </c>
      <c r="M71" s="68">
        <f>IFERROR(VLOOKUP(I71,[2]보도매체!$A:$C,3,FALSE), "")</f>
        <v>2.5</v>
      </c>
      <c r="N71" s="3"/>
    </row>
    <row r="72" spans="1:14" x14ac:dyDescent="0.3">
      <c r="A72" s="1">
        <v>71</v>
      </c>
      <c r="B72" s="35" t="s">
        <v>29</v>
      </c>
      <c r="C72" s="35" t="e">
        <f>#REF!</f>
        <v>#REF!</v>
      </c>
      <c r="D72" s="74" t="s">
        <v>19</v>
      </c>
      <c r="E72" s="73" t="s">
        <v>21</v>
      </c>
      <c r="F72" s="71" t="s">
        <v>873</v>
      </c>
      <c r="G72" s="71" t="s">
        <v>872</v>
      </c>
      <c r="H72" s="72" t="s">
        <v>1061</v>
      </c>
      <c r="I72" s="71" t="s">
        <v>971</v>
      </c>
      <c r="J72" s="67">
        <v>45879</v>
      </c>
      <c r="K72" s="70"/>
      <c r="L72" s="69" t="str">
        <f>IFERROR(VLOOKUP(I72,[2]보도매체!$A:$C,2,FALSE), "")</f>
        <v>02_TV-케이블중앙</v>
      </c>
      <c r="M72" s="68">
        <f>IFERROR(VLOOKUP(I72,[2]보도매체!$A:$C,3,FALSE), "")</f>
        <v>4</v>
      </c>
      <c r="N72" s="3"/>
    </row>
    <row r="73" spans="1:14" x14ac:dyDescent="0.3">
      <c r="A73" s="1">
        <v>72</v>
      </c>
      <c r="B73" s="35" t="s">
        <v>29</v>
      </c>
      <c r="C73" s="35" t="e">
        <f>#REF!</f>
        <v>#REF!</v>
      </c>
      <c r="D73" s="74" t="s">
        <v>19</v>
      </c>
      <c r="E73" s="73" t="s">
        <v>21</v>
      </c>
      <c r="F73" s="71" t="s">
        <v>873</v>
      </c>
      <c r="G73" s="71" t="s">
        <v>872</v>
      </c>
      <c r="H73" s="72" t="s">
        <v>1060</v>
      </c>
      <c r="I73" s="71" t="s">
        <v>1059</v>
      </c>
      <c r="J73" s="67">
        <v>45879</v>
      </c>
      <c r="K73" s="70"/>
      <c r="L73" s="69" t="str">
        <f>IFERROR(VLOOKUP(I73,[2]보도매체!$A:$C,2,FALSE), "")</f>
        <v>02_TV-지방</v>
      </c>
      <c r="M73" s="68">
        <f>IFERROR(VLOOKUP(I73,[2]보도매체!$A:$C,3,FALSE), "")</f>
        <v>4</v>
      </c>
      <c r="N73" s="3"/>
    </row>
    <row r="74" spans="1:14" x14ac:dyDescent="0.3">
      <c r="A74" s="1">
        <v>73</v>
      </c>
      <c r="B74" s="35" t="s">
        <v>29</v>
      </c>
      <c r="C74" s="35" t="e">
        <f>#REF!</f>
        <v>#REF!</v>
      </c>
      <c r="D74" s="74" t="s">
        <v>19</v>
      </c>
      <c r="E74" s="73" t="s">
        <v>21</v>
      </c>
      <c r="F74" s="71" t="s">
        <v>873</v>
      </c>
      <c r="G74" s="71" t="s">
        <v>872</v>
      </c>
      <c r="H74" s="72" t="s">
        <v>1058</v>
      </c>
      <c r="I74" s="71" t="s">
        <v>828</v>
      </c>
      <c r="J74" s="67">
        <v>45875</v>
      </c>
      <c r="K74" s="70"/>
      <c r="L74" s="69" t="str">
        <f>IFERROR(VLOOKUP(I74,[2]보도매체!$A:$C,2,FALSE), "")</f>
        <v>01_TV-중앙</v>
      </c>
      <c r="M74" s="68">
        <f>IFERROR(VLOOKUP(I74,[2]보도매체!$A:$C,3,FALSE), "")</f>
        <v>8</v>
      </c>
      <c r="N74" s="3"/>
    </row>
    <row r="75" spans="1:14" x14ac:dyDescent="0.3">
      <c r="A75" s="1">
        <v>74</v>
      </c>
      <c r="B75" s="35" t="s">
        <v>29</v>
      </c>
      <c r="C75" s="35" t="e">
        <f>#REF!</f>
        <v>#REF!</v>
      </c>
      <c r="D75" s="30" t="s">
        <v>14</v>
      </c>
      <c r="E75" s="12" t="s">
        <v>859</v>
      </c>
      <c r="F75" s="37" t="s">
        <v>897</v>
      </c>
      <c r="G75" s="37" t="s">
        <v>896</v>
      </c>
      <c r="H75" s="40" t="s">
        <v>906</v>
      </c>
      <c r="I75" s="1" t="s">
        <v>846</v>
      </c>
      <c r="J75" s="3">
        <v>45877</v>
      </c>
      <c r="K75" s="26">
        <v>8</v>
      </c>
      <c r="L75" s="36" t="str">
        <f>IFERROR(VLOOKUP(I75,[2]보도매체!$A:$C,2,FALSE), "")</f>
        <v>09_지방일간지</v>
      </c>
      <c r="M75" s="38">
        <f>IFERROR(VLOOKUP(I75,[2]보도매체!$A:$C,3,FALSE), "")</f>
        <v>1.5</v>
      </c>
      <c r="N75" s="3"/>
    </row>
    <row r="76" spans="1:14" x14ac:dyDescent="0.3">
      <c r="A76" s="1">
        <v>75</v>
      </c>
      <c r="B76" s="35" t="s">
        <v>29</v>
      </c>
      <c r="C76" s="35" t="e">
        <f>#REF!</f>
        <v>#REF!</v>
      </c>
      <c r="D76" s="30" t="s">
        <v>14</v>
      </c>
      <c r="E76" s="12" t="s">
        <v>859</v>
      </c>
      <c r="F76" s="37" t="s">
        <v>897</v>
      </c>
      <c r="G76" s="37" t="s">
        <v>896</v>
      </c>
      <c r="H76" s="40" t="s">
        <v>1057</v>
      </c>
      <c r="I76" s="1" t="s">
        <v>920</v>
      </c>
      <c r="J76" s="3">
        <v>45877</v>
      </c>
      <c r="K76" s="26">
        <v>4</v>
      </c>
      <c r="L76" s="36" t="str">
        <f>IFERROR(VLOOKUP(I76,[2]보도매체!$A:$C,2,FALSE), "")</f>
        <v>09_지방일간지</v>
      </c>
      <c r="M76" s="38">
        <f>IFERROR(VLOOKUP(I76,[2]보도매체!$A:$C,3,FALSE), "")</f>
        <v>1.5</v>
      </c>
      <c r="N76" s="3"/>
    </row>
    <row r="77" spans="1:14" x14ac:dyDescent="0.3">
      <c r="A77" s="1">
        <v>76</v>
      </c>
      <c r="B77" s="35" t="s">
        <v>29</v>
      </c>
      <c r="C77" s="35" t="e">
        <f>#REF!</f>
        <v>#REF!</v>
      </c>
      <c r="D77" s="30" t="s">
        <v>14</v>
      </c>
      <c r="E77" s="12" t="s">
        <v>859</v>
      </c>
      <c r="F77" s="37" t="s">
        <v>897</v>
      </c>
      <c r="G77" s="37" t="s">
        <v>896</v>
      </c>
      <c r="H77" s="40" t="s">
        <v>1056</v>
      </c>
      <c r="I77" s="1" t="s">
        <v>925</v>
      </c>
      <c r="J77" s="3">
        <v>45877</v>
      </c>
      <c r="K77" s="26">
        <v>4</v>
      </c>
      <c r="L77" s="36" t="str">
        <f>IFERROR(VLOOKUP(I77,[2]보도매체!$A:$C,2,FALSE), "")</f>
        <v>09_지방일간지</v>
      </c>
      <c r="M77" s="38">
        <f>IFERROR(VLOOKUP(I77,[2]보도매체!$A:$C,3,FALSE), "")</f>
        <v>1.5</v>
      </c>
      <c r="N77" s="3"/>
    </row>
    <row r="78" spans="1:14" x14ac:dyDescent="0.3">
      <c r="A78" s="1">
        <v>77</v>
      </c>
      <c r="B78" s="35" t="s">
        <v>29</v>
      </c>
      <c r="C78" s="35" t="e">
        <f>#REF!</f>
        <v>#REF!</v>
      </c>
      <c r="D78" s="30" t="s">
        <v>14</v>
      </c>
      <c r="E78" s="12" t="s">
        <v>859</v>
      </c>
      <c r="F78" s="37" t="s">
        <v>897</v>
      </c>
      <c r="G78" s="37" t="s">
        <v>896</v>
      </c>
      <c r="H78" s="40" t="s">
        <v>1055</v>
      </c>
      <c r="I78" s="1" t="s">
        <v>1054</v>
      </c>
      <c r="J78" s="3">
        <v>45877</v>
      </c>
      <c r="K78" s="26">
        <v>6</v>
      </c>
      <c r="L78" s="36" t="str">
        <f>IFERROR(VLOOKUP(I78,[2]보도매체!$A:$C,2,FALSE), "")</f>
        <v>09_지방일간지</v>
      </c>
      <c r="M78" s="38">
        <f>IFERROR(VLOOKUP(I78,[2]보도매체!$A:$C,3,FALSE), "")</f>
        <v>1.5</v>
      </c>
      <c r="N78" s="3"/>
    </row>
    <row r="79" spans="1:14" x14ac:dyDescent="0.3">
      <c r="A79" s="1">
        <v>78</v>
      </c>
      <c r="B79" s="35" t="s">
        <v>29</v>
      </c>
      <c r="C79" s="35" t="e">
        <f>#REF!</f>
        <v>#REF!</v>
      </c>
      <c r="D79" s="30" t="s">
        <v>14</v>
      </c>
      <c r="E79" s="12" t="s">
        <v>859</v>
      </c>
      <c r="F79" s="37" t="s">
        <v>897</v>
      </c>
      <c r="G79" s="37" t="s">
        <v>896</v>
      </c>
      <c r="H79" s="40" t="s">
        <v>1053</v>
      </c>
      <c r="I79" s="1" t="s">
        <v>919</v>
      </c>
      <c r="J79" s="3">
        <v>45877</v>
      </c>
      <c r="K79" s="26">
        <v>6</v>
      </c>
      <c r="L79" s="36" t="str">
        <f>IFERROR(VLOOKUP(I79,[2]보도매체!$A:$C,2,FALSE), "")</f>
        <v>09_지방일간지</v>
      </c>
      <c r="M79" s="38">
        <f>IFERROR(VLOOKUP(I79,[2]보도매체!$A:$C,3,FALSE), "")</f>
        <v>1.5</v>
      </c>
      <c r="N79" s="3"/>
    </row>
    <row r="80" spans="1:14" x14ac:dyDescent="0.3">
      <c r="A80" s="1">
        <v>79</v>
      </c>
      <c r="B80" s="35" t="s">
        <v>29</v>
      </c>
      <c r="C80" s="35" t="e">
        <f>#REF!</f>
        <v>#REF!</v>
      </c>
      <c r="D80" s="30" t="s">
        <v>8</v>
      </c>
      <c r="E80" s="12" t="s">
        <v>11</v>
      </c>
      <c r="F80" s="37" t="s">
        <v>1010</v>
      </c>
      <c r="G80" s="37" t="s">
        <v>1052</v>
      </c>
      <c r="H80" s="40" t="s">
        <v>1050</v>
      </c>
      <c r="I80" s="1" t="s">
        <v>892</v>
      </c>
      <c r="J80" s="3">
        <v>45877</v>
      </c>
      <c r="K80" s="26">
        <v>12</v>
      </c>
      <c r="L80" s="36" t="str">
        <f>IFERROR(VLOOKUP(I80,[2]보도매체!$A:$C,2,FALSE), "")</f>
        <v>09_농업전문지</v>
      </c>
      <c r="M80" s="38">
        <f>IFERROR(VLOOKUP(I80,[2]보도매체!$A:$C,3,FALSE), "")</f>
        <v>1.5</v>
      </c>
      <c r="N80" s="3"/>
    </row>
    <row r="81" spans="1:14" x14ac:dyDescent="0.3">
      <c r="A81" s="1">
        <v>80</v>
      </c>
      <c r="B81" s="35" t="s">
        <v>29</v>
      </c>
      <c r="C81" s="35" t="e">
        <f>#REF!</f>
        <v>#REF!</v>
      </c>
      <c r="D81" s="30" t="s">
        <v>8</v>
      </c>
      <c r="E81" s="12" t="s">
        <v>11</v>
      </c>
      <c r="F81" s="37" t="s">
        <v>999</v>
      </c>
      <c r="G81" s="37" t="s">
        <v>1051</v>
      </c>
      <c r="H81" s="40" t="s">
        <v>1050</v>
      </c>
      <c r="I81" s="1" t="s">
        <v>892</v>
      </c>
      <c r="J81" s="3">
        <v>45877</v>
      </c>
      <c r="K81" s="26">
        <v>12</v>
      </c>
      <c r="L81" s="36" t="str">
        <f>IFERROR(VLOOKUP(I81,[2]보도매체!$A:$C,2,FALSE), "")</f>
        <v>09_농업전문지</v>
      </c>
      <c r="M81" s="38">
        <f>IFERROR(VLOOKUP(I81,[2]보도매체!$A:$C,3,FALSE), "")</f>
        <v>1.5</v>
      </c>
      <c r="N81" s="3"/>
    </row>
    <row r="82" spans="1:14" x14ac:dyDescent="0.3">
      <c r="A82" s="1">
        <v>81</v>
      </c>
      <c r="B82" s="35" t="s">
        <v>29</v>
      </c>
      <c r="C82" s="35" t="e">
        <f>#REF!</f>
        <v>#REF!</v>
      </c>
      <c r="D82" s="30" t="str">
        <f>IFERROR(VLOOKUP('[2]2022년 누적시트'!C15,[2]소속부서!$A$2:$B$20,2,FALSE), "")</f>
        <v>2_축산자원개발부</v>
      </c>
      <c r="E82" s="12" t="s">
        <v>760</v>
      </c>
      <c r="F82" s="37" t="s">
        <v>865</v>
      </c>
      <c r="G82" s="37"/>
      <c r="H82" s="40" t="s">
        <v>1049</v>
      </c>
      <c r="I82" s="1" t="s">
        <v>892</v>
      </c>
      <c r="J82" s="3">
        <v>45877</v>
      </c>
      <c r="K82" s="26">
        <v>16</v>
      </c>
      <c r="L82" s="36" t="str">
        <f>IFERROR(VLOOKUP(I82,[2]보도매체!$A:$C,2,FALSE), "")</f>
        <v>09_농업전문지</v>
      </c>
      <c r="M82" s="38">
        <f>IFERROR(VLOOKUP(I82,[2]보도매체!$A:$C,3,FALSE), "")</f>
        <v>1.5</v>
      </c>
      <c r="N82" s="3"/>
    </row>
    <row r="83" spans="1:14" x14ac:dyDescent="0.3">
      <c r="A83" s="1">
        <v>82</v>
      </c>
      <c r="B83" s="35" t="s">
        <v>29</v>
      </c>
      <c r="C83" s="35" t="e">
        <f>#REF!</f>
        <v>#REF!</v>
      </c>
      <c r="D83" s="30" t="s">
        <v>14</v>
      </c>
      <c r="E83" s="12" t="s">
        <v>939</v>
      </c>
      <c r="F83" s="37" t="s">
        <v>1008</v>
      </c>
      <c r="G83" s="37"/>
      <c r="H83" s="40" t="s">
        <v>1048</v>
      </c>
      <c r="I83" s="1" t="s">
        <v>892</v>
      </c>
      <c r="J83" s="3">
        <v>45877</v>
      </c>
      <c r="K83" s="26">
        <v>13</v>
      </c>
      <c r="L83" s="36" t="str">
        <f>IFERROR(VLOOKUP(I83,[2]보도매체!$A:$C,2,FALSE), "")</f>
        <v>09_농업전문지</v>
      </c>
      <c r="M83" s="38">
        <f>IFERROR(VLOOKUP(I83,[2]보도매체!$A:$C,3,FALSE), "")</f>
        <v>1.5</v>
      </c>
      <c r="N83" s="3"/>
    </row>
    <row r="84" spans="1:14" x14ac:dyDescent="0.3">
      <c r="A84" s="1">
        <v>83</v>
      </c>
      <c r="B84" s="35" t="s">
        <v>29</v>
      </c>
      <c r="C84" s="35" t="e">
        <f>#REF!</f>
        <v>#REF!</v>
      </c>
      <c r="D84" s="30" t="str">
        <f>IFERROR(VLOOKUP('[2]2022년 누적시트'!C17,[2]소속부서!$A$2:$B$20,2,FALSE), "")</f>
        <v>2_축산자원개발부</v>
      </c>
      <c r="E84" s="12" t="s">
        <v>20</v>
      </c>
      <c r="F84" s="37" t="s">
        <v>865</v>
      </c>
      <c r="G84" s="37"/>
      <c r="H84" s="40" t="s">
        <v>1047</v>
      </c>
      <c r="I84" s="1" t="s">
        <v>892</v>
      </c>
      <c r="J84" s="3">
        <v>45877</v>
      </c>
      <c r="K84" s="26">
        <v>5</v>
      </c>
      <c r="L84" s="36" t="str">
        <f>IFERROR(VLOOKUP(I84,[2]보도매체!$A:$C,2,FALSE), "")</f>
        <v>09_농업전문지</v>
      </c>
      <c r="M84" s="38">
        <f>IFERROR(VLOOKUP(I84,[2]보도매체!$A:$C,3,FALSE), "")</f>
        <v>1.5</v>
      </c>
      <c r="N84" s="3"/>
    </row>
    <row r="85" spans="1:14" x14ac:dyDescent="0.3">
      <c r="A85" s="1">
        <v>84</v>
      </c>
      <c r="B85" s="35" t="s">
        <v>29</v>
      </c>
      <c r="C85" s="35" t="e">
        <f>#REF!</f>
        <v>#REF!</v>
      </c>
      <c r="D85" s="74" t="s">
        <v>19</v>
      </c>
      <c r="E85" s="73" t="s">
        <v>21</v>
      </c>
      <c r="F85" s="71" t="s">
        <v>873</v>
      </c>
      <c r="G85" s="71" t="s">
        <v>872</v>
      </c>
      <c r="H85" s="72" t="s">
        <v>847</v>
      </c>
      <c r="I85" s="71" t="s">
        <v>1046</v>
      </c>
      <c r="J85" s="67">
        <v>45877</v>
      </c>
      <c r="K85" s="70"/>
      <c r="L85" s="69" t="str">
        <f>IFERROR(VLOOKUP(I85,[2]보도매체!$A:$C,2,FALSE), "")</f>
        <v>13_인터넷포털</v>
      </c>
      <c r="M85" s="68">
        <f>IFERROR(VLOOKUP(I85,[2]보도매체!$A:$C,3,FALSE), "")</f>
        <v>0.1</v>
      </c>
      <c r="N85" s="3"/>
    </row>
    <row r="86" spans="1:14" x14ac:dyDescent="0.3">
      <c r="A86" s="1">
        <v>85</v>
      </c>
      <c r="B86" s="35" t="s">
        <v>29</v>
      </c>
      <c r="C86" s="35" t="e">
        <f>#REF!</f>
        <v>#REF!</v>
      </c>
      <c r="D86" s="30" t="str">
        <f>IFERROR(VLOOKUP('[2]2022년 누적시트'!C19,[2]소속부서!$A$2:$B$20,2,FALSE), "")</f>
        <v>2_축산자원개발부</v>
      </c>
      <c r="E86" s="12" t="s">
        <v>862</v>
      </c>
      <c r="F86" s="37" t="s">
        <v>861</v>
      </c>
      <c r="G86" s="37" t="s">
        <v>860</v>
      </c>
      <c r="H86" s="40" t="s">
        <v>1045</v>
      </c>
      <c r="I86" s="1" t="s">
        <v>1000</v>
      </c>
      <c r="J86" s="3">
        <v>45877</v>
      </c>
      <c r="L86" s="36" t="str">
        <f>IFERROR(VLOOKUP(I86,[2]보도매체!$A:$C,2,FALSE), "")</f>
        <v>09_농업전문지</v>
      </c>
      <c r="M86" s="38">
        <f>IFERROR(VLOOKUP(I86,[2]보도매체!$A:$C,3,FALSE), "")</f>
        <v>1.5</v>
      </c>
      <c r="N86" s="3"/>
    </row>
    <row r="87" spans="1:14" x14ac:dyDescent="0.3">
      <c r="A87" s="1">
        <v>86</v>
      </c>
      <c r="B87" s="35" t="s">
        <v>29</v>
      </c>
      <c r="C87" s="35" t="e">
        <f>#REF!</f>
        <v>#REF!</v>
      </c>
      <c r="D87" s="74" t="s">
        <v>19</v>
      </c>
      <c r="E87" s="73" t="s">
        <v>21</v>
      </c>
      <c r="F87" s="71" t="s">
        <v>873</v>
      </c>
      <c r="G87" s="71" t="s">
        <v>872</v>
      </c>
      <c r="H87" s="72" t="s">
        <v>1044</v>
      </c>
      <c r="I87" s="71" t="s">
        <v>1043</v>
      </c>
      <c r="J87" s="67">
        <v>45878</v>
      </c>
      <c r="K87" s="70"/>
      <c r="L87" s="69" t="str">
        <f>IFERROR(VLOOKUP(I87,[2]보도매체!$A:$C,2,FALSE), "")</f>
        <v>09_지방일간지</v>
      </c>
      <c r="M87" s="68">
        <f>IFERROR(VLOOKUP(I87,[2]보도매체!$A:$C,3,FALSE), "")</f>
        <v>1.5</v>
      </c>
      <c r="N87" s="3"/>
    </row>
    <row r="88" spans="1:14" x14ac:dyDescent="0.3">
      <c r="A88" s="1">
        <v>87</v>
      </c>
      <c r="B88" s="35" t="s">
        <v>29</v>
      </c>
      <c r="C88" s="35" t="e">
        <f>#REF!</f>
        <v>#REF!</v>
      </c>
      <c r="D88" s="74" t="s">
        <v>19</v>
      </c>
      <c r="E88" s="73" t="s">
        <v>21</v>
      </c>
      <c r="F88" s="71" t="s">
        <v>873</v>
      </c>
      <c r="G88" s="71" t="s">
        <v>872</v>
      </c>
      <c r="H88" s="72" t="s">
        <v>1042</v>
      </c>
      <c r="I88" s="71" t="s">
        <v>1041</v>
      </c>
      <c r="J88" s="67">
        <v>45878</v>
      </c>
      <c r="K88" s="70"/>
      <c r="L88" s="69" t="str">
        <f>IFERROR(VLOOKUP(I88,[2]보도매체!$A:$C,2,FALSE), "")</f>
        <v>13_인터넷포털</v>
      </c>
      <c r="M88" s="68">
        <f>IFERROR(VLOOKUP(I88,[2]보도매체!$A:$C,3,FALSE), "")</f>
        <v>0.1</v>
      </c>
      <c r="N88" s="3"/>
    </row>
    <row r="89" spans="1:14" x14ac:dyDescent="0.3">
      <c r="A89" s="1">
        <v>88</v>
      </c>
      <c r="B89" s="35" t="s">
        <v>29</v>
      </c>
      <c r="C89" s="35" t="e">
        <f>#REF!</f>
        <v>#REF!</v>
      </c>
      <c r="D89" s="74" t="s">
        <v>19</v>
      </c>
      <c r="E89" s="73" t="s">
        <v>21</v>
      </c>
      <c r="F89" s="71" t="s">
        <v>873</v>
      </c>
      <c r="G89" s="71" t="s">
        <v>872</v>
      </c>
      <c r="H89" s="72" t="s">
        <v>1040</v>
      </c>
      <c r="I89" s="71" t="s">
        <v>1039</v>
      </c>
      <c r="J89" s="67">
        <v>45878</v>
      </c>
      <c r="K89" s="70"/>
      <c r="L89" s="69" t="str">
        <f>IFERROR(VLOOKUP(I89,[2]보도매체!$A:$C,2,FALSE), "")</f>
        <v>13_인터넷포털</v>
      </c>
      <c r="M89" s="68">
        <f>IFERROR(VLOOKUP(I89,[2]보도매체!$A:$C,3,FALSE), "")</f>
        <v>0.1</v>
      </c>
      <c r="N89" s="3"/>
    </row>
    <row r="90" spans="1:14" x14ac:dyDescent="0.3">
      <c r="A90" s="1">
        <v>89</v>
      </c>
      <c r="B90" s="35" t="s">
        <v>29</v>
      </c>
      <c r="C90" s="35" t="e">
        <f>#REF!</f>
        <v>#REF!</v>
      </c>
      <c r="D90" s="30" t="str">
        <f>IFERROR(VLOOKUP('[2]2022년 누적시트'!C23,[2]소속부서!$A$2:$B$20,2,FALSE), "")</f>
        <v>1_축산생명환경부</v>
      </c>
      <c r="E90" s="12" t="s">
        <v>859</v>
      </c>
      <c r="F90" s="37" t="s">
        <v>1038</v>
      </c>
      <c r="G90" s="37" t="s">
        <v>1037</v>
      </c>
      <c r="H90" s="40" t="s">
        <v>1036</v>
      </c>
      <c r="I90" s="1" t="s">
        <v>1035</v>
      </c>
      <c r="J90" s="3">
        <v>45879</v>
      </c>
      <c r="L90" s="36" t="str">
        <f>IFERROR(VLOOKUP(I90,[2]보도매체!$A:$C,2,FALSE), "")</f>
        <v>13_인터넷포털</v>
      </c>
      <c r="M90" s="38">
        <f>IFERROR(VLOOKUP(I90,[2]보도매체!$A:$C,3,FALSE), "")</f>
        <v>0.1</v>
      </c>
      <c r="N90" s="3"/>
    </row>
    <row r="91" spans="1:14" x14ac:dyDescent="0.3">
      <c r="A91" s="1">
        <v>90</v>
      </c>
      <c r="B91" s="35" t="s">
        <v>29</v>
      </c>
      <c r="C91" s="35" t="e">
        <f>#REF!</f>
        <v>#REF!</v>
      </c>
      <c r="D91" s="30" t="s">
        <v>14</v>
      </c>
      <c r="E91" s="12" t="s">
        <v>859</v>
      </c>
      <c r="F91" s="37" t="s">
        <v>943</v>
      </c>
      <c r="G91" s="37" t="s">
        <v>942</v>
      </c>
      <c r="H91" s="40" t="s">
        <v>951</v>
      </c>
      <c r="I91" s="1" t="s">
        <v>894</v>
      </c>
      <c r="J91" s="3">
        <v>45880</v>
      </c>
      <c r="L91" s="36" t="str">
        <f>IFERROR(VLOOKUP(I91,[2]보도매체!$A:$C,2,FALSE), "")</f>
        <v>09_농업전문지</v>
      </c>
      <c r="M91" s="38">
        <f>IFERROR(VLOOKUP(I91,[2]보도매체!$A:$C,3,FALSE), "")</f>
        <v>1.5</v>
      </c>
      <c r="N91" s="3"/>
    </row>
    <row r="92" spans="1:14" x14ac:dyDescent="0.3">
      <c r="A92" s="1">
        <v>91</v>
      </c>
      <c r="B92" s="35" t="s">
        <v>29</v>
      </c>
      <c r="C92" s="35" t="e">
        <f>#REF!</f>
        <v>#REF!</v>
      </c>
      <c r="D92" s="30" t="s">
        <v>14</v>
      </c>
      <c r="E92" s="12" t="s">
        <v>859</v>
      </c>
      <c r="F92" s="37" t="s">
        <v>943</v>
      </c>
      <c r="G92" s="37" t="s">
        <v>942</v>
      </c>
      <c r="H92" s="40" t="s">
        <v>1004</v>
      </c>
      <c r="I92" s="1" t="s">
        <v>975</v>
      </c>
      <c r="J92" s="3">
        <v>45880</v>
      </c>
      <c r="L92" s="36" t="str">
        <f>IFERROR(VLOOKUP(I92,[2]보도매체!$A:$C,2,FALSE), "")</f>
        <v>13_인터넷포털</v>
      </c>
      <c r="M92" s="38">
        <f>IFERROR(VLOOKUP(I92,[2]보도매체!$A:$C,3,FALSE), "")</f>
        <v>0.1</v>
      </c>
      <c r="N92" s="3"/>
    </row>
    <row r="93" spans="1:14" x14ac:dyDescent="0.3">
      <c r="A93" s="1">
        <v>92</v>
      </c>
      <c r="B93" s="35" t="s">
        <v>29</v>
      </c>
      <c r="C93" s="35" t="e">
        <f>#REF!</f>
        <v>#REF!</v>
      </c>
      <c r="D93" s="30" t="s">
        <v>14</v>
      </c>
      <c r="E93" s="12" t="s">
        <v>939</v>
      </c>
      <c r="F93" s="37" t="s">
        <v>1008</v>
      </c>
      <c r="G93" s="37" t="s">
        <v>1007</v>
      </c>
      <c r="H93" s="40" t="s">
        <v>1034</v>
      </c>
      <c r="I93" s="1" t="s">
        <v>1032</v>
      </c>
      <c r="J93" s="3">
        <v>45874</v>
      </c>
      <c r="L93" s="36" t="str">
        <f>IFERROR(VLOOKUP(I93,[2]보도매체!$A:$C,2,FALSE), "")</f>
        <v>10_기타전문지</v>
      </c>
      <c r="M93" s="38">
        <f>IFERROR(VLOOKUP(I93,[2]보도매체!$A:$C,3,FALSE), "")</f>
        <v>1</v>
      </c>
      <c r="N93" s="3"/>
    </row>
    <row r="94" spans="1:14" x14ac:dyDescent="0.3">
      <c r="A94" s="1">
        <v>93</v>
      </c>
      <c r="B94" s="35" t="s">
        <v>29</v>
      </c>
      <c r="C94" s="35" t="e">
        <f>#REF!</f>
        <v>#REF!</v>
      </c>
      <c r="D94" s="30" t="s">
        <v>8</v>
      </c>
      <c r="E94" s="12" t="s">
        <v>11</v>
      </c>
      <c r="F94" s="37" t="s">
        <v>1010</v>
      </c>
      <c r="G94" s="37"/>
      <c r="H94" s="40" t="s">
        <v>1033</v>
      </c>
      <c r="I94" s="1" t="s">
        <v>1032</v>
      </c>
      <c r="J94" s="3">
        <v>45874</v>
      </c>
      <c r="L94" s="36" t="str">
        <f>IFERROR(VLOOKUP(I94,[2]보도매체!$A:$C,2,FALSE), "")</f>
        <v>10_기타전문지</v>
      </c>
      <c r="M94" s="38">
        <f>IFERROR(VLOOKUP(I94,[2]보도매체!$A:$C,3,FALSE), "")</f>
        <v>1</v>
      </c>
      <c r="N94" s="3"/>
    </row>
    <row r="95" spans="1:14" x14ac:dyDescent="0.3">
      <c r="A95" s="1">
        <v>94</v>
      </c>
      <c r="B95" s="35" t="s">
        <v>29</v>
      </c>
      <c r="C95" s="35" t="e">
        <f>#REF!</f>
        <v>#REF!</v>
      </c>
      <c r="D95" s="30" t="str">
        <f>IFERROR(VLOOKUP('[2]2022년 누적시트'!C28,[2]소속부서!$A$2:$B$20,2,FALSE), "")</f>
        <v>2_축산자원개발부</v>
      </c>
      <c r="E95" s="12" t="s">
        <v>862</v>
      </c>
      <c r="F95" s="37" t="s">
        <v>861</v>
      </c>
      <c r="G95" s="37" t="s">
        <v>860</v>
      </c>
      <c r="H95" s="40" t="s">
        <v>1031</v>
      </c>
      <c r="I95" s="1" t="s">
        <v>1005</v>
      </c>
      <c r="J95" s="3">
        <v>45875</v>
      </c>
      <c r="L95" s="36" t="str">
        <f>IFERROR(VLOOKUP(I95,[2]보도매체!$A:$C,2,FALSE), "")</f>
        <v>13_인터넷포털</v>
      </c>
      <c r="M95" s="38">
        <f>IFERROR(VLOOKUP(I95,[2]보도매체!$A:$C,3,FALSE), "")</f>
        <v>0.1</v>
      </c>
      <c r="N95" s="3"/>
    </row>
    <row r="96" spans="1:14" x14ac:dyDescent="0.3">
      <c r="A96" s="1">
        <v>95</v>
      </c>
      <c r="B96" s="35" t="s">
        <v>29</v>
      </c>
      <c r="C96" s="35" t="e">
        <f>#REF!</f>
        <v>#REF!</v>
      </c>
      <c r="D96" s="30" t="s">
        <v>19</v>
      </c>
      <c r="E96" s="12" t="s">
        <v>20</v>
      </c>
      <c r="F96" s="37" t="s">
        <v>1030</v>
      </c>
      <c r="G96" s="37" t="s">
        <v>1029</v>
      </c>
      <c r="H96" s="40" t="s">
        <v>1028</v>
      </c>
      <c r="I96" s="1" t="s">
        <v>1005</v>
      </c>
      <c r="J96" s="3">
        <v>45870</v>
      </c>
      <c r="L96" s="36" t="str">
        <f>IFERROR(VLOOKUP(I96,[2]보도매체!$A:$C,2,FALSE), "")</f>
        <v>13_인터넷포털</v>
      </c>
      <c r="M96" s="38">
        <f>IFERROR(VLOOKUP(I96,[2]보도매체!$A:$C,3,FALSE), "")</f>
        <v>0.1</v>
      </c>
      <c r="N96" s="3"/>
    </row>
    <row r="97" spans="1:14" x14ac:dyDescent="0.3">
      <c r="A97" s="1">
        <v>96</v>
      </c>
      <c r="B97" s="35" t="s">
        <v>29</v>
      </c>
      <c r="C97" s="35" t="e">
        <f>#REF!</f>
        <v>#REF!</v>
      </c>
      <c r="D97" s="30" t="s">
        <v>8</v>
      </c>
      <c r="E97" s="12" t="s">
        <v>11</v>
      </c>
      <c r="F97" s="37" t="s">
        <v>999</v>
      </c>
      <c r="G97" s="37"/>
      <c r="H97" s="40" t="s">
        <v>1027</v>
      </c>
      <c r="I97" s="1" t="s">
        <v>1005</v>
      </c>
      <c r="J97" s="3">
        <v>45870</v>
      </c>
      <c r="L97" s="36" t="str">
        <f>IFERROR(VLOOKUP(I97,[2]보도매체!$A:$C,2,FALSE), "")</f>
        <v>13_인터넷포털</v>
      </c>
      <c r="M97" s="38">
        <f>IFERROR(VLOOKUP(I97,[2]보도매체!$A:$C,3,FALSE), "")</f>
        <v>0.1</v>
      </c>
      <c r="N97" s="3"/>
    </row>
    <row r="98" spans="1:14" x14ac:dyDescent="0.3">
      <c r="A98" s="1">
        <v>97</v>
      </c>
      <c r="B98" s="35" t="s">
        <v>29</v>
      </c>
      <c r="C98" s="35" t="e">
        <f>#REF!</f>
        <v>#REF!</v>
      </c>
      <c r="D98" s="30" t="s">
        <v>8</v>
      </c>
      <c r="E98" s="12" t="s">
        <v>11</v>
      </c>
      <c r="F98" s="37" t="s">
        <v>1012</v>
      </c>
      <c r="G98" s="37"/>
      <c r="H98" s="40" t="s">
        <v>1026</v>
      </c>
      <c r="I98" s="1" t="s">
        <v>1005</v>
      </c>
      <c r="J98" s="3">
        <v>45867</v>
      </c>
      <c r="L98" s="36" t="str">
        <f>IFERROR(VLOOKUP(I98,[2]보도매체!$A:$C,2,FALSE), "")</f>
        <v>13_인터넷포털</v>
      </c>
      <c r="M98" s="38">
        <f>IFERROR(VLOOKUP(I98,[2]보도매체!$A:$C,3,FALSE), "")</f>
        <v>0.1</v>
      </c>
      <c r="N98" s="3"/>
    </row>
    <row r="99" spans="1:14" x14ac:dyDescent="0.3">
      <c r="A99" s="1">
        <v>98</v>
      </c>
      <c r="B99" s="35" t="s">
        <v>29</v>
      </c>
      <c r="C99" s="35" t="e">
        <f>#REF!</f>
        <v>#REF!</v>
      </c>
      <c r="D99" s="30" t="s">
        <v>8</v>
      </c>
      <c r="E99" s="12" t="s">
        <v>11</v>
      </c>
      <c r="F99" s="37" t="s">
        <v>1018</v>
      </c>
      <c r="G99" s="37"/>
      <c r="H99" s="40" t="s">
        <v>1025</v>
      </c>
      <c r="I99" s="1" t="s">
        <v>1005</v>
      </c>
      <c r="J99" s="3">
        <v>45867</v>
      </c>
      <c r="L99" s="36" t="str">
        <f>IFERROR(VLOOKUP(I99,[2]보도매체!$A:$C,2,FALSE), "")</f>
        <v>13_인터넷포털</v>
      </c>
      <c r="M99" s="38">
        <f>IFERROR(VLOOKUP(I99,[2]보도매체!$A:$C,3,FALSE), "")</f>
        <v>0.1</v>
      </c>
      <c r="N99" s="33"/>
    </row>
    <row r="100" spans="1:14" x14ac:dyDescent="0.3">
      <c r="A100" s="1">
        <v>99</v>
      </c>
      <c r="B100" s="35" t="s">
        <v>29</v>
      </c>
      <c r="C100" s="35" t="e">
        <f>#REF!</f>
        <v>#REF!</v>
      </c>
      <c r="D100" s="30" t="s">
        <v>8</v>
      </c>
      <c r="E100" s="12" t="s">
        <v>11</v>
      </c>
      <c r="F100" s="37" t="s">
        <v>1018</v>
      </c>
      <c r="G100" s="37"/>
      <c r="H100" s="40" t="s">
        <v>1024</v>
      </c>
      <c r="I100" s="1" t="s">
        <v>1005</v>
      </c>
      <c r="J100" s="3">
        <v>45860</v>
      </c>
      <c r="L100" s="36" t="str">
        <f>IFERROR(VLOOKUP(I100,[2]보도매체!$A:$C,2,FALSE), "")</f>
        <v>13_인터넷포털</v>
      </c>
      <c r="M100" s="38">
        <f>IFERROR(VLOOKUP(I100,[2]보도매체!$A:$C,3,FALSE), "")</f>
        <v>0.1</v>
      </c>
      <c r="N100" s="33"/>
    </row>
    <row r="101" spans="1:14" x14ac:dyDescent="0.3">
      <c r="A101" s="1">
        <v>100</v>
      </c>
      <c r="B101" s="35" t="s">
        <v>29</v>
      </c>
      <c r="C101" s="35" t="e">
        <f>#REF!</f>
        <v>#REF!</v>
      </c>
      <c r="D101" s="30" t="s">
        <v>719</v>
      </c>
      <c r="E101" s="12" t="s">
        <v>939</v>
      </c>
      <c r="F101" s="37" t="s">
        <v>938</v>
      </c>
      <c r="G101" s="37" t="s">
        <v>1023</v>
      </c>
      <c r="H101" s="40" t="s">
        <v>1022</v>
      </c>
      <c r="I101" s="1" t="s">
        <v>1005</v>
      </c>
      <c r="J101" s="3">
        <v>45859</v>
      </c>
      <c r="L101" s="36" t="str">
        <f>IFERROR(VLOOKUP(I101,[2]보도매체!$A:$C,2,FALSE), "")</f>
        <v>13_인터넷포털</v>
      </c>
      <c r="M101" s="38">
        <f>IFERROR(VLOOKUP(I101,[2]보도매체!$A:$C,3,FALSE), "")</f>
        <v>0.1</v>
      </c>
      <c r="N101" s="33"/>
    </row>
    <row r="102" spans="1:14" x14ac:dyDescent="0.3">
      <c r="A102" s="1">
        <v>101</v>
      </c>
      <c r="B102" s="35" t="s">
        <v>29</v>
      </c>
      <c r="C102" s="35" t="e">
        <f>#REF!</f>
        <v>#REF!</v>
      </c>
      <c r="D102" s="99" t="s">
        <v>8</v>
      </c>
      <c r="E102" s="98" t="s">
        <v>86</v>
      </c>
      <c r="F102" s="96" t="s">
        <v>1021</v>
      </c>
      <c r="G102" s="96" t="s">
        <v>1020</v>
      </c>
      <c r="H102" s="97" t="s">
        <v>1016</v>
      </c>
      <c r="I102" s="96" t="s">
        <v>1005</v>
      </c>
      <c r="J102" s="95">
        <v>45859</v>
      </c>
      <c r="K102" s="94"/>
      <c r="L102" s="93" t="str">
        <f>IFERROR(VLOOKUP(I102,[2]보도매체!$A:$C,2,FALSE), "")</f>
        <v>13_인터넷포털</v>
      </c>
      <c r="M102" s="92">
        <f>IFERROR(VLOOKUP(I102,[2]보도매체!$A:$C,3,FALSE), "")</f>
        <v>0.1</v>
      </c>
      <c r="N102" s="33"/>
    </row>
    <row r="103" spans="1:14" x14ac:dyDescent="0.3">
      <c r="A103" s="1">
        <v>102</v>
      </c>
      <c r="B103" s="35" t="s">
        <v>29</v>
      </c>
      <c r="C103" s="35" t="e">
        <f>#REF!</f>
        <v>#REF!</v>
      </c>
      <c r="D103" s="99" t="s">
        <v>8</v>
      </c>
      <c r="E103" s="98" t="s">
        <v>11</v>
      </c>
      <c r="F103" s="96" t="s">
        <v>1010</v>
      </c>
      <c r="G103" s="96" t="s">
        <v>1019</v>
      </c>
      <c r="H103" s="97" t="s">
        <v>1016</v>
      </c>
      <c r="I103" s="96" t="s">
        <v>1005</v>
      </c>
      <c r="J103" s="95">
        <v>45859</v>
      </c>
      <c r="K103" s="94"/>
      <c r="L103" s="93" t="str">
        <f>IFERROR(VLOOKUP(I103,[2]보도매체!$A:$C,2,FALSE), "")</f>
        <v>13_인터넷포털</v>
      </c>
      <c r="M103" s="92">
        <f>IFERROR(VLOOKUP(I103,[2]보도매체!$A:$C,3,FALSE), "")</f>
        <v>0.1</v>
      </c>
      <c r="N103" s="33"/>
    </row>
    <row r="104" spans="1:14" x14ac:dyDescent="0.3">
      <c r="A104" s="1">
        <v>103</v>
      </c>
      <c r="B104" s="35" t="s">
        <v>29</v>
      </c>
      <c r="C104" s="35" t="e">
        <f>#REF!</f>
        <v>#REF!</v>
      </c>
      <c r="D104" s="99" t="s">
        <v>8</v>
      </c>
      <c r="E104" s="98" t="s">
        <v>11</v>
      </c>
      <c r="F104" s="96" t="s">
        <v>1018</v>
      </c>
      <c r="G104" s="96" t="s">
        <v>1017</v>
      </c>
      <c r="H104" s="97" t="s">
        <v>1016</v>
      </c>
      <c r="I104" s="96" t="s">
        <v>1005</v>
      </c>
      <c r="J104" s="95">
        <v>45859</v>
      </c>
      <c r="K104" s="94"/>
      <c r="L104" s="93" t="str">
        <f>IFERROR(VLOOKUP(I104,[2]보도매체!$A:$C,2,FALSE), "")</f>
        <v>13_인터넷포털</v>
      </c>
      <c r="M104" s="92">
        <f>IFERROR(VLOOKUP(I104,[2]보도매체!$A:$C,3,FALSE), "")</f>
        <v>0.1</v>
      </c>
      <c r="N104" s="33"/>
    </row>
    <row r="105" spans="1:14" x14ac:dyDescent="0.3">
      <c r="A105" s="1">
        <v>104</v>
      </c>
      <c r="B105" s="35" t="s">
        <v>29</v>
      </c>
      <c r="C105" s="35" t="e">
        <f>#REF!</f>
        <v>#REF!</v>
      </c>
      <c r="D105" s="30" t="s">
        <v>19</v>
      </c>
      <c r="E105" s="12" t="s">
        <v>993</v>
      </c>
      <c r="F105" s="37" t="s">
        <v>1015</v>
      </c>
      <c r="G105" s="37" t="s">
        <v>1014</v>
      </c>
      <c r="H105" s="40" t="s">
        <v>1013</v>
      </c>
      <c r="I105" s="1" t="s">
        <v>1005</v>
      </c>
      <c r="J105" s="3">
        <v>45856</v>
      </c>
      <c r="L105" s="36" t="str">
        <f>IFERROR(VLOOKUP(I105,[2]보도매체!$A:$C,2,FALSE), "")</f>
        <v>13_인터넷포털</v>
      </c>
      <c r="M105" s="38">
        <f>IFERROR(VLOOKUP(I105,[2]보도매체!$A:$C,3,FALSE), "")</f>
        <v>0.1</v>
      </c>
      <c r="N105" s="33"/>
    </row>
    <row r="106" spans="1:14" x14ac:dyDescent="0.3">
      <c r="A106" s="1">
        <v>105</v>
      </c>
      <c r="B106" s="35" t="s">
        <v>29</v>
      </c>
      <c r="C106" s="35" t="e">
        <f>#REF!</f>
        <v>#REF!</v>
      </c>
      <c r="D106" s="30" t="s">
        <v>8</v>
      </c>
      <c r="E106" s="12" t="s">
        <v>11</v>
      </c>
      <c r="F106" s="37" t="s">
        <v>1012</v>
      </c>
      <c r="G106" s="37"/>
      <c r="H106" s="40" t="s">
        <v>1011</v>
      </c>
      <c r="I106" s="1" t="s">
        <v>1005</v>
      </c>
      <c r="J106" s="3">
        <v>45855</v>
      </c>
      <c r="L106" s="36" t="str">
        <f>IFERROR(VLOOKUP(I106,[2]보도매체!$A:$C,2,FALSE), "")</f>
        <v>13_인터넷포털</v>
      </c>
      <c r="M106" s="38">
        <f>IFERROR(VLOOKUP(I106,[2]보도매체!$A:$C,3,FALSE), "")</f>
        <v>0.1</v>
      </c>
      <c r="N106" s="33"/>
    </row>
    <row r="107" spans="1:14" x14ac:dyDescent="0.3">
      <c r="A107" s="1">
        <v>106</v>
      </c>
      <c r="B107" s="35" t="s">
        <v>29</v>
      </c>
      <c r="C107" s="35" t="e">
        <f>#REF!</f>
        <v>#REF!</v>
      </c>
      <c r="D107" s="30" t="s">
        <v>8</v>
      </c>
      <c r="E107" s="12" t="s">
        <v>11</v>
      </c>
      <c r="F107" s="37" t="s">
        <v>1010</v>
      </c>
      <c r="G107" s="37"/>
      <c r="H107" s="40" t="s">
        <v>1009</v>
      </c>
      <c r="I107" s="1" t="s">
        <v>1005</v>
      </c>
      <c r="J107" s="3">
        <v>45855</v>
      </c>
      <c r="L107" s="36" t="str">
        <f>IFERROR(VLOOKUP(I107,[2]보도매체!$A:$C,2,FALSE), "")</f>
        <v>13_인터넷포털</v>
      </c>
      <c r="M107" s="38">
        <f>IFERROR(VLOOKUP(I107,[2]보도매체!$A:$C,3,FALSE), "")</f>
        <v>0.1</v>
      </c>
      <c r="N107" s="33"/>
    </row>
    <row r="108" spans="1:14" x14ac:dyDescent="0.3">
      <c r="A108" s="1">
        <v>107</v>
      </c>
      <c r="B108" s="35" t="s">
        <v>29</v>
      </c>
      <c r="C108" s="35" t="e">
        <f>#REF!</f>
        <v>#REF!</v>
      </c>
      <c r="D108" s="30" t="s">
        <v>14</v>
      </c>
      <c r="E108" s="12" t="s">
        <v>939</v>
      </c>
      <c r="F108" s="37" t="s">
        <v>1008</v>
      </c>
      <c r="G108" s="37" t="s">
        <v>1007</v>
      </c>
      <c r="H108" s="40" t="s">
        <v>1006</v>
      </c>
      <c r="I108" s="1" t="s">
        <v>1005</v>
      </c>
      <c r="J108" s="3">
        <v>45854</v>
      </c>
      <c r="L108" s="36" t="str">
        <f>IFERROR(VLOOKUP(I108,[2]보도매체!$A:$C,2,FALSE), "")</f>
        <v>13_인터넷포털</v>
      </c>
      <c r="M108" s="38">
        <f>IFERROR(VLOOKUP(I108,[2]보도매체!$A:$C,3,FALSE), "")</f>
        <v>0.1</v>
      </c>
      <c r="N108" s="3"/>
    </row>
    <row r="109" spans="1:14" x14ac:dyDescent="0.3">
      <c r="A109" s="1">
        <v>108</v>
      </c>
      <c r="B109" s="35" t="s">
        <v>29</v>
      </c>
      <c r="C109" s="35" t="e">
        <f>#REF!</f>
        <v>#REF!</v>
      </c>
      <c r="D109" s="30" t="s">
        <v>14</v>
      </c>
      <c r="E109" s="12" t="s">
        <v>859</v>
      </c>
      <c r="F109" s="37" t="s">
        <v>943</v>
      </c>
      <c r="G109" s="37" t="s">
        <v>942</v>
      </c>
      <c r="H109" s="40" t="s">
        <v>1004</v>
      </c>
      <c r="I109" s="1" t="s">
        <v>975</v>
      </c>
      <c r="J109" s="3">
        <v>45880</v>
      </c>
      <c r="L109" s="36" t="str">
        <f>IFERROR(VLOOKUP(I109,[2]보도매체!$A:$C,2,FALSE), "")</f>
        <v>13_인터넷포털</v>
      </c>
      <c r="M109" s="38">
        <f>IFERROR(VLOOKUP(I109,[2]보도매체!$A:$C,3,FALSE), "")</f>
        <v>0.1</v>
      </c>
      <c r="N109" s="3"/>
    </row>
    <row r="110" spans="1:14" x14ac:dyDescent="0.3">
      <c r="A110" s="1">
        <v>109</v>
      </c>
      <c r="B110" s="35" t="s">
        <v>29</v>
      </c>
      <c r="C110" s="35" t="e">
        <f>#REF!</f>
        <v>#REF!</v>
      </c>
      <c r="D110" s="74" t="s">
        <v>19</v>
      </c>
      <c r="E110" s="73" t="s">
        <v>21</v>
      </c>
      <c r="F110" s="71" t="s">
        <v>873</v>
      </c>
      <c r="G110" s="71" t="s">
        <v>872</v>
      </c>
      <c r="H110" s="72" t="s">
        <v>1003</v>
      </c>
      <c r="I110" s="71" t="s">
        <v>1002</v>
      </c>
      <c r="J110" s="67">
        <v>45880</v>
      </c>
      <c r="K110" s="70"/>
      <c r="L110" s="69" t="str">
        <f>IFERROR(VLOOKUP(I110,[2]보도매체!$A:$C,2,FALSE), "")</f>
        <v>02_TV-종합편성채널</v>
      </c>
      <c r="M110" s="68">
        <f>IFERROR(VLOOKUP(I110,[2]보도매체!$A:$C,3,FALSE), "")</f>
        <v>4</v>
      </c>
      <c r="N110" s="3"/>
    </row>
    <row r="111" spans="1:14" x14ac:dyDescent="0.3">
      <c r="A111" s="1">
        <v>110</v>
      </c>
      <c r="B111" s="35" t="s">
        <v>29</v>
      </c>
      <c r="C111" s="35" t="e">
        <f>#REF!</f>
        <v>#REF!</v>
      </c>
      <c r="D111" s="30" t="str">
        <f>IFERROR(VLOOKUP('[2]2022년 누적시트'!C44,[2]소속부서!$A$2:$B$20,2,FALSE), "")</f>
        <v>2_축산자원개발부</v>
      </c>
      <c r="E111" s="12" t="s">
        <v>862</v>
      </c>
      <c r="F111" s="37" t="s">
        <v>861</v>
      </c>
      <c r="G111" s="37" t="s">
        <v>860</v>
      </c>
      <c r="H111" s="40" t="s">
        <v>1001</v>
      </c>
      <c r="I111" s="1" t="s">
        <v>1000</v>
      </c>
      <c r="J111" s="3">
        <v>45880</v>
      </c>
      <c r="K111" s="26">
        <v>5</v>
      </c>
      <c r="L111" s="36" t="str">
        <f>IFERROR(VLOOKUP(I111,[2]보도매체!$A:$C,2,FALSE), "")</f>
        <v>09_농업전문지</v>
      </c>
      <c r="M111" s="38">
        <f>IFERROR(VLOOKUP(I111,[2]보도매체!$A:$C,3,FALSE), "")</f>
        <v>1.5</v>
      </c>
      <c r="N111" s="3"/>
    </row>
    <row r="112" spans="1:14" x14ac:dyDescent="0.3">
      <c r="A112" s="1">
        <v>111</v>
      </c>
      <c r="B112" s="35" t="s">
        <v>29</v>
      </c>
      <c r="C112" s="35" t="e">
        <f>#REF!</f>
        <v>#REF!</v>
      </c>
      <c r="D112" s="91" t="s">
        <v>8</v>
      </c>
      <c r="E112" s="91" t="s">
        <v>11</v>
      </c>
      <c r="F112" s="90" t="s">
        <v>999</v>
      </c>
      <c r="G112" s="90" t="s">
        <v>998</v>
      </c>
      <c r="H112" s="89" t="s">
        <v>990</v>
      </c>
      <c r="I112" s="88" t="s">
        <v>989</v>
      </c>
      <c r="J112" s="87">
        <v>45880</v>
      </c>
      <c r="K112" s="86">
        <v>10</v>
      </c>
      <c r="L112" s="85" t="str">
        <f>IFERROR(VLOOKUP(I112,[2]보도매체!$A:$C,2,FALSE), "")</f>
        <v>09_농업전문지</v>
      </c>
      <c r="M112" s="84">
        <f>IFERROR(VLOOKUP(I112,[2]보도매체!$A:$C,3,FALSE), "")</f>
        <v>1.5</v>
      </c>
      <c r="N112" s="3"/>
    </row>
    <row r="113" spans="1:14" x14ac:dyDescent="0.3">
      <c r="A113" s="1">
        <v>112</v>
      </c>
      <c r="B113" s="35" t="s">
        <v>29</v>
      </c>
      <c r="C113" s="35" t="e">
        <f>#REF!</f>
        <v>#REF!</v>
      </c>
      <c r="D113" s="91" t="s">
        <v>19</v>
      </c>
      <c r="E113" s="91" t="s">
        <v>21</v>
      </c>
      <c r="F113" s="90" t="s">
        <v>997</v>
      </c>
      <c r="G113" s="90" t="s">
        <v>996</v>
      </c>
      <c r="H113" s="89" t="s">
        <v>990</v>
      </c>
      <c r="I113" s="88" t="s">
        <v>989</v>
      </c>
      <c r="J113" s="87">
        <v>45880</v>
      </c>
      <c r="K113" s="86">
        <v>10</v>
      </c>
      <c r="L113" s="85" t="str">
        <f>IFERROR(VLOOKUP(I113,[2]보도매체!$A:$C,2,FALSE), "")</f>
        <v>09_농업전문지</v>
      </c>
      <c r="M113" s="84">
        <f>IFERROR(VLOOKUP(I113,[2]보도매체!$A:$C,3,FALSE), "")</f>
        <v>1.5</v>
      </c>
      <c r="N113" s="3"/>
    </row>
    <row r="114" spans="1:14" x14ac:dyDescent="0.3">
      <c r="A114" s="1">
        <v>113</v>
      </c>
      <c r="B114" s="35" t="s">
        <v>29</v>
      </c>
      <c r="C114" s="35" t="e">
        <f>#REF!</f>
        <v>#REF!</v>
      </c>
      <c r="D114" s="91" t="s">
        <v>19</v>
      </c>
      <c r="E114" s="91" t="s">
        <v>22</v>
      </c>
      <c r="F114" s="90" t="s">
        <v>995</v>
      </c>
      <c r="G114" s="90" t="s">
        <v>994</v>
      </c>
      <c r="H114" s="89" t="s">
        <v>990</v>
      </c>
      <c r="I114" s="88" t="s">
        <v>989</v>
      </c>
      <c r="J114" s="87">
        <v>45880</v>
      </c>
      <c r="K114" s="86">
        <v>10</v>
      </c>
      <c r="L114" s="85" t="str">
        <f>IFERROR(VLOOKUP(I114,[2]보도매체!$A:$C,2,FALSE), "")</f>
        <v>09_농업전문지</v>
      </c>
      <c r="M114" s="84">
        <f>IFERROR(VLOOKUP(I114,[2]보도매체!$A:$C,3,FALSE), "")</f>
        <v>1.5</v>
      </c>
      <c r="N114" s="3"/>
    </row>
    <row r="115" spans="1:14" x14ac:dyDescent="0.3">
      <c r="A115" s="1">
        <v>114</v>
      </c>
      <c r="B115" s="35" t="s">
        <v>29</v>
      </c>
      <c r="C115" s="35" t="e">
        <f>#REF!</f>
        <v>#REF!</v>
      </c>
      <c r="D115" s="91" t="s">
        <v>19</v>
      </c>
      <c r="E115" s="91" t="s">
        <v>993</v>
      </c>
      <c r="F115" s="90" t="s">
        <v>992</v>
      </c>
      <c r="G115" s="90" t="s">
        <v>991</v>
      </c>
      <c r="H115" s="89" t="s">
        <v>990</v>
      </c>
      <c r="I115" s="88" t="s">
        <v>989</v>
      </c>
      <c r="J115" s="87">
        <v>45880</v>
      </c>
      <c r="K115" s="86">
        <v>10</v>
      </c>
      <c r="L115" s="85" t="str">
        <f>IFERROR(VLOOKUP(I115,[2]보도매체!$A:$C,2,FALSE), "")</f>
        <v>09_농업전문지</v>
      </c>
      <c r="M115" s="84">
        <f>IFERROR(VLOOKUP(I115,[2]보도매체!$A:$C,3,FALSE), "")</f>
        <v>1.5</v>
      </c>
      <c r="N115" s="3"/>
    </row>
    <row r="116" spans="1:14" x14ac:dyDescent="0.3">
      <c r="A116" s="1">
        <v>115</v>
      </c>
      <c r="B116" s="35" t="s">
        <v>29</v>
      </c>
      <c r="C116" s="35" t="e">
        <f>#REF!</f>
        <v>#REF!</v>
      </c>
      <c r="D116" s="74" t="s">
        <v>19</v>
      </c>
      <c r="E116" s="73" t="s">
        <v>21</v>
      </c>
      <c r="F116" s="71" t="s">
        <v>873</v>
      </c>
      <c r="G116" s="71" t="s">
        <v>872</v>
      </c>
      <c r="H116" s="72" t="s">
        <v>988</v>
      </c>
      <c r="I116" s="71" t="s">
        <v>979</v>
      </c>
      <c r="J116" s="67">
        <v>45880</v>
      </c>
      <c r="K116" s="70"/>
      <c r="L116" s="69" t="str">
        <f>IFERROR(VLOOKUP(I116,[2]보도매체!$A:$C,2,FALSE), "")</f>
        <v>09_농업전문지</v>
      </c>
      <c r="M116" s="68">
        <f>IFERROR(VLOOKUP(I116,[2]보도매체!$A:$C,3,FALSE), "")</f>
        <v>1.5</v>
      </c>
      <c r="N116" s="3"/>
    </row>
    <row r="117" spans="1:14" x14ac:dyDescent="0.3">
      <c r="A117" s="1">
        <v>116</v>
      </c>
      <c r="B117" s="35" t="s">
        <v>29</v>
      </c>
      <c r="C117" s="35" t="e">
        <f>#REF!</f>
        <v>#REF!</v>
      </c>
      <c r="D117" s="30" t="s">
        <v>14</v>
      </c>
      <c r="E117" s="12" t="s">
        <v>859</v>
      </c>
      <c r="F117" s="37" t="s">
        <v>897</v>
      </c>
      <c r="G117" s="37" t="s">
        <v>896</v>
      </c>
      <c r="H117" s="40" t="s">
        <v>987</v>
      </c>
      <c r="I117" s="1" t="s">
        <v>890</v>
      </c>
      <c r="J117" s="3">
        <v>45880</v>
      </c>
      <c r="L117" s="36" t="str">
        <f>IFERROR(VLOOKUP(I117,[2]보도매체!$A:$C,2,FALSE), "")</f>
        <v>09_농업전문지</v>
      </c>
      <c r="M117" s="38">
        <f>IFERROR(VLOOKUP(I117,[2]보도매체!$A:$C,3,FALSE), "")</f>
        <v>1.5</v>
      </c>
      <c r="N117" s="3"/>
    </row>
    <row r="118" spans="1:14" x14ac:dyDescent="0.3">
      <c r="A118" s="1">
        <v>117</v>
      </c>
      <c r="B118" s="35" t="s">
        <v>29</v>
      </c>
      <c r="C118" s="35" t="e">
        <f>#REF!</f>
        <v>#REF!</v>
      </c>
      <c r="D118" s="74" t="s">
        <v>719</v>
      </c>
      <c r="E118" s="73" t="s">
        <v>905</v>
      </c>
      <c r="F118" s="71" t="s">
        <v>982</v>
      </c>
      <c r="G118" s="71" t="s">
        <v>981</v>
      </c>
      <c r="H118" s="72" t="s">
        <v>986</v>
      </c>
      <c r="I118" s="71" t="s">
        <v>890</v>
      </c>
      <c r="J118" s="67">
        <v>45881</v>
      </c>
      <c r="K118" s="70"/>
      <c r="L118" s="69" t="str">
        <f>IFERROR(VLOOKUP(I118,[2]보도매체!$A:$C,2,FALSE), "")</f>
        <v>09_농업전문지</v>
      </c>
      <c r="M118" s="68">
        <f>IFERROR(VLOOKUP(I118,[2]보도매체!$A:$C,3,FALSE), "")</f>
        <v>1.5</v>
      </c>
      <c r="N118" s="33"/>
    </row>
    <row r="119" spans="1:14" x14ac:dyDescent="0.3">
      <c r="A119" s="1">
        <v>118</v>
      </c>
      <c r="B119" s="35" t="s">
        <v>29</v>
      </c>
      <c r="C119" s="35" t="e">
        <f>#REF!</f>
        <v>#REF!</v>
      </c>
      <c r="D119" s="30" t="s">
        <v>14</v>
      </c>
      <c r="E119" s="12" t="s">
        <v>859</v>
      </c>
      <c r="F119" s="37" t="s">
        <v>943</v>
      </c>
      <c r="G119" s="37" t="s">
        <v>942</v>
      </c>
      <c r="H119" s="40" t="s">
        <v>985</v>
      </c>
      <c r="I119" s="1" t="s">
        <v>984</v>
      </c>
      <c r="J119" s="3">
        <v>45881</v>
      </c>
      <c r="L119" s="36" t="str">
        <f>IFERROR(VLOOKUP(I119,[2]보도매체!$A:$C,2,FALSE), "")</f>
        <v>09_지방일간지</v>
      </c>
      <c r="M119" s="38">
        <f>IFERROR(VLOOKUP(I119,[2]보도매체!$A:$C,3,FALSE), "")</f>
        <v>1.5</v>
      </c>
      <c r="N119" s="33"/>
    </row>
    <row r="120" spans="1:14" x14ac:dyDescent="0.3">
      <c r="A120" s="1">
        <v>119</v>
      </c>
      <c r="B120" s="35" t="s">
        <v>29</v>
      </c>
      <c r="C120" s="35" t="e">
        <f>#REF!</f>
        <v>#REF!</v>
      </c>
      <c r="D120" s="30" t="s">
        <v>14</v>
      </c>
      <c r="E120" s="12" t="s">
        <v>859</v>
      </c>
      <c r="F120" s="37" t="s">
        <v>943</v>
      </c>
      <c r="G120" s="37" t="s">
        <v>942</v>
      </c>
      <c r="H120" s="40" t="s">
        <v>983</v>
      </c>
      <c r="I120" s="1" t="s">
        <v>907</v>
      </c>
      <c r="J120" s="3">
        <v>45881</v>
      </c>
      <c r="L120" s="36" t="str">
        <f>IFERROR(VLOOKUP(I120,[2]보도매체!$A:$C,2,FALSE), "")</f>
        <v>09_농업전문지</v>
      </c>
      <c r="M120" s="38">
        <f>IFERROR(VLOOKUP(I120,[2]보도매체!$A:$C,3,FALSE), "")</f>
        <v>1.5</v>
      </c>
      <c r="N120" s="33"/>
    </row>
    <row r="121" spans="1:14" x14ac:dyDescent="0.3">
      <c r="A121" s="1">
        <v>120</v>
      </c>
      <c r="B121" s="35" t="s">
        <v>29</v>
      </c>
      <c r="C121" s="35" t="e">
        <f>#REF!</f>
        <v>#REF!</v>
      </c>
      <c r="D121" s="74" t="s">
        <v>719</v>
      </c>
      <c r="E121" s="73" t="s">
        <v>905</v>
      </c>
      <c r="F121" s="71" t="s">
        <v>982</v>
      </c>
      <c r="G121" s="71" t="s">
        <v>981</v>
      </c>
      <c r="H121" s="72" t="s">
        <v>980</v>
      </c>
      <c r="I121" s="71" t="s">
        <v>979</v>
      </c>
      <c r="J121" s="67">
        <v>45853</v>
      </c>
      <c r="K121" s="70"/>
      <c r="L121" s="69" t="str">
        <f>IFERROR(VLOOKUP(I121,[2]보도매체!$A:$C,2,FALSE), "")</f>
        <v>09_농업전문지</v>
      </c>
      <c r="M121" s="68">
        <f>IFERROR(VLOOKUP(I121,[2]보도매체!$A:$C,3,FALSE), "")</f>
        <v>1.5</v>
      </c>
      <c r="N121" s="33"/>
    </row>
    <row r="122" spans="1:14" x14ac:dyDescent="0.3">
      <c r="A122" s="1">
        <v>121</v>
      </c>
      <c r="B122" s="35" t="s">
        <v>29</v>
      </c>
      <c r="C122" s="35" t="e">
        <f>#REF!</f>
        <v>#REF!</v>
      </c>
      <c r="D122" s="30" t="s">
        <v>14</v>
      </c>
      <c r="E122" s="12" t="s">
        <v>859</v>
      </c>
      <c r="F122" s="37" t="s">
        <v>897</v>
      </c>
      <c r="G122" s="37" t="s">
        <v>896</v>
      </c>
      <c r="H122" s="40" t="s">
        <v>978</v>
      </c>
      <c r="I122" s="1" t="s">
        <v>977</v>
      </c>
      <c r="J122" s="3">
        <v>45881</v>
      </c>
      <c r="L122" s="36" t="str">
        <f>IFERROR(VLOOKUP(I122,[2]보도매체!$A:$C,2,FALSE), "")</f>
        <v>13_인터넷포털</v>
      </c>
      <c r="M122" s="38">
        <f>IFERROR(VLOOKUP(I122,[2]보도매체!$A:$C,3,FALSE), "")</f>
        <v>0.1</v>
      </c>
      <c r="N122" s="33"/>
    </row>
    <row r="123" spans="1:14" x14ac:dyDescent="0.3">
      <c r="A123" s="1">
        <v>122</v>
      </c>
      <c r="B123" s="35" t="s">
        <v>29</v>
      </c>
      <c r="C123" s="35" t="e">
        <f>#REF!</f>
        <v>#REF!</v>
      </c>
      <c r="D123" s="30" t="s">
        <v>14</v>
      </c>
      <c r="E123" s="12" t="s">
        <v>905</v>
      </c>
      <c r="F123" s="37" t="s">
        <v>963</v>
      </c>
      <c r="G123" s="37" t="s">
        <v>962</v>
      </c>
      <c r="H123" s="40" t="s">
        <v>976</v>
      </c>
      <c r="I123" s="1" t="s">
        <v>975</v>
      </c>
      <c r="J123" s="3">
        <v>45881</v>
      </c>
      <c r="L123" s="36" t="str">
        <f>IFERROR(VLOOKUP(I123,[2]보도매체!$A:$C,2,FALSE), "")</f>
        <v>13_인터넷포털</v>
      </c>
      <c r="M123" s="38">
        <f>IFERROR(VLOOKUP(I123,[2]보도매체!$A:$C,3,FALSE), "")</f>
        <v>0.1</v>
      </c>
      <c r="N123" s="33"/>
    </row>
    <row r="124" spans="1:14" x14ac:dyDescent="0.3">
      <c r="A124" s="1">
        <v>123</v>
      </c>
      <c r="B124" s="35" t="s">
        <v>29</v>
      </c>
      <c r="C124" s="35" t="e">
        <f>#REF!</f>
        <v>#REF!</v>
      </c>
      <c r="D124" s="30" t="s">
        <v>14</v>
      </c>
      <c r="E124" s="12" t="s">
        <v>905</v>
      </c>
      <c r="F124" s="37" t="s">
        <v>963</v>
      </c>
      <c r="G124" s="37" t="s">
        <v>962</v>
      </c>
      <c r="H124" s="40" t="s">
        <v>974</v>
      </c>
      <c r="I124" s="1" t="s">
        <v>804</v>
      </c>
      <c r="J124" s="3">
        <v>45881</v>
      </c>
      <c r="L124" s="36" t="str">
        <f>IFERROR(VLOOKUP(I124,[2]보도매체!$A:$C,2,FALSE), "")</f>
        <v>07_중앙일간지</v>
      </c>
      <c r="M124" s="38">
        <f>IFERROR(VLOOKUP(I124,[2]보도매체!$A:$C,3,FALSE), "")</f>
        <v>5</v>
      </c>
      <c r="N124" s="33"/>
    </row>
    <row r="125" spans="1:14" x14ac:dyDescent="0.3">
      <c r="A125" s="1">
        <v>124</v>
      </c>
      <c r="B125" s="35" t="s">
        <v>29</v>
      </c>
      <c r="C125" s="35" t="e">
        <f>#REF!</f>
        <v>#REF!</v>
      </c>
      <c r="D125" s="30" t="s">
        <v>14</v>
      </c>
      <c r="E125" s="12" t="s">
        <v>859</v>
      </c>
      <c r="F125" s="37" t="s">
        <v>897</v>
      </c>
      <c r="G125" s="37" t="s">
        <v>896</v>
      </c>
      <c r="H125" s="40" t="s">
        <v>973</v>
      </c>
      <c r="I125" s="1" t="s">
        <v>959</v>
      </c>
      <c r="J125" s="3">
        <v>45881</v>
      </c>
      <c r="L125" s="36" t="str">
        <f>IFERROR(VLOOKUP(I125,[2]보도매체!$A:$C,2,FALSE), "")</f>
        <v>13_인터넷포털</v>
      </c>
      <c r="M125" s="38">
        <f>IFERROR(VLOOKUP(I125,[2]보도매체!$A:$C,3,FALSE), "")</f>
        <v>0.1</v>
      </c>
      <c r="N125" s="33"/>
    </row>
    <row r="126" spans="1:14" x14ac:dyDescent="0.3">
      <c r="A126" s="1">
        <v>125</v>
      </c>
      <c r="B126" s="35" t="s">
        <v>29</v>
      </c>
      <c r="C126" s="35" t="e">
        <f>#REF!</f>
        <v>#REF!</v>
      </c>
      <c r="D126" s="30" t="s">
        <v>14</v>
      </c>
      <c r="E126" s="12" t="s">
        <v>905</v>
      </c>
      <c r="F126" s="37" t="s">
        <v>963</v>
      </c>
      <c r="G126" s="37" t="s">
        <v>962</v>
      </c>
      <c r="H126" s="40" t="s">
        <v>972</v>
      </c>
      <c r="I126" s="1" t="s">
        <v>971</v>
      </c>
      <c r="J126" s="3">
        <v>45881</v>
      </c>
      <c r="L126" s="36" t="str">
        <f>IFERROR(VLOOKUP(I126,[2]보도매체!$A:$C,2,FALSE), "")</f>
        <v>02_TV-케이블중앙</v>
      </c>
      <c r="M126" s="38">
        <f>IFERROR(VLOOKUP(I126,[2]보도매체!$A:$C,3,FALSE), "")</f>
        <v>4</v>
      </c>
      <c r="N126" s="33"/>
    </row>
    <row r="127" spans="1:14" x14ac:dyDescent="0.3">
      <c r="A127" s="1">
        <v>126</v>
      </c>
      <c r="B127" s="35" t="s">
        <v>29</v>
      </c>
      <c r="C127" s="35" t="e">
        <f>#REF!</f>
        <v>#REF!</v>
      </c>
      <c r="D127" s="30" t="s">
        <v>14</v>
      </c>
      <c r="E127" s="12" t="s">
        <v>905</v>
      </c>
      <c r="F127" s="37" t="s">
        <v>963</v>
      </c>
      <c r="G127" s="37" t="s">
        <v>962</v>
      </c>
      <c r="H127" s="40" t="s">
        <v>970</v>
      </c>
      <c r="I127" s="1" t="s">
        <v>806</v>
      </c>
      <c r="J127" s="3">
        <v>45881</v>
      </c>
      <c r="L127" s="36" t="str">
        <f>IFERROR(VLOOKUP(I127,[2]보도매체!$A:$C,2,FALSE), "")</f>
        <v>07_중앙일간지</v>
      </c>
      <c r="M127" s="38">
        <f>IFERROR(VLOOKUP(I127,[2]보도매체!$A:$C,3,FALSE), "")</f>
        <v>5</v>
      </c>
      <c r="N127" s="3"/>
    </row>
    <row r="128" spans="1:14" x14ac:dyDescent="0.3">
      <c r="A128" s="1">
        <v>127</v>
      </c>
      <c r="B128" s="35" t="s">
        <v>29</v>
      </c>
      <c r="C128" s="35" t="e">
        <f>#REF!</f>
        <v>#REF!</v>
      </c>
      <c r="D128" s="30" t="s">
        <v>14</v>
      </c>
      <c r="E128" s="12" t="s">
        <v>859</v>
      </c>
      <c r="F128" s="37" t="s">
        <v>897</v>
      </c>
      <c r="G128" s="37" t="s">
        <v>896</v>
      </c>
      <c r="H128" s="40" t="s">
        <v>969</v>
      </c>
      <c r="I128" s="1" t="s">
        <v>784</v>
      </c>
      <c r="J128" s="3">
        <v>45880</v>
      </c>
      <c r="L128" s="36" t="str">
        <f>IFERROR(VLOOKUP(I128,[2]보도매체!$A:$C,2,FALSE), "")</f>
        <v>03_TV-케이블지방</v>
      </c>
      <c r="M128" s="38">
        <f>IFERROR(VLOOKUP(I128,[2]보도매체!$A:$C,3,FALSE), "")</f>
        <v>2.5</v>
      </c>
      <c r="N128" s="3"/>
    </row>
    <row r="129" spans="1:14" x14ac:dyDescent="0.3">
      <c r="A129" s="1">
        <v>128</v>
      </c>
      <c r="B129" s="35" t="s">
        <v>29</v>
      </c>
      <c r="C129" s="35" t="e">
        <f>#REF!</f>
        <v>#REF!</v>
      </c>
      <c r="D129" s="30" t="s">
        <v>14</v>
      </c>
      <c r="E129" s="12" t="s">
        <v>859</v>
      </c>
      <c r="F129" s="37" t="s">
        <v>897</v>
      </c>
      <c r="G129" s="37" t="s">
        <v>896</v>
      </c>
      <c r="H129" s="40" t="s">
        <v>968</v>
      </c>
      <c r="I129" s="1" t="s">
        <v>965</v>
      </c>
      <c r="J129" s="3">
        <v>45881</v>
      </c>
      <c r="K129" s="26">
        <v>9</v>
      </c>
      <c r="L129" s="36" t="str">
        <f>IFERROR(VLOOKUP(I129,[2]보도매체!$A:$C,2,FALSE), "")</f>
        <v>09_농업전문지</v>
      </c>
      <c r="M129" s="38">
        <f>IFERROR(VLOOKUP(I129,[2]보도매체!$A:$C,3,FALSE), "")</f>
        <v>1.5</v>
      </c>
      <c r="N129" s="3"/>
    </row>
    <row r="130" spans="1:14" x14ac:dyDescent="0.3">
      <c r="A130" s="1">
        <v>129</v>
      </c>
      <c r="B130" s="35" t="s">
        <v>29</v>
      </c>
      <c r="C130" s="35" t="e">
        <f>#REF!</f>
        <v>#REF!</v>
      </c>
      <c r="D130" s="74" t="s">
        <v>19</v>
      </c>
      <c r="E130" s="73" t="s">
        <v>21</v>
      </c>
      <c r="F130" s="71" t="s">
        <v>873</v>
      </c>
      <c r="G130" s="71" t="s">
        <v>872</v>
      </c>
      <c r="H130" s="72" t="s">
        <v>967</v>
      </c>
      <c r="I130" s="71" t="s">
        <v>892</v>
      </c>
      <c r="J130" s="67">
        <v>45881</v>
      </c>
      <c r="K130" s="70"/>
      <c r="L130" s="69" t="str">
        <f>IFERROR(VLOOKUP(I130,[2]보도매체!$A:$C,2,FALSE), "")</f>
        <v>09_농업전문지</v>
      </c>
      <c r="M130" s="68">
        <f>IFERROR(VLOOKUP(I130,[2]보도매체!$A:$C,3,FALSE), "")</f>
        <v>1.5</v>
      </c>
      <c r="N130" s="3"/>
    </row>
    <row r="131" spans="1:14" x14ac:dyDescent="0.3">
      <c r="A131" s="1">
        <v>130</v>
      </c>
      <c r="B131" s="35" t="s">
        <v>29</v>
      </c>
      <c r="C131" s="35" t="e">
        <f>#REF!</f>
        <v>#REF!</v>
      </c>
      <c r="D131" s="74" t="s">
        <v>19</v>
      </c>
      <c r="E131" s="73" t="s">
        <v>21</v>
      </c>
      <c r="F131" s="71" t="s">
        <v>873</v>
      </c>
      <c r="G131" s="71" t="s">
        <v>872</v>
      </c>
      <c r="H131" s="72" t="s">
        <v>966</v>
      </c>
      <c r="I131" s="71" t="s">
        <v>965</v>
      </c>
      <c r="J131" s="67">
        <v>45881</v>
      </c>
      <c r="K131" s="70"/>
      <c r="L131" s="69" t="str">
        <f>IFERROR(VLOOKUP(I131,[2]보도매체!$A:$C,2,FALSE), "")</f>
        <v>09_농업전문지</v>
      </c>
      <c r="M131" s="68">
        <f>IFERROR(VLOOKUP(I131,[2]보도매체!$A:$C,3,FALSE), "")</f>
        <v>1.5</v>
      </c>
      <c r="N131" s="3"/>
    </row>
    <row r="132" spans="1:14" x14ac:dyDescent="0.3">
      <c r="A132" s="1">
        <v>131</v>
      </c>
      <c r="B132" s="35" t="s">
        <v>29</v>
      </c>
      <c r="C132" s="35" t="e">
        <f>#REF!</f>
        <v>#REF!</v>
      </c>
      <c r="D132" s="30" t="s">
        <v>14</v>
      </c>
      <c r="E132" s="12" t="s">
        <v>905</v>
      </c>
      <c r="F132" s="37" t="s">
        <v>963</v>
      </c>
      <c r="G132" s="37" t="s">
        <v>962</v>
      </c>
      <c r="H132" s="40" t="s">
        <v>964</v>
      </c>
      <c r="I132" s="1" t="s">
        <v>894</v>
      </c>
      <c r="J132" s="3">
        <v>45882</v>
      </c>
      <c r="L132" s="36" t="str">
        <f>IFERROR(VLOOKUP(I132,[2]보도매체!$A:$C,2,FALSE), "")</f>
        <v>09_농업전문지</v>
      </c>
      <c r="M132" s="38">
        <f>IFERROR(VLOOKUP(I132,[2]보도매체!$A:$C,3,FALSE), "")</f>
        <v>1.5</v>
      </c>
      <c r="N132" s="3"/>
    </row>
    <row r="133" spans="1:14" x14ac:dyDescent="0.3">
      <c r="A133" s="1">
        <v>132</v>
      </c>
      <c r="B133" s="35" t="s">
        <v>29</v>
      </c>
      <c r="C133" s="35" t="e">
        <f>#REF!</f>
        <v>#REF!</v>
      </c>
      <c r="D133" s="30" t="s">
        <v>14</v>
      </c>
      <c r="E133" s="12" t="s">
        <v>905</v>
      </c>
      <c r="F133" s="37" t="s">
        <v>963</v>
      </c>
      <c r="G133" s="37" t="s">
        <v>962</v>
      </c>
      <c r="H133" s="40" t="s">
        <v>961</v>
      </c>
      <c r="I133" s="1" t="s">
        <v>786</v>
      </c>
      <c r="J133" s="3">
        <v>45882</v>
      </c>
      <c r="L133" s="36" t="str">
        <f>IFERROR(VLOOKUP(I133,[2]보도매체!$A:$C,2,FALSE), "")</f>
        <v>13_인터넷포털</v>
      </c>
      <c r="M133" s="38">
        <f>IFERROR(VLOOKUP(I133,[2]보도매체!$A:$C,3,FALSE), "")</f>
        <v>0.1</v>
      </c>
      <c r="N133" s="3"/>
    </row>
    <row r="134" spans="1:14" x14ac:dyDescent="0.3">
      <c r="A134" s="1">
        <v>133</v>
      </c>
      <c r="B134" s="35" t="s">
        <v>29</v>
      </c>
      <c r="C134" s="35" t="e">
        <f>#REF!</f>
        <v>#REF!</v>
      </c>
      <c r="D134" s="30" t="s">
        <v>14</v>
      </c>
      <c r="E134" s="12" t="s">
        <v>859</v>
      </c>
      <c r="F134" s="37" t="s">
        <v>943</v>
      </c>
      <c r="G134" s="37" t="s">
        <v>942</v>
      </c>
      <c r="H134" s="40" t="s">
        <v>960</v>
      </c>
      <c r="I134" s="1" t="s">
        <v>959</v>
      </c>
      <c r="J134" s="3">
        <v>45882</v>
      </c>
      <c r="L134" s="36" t="str">
        <f>IFERROR(VLOOKUP(I134,[2]보도매체!$A:$C,2,FALSE), "")</f>
        <v>13_인터넷포털</v>
      </c>
      <c r="M134" s="38">
        <f>IFERROR(VLOOKUP(I134,[2]보도매체!$A:$C,3,FALSE), "")</f>
        <v>0.1</v>
      </c>
      <c r="N134" s="3"/>
    </row>
    <row r="135" spans="1:14" x14ac:dyDescent="0.3">
      <c r="A135" s="1">
        <v>134</v>
      </c>
      <c r="B135" s="35" t="s">
        <v>29</v>
      </c>
      <c r="C135" s="35" t="e">
        <f>#REF!</f>
        <v>#REF!</v>
      </c>
      <c r="D135" s="30" t="s">
        <v>14</v>
      </c>
      <c r="E135" s="12" t="s">
        <v>859</v>
      </c>
      <c r="F135" s="37" t="s">
        <v>897</v>
      </c>
      <c r="G135" s="37" t="s">
        <v>896</v>
      </c>
      <c r="H135" s="40" t="s">
        <v>958</v>
      </c>
      <c r="I135" s="1" t="s">
        <v>957</v>
      </c>
      <c r="J135" s="3">
        <v>45882</v>
      </c>
      <c r="L135" s="36" t="str">
        <f>IFERROR(VLOOKUP(I135,[2]보도매체!$A:$C,2,FALSE), "")</f>
        <v>13_인터넷포털</v>
      </c>
      <c r="M135" s="38">
        <f>IFERROR(VLOOKUP(I135,[2]보도매체!$A:$C,3,FALSE), "")</f>
        <v>0.1</v>
      </c>
      <c r="N135" s="3"/>
    </row>
    <row r="136" spans="1:14" x14ac:dyDescent="0.3">
      <c r="A136" s="1">
        <v>135</v>
      </c>
      <c r="B136" s="35" t="s">
        <v>29</v>
      </c>
      <c r="C136" s="35" t="e">
        <f>#REF!</f>
        <v>#REF!</v>
      </c>
      <c r="D136" s="30" t="str">
        <f>IFERROR(VLOOKUP('[2]2022년 누적시트'!C69,[2]소속부서!$A$2:$B$20,2,FALSE), "")</f>
        <v>1_축산생명환경부</v>
      </c>
      <c r="E136" s="12" t="s">
        <v>905</v>
      </c>
      <c r="F136" s="37" t="s">
        <v>956</v>
      </c>
      <c r="G136" s="37" t="s">
        <v>955</v>
      </c>
      <c r="H136" s="40" t="s">
        <v>954</v>
      </c>
      <c r="I136" s="1" t="s">
        <v>821</v>
      </c>
      <c r="J136" s="3">
        <v>45882</v>
      </c>
      <c r="L136" s="36" t="str">
        <f>IFERROR(VLOOKUP(I136,[2]보도매체!$A:$C,2,FALSE), "")</f>
        <v>13_인터넷포털</v>
      </c>
      <c r="M136" s="38">
        <f>IFERROR(VLOOKUP(I136,[2]보도매체!$A:$C,3,FALSE), "")</f>
        <v>0.1</v>
      </c>
      <c r="N136" s="3"/>
    </row>
    <row r="137" spans="1:14" x14ac:dyDescent="0.3">
      <c r="A137" s="1">
        <v>136</v>
      </c>
      <c r="B137" s="35" t="s">
        <v>29</v>
      </c>
      <c r="C137" s="35" t="e">
        <f>#REF!</f>
        <v>#REF!</v>
      </c>
      <c r="D137" s="30" t="s">
        <v>14</v>
      </c>
      <c r="E137" s="12" t="s">
        <v>859</v>
      </c>
      <c r="F137" s="37" t="s">
        <v>943</v>
      </c>
      <c r="G137" s="37" t="s">
        <v>942</v>
      </c>
      <c r="H137" s="40" t="s">
        <v>953</v>
      </c>
      <c r="I137" s="1" t="s">
        <v>952</v>
      </c>
      <c r="J137" s="3">
        <v>45882</v>
      </c>
      <c r="L137" s="36" t="str">
        <f>IFERROR(VLOOKUP(I137,[2]보도매체!$A:$C,2,FALSE), "")</f>
        <v>13_인터넷포털</v>
      </c>
      <c r="M137" s="38">
        <f>IFERROR(VLOOKUP(I137,[2]보도매체!$A:$C,3,FALSE), "")</f>
        <v>0.1</v>
      </c>
      <c r="N137" s="3"/>
    </row>
    <row r="138" spans="1:14" x14ac:dyDescent="0.3">
      <c r="A138" s="1">
        <v>137</v>
      </c>
      <c r="B138" s="35" t="s">
        <v>29</v>
      </c>
      <c r="C138" s="35" t="e">
        <f>#REF!</f>
        <v>#REF!</v>
      </c>
      <c r="D138" s="30" t="s">
        <v>14</v>
      </c>
      <c r="E138" s="12" t="s">
        <v>859</v>
      </c>
      <c r="F138" s="37" t="s">
        <v>943</v>
      </c>
      <c r="G138" s="37" t="s">
        <v>942</v>
      </c>
      <c r="H138" s="40" t="s">
        <v>951</v>
      </c>
      <c r="I138" s="1" t="s">
        <v>950</v>
      </c>
      <c r="J138" s="3">
        <v>45882</v>
      </c>
      <c r="L138" s="36" t="str">
        <f>IFERROR(VLOOKUP(I138,[2]보도매체!$A:$C,2,FALSE), "")</f>
        <v>13_인터넷포털</v>
      </c>
      <c r="M138" s="38">
        <f>IFERROR(VLOOKUP(I138,[2]보도매체!$A:$C,3,FALSE), "")</f>
        <v>0.1</v>
      </c>
      <c r="N138" s="3"/>
    </row>
    <row r="139" spans="1:14" x14ac:dyDescent="0.3">
      <c r="A139" s="1">
        <v>138</v>
      </c>
      <c r="B139" s="35" t="s">
        <v>29</v>
      </c>
      <c r="C139" s="35" t="e">
        <f>#REF!</f>
        <v>#REF!</v>
      </c>
      <c r="D139" s="30" t="str">
        <f>IFERROR(VLOOKUP('[2]2022년 누적시트'!C72,[2]소속부서!$A$2:$B$20,2,FALSE), "")</f>
        <v>0_본원</v>
      </c>
      <c r="E139" s="12" t="s">
        <v>12</v>
      </c>
      <c r="F139" s="37" t="s">
        <v>949</v>
      </c>
      <c r="G139" s="37" t="s">
        <v>948</v>
      </c>
      <c r="H139" s="40" t="s">
        <v>947</v>
      </c>
      <c r="I139" s="1" t="s">
        <v>894</v>
      </c>
      <c r="J139" s="3">
        <v>45882</v>
      </c>
      <c r="L139" s="36" t="str">
        <f>IFERROR(VLOOKUP(I139,[2]보도매체!$A:$C,2,FALSE), "")</f>
        <v>09_농업전문지</v>
      </c>
      <c r="M139" s="38">
        <f>IFERROR(VLOOKUP(I139,[2]보도매체!$A:$C,3,FALSE), "")</f>
        <v>1.5</v>
      </c>
      <c r="N139" s="3"/>
    </row>
    <row r="140" spans="1:14" x14ac:dyDescent="0.3">
      <c r="A140" s="1">
        <v>139</v>
      </c>
      <c r="B140" s="35" t="s">
        <v>29</v>
      </c>
      <c r="C140" s="35" t="e">
        <f>#REF!</f>
        <v>#REF!</v>
      </c>
      <c r="D140" s="30" t="s">
        <v>14</v>
      </c>
      <c r="E140" s="12" t="s">
        <v>939</v>
      </c>
      <c r="F140" s="37" t="s">
        <v>945</v>
      </c>
      <c r="G140" s="37" t="s">
        <v>944</v>
      </c>
      <c r="H140" s="40" t="s">
        <v>946</v>
      </c>
      <c r="I140" s="1" t="s">
        <v>894</v>
      </c>
      <c r="J140" s="3">
        <v>45882</v>
      </c>
      <c r="L140" s="36" t="str">
        <f>IFERROR(VLOOKUP(I140,[2]보도매체!$A:$C,2,FALSE), "")</f>
        <v>09_농업전문지</v>
      </c>
      <c r="M140" s="38">
        <f>IFERROR(VLOOKUP(I140,[2]보도매체!$A:$C,3,FALSE), "")</f>
        <v>1.5</v>
      </c>
      <c r="N140" s="41"/>
    </row>
    <row r="141" spans="1:14" x14ac:dyDescent="0.3">
      <c r="A141" s="1">
        <v>140</v>
      </c>
      <c r="B141" s="35" t="s">
        <v>29</v>
      </c>
      <c r="C141" s="35" t="e">
        <f>#REF!</f>
        <v>#REF!</v>
      </c>
      <c r="D141" s="30" t="s">
        <v>14</v>
      </c>
      <c r="E141" s="12" t="s">
        <v>939</v>
      </c>
      <c r="F141" s="37" t="s">
        <v>945</v>
      </c>
      <c r="G141" s="37" t="s">
        <v>944</v>
      </c>
      <c r="H141" s="40" t="s">
        <v>936</v>
      </c>
      <c r="I141" s="1" t="s">
        <v>806</v>
      </c>
      <c r="J141" s="3">
        <v>45882</v>
      </c>
      <c r="L141" s="36" t="str">
        <f>IFERROR(VLOOKUP(I141,[2]보도매체!$A:$C,2,FALSE), "")</f>
        <v>07_중앙일간지</v>
      </c>
      <c r="M141" s="38">
        <f>IFERROR(VLOOKUP(I141,[2]보도매체!$A:$C,3,FALSE), "")</f>
        <v>5</v>
      </c>
      <c r="N141" s="41"/>
    </row>
    <row r="142" spans="1:14" x14ac:dyDescent="0.3">
      <c r="A142" s="1">
        <v>141</v>
      </c>
      <c r="B142" s="35" t="s">
        <v>29</v>
      </c>
      <c r="C142" s="35" t="e">
        <f>#REF!</f>
        <v>#REF!</v>
      </c>
      <c r="D142" s="30" t="s">
        <v>14</v>
      </c>
      <c r="E142" s="12" t="s">
        <v>859</v>
      </c>
      <c r="F142" s="37" t="s">
        <v>943</v>
      </c>
      <c r="G142" s="37" t="s">
        <v>942</v>
      </c>
      <c r="H142" s="40" t="s">
        <v>941</v>
      </c>
      <c r="I142" s="1" t="s">
        <v>940</v>
      </c>
      <c r="J142" s="3">
        <v>45882</v>
      </c>
      <c r="L142" s="36" t="str">
        <f>IFERROR(VLOOKUP(I142,[2]보도매체!$A:$C,2,FALSE), "")</f>
        <v>13_인터넷포털</v>
      </c>
      <c r="M142" s="38">
        <f>IFERROR(VLOOKUP(I142,[2]보도매체!$A:$C,3,FALSE), "")</f>
        <v>0.1</v>
      </c>
      <c r="N142" s="41"/>
    </row>
    <row r="143" spans="1:14" x14ac:dyDescent="0.3">
      <c r="A143" s="1">
        <v>142</v>
      </c>
      <c r="B143" s="35" t="s">
        <v>29</v>
      </c>
      <c r="C143" s="35" t="e">
        <f>#REF!</f>
        <v>#REF!</v>
      </c>
      <c r="D143" s="30" t="str">
        <f>IFERROR(VLOOKUP('[2]2022년 누적시트'!C76,[2]소속부서!$A$2:$B$20,2,FALSE), "")</f>
        <v>1_축산생명환경부</v>
      </c>
      <c r="E143" s="12" t="s">
        <v>939</v>
      </c>
      <c r="F143" s="37" t="s">
        <v>938</v>
      </c>
      <c r="G143" s="37" t="s">
        <v>937</v>
      </c>
      <c r="H143" s="40" t="s">
        <v>936</v>
      </c>
      <c r="I143" s="1" t="s">
        <v>738</v>
      </c>
      <c r="J143" s="3">
        <v>45882</v>
      </c>
      <c r="L143" s="36" t="str">
        <f>IFERROR(VLOOKUP(I143,[2]보도매체!$A:$C,2,FALSE), "")</f>
        <v>13_인터넷포털</v>
      </c>
      <c r="M143" s="38">
        <f>IFERROR(VLOOKUP(I143,[2]보도매체!$A:$C,3,FALSE), "")</f>
        <v>0.1</v>
      </c>
      <c r="N143" s="41"/>
    </row>
    <row r="144" spans="1:14" x14ac:dyDescent="0.3">
      <c r="A144" s="1">
        <v>143</v>
      </c>
      <c r="B144" s="35"/>
      <c r="C144" s="35">
        <f t="shared" ref="C129:C192" si="2">E144</f>
        <v>0</v>
      </c>
      <c r="D144" s="30" t="str">
        <f>IFERROR(VLOOKUP(C144,소속부서!$A$2:$B$20,2,FALSE), "")</f>
        <v/>
      </c>
      <c r="G144" s="37"/>
      <c r="H144" s="40"/>
      <c r="L144" s="36" t="str">
        <f>IFERROR(VLOOKUP(I144,보도매체!$A:$C,2,FALSE), "")</f>
        <v/>
      </c>
      <c r="M144" s="38" t="str">
        <f>IFERROR(VLOOKUP(I144,보도매체!$A:$C,3,FALSE), "")</f>
        <v/>
      </c>
      <c r="N144" s="41"/>
    </row>
    <row r="145" spans="1:14" x14ac:dyDescent="0.3">
      <c r="A145" s="1">
        <v>144</v>
      </c>
      <c r="B145" s="35"/>
      <c r="C145" s="35">
        <f t="shared" si="2"/>
        <v>0</v>
      </c>
      <c r="D145" s="30" t="str">
        <f>IFERROR(VLOOKUP(C145,소속부서!$A$2:$B$20,2,FALSE), "")</f>
        <v/>
      </c>
      <c r="G145" s="37"/>
      <c r="H145" s="40"/>
      <c r="I145" s="37"/>
      <c r="J145" s="41"/>
      <c r="L145" s="36" t="str">
        <f>IFERROR(VLOOKUP(I145,보도매체!$A:$C,2,FALSE), "")</f>
        <v/>
      </c>
      <c r="M145" s="38" t="str">
        <f>IFERROR(VLOOKUP(I145,보도매체!$A:$C,3,FALSE), "")</f>
        <v/>
      </c>
      <c r="N145" s="41"/>
    </row>
    <row r="146" spans="1:14" x14ac:dyDescent="0.3">
      <c r="A146" s="1">
        <v>145</v>
      </c>
      <c r="B146" s="35"/>
      <c r="C146" s="35">
        <f t="shared" si="2"/>
        <v>0</v>
      </c>
      <c r="D146" s="30" t="str">
        <f>IFERROR(VLOOKUP(C146,소속부서!$A$2:$B$20,2,FALSE), "")</f>
        <v/>
      </c>
      <c r="G146" s="37"/>
      <c r="H146" s="40"/>
      <c r="L146" s="36" t="str">
        <f>IFERROR(VLOOKUP(I146,보도매체!$A:$C,2,FALSE), "")</f>
        <v/>
      </c>
      <c r="M146" s="38" t="str">
        <f>IFERROR(VLOOKUP(I146,보도매체!$A:$C,3,FALSE), "")</f>
        <v/>
      </c>
      <c r="N146" s="41"/>
    </row>
    <row r="147" spans="1:14" x14ac:dyDescent="0.3">
      <c r="A147" s="1">
        <v>146</v>
      </c>
      <c r="B147" s="35"/>
      <c r="C147" s="35">
        <f t="shared" si="2"/>
        <v>0</v>
      </c>
      <c r="D147" s="30" t="str">
        <f>IFERROR(VLOOKUP(C147,소속부서!$A$2:$B$20,2,FALSE), "")</f>
        <v/>
      </c>
      <c r="G147" s="37"/>
      <c r="H147" s="40"/>
      <c r="L147" s="36" t="str">
        <f>IFERROR(VLOOKUP(I147,보도매체!$A:$C,2,FALSE), "")</f>
        <v/>
      </c>
      <c r="M147" s="38" t="str">
        <f>IFERROR(VLOOKUP(I147,보도매체!$A:$C,3,FALSE), "")</f>
        <v/>
      </c>
      <c r="N147" s="41"/>
    </row>
    <row r="148" spans="1:14" x14ac:dyDescent="0.3">
      <c r="A148" s="1">
        <v>147</v>
      </c>
      <c r="B148" s="35"/>
      <c r="C148" s="35">
        <f t="shared" si="2"/>
        <v>0</v>
      </c>
      <c r="D148" s="30" t="str">
        <f>IFERROR(VLOOKUP(C148,소속부서!$A$2:$B$20,2,FALSE), "")</f>
        <v/>
      </c>
      <c r="G148" s="37"/>
      <c r="H148" s="40"/>
      <c r="L148" s="36" t="str">
        <f>IFERROR(VLOOKUP(I148,보도매체!$A:$C,2,FALSE), "")</f>
        <v/>
      </c>
      <c r="M148" s="38" t="str">
        <f>IFERROR(VLOOKUP(I148,보도매체!$A:$C,3,FALSE), "")</f>
        <v/>
      </c>
      <c r="N148" s="41"/>
    </row>
    <row r="149" spans="1:14" x14ac:dyDescent="0.3">
      <c r="A149" s="1">
        <v>148</v>
      </c>
      <c r="B149" s="35"/>
      <c r="C149" s="35">
        <f t="shared" si="2"/>
        <v>0</v>
      </c>
      <c r="D149" s="30" t="str">
        <f>IFERROR(VLOOKUP(C149,소속부서!$A$2:$B$20,2,FALSE), "")</f>
        <v/>
      </c>
      <c r="G149" s="37"/>
      <c r="H149" s="40"/>
      <c r="L149" s="36" t="str">
        <f>IFERROR(VLOOKUP(I149,보도매체!$A:$C,2,FALSE), "")</f>
        <v/>
      </c>
      <c r="M149" s="38" t="str">
        <f>IFERROR(VLOOKUP(I149,보도매체!$A:$C,3,FALSE), "")</f>
        <v/>
      </c>
      <c r="N149" s="41"/>
    </row>
    <row r="150" spans="1:14" x14ac:dyDescent="0.3">
      <c r="A150" s="1">
        <v>149</v>
      </c>
      <c r="B150" s="35"/>
      <c r="C150" s="35">
        <f t="shared" si="2"/>
        <v>0</v>
      </c>
      <c r="D150" s="30" t="str">
        <f>IFERROR(VLOOKUP(C150,소속부서!$A$2:$B$20,2,FALSE), "")</f>
        <v/>
      </c>
      <c r="G150" s="37"/>
      <c r="H150" s="40"/>
      <c r="L150" s="36" t="str">
        <f>IFERROR(VLOOKUP(I150,보도매체!$A:$C,2,FALSE), "")</f>
        <v/>
      </c>
      <c r="M150" s="38" t="str">
        <f>IFERROR(VLOOKUP(I150,보도매체!$A:$C,3,FALSE), "")</f>
        <v/>
      </c>
      <c r="N150" s="41"/>
    </row>
    <row r="151" spans="1:14" x14ac:dyDescent="0.3">
      <c r="A151" s="1">
        <v>150</v>
      </c>
      <c r="B151" s="35"/>
      <c r="C151" s="35">
        <f t="shared" si="2"/>
        <v>0</v>
      </c>
      <c r="D151" s="30" t="str">
        <f>IFERROR(VLOOKUP(C151,소속부서!$A$2:$B$20,2,FALSE), "")</f>
        <v/>
      </c>
      <c r="G151" s="37"/>
      <c r="H151" s="40"/>
      <c r="L151" s="36" t="str">
        <f>IFERROR(VLOOKUP(I151,보도매체!$A:$C,2,FALSE), "")</f>
        <v/>
      </c>
      <c r="M151" s="38" t="str">
        <f>IFERROR(VLOOKUP(I151,보도매체!$A:$C,3,FALSE), "")</f>
        <v/>
      </c>
      <c r="N151" s="41"/>
    </row>
    <row r="152" spans="1:14" x14ac:dyDescent="0.3">
      <c r="A152" s="1">
        <v>151</v>
      </c>
      <c r="B152" s="35"/>
      <c r="C152" s="35">
        <f t="shared" si="2"/>
        <v>0</v>
      </c>
      <c r="D152" s="30" t="str">
        <f>IFERROR(VLOOKUP(C152,소속부서!$A$2:$B$20,2,FALSE), "")</f>
        <v/>
      </c>
      <c r="E152" s="12"/>
      <c r="F152" s="37"/>
      <c r="G152" s="37"/>
      <c r="H152" s="40"/>
      <c r="L152" s="36" t="str">
        <f>IFERROR(VLOOKUP(I152,보도매체!$A:$C,2,FALSE), "")</f>
        <v/>
      </c>
      <c r="M152" s="38" t="str">
        <f>IFERROR(VLOOKUP(I152,보도매체!$A:$C,3,FALSE), "")</f>
        <v/>
      </c>
      <c r="N152" s="41"/>
    </row>
    <row r="153" spans="1:14" x14ac:dyDescent="0.3">
      <c r="A153" s="1">
        <v>152</v>
      </c>
      <c r="B153" s="35"/>
      <c r="C153" s="35">
        <f t="shared" si="2"/>
        <v>0</v>
      </c>
      <c r="D153" s="30" t="str">
        <f>IFERROR(VLOOKUP(C153,소속부서!$A$2:$B$20,2,FALSE), "")</f>
        <v/>
      </c>
      <c r="G153" s="44"/>
      <c r="H153" s="40"/>
      <c r="L153" s="36" t="str">
        <f>IFERROR(VLOOKUP(I153,보도매체!$A:$C,2,FALSE), "")</f>
        <v/>
      </c>
      <c r="M153" s="38" t="str">
        <f>IFERROR(VLOOKUP(I153,보도매체!$A:$C,3,FALSE), "")</f>
        <v/>
      </c>
      <c r="N153" s="41"/>
    </row>
    <row r="154" spans="1:14" x14ac:dyDescent="0.3">
      <c r="A154" s="1">
        <v>153</v>
      </c>
      <c r="B154" s="35"/>
      <c r="C154" s="35">
        <f t="shared" si="2"/>
        <v>0</v>
      </c>
      <c r="D154" s="30" t="str">
        <f>IFERROR(VLOOKUP(C154,소속부서!$A$2:$B$20,2,FALSE), "")</f>
        <v/>
      </c>
      <c r="E154" s="12"/>
      <c r="F154" s="37"/>
      <c r="G154" s="44"/>
      <c r="H154" s="56"/>
      <c r="I154" s="55"/>
      <c r="J154" s="33"/>
      <c r="K154" s="57"/>
      <c r="L154" s="36" t="str">
        <f>IFERROR(VLOOKUP(I154,보도매체!$A:$C,2,FALSE), "")</f>
        <v/>
      </c>
      <c r="M154" s="38" t="str">
        <f>IFERROR(VLOOKUP(I154,보도매체!$A:$C,3,FALSE), "")</f>
        <v/>
      </c>
      <c r="N154" s="33"/>
    </row>
    <row r="155" spans="1:14" x14ac:dyDescent="0.3">
      <c r="A155" s="1">
        <v>154</v>
      </c>
      <c r="B155" s="35"/>
      <c r="C155" s="35">
        <f t="shared" si="2"/>
        <v>0</v>
      </c>
      <c r="D155" s="30" t="str">
        <f>IFERROR(VLOOKUP(C155,소속부서!$A$2:$B$20,2,FALSE), "")</f>
        <v/>
      </c>
      <c r="G155" s="37"/>
      <c r="H155" s="58"/>
      <c r="I155" s="55"/>
      <c r="J155" s="33"/>
      <c r="K155" s="55"/>
      <c r="L155" s="36" t="str">
        <f>IFERROR(VLOOKUP(I155,보도매체!$A:$C,2,FALSE), "")</f>
        <v/>
      </c>
      <c r="M155" s="38" t="str">
        <f>IFERROR(VLOOKUP(I155,보도매체!$A:$C,3,FALSE), "")</f>
        <v/>
      </c>
      <c r="N155" s="33"/>
    </row>
    <row r="156" spans="1:14" x14ac:dyDescent="0.3">
      <c r="A156" s="1">
        <v>155</v>
      </c>
      <c r="B156" s="35"/>
      <c r="C156" s="35">
        <f t="shared" si="2"/>
        <v>0</v>
      </c>
      <c r="D156" s="30" t="str">
        <f>IFERROR(VLOOKUP(C156,소속부서!$A$2:$B$20,2,FALSE), "")</f>
        <v/>
      </c>
      <c r="E156" s="12"/>
      <c r="G156" s="37"/>
      <c r="H156" s="59"/>
      <c r="I156" s="55"/>
      <c r="J156" s="33"/>
      <c r="K156" s="60"/>
      <c r="L156" s="36" t="str">
        <f>IFERROR(VLOOKUP(I156,보도매체!$A:$C,2,FALSE), "")</f>
        <v/>
      </c>
      <c r="M156" s="38" t="str">
        <f>IFERROR(VLOOKUP(I156,보도매체!$A:$C,3,FALSE), "")</f>
        <v/>
      </c>
      <c r="N156" s="33"/>
    </row>
    <row r="157" spans="1:14" x14ac:dyDescent="0.3">
      <c r="A157" s="1">
        <v>156</v>
      </c>
      <c r="B157" s="35"/>
      <c r="C157" s="35">
        <f t="shared" si="2"/>
        <v>0</v>
      </c>
      <c r="D157" s="30" t="str">
        <f>IFERROR(VLOOKUP(C157,소속부서!$A$2:$B$20,2,FALSE), "")</f>
        <v/>
      </c>
      <c r="G157" s="44"/>
      <c r="H157" s="54"/>
      <c r="I157" s="55"/>
      <c r="J157" s="33"/>
      <c r="K157" s="55"/>
      <c r="L157" s="36" t="str">
        <f>IFERROR(VLOOKUP(I157,보도매체!$A:$C,2,FALSE), "")</f>
        <v/>
      </c>
      <c r="M157" s="38" t="str">
        <f>IFERROR(VLOOKUP(I157,보도매체!$A:$C,3,FALSE), "")</f>
        <v/>
      </c>
      <c r="N157" s="33"/>
    </row>
    <row r="158" spans="1:14" x14ac:dyDescent="0.3">
      <c r="A158" s="1">
        <v>157</v>
      </c>
      <c r="B158" s="35"/>
      <c r="C158" s="35">
        <f t="shared" si="2"/>
        <v>0</v>
      </c>
      <c r="D158" s="30" t="str">
        <f>IFERROR(VLOOKUP(C158,소속부서!$A$2:$B$20,2,FALSE), "")</f>
        <v/>
      </c>
      <c r="G158" s="37"/>
      <c r="H158" s="54"/>
      <c r="I158" s="55"/>
      <c r="J158" s="33"/>
      <c r="K158" s="44"/>
      <c r="L158" s="36" t="str">
        <f>IFERROR(VLOOKUP(I158,보도매체!$A:$C,2,FALSE), "")</f>
        <v/>
      </c>
      <c r="M158" s="38" t="str">
        <f>IFERROR(VLOOKUP(I158,보도매체!$A:$C,3,FALSE), "")</f>
        <v/>
      </c>
      <c r="N158" s="33"/>
    </row>
    <row r="159" spans="1:14" x14ac:dyDescent="0.3">
      <c r="A159" s="1">
        <v>158</v>
      </c>
      <c r="B159" s="35"/>
      <c r="C159" s="35">
        <f t="shared" si="2"/>
        <v>0</v>
      </c>
      <c r="D159" s="30" t="str">
        <f>IFERROR(VLOOKUP(C159,소속부서!$A$2:$B$20,2,FALSE), "")</f>
        <v/>
      </c>
      <c r="G159" s="44"/>
      <c r="H159" s="58"/>
      <c r="I159" s="55"/>
      <c r="J159" s="33"/>
      <c r="K159" s="55"/>
      <c r="L159" s="36" t="str">
        <f>IFERROR(VLOOKUP(I159,보도매체!$A:$C,2,FALSE), "")</f>
        <v/>
      </c>
      <c r="M159" s="38" t="str">
        <f>IFERROR(VLOOKUP(I159,보도매체!$A:$C,3,FALSE), "")</f>
        <v/>
      </c>
      <c r="N159" s="33"/>
    </row>
    <row r="160" spans="1:14" x14ac:dyDescent="0.3">
      <c r="A160" s="1">
        <v>159</v>
      </c>
      <c r="B160" s="35"/>
      <c r="C160" s="35">
        <f t="shared" si="2"/>
        <v>0</v>
      </c>
      <c r="D160" s="30" t="str">
        <f>IFERROR(VLOOKUP(C160,소속부서!$A$2:$B$20,2,FALSE), "")</f>
        <v/>
      </c>
      <c r="G160" s="44"/>
      <c r="H160" s="58"/>
      <c r="I160" s="55"/>
      <c r="J160" s="33"/>
      <c r="K160" s="55"/>
      <c r="L160" s="36" t="str">
        <f>IFERROR(VLOOKUP(I160,보도매체!$A:$C,2,FALSE), "")</f>
        <v/>
      </c>
      <c r="M160" s="38" t="str">
        <f>IFERROR(VLOOKUP(I160,보도매체!$A:$C,3,FALSE), "")</f>
        <v/>
      </c>
      <c r="N160" s="33"/>
    </row>
    <row r="161" spans="1:14" x14ac:dyDescent="0.3">
      <c r="A161" s="1">
        <v>160</v>
      </c>
      <c r="B161" s="35"/>
      <c r="C161" s="35">
        <f t="shared" si="2"/>
        <v>0</v>
      </c>
      <c r="D161" s="30" t="str">
        <f>IFERROR(VLOOKUP(C161,소속부서!$A$2:$B$20,2,FALSE), "")</f>
        <v/>
      </c>
      <c r="E161" s="12"/>
      <c r="G161" s="37"/>
      <c r="H161" s="58"/>
      <c r="I161" s="55"/>
      <c r="J161" s="33"/>
      <c r="K161" s="37"/>
      <c r="L161" s="36" t="str">
        <f>IFERROR(VLOOKUP(I161,보도매체!$A:$C,2,FALSE), "")</f>
        <v/>
      </c>
      <c r="M161" s="38" t="str">
        <f>IFERROR(VLOOKUP(I161,보도매체!$A:$C,3,FALSE), "")</f>
        <v/>
      </c>
      <c r="N161" s="33"/>
    </row>
    <row r="162" spans="1:14" x14ac:dyDescent="0.3">
      <c r="A162" s="1">
        <v>161</v>
      </c>
      <c r="B162" s="35"/>
      <c r="C162" s="35">
        <f t="shared" si="2"/>
        <v>0</v>
      </c>
      <c r="D162" s="30" t="str">
        <f>IFERROR(VLOOKUP(C162,소속부서!$A$2:$B$20,2,FALSE), "")</f>
        <v/>
      </c>
      <c r="E162" s="35"/>
      <c r="F162" s="37"/>
      <c r="G162" s="37"/>
      <c r="H162" s="42"/>
      <c r="I162" s="55"/>
      <c r="J162" s="33"/>
      <c r="K162" s="61"/>
      <c r="L162" s="36" t="str">
        <f>IFERROR(VLOOKUP(I162,보도매체!$A:$C,2,FALSE), "")</f>
        <v/>
      </c>
      <c r="M162" s="38" t="str">
        <f>IFERROR(VLOOKUP(I162,보도매체!$A:$C,3,FALSE), "")</f>
        <v/>
      </c>
      <c r="N162" s="33"/>
    </row>
    <row r="163" spans="1:14" x14ac:dyDescent="0.3">
      <c r="A163" s="1">
        <v>162</v>
      </c>
      <c r="B163" s="35"/>
      <c r="C163" s="35">
        <f t="shared" si="2"/>
        <v>0</v>
      </c>
      <c r="D163" s="30" t="str">
        <f>IFERROR(VLOOKUP(C163,소속부서!$A$2:$B$20,2,FALSE), "")</f>
        <v/>
      </c>
      <c r="G163" s="37"/>
      <c r="H163" s="46"/>
      <c r="L163" s="36" t="str">
        <f>IFERROR(VLOOKUP(I163,보도매체!$A:$C,2,FALSE), "")</f>
        <v/>
      </c>
      <c r="M163" s="38" t="str">
        <f>IFERROR(VLOOKUP(I163,보도매체!$A:$C,3,FALSE), "")</f>
        <v/>
      </c>
      <c r="N163" s="3"/>
    </row>
    <row r="164" spans="1:14" x14ac:dyDescent="0.3">
      <c r="A164" s="1">
        <v>163</v>
      </c>
      <c r="B164" s="35"/>
      <c r="C164" s="35">
        <f t="shared" si="2"/>
        <v>0</v>
      </c>
      <c r="D164" s="30" t="str">
        <f>IFERROR(VLOOKUP(C164,소속부서!$A$2:$B$20,2,FALSE), "")</f>
        <v/>
      </c>
      <c r="G164" s="44"/>
      <c r="H164" s="46"/>
      <c r="L164" s="36" t="str">
        <f>IFERROR(VLOOKUP(I164,보도매체!$A:$C,2,FALSE), "")</f>
        <v/>
      </c>
      <c r="M164" s="38" t="str">
        <f>IFERROR(VLOOKUP(I164,보도매체!$A:$C,3,FALSE), "")</f>
        <v/>
      </c>
      <c r="N164" s="3"/>
    </row>
    <row r="165" spans="1:14" x14ac:dyDescent="0.3">
      <c r="A165" s="1">
        <v>164</v>
      </c>
      <c r="B165" s="35"/>
      <c r="C165" s="35">
        <f t="shared" si="2"/>
        <v>0</v>
      </c>
      <c r="D165" s="30" t="str">
        <f>IFERROR(VLOOKUP(C165,소속부서!$A$2:$B$20,2,FALSE), "")</f>
        <v/>
      </c>
      <c r="E165" s="35"/>
      <c r="G165" s="37"/>
      <c r="H165" s="46"/>
      <c r="L165" s="36" t="str">
        <f>IFERROR(VLOOKUP(I165,보도매체!$A:$C,2,FALSE), "")</f>
        <v/>
      </c>
      <c r="M165" s="38" t="str">
        <f>IFERROR(VLOOKUP(I165,보도매체!$A:$C,3,FALSE), "")</f>
        <v/>
      </c>
      <c r="N165" s="3"/>
    </row>
    <row r="166" spans="1:14" x14ac:dyDescent="0.3">
      <c r="A166" s="1">
        <v>165</v>
      </c>
      <c r="B166" s="35"/>
      <c r="C166" s="35">
        <f t="shared" si="2"/>
        <v>0</v>
      </c>
      <c r="D166" s="30" t="str">
        <f>IFERROR(VLOOKUP(C166,소속부서!$A$2:$B$20,2,FALSE), "")</f>
        <v/>
      </c>
      <c r="E166" s="35"/>
      <c r="G166" s="37"/>
      <c r="H166" s="46"/>
      <c r="L166" s="36" t="str">
        <f>IFERROR(VLOOKUP(I166,보도매체!$A:$C,2,FALSE), "")</f>
        <v/>
      </c>
      <c r="M166" s="38" t="str">
        <f>IFERROR(VLOOKUP(I166,보도매체!$A:$C,3,FALSE), "")</f>
        <v/>
      </c>
      <c r="N166" s="3"/>
    </row>
    <row r="167" spans="1:14" x14ac:dyDescent="0.3">
      <c r="A167" s="1">
        <v>166</v>
      </c>
      <c r="B167" s="35"/>
      <c r="C167" s="35">
        <f t="shared" si="2"/>
        <v>0</v>
      </c>
      <c r="D167" s="30" t="str">
        <f>IFERROR(VLOOKUP(C167,소속부서!$A$2:$B$20,2,FALSE), "")</f>
        <v/>
      </c>
      <c r="G167" s="37"/>
      <c r="H167" s="46"/>
      <c r="L167" s="36" t="str">
        <f>IFERROR(VLOOKUP(I167,보도매체!$A:$C,2,FALSE), "")</f>
        <v/>
      </c>
      <c r="M167" s="38" t="str">
        <f>IFERROR(VLOOKUP(I167,보도매체!$A:$C,3,FALSE), "")</f>
        <v/>
      </c>
      <c r="N167" s="3"/>
    </row>
    <row r="168" spans="1:14" x14ac:dyDescent="0.3">
      <c r="A168" s="1">
        <v>167</v>
      </c>
      <c r="B168" s="35"/>
      <c r="C168" s="35">
        <f t="shared" si="2"/>
        <v>0</v>
      </c>
      <c r="D168" s="30" t="str">
        <f>IFERROR(VLOOKUP(C168,소속부서!$A$2:$B$20,2,FALSE), "")</f>
        <v/>
      </c>
      <c r="E168" s="45"/>
      <c r="G168" s="37"/>
      <c r="H168" s="46"/>
      <c r="L168" s="36" t="str">
        <f>IFERROR(VLOOKUP(I168,보도매체!$A:$C,2,FALSE), "")</f>
        <v/>
      </c>
      <c r="M168" s="38" t="str">
        <f>IFERROR(VLOOKUP(I168,보도매체!$A:$C,3,FALSE), "")</f>
        <v/>
      </c>
      <c r="N168" s="3"/>
    </row>
    <row r="169" spans="1:14" x14ac:dyDescent="0.3">
      <c r="A169" s="1">
        <v>168</v>
      </c>
      <c r="B169" s="35"/>
      <c r="C169" s="35">
        <f t="shared" si="2"/>
        <v>0</v>
      </c>
      <c r="D169" s="30" t="str">
        <f>IFERROR(VLOOKUP(C169,소속부서!$A$2:$B$20,2,FALSE), "")</f>
        <v/>
      </c>
      <c r="E169" s="31"/>
      <c r="G169" s="37"/>
      <c r="H169" s="46"/>
      <c r="L169" s="36" t="str">
        <f>IFERROR(VLOOKUP(I169,보도매체!$A:$C,2,FALSE), "")</f>
        <v/>
      </c>
      <c r="M169" s="38" t="str">
        <f>IFERROR(VLOOKUP(I169,보도매체!$A:$C,3,FALSE), "")</f>
        <v/>
      </c>
      <c r="N169" s="3"/>
    </row>
    <row r="170" spans="1:14" x14ac:dyDescent="0.3">
      <c r="A170" s="1">
        <v>169</v>
      </c>
      <c r="B170" s="35"/>
      <c r="C170" s="35">
        <f t="shared" si="2"/>
        <v>0</v>
      </c>
      <c r="D170" s="30" t="str">
        <f>IFERROR(VLOOKUP(C170,소속부서!$A$2:$B$20,2,FALSE), "")</f>
        <v/>
      </c>
      <c r="G170" s="37"/>
      <c r="H170" s="40"/>
      <c r="J170" s="41"/>
      <c r="L170" s="36" t="str">
        <f>IFERROR(VLOOKUP(I170,보도매체!$A:$C,2,FALSE), "")</f>
        <v/>
      </c>
      <c r="M170" s="38" t="str">
        <f>IFERROR(VLOOKUP(I170,보도매체!$A:$C,3,FALSE), "")</f>
        <v/>
      </c>
      <c r="N170" s="3"/>
    </row>
    <row r="171" spans="1:14" x14ac:dyDescent="0.3">
      <c r="A171" s="1">
        <v>170</v>
      </c>
      <c r="B171" s="35"/>
      <c r="C171" s="35">
        <f t="shared" si="2"/>
        <v>0</v>
      </c>
      <c r="D171" s="30" t="str">
        <f>IFERROR(VLOOKUP(C171,소속부서!$A$2:$B$20,2,FALSE), "")</f>
        <v/>
      </c>
      <c r="E171" s="12"/>
      <c r="G171" s="37"/>
      <c r="H171" s="40"/>
      <c r="J171" s="41"/>
      <c r="L171" s="36" t="str">
        <f>IFERROR(VLOOKUP(I171,보도매체!$A:$C,2,FALSE), "")</f>
        <v/>
      </c>
      <c r="M171" s="38" t="str">
        <f>IFERROR(VLOOKUP(I171,보도매체!$A:$C,3,FALSE), "")</f>
        <v/>
      </c>
      <c r="N171" s="3"/>
    </row>
    <row r="172" spans="1:14" x14ac:dyDescent="0.3">
      <c r="A172" s="1">
        <v>171</v>
      </c>
      <c r="B172" s="35"/>
      <c r="C172" s="35">
        <f t="shared" si="2"/>
        <v>0</v>
      </c>
      <c r="D172" s="30" t="str">
        <f>IFERROR(VLOOKUP(C172,소속부서!$A$2:$B$20,2,FALSE), "")</f>
        <v/>
      </c>
      <c r="E172" s="45"/>
      <c r="G172" s="37"/>
      <c r="H172" s="40"/>
      <c r="J172" s="41"/>
      <c r="L172" s="36" t="str">
        <f>IFERROR(VLOOKUP(I172,보도매체!$A:$C,2,FALSE), "")</f>
        <v/>
      </c>
      <c r="M172" s="38" t="str">
        <f>IFERROR(VLOOKUP(I172,보도매체!$A:$C,3,FALSE), "")</f>
        <v/>
      </c>
      <c r="N172" s="3"/>
    </row>
    <row r="173" spans="1:14" x14ac:dyDescent="0.3">
      <c r="A173" s="1">
        <v>172</v>
      </c>
      <c r="B173" s="35"/>
      <c r="C173" s="35">
        <f t="shared" si="2"/>
        <v>0</v>
      </c>
      <c r="D173" s="30" t="str">
        <f>IFERROR(VLOOKUP(C173,소속부서!$A$2:$B$20,2,FALSE), "")</f>
        <v/>
      </c>
      <c r="G173" s="37"/>
      <c r="H173" s="46"/>
      <c r="I173" s="37"/>
      <c r="J173" s="41"/>
      <c r="K173" s="28"/>
      <c r="L173" s="36" t="str">
        <f>IFERROR(VLOOKUP(I173,보도매체!$A:$C,2,FALSE), "")</f>
        <v/>
      </c>
      <c r="M173" s="38" t="str">
        <f>IFERROR(VLOOKUP(I173,보도매체!$A:$C,3,FALSE), "")</f>
        <v/>
      </c>
      <c r="N173" s="3"/>
    </row>
    <row r="174" spans="1:14" x14ac:dyDescent="0.3">
      <c r="A174" s="1">
        <v>173</v>
      </c>
      <c r="B174" s="35"/>
      <c r="C174" s="35">
        <f t="shared" si="2"/>
        <v>0</v>
      </c>
      <c r="D174" s="30" t="str">
        <f>IFERROR(VLOOKUP(C174,소속부서!$A$2:$B$20,2,FALSE), "")</f>
        <v/>
      </c>
      <c r="G174" s="37"/>
      <c r="H174" s="46"/>
      <c r="L174" s="36" t="str">
        <f>IFERROR(VLOOKUP(I174,보도매체!$A:$C,2,FALSE), "")</f>
        <v/>
      </c>
      <c r="M174" s="38" t="str">
        <f>IFERROR(VLOOKUP(I174,보도매체!$A:$C,3,FALSE), "")</f>
        <v/>
      </c>
      <c r="N174" s="3"/>
    </row>
    <row r="175" spans="1:14" x14ac:dyDescent="0.3">
      <c r="A175" s="1">
        <v>174</v>
      </c>
      <c r="B175" s="35"/>
      <c r="C175" s="35">
        <f t="shared" si="2"/>
        <v>0</v>
      </c>
      <c r="D175" s="30" t="str">
        <f>IFERROR(VLOOKUP(C175,소속부서!$A$2:$B$20,2,FALSE), "")</f>
        <v/>
      </c>
      <c r="G175" s="37"/>
      <c r="H175" s="46"/>
      <c r="L175" s="36" t="str">
        <f>IFERROR(VLOOKUP(I175,보도매체!$A:$C,2,FALSE), "")</f>
        <v/>
      </c>
      <c r="M175" s="38" t="str">
        <f>IFERROR(VLOOKUP(I175,보도매체!$A:$C,3,FALSE), "")</f>
        <v/>
      </c>
      <c r="N175" s="3"/>
    </row>
    <row r="176" spans="1:14" x14ac:dyDescent="0.3">
      <c r="A176" s="1">
        <v>175</v>
      </c>
      <c r="B176" s="35"/>
      <c r="C176" s="35">
        <f t="shared" si="2"/>
        <v>0</v>
      </c>
      <c r="D176" s="30" t="str">
        <f>IFERROR(VLOOKUP(C176,소속부서!$A$2:$B$20,2,FALSE), "")</f>
        <v/>
      </c>
      <c r="G176" s="37"/>
      <c r="H176" s="46"/>
      <c r="J176" s="41"/>
      <c r="L176" s="36" t="str">
        <f>IFERROR(VLOOKUP(I176,보도매체!$A:$C,2,FALSE), "")</f>
        <v/>
      </c>
      <c r="M176" s="38" t="str">
        <f>IFERROR(VLOOKUP(I176,보도매체!$A:$C,3,FALSE), "")</f>
        <v/>
      </c>
      <c r="N176" s="3"/>
    </row>
    <row r="177" spans="1:14" x14ac:dyDescent="0.3">
      <c r="A177" s="1">
        <v>176</v>
      </c>
      <c r="B177" s="35"/>
      <c r="C177" s="35">
        <f t="shared" si="2"/>
        <v>0</v>
      </c>
      <c r="D177" s="30" t="str">
        <f>IFERROR(VLOOKUP(C177,소속부서!$A$2:$B$20,2,FALSE), "")</f>
        <v/>
      </c>
      <c r="G177" s="37"/>
      <c r="H177" s="46"/>
      <c r="J177" s="41"/>
      <c r="L177" s="36" t="str">
        <f>IFERROR(VLOOKUP(I177,보도매체!$A:$C,2,FALSE), "")</f>
        <v/>
      </c>
      <c r="M177" s="38" t="str">
        <f>IFERROR(VLOOKUP(I177,보도매체!$A:$C,3,FALSE), "")</f>
        <v/>
      </c>
      <c r="N177" s="3"/>
    </row>
    <row r="178" spans="1:14" x14ac:dyDescent="0.3">
      <c r="A178" s="1">
        <v>177</v>
      </c>
      <c r="B178" s="35"/>
      <c r="C178" s="35">
        <f t="shared" si="2"/>
        <v>0</v>
      </c>
      <c r="D178" s="30" t="str">
        <f>IFERROR(VLOOKUP(C178,소속부서!$A$2:$B$20,2,FALSE), "")</f>
        <v/>
      </c>
      <c r="G178" s="37"/>
      <c r="H178" s="46"/>
      <c r="J178" s="41"/>
      <c r="L178" s="36" t="str">
        <f>IFERROR(VLOOKUP(I178,보도매체!$A:$C,2,FALSE), "")</f>
        <v/>
      </c>
      <c r="M178" s="38" t="str">
        <f>IFERROR(VLOOKUP(I178,보도매체!$A:$C,3,FALSE), "")</f>
        <v/>
      </c>
      <c r="N178" s="3"/>
    </row>
    <row r="179" spans="1:14" x14ac:dyDescent="0.3">
      <c r="A179" s="1">
        <v>178</v>
      </c>
      <c r="B179" s="35"/>
      <c r="C179" s="35">
        <f t="shared" si="2"/>
        <v>0</v>
      </c>
      <c r="D179" s="30" t="str">
        <f>IFERROR(VLOOKUP(C179,소속부서!$A$2:$B$20,2,FALSE), "")</f>
        <v/>
      </c>
      <c r="G179" s="37"/>
      <c r="H179" s="46"/>
      <c r="J179" s="41"/>
      <c r="L179" s="36" t="str">
        <f>IFERROR(VLOOKUP(I179,보도매체!$A:$C,2,FALSE), "")</f>
        <v/>
      </c>
      <c r="M179" s="38" t="str">
        <f>IFERROR(VLOOKUP(I179,보도매체!$A:$C,3,FALSE), "")</f>
        <v/>
      </c>
      <c r="N179" s="3"/>
    </row>
    <row r="180" spans="1:14" x14ac:dyDescent="0.3">
      <c r="A180" s="1">
        <v>179</v>
      </c>
      <c r="B180" s="35"/>
      <c r="C180" s="35">
        <f t="shared" si="2"/>
        <v>0</v>
      </c>
      <c r="D180" s="30" t="str">
        <f>IFERROR(VLOOKUP(C180,소속부서!$A$2:$B$20,2,FALSE), "")</f>
        <v/>
      </c>
      <c r="G180" s="37"/>
      <c r="H180" s="46"/>
      <c r="L180" s="36" t="str">
        <f>IFERROR(VLOOKUP(I180,보도매체!$A:$C,2,FALSE), "")</f>
        <v/>
      </c>
      <c r="M180" s="38" t="str">
        <f>IFERROR(VLOOKUP(I180,보도매체!$A:$C,3,FALSE), "")</f>
        <v/>
      </c>
      <c r="N180" s="3"/>
    </row>
    <row r="181" spans="1:14" x14ac:dyDescent="0.3">
      <c r="A181" s="1">
        <v>180</v>
      </c>
      <c r="B181" s="35"/>
      <c r="C181" s="35">
        <f t="shared" si="2"/>
        <v>0</v>
      </c>
      <c r="D181" s="30" t="str">
        <f>IFERROR(VLOOKUP(C181,소속부서!$A$2:$B$20,2,FALSE), "")</f>
        <v/>
      </c>
      <c r="G181" s="37"/>
      <c r="H181" s="40"/>
      <c r="J181" s="41"/>
      <c r="L181" s="36" t="str">
        <f>IFERROR(VLOOKUP(I181,보도매체!$A:$C,2,FALSE), "")</f>
        <v/>
      </c>
      <c r="M181" s="38" t="str">
        <f>IFERROR(VLOOKUP(I181,보도매체!$A:$C,3,FALSE), "")</f>
        <v/>
      </c>
      <c r="N181" s="3"/>
    </row>
    <row r="182" spans="1:14" x14ac:dyDescent="0.3">
      <c r="A182" s="1">
        <v>181</v>
      </c>
      <c r="B182" s="35"/>
      <c r="C182" s="35">
        <f t="shared" si="2"/>
        <v>0</v>
      </c>
      <c r="D182" s="30" t="str">
        <f>IFERROR(VLOOKUP(C182,소속부서!$A$2:$B$20,2,FALSE), "")</f>
        <v/>
      </c>
      <c r="G182" s="37"/>
      <c r="H182" s="40"/>
      <c r="L182" s="36" t="str">
        <f>IFERROR(VLOOKUP(I182,보도매체!$A:$C,2,FALSE), "")</f>
        <v/>
      </c>
      <c r="M182" s="38" t="str">
        <f>IFERROR(VLOOKUP(I182,보도매체!$A:$C,3,FALSE), "")</f>
        <v/>
      </c>
      <c r="N182" s="3"/>
    </row>
    <row r="183" spans="1:14" x14ac:dyDescent="0.3">
      <c r="A183" s="1">
        <v>182</v>
      </c>
      <c r="B183" s="35"/>
      <c r="C183" s="35">
        <f t="shared" si="2"/>
        <v>0</v>
      </c>
      <c r="D183" s="30" t="str">
        <f>IFERROR(VLOOKUP(C183,소속부서!$A$2:$B$20,2,FALSE), "")</f>
        <v/>
      </c>
      <c r="G183" s="37"/>
      <c r="H183" s="40"/>
      <c r="L183" s="36" t="str">
        <f>IFERROR(VLOOKUP(I183,보도매체!$A:$C,2,FALSE), "")</f>
        <v/>
      </c>
      <c r="M183" s="38" t="str">
        <f>IFERROR(VLOOKUP(I183,보도매체!$A:$C,3,FALSE), "")</f>
        <v/>
      </c>
      <c r="N183" s="3"/>
    </row>
    <row r="184" spans="1:14" x14ac:dyDescent="0.3">
      <c r="A184" s="1">
        <v>183</v>
      </c>
      <c r="B184" s="35"/>
      <c r="C184" s="35">
        <f t="shared" si="2"/>
        <v>0</v>
      </c>
      <c r="D184" s="30" t="str">
        <f>IFERROR(VLOOKUP(C184,소속부서!$A$2:$B$20,2,FALSE), "")</f>
        <v/>
      </c>
      <c r="G184" s="37"/>
      <c r="H184" s="40"/>
      <c r="L184" s="36" t="str">
        <f>IFERROR(VLOOKUP(I184,보도매체!$A:$C,2,FALSE), "")</f>
        <v/>
      </c>
      <c r="M184" s="38" t="str">
        <f>IFERROR(VLOOKUP(I184,보도매체!$A:$C,3,FALSE), "")</f>
        <v/>
      </c>
      <c r="N184" s="3"/>
    </row>
    <row r="185" spans="1:14" x14ac:dyDescent="0.3">
      <c r="A185" s="1">
        <v>184</v>
      </c>
      <c r="B185" s="35"/>
      <c r="C185" s="35">
        <f t="shared" si="2"/>
        <v>0</v>
      </c>
      <c r="D185" s="30" t="str">
        <f>IFERROR(VLOOKUP(C185,소속부서!$A$2:$B$20,2,FALSE), "")</f>
        <v/>
      </c>
      <c r="G185" s="37"/>
      <c r="H185" s="40"/>
      <c r="L185" s="36" t="str">
        <f>IFERROR(VLOOKUP(I185,보도매체!$A:$C,2,FALSE), "")</f>
        <v/>
      </c>
      <c r="M185" s="38" t="str">
        <f>IFERROR(VLOOKUP(I185,보도매체!$A:$C,3,FALSE), "")</f>
        <v/>
      </c>
      <c r="N185" s="3"/>
    </row>
    <row r="186" spans="1:14" x14ac:dyDescent="0.3">
      <c r="A186" s="1">
        <v>185</v>
      </c>
      <c r="B186" s="35"/>
      <c r="C186" s="35">
        <f t="shared" si="2"/>
        <v>0</v>
      </c>
      <c r="D186" s="30" t="str">
        <f>IFERROR(VLOOKUP(C186,소속부서!$A$2:$B$20,2,FALSE), "")</f>
        <v/>
      </c>
      <c r="G186" s="37"/>
      <c r="H186" s="40"/>
      <c r="L186" s="36" t="str">
        <f>IFERROR(VLOOKUP(I186,보도매체!$A:$C,2,FALSE), "")</f>
        <v/>
      </c>
      <c r="M186" s="38" t="str">
        <f>IFERROR(VLOOKUP(I186,보도매체!$A:$C,3,FALSE), "")</f>
        <v/>
      </c>
      <c r="N186" s="3"/>
    </row>
    <row r="187" spans="1:14" x14ac:dyDescent="0.3">
      <c r="A187" s="1">
        <v>186</v>
      </c>
      <c r="B187" s="35"/>
      <c r="C187" s="35">
        <f t="shared" si="2"/>
        <v>0</v>
      </c>
      <c r="D187" s="30" t="str">
        <f>IFERROR(VLOOKUP(C187,소속부서!$A$2:$B$20,2,FALSE), "")</f>
        <v/>
      </c>
      <c r="G187" s="37"/>
      <c r="H187" s="40"/>
      <c r="L187" s="36" t="str">
        <f>IFERROR(VLOOKUP(I187,보도매체!$A:$C,2,FALSE), "")</f>
        <v/>
      </c>
      <c r="M187" s="38" t="str">
        <f>IFERROR(VLOOKUP(I187,보도매체!$A:$C,3,FALSE), "")</f>
        <v/>
      </c>
      <c r="N187" s="3"/>
    </row>
    <row r="188" spans="1:14" x14ac:dyDescent="0.3">
      <c r="A188" s="1">
        <v>187</v>
      </c>
      <c r="B188" s="35"/>
      <c r="C188" s="35">
        <f t="shared" si="2"/>
        <v>0</v>
      </c>
      <c r="D188" s="30" t="str">
        <f>IFERROR(VLOOKUP(C188,소속부서!$A$2:$B$20,2,FALSE), "")</f>
        <v/>
      </c>
      <c r="E188" s="35"/>
      <c r="G188" s="37"/>
      <c r="H188" s="40"/>
      <c r="L188" s="36" t="str">
        <f>IFERROR(VLOOKUP(I188,보도매체!$A:$C,2,FALSE), "")</f>
        <v/>
      </c>
      <c r="M188" s="38" t="str">
        <f>IFERROR(VLOOKUP(I188,보도매체!$A:$C,3,FALSE), "")</f>
        <v/>
      </c>
      <c r="N188" s="3"/>
    </row>
    <row r="189" spans="1:14" x14ac:dyDescent="0.3">
      <c r="A189" s="1">
        <v>188</v>
      </c>
      <c r="B189" s="35"/>
      <c r="C189" s="35">
        <f t="shared" si="2"/>
        <v>0</v>
      </c>
      <c r="D189" s="30" t="str">
        <f>IFERROR(VLOOKUP(C189,소속부서!$A$2:$B$20,2,FALSE), "")</f>
        <v/>
      </c>
      <c r="G189" s="37"/>
      <c r="H189" s="40"/>
      <c r="L189" s="36" t="str">
        <f>IFERROR(VLOOKUP(I189,보도매체!$A:$C,2,FALSE), "")</f>
        <v/>
      </c>
      <c r="M189" s="38" t="str">
        <f>IFERROR(VLOOKUP(I189,보도매체!$A:$C,3,FALSE), "")</f>
        <v/>
      </c>
      <c r="N189" s="3"/>
    </row>
    <row r="190" spans="1:14" x14ac:dyDescent="0.3">
      <c r="A190" s="1">
        <v>189</v>
      </c>
      <c r="B190" s="35"/>
      <c r="C190" s="35">
        <f t="shared" si="2"/>
        <v>0</v>
      </c>
      <c r="D190" s="30" t="str">
        <f>IFERROR(VLOOKUP(C190,소속부서!$A$2:$B$20,2,FALSE), "")</f>
        <v/>
      </c>
      <c r="G190" s="37"/>
      <c r="H190" s="40"/>
      <c r="L190" s="36" t="str">
        <f>IFERROR(VLOOKUP(I190,보도매체!$A:$C,2,FALSE), "")</f>
        <v/>
      </c>
      <c r="M190" s="38" t="str">
        <f>IFERROR(VLOOKUP(I190,보도매체!$A:$C,3,FALSE), "")</f>
        <v/>
      </c>
      <c r="N190" s="3"/>
    </row>
    <row r="191" spans="1:14" x14ac:dyDescent="0.3">
      <c r="A191" s="1">
        <v>190</v>
      </c>
      <c r="B191" s="35"/>
      <c r="C191" s="35">
        <f t="shared" si="2"/>
        <v>0</v>
      </c>
      <c r="D191" s="30" t="str">
        <f>IFERROR(VLOOKUP(C191,소속부서!$A$2:$B$20,2,FALSE), "")</f>
        <v/>
      </c>
      <c r="G191" s="37"/>
      <c r="H191" s="40"/>
      <c r="J191" s="41"/>
      <c r="L191" s="36" t="str">
        <f>IFERROR(VLOOKUP(I191,보도매체!$A:$C,2,FALSE), "")</f>
        <v/>
      </c>
      <c r="M191" s="38" t="str">
        <f>IFERROR(VLOOKUP(I191,보도매체!$A:$C,3,FALSE), "")</f>
        <v/>
      </c>
      <c r="N191" s="3"/>
    </row>
    <row r="192" spans="1:14" x14ac:dyDescent="0.3">
      <c r="A192" s="1">
        <v>191</v>
      </c>
      <c r="B192" s="35"/>
      <c r="C192" s="35">
        <f t="shared" si="2"/>
        <v>0</v>
      </c>
      <c r="D192" s="30" t="str">
        <f>IFERROR(VLOOKUP(C192,소속부서!$A$2:$B$20,2,FALSE), "")</f>
        <v/>
      </c>
      <c r="G192" s="37"/>
      <c r="H192" s="40"/>
      <c r="L192" s="36" t="str">
        <f>IFERROR(VLOOKUP(I192,보도매체!$A:$C,2,FALSE), "")</f>
        <v/>
      </c>
      <c r="M192" s="38" t="str">
        <f>IFERROR(VLOOKUP(I192,보도매체!$A:$C,3,FALSE), "")</f>
        <v/>
      </c>
      <c r="N192" s="3"/>
    </row>
    <row r="193" spans="1:14" x14ac:dyDescent="0.3">
      <c r="A193" s="1">
        <v>192</v>
      </c>
      <c r="B193" s="35"/>
      <c r="C193" s="35">
        <f t="shared" ref="C193:C256" si="3">E193</f>
        <v>0</v>
      </c>
      <c r="D193" s="30" t="str">
        <f>IFERROR(VLOOKUP(C193,소속부서!$A$2:$B$20,2,FALSE), "")</f>
        <v/>
      </c>
      <c r="G193" s="37"/>
      <c r="H193" s="40"/>
      <c r="I193" s="48"/>
      <c r="J193" s="41"/>
      <c r="K193" s="1"/>
      <c r="L193" s="36" t="str">
        <f>IFERROR(VLOOKUP(I193,보도매체!$A:$C,2,FALSE), "")</f>
        <v/>
      </c>
      <c r="M193" s="38" t="str">
        <f>IFERROR(VLOOKUP(I193,보도매체!$A:$C,3,FALSE), "")</f>
        <v/>
      </c>
      <c r="N193" s="3"/>
    </row>
    <row r="194" spans="1:14" x14ac:dyDescent="0.3">
      <c r="A194" s="1">
        <v>193</v>
      </c>
      <c r="B194" s="35"/>
      <c r="C194" s="35">
        <f t="shared" si="3"/>
        <v>0</v>
      </c>
      <c r="D194" s="30" t="str">
        <f>IFERROR(VLOOKUP(C194,소속부서!$A$2:$B$20,2,FALSE), "")</f>
        <v/>
      </c>
      <c r="G194" s="37"/>
      <c r="H194" s="40"/>
      <c r="I194" s="37"/>
      <c r="K194" s="28"/>
      <c r="L194" s="36" t="str">
        <f>IFERROR(VLOOKUP(I194,보도매체!$A:$C,2,FALSE), "")</f>
        <v/>
      </c>
      <c r="M194" s="38" t="str">
        <f>IFERROR(VLOOKUP(I194,보도매체!$A:$C,3,FALSE), "")</f>
        <v/>
      </c>
      <c r="N194" s="3"/>
    </row>
    <row r="195" spans="1:14" x14ac:dyDescent="0.3">
      <c r="A195" s="1">
        <v>194</v>
      </c>
      <c r="B195" s="35"/>
      <c r="C195" s="35">
        <f t="shared" si="3"/>
        <v>0</v>
      </c>
      <c r="D195" s="30" t="str">
        <f>IFERROR(VLOOKUP(C195,소속부서!$A$2:$B$20,2,FALSE), "")</f>
        <v/>
      </c>
      <c r="G195" s="37"/>
      <c r="H195" s="40"/>
      <c r="L195" s="36" t="str">
        <f>IFERROR(VLOOKUP(I195,보도매체!$A:$C,2,FALSE), "")</f>
        <v/>
      </c>
      <c r="M195" s="38" t="str">
        <f>IFERROR(VLOOKUP(I195,보도매체!$A:$C,3,FALSE), "")</f>
        <v/>
      </c>
      <c r="N195" s="3"/>
    </row>
    <row r="196" spans="1:14" x14ac:dyDescent="0.3">
      <c r="A196" s="1">
        <v>195</v>
      </c>
      <c r="B196" s="35"/>
      <c r="C196" s="35">
        <f t="shared" si="3"/>
        <v>0</v>
      </c>
      <c r="D196" s="30" t="str">
        <f>IFERROR(VLOOKUP(C196,소속부서!$A$2:$B$20,2,FALSE), "")</f>
        <v/>
      </c>
      <c r="E196" s="35"/>
      <c r="G196" s="37"/>
      <c r="H196" s="40"/>
      <c r="L196" s="36" t="str">
        <f>IFERROR(VLOOKUP(I196,보도매체!$A:$C,2,FALSE), "")</f>
        <v/>
      </c>
      <c r="M196" s="38" t="str">
        <f>IFERROR(VLOOKUP(I196,보도매체!$A:$C,3,FALSE), "")</f>
        <v/>
      </c>
      <c r="N196" s="3"/>
    </row>
    <row r="197" spans="1:14" x14ac:dyDescent="0.3">
      <c r="A197" s="1">
        <v>196</v>
      </c>
      <c r="B197" s="35"/>
      <c r="C197" s="35">
        <f t="shared" si="3"/>
        <v>0</v>
      </c>
      <c r="D197" s="30" t="str">
        <f>IFERROR(VLOOKUP(C197,소속부서!$A$2:$B$20,2,FALSE), "")</f>
        <v/>
      </c>
      <c r="E197" s="35"/>
      <c r="G197" s="37"/>
      <c r="H197" s="40"/>
      <c r="L197" s="36" t="str">
        <f>IFERROR(VLOOKUP(I197,보도매체!$A:$C,2,FALSE), "")</f>
        <v/>
      </c>
      <c r="M197" s="38" t="str">
        <f>IFERROR(VLOOKUP(I197,보도매체!$A:$C,3,FALSE), "")</f>
        <v/>
      </c>
      <c r="N197" s="3"/>
    </row>
    <row r="198" spans="1:14" x14ac:dyDescent="0.3">
      <c r="A198" s="1">
        <v>197</v>
      </c>
      <c r="B198" s="35"/>
      <c r="C198" s="35">
        <f t="shared" si="3"/>
        <v>0</v>
      </c>
      <c r="D198" s="30" t="str">
        <f>IFERROR(VLOOKUP(C198,소속부서!$A$2:$B$20,2,FALSE), "")</f>
        <v/>
      </c>
      <c r="G198" s="37"/>
      <c r="H198" s="40"/>
      <c r="L198" s="36" t="str">
        <f>IFERROR(VLOOKUP(I198,보도매체!$A:$C,2,FALSE), "")</f>
        <v/>
      </c>
      <c r="M198" s="38" t="str">
        <f>IFERROR(VLOOKUP(I198,보도매체!$A:$C,3,FALSE), "")</f>
        <v/>
      </c>
      <c r="N198" s="3"/>
    </row>
    <row r="199" spans="1:14" x14ac:dyDescent="0.3">
      <c r="A199" s="1">
        <v>198</v>
      </c>
      <c r="B199" s="35"/>
      <c r="C199" s="35">
        <f t="shared" si="3"/>
        <v>0</v>
      </c>
      <c r="D199" s="30" t="str">
        <f>IFERROR(VLOOKUP(C199,소속부서!$A$2:$B$20,2,FALSE), "")</f>
        <v/>
      </c>
      <c r="G199" s="37"/>
      <c r="H199" s="40"/>
      <c r="L199" s="36" t="str">
        <f>IFERROR(VLOOKUP(I199,보도매체!$A:$C,2,FALSE), "")</f>
        <v/>
      </c>
      <c r="M199" s="38" t="str">
        <f>IFERROR(VLOOKUP(I199,보도매체!$A:$C,3,FALSE), "")</f>
        <v/>
      </c>
      <c r="N199" s="3"/>
    </row>
    <row r="200" spans="1:14" x14ac:dyDescent="0.3">
      <c r="A200" s="1">
        <v>199</v>
      </c>
      <c r="B200" s="35"/>
      <c r="C200" s="35">
        <f t="shared" si="3"/>
        <v>0</v>
      </c>
      <c r="D200" s="30" t="str">
        <f>IFERROR(VLOOKUP(C200,소속부서!$A$2:$B$20,2,FALSE), "")</f>
        <v/>
      </c>
      <c r="E200" s="35"/>
      <c r="G200" s="37"/>
      <c r="H200" s="40"/>
      <c r="L200" s="36" t="str">
        <f>IFERROR(VLOOKUP(I200,보도매체!$A:$C,2,FALSE), "")</f>
        <v/>
      </c>
      <c r="M200" s="38" t="str">
        <f>IFERROR(VLOOKUP(I200,보도매체!$A:$C,3,FALSE), "")</f>
        <v/>
      </c>
      <c r="N200" s="3"/>
    </row>
    <row r="201" spans="1:14" x14ac:dyDescent="0.3">
      <c r="A201" s="1">
        <v>200</v>
      </c>
      <c r="B201" s="35"/>
      <c r="C201" s="35">
        <f t="shared" si="3"/>
        <v>0</v>
      </c>
      <c r="D201" s="30" t="str">
        <f>IFERROR(VLOOKUP(C201,소속부서!$A$2:$B$20,2,FALSE), "")</f>
        <v/>
      </c>
      <c r="E201" s="35"/>
      <c r="G201" s="37"/>
      <c r="H201" s="40"/>
      <c r="L201" s="36" t="str">
        <f>IFERROR(VLOOKUP(I201,보도매체!$A:$C,2,FALSE), "")</f>
        <v/>
      </c>
      <c r="M201" s="38" t="str">
        <f>IFERROR(VLOOKUP(I201,보도매체!$A:$C,3,FALSE), "")</f>
        <v/>
      </c>
      <c r="N201" s="3"/>
    </row>
    <row r="202" spans="1:14" x14ac:dyDescent="0.3">
      <c r="A202" s="1">
        <v>201</v>
      </c>
      <c r="B202" s="35"/>
      <c r="C202" s="35">
        <f t="shared" si="3"/>
        <v>0</v>
      </c>
      <c r="D202" s="30" t="str">
        <f>IFERROR(VLOOKUP(C202,소속부서!$A$2:$B$20,2,FALSE), "")</f>
        <v/>
      </c>
      <c r="G202" s="37"/>
      <c r="H202" s="40"/>
      <c r="L202" s="36" t="str">
        <f>IFERROR(VLOOKUP(I202,보도매체!$A:$C,2,FALSE), "")</f>
        <v/>
      </c>
      <c r="M202" s="38" t="str">
        <f>IFERROR(VLOOKUP(I202,보도매체!$A:$C,3,FALSE), "")</f>
        <v/>
      </c>
      <c r="N202" s="3"/>
    </row>
    <row r="203" spans="1:14" x14ac:dyDescent="0.3">
      <c r="A203" s="1">
        <v>202</v>
      </c>
      <c r="B203" s="35"/>
      <c r="C203" s="35">
        <f t="shared" si="3"/>
        <v>0</v>
      </c>
      <c r="D203" s="30" t="str">
        <f>IFERROR(VLOOKUP(C203,소속부서!$A$2:$B$20,2,FALSE), "")</f>
        <v/>
      </c>
      <c r="E203" s="35"/>
      <c r="G203" s="37"/>
      <c r="H203" s="40"/>
      <c r="L203" s="36" t="str">
        <f>IFERROR(VLOOKUP(I203,보도매체!$A:$C,2,FALSE), "")</f>
        <v/>
      </c>
      <c r="M203" s="38" t="str">
        <f>IFERROR(VLOOKUP(I203,보도매체!$A:$C,3,FALSE), "")</f>
        <v/>
      </c>
      <c r="N203" s="3"/>
    </row>
    <row r="204" spans="1:14" x14ac:dyDescent="0.3">
      <c r="A204" s="1">
        <v>203</v>
      </c>
      <c r="B204" s="35"/>
      <c r="C204" s="35">
        <f t="shared" si="3"/>
        <v>0</v>
      </c>
      <c r="D204" s="30" t="str">
        <f>IFERROR(VLOOKUP(C204,소속부서!$A$2:$B$20,2,FALSE), "")</f>
        <v/>
      </c>
      <c r="G204" s="37"/>
      <c r="H204" s="40"/>
      <c r="L204" s="36" t="str">
        <f>IFERROR(VLOOKUP(I204,보도매체!$A:$C,2,FALSE), "")</f>
        <v/>
      </c>
      <c r="M204" s="38" t="str">
        <f>IFERROR(VLOOKUP(I204,보도매체!$A:$C,3,FALSE), "")</f>
        <v/>
      </c>
      <c r="N204" s="3"/>
    </row>
    <row r="205" spans="1:14" x14ac:dyDescent="0.3">
      <c r="A205" s="1">
        <v>204</v>
      </c>
      <c r="B205" s="35"/>
      <c r="C205" s="35">
        <f t="shared" si="3"/>
        <v>0</v>
      </c>
      <c r="D205" s="30" t="str">
        <f>IFERROR(VLOOKUP(C205,소속부서!$A$2:$B$20,2,FALSE), "")</f>
        <v/>
      </c>
      <c r="G205" s="37"/>
      <c r="H205" s="40"/>
      <c r="L205" s="36" t="str">
        <f>IFERROR(VLOOKUP(I205,보도매체!$A:$C,2,FALSE), "")</f>
        <v/>
      </c>
      <c r="M205" s="38" t="str">
        <f>IFERROR(VLOOKUP(I205,보도매체!$A:$C,3,FALSE), "")</f>
        <v/>
      </c>
      <c r="N205" s="3"/>
    </row>
    <row r="206" spans="1:14" x14ac:dyDescent="0.3">
      <c r="A206" s="1">
        <v>205</v>
      </c>
      <c r="B206" s="35"/>
      <c r="C206" s="35">
        <f t="shared" si="3"/>
        <v>0</v>
      </c>
      <c r="D206" s="30" t="str">
        <f>IFERROR(VLOOKUP(C206,소속부서!$A$2:$B$20,2,FALSE), "")</f>
        <v/>
      </c>
      <c r="G206" s="37"/>
      <c r="H206" s="40"/>
      <c r="L206" s="36" t="str">
        <f>IFERROR(VLOOKUP(I206,보도매체!$A:$C,2,FALSE), "")</f>
        <v/>
      </c>
      <c r="M206" s="38" t="str">
        <f>IFERROR(VLOOKUP(I206,보도매체!$A:$C,3,FALSE), "")</f>
        <v/>
      </c>
      <c r="N206" s="3"/>
    </row>
    <row r="207" spans="1:14" x14ac:dyDescent="0.3">
      <c r="A207" s="1">
        <v>206</v>
      </c>
      <c r="B207" s="35"/>
      <c r="C207" s="35">
        <f t="shared" si="3"/>
        <v>0</v>
      </c>
      <c r="D207" s="30" t="str">
        <f>IFERROR(VLOOKUP(C207,소속부서!$A$2:$B$20,2,FALSE), "")</f>
        <v/>
      </c>
      <c r="G207" s="37"/>
      <c r="H207" s="40"/>
      <c r="L207" s="36" t="str">
        <f>IFERROR(VLOOKUP(I207,보도매체!$A:$C,2,FALSE), "")</f>
        <v/>
      </c>
      <c r="M207" s="38" t="str">
        <f>IFERROR(VLOOKUP(I207,보도매체!$A:$C,3,FALSE), "")</f>
        <v/>
      </c>
      <c r="N207" s="3"/>
    </row>
    <row r="208" spans="1:14" x14ac:dyDescent="0.3">
      <c r="A208" s="1">
        <v>207</v>
      </c>
      <c r="B208" s="35"/>
      <c r="C208" s="35">
        <f t="shared" si="3"/>
        <v>0</v>
      </c>
      <c r="D208" s="30" t="str">
        <f>IFERROR(VLOOKUP(C208,소속부서!$A$2:$B$20,2,FALSE), "")</f>
        <v/>
      </c>
      <c r="G208" s="37"/>
      <c r="H208" s="40"/>
      <c r="L208" s="36" t="str">
        <f>IFERROR(VLOOKUP(I208,보도매체!$A:$C,2,FALSE), "")</f>
        <v/>
      </c>
      <c r="M208" s="38" t="str">
        <f>IFERROR(VLOOKUP(I208,보도매체!$A:$C,3,FALSE), "")</f>
        <v/>
      </c>
      <c r="N208" s="3"/>
    </row>
    <row r="209" spans="1:14" x14ac:dyDescent="0.3">
      <c r="A209" s="1">
        <v>208</v>
      </c>
      <c r="B209" s="35"/>
      <c r="C209" s="35">
        <f t="shared" si="3"/>
        <v>0</v>
      </c>
      <c r="D209" s="30" t="str">
        <f>IFERROR(VLOOKUP(C209,소속부서!$A$2:$B$20,2,FALSE), "")</f>
        <v/>
      </c>
      <c r="G209" s="37"/>
      <c r="H209" s="40"/>
      <c r="L209" s="36" t="str">
        <f>IFERROR(VLOOKUP(I209,보도매체!$A:$C,2,FALSE), "")</f>
        <v/>
      </c>
      <c r="M209" s="38" t="str">
        <f>IFERROR(VLOOKUP(I209,보도매체!$A:$C,3,FALSE), "")</f>
        <v/>
      </c>
      <c r="N209" s="3"/>
    </row>
    <row r="210" spans="1:14" x14ac:dyDescent="0.3">
      <c r="A210" s="1">
        <v>209</v>
      </c>
      <c r="B210" s="35"/>
      <c r="C210" s="35">
        <f t="shared" si="3"/>
        <v>0</v>
      </c>
      <c r="D210" s="30" t="str">
        <f>IFERROR(VLOOKUP(C210,소속부서!$A$2:$B$20,2,FALSE), "")</f>
        <v/>
      </c>
      <c r="G210" s="37"/>
      <c r="H210" s="40"/>
      <c r="L210" s="36" t="str">
        <f>IFERROR(VLOOKUP(I210,보도매체!$A:$C,2,FALSE), "")</f>
        <v/>
      </c>
      <c r="M210" s="38" t="str">
        <f>IFERROR(VLOOKUP(I210,보도매체!$A:$C,3,FALSE), "")</f>
        <v/>
      </c>
      <c r="N210" s="3"/>
    </row>
    <row r="211" spans="1:14" x14ac:dyDescent="0.3">
      <c r="A211" s="1">
        <v>210</v>
      </c>
      <c r="B211" s="35"/>
      <c r="C211" s="35">
        <f t="shared" si="3"/>
        <v>0</v>
      </c>
      <c r="D211" s="30" t="str">
        <f>IFERROR(VLOOKUP(C211,소속부서!$A$2:$B$20,2,FALSE), "")</f>
        <v/>
      </c>
      <c r="G211" s="37"/>
      <c r="H211" s="40"/>
      <c r="L211" s="36" t="str">
        <f>IFERROR(VLOOKUP(I211,보도매체!$A:$C,2,FALSE), "")</f>
        <v/>
      </c>
      <c r="M211" s="38" t="str">
        <f>IFERROR(VLOOKUP(I211,보도매체!$A:$C,3,FALSE), "")</f>
        <v/>
      </c>
      <c r="N211" s="3"/>
    </row>
    <row r="212" spans="1:14" x14ac:dyDescent="0.3">
      <c r="A212" s="1">
        <v>211</v>
      </c>
      <c r="B212" s="35"/>
      <c r="C212" s="35">
        <f t="shared" si="3"/>
        <v>0</v>
      </c>
      <c r="D212" s="30" t="str">
        <f>IFERROR(VLOOKUP(C212,소속부서!$A$2:$B$20,2,FALSE), "")</f>
        <v/>
      </c>
      <c r="G212" s="37"/>
      <c r="H212" s="40"/>
      <c r="L212" s="36" t="str">
        <f>IFERROR(VLOOKUP(I212,보도매체!$A:$C,2,FALSE), "")</f>
        <v/>
      </c>
      <c r="M212" s="38" t="str">
        <f>IFERROR(VLOOKUP(I212,보도매체!$A:$C,3,FALSE), "")</f>
        <v/>
      </c>
      <c r="N212" s="3"/>
    </row>
    <row r="213" spans="1:14" x14ac:dyDescent="0.3">
      <c r="A213" s="1">
        <v>212</v>
      </c>
      <c r="B213" s="35"/>
      <c r="C213" s="35">
        <f t="shared" si="3"/>
        <v>0</v>
      </c>
      <c r="D213" s="30" t="str">
        <f>IFERROR(VLOOKUP(C213,소속부서!$A$2:$B$20,2,FALSE), "")</f>
        <v/>
      </c>
      <c r="G213" s="37"/>
      <c r="H213" s="40"/>
      <c r="L213" s="36" t="str">
        <f>IFERROR(VLOOKUP(I213,보도매체!$A:$C,2,FALSE), "")</f>
        <v/>
      </c>
      <c r="M213" s="38" t="str">
        <f>IFERROR(VLOOKUP(I213,보도매체!$A:$C,3,FALSE), "")</f>
        <v/>
      </c>
      <c r="N213" s="3"/>
    </row>
    <row r="214" spans="1:14" x14ac:dyDescent="0.3">
      <c r="A214" s="1">
        <v>213</v>
      </c>
      <c r="B214" s="35"/>
      <c r="C214" s="35">
        <f t="shared" si="3"/>
        <v>0</v>
      </c>
      <c r="D214" s="30" t="str">
        <f>IFERROR(VLOOKUP(C214,소속부서!$A$2:$B$20,2,FALSE), "")</f>
        <v/>
      </c>
      <c r="G214" s="37"/>
      <c r="H214" s="40"/>
      <c r="J214" s="41"/>
      <c r="L214" s="36" t="str">
        <f>IFERROR(VLOOKUP(I214,보도매체!$A:$C,2,FALSE), "")</f>
        <v/>
      </c>
      <c r="M214" s="38" t="str">
        <f>IFERROR(VLOOKUP(I214,보도매체!$A:$C,3,FALSE), "")</f>
        <v/>
      </c>
      <c r="N214" s="3"/>
    </row>
    <row r="215" spans="1:14" x14ac:dyDescent="0.3">
      <c r="A215" s="1">
        <v>214</v>
      </c>
      <c r="B215" s="35"/>
      <c r="C215" s="35">
        <f t="shared" si="3"/>
        <v>0</v>
      </c>
      <c r="D215" s="30" t="str">
        <f>IFERROR(VLOOKUP(C215,소속부서!$A$2:$B$20,2,FALSE), "")</f>
        <v/>
      </c>
      <c r="G215" s="37"/>
      <c r="H215" s="40"/>
      <c r="L215" s="36" t="str">
        <f>IFERROR(VLOOKUP(I215,보도매체!$A:$C,2,FALSE), "")</f>
        <v/>
      </c>
      <c r="M215" s="38" t="str">
        <f>IFERROR(VLOOKUP(I215,보도매체!$A:$C,3,FALSE), "")</f>
        <v/>
      </c>
      <c r="N215" s="3"/>
    </row>
    <row r="216" spans="1:14" x14ac:dyDescent="0.3">
      <c r="A216" s="1">
        <v>215</v>
      </c>
      <c r="B216" s="35"/>
      <c r="C216" s="35">
        <f t="shared" si="3"/>
        <v>0</v>
      </c>
      <c r="D216" s="30" t="str">
        <f>IFERROR(VLOOKUP(C216,소속부서!$A$2:$B$20,2,FALSE), "")</f>
        <v/>
      </c>
      <c r="E216" s="12"/>
      <c r="F216" s="37"/>
      <c r="G216" s="44"/>
      <c r="H216" s="56"/>
      <c r="I216" s="55"/>
      <c r="J216" s="33"/>
      <c r="K216" s="57"/>
      <c r="L216" s="36" t="str">
        <f>IFERROR(VLOOKUP(I216,보도매체!$A:$C,2,FALSE), "")</f>
        <v/>
      </c>
      <c r="M216" s="38" t="str">
        <f>IFERROR(VLOOKUP(I216,보도매체!$A:$C,3,FALSE), "")</f>
        <v/>
      </c>
      <c r="N216" s="33"/>
    </row>
    <row r="217" spans="1:14" x14ac:dyDescent="0.3">
      <c r="A217" s="1">
        <v>216</v>
      </c>
      <c r="B217" s="35"/>
      <c r="C217" s="35">
        <f t="shared" si="3"/>
        <v>0</v>
      </c>
      <c r="D217" s="30" t="str">
        <f>IFERROR(VLOOKUP(C217,소속부서!$A$2:$B$20,2,FALSE), "")</f>
        <v/>
      </c>
      <c r="G217" s="37"/>
      <c r="H217" s="58"/>
      <c r="I217" s="55"/>
      <c r="J217" s="33"/>
      <c r="K217" s="55"/>
      <c r="L217" s="36" t="str">
        <f>IFERROR(VLOOKUP(I217,보도매체!$A:$C,2,FALSE), "")</f>
        <v/>
      </c>
      <c r="M217" s="38" t="str">
        <f>IFERROR(VLOOKUP(I217,보도매체!$A:$C,3,FALSE), "")</f>
        <v/>
      </c>
      <c r="N217" s="33"/>
    </row>
    <row r="218" spans="1:14" x14ac:dyDescent="0.3">
      <c r="A218" s="1">
        <v>217</v>
      </c>
      <c r="B218" s="35"/>
      <c r="C218" s="35">
        <f t="shared" si="3"/>
        <v>0</v>
      </c>
      <c r="D218" s="30" t="str">
        <f>IFERROR(VLOOKUP(C218,소속부서!$A$2:$B$20,2,FALSE), "")</f>
        <v/>
      </c>
      <c r="E218" s="12"/>
      <c r="G218" s="37"/>
      <c r="H218" s="59"/>
      <c r="I218" s="55"/>
      <c r="J218" s="33"/>
      <c r="K218" s="60"/>
      <c r="L218" s="36" t="str">
        <f>IFERROR(VLOOKUP(I218,보도매체!$A:$C,2,FALSE), "")</f>
        <v/>
      </c>
      <c r="M218" s="38" t="str">
        <f>IFERROR(VLOOKUP(I218,보도매체!$A:$C,3,FALSE), "")</f>
        <v/>
      </c>
      <c r="N218" s="33"/>
    </row>
    <row r="219" spans="1:14" x14ac:dyDescent="0.3">
      <c r="A219" s="1">
        <v>218</v>
      </c>
      <c r="B219" s="35"/>
      <c r="C219" s="35">
        <f t="shared" si="3"/>
        <v>0</v>
      </c>
      <c r="D219" s="30" t="str">
        <f>IFERROR(VLOOKUP(C219,소속부서!$A$2:$B$20,2,FALSE), "")</f>
        <v/>
      </c>
      <c r="G219" s="44"/>
      <c r="H219" s="54"/>
      <c r="I219" s="55"/>
      <c r="J219" s="33"/>
      <c r="K219" s="55"/>
      <c r="L219" s="36" t="str">
        <f>IFERROR(VLOOKUP(I219,보도매체!$A:$C,2,FALSE), "")</f>
        <v/>
      </c>
      <c r="M219" s="38" t="str">
        <f>IFERROR(VLOOKUP(I219,보도매체!$A:$C,3,FALSE), "")</f>
        <v/>
      </c>
      <c r="N219" s="33"/>
    </row>
    <row r="220" spans="1:14" x14ac:dyDescent="0.3">
      <c r="A220" s="1">
        <v>219</v>
      </c>
      <c r="B220" s="35"/>
      <c r="C220" s="35">
        <f t="shared" si="3"/>
        <v>0</v>
      </c>
      <c r="D220" s="30" t="str">
        <f>IFERROR(VLOOKUP(C220,소속부서!$A$2:$B$20,2,FALSE), "")</f>
        <v/>
      </c>
      <c r="G220" s="37"/>
      <c r="H220" s="54"/>
      <c r="I220" s="55"/>
      <c r="J220" s="33"/>
      <c r="K220" s="44"/>
      <c r="L220" s="36" t="str">
        <f>IFERROR(VLOOKUP(I220,보도매체!$A:$C,2,FALSE), "")</f>
        <v/>
      </c>
      <c r="M220" s="38" t="str">
        <f>IFERROR(VLOOKUP(I220,보도매체!$A:$C,3,FALSE), "")</f>
        <v/>
      </c>
      <c r="N220" s="33"/>
    </row>
    <row r="221" spans="1:14" x14ac:dyDescent="0.3">
      <c r="A221" s="1">
        <v>220</v>
      </c>
      <c r="B221" s="35"/>
      <c r="C221" s="35">
        <f t="shared" si="3"/>
        <v>0</v>
      </c>
      <c r="D221" s="30" t="str">
        <f>IFERROR(VLOOKUP(C221,소속부서!$A$2:$B$20,2,FALSE), "")</f>
        <v/>
      </c>
      <c r="G221" s="44"/>
      <c r="H221" s="58"/>
      <c r="I221" s="55"/>
      <c r="J221" s="33"/>
      <c r="K221" s="55"/>
      <c r="L221" s="36" t="str">
        <f>IFERROR(VLOOKUP(I221,보도매체!$A:$C,2,FALSE), "")</f>
        <v/>
      </c>
      <c r="M221" s="38" t="str">
        <f>IFERROR(VLOOKUP(I221,보도매체!$A:$C,3,FALSE), "")</f>
        <v/>
      </c>
      <c r="N221" s="33"/>
    </row>
    <row r="222" spans="1:14" x14ac:dyDescent="0.3">
      <c r="A222" s="1">
        <v>221</v>
      </c>
      <c r="B222" s="35"/>
      <c r="C222" s="35">
        <f t="shared" si="3"/>
        <v>0</v>
      </c>
      <c r="D222" s="30" t="str">
        <f>IFERROR(VLOOKUP(C222,소속부서!$A$2:$B$20,2,FALSE), "")</f>
        <v/>
      </c>
      <c r="G222" s="44"/>
      <c r="H222" s="58"/>
      <c r="I222" s="55"/>
      <c r="J222" s="33"/>
      <c r="K222" s="55"/>
      <c r="L222" s="36" t="str">
        <f>IFERROR(VLOOKUP(I222,보도매체!$A:$C,2,FALSE), "")</f>
        <v/>
      </c>
      <c r="M222" s="38" t="str">
        <f>IFERROR(VLOOKUP(I222,보도매체!$A:$C,3,FALSE), "")</f>
        <v/>
      </c>
      <c r="N222" s="33"/>
    </row>
    <row r="223" spans="1:14" x14ac:dyDescent="0.3">
      <c r="A223" s="1">
        <v>222</v>
      </c>
      <c r="B223" s="35"/>
      <c r="C223" s="35">
        <f t="shared" si="3"/>
        <v>0</v>
      </c>
      <c r="D223" s="30" t="str">
        <f>IFERROR(VLOOKUP(C223,소속부서!$A$2:$B$20,2,FALSE), "")</f>
        <v/>
      </c>
      <c r="E223" s="12"/>
      <c r="G223" s="37"/>
      <c r="H223" s="58"/>
      <c r="I223" s="55"/>
      <c r="J223" s="33"/>
      <c r="K223" s="37"/>
      <c r="L223" s="36" t="str">
        <f>IFERROR(VLOOKUP(I223,보도매체!$A:$C,2,FALSE), "")</f>
        <v/>
      </c>
      <c r="M223" s="38" t="str">
        <f>IFERROR(VLOOKUP(I223,보도매체!$A:$C,3,FALSE), "")</f>
        <v/>
      </c>
      <c r="N223" s="33"/>
    </row>
    <row r="224" spans="1:14" x14ac:dyDescent="0.3">
      <c r="A224" s="1">
        <v>223</v>
      </c>
      <c r="B224" s="35"/>
      <c r="C224" s="35">
        <f t="shared" si="3"/>
        <v>0</v>
      </c>
      <c r="D224" s="30" t="str">
        <f>IFERROR(VLOOKUP(C224,소속부서!$A$2:$B$20,2,FALSE), "")</f>
        <v/>
      </c>
      <c r="E224" s="35"/>
      <c r="F224" s="37"/>
      <c r="G224" s="37"/>
      <c r="H224" s="42"/>
      <c r="I224" s="55"/>
      <c r="J224" s="33"/>
      <c r="K224" s="61"/>
      <c r="L224" s="36" t="str">
        <f>IFERROR(VLOOKUP(I224,보도매체!$A:$C,2,FALSE), "")</f>
        <v/>
      </c>
      <c r="M224" s="38" t="str">
        <f>IFERROR(VLOOKUP(I224,보도매체!$A:$C,3,FALSE), "")</f>
        <v/>
      </c>
      <c r="N224" s="33"/>
    </row>
    <row r="225" spans="1:14" x14ac:dyDescent="0.3">
      <c r="A225" s="1">
        <v>224</v>
      </c>
      <c r="B225" s="35"/>
      <c r="C225" s="35">
        <f t="shared" si="3"/>
        <v>0</v>
      </c>
      <c r="D225" s="30" t="str">
        <f>IFERROR(VLOOKUP(C225,소속부서!$A$2:$B$20,2,FALSE), "")</f>
        <v/>
      </c>
      <c r="E225" s="12"/>
      <c r="F225" s="37"/>
      <c r="G225" s="37"/>
      <c r="H225" s="46"/>
      <c r="L225" s="36" t="str">
        <f>IFERROR(VLOOKUP(I225,보도매체!$A:$C,2,FALSE), "")</f>
        <v/>
      </c>
      <c r="M225" s="38" t="str">
        <f>IFERROR(VLOOKUP(I225,보도매체!$A:$C,3,FALSE), "")</f>
        <v/>
      </c>
      <c r="N225" s="3"/>
    </row>
    <row r="226" spans="1:14" x14ac:dyDescent="0.3">
      <c r="A226" s="1">
        <v>225</v>
      </c>
      <c r="B226" s="35"/>
      <c r="C226" s="35">
        <f t="shared" si="3"/>
        <v>0</v>
      </c>
      <c r="D226" s="30" t="str">
        <f>IFERROR(VLOOKUP(C226,소속부서!$A$2:$B$20,2,FALSE), "")</f>
        <v/>
      </c>
      <c r="G226" s="37"/>
      <c r="H226" s="46"/>
      <c r="L226" s="36" t="str">
        <f>IFERROR(VLOOKUP(I226,보도매체!$A:$C,2,FALSE), "")</f>
        <v/>
      </c>
      <c r="M226" s="38" t="str">
        <f>IFERROR(VLOOKUP(I226,보도매체!$A:$C,3,FALSE), "")</f>
        <v/>
      </c>
      <c r="N226" s="3"/>
    </row>
    <row r="227" spans="1:14" x14ac:dyDescent="0.3">
      <c r="A227" s="1">
        <v>226</v>
      </c>
      <c r="B227" s="35"/>
      <c r="C227" s="35">
        <f t="shared" si="3"/>
        <v>0</v>
      </c>
      <c r="D227" s="30" t="str">
        <f>IFERROR(VLOOKUP(C227,소속부서!$A$2:$B$20,2,FALSE), "")</f>
        <v/>
      </c>
      <c r="G227" s="37"/>
      <c r="H227" s="46"/>
      <c r="L227" s="36" t="str">
        <f>IFERROR(VLOOKUP(I227,보도매체!$A:$C,2,FALSE), "")</f>
        <v/>
      </c>
      <c r="M227" s="38" t="str">
        <f>IFERROR(VLOOKUP(I227,보도매체!$A:$C,3,FALSE), "")</f>
        <v/>
      </c>
      <c r="N227" s="3"/>
    </row>
    <row r="228" spans="1:14" x14ac:dyDescent="0.3">
      <c r="A228" s="1">
        <v>227</v>
      </c>
      <c r="B228" s="35"/>
      <c r="C228" s="35">
        <f t="shared" si="3"/>
        <v>0</v>
      </c>
      <c r="D228" s="30" t="str">
        <f>IFERROR(VLOOKUP(C228,소속부서!$A$2:$B$20,2,FALSE), "")</f>
        <v/>
      </c>
      <c r="G228" s="37"/>
      <c r="H228" s="46"/>
      <c r="L228" s="36" t="str">
        <f>IFERROR(VLOOKUP(I228,보도매체!$A:$C,2,FALSE), "")</f>
        <v/>
      </c>
      <c r="M228" s="38" t="str">
        <f>IFERROR(VLOOKUP(I228,보도매체!$A:$C,3,FALSE), "")</f>
        <v/>
      </c>
      <c r="N228" s="3"/>
    </row>
    <row r="229" spans="1:14" x14ac:dyDescent="0.3">
      <c r="A229" s="1">
        <v>228</v>
      </c>
      <c r="B229" s="35"/>
      <c r="C229" s="35">
        <f t="shared" si="3"/>
        <v>0</v>
      </c>
      <c r="D229" s="30" t="str">
        <f>IFERROR(VLOOKUP(C229,소속부서!$A$2:$B$20,2,FALSE), "")</f>
        <v/>
      </c>
      <c r="E229" s="35"/>
      <c r="G229" s="37"/>
      <c r="H229" s="46"/>
      <c r="L229" s="36" t="str">
        <f>IFERROR(VLOOKUP(I229,보도매체!$A:$C,2,FALSE), "")</f>
        <v/>
      </c>
      <c r="M229" s="38" t="str">
        <f>IFERROR(VLOOKUP(I229,보도매체!$A:$C,3,FALSE), "")</f>
        <v/>
      </c>
      <c r="N229" s="3"/>
    </row>
    <row r="230" spans="1:14" x14ac:dyDescent="0.3">
      <c r="A230" s="1">
        <v>229</v>
      </c>
      <c r="B230" s="35"/>
      <c r="C230" s="35">
        <f t="shared" si="3"/>
        <v>0</v>
      </c>
      <c r="D230" s="30" t="str">
        <f>IFERROR(VLOOKUP(C230,소속부서!$A$2:$B$20,2,FALSE), "")</f>
        <v/>
      </c>
      <c r="E230" s="12"/>
      <c r="F230" s="37"/>
      <c r="G230" s="37"/>
      <c r="H230" s="46"/>
      <c r="L230" s="36" t="str">
        <f>IFERROR(VLOOKUP(I230,보도매체!$A:$C,2,FALSE), "")</f>
        <v/>
      </c>
      <c r="M230" s="38" t="str">
        <f>IFERROR(VLOOKUP(I230,보도매체!$A:$C,3,FALSE), "")</f>
        <v/>
      </c>
      <c r="N230" s="3"/>
    </row>
    <row r="231" spans="1:14" x14ac:dyDescent="0.3">
      <c r="A231" s="1">
        <v>230</v>
      </c>
      <c r="B231" s="35"/>
      <c r="C231" s="35">
        <f t="shared" si="3"/>
        <v>0</v>
      </c>
      <c r="D231" s="30" t="str">
        <f>IFERROR(VLOOKUP(C231,소속부서!$A$2:$B$20,2,FALSE), "")</f>
        <v/>
      </c>
      <c r="G231" s="37"/>
      <c r="H231" s="46"/>
      <c r="L231" s="36" t="str">
        <f>IFERROR(VLOOKUP(I231,보도매체!$A:$C,2,FALSE), "")</f>
        <v/>
      </c>
      <c r="M231" s="38" t="str">
        <f>IFERROR(VLOOKUP(I231,보도매체!$A:$C,3,FALSE), "")</f>
        <v/>
      </c>
      <c r="N231" s="3"/>
    </row>
    <row r="232" spans="1:14" x14ac:dyDescent="0.3">
      <c r="A232" s="1">
        <v>231</v>
      </c>
      <c r="B232" s="35"/>
      <c r="C232" s="35">
        <f t="shared" si="3"/>
        <v>0</v>
      </c>
      <c r="D232" s="30" t="str">
        <f>IFERROR(VLOOKUP(C232,소속부서!$A$2:$B$20,2,FALSE), "")</f>
        <v/>
      </c>
      <c r="G232" s="37"/>
      <c r="H232" s="49"/>
      <c r="J232" s="33"/>
      <c r="K232" s="28"/>
      <c r="L232" s="36" t="str">
        <f>IFERROR(VLOOKUP(I232,보도매체!$A:$C,2,FALSE), "")</f>
        <v/>
      </c>
      <c r="M232" s="38" t="str">
        <f>IFERROR(VLOOKUP(I232,보도매체!$A:$C,3,FALSE), "")</f>
        <v/>
      </c>
      <c r="N232" s="3"/>
    </row>
    <row r="233" spans="1:14" x14ac:dyDescent="0.3">
      <c r="A233" s="1">
        <v>232</v>
      </c>
      <c r="B233" s="35"/>
      <c r="C233" s="35">
        <f t="shared" si="3"/>
        <v>0</v>
      </c>
      <c r="D233" s="30" t="str">
        <f>IFERROR(VLOOKUP(C233,소속부서!$A$2:$B$20,2,FALSE), "")</f>
        <v/>
      </c>
      <c r="G233" s="37"/>
      <c r="H233" s="46"/>
      <c r="L233" s="36" t="str">
        <f>IFERROR(VLOOKUP(I233,보도매체!$A:$C,2,FALSE), "")</f>
        <v/>
      </c>
      <c r="M233" s="38" t="str">
        <f>IFERROR(VLOOKUP(I233,보도매체!$A:$C,3,FALSE), "")</f>
        <v/>
      </c>
      <c r="N233" s="3"/>
    </row>
    <row r="234" spans="1:14" x14ac:dyDescent="0.3">
      <c r="A234" s="1">
        <v>233</v>
      </c>
      <c r="B234" s="35"/>
      <c r="C234" s="35">
        <f t="shared" si="3"/>
        <v>0</v>
      </c>
      <c r="D234" s="30" t="str">
        <f>IFERROR(VLOOKUP(C234,소속부서!$A$2:$B$20,2,FALSE), "")</f>
        <v/>
      </c>
      <c r="G234" s="37"/>
      <c r="H234" s="46"/>
      <c r="L234" s="36" t="str">
        <f>IFERROR(VLOOKUP(I234,보도매체!$A:$C,2,FALSE), "")</f>
        <v/>
      </c>
      <c r="M234" s="38" t="str">
        <f>IFERROR(VLOOKUP(I234,보도매체!$A:$C,3,FALSE), "")</f>
        <v/>
      </c>
      <c r="N234" s="3"/>
    </row>
    <row r="235" spans="1:14" x14ac:dyDescent="0.3">
      <c r="A235" s="1">
        <v>234</v>
      </c>
      <c r="B235" s="35"/>
      <c r="C235" s="35">
        <f t="shared" si="3"/>
        <v>0</v>
      </c>
      <c r="D235" s="30" t="str">
        <f>IFERROR(VLOOKUP(C235,소속부서!$A$2:$B$20,2,FALSE), "")</f>
        <v/>
      </c>
      <c r="G235" s="37"/>
      <c r="H235" s="46"/>
      <c r="L235" s="36" t="str">
        <f>IFERROR(VLOOKUP(I235,보도매체!$A:$C,2,FALSE), "")</f>
        <v/>
      </c>
      <c r="M235" s="38" t="str">
        <f>IFERROR(VLOOKUP(I235,보도매체!$A:$C,3,FALSE), "")</f>
        <v/>
      </c>
      <c r="N235" s="3"/>
    </row>
    <row r="236" spans="1:14" x14ac:dyDescent="0.3">
      <c r="A236" s="1">
        <v>235</v>
      </c>
      <c r="B236" s="35"/>
      <c r="C236" s="35">
        <f t="shared" si="3"/>
        <v>0</v>
      </c>
      <c r="D236" s="30" t="str">
        <f>IFERROR(VLOOKUP(C236,소속부서!$A$2:$B$20,2,FALSE), "")</f>
        <v/>
      </c>
      <c r="G236" s="37"/>
      <c r="H236" s="46"/>
      <c r="L236" s="36" t="str">
        <f>IFERROR(VLOOKUP(I236,보도매체!$A:$C,2,FALSE), "")</f>
        <v/>
      </c>
      <c r="M236" s="38" t="str">
        <f>IFERROR(VLOOKUP(I236,보도매체!$A:$C,3,FALSE), "")</f>
        <v/>
      </c>
      <c r="N236" s="3"/>
    </row>
    <row r="237" spans="1:14" x14ac:dyDescent="0.3">
      <c r="A237" s="1">
        <v>236</v>
      </c>
      <c r="B237" s="35"/>
      <c r="C237" s="35">
        <f t="shared" si="3"/>
        <v>0</v>
      </c>
      <c r="D237" s="30" t="str">
        <f>IFERROR(VLOOKUP(C237,소속부서!$A$2:$B$20,2,FALSE), "")</f>
        <v/>
      </c>
      <c r="G237" s="37"/>
      <c r="H237" s="46"/>
      <c r="L237" s="36" t="str">
        <f>IFERROR(VLOOKUP(I237,보도매체!$A:$C,2,FALSE), "")</f>
        <v/>
      </c>
      <c r="M237" s="38" t="str">
        <f>IFERROR(VLOOKUP(I237,보도매체!$A:$C,3,FALSE), "")</f>
        <v/>
      </c>
      <c r="N237" s="3"/>
    </row>
    <row r="238" spans="1:14" x14ac:dyDescent="0.3">
      <c r="A238" s="1">
        <v>237</v>
      </c>
      <c r="B238" s="35"/>
      <c r="C238" s="35">
        <f t="shared" si="3"/>
        <v>0</v>
      </c>
      <c r="D238" s="30" t="str">
        <f>IFERROR(VLOOKUP(C238,소속부서!$A$2:$B$20,2,FALSE), "")</f>
        <v/>
      </c>
      <c r="G238" s="37"/>
      <c r="H238" s="46"/>
      <c r="L238" s="36" t="str">
        <f>IFERROR(VLOOKUP(I238,보도매체!$A:$C,2,FALSE), "")</f>
        <v/>
      </c>
      <c r="M238" s="38" t="str">
        <f>IFERROR(VLOOKUP(I238,보도매체!$A:$C,3,FALSE), "")</f>
        <v/>
      </c>
      <c r="N238" s="3"/>
    </row>
    <row r="239" spans="1:14" x14ac:dyDescent="0.3">
      <c r="A239" s="1">
        <v>238</v>
      </c>
      <c r="B239" s="35"/>
      <c r="C239" s="35">
        <f t="shared" si="3"/>
        <v>0</v>
      </c>
      <c r="D239" s="30" t="str">
        <f>IFERROR(VLOOKUP(C239,소속부서!$A$2:$B$20,2,FALSE), "")</f>
        <v/>
      </c>
      <c r="G239" s="37"/>
      <c r="H239" s="46"/>
      <c r="L239" s="36" t="str">
        <f>IFERROR(VLOOKUP(I239,보도매체!$A:$C,2,FALSE), "")</f>
        <v/>
      </c>
      <c r="M239" s="38" t="str">
        <f>IFERROR(VLOOKUP(I239,보도매체!$A:$C,3,FALSE), "")</f>
        <v/>
      </c>
      <c r="N239" s="3"/>
    </row>
    <row r="240" spans="1:14" x14ac:dyDescent="0.3">
      <c r="A240" s="1">
        <v>239</v>
      </c>
      <c r="B240" s="35"/>
      <c r="C240" s="35">
        <f t="shared" si="3"/>
        <v>0</v>
      </c>
      <c r="D240" s="30" t="str">
        <f>IFERROR(VLOOKUP(C240,소속부서!$A$2:$B$20,2,FALSE), "")</f>
        <v/>
      </c>
      <c r="G240" s="37"/>
      <c r="H240" s="46"/>
      <c r="L240" s="36" t="str">
        <f>IFERROR(VLOOKUP(I240,보도매체!$A:$C,2,FALSE), "")</f>
        <v/>
      </c>
      <c r="M240" s="38" t="str">
        <f>IFERROR(VLOOKUP(I240,보도매체!$A:$C,3,FALSE), "")</f>
        <v/>
      </c>
      <c r="N240" s="3"/>
    </row>
    <row r="241" spans="1:14" x14ac:dyDescent="0.3">
      <c r="A241" s="1">
        <v>240</v>
      </c>
      <c r="B241" s="35"/>
      <c r="C241" s="35">
        <f t="shared" si="3"/>
        <v>0</v>
      </c>
      <c r="D241" s="30" t="str">
        <f>IFERROR(VLOOKUP(C241,소속부서!$A$2:$B$20,2,FALSE), "")</f>
        <v/>
      </c>
      <c r="G241" s="37"/>
      <c r="H241" s="46"/>
      <c r="L241" s="36" t="str">
        <f>IFERROR(VLOOKUP(I241,보도매체!$A:$C,2,FALSE), "")</f>
        <v/>
      </c>
      <c r="M241" s="38" t="str">
        <f>IFERROR(VLOOKUP(I241,보도매체!$A:$C,3,FALSE), "")</f>
        <v/>
      </c>
      <c r="N241" s="3"/>
    </row>
    <row r="242" spans="1:14" x14ac:dyDescent="0.3">
      <c r="A242" s="1">
        <v>241</v>
      </c>
      <c r="B242" s="35"/>
      <c r="C242" s="35">
        <f t="shared" si="3"/>
        <v>0</v>
      </c>
      <c r="D242" s="30" t="str">
        <f>IFERROR(VLOOKUP(C242,소속부서!$A$2:$B$20,2,FALSE), "")</f>
        <v/>
      </c>
      <c r="G242" s="37"/>
      <c r="H242" s="46"/>
      <c r="L242" s="36" t="str">
        <f>IFERROR(VLOOKUP(I242,보도매체!$A:$C,2,FALSE), "")</f>
        <v/>
      </c>
      <c r="M242" s="38" t="str">
        <f>IFERROR(VLOOKUP(I242,보도매체!$A:$C,3,FALSE), "")</f>
        <v/>
      </c>
      <c r="N242" s="3"/>
    </row>
    <row r="243" spans="1:14" x14ac:dyDescent="0.3">
      <c r="A243" s="1">
        <v>242</v>
      </c>
      <c r="B243" s="35"/>
      <c r="C243" s="35">
        <f t="shared" si="3"/>
        <v>0</v>
      </c>
      <c r="D243" s="30" t="str">
        <f>IFERROR(VLOOKUP(C243,소속부서!$A$2:$B$20,2,FALSE), "")</f>
        <v/>
      </c>
      <c r="G243" s="37"/>
      <c r="H243" s="40"/>
      <c r="L243" s="36" t="str">
        <f>IFERROR(VLOOKUP(I243,보도매체!$A:$C,2,FALSE), "")</f>
        <v/>
      </c>
      <c r="M243" s="38" t="str">
        <f>IFERROR(VLOOKUP(I243,보도매체!$A:$C,3,FALSE), "")</f>
        <v/>
      </c>
      <c r="N243" s="3"/>
    </row>
    <row r="244" spans="1:14" x14ac:dyDescent="0.3">
      <c r="A244" s="1">
        <v>243</v>
      </c>
      <c r="B244" s="35"/>
      <c r="C244" s="35">
        <f t="shared" si="3"/>
        <v>0</v>
      </c>
      <c r="D244" s="30" t="str">
        <f>IFERROR(VLOOKUP(C244,소속부서!$A$2:$B$20,2,FALSE), "")</f>
        <v/>
      </c>
      <c r="F244" s="50"/>
      <c r="G244" s="37"/>
      <c r="H244" s="40"/>
      <c r="J244" s="41"/>
      <c r="L244" s="36" t="str">
        <f>IFERROR(VLOOKUP(I244,보도매체!$A:$C,2,FALSE), "")</f>
        <v/>
      </c>
      <c r="M244" s="38" t="str">
        <f>IFERROR(VLOOKUP(I244,보도매체!$A:$C,3,FALSE), "")</f>
        <v/>
      </c>
      <c r="N244" s="3"/>
    </row>
    <row r="245" spans="1:14" x14ac:dyDescent="0.3">
      <c r="A245" s="1">
        <v>244</v>
      </c>
      <c r="B245" s="35"/>
      <c r="C245" s="35">
        <f t="shared" si="3"/>
        <v>0</v>
      </c>
      <c r="D245" s="30" t="str">
        <f>IFERROR(VLOOKUP(C245,소속부서!$A$2:$B$20,2,FALSE), "")</f>
        <v/>
      </c>
      <c r="G245" s="37"/>
      <c r="H245" s="40"/>
      <c r="L245" s="36" t="str">
        <f>IFERROR(VLOOKUP(I245,보도매체!$A:$C,2,FALSE), "")</f>
        <v/>
      </c>
      <c r="M245" s="38" t="str">
        <f>IFERROR(VLOOKUP(I245,보도매체!$A:$C,3,FALSE), "")</f>
        <v/>
      </c>
      <c r="N245" s="3"/>
    </row>
    <row r="246" spans="1:14" x14ac:dyDescent="0.3">
      <c r="A246" s="1">
        <v>245</v>
      </c>
      <c r="B246" s="35"/>
      <c r="C246" s="35">
        <f t="shared" si="3"/>
        <v>0</v>
      </c>
      <c r="D246" s="30" t="str">
        <f>IFERROR(VLOOKUP(C246,소속부서!$A$2:$B$20,2,FALSE), "")</f>
        <v/>
      </c>
      <c r="G246" s="37"/>
      <c r="H246" s="40"/>
      <c r="L246" s="36" t="str">
        <f>IFERROR(VLOOKUP(I246,보도매체!$A:$C,2,FALSE), "")</f>
        <v/>
      </c>
      <c r="M246" s="38" t="str">
        <f>IFERROR(VLOOKUP(I246,보도매체!$A:$C,3,FALSE), "")</f>
        <v/>
      </c>
      <c r="N246" s="3"/>
    </row>
    <row r="247" spans="1:14" x14ac:dyDescent="0.3">
      <c r="A247" s="1">
        <v>246</v>
      </c>
      <c r="B247" s="35"/>
      <c r="C247" s="35">
        <f t="shared" si="3"/>
        <v>0</v>
      </c>
      <c r="D247" s="30" t="str">
        <f>IFERROR(VLOOKUP(C247,소속부서!$A$2:$B$20,2,FALSE), "")</f>
        <v/>
      </c>
      <c r="G247" s="37"/>
      <c r="H247" s="40"/>
      <c r="L247" s="36" t="str">
        <f>IFERROR(VLOOKUP(I247,보도매체!$A:$C,2,FALSE), "")</f>
        <v/>
      </c>
      <c r="M247" s="38" t="str">
        <f>IFERROR(VLOOKUP(I247,보도매체!$A:$C,3,FALSE), "")</f>
        <v/>
      </c>
      <c r="N247" s="3"/>
    </row>
    <row r="248" spans="1:14" x14ac:dyDescent="0.3">
      <c r="A248" s="1">
        <v>247</v>
      </c>
      <c r="B248" s="35"/>
      <c r="C248" s="35">
        <f t="shared" si="3"/>
        <v>0</v>
      </c>
      <c r="D248" s="30" t="str">
        <f>IFERROR(VLOOKUP(C248,소속부서!$A$2:$B$20,2,FALSE), "")</f>
        <v/>
      </c>
      <c r="F248" s="50"/>
      <c r="G248" s="37"/>
      <c r="H248" s="40"/>
      <c r="L248" s="36" t="str">
        <f>IFERROR(VLOOKUP(I248,보도매체!$A:$C,2,FALSE), "")</f>
        <v/>
      </c>
      <c r="M248" s="38" t="str">
        <f>IFERROR(VLOOKUP(I248,보도매체!$A:$C,3,FALSE), "")</f>
        <v/>
      </c>
      <c r="N248" s="3"/>
    </row>
    <row r="249" spans="1:14" x14ac:dyDescent="0.3">
      <c r="A249" s="1">
        <v>248</v>
      </c>
      <c r="B249" s="35"/>
      <c r="C249" s="35">
        <f t="shared" si="3"/>
        <v>0</v>
      </c>
      <c r="D249" s="30" t="str">
        <f>IFERROR(VLOOKUP(C249,소속부서!$A$2:$B$20,2,FALSE), "")</f>
        <v/>
      </c>
      <c r="F249" s="50"/>
      <c r="G249" s="37"/>
      <c r="H249" s="40"/>
      <c r="L249" s="36" t="str">
        <f>IFERROR(VLOOKUP(I249,보도매체!$A:$C,2,FALSE), "")</f>
        <v/>
      </c>
      <c r="M249" s="38" t="str">
        <f>IFERROR(VLOOKUP(I249,보도매체!$A:$C,3,FALSE), "")</f>
        <v/>
      </c>
      <c r="N249" s="3"/>
    </row>
    <row r="250" spans="1:14" x14ac:dyDescent="0.3">
      <c r="A250" s="1">
        <v>249</v>
      </c>
      <c r="B250" s="35"/>
      <c r="C250" s="35">
        <f t="shared" si="3"/>
        <v>0</v>
      </c>
      <c r="D250" s="30" t="str">
        <f>IFERROR(VLOOKUP(C250,소속부서!$A$2:$B$20,2,FALSE), "")</f>
        <v/>
      </c>
      <c r="F250" s="50"/>
      <c r="G250" s="37"/>
      <c r="H250" s="40"/>
      <c r="J250" s="41"/>
      <c r="K250" s="28"/>
      <c r="L250" s="36" t="str">
        <f>IFERROR(VLOOKUP(I250,보도매체!$A:$C,2,FALSE), "")</f>
        <v/>
      </c>
      <c r="M250" s="38" t="str">
        <f>IFERROR(VLOOKUP(I250,보도매체!$A:$C,3,FALSE), "")</f>
        <v/>
      </c>
      <c r="N250" s="3"/>
    </row>
    <row r="251" spans="1:14" x14ac:dyDescent="0.3">
      <c r="A251" s="1">
        <v>250</v>
      </c>
      <c r="B251" s="35"/>
      <c r="C251" s="35">
        <f t="shared" si="3"/>
        <v>0</v>
      </c>
      <c r="D251" s="30" t="str">
        <f>IFERROR(VLOOKUP(C251,소속부서!$A$2:$B$20,2,FALSE), "")</f>
        <v/>
      </c>
      <c r="F251" s="50"/>
      <c r="G251" s="37"/>
      <c r="H251" s="40"/>
      <c r="L251" s="36" t="str">
        <f>IFERROR(VLOOKUP(I251,보도매체!$A:$C,2,FALSE), "")</f>
        <v/>
      </c>
      <c r="M251" s="38" t="str">
        <f>IFERROR(VLOOKUP(I251,보도매체!$A:$C,3,FALSE), "")</f>
        <v/>
      </c>
      <c r="N251" s="3"/>
    </row>
    <row r="252" spans="1:14" x14ac:dyDescent="0.3">
      <c r="A252" s="1">
        <v>251</v>
      </c>
      <c r="B252" s="35"/>
      <c r="C252" s="35">
        <f t="shared" si="3"/>
        <v>0</v>
      </c>
      <c r="D252" s="30" t="str">
        <f>IFERROR(VLOOKUP(C252,소속부서!$A$2:$B$20,2,FALSE), "")</f>
        <v/>
      </c>
      <c r="G252" s="37"/>
      <c r="H252" s="40"/>
      <c r="J252" s="41"/>
      <c r="K252" s="28"/>
      <c r="L252" s="36" t="str">
        <f>IFERROR(VLOOKUP(I252,보도매체!$A:$C,2,FALSE), "")</f>
        <v/>
      </c>
      <c r="M252" s="38" t="str">
        <f>IFERROR(VLOOKUP(I252,보도매체!$A:$C,3,FALSE), "")</f>
        <v/>
      </c>
      <c r="N252" s="3"/>
    </row>
    <row r="253" spans="1:14" x14ac:dyDescent="0.3">
      <c r="A253" s="1">
        <v>252</v>
      </c>
      <c r="B253" s="35"/>
      <c r="C253" s="35">
        <f t="shared" si="3"/>
        <v>0</v>
      </c>
      <c r="D253" s="30" t="str">
        <f>IFERROR(VLOOKUP(C253,소속부서!$A$2:$B$20,2,FALSE), "")</f>
        <v/>
      </c>
      <c r="E253" s="36"/>
      <c r="G253" s="37"/>
      <c r="H253" s="40"/>
      <c r="I253" s="51"/>
      <c r="L253" s="36" t="str">
        <f>IFERROR(VLOOKUP(I253,보도매체!$A:$C,2,FALSE), "")</f>
        <v/>
      </c>
      <c r="M253" s="38" t="str">
        <f>IFERROR(VLOOKUP(I253,보도매체!$A:$C,3,FALSE), "")</f>
        <v/>
      </c>
      <c r="N253" s="3"/>
    </row>
    <row r="254" spans="1:14" x14ac:dyDescent="0.3">
      <c r="A254" s="1">
        <v>253</v>
      </c>
      <c r="B254" s="35"/>
      <c r="C254" s="35">
        <f t="shared" si="3"/>
        <v>0</v>
      </c>
      <c r="D254" s="30" t="str">
        <f>IFERROR(VLOOKUP(C254,소속부서!$A$2:$B$20,2,FALSE), "")</f>
        <v/>
      </c>
      <c r="F254" s="50"/>
      <c r="G254" s="37"/>
      <c r="H254" s="40"/>
      <c r="L254" s="36" t="str">
        <f>IFERROR(VLOOKUP(I254,보도매체!$A:$C,2,FALSE), "")</f>
        <v/>
      </c>
      <c r="M254" s="38" t="str">
        <f>IFERROR(VLOOKUP(I254,보도매체!$A:$C,3,FALSE), "")</f>
        <v/>
      </c>
      <c r="N254" s="3"/>
    </row>
    <row r="255" spans="1:14" x14ac:dyDescent="0.3">
      <c r="A255" s="1">
        <v>254</v>
      </c>
      <c r="B255" s="35"/>
      <c r="C255" s="35">
        <f t="shared" si="3"/>
        <v>0</v>
      </c>
      <c r="D255" s="30" t="str">
        <f>IFERROR(VLOOKUP(C255,소속부서!$A$2:$B$20,2,FALSE), "")</f>
        <v/>
      </c>
      <c r="F255" s="50"/>
      <c r="G255" s="37"/>
      <c r="H255" s="40"/>
      <c r="L255" s="36" t="str">
        <f>IFERROR(VLOOKUP(I255,보도매체!$A:$C,2,FALSE), "")</f>
        <v/>
      </c>
      <c r="M255" s="38" t="str">
        <f>IFERROR(VLOOKUP(I255,보도매체!$A:$C,3,FALSE), "")</f>
        <v/>
      </c>
      <c r="N255" s="3"/>
    </row>
    <row r="256" spans="1:14" x14ac:dyDescent="0.3">
      <c r="A256" s="1">
        <v>255</v>
      </c>
      <c r="B256" s="35"/>
      <c r="C256" s="35">
        <f t="shared" si="3"/>
        <v>0</v>
      </c>
      <c r="D256" s="30" t="str">
        <f>IFERROR(VLOOKUP(C256,소속부서!$A$2:$B$20,2,FALSE), "")</f>
        <v/>
      </c>
      <c r="F256" s="50"/>
      <c r="G256" s="37"/>
      <c r="H256" s="40"/>
      <c r="L256" s="36" t="str">
        <f>IFERROR(VLOOKUP(I256,보도매체!$A:$C,2,FALSE), "")</f>
        <v/>
      </c>
      <c r="M256" s="38" t="str">
        <f>IFERROR(VLOOKUP(I256,보도매체!$A:$C,3,FALSE), "")</f>
        <v/>
      </c>
      <c r="N256" s="3"/>
    </row>
    <row r="257" spans="1:14" x14ac:dyDescent="0.3">
      <c r="A257" s="1">
        <v>256</v>
      </c>
      <c r="B257" s="35"/>
      <c r="C257" s="35">
        <f t="shared" ref="C257:C320" si="4">E257</f>
        <v>0</v>
      </c>
      <c r="D257" s="30" t="str">
        <f>IFERROR(VLOOKUP(C257,소속부서!$A$2:$B$20,2,FALSE), "")</f>
        <v/>
      </c>
      <c r="G257" s="37"/>
      <c r="H257" s="40"/>
      <c r="I257" s="37"/>
      <c r="J257" s="41"/>
      <c r="K257" s="28"/>
      <c r="L257" s="36" t="str">
        <f>IFERROR(VLOOKUP(I257,보도매체!$A:$C,2,FALSE), "")</f>
        <v/>
      </c>
      <c r="M257" s="38" t="str">
        <f>IFERROR(VLOOKUP(I257,보도매체!$A:$C,3,FALSE), "")</f>
        <v/>
      </c>
      <c r="N257" s="3"/>
    </row>
    <row r="258" spans="1:14" x14ac:dyDescent="0.3">
      <c r="A258" s="1">
        <v>257</v>
      </c>
      <c r="B258" s="35"/>
      <c r="C258" s="35">
        <f t="shared" si="4"/>
        <v>0</v>
      </c>
      <c r="D258" s="30" t="str">
        <f>IFERROR(VLOOKUP(C258,소속부서!$A$2:$B$20,2,FALSE), "")</f>
        <v/>
      </c>
      <c r="F258" s="50"/>
      <c r="G258" s="37"/>
      <c r="H258" s="46"/>
      <c r="J258" s="41"/>
      <c r="L258" s="36" t="str">
        <f>IFERROR(VLOOKUP(I258,보도매체!$A:$C,2,FALSE), "")</f>
        <v/>
      </c>
      <c r="M258" s="38" t="str">
        <f>IFERROR(VLOOKUP(I258,보도매체!$A:$C,3,FALSE), "")</f>
        <v/>
      </c>
      <c r="N258" s="3"/>
    </row>
    <row r="259" spans="1:14" x14ac:dyDescent="0.3">
      <c r="A259" s="1">
        <v>258</v>
      </c>
      <c r="B259" s="35"/>
      <c r="C259" s="35">
        <f t="shared" si="4"/>
        <v>0</v>
      </c>
      <c r="D259" s="30" t="str">
        <f>IFERROR(VLOOKUP(C259,소속부서!$A$2:$B$20,2,FALSE), "")</f>
        <v/>
      </c>
      <c r="G259" s="37"/>
      <c r="H259" s="46"/>
      <c r="J259" s="41"/>
      <c r="L259" s="36" t="str">
        <f>IFERROR(VLOOKUP(I259,보도매체!$A:$C,2,FALSE), "")</f>
        <v/>
      </c>
      <c r="M259" s="38" t="str">
        <f>IFERROR(VLOOKUP(I259,보도매체!$A:$C,3,FALSE), "")</f>
        <v/>
      </c>
      <c r="N259" s="3"/>
    </row>
    <row r="260" spans="1:14" x14ac:dyDescent="0.3">
      <c r="A260" s="1">
        <v>259</v>
      </c>
      <c r="B260" s="35"/>
      <c r="C260" s="35">
        <f t="shared" si="4"/>
        <v>0</v>
      </c>
      <c r="D260" s="30" t="str">
        <f>IFERROR(VLOOKUP(C260,소속부서!$A$2:$B$20,2,FALSE), "")</f>
        <v/>
      </c>
      <c r="F260" s="50"/>
      <c r="G260" s="37"/>
      <c r="H260" s="46"/>
      <c r="I260" s="37"/>
      <c r="K260" s="37"/>
      <c r="L260" s="36" t="str">
        <f>IFERROR(VLOOKUP(I260,보도매체!$A:$C,2,FALSE), "")</f>
        <v/>
      </c>
      <c r="M260" s="38" t="str">
        <f>IFERROR(VLOOKUP(I260,보도매체!$A:$C,3,FALSE), "")</f>
        <v/>
      </c>
      <c r="N260" s="3"/>
    </row>
    <row r="261" spans="1:14" x14ac:dyDescent="0.3">
      <c r="A261" s="1">
        <v>260</v>
      </c>
      <c r="B261" s="35"/>
      <c r="C261" s="35">
        <f t="shared" si="4"/>
        <v>0</v>
      </c>
      <c r="D261" s="30" t="str">
        <f>IFERROR(VLOOKUP(C261,소속부서!$A$2:$B$20,2,FALSE), "")</f>
        <v/>
      </c>
      <c r="G261" s="37"/>
      <c r="H261" s="46"/>
      <c r="L261" s="36" t="str">
        <f>IFERROR(VLOOKUP(I261,보도매체!$A:$C,2,FALSE), "")</f>
        <v/>
      </c>
      <c r="M261" s="38" t="str">
        <f>IFERROR(VLOOKUP(I261,보도매체!$A:$C,3,FALSE), "")</f>
        <v/>
      </c>
      <c r="N261" s="3"/>
    </row>
    <row r="262" spans="1:14" x14ac:dyDescent="0.3">
      <c r="A262" s="1">
        <v>261</v>
      </c>
      <c r="B262" s="35"/>
      <c r="C262" s="35">
        <f t="shared" si="4"/>
        <v>0</v>
      </c>
      <c r="D262" s="30" t="str">
        <f>IFERROR(VLOOKUP(C262,소속부서!$A$2:$B$20,2,FALSE), "")</f>
        <v/>
      </c>
      <c r="G262" s="37"/>
      <c r="H262" s="46"/>
      <c r="L262" s="36" t="str">
        <f>IFERROR(VLOOKUP(I262,보도매체!$A:$C,2,FALSE), "")</f>
        <v/>
      </c>
      <c r="M262" s="38" t="str">
        <f>IFERROR(VLOOKUP(I262,보도매체!$A:$C,3,FALSE), "")</f>
        <v/>
      </c>
      <c r="N262" s="3"/>
    </row>
    <row r="263" spans="1:14" x14ac:dyDescent="0.3">
      <c r="A263" s="1">
        <v>262</v>
      </c>
      <c r="B263" s="35"/>
      <c r="C263" s="35">
        <f t="shared" si="4"/>
        <v>0</v>
      </c>
      <c r="D263" s="30" t="str">
        <f>IFERROR(VLOOKUP(C263,소속부서!$A$2:$B$20,2,FALSE), "")</f>
        <v/>
      </c>
      <c r="G263" s="37"/>
      <c r="H263" s="46"/>
      <c r="L263" s="36" t="str">
        <f>IFERROR(VLOOKUP(I263,보도매체!$A:$C,2,FALSE), "")</f>
        <v/>
      </c>
      <c r="M263" s="38" t="str">
        <f>IFERROR(VLOOKUP(I263,보도매체!$A:$C,3,FALSE), "")</f>
        <v/>
      </c>
      <c r="N263" s="3"/>
    </row>
    <row r="264" spans="1:14" x14ac:dyDescent="0.3">
      <c r="A264" s="1">
        <v>263</v>
      </c>
      <c r="B264" s="35"/>
      <c r="C264" s="35">
        <f t="shared" si="4"/>
        <v>0</v>
      </c>
      <c r="D264" s="30" t="str">
        <f>IFERROR(VLOOKUP(C264,소속부서!$A$2:$B$20,2,FALSE), "")</f>
        <v/>
      </c>
      <c r="F264" s="50"/>
      <c r="G264" s="37"/>
      <c r="H264" s="46"/>
      <c r="L264" s="36" t="str">
        <f>IFERROR(VLOOKUP(I264,보도매체!$A:$C,2,FALSE), "")</f>
        <v/>
      </c>
      <c r="M264" s="38" t="str">
        <f>IFERROR(VLOOKUP(I264,보도매체!$A:$C,3,FALSE), "")</f>
        <v/>
      </c>
      <c r="N264" s="3"/>
    </row>
    <row r="265" spans="1:14" x14ac:dyDescent="0.3">
      <c r="A265" s="1">
        <v>264</v>
      </c>
      <c r="B265" s="35"/>
      <c r="C265" s="35">
        <f t="shared" si="4"/>
        <v>0</v>
      </c>
      <c r="D265" s="30" t="str">
        <f>IFERROR(VLOOKUP(C265,소속부서!$A$2:$B$20,2,FALSE), "")</f>
        <v/>
      </c>
      <c r="F265" s="50"/>
      <c r="G265" s="37"/>
      <c r="H265" s="46"/>
      <c r="L265" s="36" t="str">
        <f>IFERROR(VLOOKUP(I265,보도매체!$A:$C,2,FALSE), "")</f>
        <v/>
      </c>
      <c r="M265" s="38" t="str">
        <f>IFERROR(VLOOKUP(I265,보도매체!$A:$C,3,FALSE), "")</f>
        <v/>
      </c>
      <c r="N265" s="3"/>
    </row>
    <row r="266" spans="1:14" x14ac:dyDescent="0.3">
      <c r="A266" s="1">
        <v>265</v>
      </c>
      <c r="B266" s="35"/>
      <c r="C266" s="35">
        <f t="shared" si="4"/>
        <v>0</v>
      </c>
      <c r="D266" s="30" t="str">
        <f>IFERROR(VLOOKUP(C266,소속부서!$A$2:$B$20,2,FALSE), "")</f>
        <v/>
      </c>
      <c r="F266" s="50"/>
      <c r="G266" s="37"/>
      <c r="H266" s="46"/>
      <c r="L266" s="36" t="str">
        <f>IFERROR(VLOOKUP(I266,보도매체!$A:$C,2,FALSE), "")</f>
        <v/>
      </c>
      <c r="M266" s="38" t="str">
        <f>IFERROR(VLOOKUP(I266,보도매체!$A:$C,3,FALSE), "")</f>
        <v/>
      </c>
      <c r="N266" s="3"/>
    </row>
    <row r="267" spans="1:14" x14ac:dyDescent="0.3">
      <c r="A267" s="1">
        <v>266</v>
      </c>
      <c r="B267" s="35"/>
      <c r="C267" s="35">
        <f t="shared" si="4"/>
        <v>0</v>
      </c>
      <c r="D267" s="30" t="str">
        <f>IFERROR(VLOOKUP(C267,소속부서!$A$2:$B$20,2,FALSE), "")</f>
        <v/>
      </c>
      <c r="G267" s="37"/>
      <c r="H267" s="46"/>
      <c r="L267" s="36" t="str">
        <f>IFERROR(VLOOKUP(I267,보도매체!$A:$C,2,FALSE), "")</f>
        <v/>
      </c>
      <c r="M267" s="38" t="str">
        <f>IFERROR(VLOOKUP(I267,보도매체!$A:$C,3,FALSE), "")</f>
        <v/>
      </c>
      <c r="N267" s="3"/>
    </row>
    <row r="268" spans="1:14" x14ac:dyDescent="0.3">
      <c r="A268" s="1">
        <v>267</v>
      </c>
      <c r="B268" s="35"/>
      <c r="C268" s="35">
        <f t="shared" si="4"/>
        <v>0</v>
      </c>
      <c r="D268" s="30" t="str">
        <f>IFERROR(VLOOKUP(C268,소속부서!$A$2:$B$20,2,FALSE), "")</f>
        <v/>
      </c>
      <c r="G268" s="37"/>
      <c r="H268" s="46"/>
      <c r="L268" s="36" t="str">
        <f>IFERROR(VLOOKUP(I268,보도매체!$A:$C,2,FALSE), "")</f>
        <v/>
      </c>
      <c r="M268" s="38" t="str">
        <f>IFERROR(VLOOKUP(I268,보도매체!$A:$C,3,FALSE), "")</f>
        <v/>
      </c>
      <c r="N268" s="3"/>
    </row>
    <row r="269" spans="1:14" x14ac:dyDescent="0.3">
      <c r="A269" s="1">
        <v>268</v>
      </c>
      <c r="B269" s="35"/>
      <c r="C269" s="35">
        <f t="shared" si="4"/>
        <v>0</v>
      </c>
      <c r="D269" s="30" t="str">
        <f>IFERROR(VLOOKUP(C269,소속부서!$A$2:$B$20,2,FALSE), "")</f>
        <v/>
      </c>
      <c r="F269" s="50"/>
      <c r="G269" s="37"/>
      <c r="H269" s="46"/>
      <c r="L269" s="36" t="str">
        <f>IFERROR(VLOOKUP(I269,보도매체!$A:$C,2,FALSE), "")</f>
        <v/>
      </c>
      <c r="M269" s="38" t="str">
        <f>IFERROR(VLOOKUP(I269,보도매체!$A:$C,3,FALSE), "")</f>
        <v/>
      </c>
      <c r="N269" s="3"/>
    </row>
    <row r="270" spans="1:14" x14ac:dyDescent="0.3">
      <c r="A270" s="1">
        <v>269</v>
      </c>
      <c r="B270" s="35"/>
      <c r="C270" s="35">
        <f t="shared" si="4"/>
        <v>0</v>
      </c>
      <c r="D270" s="30" t="str">
        <f>IFERROR(VLOOKUP(C270,소속부서!$A$2:$B$20,2,FALSE), "")</f>
        <v/>
      </c>
      <c r="F270" s="50"/>
      <c r="G270" s="37"/>
      <c r="H270" s="46"/>
      <c r="L270" s="36" t="str">
        <f>IFERROR(VLOOKUP(I270,보도매체!$A:$C,2,FALSE), "")</f>
        <v/>
      </c>
      <c r="M270" s="38" t="str">
        <f>IFERROR(VLOOKUP(I270,보도매체!$A:$C,3,FALSE), "")</f>
        <v/>
      </c>
      <c r="N270" s="3"/>
    </row>
    <row r="271" spans="1:14" x14ac:dyDescent="0.3">
      <c r="A271" s="1">
        <v>270</v>
      </c>
      <c r="B271" s="35"/>
      <c r="C271" s="35">
        <f t="shared" si="4"/>
        <v>0</v>
      </c>
      <c r="D271" s="30" t="str">
        <f>IFERROR(VLOOKUP(C271,소속부서!$A$2:$B$20,2,FALSE), "")</f>
        <v/>
      </c>
      <c r="F271" s="50"/>
      <c r="G271" s="37"/>
      <c r="H271" s="46"/>
      <c r="L271" s="36" t="str">
        <f>IFERROR(VLOOKUP(I271,보도매체!$A:$C,2,FALSE), "")</f>
        <v/>
      </c>
      <c r="M271" s="38" t="str">
        <f>IFERROR(VLOOKUP(I271,보도매체!$A:$C,3,FALSE), "")</f>
        <v/>
      </c>
      <c r="N271" s="3"/>
    </row>
    <row r="272" spans="1:14" x14ac:dyDescent="0.3">
      <c r="A272" s="1">
        <v>271</v>
      </c>
      <c r="B272" s="35"/>
      <c r="C272" s="35">
        <f t="shared" si="4"/>
        <v>0</v>
      </c>
      <c r="D272" s="30" t="str">
        <f>IFERROR(VLOOKUP(C272,소속부서!$A$2:$B$20,2,FALSE), "")</f>
        <v/>
      </c>
      <c r="G272" s="37"/>
      <c r="H272" s="46"/>
      <c r="L272" s="36" t="str">
        <f>IFERROR(VLOOKUP(I272,보도매체!$A:$C,2,FALSE), "")</f>
        <v/>
      </c>
      <c r="M272" s="38" t="str">
        <f>IFERROR(VLOOKUP(I272,보도매체!$A:$C,3,FALSE), "")</f>
        <v/>
      </c>
      <c r="N272" s="3"/>
    </row>
    <row r="273" spans="1:14" x14ac:dyDescent="0.3">
      <c r="A273" s="1">
        <v>272</v>
      </c>
      <c r="B273" s="35"/>
      <c r="C273" s="35">
        <f t="shared" si="4"/>
        <v>0</v>
      </c>
      <c r="D273" s="30" t="str">
        <f>IFERROR(VLOOKUP(C273,소속부서!$A$2:$B$20,2,FALSE), "")</f>
        <v/>
      </c>
      <c r="G273" s="37"/>
      <c r="H273" s="46"/>
      <c r="K273" s="1"/>
      <c r="L273" s="36" t="str">
        <f>IFERROR(VLOOKUP(I273,보도매체!$A:$C,2,FALSE), "")</f>
        <v/>
      </c>
      <c r="M273" s="38" t="str">
        <f>IFERROR(VLOOKUP(I273,보도매체!$A:$C,3,FALSE), "")</f>
        <v/>
      </c>
      <c r="N273" s="3"/>
    </row>
    <row r="274" spans="1:14" x14ac:dyDescent="0.3">
      <c r="A274" s="1">
        <v>273</v>
      </c>
      <c r="B274" s="35"/>
      <c r="C274" s="35">
        <f t="shared" si="4"/>
        <v>0</v>
      </c>
      <c r="D274" s="30" t="str">
        <f>IFERROR(VLOOKUP(C274,소속부서!$A$2:$B$20,2,FALSE), "")</f>
        <v/>
      </c>
      <c r="G274" s="37"/>
      <c r="H274" s="46"/>
      <c r="L274" s="36" t="str">
        <f>IFERROR(VLOOKUP(I274,보도매체!$A:$C,2,FALSE), "")</f>
        <v/>
      </c>
      <c r="M274" s="38" t="str">
        <f>IFERROR(VLOOKUP(I274,보도매체!$A:$C,3,FALSE), "")</f>
        <v/>
      </c>
      <c r="N274" s="3"/>
    </row>
    <row r="275" spans="1:14" x14ac:dyDescent="0.3">
      <c r="A275" s="1">
        <v>274</v>
      </c>
      <c r="B275" s="35"/>
      <c r="C275" s="35">
        <f t="shared" si="4"/>
        <v>0</v>
      </c>
      <c r="D275" s="30" t="str">
        <f>IFERROR(VLOOKUP(C275,소속부서!$A$2:$B$20,2,FALSE), "")</f>
        <v/>
      </c>
      <c r="G275" s="37"/>
      <c r="H275" s="46"/>
      <c r="L275" s="36" t="str">
        <f>IFERROR(VLOOKUP(I275,보도매체!$A:$C,2,FALSE), "")</f>
        <v/>
      </c>
      <c r="M275" s="38" t="str">
        <f>IFERROR(VLOOKUP(I275,보도매체!$A:$C,3,FALSE), "")</f>
        <v/>
      </c>
      <c r="N275" s="3"/>
    </row>
    <row r="276" spans="1:14" x14ac:dyDescent="0.3">
      <c r="A276" s="1">
        <v>275</v>
      </c>
      <c r="B276" s="35"/>
      <c r="C276" s="35">
        <f t="shared" si="4"/>
        <v>0</v>
      </c>
      <c r="D276" s="30" t="str">
        <f>IFERROR(VLOOKUP(C276,소속부서!$A$2:$B$20,2,FALSE), "")</f>
        <v/>
      </c>
      <c r="G276" s="37"/>
      <c r="H276" s="46"/>
      <c r="L276" s="36" t="str">
        <f>IFERROR(VLOOKUP(I276,보도매체!$A:$C,2,FALSE), "")</f>
        <v/>
      </c>
      <c r="M276" s="38" t="str">
        <f>IFERROR(VLOOKUP(I276,보도매체!$A:$C,3,FALSE), "")</f>
        <v/>
      </c>
      <c r="N276" s="3"/>
    </row>
    <row r="277" spans="1:14" x14ac:dyDescent="0.3">
      <c r="A277" s="1">
        <v>276</v>
      </c>
      <c r="B277" s="35"/>
      <c r="C277" s="35">
        <f t="shared" si="4"/>
        <v>0</v>
      </c>
      <c r="D277" s="30" t="str">
        <f>IFERROR(VLOOKUP(C277,소속부서!$A$2:$B$20,2,FALSE), "")</f>
        <v/>
      </c>
      <c r="G277" s="37"/>
      <c r="H277" s="46"/>
      <c r="L277" s="36" t="str">
        <f>IFERROR(VLOOKUP(I277,보도매체!$A:$C,2,FALSE), "")</f>
        <v/>
      </c>
      <c r="M277" s="38" t="str">
        <f>IFERROR(VLOOKUP(I277,보도매체!$A:$C,3,FALSE), "")</f>
        <v/>
      </c>
      <c r="N277" s="3"/>
    </row>
    <row r="278" spans="1:14" x14ac:dyDescent="0.3">
      <c r="A278" s="1">
        <v>277</v>
      </c>
      <c r="B278" s="35"/>
      <c r="C278" s="35">
        <f t="shared" si="4"/>
        <v>0</v>
      </c>
      <c r="D278" s="30" t="str">
        <f>IFERROR(VLOOKUP(C278,소속부서!$A$2:$B$20,2,FALSE), "")</f>
        <v/>
      </c>
      <c r="G278" s="37"/>
      <c r="H278" s="40"/>
      <c r="L278" s="36" t="str">
        <f>IFERROR(VLOOKUP(I278,보도매체!$A:$C,2,FALSE), "")</f>
        <v/>
      </c>
      <c r="M278" s="38" t="str">
        <f>IFERROR(VLOOKUP(I278,보도매체!$A:$C,3,FALSE), "")</f>
        <v/>
      </c>
      <c r="N278" s="3"/>
    </row>
    <row r="279" spans="1:14" x14ac:dyDescent="0.3">
      <c r="A279" s="1">
        <v>278</v>
      </c>
      <c r="B279" s="35"/>
      <c r="C279" s="35">
        <f t="shared" si="4"/>
        <v>0</v>
      </c>
      <c r="D279" s="30" t="str">
        <f>IFERROR(VLOOKUP(C279,소속부서!$A$2:$B$20,2,FALSE), "")</f>
        <v/>
      </c>
      <c r="G279" s="37"/>
      <c r="H279" s="40"/>
      <c r="L279" s="36" t="str">
        <f>IFERROR(VLOOKUP(I279,보도매체!$A:$C,2,FALSE), "")</f>
        <v/>
      </c>
      <c r="M279" s="38" t="str">
        <f>IFERROR(VLOOKUP(I279,보도매체!$A:$C,3,FALSE), "")</f>
        <v/>
      </c>
      <c r="N279" s="3"/>
    </row>
    <row r="280" spans="1:14" x14ac:dyDescent="0.3">
      <c r="A280" s="1">
        <v>279</v>
      </c>
      <c r="B280" s="35"/>
      <c r="C280" s="35">
        <f t="shared" si="4"/>
        <v>0</v>
      </c>
      <c r="D280" s="30" t="str">
        <f>IFERROR(VLOOKUP(C280,소속부서!$A$2:$B$20,2,FALSE), "")</f>
        <v/>
      </c>
      <c r="G280" s="37"/>
      <c r="H280" s="40"/>
      <c r="L280" s="36" t="str">
        <f>IFERROR(VLOOKUP(I280,보도매체!$A:$C,2,FALSE), "")</f>
        <v/>
      </c>
      <c r="M280" s="38" t="str">
        <f>IFERROR(VLOOKUP(I280,보도매체!$A:$C,3,FALSE), "")</f>
        <v/>
      </c>
      <c r="N280" s="3"/>
    </row>
    <row r="281" spans="1:14" x14ac:dyDescent="0.3">
      <c r="A281" s="1">
        <v>280</v>
      </c>
      <c r="B281" s="35"/>
      <c r="C281" s="35">
        <f t="shared" si="4"/>
        <v>0</v>
      </c>
      <c r="D281" s="30" t="str">
        <f>IFERROR(VLOOKUP(C281,소속부서!$A$2:$B$20,2,FALSE), "")</f>
        <v/>
      </c>
      <c r="G281" s="37"/>
      <c r="H281" s="40"/>
      <c r="I281" s="37"/>
      <c r="K281" s="28"/>
      <c r="L281" s="36" t="str">
        <f>IFERROR(VLOOKUP(I281,보도매체!$A:$C,2,FALSE), "")</f>
        <v/>
      </c>
      <c r="M281" s="38" t="str">
        <f>IFERROR(VLOOKUP(I281,보도매체!$A:$C,3,FALSE), "")</f>
        <v/>
      </c>
      <c r="N281" s="3"/>
    </row>
    <row r="282" spans="1:14" x14ac:dyDescent="0.3">
      <c r="A282" s="1">
        <v>281</v>
      </c>
      <c r="B282" s="35"/>
      <c r="C282" s="35">
        <f t="shared" si="4"/>
        <v>0</v>
      </c>
      <c r="D282" s="30" t="str">
        <f>IFERROR(VLOOKUP(C282,소속부서!$A$2:$B$20,2,FALSE), "")</f>
        <v/>
      </c>
      <c r="F282" s="50"/>
      <c r="G282" s="37"/>
      <c r="H282" s="40"/>
      <c r="L282" s="36" t="str">
        <f>IFERROR(VLOOKUP(I282,보도매체!$A:$C,2,FALSE), "")</f>
        <v/>
      </c>
      <c r="M282" s="38" t="str">
        <f>IFERROR(VLOOKUP(I282,보도매체!$A:$C,3,FALSE), "")</f>
        <v/>
      </c>
      <c r="N282" s="3"/>
    </row>
    <row r="283" spans="1:14" x14ac:dyDescent="0.3">
      <c r="A283" s="1">
        <v>282</v>
      </c>
      <c r="B283" s="35"/>
      <c r="C283" s="35">
        <f t="shared" si="4"/>
        <v>0</v>
      </c>
      <c r="D283" s="30" t="str">
        <f>IFERROR(VLOOKUP(C283,소속부서!$A$2:$B$20,2,FALSE), "")</f>
        <v/>
      </c>
      <c r="G283" s="37"/>
      <c r="H283" s="40"/>
      <c r="L283" s="36" t="str">
        <f>IFERROR(VLOOKUP(I283,보도매체!$A:$C,2,FALSE), "")</f>
        <v/>
      </c>
      <c r="M283" s="38" t="str">
        <f>IFERROR(VLOOKUP(I283,보도매체!$A:$C,3,FALSE), "")</f>
        <v/>
      </c>
      <c r="N283" s="3"/>
    </row>
    <row r="284" spans="1:14" x14ac:dyDescent="0.3">
      <c r="A284" s="1">
        <v>283</v>
      </c>
      <c r="B284" s="35"/>
      <c r="C284" s="35">
        <f t="shared" si="4"/>
        <v>0</v>
      </c>
      <c r="D284" s="30" t="str">
        <f>IFERROR(VLOOKUP(C284,소속부서!$A$2:$B$20,2,FALSE), "")</f>
        <v/>
      </c>
      <c r="E284" s="45"/>
      <c r="G284" s="37"/>
      <c r="H284" s="40"/>
      <c r="L284" s="36" t="str">
        <f>IFERROR(VLOOKUP(I284,보도매체!$A:$C,2,FALSE), "")</f>
        <v/>
      </c>
      <c r="M284" s="38" t="str">
        <f>IFERROR(VLOOKUP(I284,보도매체!$A:$C,3,FALSE), "")</f>
        <v/>
      </c>
      <c r="N284" s="3"/>
    </row>
    <row r="285" spans="1:14" x14ac:dyDescent="0.3">
      <c r="A285" s="1">
        <v>284</v>
      </c>
      <c r="B285" s="35"/>
      <c r="C285" s="35">
        <f t="shared" si="4"/>
        <v>0</v>
      </c>
      <c r="D285" s="30" t="str">
        <f>IFERROR(VLOOKUP(C285,소속부서!$A$2:$B$20,2,FALSE), "")</f>
        <v/>
      </c>
      <c r="G285" s="37"/>
      <c r="H285" s="40"/>
      <c r="J285" s="33"/>
      <c r="L285" s="36" t="str">
        <f>IFERROR(VLOOKUP(I285,보도매체!$A:$C,2,FALSE), "")</f>
        <v/>
      </c>
      <c r="M285" s="38" t="str">
        <f>IFERROR(VLOOKUP(I285,보도매체!$A:$C,3,FALSE), "")</f>
        <v/>
      </c>
      <c r="N285" s="3"/>
    </row>
    <row r="286" spans="1:14" x14ac:dyDescent="0.3">
      <c r="A286" s="1">
        <v>285</v>
      </c>
      <c r="B286" s="35"/>
      <c r="C286" s="35">
        <f t="shared" si="4"/>
        <v>0</v>
      </c>
      <c r="D286" s="30" t="str">
        <f>IFERROR(VLOOKUP(C286,소속부서!$A$2:$B$20,2,FALSE), "")</f>
        <v/>
      </c>
      <c r="G286" s="37"/>
      <c r="H286" s="40"/>
      <c r="L286" s="36" t="str">
        <f>IFERROR(VLOOKUP(I286,보도매체!$A:$C,2,FALSE), "")</f>
        <v/>
      </c>
      <c r="M286" s="38" t="str">
        <f>IFERROR(VLOOKUP(I286,보도매체!$A:$C,3,FALSE), "")</f>
        <v/>
      </c>
      <c r="N286" s="3"/>
    </row>
    <row r="287" spans="1:14" x14ac:dyDescent="0.3">
      <c r="A287" s="1">
        <v>286</v>
      </c>
      <c r="B287" s="35"/>
      <c r="C287" s="35">
        <f t="shared" si="4"/>
        <v>0</v>
      </c>
      <c r="D287" s="30" t="str">
        <f>IFERROR(VLOOKUP(C287,소속부서!$A$2:$B$20,2,FALSE), "")</f>
        <v/>
      </c>
      <c r="F287" s="50"/>
      <c r="G287" s="37"/>
      <c r="H287" s="40"/>
      <c r="J287" s="33"/>
      <c r="K287" s="28"/>
      <c r="L287" s="36" t="str">
        <f>IFERROR(VLOOKUP(I287,보도매체!$A:$C,2,FALSE), "")</f>
        <v/>
      </c>
      <c r="M287" s="38" t="str">
        <f>IFERROR(VLOOKUP(I287,보도매체!$A:$C,3,FALSE), "")</f>
        <v/>
      </c>
      <c r="N287" s="3"/>
    </row>
    <row r="288" spans="1:14" x14ac:dyDescent="0.3">
      <c r="A288" s="1">
        <v>287</v>
      </c>
      <c r="B288" s="35"/>
      <c r="C288" s="35">
        <f t="shared" si="4"/>
        <v>0</v>
      </c>
      <c r="D288" s="30" t="str">
        <f>IFERROR(VLOOKUP(C288,소속부서!$A$2:$B$20,2,FALSE), "")</f>
        <v/>
      </c>
      <c r="G288" s="37"/>
      <c r="H288" s="40"/>
      <c r="J288" s="33"/>
      <c r="L288" s="36" t="str">
        <f>IFERROR(VLOOKUP(I288,보도매체!$A:$C,2,FALSE), "")</f>
        <v/>
      </c>
      <c r="M288" s="38" t="str">
        <f>IFERROR(VLOOKUP(I288,보도매체!$A:$C,3,FALSE), "")</f>
        <v/>
      </c>
      <c r="N288" s="3"/>
    </row>
    <row r="289" spans="1:14" x14ac:dyDescent="0.3">
      <c r="A289" s="1">
        <v>288</v>
      </c>
      <c r="B289" s="35"/>
      <c r="C289" s="35">
        <f t="shared" si="4"/>
        <v>0</v>
      </c>
      <c r="D289" s="30" t="str">
        <f>IFERROR(VLOOKUP(C289,소속부서!$A$2:$B$20,2,FALSE), "")</f>
        <v/>
      </c>
      <c r="G289" s="37"/>
      <c r="H289" s="40"/>
      <c r="L289" s="36" t="str">
        <f>IFERROR(VLOOKUP(I289,보도매체!$A:$C,2,FALSE), "")</f>
        <v/>
      </c>
      <c r="M289" s="38" t="str">
        <f>IFERROR(VLOOKUP(I289,보도매체!$A:$C,3,FALSE), "")</f>
        <v/>
      </c>
      <c r="N289" s="3"/>
    </row>
    <row r="290" spans="1:14" x14ac:dyDescent="0.3">
      <c r="A290" s="1">
        <v>289</v>
      </c>
      <c r="B290" s="35"/>
      <c r="C290" s="35">
        <f t="shared" si="4"/>
        <v>0</v>
      </c>
      <c r="D290" s="30" t="str">
        <f>IFERROR(VLOOKUP(C290,소속부서!$A$2:$B$20,2,FALSE), "")</f>
        <v/>
      </c>
      <c r="G290" s="37"/>
      <c r="H290" s="40"/>
      <c r="L290" s="36" t="str">
        <f>IFERROR(VLOOKUP(I290,보도매체!$A:$C,2,FALSE), "")</f>
        <v/>
      </c>
      <c r="M290" s="38" t="str">
        <f>IFERROR(VLOOKUP(I290,보도매체!$A:$C,3,FALSE), "")</f>
        <v/>
      </c>
      <c r="N290" s="3"/>
    </row>
    <row r="291" spans="1:14" x14ac:dyDescent="0.3">
      <c r="A291" s="1">
        <v>290</v>
      </c>
      <c r="B291" s="35"/>
      <c r="C291" s="35">
        <f t="shared" si="4"/>
        <v>0</v>
      </c>
      <c r="D291" s="30" t="str">
        <f>IFERROR(VLOOKUP(C291,소속부서!$A$2:$B$20,2,FALSE), "")</f>
        <v/>
      </c>
      <c r="G291" s="37"/>
      <c r="H291" s="40"/>
      <c r="L291" s="36" t="str">
        <f>IFERROR(VLOOKUP(I291,보도매체!$A:$C,2,FALSE), "")</f>
        <v/>
      </c>
      <c r="M291" s="38" t="str">
        <f>IFERROR(VLOOKUP(I291,보도매체!$A:$C,3,FALSE), "")</f>
        <v/>
      </c>
      <c r="N291" s="3"/>
    </row>
    <row r="292" spans="1:14" x14ac:dyDescent="0.3">
      <c r="A292" s="1">
        <v>291</v>
      </c>
      <c r="B292" s="35"/>
      <c r="C292" s="35">
        <f t="shared" si="4"/>
        <v>0</v>
      </c>
      <c r="D292" s="30" t="str">
        <f>IFERROR(VLOOKUP(C292,소속부서!$A$2:$B$20,2,FALSE), "")</f>
        <v/>
      </c>
      <c r="G292" s="37"/>
      <c r="H292" s="40"/>
      <c r="L292" s="36" t="str">
        <f>IFERROR(VLOOKUP(I292,보도매체!$A:$C,2,FALSE), "")</f>
        <v/>
      </c>
      <c r="M292" s="38" t="str">
        <f>IFERROR(VLOOKUP(I292,보도매체!$A:$C,3,FALSE), "")</f>
        <v/>
      </c>
      <c r="N292" s="3"/>
    </row>
    <row r="293" spans="1:14" x14ac:dyDescent="0.3">
      <c r="A293" s="1">
        <v>292</v>
      </c>
      <c r="B293" s="35"/>
      <c r="C293" s="35">
        <f t="shared" si="4"/>
        <v>0</v>
      </c>
      <c r="D293" s="30" t="str">
        <f>IFERROR(VLOOKUP(C293,소속부서!$A$2:$B$20,2,FALSE), "")</f>
        <v/>
      </c>
      <c r="G293" s="37"/>
      <c r="H293" s="40"/>
      <c r="L293" s="36" t="str">
        <f>IFERROR(VLOOKUP(I293,보도매체!$A:$C,2,FALSE), "")</f>
        <v/>
      </c>
      <c r="M293" s="38" t="str">
        <f>IFERROR(VLOOKUP(I293,보도매체!$A:$C,3,FALSE), "")</f>
        <v/>
      </c>
      <c r="N293" s="3"/>
    </row>
    <row r="294" spans="1:14" x14ac:dyDescent="0.3">
      <c r="A294" s="1">
        <v>293</v>
      </c>
      <c r="B294" s="35"/>
      <c r="C294" s="35">
        <f t="shared" si="4"/>
        <v>0</v>
      </c>
      <c r="D294" s="30" t="str">
        <f>IFERROR(VLOOKUP(C294,소속부서!$A$2:$B$20,2,FALSE), "")</f>
        <v/>
      </c>
      <c r="G294" s="37"/>
      <c r="H294" s="40"/>
      <c r="L294" s="36" t="str">
        <f>IFERROR(VLOOKUP(I294,보도매체!$A:$C,2,FALSE), "")</f>
        <v/>
      </c>
      <c r="M294" s="38" t="str">
        <f>IFERROR(VLOOKUP(I294,보도매체!$A:$C,3,FALSE), "")</f>
        <v/>
      </c>
      <c r="N294" s="3"/>
    </row>
    <row r="295" spans="1:14" x14ac:dyDescent="0.3">
      <c r="A295" s="1">
        <v>294</v>
      </c>
      <c r="B295" s="35"/>
      <c r="C295" s="35">
        <f t="shared" si="4"/>
        <v>0</v>
      </c>
      <c r="D295" s="30" t="str">
        <f>IFERROR(VLOOKUP(C295,소속부서!$A$2:$B$20,2,FALSE), "")</f>
        <v/>
      </c>
      <c r="G295" s="37"/>
      <c r="H295" s="40"/>
      <c r="L295" s="36" t="str">
        <f>IFERROR(VLOOKUP(I295,보도매체!$A:$C,2,FALSE), "")</f>
        <v/>
      </c>
      <c r="M295" s="38" t="str">
        <f>IFERROR(VLOOKUP(I295,보도매체!$A:$C,3,FALSE), "")</f>
        <v/>
      </c>
      <c r="N295" s="3"/>
    </row>
    <row r="296" spans="1:14" x14ac:dyDescent="0.3">
      <c r="A296" s="1">
        <v>295</v>
      </c>
      <c r="B296" s="35"/>
      <c r="C296" s="35">
        <f t="shared" si="4"/>
        <v>0</v>
      </c>
      <c r="D296" s="30" t="str">
        <f>IFERROR(VLOOKUP(C296,소속부서!$A$2:$B$20,2,FALSE), "")</f>
        <v/>
      </c>
      <c r="F296" s="50"/>
      <c r="G296" s="37"/>
      <c r="H296" s="40"/>
      <c r="L296" s="36" t="str">
        <f>IFERROR(VLOOKUP(I296,보도매체!$A:$C,2,FALSE), "")</f>
        <v/>
      </c>
      <c r="M296" s="38" t="str">
        <f>IFERROR(VLOOKUP(I296,보도매체!$A:$C,3,FALSE), "")</f>
        <v/>
      </c>
      <c r="N296" s="3"/>
    </row>
    <row r="297" spans="1:14" x14ac:dyDescent="0.3">
      <c r="A297" s="1">
        <v>296</v>
      </c>
      <c r="B297" s="35"/>
      <c r="C297" s="35">
        <f t="shared" si="4"/>
        <v>0</v>
      </c>
      <c r="D297" s="30" t="str">
        <f>IFERROR(VLOOKUP(C297,소속부서!$A$2:$B$20,2,FALSE), "")</f>
        <v/>
      </c>
      <c r="G297" s="37"/>
      <c r="H297" s="40"/>
      <c r="L297" s="36" t="str">
        <f>IFERROR(VLOOKUP(I297,보도매체!$A:$C,2,FALSE), "")</f>
        <v/>
      </c>
      <c r="M297" s="38" t="str">
        <f>IFERROR(VLOOKUP(I297,보도매체!$A:$C,3,FALSE), "")</f>
        <v/>
      </c>
      <c r="N297" s="3"/>
    </row>
    <row r="298" spans="1:14" x14ac:dyDescent="0.3">
      <c r="A298" s="1">
        <v>297</v>
      </c>
      <c r="B298" s="35"/>
      <c r="C298" s="35">
        <f t="shared" si="4"/>
        <v>0</v>
      </c>
      <c r="D298" s="30" t="str">
        <f>IFERROR(VLOOKUP(C298,소속부서!$A$2:$B$20,2,FALSE), "")</f>
        <v/>
      </c>
      <c r="E298" s="12"/>
      <c r="F298" s="50"/>
      <c r="G298" s="37"/>
      <c r="H298" s="40"/>
      <c r="J298" s="41"/>
      <c r="L298" s="36" t="str">
        <f>IFERROR(VLOOKUP(I298,보도매체!$A:$C,2,FALSE), "")</f>
        <v/>
      </c>
      <c r="M298" s="38" t="str">
        <f>IFERROR(VLOOKUP(I298,보도매체!$A:$C,3,FALSE), "")</f>
        <v/>
      </c>
      <c r="N298" s="3"/>
    </row>
    <row r="299" spans="1:14" x14ac:dyDescent="0.3">
      <c r="A299" s="1">
        <v>298</v>
      </c>
      <c r="B299" s="35"/>
      <c r="C299" s="35">
        <f t="shared" si="4"/>
        <v>0</v>
      </c>
      <c r="D299" s="30" t="str">
        <f>IFERROR(VLOOKUP(C299,소속부서!$A$2:$B$20,2,FALSE), "")</f>
        <v/>
      </c>
      <c r="G299" s="37"/>
      <c r="H299" s="40"/>
      <c r="J299" s="41"/>
      <c r="L299" s="36" t="str">
        <f>IFERROR(VLOOKUP(I299,보도매체!$A:$C,2,FALSE), "")</f>
        <v/>
      </c>
      <c r="M299" s="38" t="str">
        <f>IFERROR(VLOOKUP(I299,보도매체!$A:$C,3,FALSE), "")</f>
        <v/>
      </c>
      <c r="N299" s="3"/>
    </row>
    <row r="300" spans="1:14" x14ac:dyDescent="0.3">
      <c r="A300" s="1">
        <v>299</v>
      </c>
      <c r="B300" s="35"/>
      <c r="C300" s="35">
        <f t="shared" si="4"/>
        <v>0</v>
      </c>
      <c r="D300" s="30" t="str">
        <f>IFERROR(VLOOKUP(C300,소속부서!$A$2:$B$20,2,FALSE), "")</f>
        <v/>
      </c>
      <c r="G300" s="37"/>
      <c r="H300" s="40"/>
      <c r="I300" s="37"/>
      <c r="K300" s="28"/>
      <c r="L300" s="36" t="str">
        <f>IFERROR(VLOOKUP(I300,보도매체!$A:$C,2,FALSE), "")</f>
        <v/>
      </c>
      <c r="M300" s="38" t="str">
        <f>IFERROR(VLOOKUP(I300,보도매체!$A:$C,3,FALSE), "")</f>
        <v/>
      </c>
      <c r="N300" s="3"/>
    </row>
    <row r="301" spans="1:14" x14ac:dyDescent="0.3">
      <c r="A301" s="1">
        <v>300</v>
      </c>
      <c r="B301" s="35"/>
      <c r="C301" s="35">
        <f t="shared" si="4"/>
        <v>0</v>
      </c>
      <c r="D301" s="30" t="str">
        <f>IFERROR(VLOOKUP(C301,소속부서!$A$2:$B$20,2,FALSE), "")</f>
        <v/>
      </c>
      <c r="E301" s="12"/>
      <c r="G301" s="37"/>
      <c r="H301" s="40"/>
      <c r="I301" s="37"/>
      <c r="L301" s="36" t="str">
        <f>IFERROR(VLOOKUP(I301,보도매체!$A:$C,2,FALSE), "")</f>
        <v/>
      </c>
      <c r="M301" s="38" t="str">
        <f>IFERROR(VLOOKUP(I301,보도매체!$A:$C,3,FALSE), "")</f>
        <v/>
      </c>
      <c r="N301" s="3"/>
    </row>
    <row r="302" spans="1:14" x14ac:dyDescent="0.3">
      <c r="A302" s="1">
        <v>301</v>
      </c>
      <c r="B302" s="35"/>
      <c r="C302" s="35">
        <f t="shared" si="4"/>
        <v>0</v>
      </c>
      <c r="D302" s="30" t="str">
        <f>IFERROR(VLOOKUP(C302,소속부서!$A$2:$B$20,2,FALSE), "")</f>
        <v/>
      </c>
      <c r="E302" s="30"/>
      <c r="G302" s="37"/>
      <c r="H302" s="40"/>
      <c r="L302" s="36" t="str">
        <f>IFERROR(VLOOKUP(I302,보도매체!$A:$C,2,FALSE), "")</f>
        <v/>
      </c>
      <c r="M302" s="38" t="str">
        <f>IFERROR(VLOOKUP(I302,보도매체!$A:$C,3,FALSE), "")</f>
        <v/>
      </c>
      <c r="N302" s="3"/>
    </row>
    <row r="303" spans="1:14" x14ac:dyDescent="0.3">
      <c r="A303" s="1">
        <v>302</v>
      </c>
      <c r="B303" s="35"/>
      <c r="C303" s="35">
        <f t="shared" si="4"/>
        <v>0</v>
      </c>
      <c r="D303" s="30" t="str">
        <f>IFERROR(VLOOKUP(C303,소속부서!$A$2:$B$20,2,FALSE), "")</f>
        <v/>
      </c>
      <c r="E303" s="35"/>
      <c r="F303" s="39"/>
      <c r="G303" s="37"/>
      <c r="H303" s="40"/>
      <c r="L303" s="36" t="str">
        <f>IFERROR(VLOOKUP(I303,보도매체!$A:$C,2,FALSE), "")</f>
        <v/>
      </c>
      <c r="M303" s="38" t="str">
        <f>IFERROR(VLOOKUP(I303,보도매체!$A:$C,3,FALSE), "")</f>
        <v/>
      </c>
      <c r="N303" s="3"/>
    </row>
    <row r="304" spans="1:14" x14ac:dyDescent="0.3">
      <c r="A304" s="1">
        <v>303</v>
      </c>
      <c r="B304" s="35"/>
      <c r="C304" s="35">
        <f t="shared" si="4"/>
        <v>0</v>
      </c>
      <c r="D304" s="30" t="str">
        <f>IFERROR(VLOOKUP(C304,소속부서!$A$2:$B$20,2,FALSE), "")</f>
        <v/>
      </c>
      <c r="G304" s="37"/>
      <c r="H304" s="40"/>
      <c r="L304" s="36" t="str">
        <f>IFERROR(VLOOKUP(I304,보도매체!$A:$C,2,FALSE), "")</f>
        <v/>
      </c>
      <c r="M304" s="38" t="str">
        <f>IFERROR(VLOOKUP(I304,보도매체!$A:$C,3,FALSE), "")</f>
        <v/>
      </c>
      <c r="N304" s="3"/>
    </row>
    <row r="305" spans="1:14" x14ac:dyDescent="0.3">
      <c r="A305" s="1">
        <v>304</v>
      </c>
      <c r="B305" s="35"/>
      <c r="C305" s="35">
        <f t="shared" si="4"/>
        <v>0</v>
      </c>
      <c r="D305" s="30" t="str">
        <f>IFERROR(VLOOKUP(C305,소속부서!$A$2:$B$20,2,FALSE), "")</f>
        <v/>
      </c>
      <c r="G305" s="37"/>
      <c r="H305" s="40"/>
      <c r="I305" s="37"/>
      <c r="J305" s="33"/>
      <c r="K305" s="28"/>
      <c r="L305" s="36" t="str">
        <f>IFERROR(VLOOKUP(I305,보도매체!$A:$C,2,FALSE), "")</f>
        <v/>
      </c>
      <c r="M305" s="38" t="str">
        <f>IFERROR(VLOOKUP(I305,보도매체!$A:$C,3,FALSE), "")</f>
        <v/>
      </c>
      <c r="N305" s="3"/>
    </row>
    <row r="306" spans="1:14" x14ac:dyDescent="0.3">
      <c r="A306" s="1">
        <v>305</v>
      </c>
      <c r="B306" s="35"/>
      <c r="C306" s="35">
        <f t="shared" si="4"/>
        <v>0</v>
      </c>
      <c r="D306" s="30" t="str">
        <f>IFERROR(VLOOKUP(C306,소속부서!$A$2:$B$20,2,FALSE), "")</f>
        <v/>
      </c>
      <c r="G306" s="37"/>
      <c r="H306" s="40"/>
      <c r="L306" s="36" t="str">
        <f>IFERROR(VLOOKUP(I306,보도매체!$A:$C,2,FALSE), "")</f>
        <v/>
      </c>
      <c r="M306" s="38" t="str">
        <f>IFERROR(VLOOKUP(I306,보도매체!$A:$C,3,FALSE), "")</f>
        <v/>
      </c>
      <c r="N306" s="3"/>
    </row>
    <row r="307" spans="1:14" x14ac:dyDescent="0.3">
      <c r="A307" s="1">
        <v>306</v>
      </c>
      <c r="B307" s="35"/>
      <c r="C307" s="35">
        <f t="shared" si="4"/>
        <v>0</v>
      </c>
      <c r="D307" s="30" t="str">
        <f>IFERROR(VLOOKUP(C307,소속부서!$A$2:$B$20,2,FALSE), "")</f>
        <v/>
      </c>
      <c r="G307" s="37"/>
      <c r="H307" s="40"/>
      <c r="L307" s="36" t="str">
        <f>IFERROR(VLOOKUP(I307,보도매체!$A:$C,2,FALSE), "")</f>
        <v/>
      </c>
      <c r="M307" s="38" t="str">
        <f>IFERROR(VLOOKUP(I307,보도매체!$A:$C,3,FALSE), "")</f>
        <v/>
      </c>
      <c r="N307" s="3"/>
    </row>
    <row r="308" spans="1:14" x14ac:dyDescent="0.3">
      <c r="A308" s="1">
        <v>307</v>
      </c>
      <c r="B308" s="35"/>
      <c r="C308" s="35">
        <f t="shared" si="4"/>
        <v>0</v>
      </c>
      <c r="D308" s="30" t="str">
        <f>IFERROR(VLOOKUP(C308,소속부서!$A$2:$B$20,2,FALSE), "")</f>
        <v/>
      </c>
      <c r="G308" s="37"/>
      <c r="H308" s="40"/>
      <c r="L308" s="36" t="str">
        <f>IFERROR(VLOOKUP(I308,보도매체!$A:$C,2,FALSE), "")</f>
        <v/>
      </c>
      <c r="M308" s="38" t="str">
        <f>IFERROR(VLOOKUP(I308,보도매체!$A:$C,3,FALSE), "")</f>
        <v/>
      </c>
      <c r="N308" s="3"/>
    </row>
    <row r="309" spans="1:14" x14ac:dyDescent="0.3">
      <c r="A309" s="1">
        <v>308</v>
      </c>
      <c r="B309" s="35"/>
      <c r="C309" s="35">
        <f t="shared" si="4"/>
        <v>0</v>
      </c>
      <c r="D309" s="30" t="str">
        <f>IFERROR(VLOOKUP(C309,소속부서!$A$2:$B$20,2,FALSE), "")</f>
        <v/>
      </c>
      <c r="E309" s="12"/>
      <c r="F309" s="37"/>
      <c r="G309" s="37"/>
      <c r="H309" s="40"/>
      <c r="K309" s="28"/>
      <c r="L309" s="36" t="str">
        <f>IFERROR(VLOOKUP(I309,보도매체!$A:$C,2,FALSE), "")</f>
        <v/>
      </c>
      <c r="M309" s="38" t="str">
        <f>IFERROR(VLOOKUP(I309,보도매체!$A:$C,3,FALSE), "")</f>
        <v/>
      </c>
      <c r="N309" s="3"/>
    </row>
    <row r="310" spans="1:14" x14ac:dyDescent="0.3">
      <c r="A310" s="1">
        <v>309</v>
      </c>
      <c r="B310" s="35"/>
      <c r="C310" s="35">
        <f t="shared" si="4"/>
        <v>0</v>
      </c>
      <c r="D310" s="30" t="str">
        <f>IFERROR(VLOOKUP(C310,소속부서!$A$2:$B$20,2,FALSE), "")</f>
        <v/>
      </c>
      <c r="G310" s="37"/>
      <c r="H310" s="40"/>
      <c r="L310" s="36" t="str">
        <f>IFERROR(VLOOKUP(I310,보도매체!$A:$C,2,FALSE), "")</f>
        <v/>
      </c>
      <c r="M310" s="38" t="str">
        <f>IFERROR(VLOOKUP(I310,보도매체!$A:$C,3,FALSE), "")</f>
        <v/>
      </c>
      <c r="N310" s="3"/>
    </row>
    <row r="311" spans="1:14" x14ac:dyDescent="0.3">
      <c r="A311" s="1">
        <v>310</v>
      </c>
      <c r="B311" s="35"/>
      <c r="C311" s="35">
        <f t="shared" si="4"/>
        <v>0</v>
      </c>
      <c r="D311" s="30" t="str">
        <f>IFERROR(VLOOKUP(C311,소속부서!$A$2:$B$20,2,FALSE), "")</f>
        <v/>
      </c>
      <c r="E311" s="45"/>
      <c r="G311" s="37"/>
      <c r="H311" s="40"/>
      <c r="L311" s="36" t="str">
        <f>IFERROR(VLOOKUP(I311,보도매체!$A:$C,2,FALSE), "")</f>
        <v/>
      </c>
      <c r="M311" s="38" t="str">
        <f>IFERROR(VLOOKUP(I311,보도매체!$A:$C,3,FALSE), "")</f>
        <v/>
      </c>
      <c r="N311" s="3"/>
    </row>
    <row r="312" spans="1:14" x14ac:dyDescent="0.3">
      <c r="A312" s="1">
        <v>311</v>
      </c>
      <c r="B312" s="35"/>
      <c r="C312" s="35">
        <f t="shared" si="4"/>
        <v>0</v>
      </c>
      <c r="D312" s="30" t="str">
        <f>IFERROR(VLOOKUP(C312,소속부서!$A$2:$B$20,2,FALSE), "")</f>
        <v/>
      </c>
      <c r="G312" s="37"/>
      <c r="H312" s="40"/>
      <c r="L312" s="36" t="str">
        <f>IFERROR(VLOOKUP(I312,보도매체!$A:$C,2,FALSE), "")</f>
        <v/>
      </c>
      <c r="M312" s="38" t="str">
        <f>IFERROR(VLOOKUP(I312,보도매체!$A:$C,3,FALSE), "")</f>
        <v/>
      </c>
      <c r="N312" s="3"/>
    </row>
    <row r="313" spans="1:14" x14ac:dyDescent="0.3">
      <c r="A313" s="1">
        <v>312</v>
      </c>
      <c r="B313" s="35"/>
      <c r="C313" s="35">
        <f t="shared" si="4"/>
        <v>0</v>
      </c>
      <c r="D313" s="30" t="str">
        <f>IFERROR(VLOOKUP(C313,소속부서!$A$2:$B$20,2,FALSE), "")</f>
        <v/>
      </c>
      <c r="G313" s="37"/>
      <c r="H313" s="40"/>
      <c r="L313" s="36" t="str">
        <f>IFERROR(VLOOKUP(I313,보도매체!$A:$C,2,FALSE), "")</f>
        <v/>
      </c>
      <c r="M313" s="38" t="str">
        <f>IFERROR(VLOOKUP(I313,보도매체!$A:$C,3,FALSE), "")</f>
        <v/>
      </c>
      <c r="N313" s="3"/>
    </row>
    <row r="314" spans="1:14" x14ac:dyDescent="0.3">
      <c r="A314" s="1">
        <v>313</v>
      </c>
      <c r="B314" s="35"/>
      <c r="C314" s="35">
        <f t="shared" si="4"/>
        <v>0</v>
      </c>
      <c r="D314" s="30" t="str">
        <f>IFERROR(VLOOKUP(C314,소속부서!$A$2:$B$20,2,FALSE), "")</f>
        <v/>
      </c>
      <c r="E314" s="12"/>
      <c r="G314" s="37"/>
      <c r="H314" s="40"/>
      <c r="L314" s="36" t="str">
        <f>IFERROR(VLOOKUP(I314,보도매체!$A:$C,2,FALSE), "")</f>
        <v/>
      </c>
      <c r="M314" s="38" t="str">
        <f>IFERROR(VLOOKUP(I314,보도매체!$A:$C,3,FALSE), "")</f>
        <v/>
      </c>
      <c r="N314" s="3"/>
    </row>
    <row r="315" spans="1:14" x14ac:dyDescent="0.3">
      <c r="A315" s="1">
        <v>314</v>
      </c>
      <c r="B315" s="35"/>
      <c r="C315" s="35">
        <f t="shared" si="4"/>
        <v>0</v>
      </c>
      <c r="D315" s="30" t="str">
        <f>IFERROR(VLOOKUP(C315,소속부서!$A$2:$B$20,2,FALSE), "")</f>
        <v/>
      </c>
      <c r="E315" s="45"/>
      <c r="G315" s="37"/>
      <c r="H315" s="40"/>
      <c r="L315" s="36" t="str">
        <f>IFERROR(VLOOKUP(I315,보도매체!$A:$C,2,FALSE), "")</f>
        <v/>
      </c>
      <c r="M315" s="38" t="str">
        <f>IFERROR(VLOOKUP(I315,보도매체!$A:$C,3,FALSE), "")</f>
        <v/>
      </c>
      <c r="N315" s="3"/>
    </row>
    <row r="316" spans="1:14" x14ac:dyDescent="0.3">
      <c r="A316" s="1">
        <v>315</v>
      </c>
      <c r="B316" s="35"/>
      <c r="C316" s="35">
        <f t="shared" si="4"/>
        <v>0</v>
      </c>
      <c r="D316" s="30" t="str">
        <f>IFERROR(VLOOKUP(C316,소속부서!$A$2:$B$20,2,FALSE), "")</f>
        <v/>
      </c>
      <c r="E316" s="12"/>
      <c r="F316" s="37"/>
      <c r="G316" s="44"/>
      <c r="H316" s="56"/>
      <c r="I316" s="55"/>
      <c r="J316" s="33"/>
      <c r="K316" s="57"/>
      <c r="L316" s="36" t="str">
        <f>IFERROR(VLOOKUP(I316,보도매체!$A:$C,2,FALSE), "")</f>
        <v/>
      </c>
      <c r="M316" s="38" t="str">
        <f>IFERROR(VLOOKUP(I316,보도매체!$A:$C,3,FALSE), "")</f>
        <v/>
      </c>
      <c r="N316" s="33"/>
    </row>
    <row r="317" spans="1:14" x14ac:dyDescent="0.3">
      <c r="A317" s="1">
        <v>316</v>
      </c>
      <c r="B317" s="35"/>
      <c r="C317" s="35">
        <f t="shared" si="4"/>
        <v>0</v>
      </c>
      <c r="D317" s="30" t="str">
        <f>IFERROR(VLOOKUP(C317,소속부서!$A$2:$B$20,2,FALSE), "")</f>
        <v/>
      </c>
      <c r="G317" s="37"/>
      <c r="H317" s="58"/>
      <c r="I317" s="55"/>
      <c r="J317" s="33"/>
      <c r="K317" s="55"/>
      <c r="L317" s="36" t="str">
        <f>IFERROR(VLOOKUP(I317,보도매체!$A:$C,2,FALSE), "")</f>
        <v/>
      </c>
      <c r="M317" s="38" t="str">
        <f>IFERROR(VLOOKUP(I317,보도매체!$A:$C,3,FALSE), "")</f>
        <v/>
      </c>
      <c r="N317" s="33"/>
    </row>
    <row r="318" spans="1:14" x14ac:dyDescent="0.3">
      <c r="A318" s="1">
        <v>317</v>
      </c>
      <c r="B318" s="35"/>
      <c r="C318" s="35">
        <f t="shared" si="4"/>
        <v>0</v>
      </c>
      <c r="D318" s="30" t="str">
        <f>IFERROR(VLOOKUP(C318,소속부서!$A$2:$B$20,2,FALSE), "")</f>
        <v/>
      </c>
      <c r="E318" s="12"/>
      <c r="G318" s="37"/>
      <c r="H318" s="59"/>
      <c r="I318" s="55"/>
      <c r="J318" s="33"/>
      <c r="K318" s="60"/>
      <c r="L318" s="36" t="str">
        <f>IFERROR(VLOOKUP(I318,보도매체!$A:$C,2,FALSE), "")</f>
        <v/>
      </c>
      <c r="M318" s="38" t="str">
        <f>IFERROR(VLOOKUP(I318,보도매체!$A:$C,3,FALSE), "")</f>
        <v/>
      </c>
      <c r="N318" s="33"/>
    </row>
    <row r="319" spans="1:14" x14ac:dyDescent="0.3">
      <c r="A319" s="1">
        <v>318</v>
      </c>
      <c r="B319" s="35"/>
      <c r="C319" s="35">
        <f t="shared" si="4"/>
        <v>0</v>
      </c>
      <c r="D319" s="30" t="str">
        <f>IFERROR(VLOOKUP(C319,소속부서!$A$2:$B$20,2,FALSE), "")</f>
        <v/>
      </c>
      <c r="G319" s="44"/>
      <c r="H319" s="54"/>
      <c r="I319" s="55"/>
      <c r="J319" s="33"/>
      <c r="K319" s="55"/>
      <c r="L319" s="36" t="str">
        <f>IFERROR(VLOOKUP(I319,보도매체!$A:$C,2,FALSE), "")</f>
        <v/>
      </c>
      <c r="M319" s="38" t="str">
        <f>IFERROR(VLOOKUP(I319,보도매체!$A:$C,3,FALSE), "")</f>
        <v/>
      </c>
      <c r="N319" s="33"/>
    </row>
    <row r="320" spans="1:14" x14ac:dyDescent="0.3">
      <c r="A320" s="1">
        <v>319</v>
      </c>
      <c r="B320" s="35"/>
      <c r="C320" s="35">
        <f t="shared" si="4"/>
        <v>0</v>
      </c>
      <c r="D320" s="30" t="str">
        <f>IFERROR(VLOOKUP(C320,소속부서!$A$2:$B$20,2,FALSE), "")</f>
        <v/>
      </c>
      <c r="G320" s="37"/>
      <c r="H320" s="54"/>
      <c r="I320" s="55"/>
      <c r="J320" s="33"/>
      <c r="K320" s="44"/>
      <c r="L320" s="36" t="str">
        <f>IFERROR(VLOOKUP(I320,보도매체!$A:$C,2,FALSE), "")</f>
        <v/>
      </c>
      <c r="M320" s="38" t="str">
        <f>IFERROR(VLOOKUP(I320,보도매체!$A:$C,3,FALSE), "")</f>
        <v/>
      </c>
      <c r="N320" s="33"/>
    </row>
    <row r="321" spans="1:14" x14ac:dyDescent="0.3">
      <c r="A321" s="1">
        <v>320</v>
      </c>
      <c r="B321" s="35"/>
      <c r="C321" s="35">
        <f t="shared" ref="C321:C384" si="5">E321</f>
        <v>0</v>
      </c>
      <c r="D321" s="30" t="str">
        <f>IFERROR(VLOOKUP(C321,소속부서!$A$2:$B$20,2,FALSE), "")</f>
        <v/>
      </c>
      <c r="G321" s="44"/>
      <c r="H321" s="58"/>
      <c r="I321" s="55"/>
      <c r="J321" s="33"/>
      <c r="K321" s="55"/>
      <c r="L321" s="36" t="str">
        <f>IFERROR(VLOOKUP(I321,보도매체!$A:$C,2,FALSE), "")</f>
        <v/>
      </c>
      <c r="M321" s="38" t="str">
        <f>IFERROR(VLOOKUP(I321,보도매체!$A:$C,3,FALSE), "")</f>
        <v/>
      </c>
      <c r="N321" s="33"/>
    </row>
    <row r="322" spans="1:14" x14ac:dyDescent="0.3">
      <c r="A322" s="1">
        <v>321</v>
      </c>
      <c r="B322" s="35"/>
      <c r="C322" s="35">
        <f t="shared" si="5"/>
        <v>0</v>
      </c>
      <c r="D322" s="30" t="str">
        <f>IFERROR(VLOOKUP(C322,소속부서!$A$2:$B$20,2,FALSE), "")</f>
        <v/>
      </c>
      <c r="G322" s="44"/>
      <c r="H322" s="58"/>
      <c r="I322" s="55"/>
      <c r="J322" s="33"/>
      <c r="K322" s="55"/>
      <c r="L322" s="36" t="str">
        <f>IFERROR(VLOOKUP(I322,보도매체!$A:$C,2,FALSE), "")</f>
        <v/>
      </c>
      <c r="M322" s="38" t="str">
        <f>IFERROR(VLOOKUP(I322,보도매체!$A:$C,3,FALSE), "")</f>
        <v/>
      </c>
      <c r="N322" s="33"/>
    </row>
    <row r="323" spans="1:14" x14ac:dyDescent="0.3">
      <c r="A323" s="1">
        <v>322</v>
      </c>
      <c r="B323" s="35"/>
      <c r="C323" s="35">
        <f t="shared" si="5"/>
        <v>0</v>
      </c>
      <c r="D323" s="30" t="str">
        <f>IFERROR(VLOOKUP(C323,소속부서!$A$2:$B$20,2,FALSE), "")</f>
        <v/>
      </c>
      <c r="E323" s="12"/>
      <c r="G323" s="37"/>
      <c r="H323" s="58"/>
      <c r="I323" s="55"/>
      <c r="J323" s="33"/>
      <c r="K323" s="37"/>
      <c r="L323" s="36" t="str">
        <f>IFERROR(VLOOKUP(I323,보도매체!$A:$C,2,FALSE), "")</f>
        <v/>
      </c>
      <c r="M323" s="38" t="str">
        <f>IFERROR(VLOOKUP(I323,보도매체!$A:$C,3,FALSE), "")</f>
        <v/>
      </c>
      <c r="N323" s="33"/>
    </row>
    <row r="324" spans="1:14" x14ac:dyDescent="0.3">
      <c r="A324" s="1">
        <v>323</v>
      </c>
      <c r="B324" s="35"/>
      <c r="C324" s="35">
        <f t="shared" si="5"/>
        <v>0</v>
      </c>
      <c r="D324" s="30" t="str">
        <f>IFERROR(VLOOKUP(C324,소속부서!$A$2:$B$20,2,FALSE), "")</f>
        <v/>
      </c>
      <c r="E324" s="35"/>
      <c r="F324" s="37"/>
      <c r="G324" s="37"/>
      <c r="H324" s="42"/>
      <c r="I324" s="55"/>
      <c r="J324" s="33"/>
      <c r="K324" s="61"/>
      <c r="L324" s="36" t="str">
        <f>IFERROR(VLOOKUP(I324,보도매체!$A:$C,2,FALSE), "")</f>
        <v/>
      </c>
      <c r="M324" s="38" t="str">
        <f>IFERROR(VLOOKUP(I324,보도매체!$A:$C,3,FALSE), "")</f>
        <v/>
      </c>
      <c r="N324" s="33"/>
    </row>
    <row r="325" spans="1:14" x14ac:dyDescent="0.3">
      <c r="A325" s="1">
        <v>324</v>
      </c>
      <c r="B325" s="35"/>
      <c r="C325" s="35">
        <f t="shared" si="5"/>
        <v>0</v>
      </c>
      <c r="D325" s="30" t="str">
        <f>IFERROR(VLOOKUP(C325,소속부서!$A$2:$B$20,2,FALSE), "")</f>
        <v/>
      </c>
      <c r="E325" s="52"/>
      <c r="F325" s="39"/>
      <c r="G325" s="37"/>
      <c r="H325" s="46"/>
      <c r="I325" s="37"/>
      <c r="J325" s="33"/>
      <c r="K325" s="28"/>
      <c r="L325" s="36" t="str">
        <f>IFERROR(VLOOKUP(I325,보도매체!$A:$C,2,FALSE), "")</f>
        <v/>
      </c>
      <c r="M325" s="38" t="str">
        <f>IFERROR(VLOOKUP(I325,보도매체!$A:$C,3,FALSE), "")</f>
        <v/>
      </c>
      <c r="N325" s="3"/>
    </row>
    <row r="326" spans="1:14" x14ac:dyDescent="0.3">
      <c r="A326" s="1">
        <v>325</v>
      </c>
      <c r="B326" s="35"/>
      <c r="C326" s="35">
        <f t="shared" si="5"/>
        <v>0</v>
      </c>
      <c r="D326" s="30" t="str">
        <f>IFERROR(VLOOKUP(C326,소속부서!$A$2:$B$20,2,FALSE), "")</f>
        <v/>
      </c>
      <c r="E326" s="52"/>
      <c r="F326" s="39"/>
      <c r="G326" s="37"/>
      <c r="H326" s="46"/>
      <c r="L326" s="36" t="str">
        <f>IFERROR(VLOOKUP(I326,보도매체!$A:$C,2,FALSE), "")</f>
        <v/>
      </c>
      <c r="M326" s="38" t="str">
        <f>IFERROR(VLOOKUP(I326,보도매체!$A:$C,3,FALSE), "")</f>
        <v/>
      </c>
      <c r="N326" s="3"/>
    </row>
    <row r="327" spans="1:14" x14ac:dyDescent="0.3">
      <c r="A327" s="1">
        <v>326</v>
      </c>
      <c r="B327" s="35"/>
      <c r="C327" s="35">
        <f t="shared" si="5"/>
        <v>0</v>
      </c>
      <c r="D327" s="30" t="str">
        <f>IFERROR(VLOOKUP(C327,소속부서!$A$2:$B$20,2,FALSE), "")</f>
        <v/>
      </c>
      <c r="E327" s="12"/>
      <c r="G327" s="37"/>
      <c r="H327" s="46"/>
      <c r="L327" s="36" t="str">
        <f>IFERROR(VLOOKUP(I327,보도매체!$A:$C,2,FALSE), "")</f>
        <v/>
      </c>
      <c r="M327" s="38" t="str">
        <f>IFERROR(VLOOKUP(I327,보도매체!$A:$C,3,FALSE), "")</f>
        <v/>
      </c>
      <c r="N327" s="3"/>
    </row>
    <row r="328" spans="1:14" x14ac:dyDescent="0.3">
      <c r="A328" s="1">
        <v>327</v>
      </c>
      <c r="B328" s="35"/>
      <c r="C328" s="35">
        <f t="shared" si="5"/>
        <v>0</v>
      </c>
      <c r="D328" s="30" t="str">
        <f>IFERROR(VLOOKUP(C328,소속부서!$A$2:$B$20,2,FALSE), "")</f>
        <v/>
      </c>
      <c r="E328" s="52"/>
      <c r="F328" s="39"/>
      <c r="G328" s="37"/>
      <c r="H328" s="46"/>
      <c r="L328" s="36" t="str">
        <f>IFERROR(VLOOKUP(I328,보도매체!$A:$C,2,FALSE), "")</f>
        <v/>
      </c>
      <c r="M328" s="38" t="str">
        <f>IFERROR(VLOOKUP(I328,보도매체!$A:$C,3,FALSE), "")</f>
        <v/>
      </c>
      <c r="N328" s="3"/>
    </row>
    <row r="329" spans="1:14" x14ac:dyDescent="0.3">
      <c r="A329" s="1">
        <v>328</v>
      </c>
      <c r="B329" s="35"/>
      <c r="C329" s="35">
        <f t="shared" si="5"/>
        <v>0</v>
      </c>
      <c r="D329" s="30" t="str">
        <f>IFERROR(VLOOKUP(C329,소속부서!$A$2:$B$20,2,FALSE), "")</f>
        <v/>
      </c>
      <c r="G329" s="37"/>
      <c r="H329" s="46"/>
      <c r="L329" s="36" t="str">
        <f>IFERROR(VLOOKUP(I329,보도매체!$A:$C,2,FALSE), "")</f>
        <v/>
      </c>
      <c r="M329" s="38" t="str">
        <f>IFERROR(VLOOKUP(I329,보도매체!$A:$C,3,FALSE), "")</f>
        <v/>
      </c>
      <c r="N329" s="3"/>
    </row>
    <row r="330" spans="1:14" x14ac:dyDescent="0.3">
      <c r="A330" s="1">
        <v>329</v>
      </c>
      <c r="B330" s="35"/>
      <c r="C330" s="35">
        <f t="shared" si="5"/>
        <v>0</v>
      </c>
      <c r="D330" s="30" t="str">
        <f>IFERROR(VLOOKUP(C330,소속부서!$A$2:$B$20,2,FALSE), "")</f>
        <v/>
      </c>
      <c r="G330" s="37"/>
      <c r="H330" s="46"/>
      <c r="L330" s="36" t="str">
        <f>IFERROR(VLOOKUP(I330,보도매체!$A:$C,2,FALSE), "")</f>
        <v/>
      </c>
      <c r="M330" s="38" t="str">
        <f>IFERROR(VLOOKUP(I330,보도매체!$A:$C,3,FALSE), "")</f>
        <v/>
      </c>
      <c r="N330" s="3"/>
    </row>
    <row r="331" spans="1:14" x14ac:dyDescent="0.3">
      <c r="A331" s="1">
        <v>330</v>
      </c>
      <c r="B331" s="35"/>
      <c r="C331" s="35">
        <f t="shared" si="5"/>
        <v>0</v>
      </c>
      <c r="D331" s="30" t="str">
        <f>IFERROR(VLOOKUP(C331,소속부서!$A$2:$B$20,2,FALSE), "")</f>
        <v/>
      </c>
      <c r="F331" s="50"/>
      <c r="G331" s="37"/>
      <c r="H331" s="46"/>
      <c r="L331" s="36" t="str">
        <f>IFERROR(VLOOKUP(I331,보도매체!$A:$C,2,FALSE), "")</f>
        <v/>
      </c>
      <c r="M331" s="38" t="str">
        <f>IFERROR(VLOOKUP(I331,보도매체!$A:$C,3,FALSE), "")</f>
        <v/>
      </c>
      <c r="N331" s="3"/>
    </row>
    <row r="332" spans="1:14" x14ac:dyDescent="0.3">
      <c r="A332" s="1">
        <v>331</v>
      </c>
      <c r="B332" s="35"/>
      <c r="C332" s="35">
        <f t="shared" si="5"/>
        <v>0</v>
      </c>
      <c r="D332" s="30" t="str">
        <f>IFERROR(VLOOKUP(C332,소속부서!$A$2:$B$20,2,FALSE), "")</f>
        <v/>
      </c>
      <c r="G332" s="37"/>
      <c r="H332" s="40"/>
      <c r="L332" s="36" t="str">
        <f>IFERROR(VLOOKUP(I332,보도매체!$A:$C,2,FALSE), "")</f>
        <v/>
      </c>
      <c r="M332" s="38" t="str">
        <f>IFERROR(VLOOKUP(I332,보도매체!$A:$C,3,FALSE), "")</f>
        <v/>
      </c>
      <c r="N332" s="3"/>
    </row>
    <row r="333" spans="1:14" x14ac:dyDescent="0.3">
      <c r="A333" s="1">
        <v>332</v>
      </c>
      <c r="B333" s="35"/>
      <c r="C333" s="35">
        <f t="shared" si="5"/>
        <v>0</v>
      </c>
      <c r="D333" s="30" t="str">
        <f>IFERROR(VLOOKUP(C333,소속부서!$A$2:$B$20,2,FALSE), "")</f>
        <v/>
      </c>
      <c r="E333" s="52"/>
      <c r="F333" s="39"/>
      <c r="G333" s="37"/>
      <c r="H333" s="46"/>
      <c r="L333" s="36" t="str">
        <f>IFERROR(VLOOKUP(I333,보도매체!$A:$C,2,FALSE), "")</f>
        <v/>
      </c>
      <c r="M333" s="38" t="str">
        <f>IFERROR(VLOOKUP(I333,보도매체!$A:$C,3,FALSE), "")</f>
        <v/>
      </c>
      <c r="N333" s="3"/>
    </row>
    <row r="334" spans="1:14" x14ac:dyDescent="0.3">
      <c r="A334" s="1">
        <v>333</v>
      </c>
      <c r="B334" s="35"/>
      <c r="C334" s="35">
        <f t="shared" si="5"/>
        <v>0</v>
      </c>
      <c r="D334" s="30" t="str">
        <f>IFERROR(VLOOKUP(C334,소속부서!$A$2:$B$20,2,FALSE), "")</f>
        <v/>
      </c>
      <c r="E334" s="52"/>
      <c r="F334" s="39"/>
      <c r="G334" s="37"/>
      <c r="H334" s="46"/>
      <c r="L334" s="36" t="str">
        <f>IFERROR(VLOOKUP(I334,보도매체!$A:$C,2,FALSE), "")</f>
        <v/>
      </c>
      <c r="M334" s="38" t="str">
        <f>IFERROR(VLOOKUP(I334,보도매체!$A:$C,3,FALSE), "")</f>
        <v/>
      </c>
      <c r="N334" s="3"/>
    </row>
    <row r="335" spans="1:14" x14ac:dyDescent="0.3">
      <c r="A335" s="1">
        <v>334</v>
      </c>
      <c r="B335" s="35"/>
      <c r="C335" s="35">
        <f t="shared" si="5"/>
        <v>0</v>
      </c>
      <c r="D335" s="30" t="str">
        <f>IFERROR(VLOOKUP(C335,소속부서!$A$2:$B$20,2,FALSE), "")</f>
        <v/>
      </c>
      <c r="E335" s="52"/>
      <c r="F335" s="39"/>
      <c r="G335" s="37"/>
      <c r="H335" s="46"/>
      <c r="I335" s="37"/>
      <c r="K335" s="28"/>
      <c r="L335" s="36" t="str">
        <f>IFERROR(VLOOKUP(I335,보도매체!$A:$C,2,FALSE), "")</f>
        <v/>
      </c>
      <c r="M335" s="38" t="str">
        <f>IFERROR(VLOOKUP(I335,보도매체!$A:$C,3,FALSE), "")</f>
        <v/>
      </c>
      <c r="N335" s="3"/>
    </row>
    <row r="336" spans="1:14" x14ac:dyDescent="0.3">
      <c r="A336" s="1">
        <v>335</v>
      </c>
      <c r="B336" s="35"/>
      <c r="C336" s="35">
        <f t="shared" si="5"/>
        <v>0</v>
      </c>
      <c r="D336" s="30" t="str">
        <f>IFERROR(VLOOKUP(C336,소속부서!$A$2:$B$20,2,FALSE), "")</f>
        <v/>
      </c>
      <c r="E336" s="52"/>
      <c r="F336" s="39"/>
      <c r="G336" s="37"/>
      <c r="H336" s="46"/>
      <c r="L336" s="36" t="str">
        <f>IFERROR(VLOOKUP(I336,보도매체!$A:$C,2,FALSE), "")</f>
        <v/>
      </c>
      <c r="M336" s="38" t="str">
        <f>IFERROR(VLOOKUP(I336,보도매체!$A:$C,3,FALSE), "")</f>
        <v/>
      </c>
      <c r="N336" s="3"/>
    </row>
    <row r="337" spans="1:14" x14ac:dyDescent="0.3">
      <c r="A337" s="1">
        <v>336</v>
      </c>
      <c r="B337" s="35"/>
      <c r="C337" s="35">
        <f t="shared" si="5"/>
        <v>0</v>
      </c>
      <c r="D337" s="30" t="str">
        <f>IFERROR(VLOOKUP(C337,소속부서!$A$2:$B$20,2,FALSE), "")</f>
        <v/>
      </c>
      <c r="E337" s="52"/>
      <c r="F337" s="39"/>
      <c r="G337" s="37"/>
      <c r="H337" s="49"/>
      <c r="L337" s="36" t="str">
        <f>IFERROR(VLOOKUP(I337,보도매체!$A:$C,2,FALSE), "")</f>
        <v/>
      </c>
      <c r="M337" s="38" t="str">
        <f>IFERROR(VLOOKUP(I337,보도매체!$A:$C,3,FALSE), "")</f>
        <v/>
      </c>
      <c r="N337" s="3"/>
    </row>
    <row r="338" spans="1:14" x14ac:dyDescent="0.3">
      <c r="A338" s="1">
        <v>337</v>
      </c>
      <c r="B338" s="35"/>
      <c r="C338" s="35">
        <f t="shared" si="5"/>
        <v>0</v>
      </c>
      <c r="D338" s="30" t="str">
        <f>IFERROR(VLOOKUP(C338,소속부서!$A$2:$B$20,2,FALSE), "")</f>
        <v/>
      </c>
      <c r="E338" s="12"/>
      <c r="G338" s="37"/>
      <c r="H338" s="46"/>
      <c r="L338" s="36" t="str">
        <f>IFERROR(VLOOKUP(I338,보도매체!$A:$C,2,FALSE), "")</f>
        <v/>
      </c>
      <c r="M338" s="38" t="str">
        <f>IFERROR(VLOOKUP(I338,보도매체!$A:$C,3,FALSE), "")</f>
        <v/>
      </c>
      <c r="N338" s="3"/>
    </row>
    <row r="339" spans="1:14" x14ac:dyDescent="0.3">
      <c r="A339" s="1">
        <v>338</v>
      </c>
      <c r="B339" s="35"/>
      <c r="C339" s="35">
        <f t="shared" si="5"/>
        <v>0</v>
      </c>
      <c r="D339" s="30" t="str">
        <f>IFERROR(VLOOKUP(C339,소속부서!$A$2:$B$20,2,FALSE), "")</f>
        <v/>
      </c>
      <c r="G339" s="37"/>
      <c r="H339" s="46"/>
      <c r="J339" s="41"/>
      <c r="K339" s="28"/>
      <c r="L339" s="36" t="str">
        <f>IFERROR(VLOOKUP(I339,보도매체!$A:$C,2,FALSE), "")</f>
        <v/>
      </c>
      <c r="M339" s="38" t="str">
        <f>IFERROR(VLOOKUP(I339,보도매체!$A:$C,3,FALSE), "")</f>
        <v/>
      </c>
      <c r="N339" s="3"/>
    </row>
    <row r="340" spans="1:14" x14ac:dyDescent="0.3">
      <c r="A340" s="1">
        <v>339</v>
      </c>
      <c r="B340" s="35"/>
      <c r="C340" s="35">
        <f t="shared" si="5"/>
        <v>0</v>
      </c>
      <c r="D340" s="30" t="str">
        <f>IFERROR(VLOOKUP(C340,소속부서!$A$2:$B$20,2,FALSE), "")</f>
        <v/>
      </c>
      <c r="E340" s="12"/>
      <c r="G340" s="37"/>
      <c r="H340" s="46"/>
      <c r="I340" s="37"/>
      <c r="J340" s="41"/>
      <c r="K340" s="28"/>
      <c r="L340" s="36" t="str">
        <f>IFERROR(VLOOKUP(I340,보도매체!$A:$C,2,FALSE), "")</f>
        <v/>
      </c>
      <c r="M340" s="38" t="str">
        <f>IFERROR(VLOOKUP(I340,보도매체!$A:$C,3,FALSE), "")</f>
        <v/>
      </c>
      <c r="N340" s="3"/>
    </row>
    <row r="341" spans="1:14" x14ac:dyDescent="0.3">
      <c r="A341" s="1">
        <v>340</v>
      </c>
      <c r="B341" s="35"/>
      <c r="C341" s="35">
        <f t="shared" si="5"/>
        <v>0</v>
      </c>
      <c r="D341" s="30" t="str">
        <f>IFERROR(VLOOKUP(C341,소속부서!$A$2:$B$20,2,FALSE), "")</f>
        <v/>
      </c>
      <c r="E341" s="52"/>
      <c r="F341" s="39"/>
      <c r="G341" s="37"/>
      <c r="H341" s="40"/>
      <c r="L341" s="36" t="str">
        <f>IFERROR(VLOOKUP(I341,보도매체!$A:$C,2,FALSE), "")</f>
        <v/>
      </c>
      <c r="M341" s="38" t="str">
        <f>IFERROR(VLOOKUP(I341,보도매체!$A:$C,3,FALSE), "")</f>
        <v/>
      </c>
      <c r="N341" s="3"/>
    </row>
    <row r="342" spans="1:14" x14ac:dyDescent="0.3">
      <c r="A342" s="1">
        <v>341</v>
      </c>
      <c r="B342" s="35"/>
      <c r="C342" s="35">
        <f t="shared" si="5"/>
        <v>0</v>
      </c>
      <c r="D342" s="30" t="str">
        <f>IFERROR(VLOOKUP(C342,소속부서!$A$2:$B$20,2,FALSE), "")</f>
        <v/>
      </c>
      <c r="E342" s="52"/>
      <c r="F342" s="39"/>
      <c r="G342" s="37"/>
      <c r="H342" s="40"/>
      <c r="L342" s="36" t="str">
        <f>IFERROR(VLOOKUP(I342,보도매체!$A:$C,2,FALSE), "")</f>
        <v/>
      </c>
      <c r="M342" s="38" t="str">
        <f>IFERROR(VLOOKUP(I342,보도매체!$A:$C,3,FALSE), "")</f>
        <v/>
      </c>
      <c r="N342" s="3"/>
    </row>
    <row r="343" spans="1:14" x14ac:dyDescent="0.3">
      <c r="A343" s="1">
        <v>342</v>
      </c>
      <c r="B343" s="35"/>
      <c r="C343" s="35">
        <f t="shared" si="5"/>
        <v>0</v>
      </c>
      <c r="D343" s="30" t="str">
        <f>IFERROR(VLOOKUP(C343,소속부서!$A$2:$B$20,2,FALSE), "")</f>
        <v/>
      </c>
      <c r="E343" s="52"/>
      <c r="F343" s="39"/>
      <c r="G343" s="37"/>
      <c r="H343" s="40"/>
      <c r="L343" s="36" t="str">
        <f>IFERROR(VLOOKUP(I343,보도매체!$A:$C,2,FALSE), "")</f>
        <v/>
      </c>
      <c r="M343" s="38" t="str">
        <f>IFERROR(VLOOKUP(I343,보도매체!$A:$C,3,FALSE), "")</f>
        <v/>
      </c>
      <c r="N343" s="3"/>
    </row>
    <row r="344" spans="1:14" x14ac:dyDescent="0.3">
      <c r="A344" s="1">
        <v>343</v>
      </c>
      <c r="B344" s="35"/>
      <c r="C344" s="35">
        <f t="shared" si="5"/>
        <v>0</v>
      </c>
      <c r="D344" s="30" t="str">
        <f>IFERROR(VLOOKUP(C344,소속부서!$A$2:$B$20,2,FALSE), "")</f>
        <v/>
      </c>
      <c r="E344" s="52"/>
      <c r="F344" s="39"/>
      <c r="G344" s="37"/>
      <c r="L344" s="36" t="str">
        <f>IFERROR(VLOOKUP(I344,보도매체!$A:$C,2,FALSE), "")</f>
        <v/>
      </c>
      <c r="M344" s="38" t="str">
        <f>IFERROR(VLOOKUP(I344,보도매체!$A:$C,3,FALSE), "")</f>
        <v/>
      </c>
      <c r="N344" s="3"/>
    </row>
    <row r="345" spans="1:14" x14ac:dyDescent="0.3">
      <c r="A345" s="1">
        <v>344</v>
      </c>
      <c r="B345" s="35"/>
      <c r="C345" s="35">
        <f t="shared" si="5"/>
        <v>0</v>
      </c>
      <c r="D345" s="30" t="str">
        <f>IFERROR(VLOOKUP(C345,소속부서!$A$2:$B$20,2,FALSE), "")</f>
        <v/>
      </c>
      <c r="E345" s="52"/>
      <c r="F345" s="39"/>
      <c r="G345" s="37"/>
      <c r="H345" s="40"/>
      <c r="L345" s="36" t="str">
        <f>IFERROR(VLOOKUP(I345,보도매체!$A:$C,2,FALSE), "")</f>
        <v/>
      </c>
      <c r="M345" s="38" t="str">
        <f>IFERROR(VLOOKUP(I345,보도매체!$A:$C,3,FALSE), "")</f>
        <v/>
      </c>
      <c r="N345" s="3"/>
    </row>
    <row r="346" spans="1:14" x14ac:dyDescent="0.3">
      <c r="A346" s="1">
        <v>345</v>
      </c>
      <c r="B346" s="35"/>
      <c r="C346" s="35">
        <f t="shared" si="5"/>
        <v>0</v>
      </c>
      <c r="D346" s="30" t="str">
        <f>IFERROR(VLOOKUP(C346,소속부서!$A$2:$B$20,2,FALSE), "")</f>
        <v/>
      </c>
      <c r="E346" s="52"/>
      <c r="F346" s="39"/>
      <c r="G346" s="37"/>
      <c r="H346" s="40"/>
      <c r="L346" s="36" t="str">
        <f>IFERROR(VLOOKUP(I346,보도매체!$A:$C,2,FALSE), "")</f>
        <v/>
      </c>
      <c r="M346" s="38" t="str">
        <f>IFERROR(VLOOKUP(I346,보도매체!$A:$C,3,FALSE), "")</f>
        <v/>
      </c>
      <c r="N346" s="3"/>
    </row>
    <row r="347" spans="1:14" x14ac:dyDescent="0.3">
      <c r="A347" s="1">
        <v>346</v>
      </c>
      <c r="B347" s="35"/>
      <c r="C347" s="35">
        <f t="shared" si="5"/>
        <v>0</v>
      </c>
      <c r="D347" s="30" t="str">
        <f>IFERROR(VLOOKUP(C347,소속부서!$A$2:$B$20,2,FALSE), "")</f>
        <v/>
      </c>
      <c r="E347" s="52"/>
      <c r="F347" s="39"/>
      <c r="G347" s="37"/>
      <c r="H347" s="40"/>
      <c r="L347" s="36" t="str">
        <f>IFERROR(VLOOKUP(I347,보도매체!$A:$C,2,FALSE), "")</f>
        <v/>
      </c>
      <c r="M347" s="38" t="str">
        <f>IFERROR(VLOOKUP(I347,보도매체!$A:$C,3,FALSE), "")</f>
        <v/>
      </c>
      <c r="N347" s="3"/>
    </row>
    <row r="348" spans="1:14" x14ac:dyDescent="0.3">
      <c r="A348" s="1">
        <v>347</v>
      </c>
      <c r="B348" s="35"/>
      <c r="C348" s="35">
        <f t="shared" si="5"/>
        <v>0</v>
      </c>
      <c r="D348" s="30" t="str">
        <f>IFERROR(VLOOKUP(C348,소속부서!$A$2:$B$20,2,FALSE), "")</f>
        <v/>
      </c>
      <c r="G348" s="37"/>
      <c r="H348" s="40"/>
      <c r="L348" s="36" t="str">
        <f>IFERROR(VLOOKUP(I348,보도매체!$A:$C,2,FALSE), "")</f>
        <v/>
      </c>
      <c r="M348" s="38" t="str">
        <f>IFERROR(VLOOKUP(I348,보도매체!$A:$C,3,FALSE), "")</f>
        <v/>
      </c>
      <c r="N348" s="3"/>
    </row>
    <row r="349" spans="1:14" x14ac:dyDescent="0.3">
      <c r="A349" s="1">
        <v>348</v>
      </c>
      <c r="B349" s="35"/>
      <c r="C349" s="35">
        <f t="shared" si="5"/>
        <v>0</v>
      </c>
      <c r="D349" s="30" t="str">
        <f>IFERROR(VLOOKUP(C349,소속부서!$A$2:$B$20,2,FALSE), "")</f>
        <v/>
      </c>
      <c r="E349" s="52"/>
      <c r="F349" s="39"/>
      <c r="G349" s="37"/>
      <c r="H349" s="40"/>
      <c r="L349" s="36" t="str">
        <f>IFERROR(VLOOKUP(I349,보도매체!$A:$C,2,FALSE), "")</f>
        <v/>
      </c>
      <c r="M349" s="38" t="str">
        <f>IFERROR(VLOOKUP(I349,보도매체!$A:$C,3,FALSE), "")</f>
        <v/>
      </c>
      <c r="N349" s="3"/>
    </row>
    <row r="350" spans="1:14" x14ac:dyDescent="0.3">
      <c r="A350" s="1">
        <v>349</v>
      </c>
      <c r="B350" s="35"/>
      <c r="C350" s="35">
        <f t="shared" si="5"/>
        <v>0</v>
      </c>
      <c r="D350" s="30" t="str">
        <f>IFERROR(VLOOKUP(C350,소속부서!$A$2:$B$20,2,FALSE), "")</f>
        <v/>
      </c>
      <c r="E350" s="52"/>
      <c r="F350" s="39"/>
      <c r="G350" s="37"/>
      <c r="H350" s="40"/>
      <c r="L350" s="36" t="str">
        <f>IFERROR(VLOOKUP(I350,보도매체!$A:$C,2,FALSE), "")</f>
        <v/>
      </c>
      <c r="M350" s="38" t="str">
        <f>IFERROR(VLOOKUP(I350,보도매체!$A:$C,3,FALSE), "")</f>
        <v/>
      </c>
      <c r="N350" s="3"/>
    </row>
    <row r="351" spans="1:14" x14ac:dyDescent="0.3">
      <c r="A351" s="1">
        <v>350</v>
      </c>
      <c r="B351" s="35"/>
      <c r="C351" s="35">
        <f t="shared" si="5"/>
        <v>0</v>
      </c>
      <c r="D351" s="30" t="str">
        <f>IFERROR(VLOOKUP(C351,소속부서!$A$2:$B$20,2,FALSE), "")</f>
        <v/>
      </c>
      <c r="E351" s="52"/>
      <c r="F351" s="39"/>
      <c r="G351" s="37"/>
      <c r="H351" s="40"/>
      <c r="L351" s="36" t="str">
        <f>IFERROR(VLOOKUP(I351,보도매체!$A:$C,2,FALSE), "")</f>
        <v/>
      </c>
      <c r="M351" s="38" t="str">
        <f>IFERROR(VLOOKUP(I351,보도매체!$A:$C,3,FALSE), "")</f>
        <v/>
      </c>
      <c r="N351" s="3"/>
    </row>
    <row r="352" spans="1:14" x14ac:dyDescent="0.3">
      <c r="A352" s="1">
        <v>351</v>
      </c>
      <c r="B352" s="35"/>
      <c r="C352" s="35">
        <f t="shared" si="5"/>
        <v>0</v>
      </c>
      <c r="D352" s="30" t="str">
        <f>IFERROR(VLOOKUP(C352,소속부서!$A$2:$B$20,2,FALSE), "")</f>
        <v/>
      </c>
      <c r="E352" s="52"/>
      <c r="F352" s="39"/>
      <c r="G352" s="37"/>
      <c r="H352" s="40"/>
      <c r="L352" s="36" t="str">
        <f>IFERROR(VLOOKUP(I352,보도매체!$A:$C,2,FALSE), "")</f>
        <v/>
      </c>
      <c r="M352" s="38" t="str">
        <f>IFERROR(VLOOKUP(I352,보도매체!$A:$C,3,FALSE), "")</f>
        <v/>
      </c>
      <c r="N352" s="3"/>
    </row>
    <row r="353" spans="1:14" x14ac:dyDescent="0.3">
      <c r="A353" s="1">
        <v>352</v>
      </c>
      <c r="B353" s="35"/>
      <c r="C353" s="35">
        <f t="shared" si="5"/>
        <v>0</v>
      </c>
      <c r="D353" s="30" t="str">
        <f>IFERROR(VLOOKUP(C353,소속부서!$A$2:$B$20,2,FALSE), "")</f>
        <v/>
      </c>
      <c r="E353" s="52"/>
      <c r="F353" s="39"/>
      <c r="G353" s="37"/>
      <c r="H353" s="40"/>
      <c r="L353" s="36" t="str">
        <f>IFERROR(VLOOKUP(I353,보도매체!$A:$C,2,FALSE), "")</f>
        <v/>
      </c>
      <c r="M353" s="38" t="str">
        <f>IFERROR(VLOOKUP(I353,보도매체!$A:$C,3,FALSE), "")</f>
        <v/>
      </c>
      <c r="N353" s="3"/>
    </row>
    <row r="354" spans="1:14" x14ac:dyDescent="0.3">
      <c r="A354" s="1">
        <v>353</v>
      </c>
      <c r="B354" s="35"/>
      <c r="C354" s="35">
        <f t="shared" si="5"/>
        <v>0</v>
      </c>
      <c r="D354" s="30" t="str">
        <f>IFERROR(VLOOKUP(C354,소속부서!$A$2:$B$20,2,FALSE), "")</f>
        <v/>
      </c>
      <c r="E354" s="52"/>
      <c r="F354" s="39"/>
      <c r="G354" s="37"/>
      <c r="H354" s="40"/>
      <c r="L354" s="36" t="str">
        <f>IFERROR(VLOOKUP(I354,보도매체!$A:$C,2,FALSE), "")</f>
        <v/>
      </c>
      <c r="M354" s="38" t="str">
        <f>IFERROR(VLOOKUP(I354,보도매체!$A:$C,3,FALSE), "")</f>
        <v/>
      </c>
      <c r="N354" s="3"/>
    </row>
    <row r="355" spans="1:14" x14ac:dyDescent="0.3">
      <c r="A355" s="1">
        <v>354</v>
      </c>
      <c r="B355" s="35"/>
      <c r="C355" s="35">
        <f t="shared" si="5"/>
        <v>0</v>
      </c>
      <c r="D355" s="30" t="str">
        <f>IFERROR(VLOOKUP(C355,소속부서!$A$2:$B$20,2,FALSE), "")</f>
        <v/>
      </c>
      <c r="E355" s="12"/>
      <c r="G355" s="37"/>
      <c r="H355" s="40"/>
      <c r="L355" s="36" t="str">
        <f>IFERROR(VLOOKUP(I355,보도매체!$A:$C,2,FALSE), "")</f>
        <v/>
      </c>
      <c r="M355" s="38" t="str">
        <f>IFERROR(VLOOKUP(I355,보도매체!$A:$C,3,FALSE), "")</f>
        <v/>
      </c>
      <c r="N355" s="3"/>
    </row>
    <row r="356" spans="1:14" x14ac:dyDescent="0.3">
      <c r="A356" s="1">
        <v>355</v>
      </c>
      <c r="B356" s="35"/>
      <c r="C356" s="35">
        <f t="shared" si="5"/>
        <v>0</v>
      </c>
      <c r="D356" s="30" t="str">
        <f>IFERROR(VLOOKUP(C356,소속부서!$A$2:$B$20,2,FALSE), "")</f>
        <v/>
      </c>
      <c r="E356" s="52"/>
      <c r="F356" s="39"/>
      <c r="G356" s="37"/>
      <c r="H356" s="40"/>
      <c r="L356" s="36" t="str">
        <f>IFERROR(VLOOKUP(I356,보도매체!$A:$C,2,FALSE), "")</f>
        <v/>
      </c>
      <c r="M356" s="38" t="str">
        <f>IFERROR(VLOOKUP(I356,보도매체!$A:$C,3,FALSE), "")</f>
        <v/>
      </c>
      <c r="N356" s="3"/>
    </row>
    <row r="357" spans="1:14" x14ac:dyDescent="0.3">
      <c r="A357" s="1">
        <v>356</v>
      </c>
      <c r="B357" s="35"/>
      <c r="C357" s="35">
        <f t="shared" si="5"/>
        <v>0</v>
      </c>
      <c r="D357" s="30" t="str">
        <f>IFERROR(VLOOKUP(C357,소속부서!$A$2:$B$20,2,FALSE), "")</f>
        <v/>
      </c>
      <c r="E357" s="30"/>
      <c r="G357" s="37"/>
      <c r="H357" s="40"/>
      <c r="L357" s="36" t="str">
        <f>IFERROR(VLOOKUP(I357,보도매체!$A:$C,2,FALSE), "")</f>
        <v/>
      </c>
      <c r="M357" s="38" t="str">
        <f>IFERROR(VLOOKUP(I357,보도매체!$A:$C,3,FALSE), "")</f>
        <v/>
      </c>
      <c r="N357" s="3"/>
    </row>
    <row r="358" spans="1:14" x14ac:dyDescent="0.3">
      <c r="A358" s="1">
        <v>357</v>
      </c>
      <c r="B358" s="35"/>
      <c r="C358" s="35">
        <f t="shared" si="5"/>
        <v>0</v>
      </c>
      <c r="D358" s="30" t="str">
        <f>IFERROR(VLOOKUP(C358,소속부서!$A$2:$B$20,2,FALSE), "")</f>
        <v/>
      </c>
      <c r="E358" s="52"/>
      <c r="F358" s="39"/>
      <c r="G358" s="37"/>
      <c r="H358" s="40"/>
      <c r="L358" s="36" t="str">
        <f>IFERROR(VLOOKUP(I358,보도매체!$A:$C,2,FALSE), "")</f>
        <v/>
      </c>
      <c r="M358" s="38" t="str">
        <f>IFERROR(VLOOKUP(I358,보도매체!$A:$C,3,FALSE), "")</f>
        <v/>
      </c>
      <c r="N358" s="3"/>
    </row>
    <row r="359" spans="1:14" x14ac:dyDescent="0.3">
      <c r="A359" s="1">
        <v>358</v>
      </c>
      <c r="B359" s="35"/>
      <c r="C359" s="35">
        <f t="shared" si="5"/>
        <v>0</v>
      </c>
      <c r="D359" s="30" t="str">
        <f>IFERROR(VLOOKUP(C359,소속부서!$A$2:$B$20,2,FALSE), "")</f>
        <v/>
      </c>
      <c r="E359" s="52"/>
      <c r="F359" s="39"/>
      <c r="G359" s="37"/>
      <c r="H359" s="40"/>
      <c r="L359" s="36" t="str">
        <f>IFERROR(VLOOKUP(I359,보도매체!$A:$C,2,FALSE), "")</f>
        <v/>
      </c>
      <c r="M359" s="38" t="str">
        <f>IFERROR(VLOOKUP(I359,보도매체!$A:$C,3,FALSE), "")</f>
        <v/>
      </c>
      <c r="N359" s="3"/>
    </row>
    <row r="360" spans="1:14" x14ac:dyDescent="0.3">
      <c r="A360" s="1">
        <v>359</v>
      </c>
      <c r="B360" s="35"/>
      <c r="C360" s="35">
        <f t="shared" si="5"/>
        <v>0</v>
      </c>
      <c r="D360" s="30" t="str">
        <f>IFERROR(VLOOKUP(C360,소속부서!$A$2:$B$20,2,FALSE), "")</f>
        <v/>
      </c>
      <c r="E360" s="52"/>
      <c r="F360" s="39"/>
      <c r="G360" s="37"/>
      <c r="H360" s="40"/>
      <c r="L360" s="36" t="str">
        <f>IFERROR(VLOOKUP(I360,보도매체!$A:$C,2,FALSE), "")</f>
        <v/>
      </c>
      <c r="M360" s="38" t="str">
        <f>IFERROR(VLOOKUP(I360,보도매체!$A:$C,3,FALSE), "")</f>
        <v/>
      </c>
      <c r="N360" s="3"/>
    </row>
    <row r="361" spans="1:14" x14ac:dyDescent="0.3">
      <c r="A361" s="1">
        <v>360</v>
      </c>
      <c r="B361" s="35"/>
      <c r="C361" s="35">
        <f t="shared" si="5"/>
        <v>0</v>
      </c>
      <c r="D361" s="30" t="str">
        <f>IFERROR(VLOOKUP(C361,소속부서!$A$2:$B$20,2,FALSE), "")</f>
        <v/>
      </c>
      <c r="E361" s="52"/>
      <c r="F361" s="39"/>
      <c r="G361" s="37"/>
      <c r="H361" s="40"/>
      <c r="L361" s="36" t="str">
        <f>IFERROR(VLOOKUP(I361,보도매체!$A:$C,2,FALSE), "")</f>
        <v/>
      </c>
      <c r="M361" s="38" t="str">
        <f>IFERROR(VLOOKUP(I361,보도매체!$A:$C,3,FALSE), "")</f>
        <v/>
      </c>
      <c r="N361" s="3"/>
    </row>
    <row r="362" spans="1:14" x14ac:dyDescent="0.3">
      <c r="A362" s="1">
        <v>361</v>
      </c>
      <c r="B362" s="35"/>
      <c r="C362" s="35">
        <f t="shared" si="5"/>
        <v>0</v>
      </c>
      <c r="D362" s="30" t="str">
        <f>IFERROR(VLOOKUP(C362,소속부서!$A$2:$B$20,2,FALSE), "")</f>
        <v/>
      </c>
      <c r="E362" s="30"/>
      <c r="G362" s="37"/>
      <c r="H362" s="40"/>
      <c r="L362" s="36" t="str">
        <f>IFERROR(VLOOKUP(I362,보도매체!$A:$C,2,FALSE), "")</f>
        <v/>
      </c>
      <c r="M362" s="38" t="str">
        <f>IFERROR(VLOOKUP(I362,보도매체!$A:$C,3,FALSE), "")</f>
        <v/>
      </c>
      <c r="N362" s="3"/>
    </row>
    <row r="363" spans="1:14" x14ac:dyDescent="0.3">
      <c r="A363" s="1">
        <v>362</v>
      </c>
      <c r="B363" s="35"/>
      <c r="C363" s="35">
        <f t="shared" si="5"/>
        <v>0</v>
      </c>
      <c r="D363" s="30" t="str">
        <f>IFERROR(VLOOKUP(C363,소속부서!$A$2:$B$20,2,FALSE), "")</f>
        <v/>
      </c>
      <c r="E363" s="52"/>
      <c r="F363" s="39"/>
      <c r="G363" s="37"/>
      <c r="H363" s="46"/>
      <c r="L363" s="36" t="str">
        <f>IFERROR(VLOOKUP(I363,보도매체!$A:$C,2,FALSE), "")</f>
        <v/>
      </c>
      <c r="M363" s="38" t="str">
        <f>IFERROR(VLOOKUP(I363,보도매체!$A:$C,3,FALSE), "")</f>
        <v/>
      </c>
      <c r="N363" s="3"/>
    </row>
    <row r="364" spans="1:14" x14ac:dyDescent="0.3">
      <c r="A364" s="1">
        <v>363</v>
      </c>
      <c r="B364" s="35"/>
      <c r="C364" s="35">
        <f t="shared" si="5"/>
        <v>0</v>
      </c>
      <c r="D364" s="30" t="str">
        <f>IFERROR(VLOOKUP(C364,소속부서!$A$2:$B$20,2,FALSE), "")</f>
        <v/>
      </c>
      <c r="E364" s="52"/>
      <c r="F364" s="39"/>
      <c r="G364" s="37"/>
      <c r="H364" s="46"/>
      <c r="I364" s="37"/>
      <c r="L364" s="36" t="str">
        <f>IFERROR(VLOOKUP(I364,보도매체!$A:$C,2,FALSE), "")</f>
        <v/>
      </c>
      <c r="M364" s="38" t="str">
        <f>IFERROR(VLOOKUP(I364,보도매체!$A:$C,3,FALSE), "")</f>
        <v/>
      </c>
      <c r="N364" s="3"/>
    </row>
    <row r="365" spans="1:14" x14ac:dyDescent="0.3">
      <c r="A365" s="1">
        <v>364</v>
      </c>
      <c r="B365" s="35"/>
      <c r="C365" s="35">
        <f t="shared" si="5"/>
        <v>0</v>
      </c>
      <c r="D365" s="30" t="str">
        <f>IFERROR(VLOOKUP(C365,소속부서!$A$2:$B$20,2,FALSE), "")</f>
        <v/>
      </c>
      <c r="E365" s="52"/>
      <c r="F365" s="39"/>
      <c r="G365" s="37"/>
      <c r="H365" s="46"/>
      <c r="L365" s="36" t="str">
        <f>IFERROR(VLOOKUP(I365,보도매체!$A:$C,2,FALSE), "")</f>
        <v/>
      </c>
      <c r="M365" s="38" t="str">
        <f>IFERROR(VLOOKUP(I365,보도매체!$A:$C,3,FALSE), "")</f>
        <v/>
      </c>
      <c r="N365" s="3"/>
    </row>
    <row r="366" spans="1:14" x14ac:dyDescent="0.3">
      <c r="A366" s="1">
        <v>365</v>
      </c>
      <c r="B366" s="35"/>
      <c r="C366" s="35">
        <f t="shared" si="5"/>
        <v>0</v>
      </c>
      <c r="D366" s="30" t="str">
        <f>IFERROR(VLOOKUP(C366,소속부서!$A$2:$B$20,2,FALSE), "")</f>
        <v/>
      </c>
      <c r="E366" s="52"/>
      <c r="F366" s="39"/>
      <c r="G366" s="37"/>
      <c r="H366" s="46"/>
      <c r="L366" s="36" t="str">
        <f>IFERROR(VLOOKUP(I366,보도매체!$A:$C,2,FALSE), "")</f>
        <v/>
      </c>
      <c r="M366" s="38" t="str">
        <f>IFERROR(VLOOKUP(I366,보도매체!$A:$C,3,FALSE), "")</f>
        <v/>
      </c>
      <c r="N366" s="3"/>
    </row>
    <row r="367" spans="1:14" x14ac:dyDescent="0.3">
      <c r="A367" s="1">
        <v>366</v>
      </c>
      <c r="B367" s="35"/>
      <c r="C367" s="35">
        <f t="shared" si="5"/>
        <v>0</v>
      </c>
      <c r="D367" s="30" t="str">
        <f>IFERROR(VLOOKUP(C367,소속부서!$A$2:$B$20,2,FALSE), "")</f>
        <v/>
      </c>
      <c r="E367" s="52"/>
      <c r="F367" s="39"/>
      <c r="G367" s="37"/>
      <c r="H367" s="49"/>
      <c r="L367" s="36" t="str">
        <f>IFERROR(VLOOKUP(I367,보도매체!$A:$C,2,FALSE), "")</f>
        <v/>
      </c>
      <c r="M367" s="38" t="str">
        <f>IFERROR(VLOOKUP(I367,보도매체!$A:$C,3,FALSE), "")</f>
        <v/>
      </c>
      <c r="N367" s="3"/>
    </row>
    <row r="368" spans="1:14" x14ac:dyDescent="0.3">
      <c r="A368" s="1">
        <v>367</v>
      </c>
      <c r="B368" s="35"/>
      <c r="C368" s="35">
        <f t="shared" si="5"/>
        <v>0</v>
      </c>
      <c r="D368" s="30" t="str">
        <f>IFERROR(VLOOKUP(C368,소속부서!$A$2:$B$20,2,FALSE), "")</f>
        <v/>
      </c>
      <c r="E368" s="52"/>
      <c r="F368" s="39"/>
      <c r="G368" s="37"/>
      <c r="H368" s="46"/>
      <c r="L368" s="36" t="str">
        <f>IFERROR(VLOOKUP(I368,보도매체!$A:$C,2,FALSE), "")</f>
        <v/>
      </c>
      <c r="M368" s="38" t="str">
        <f>IFERROR(VLOOKUP(I368,보도매체!$A:$C,3,FALSE), "")</f>
        <v/>
      </c>
      <c r="N368" s="3"/>
    </row>
    <row r="369" spans="1:14" x14ac:dyDescent="0.3">
      <c r="A369" s="1">
        <v>368</v>
      </c>
      <c r="B369" s="35"/>
      <c r="C369" s="35">
        <f t="shared" si="5"/>
        <v>0</v>
      </c>
      <c r="D369" s="30" t="str">
        <f>IFERROR(VLOOKUP(C369,소속부서!$A$2:$B$20,2,FALSE), "")</f>
        <v/>
      </c>
      <c r="E369" s="12"/>
      <c r="G369" s="37"/>
      <c r="H369" s="46"/>
      <c r="L369" s="36" t="str">
        <f>IFERROR(VLOOKUP(I369,보도매체!$A:$C,2,FALSE), "")</f>
        <v/>
      </c>
      <c r="M369" s="38" t="str">
        <f>IFERROR(VLOOKUP(I369,보도매체!$A:$C,3,FALSE), "")</f>
        <v/>
      </c>
      <c r="N369" s="3"/>
    </row>
    <row r="370" spans="1:14" x14ac:dyDescent="0.3">
      <c r="A370" s="1">
        <v>369</v>
      </c>
      <c r="B370" s="35"/>
      <c r="C370" s="35">
        <f t="shared" si="5"/>
        <v>0</v>
      </c>
      <c r="D370" s="30" t="str">
        <f>IFERROR(VLOOKUP(C370,소속부서!$A$2:$B$20,2,FALSE), "")</f>
        <v/>
      </c>
      <c r="G370" s="37"/>
      <c r="H370" s="46"/>
      <c r="L370" s="36" t="str">
        <f>IFERROR(VLOOKUP(I370,보도매체!$A:$C,2,FALSE), "")</f>
        <v/>
      </c>
      <c r="M370" s="38" t="str">
        <f>IFERROR(VLOOKUP(I370,보도매체!$A:$C,3,FALSE), "")</f>
        <v/>
      </c>
      <c r="N370" s="3"/>
    </row>
    <row r="371" spans="1:14" x14ac:dyDescent="0.3">
      <c r="A371" s="1">
        <v>370</v>
      </c>
      <c r="B371" s="35"/>
      <c r="C371" s="35">
        <f t="shared" si="5"/>
        <v>0</v>
      </c>
      <c r="D371" s="30" t="str">
        <f>IFERROR(VLOOKUP(C371,소속부서!$A$2:$B$20,2,FALSE), "")</f>
        <v/>
      </c>
      <c r="E371" s="52"/>
      <c r="F371" s="39"/>
      <c r="G371" s="37"/>
      <c r="H371" s="46"/>
      <c r="L371" s="36" t="str">
        <f>IFERROR(VLOOKUP(I371,보도매체!$A:$C,2,FALSE), "")</f>
        <v/>
      </c>
      <c r="M371" s="38" t="str">
        <f>IFERROR(VLOOKUP(I371,보도매체!$A:$C,3,FALSE), "")</f>
        <v/>
      </c>
      <c r="N371" s="3"/>
    </row>
    <row r="372" spans="1:14" x14ac:dyDescent="0.3">
      <c r="A372" s="1">
        <v>371</v>
      </c>
      <c r="B372" s="35"/>
      <c r="C372" s="35">
        <f t="shared" si="5"/>
        <v>0</v>
      </c>
      <c r="D372" s="30" t="str">
        <f>IFERROR(VLOOKUP(C372,소속부서!$A$2:$B$20,2,FALSE), "")</f>
        <v/>
      </c>
      <c r="E372" s="52"/>
      <c r="F372" s="39"/>
      <c r="G372" s="37"/>
      <c r="H372" s="46"/>
      <c r="L372" s="36" t="str">
        <f>IFERROR(VLOOKUP(I372,보도매체!$A:$C,2,FALSE), "")</f>
        <v/>
      </c>
      <c r="M372" s="38" t="str">
        <f>IFERROR(VLOOKUP(I372,보도매체!$A:$C,3,FALSE), "")</f>
        <v/>
      </c>
      <c r="N372" s="3"/>
    </row>
    <row r="373" spans="1:14" x14ac:dyDescent="0.3">
      <c r="A373" s="1">
        <v>372</v>
      </c>
      <c r="B373" s="35"/>
      <c r="C373" s="35">
        <f t="shared" si="5"/>
        <v>0</v>
      </c>
      <c r="D373" s="30" t="str">
        <f>IFERROR(VLOOKUP(C373,소속부서!$A$2:$B$20,2,FALSE), "")</f>
        <v/>
      </c>
      <c r="E373" s="52"/>
      <c r="F373" s="39"/>
      <c r="G373" s="37"/>
      <c r="H373" s="46"/>
      <c r="L373" s="36" t="str">
        <f>IFERROR(VLOOKUP(I373,보도매체!$A:$C,2,FALSE), "")</f>
        <v/>
      </c>
      <c r="M373" s="38" t="str">
        <f>IFERROR(VLOOKUP(I373,보도매체!$A:$C,3,FALSE), "")</f>
        <v/>
      </c>
      <c r="N373" s="3"/>
    </row>
    <row r="374" spans="1:14" x14ac:dyDescent="0.3">
      <c r="A374" s="1">
        <v>373</v>
      </c>
      <c r="B374" s="35"/>
      <c r="C374" s="35">
        <f t="shared" si="5"/>
        <v>0</v>
      </c>
      <c r="D374" s="30" t="str">
        <f>IFERROR(VLOOKUP(C374,소속부서!$A$2:$B$20,2,FALSE), "")</f>
        <v/>
      </c>
      <c r="E374" s="52"/>
      <c r="F374" s="39"/>
      <c r="G374" s="37"/>
      <c r="H374" s="46"/>
      <c r="K374" s="1"/>
      <c r="L374" s="36" t="str">
        <f>IFERROR(VLOOKUP(I374,보도매체!$A:$C,2,FALSE), "")</f>
        <v/>
      </c>
      <c r="M374" s="38" t="str">
        <f>IFERROR(VLOOKUP(I374,보도매체!$A:$C,3,FALSE), "")</f>
        <v/>
      </c>
      <c r="N374" s="3"/>
    </row>
    <row r="375" spans="1:14" x14ac:dyDescent="0.3">
      <c r="A375" s="1">
        <v>374</v>
      </c>
      <c r="B375" s="35"/>
      <c r="C375" s="35">
        <f t="shared" si="5"/>
        <v>0</v>
      </c>
      <c r="D375" s="30" t="str">
        <f>IFERROR(VLOOKUP(C375,소속부서!$A$2:$B$20,2,FALSE), "")</f>
        <v/>
      </c>
      <c r="E375" s="12"/>
      <c r="G375" s="37"/>
      <c r="H375" s="46"/>
      <c r="L375" s="36" t="str">
        <f>IFERROR(VLOOKUP(I375,보도매체!$A:$C,2,FALSE), "")</f>
        <v/>
      </c>
      <c r="M375" s="38" t="str">
        <f>IFERROR(VLOOKUP(I375,보도매체!$A:$C,3,FALSE), "")</f>
        <v/>
      </c>
      <c r="N375" s="3"/>
    </row>
    <row r="376" spans="1:14" x14ac:dyDescent="0.3">
      <c r="A376" s="1">
        <v>375</v>
      </c>
      <c r="B376" s="35"/>
      <c r="C376" s="35">
        <f t="shared" si="5"/>
        <v>0</v>
      </c>
      <c r="D376" s="30" t="str">
        <f>IFERROR(VLOOKUP(C376,소속부서!$A$2:$B$20,2,FALSE), "")</f>
        <v/>
      </c>
      <c r="E376" s="52"/>
      <c r="F376" s="39"/>
      <c r="G376" s="37"/>
      <c r="H376" s="46"/>
      <c r="L376" s="36" t="str">
        <f>IFERROR(VLOOKUP(I376,보도매체!$A:$C,2,FALSE), "")</f>
        <v/>
      </c>
      <c r="M376" s="38" t="str">
        <f>IFERROR(VLOOKUP(I376,보도매체!$A:$C,3,FALSE), "")</f>
        <v/>
      </c>
      <c r="N376" s="3"/>
    </row>
    <row r="377" spans="1:14" x14ac:dyDescent="0.3">
      <c r="A377" s="1">
        <v>376</v>
      </c>
      <c r="B377" s="35"/>
      <c r="C377" s="35">
        <f t="shared" si="5"/>
        <v>0</v>
      </c>
      <c r="D377" s="30" t="str">
        <f>IFERROR(VLOOKUP(C377,소속부서!$A$2:$B$20,2,FALSE), "")</f>
        <v/>
      </c>
      <c r="E377" s="52"/>
      <c r="F377" s="39"/>
      <c r="G377" s="37"/>
      <c r="H377" s="46"/>
      <c r="L377" s="36" t="str">
        <f>IFERROR(VLOOKUP(I377,보도매체!$A:$C,2,FALSE), "")</f>
        <v/>
      </c>
      <c r="M377" s="38" t="str">
        <f>IFERROR(VLOOKUP(I377,보도매체!$A:$C,3,FALSE), "")</f>
        <v/>
      </c>
      <c r="N377" s="3"/>
    </row>
    <row r="378" spans="1:14" x14ac:dyDescent="0.3">
      <c r="A378" s="1">
        <v>377</v>
      </c>
      <c r="B378" s="35"/>
      <c r="C378" s="35">
        <f t="shared" si="5"/>
        <v>0</v>
      </c>
      <c r="D378" s="30" t="str">
        <f>IFERROR(VLOOKUP(C378,소속부서!$A$2:$B$20,2,FALSE), "")</f>
        <v/>
      </c>
      <c r="G378" s="37"/>
      <c r="H378" s="46"/>
      <c r="L378" s="36" t="str">
        <f>IFERROR(VLOOKUP(I378,보도매체!$A:$C,2,FALSE), "")</f>
        <v/>
      </c>
      <c r="M378" s="38" t="str">
        <f>IFERROR(VLOOKUP(I378,보도매체!$A:$C,3,FALSE), "")</f>
        <v/>
      </c>
      <c r="N378" s="3"/>
    </row>
    <row r="379" spans="1:14" x14ac:dyDescent="0.3">
      <c r="A379" s="1">
        <v>378</v>
      </c>
      <c r="B379" s="53"/>
      <c r="C379" s="35">
        <f t="shared" si="5"/>
        <v>0</v>
      </c>
      <c r="D379" s="30" t="str">
        <f>IFERROR(VLOOKUP(C379,소속부서!$A$2:$B$20,2,FALSE), "")</f>
        <v/>
      </c>
      <c r="G379" s="37"/>
      <c r="H379" s="54"/>
      <c r="I379" s="55"/>
      <c r="J379" s="33"/>
      <c r="K379" s="44"/>
      <c r="L379" s="36" t="str">
        <f>IFERROR(VLOOKUP(I379,보도매체!$A:$C,2,FALSE), "")</f>
        <v/>
      </c>
      <c r="M379" s="38" t="str">
        <f>IFERROR(VLOOKUP(I379,보도매체!$A:$C,3,FALSE), "")</f>
        <v/>
      </c>
      <c r="N379" s="33"/>
    </row>
    <row r="380" spans="1:14" x14ac:dyDescent="0.3">
      <c r="A380" s="1">
        <v>379</v>
      </c>
      <c r="B380" s="35"/>
      <c r="C380" s="35">
        <f t="shared" si="5"/>
        <v>0</v>
      </c>
      <c r="D380" s="30" t="str">
        <f>IFERROR(VLOOKUP(C380,소속부서!$A$2:$B$20,2,FALSE), "")</f>
        <v/>
      </c>
      <c r="G380" s="44"/>
      <c r="H380" s="54"/>
      <c r="I380" s="55"/>
      <c r="J380" s="33"/>
      <c r="K380" s="44"/>
      <c r="L380" s="36" t="str">
        <f>IFERROR(VLOOKUP(I380,보도매체!$A:$C,2,FALSE), "")</f>
        <v/>
      </c>
      <c r="M380" s="38" t="str">
        <f>IFERROR(VLOOKUP(I380,보도매체!$A:$C,3,FALSE), "")</f>
        <v/>
      </c>
      <c r="N380" s="33"/>
    </row>
    <row r="381" spans="1:14" x14ac:dyDescent="0.3">
      <c r="A381" s="1">
        <v>380</v>
      </c>
      <c r="B381" s="35"/>
      <c r="C381" s="35">
        <f t="shared" si="5"/>
        <v>0</v>
      </c>
      <c r="D381" s="30" t="str">
        <f>IFERROR(VLOOKUP(C381,소속부서!$A$2:$B$20,2,FALSE), "")</f>
        <v/>
      </c>
      <c r="E381" s="12"/>
      <c r="F381" s="37"/>
      <c r="G381" s="44"/>
      <c r="H381" s="56"/>
      <c r="I381" s="55"/>
      <c r="J381" s="33"/>
      <c r="K381" s="57"/>
      <c r="L381" s="36" t="str">
        <f>IFERROR(VLOOKUP(I381,보도매체!$A:$C,2,FALSE), "")</f>
        <v/>
      </c>
      <c r="M381" s="38" t="str">
        <f>IFERROR(VLOOKUP(I381,보도매체!$A:$C,3,FALSE), "")</f>
        <v/>
      </c>
      <c r="N381" s="33"/>
    </row>
    <row r="382" spans="1:14" x14ac:dyDescent="0.3">
      <c r="A382" s="1">
        <v>381</v>
      </c>
      <c r="B382" s="35"/>
      <c r="C382" s="35">
        <f t="shared" si="5"/>
        <v>0</v>
      </c>
      <c r="D382" s="30" t="str">
        <f>IFERROR(VLOOKUP(C382,소속부서!$A$2:$B$20,2,FALSE), "")</f>
        <v/>
      </c>
      <c r="G382" s="37"/>
      <c r="H382" s="58"/>
      <c r="I382" s="55"/>
      <c r="J382" s="33"/>
      <c r="K382" s="55"/>
      <c r="L382" s="36" t="str">
        <f>IFERROR(VLOOKUP(I382,보도매체!$A:$C,2,FALSE), "")</f>
        <v/>
      </c>
      <c r="M382" s="38" t="str">
        <f>IFERROR(VLOOKUP(I382,보도매체!$A:$C,3,FALSE), "")</f>
        <v/>
      </c>
      <c r="N382" s="33"/>
    </row>
    <row r="383" spans="1:14" x14ac:dyDescent="0.3">
      <c r="A383" s="1">
        <v>382</v>
      </c>
      <c r="B383" s="35"/>
      <c r="C383" s="35">
        <f t="shared" si="5"/>
        <v>0</v>
      </c>
      <c r="D383" s="30" t="str">
        <f>IFERROR(VLOOKUP(C383,소속부서!$A$2:$B$20,2,FALSE), "")</f>
        <v/>
      </c>
      <c r="E383" s="12"/>
      <c r="G383" s="37"/>
      <c r="H383" s="59"/>
      <c r="I383" s="55"/>
      <c r="J383" s="33"/>
      <c r="K383" s="60"/>
      <c r="L383" s="36" t="str">
        <f>IFERROR(VLOOKUP(I383,보도매체!$A:$C,2,FALSE), "")</f>
        <v/>
      </c>
      <c r="M383" s="38" t="str">
        <f>IFERROR(VLOOKUP(I383,보도매체!$A:$C,3,FALSE), "")</f>
        <v/>
      </c>
      <c r="N383" s="33"/>
    </row>
    <row r="384" spans="1:14" x14ac:dyDescent="0.3">
      <c r="A384" s="1">
        <v>383</v>
      </c>
      <c r="B384" s="35"/>
      <c r="C384" s="35">
        <f t="shared" si="5"/>
        <v>0</v>
      </c>
      <c r="D384" s="30" t="str">
        <f>IFERROR(VLOOKUP(C384,소속부서!$A$2:$B$20,2,FALSE), "")</f>
        <v/>
      </c>
      <c r="G384" s="44"/>
      <c r="H384" s="54"/>
      <c r="I384" s="55"/>
      <c r="J384" s="33"/>
      <c r="K384" s="55"/>
      <c r="L384" s="36" t="str">
        <f>IFERROR(VLOOKUP(I384,보도매체!$A:$C,2,FALSE), "")</f>
        <v/>
      </c>
      <c r="M384" s="38" t="str">
        <f>IFERROR(VLOOKUP(I384,보도매체!$A:$C,3,FALSE), "")</f>
        <v/>
      </c>
      <c r="N384" s="33"/>
    </row>
    <row r="385" spans="1:14" x14ac:dyDescent="0.3">
      <c r="A385" s="1">
        <v>384</v>
      </c>
      <c r="B385" s="35"/>
      <c r="C385" s="35">
        <f t="shared" ref="C385:C448" si="6">E385</f>
        <v>0</v>
      </c>
      <c r="D385" s="30" t="str">
        <f>IFERROR(VLOOKUP(C385,소속부서!$A$2:$B$20,2,FALSE), "")</f>
        <v/>
      </c>
      <c r="G385" s="37"/>
      <c r="H385" s="54"/>
      <c r="I385" s="55"/>
      <c r="J385" s="33"/>
      <c r="K385" s="44"/>
      <c r="L385" s="36" t="str">
        <f>IFERROR(VLOOKUP(I385,보도매체!$A:$C,2,FALSE), "")</f>
        <v/>
      </c>
      <c r="M385" s="38" t="str">
        <f>IFERROR(VLOOKUP(I385,보도매체!$A:$C,3,FALSE), "")</f>
        <v/>
      </c>
      <c r="N385" s="33"/>
    </row>
    <row r="386" spans="1:14" x14ac:dyDescent="0.3">
      <c r="A386" s="1">
        <v>385</v>
      </c>
      <c r="B386" s="35"/>
      <c r="C386" s="35">
        <f t="shared" si="6"/>
        <v>0</v>
      </c>
      <c r="D386" s="30" t="str">
        <f>IFERROR(VLOOKUP(C386,소속부서!$A$2:$B$20,2,FALSE), "")</f>
        <v/>
      </c>
      <c r="G386" s="44"/>
      <c r="H386" s="58"/>
      <c r="I386" s="55"/>
      <c r="J386" s="33"/>
      <c r="K386" s="55"/>
      <c r="L386" s="36" t="str">
        <f>IFERROR(VLOOKUP(I386,보도매체!$A:$C,2,FALSE), "")</f>
        <v/>
      </c>
      <c r="M386" s="38" t="str">
        <f>IFERROR(VLOOKUP(I386,보도매체!$A:$C,3,FALSE), "")</f>
        <v/>
      </c>
      <c r="N386" s="33"/>
    </row>
    <row r="387" spans="1:14" x14ac:dyDescent="0.3">
      <c r="A387" s="1">
        <v>386</v>
      </c>
      <c r="B387" s="35"/>
      <c r="C387" s="35">
        <f t="shared" si="6"/>
        <v>0</v>
      </c>
      <c r="D387" s="30" t="str">
        <f>IFERROR(VLOOKUP(C387,소속부서!$A$2:$B$20,2,FALSE), "")</f>
        <v/>
      </c>
      <c r="G387" s="44"/>
      <c r="H387" s="58"/>
      <c r="I387" s="55"/>
      <c r="J387" s="33"/>
      <c r="K387" s="55"/>
      <c r="L387" s="36" t="str">
        <f>IFERROR(VLOOKUP(I387,보도매체!$A:$C,2,FALSE), "")</f>
        <v/>
      </c>
      <c r="M387" s="38" t="str">
        <f>IFERROR(VLOOKUP(I387,보도매체!$A:$C,3,FALSE), "")</f>
        <v/>
      </c>
      <c r="N387" s="33"/>
    </row>
    <row r="388" spans="1:14" x14ac:dyDescent="0.3">
      <c r="A388" s="1">
        <v>387</v>
      </c>
      <c r="B388" s="35"/>
      <c r="C388" s="35">
        <f t="shared" si="6"/>
        <v>0</v>
      </c>
      <c r="D388" s="30" t="str">
        <f>IFERROR(VLOOKUP(C388,소속부서!$A$2:$B$20,2,FALSE), "")</f>
        <v/>
      </c>
      <c r="E388" s="12"/>
      <c r="G388" s="37"/>
      <c r="H388" s="58"/>
      <c r="I388" s="55"/>
      <c r="J388" s="33"/>
      <c r="K388" s="37"/>
      <c r="L388" s="36" t="str">
        <f>IFERROR(VLOOKUP(I388,보도매체!$A:$C,2,FALSE), "")</f>
        <v/>
      </c>
      <c r="M388" s="38" t="str">
        <f>IFERROR(VLOOKUP(I388,보도매체!$A:$C,3,FALSE), "")</f>
        <v/>
      </c>
      <c r="N388" s="33"/>
    </row>
    <row r="389" spans="1:14" x14ac:dyDescent="0.3">
      <c r="A389" s="1">
        <v>388</v>
      </c>
      <c r="B389" s="35"/>
      <c r="C389" s="35">
        <f t="shared" si="6"/>
        <v>0</v>
      </c>
      <c r="D389" s="30" t="str">
        <f>IFERROR(VLOOKUP(C389,소속부서!$A$2:$B$20,2,FALSE), "")</f>
        <v/>
      </c>
      <c r="E389" s="35"/>
      <c r="F389" s="37"/>
      <c r="G389" s="37"/>
      <c r="H389" s="42"/>
      <c r="I389" s="55"/>
      <c r="J389" s="33"/>
      <c r="K389" s="61"/>
      <c r="L389" s="36" t="str">
        <f>IFERROR(VLOOKUP(I389,보도매체!$A:$C,2,FALSE), "")</f>
        <v/>
      </c>
      <c r="M389" s="38" t="str">
        <f>IFERROR(VLOOKUP(I389,보도매체!$A:$C,3,FALSE), "")</f>
        <v/>
      </c>
      <c r="N389" s="33"/>
    </row>
    <row r="390" spans="1:14" x14ac:dyDescent="0.3">
      <c r="A390" s="1">
        <v>389</v>
      </c>
      <c r="B390" s="35"/>
      <c r="C390" s="35">
        <f t="shared" si="6"/>
        <v>0</v>
      </c>
      <c r="D390" s="30" t="str">
        <f>IFERROR(VLOOKUP(C390,소속부서!$A$2:$B$20,2,FALSE), "")</f>
        <v/>
      </c>
      <c r="G390" s="61"/>
      <c r="H390" s="62"/>
      <c r="I390" s="55"/>
      <c r="J390" s="33"/>
      <c r="K390" s="61"/>
      <c r="L390" s="36" t="str">
        <f>IFERROR(VLOOKUP(I390,보도매체!$A:$C,2,FALSE), "")</f>
        <v/>
      </c>
      <c r="M390" s="38" t="str">
        <f>IFERROR(VLOOKUP(I390,보도매체!$A:$C,3,FALSE), "")</f>
        <v/>
      </c>
      <c r="N390" s="33"/>
    </row>
    <row r="391" spans="1:14" x14ac:dyDescent="0.3">
      <c r="A391" s="1">
        <v>390</v>
      </c>
      <c r="B391" s="35"/>
      <c r="C391" s="35">
        <f t="shared" si="6"/>
        <v>0</v>
      </c>
      <c r="D391" s="30" t="str">
        <f>IFERROR(VLOOKUP(C391,소속부서!$A$2:$B$20,2,FALSE), "")</f>
        <v/>
      </c>
      <c r="E391" s="12"/>
      <c r="F391" s="37"/>
      <c r="G391" s="44"/>
      <c r="H391" s="56"/>
      <c r="I391" s="55"/>
      <c r="J391" s="33"/>
      <c r="K391" s="57"/>
      <c r="L391" s="36" t="str">
        <f>IFERROR(VLOOKUP(I391,보도매체!$A:$C,2,FALSE), "")</f>
        <v/>
      </c>
      <c r="M391" s="38" t="str">
        <f>IFERROR(VLOOKUP(I391,보도매체!$A:$C,3,FALSE), "")</f>
        <v/>
      </c>
      <c r="N391" s="33"/>
    </row>
    <row r="392" spans="1:14" x14ac:dyDescent="0.3">
      <c r="A392" s="1">
        <v>391</v>
      </c>
      <c r="B392" s="35"/>
      <c r="C392" s="35">
        <f t="shared" si="6"/>
        <v>0</v>
      </c>
      <c r="D392" s="30" t="str">
        <f>IFERROR(VLOOKUP(C392,소속부서!$A$2:$B$20,2,FALSE), "")</f>
        <v/>
      </c>
      <c r="G392" s="37"/>
      <c r="H392" s="58"/>
      <c r="I392" s="55"/>
      <c r="J392" s="33"/>
      <c r="K392" s="55"/>
      <c r="L392" s="36" t="str">
        <f>IFERROR(VLOOKUP(I392,보도매체!$A:$C,2,FALSE), "")</f>
        <v/>
      </c>
      <c r="M392" s="38" t="str">
        <f>IFERROR(VLOOKUP(I392,보도매체!$A:$C,3,FALSE), "")</f>
        <v/>
      </c>
      <c r="N392" s="33"/>
    </row>
    <row r="393" spans="1:14" x14ac:dyDescent="0.3">
      <c r="A393" s="1">
        <v>392</v>
      </c>
      <c r="B393" s="35"/>
      <c r="C393" s="35">
        <f t="shared" si="6"/>
        <v>0</v>
      </c>
      <c r="D393" s="30" t="str">
        <f>IFERROR(VLOOKUP(C393,소속부서!$A$2:$B$20,2,FALSE), "")</f>
        <v/>
      </c>
      <c r="E393" s="12"/>
      <c r="G393" s="37"/>
      <c r="H393" s="59"/>
      <c r="I393" s="55"/>
      <c r="J393" s="33"/>
      <c r="K393" s="60"/>
      <c r="L393" s="36" t="str">
        <f>IFERROR(VLOOKUP(I393,보도매체!$A:$C,2,FALSE), "")</f>
        <v/>
      </c>
      <c r="M393" s="38" t="str">
        <f>IFERROR(VLOOKUP(I393,보도매체!$A:$C,3,FALSE), "")</f>
        <v/>
      </c>
      <c r="N393" s="33"/>
    </row>
    <row r="394" spans="1:14" x14ac:dyDescent="0.3">
      <c r="A394" s="1">
        <v>393</v>
      </c>
      <c r="B394" s="35"/>
      <c r="C394" s="35">
        <f t="shared" si="6"/>
        <v>0</v>
      </c>
      <c r="D394" s="30" t="str">
        <f>IFERROR(VLOOKUP(C394,소속부서!$A$2:$B$20,2,FALSE), "")</f>
        <v/>
      </c>
      <c r="G394" s="44"/>
      <c r="H394" s="54"/>
      <c r="I394" s="55"/>
      <c r="J394" s="33"/>
      <c r="K394" s="55"/>
      <c r="L394" s="36" t="str">
        <f>IFERROR(VLOOKUP(I394,보도매체!$A:$C,2,FALSE), "")</f>
        <v/>
      </c>
      <c r="M394" s="38" t="str">
        <f>IFERROR(VLOOKUP(I394,보도매체!$A:$C,3,FALSE), "")</f>
        <v/>
      </c>
      <c r="N394" s="33"/>
    </row>
    <row r="395" spans="1:14" x14ac:dyDescent="0.3">
      <c r="A395" s="1">
        <v>394</v>
      </c>
      <c r="B395" s="35"/>
      <c r="C395" s="35">
        <f t="shared" si="6"/>
        <v>0</v>
      </c>
      <c r="D395" s="30" t="str">
        <f>IFERROR(VLOOKUP(C395,소속부서!$A$2:$B$20,2,FALSE), "")</f>
        <v/>
      </c>
      <c r="G395" s="37"/>
      <c r="H395" s="54"/>
      <c r="I395" s="55"/>
      <c r="J395" s="33"/>
      <c r="K395" s="44"/>
      <c r="L395" s="36" t="str">
        <f>IFERROR(VLOOKUP(I395,보도매체!$A:$C,2,FALSE), "")</f>
        <v/>
      </c>
      <c r="M395" s="38" t="str">
        <f>IFERROR(VLOOKUP(I395,보도매체!$A:$C,3,FALSE), "")</f>
        <v/>
      </c>
      <c r="N395" s="33"/>
    </row>
    <row r="396" spans="1:14" x14ac:dyDescent="0.3">
      <c r="A396" s="1">
        <v>395</v>
      </c>
      <c r="B396" s="35"/>
      <c r="C396" s="35">
        <f t="shared" si="6"/>
        <v>0</v>
      </c>
      <c r="D396" s="30" t="str">
        <f>IFERROR(VLOOKUP(C396,소속부서!$A$2:$B$20,2,FALSE), "")</f>
        <v/>
      </c>
      <c r="G396" s="44"/>
      <c r="H396" s="58"/>
      <c r="I396" s="55"/>
      <c r="J396" s="33"/>
      <c r="K396" s="55"/>
      <c r="L396" s="36" t="str">
        <f>IFERROR(VLOOKUP(I396,보도매체!$A:$C,2,FALSE), "")</f>
        <v/>
      </c>
      <c r="M396" s="38" t="str">
        <f>IFERROR(VLOOKUP(I396,보도매체!$A:$C,3,FALSE), "")</f>
        <v/>
      </c>
      <c r="N396" s="33"/>
    </row>
    <row r="397" spans="1:14" x14ac:dyDescent="0.3">
      <c r="A397" s="1">
        <v>396</v>
      </c>
      <c r="B397" s="35"/>
      <c r="C397" s="35">
        <f t="shared" si="6"/>
        <v>0</v>
      </c>
      <c r="D397" s="30" t="str">
        <f>IFERROR(VLOOKUP(C397,소속부서!$A$2:$B$20,2,FALSE), "")</f>
        <v/>
      </c>
      <c r="G397" s="44"/>
      <c r="H397" s="58"/>
      <c r="I397" s="55"/>
      <c r="J397" s="33"/>
      <c r="K397" s="55"/>
      <c r="L397" s="36" t="str">
        <f>IFERROR(VLOOKUP(I397,보도매체!$A:$C,2,FALSE), "")</f>
        <v/>
      </c>
      <c r="M397" s="38" t="str">
        <f>IFERROR(VLOOKUP(I397,보도매체!$A:$C,3,FALSE), "")</f>
        <v/>
      </c>
      <c r="N397" s="33"/>
    </row>
    <row r="398" spans="1:14" x14ac:dyDescent="0.3">
      <c r="A398" s="1">
        <v>397</v>
      </c>
      <c r="B398" s="35"/>
      <c r="C398" s="35">
        <f t="shared" si="6"/>
        <v>0</v>
      </c>
      <c r="D398" s="30" t="str">
        <f>IFERROR(VLOOKUP(C398,소속부서!$A$2:$B$20,2,FALSE), "")</f>
        <v/>
      </c>
      <c r="E398" s="12"/>
      <c r="G398" s="37"/>
      <c r="H398" s="58"/>
      <c r="I398" s="55"/>
      <c r="J398" s="33"/>
      <c r="K398" s="37"/>
      <c r="L398" s="36" t="str">
        <f>IFERROR(VLOOKUP(I398,보도매체!$A:$C,2,FALSE), "")</f>
        <v/>
      </c>
      <c r="M398" s="38" t="str">
        <f>IFERROR(VLOOKUP(I398,보도매체!$A:$C,3,FALSE), "")</f>
        <v/>
      </c>
      <c r="N398" s="33"/>
    </row>
    <row r="399" spans="1:14" x14ac:dyDescent="0.3">
      <c r="A399" s="1">
        <v>398</v>
      </c>
      <c r="B399" s="35"/>
      <c r="C399" s="35">
        <f t="shared" si="6"/>
        <v>0</v>
      </c>
      <c r="D399" s="30" t="str">
        <f>IFERROR(VLOOKUP(C399,소속부서!$A$2:$B$20,2,FALSE), "")</f>
        <v/>
      </c>
      <c r="E399" s="35"/>
      <c r="F399" s="37"/>
      <c r="G399" s="37"/>
      <c r="H399" s="42"/>
      <c r="I399" s="55"/>
      <c r="J399" s="33"/>
      <c r="K399" s="61"/>
      <c r="L399" s="36" t="str">
        <f>IFERROR(VLOOKUP(I399,보도매체!$A:$C,2,FALSE), "")</f>
        <v/>
      </c>
      <c r="M399" s="38" t="str">
        <f>IFERROR(VLOOKUP(I399,보도매체!$A:$C,3,FALSE), "")</f>
        <v/>
      </c>
      <c r="N399" s="33"/>
    </row>
    <row r="400" spans="1:14" x14ac:dyDescent="0.3">
      <c r="A400" s="1">
        <v>399</v>
      </c>
      <c r="B400" s="35"/>
      <c r="C400" s="35">
        <f t="shared" si="6"/>
        <v>0</v>
      </c>
      <c r="D400" s="30" t="str">
        <f>IFERROR(VLOOKUP(C400,소속부서!$A$2:$B$20,2,FALSE), "")</f>
        <v/>
      </c>
      <c r="E400" s="12"/>
      <c r="F400" s="37"/>
      <c r="G400" s="44"/>
      <c r="H400" s="56"/>
      <c r="I400" s="55"/>
      <c r="J400" s="33"/>
      <c r="K400" s="57"/>
      <c r="L400" s="36" t="str">
        <f>IFERROR(VLOOKUP(I400,보도매체!$A:$C,2,FALSE), "")</f>
        <v/>
      </c>
      <c r="M400" s="38" t="str">
        <f>IFERROR(VLOOKUP(I400,보도매체!$A:$C,3,FALSE), "")</f>
        <v/>
      </c>
      <c r="N400" s="33"/>
    </row>
    <row r="401" spans="1:14" x14ac:dyDescent="0.3">
      <c r="A401" s="1">
        <v>400</v>
      </c>
      <c r="B401" s="35"/>
      <c r="C401" s="35">
        <f t="shared" si="6"/>
        <v>0</v>
      </c>
      <c r="D401" s="30" t="str">
        <f>IFERROR(VLOOKUP(C401,소속부서!$A$2:$B$20,2,FALSE), "")</f>
        <v/>
      </c>
      <c r="G401" s="37"/>
      <c r="H401" s="58"/>
      <c r="I401" s="55"/>
      <c r="J401" s="33"/>
      <c r="K401" s="55"/>
      <c r="L401" s="36" t="str">
        <f>IFERROR(VLOOKUP(I401,보도매체!$A:$C,2,FALSE), "")</f>
        <v/>
      </c>
      <c r="M401" s="38" t="str">
        <f>IFERROR(VLOOKUP(I401,보도매체!$A:$C,3,FALSE), "")</f>
        <v/>
      </c>
      <c r="N401" s="33"/>
    </row>
    <row r="402" spans="1:14" x14ac:dyDescent="0.3">
      <c r="A402" s="1">
        <v>401</v>
      </c>
      <c r="B402" s="35"/>
      <c r="C402" s="35">
        <f t="shared" si="6"/>
        <v>0</v>
      </c>
      <c r="D402" s="30" t="str">
        <f>IFERROR(VLOOKUP(C402,소속부서!$A$2:$B$20,2,FALSE), "")</f>
        <v/>
      </c>
      <c r="E402" s="12"/>
      <c r="G402" s="37"/>
      <c r="H402" s="59"/>
      <c r="I402" s="55"/>
      <c r="J402" s="33"/>
      <c r="K402" s="60"/>
      <c r="L402" s="36" t="str">
        <f>IFERROR(VLOOKUP(I402,보도매체!$A:$C,2,FALSE), "")</f>
        <v/>
      </c>
      <c r="M402" s="38" t="str">
        <f>IFERROR(VLOOKUP(I402,보도매체!$A:$C,3,FALSE), "")</f>
        <v/>
      </c>
      <c r="N402" s="33"/>
    </row>
    <row r="403" spans="1:14" x14ac:dyDescent="0.3">
      <c r="A403" s="1">
        <v>402</v>
      </c>
      <c r="B403" s="35"/>
      <c r="C403" s="35">
        <f t="shared" si="6"/>
        <v>0</v>
      </c>
      <c r="D403" s="30" t="str">
        <f>IFERROR(VLOOKUP(C403,소속부서!$A$2:$B$20,2,FALSE), "")</f>
        <v/>
      </c>
      <c r="G403" s="44"/>
      <c r="H403" s="54"/>
      <c r="I403" s="55"/>
      <c r="J403" s="33"/>
      <c r="K403" s="55"/>
      <c r="L403" s="36" t="str">
        <f>IFERROR(VLOOKUP(I403,보도매체!$A:$C,2,FALSE), "")</f>
        <v/>
      </c>
      <c r="M403" s="38" t="str">
        <f>IFERROR(VLOOKUP(I403,보도매체!$A:$C,3,FALSE), "")</f>
        <v/>
      </c>
      <c r="N403" s="33"/>
    </row>
    <row r="404" spans="1:14" x14ac:dyDescent="0.3">
      <c r="A404" s="1">
        <v>403</v>
      </c>
      <c r="B404" s="35"/>
      <c r="C404" s="35">
        <f t="shared" si="6"/>
        <v>0</v>
      </c>
      <c r="D404" s="30" t="str">
        <f>IFERROR(VLOOKUP(C404,소속부서!$A$2:$B$20,2,FALSE), "")</f>
        <v/>
      </c>
      <c r="G404" s="37"/>
      <c r="H404" s="54"/>
      <c r="I404" s="55"/>
      <c r="J404" s="33"/>
      <c r="K404" s="44"/>
      <c r="L404" s="36" t="str">
        <f>IFERROR(VLOOKUP(I404,보도매체!$A:$C,2,FALSE), "")</f>
        <v/>
      </c>
      <c r="M404" s="38" t="str">
        <f>IFERROR(VLOOKUP(I404,보도매체!$A:$C,3,FALSE), "")</f>
        <v/>
      </c>
      <c r="N404" s="33"/>
    </row>
    <row r="405" spans="1:14" x14ac:dyDescent="0.3">
      <c r="A405" s="1">
        <v>404</v>
      </c>
      <c r="B405" s="35"/>
      <c r="C405" s="35">
        <f t="shared" si="6"/>
        <v>0</v>
      </c>
      <c r="D405" s="30" t="str">
        <f>IFERROR(VLOOKUP(C405,소속부서!$A$2:$B$20,2,FALSE), "")</f>
        <v/>
      </c>
      <c r="G405" s="44"/>
      <c r="H405" s="58"/>
      <c r="I405" s="55"/>
      <c r="J405" s="33"/>
      <c r="K405" s="55"/>
      <c r="L405" s="36" t="str">
        <f>IFERROR(VLOOKUP(I405,보도매체!$A:$C,2,FALSE), "")</f>
        <v/>
      </c>
      <c r="M405" s="38" t="str">
        <f>IFERROR(VLOOKUP(I405,보도매체!$A:$C,3,FALSE), "")</f>
        <v/>
      </c>
      <c r="N405" s="33"/>
    </row>
    <row r="406" spans="1:14" x14ac:dyDescent="0.3">
      <c r="A406" s="1">
        <v>405</v>
      </c>
      <c r="B406" s="35"/>
      <c r="C406" s="35">
        <f t="shared" si="6"/>
        <v>0</v>
      </c>
      <c r="D406" s="30" t="str">
        <f>IFERROR(VLOOKUP(C406,소속부서!$A$2:$B$20,2,FALSE), "")</f>
        <v/>
      </c>
      <c r="G406" s="44"/>
      <c r="H406" s="58"/>
      <c r="I406" s="55"/>
      <c r="J406" s="33"/>
      <c r="K406" s="55"/>
      <c r="L406" s="36" t="str">
        <f>IFERROR(VLOOKUP(I406,보도매체!$A:$C,2,FALSE), "")</f>
        <v/>
      </c>
      <c r="M406" s="38" t="str">
        <f>IFERROR(VLOOKUP(I406,보도매체!$A:$C,3,FALSE), "")</f>
        <v/>
      </c>
      <c r="N406" s="33"/>
    </row>
    <row r="407" spans="1:14" x14ac:dyDescent="0.3">
      <c r="A407" s="1">
        <v>406</v>
      </c>
      <c r="B407" s="35"/>
      <c r="C407" s="35">
        <f t="shared" si="6"/>
        <v>0</v>
      </c>
      <c r="D407" s="30" t="str">
        <f>IFERROR(VLOOKUP(C407,소속부서!$A$2:$B$20,2,FALSE), "")</f>
        <v/>
      </c>
      <c r="E407" s="12"/>
      <c r="G407" s="37"/>
      <c r="H407" s="58"/>
      <c r="I407" s="55"/>
      <c r="J407" s="33"/>
      <c r="K407" s="37"/>
      <c r="L407" s="36" t="str">
        <f>IFERROR(VLOOKUP(I407,보도매체!$A:$C,2,FALSE), "")</f>
        <v/>
      </c>
      <c r="M407" s="38" t="str">
        <f>IFERROR(VLOOKUP(I407,보도매체!$A:$C,3,FALSE), "")</f>
        <v/>
      </c>
      <c r="N407" s="33"/>
    </row>
    <row r="408" spans="1:14" x14ac:dyDescent="0.3">
      <c r="A408" s="1">
        <v>407</v>
      </c>
      <c r="B408" s="35"/>
      <c r="C408" s="35">
        <f t="shared" si="6"/>
        <v>0</v>
      </c>
      <c r="D408" s="30" t="str">
        <f>IFERROR(VLOOKUP(C408,소속부서!$A$2:$B$20,2,FALSE), "")</f>
        <v/>
      </c>
      <c r="E408" s="35"/>
      <c r="F408" s="37"/>
      <c r="G408" s="37"/>
      <c r="H408" s="42"/>
      <c r="I408" s="55"/>
      <c r="J408" s="33"/>
      <c r="K408" s="61"/>
      <c r="L408" s="36" t="str">
        <f>IFERROR(VLOOKUP(I408,보도매체!$A:$C,2,FALSE), "")</f>
        <v/>
      </c>
      <c r="M408" s="38" t="str">
        <f>IFERROR(VLOOKUP(I408,보도매체!$A:$C,3,FALSE), "")</f>
        <v/>
      </c>
      <c r="N408" s="33"/>
    </row>
    <row r="409" spans="1:14" x14ac:dyDescent="0.3">
      <c r="A409" s="1">
        <v>408</v>
      </c>
      <c r="B409" s="35"/>
      <c r="C409" s="35">
        <f t="shared" si="6"/>
        <v>0</v>
      </c>
      <c r="D409" s="30" t="str">
        <f>IFERROR(VLOOKUP(C409,소속부서!$A$2:$B$20,2,FALSE), "")</f>
        <v/>
      </c>
      <c r="E409" s="30"/>
      <c r="G409" s="37"/>
      <c r="H409" s="40"/>
      <c r="L409" s="36" t="str">
        <f>IFERROR(VLOOKUP(I409,보도매체!$A:$C,2,FALSE), "")</f>
        <v/>
      </c>
      <c r="M409" s="38" t="str">
        <f>IFERROR(VLOOKUP(I409,보도매체!$A:$C,3,FALSE), "")</f>
        <v/>
      </c>
      <c r="N409" s="3"/>
    </row>
    <row r="410" spans="1:14" x14ac:dyDescent="0.3">
      <c r="A410" s="1">
        <v>409</v>
      </c>
      <c r="B410" s="35"/>
      <c r="C410" s="35">
        <f t="shared" si="6"/>
        <v>0</v>
      </c>
      <c r="D410" s="30" t="str">
        <f>IFERROR(VLOOKUP(C410,소속부서!$A$2:$B$20,2,FALSE), "")</f>
        <v/>
      </c>
      <c r="G410" s="37"/>
      <c r="H410" s="40"/>
      <c r="L410" s="36" t="str">
        <f>IFERROR(VLOOKUP(I410,보도매체!$A:$C,2,FALSE), "")</f>
        <v/>
      </c>
      <c r="M410" s="38" t="str">
        <f>IFERROR(VLOOKUP(I410,보도매체!$A:$C,3,FALSE), "")</f>
        <v/>
      </c>
      <c r="N410" s="3"/>
    </row>
    <row r="411" spans="1:14" x14ac:dyDescent="0.3">
      <c r="A411" s="1">
        <v>410</v>
      </c>
      <c r="B411" s="35"/>
      <c r="C411" s="35">
        <f t="shared" si="6"/>
        <v>0</v>
      </c>
      <c r="D411" s="30" t="str">
        <f>IFERROR(VLOOKUP(C411,소속부서!$A$2:$B$20,2,FALSE), "")</f>
        <v/>
      </c>
      <c r="G411" s="37"/>
      <c r="H411" s="40"/>
      <c r="L411" s="36" t="str">
        <f>IFERROR(VLOOKUP(I411,보도매체!$A:$C,2,FALSE), "")</f>
        <v/>
      </c>
      <c r="M411" s="38" t="str">
        <f>IFERROR(VLOOKUP(I411,보도매체!$A:$C,3,FALSE), "")</f>
        <v/>
      </c>
      <c r="N411" s="3"/>
    </row>
    <row r="412" spans="1:14" x14ac:dyDescent="0.3">
      <c r="A412" s="1">
        <v>411</v>
      </c>
      <c r="B412" s="35"/>
      <c r="C412" s="35">
        <f t="shared" si="6"/>
        <v>0</v>
      </c>
      <c r="D412" s="30" t="str">
        <f>IFERROR(VLOOKUP(C412,소속부서!$A$2:$B$20,2,FALSE), "")</f>
        <v/>
      </c>
      <c r="G412" s="37"/>
      <c r="H412" s="40"/>
      <c r="L412" s="36" t="str">
        <f>IFERROR(VLOOKUP(I412,보도매체!$A:$C,2,FALSE), "")</f>
        <v/>
      </c>
      <c r="M412" s="38" t="str">
        <f>IFERROR(VLOOKUP(I412,보도매체!$A:$C,3,FALSE), "")</f>
        <v/>
      </c>
      <c r="N412" s="3"/>
    </row>
    <row r="413" spans="1:14" x14ac:dyDescent="0.3">
      <c r="A413" s="1">
        <v>412</v>
      </c>
      <c r="B413" s="35"/>
      <c r="C413" s="35">
        <f t="shared" si="6"/>
        <v>0</v>
      </c>
      <c r="D413" s="30" t="str">
        <f>IFERROR(VLOOKUP(C413,소속부서!$A$2:$B$20,2,FALSE), "")</f>
        <v/>
      </c>
      <c r="E413" s="12"/>
      <c r="G413" s="37"/>
      <c r="H413" s="40"/>
      <c r="L413" s="36" t="str">
        <f>IFERROR(VLOOKUP(I413,보도매체!$A:$C,2,FALSE), "")</f>
        <v/>
      </c>
      <c r="M413" s="38" t="str">
        <f>IFERROR(VLOOKUP(I413,보도매체!$A:$C,3,FALSE), "")</f>
        <v/>
      </c>
      <c r="N413" s="3"/>
    </row>
    <row r="414" spans="1:14" x14ac:dyDescent="0.3">
      <c r="A414" s="1">
        <v>413</v>
      </c>
      <c r="B414" s="35"/>
      <c r="C414" s="35">
        <f t="shared" si="6"/>
        <v>0</v>
      </c>
      <c r="D414" s="30" t="str">
        <f>IFERROR(VLOOKUP(C414,소속부서!$A$2:$B$20,2,FALSE), "")</f>
        <v/>
      </c>
      <c r="G414" s="37"/>
      <c r="H414" s="40"/>
      <c r="I414" s="55"/>
      <c r="J414" s="33"/>
      <c r="K414" s="44"/>
      <c r="L414" s="36" t="str">
        <f>IFERROR(VLOOKUP(I414,보도매체!$A:$C,2,FALSE), "")</f>
        <v/>
      </c>
      <c r="M414" s="38" t="str">
        <f>IFERROR(VLOOKUP(I414,보도매체!$A:$C,3,FALSE), "")</f>
        <v/>
      </c>
      <c r="N414" s="3"/>
    </row>
    <row r="415" spans="1:14" x14ac:dyDescent="0.3">
      <c r="A415" s="1">
        <v>414</v>
      </c>
      <c r="B415" s="35"/>
      <c r="C415" s="35">
        <f t="shared" si="6"/>
        <v>0</v>
      </c>
      <c r="D415" s="30" t="str">
        <f>IFERROR(VLOOKUP(C415,소속부서!$A$2:$B$20,2,FALSE), "")</f>
        <v/>
      </c>
      <c r="G415" s="44"/>
      <c r="H415" s="40"/>
      <c r="L415" s="36" t="str">
        <f>IFERROR(VLOOKUP(I415,보도매체!$A:$C,2,FALSE), "")</f>
        <v/>
      </c>
      <c r="M415" s="38" t="str">
        <f>IFERROR(VLOOKUP(I415,보도매체!$A:$C,3,FALSE), "")</f>
        <v/>
      </c>
      <c r="N415" s="3"/>
    </row>
    <row r="416" spans="1:14" x14ac:dyDescent="0.3">
      <c r="A416" s="1">
        <v>415</v>
      </c>
      <c r="B416" s="35"/>
      <c r="C416" s="35">
        <f t="shared" si="6"/>
        <v>0</v>
      </c>
      <c r="D416" s="30" t="str">
        <f>IFERROR(VLOOKUP(C416,소속부서!$A$2:$B$20,2,FALSE), "")</f>
        <v/>
      </c>
      <c r="G416" s="37"/>
      <c r="H416" s="40"/>
      <c r="L416" s="36" t="str">
        <f>IFERROR(VLOOKUP(I416,보도매체!$A:$C,2,FALSE), "")</f>
        <v/>
      </c>
      <c r="M416" s="38" t="str">
        <f>IFERROR(VLOOKUP(I416,보도매체!$A:$C,3,FALSE), "")</f>
        <v/>
      </c>
      <c r="N416" s="3"/>
    </row>
    <row r="417" spans="1:14" x14ac:dyDescent="0.3">
      <c r="A417" s="1">
        <v>416</v>
      </c>
      <c r="B417" s="35"/>
      <c r="C417" s="35">
        <f t="shared" si="6"/>
        <v>0</v>
      </c>
      <c r="D417" s="30" t="str">
        <f>IFERROR(VLOOKUP(C417,소속부서!$A$2:$B$20,2,FALSE), "")</f>
        <v/>
      </c>
      <c r="E417" s="52"/>
      <c r="F417" s="39"/>
      <c r="G417" s="37"/>
      <c r="H417" s="40"/>
      <c r="L417" s="36" t="str">
        <f>IFERROR(VLOOKUP(I417,보도매체!$A:$C,2,FALSE), "")</f>
        <v/>
      </c>
      <c r="M417" s="38" t="str">
        <f>IFERROR(VLOOKUP(I417,보도매체!$A:$C,3,FALSE), "")</f>
        <v/>
      </c>
      <c r="N417" s="3"/>
    </row>
    <row r="418" spans="1:14" x14ac:dyDescent="0.3">
      <c r="A418" s="1">
        <v>417</v>
      </c>
      <c r="B418" s="35"/>
      <c r="C418" s="35">
        <f t="shared" si="6"/>
        <v>0</v>
      </c>
      <c r="D418" s="30" t="str">
        <f>IFERROR(VLOOKUP(C418,소속부서!$A$2:$B$20,2,FALSE), "")</f>
        <v/>
      </c>
      <c r="G418" s="37"/>
      <c r="H418" s="40"/>
      <c r="L418" s="36" t="str">
        <f>IFERROR(VLOOKUP(I418,보도매체!$A:$C,2,FALSE), "")</f>
        <v/>
      </c>
      <c r="M418" s="38" t="str">
        <f>IFERROR(VLOOKUP(I418,보도매체!$A:$C,3,FALSE), "")</f>
        <v/>
      </c>
      <c r="N418" s="3"/>
    </row>
    <row r="419" spans="1:14" x14ac:dyDescent="0.3">
      <c r="A419" s="1">
        <v>418</v>
      </c>
      <c r="B419" s="35"/>
      <c r="C419" s="35">
        <f t="shared" si="6"/>
        <v>0</v>
      </c>
      <c r="D419" s="30" t="str">
        <f>IFERROR(VLOOKUP(C419,소속부서!$A$2:$B$20,2,FALSE), "")</f>
        <v/>
      </c>
      <c r="E419" s="12"/>
      <c r="G419" s="37"/>
      <c r="H419" s="40"/>
      <c r="L419" s="36" t="str">
        <f>IFERROR(VLOOKUP(I419,보도매체!$A:$C,2,FALSE), "")</f>
        <v/>
      </c>
      <c r="M419" s="38" t="str">
        <f>IFERROR(VLOOKUP(I419,보도매체!$A:$C,3,FALSE), "")</f>
        <v/>
      </c>
      <c r="N419" s="3"/>
    </row>
    <row r="420" spans="1:14" x14ac:dyDescent="0.3">
      <c r="A420" s="1">
        <v>419</v>
      </c>
      <c r="B420" s="35"/>
      <c r="C420" s="35">
        <f t="shared" si="6"/>
        <v>0</v>
      </c>
      <c r="D420" s="30" t="str">
        <f>IFERROR(VLOOKUP(C420,소속부서!$A$2:$B$20,2,FALSE), "")</f>
        <v/>
      </c>
      <c r="G420" s="37"/>
      <c r="H420" s="40"/>
      <c r="L420" s="36" t="str">
        <f>IFERROR(VLOOKUP(I420,보도매체!$A:$C,2,FALSE), "")</f>
        <v/>
      </c>
      <c r="M420" s="38" t="str">
        <f>IFERROR(VLOOKUP(I420,보도매체!$A:$C,3,FALSE), "")</f>
        <v/>
      </c>
      <c r="N420" s="3"/>
    </row>
    <row r="421" spans="1:14" x14ac:dyDescent="0.3">
      <c r="A421" s="1">
        <v>420</v>
      </c>
      <c r="B421" s="35"/>
      <c r="C421" s="35">
        <f t="shared" si="6"/>
        <v>0</v>
      </c>
      <c r="D421" s="30" t="str">
        <f>IFERROR(VLOOKUP(C421,소속부서!$A$2:$B$20,2,FALSE), "")</f>
        <v/>
      </c>
      <c r="G421" s="37"/>
      <c r="H421" s="43"/>
      <c r="I421" s="37"/>
      <c r="J421" s="33"/>
      <c r="K421" s="57"/>
      <c r="L421" s="36" t="str">
        <f>IFERROR(VLOOKUP(I421,보도매체!$A:$C,2,FALSE), "")</f>
        <v/>
      </c>
      <c r="M421" s="38" t="str">
        <f>IFERROR(VLOOKUP(I421,보도매체!$A:$C,3,FALSE), "")</f>
        <v/>
      </c>
      <c r="N421" s="3"/>
    </row>
    <row r="422" spans="1:14" x14ac:dyDescent="0.3">
      <c r="A422" s="1">
        <v>421</v>
      </c>
      <c r="B422" s="35"/>
      <c r="C422" s="35">
        <f t="shared" si="6"/>
        <v>0</v>
      </c>
      <c r="D422" s="30" t="str">
        <f>IFERROR(VLOOKUP(C422,소속부서!$A$2:$B$20,2,FALSE), "")</f>
        <v/>
      </c>
      <c r="G422" s="37"/>
      <c r="H422" s="40"/>
      <c r="I422" s="47"/>
      <c r="L422" s="36" t="str">
        <f>IFERROR(VLOOKUP(I422,보도매체!$A:$C,2,FALSE), "")</f>
        <v/>
      </c>
      <c r="M422" s="38" t="str">
        <f>IFERROR(VLOOKUP(I422,보도매체!$A:$C,3,FALSE), "")</f>
        <v/>
      </c>
      <c r="N422" s="3"/>
    </row>
    <row r="423" spans="1:14" x14ac:dyDescent="0.3">
      <c r="A423" s="1">
        <v>422</v>
      </c>
      <c r="B423" s="35"/>
      <c r="C423" s="35">
        <f t="shared" si="6"/>
        <v>0</v>
      </c>
      <c r="D423" s="30" t="str">
        <f>IFERROR(VLOOKUP(C423,소속부서!$A$2:$B$20,2,FALSE), "")</f>
        <v/>
      </c>
      <c r="G423" s="37"/>
      <c r="H423" s="40"/>
      <c r="L423" s="36" t="str">
        <f>IFERROR(VLOOKUP(I423,보도매체!$A:$C,2,FALSE), "")</f>
        <v/>
      </c>
      <c r="M423" s="38" t="str">
        <f>IFERROR(VLOOKUP(I423,보도매체!$A:$C,3,FALSE), "")</f>
        <v/>
      </c>
      <c r="N423" s="3"/>
    </row>
    <row r="424" spans="1:14" x14ac:dyDescent="0.3">
      <c r="A424" s="1">
        <v>423</v>
      </c>
      <c r="B424" s="35"/>
      <c r="C424" s="35">
        <f t="shared" si="6"/>
        <v>0</v>
      </c>
      <c r="D424" s="30" t="str">
        <f>IFERROR(VLOOKUP(C424,소속부서!$A$2:$B$20,2,FALSE), "")</f>
        <v/>
      </c>
      <c r="G424" s="37"/>
      <c r="H424" s="40"/>
      <c r="L424" s="36" t="str">
        <f>IFERROR(VLOOKUP(I424,보도매체!$A:$C,2,FALSE), "")</f>
        <v/>
      </c>
      <c r="M424" s="38" t="str">
        <f>IFERROR(VLOOKUP(I424,보도매체!$A:$C,3,FALSE), "")</f>
        <v/>
      </c>
      <c r="N424" s="3"/>
    </row>
    <row r="425" spans="1:14" x14ac:dyDescent="0.3">
      <c r="A425" s="1">
        <v>424</v>
      </c>
      <c r="B425" s="35"/>
      <c r="C425" s="35">
        <f t="shared" si="6"/>
        <v>0</v>
      </c>
      <c r="D425" s="30" t="str">
        <f>IFERROR(VLOOKUP(C425,소속부서!$A$2:$B$20,2,FALSE), "")</f>
        <v/>
      </c>
      <c r="G425" s="37"/>
      <c r="H425" s="40"/>
      <c r="I425" s="37"/>
      <c r="K425" s="37"/>
      <c r="L425" s="36" t="str">
        <f>IFERROR(VLOOKUP(I425,보도매체!$A:$C,2,FALSE), "")</f>
        <v/>
      </c>
      <c r="M425" s="38" t="str">
        <f>IFERROR(VLOOKUP(I425,보도매체!$A:$C,3,FALSE), "")</f>
        <v/>
      </c>
      <c r="N425" s="3"/>
    </row>
    <row r="426" spans="1:14" x14ac:dyDescent="0.3">
      <c r="A426" s="1">
        <v>425</v>
      </c>
      <c r="B426" s="35"/>
      <c r="C426" s="35">
        <f t="shared" si="6"/>
        <v>0</v>
      </c>
      <c r="D426" s="30" t="str">
        <f>IFERROR(VLOOKUP(C426,소속부서!$A$2:$B$20,2,FALSE), "")</f>
        <v/>
      </c>
      <c r="G426" s="37"/>
      <c r="H426" s="40"/>
      <c r="I426" s="37"/>
      <c r="K426" s="28"/>
      <c r="L426" s="36" t="str">
        <f>IFERROR(VLOOKUP(I426,보도매체!$A:$C,2,FALSE), "")</f>
        <v/>
      </c>
      <c r="M426" s="38" t="str">
        <f>IFERROR(VLOOKUP(I426,보도매체!$A:$C,3,FALSE), "")</f>
        <v/>
      </c>
      <c r="N426" s="3"/>
    </row>
    <row r="427" spans="1:14" x14ac:dyDescent="0.3">
      <c r="A427" s="1">
        <v>426</v>
      </c>
      <c r="B427" s="35"/>
      <c r="C427" s="35">
        <f t="shared" si="6"/>
        <v>0</v>
      </c>
      <c r="D427" s="30" t="str">
        <f>IFERROR(VLOOKUP(C427,소속부서!$A$2:$B$20,2,FALSE), "")</f>
        <v/>
      </c>
      <c r="G427" s="44"/>
      <c r="H427" s="40"/>
      <c r="L427" s="36" t="str">
        <f>IFERROR(VLOOKUP(I427,보도매체!$A:$C,2,FALSE), "")</f>
        <v/>
      </c>
      <c r="M427" s="38" t="str">
        <f>IFERROR(VLOOKUP(I427,보도매체!$A:$C,3,FALSE), "")</f>
        <v/>
      </c>
      <c r="N427" s="3"/>
    </row>
    <row r="428" spans="1:14" x14ac:dyDescent="0.3">
      <c r="A428" s="1">
        <v>427</v>
      </c>
      <c r="B428" s="35"/>
      <c r="C428" s="35">
        <f t="shared" si="6"/>
        <v>0</v>
      </c>
      <c r="D428" s="30" t="str">
        <f>IFERROR(VLOOKUP(C428,소속부서!$A$2:$B$20,2,FALSE), "")</f>
        <v/>
      </c>
      <c r="G428" s="37"/>
      <c r="H428" s="40"/>
      <c r="I428" s="55"/>
      <c r="L428" s="36" t="str">
        <f>IFERROR(VLOOKUP(I428,보도매체!$A:$C,2,FALSE), "")</f>
        <v/>
      </c>
      <c r="M428" s="38" t="str">
        <f>IFERROR(VLOOKUP(I428,보도매체!$A:$C,3,FALSE), "")</f>
        <v/>
      </c>
      <c r="N428" s="3"/>
    </row>
    <row r="429" spans="1:14" x14ac:dyDescent="0.3">
      <c r="A429" s="1">
        <v>428</v>
      </c>
      <c r="B429" s="35"/>
      <c r="C429" s="35">
        <f t="shared" si="6"/>
        <v>0</v>
      </c>
      <c r="D429" s="30" t="str">
        <f>IFERROR(VLOOKUP(C429,소속부서!$A$2:$B$20,2,FALSE), "")</f>
        <v/>
      </c>
      <c r="G429" s="37"/>
      <c r="H429" s="40"/>
      <c r="I429" s="55"/>
      <c r="K429" s="55"/>
      <c r="L429" s="36" t="str">
        <f>IFERROR(VLOOKUP(I429,보도매체!$A:$C,2,FALSE), "")</f>
        <v/>
      </c>
      <c r="M429" s="38" t="str">
        <f>IFERROR(VLOOKUP(I429,보도매체!$A:$C,3,FALSE), "")</f>
        <v/>
      </c>
      <c r="N429" s="3"/>
    </row>
    <row r="430" spans="1:14" x14ac:dyDescent="0.3">
      <c r="A430" s="1">
        <v>429</v>
      </c>
      <c r="B430" s="35"/>
      <c r="C430" s="35">
        <f t="shared" si="6"/>
        <v>0</v>
      </c>
      <c r="D430" s="30" t="str">
        <f>IFERROR(VLOOKUP(C430,소속부서!$A$2:$B$20,2,FALSE), "")</f>
        <v/>
      </c>
      <c r="G430" s="37"/>
      <c r="H430" s="40"/>
      <c r="L430" s="36" t="str">
        <f>IFERROR(VLOOKUP(I430,보도매체!$A:$C,2,FALSE), "")</f>
        <v/>
      </c>
      <c r="M430" s="38" t="str">
        <f>IFERROR(VLOOKUP(I430,보도매체!$A:$C,3,FALSE), "")</f>
        <v/>
      </c>
      <c r="N430" s="3"/>
    </row>
    <row r="431" spans="1:14" x14ac:dyDescent="0.3">
      <c r="A431" s="1">
        <v>430</v>
      </c>
      <c r="B431" s="35"/>
      <c r="C431" s="35">
        <f t="shared" si="6"/>
        <v>0</v>
      </c>
      <c r="D431" s="30" t="str">
        <f>IFERROR(VLOOKUP(C431,소속부서!$A$2:$B$20,2,FALSE), "")</f>
        <v/>
      </c>
      <c r="G431" s="37"/>
      <c r="H431" s="40"/>
      <c r="L431" s="36" t="str">
        <f>IFERROR(VLOOKUP(I431,보도매체!$A:$C,2,FALSE), "")</f>
        <v/>
      </c>
      <c r="M431" s="38" t="str">
        <f>IFERROR(VLOOKUP(I431,보도매체!$A:$C,3,FALSE), "")</f>
        <v/>
      </c>
      <c r="N431" s="3"/>
    </row>
    <row r="432" spans="1:14" x14ac:dyDescent="0.3">
      <c r="C432" s="35">
        <f t="shared" si="6"/>
        <v>0</v>
      </c>
      <c r="D432" s="30" t="str">
        <f>IFERROR(VLOOKUP(C432,소속부서!$A$2:$B$20,2,FALSE), "")</f>
        <v/>
      </c>
      <c r="L432" s="36" t="str">
        <f>IFERROR(VLOOKUP(I432,보도매체!$A:$C,2,FALSE), "")</f>
        <v/>
      </c>
      <c r="M432" s="38" t="str">
        <f>IFERROR(VLOOKUP(I432,보도매체!$A:$C,3,FALSE), "")</f>
        <v/>
      </c>
    </row>
    <row r="433" spans="3:13" x14ac:dyDescent="0.3">
      <c r="C433" s="35">
        <f t="shared" si="6"/>
        <v>0</v>
      </c>
      <c r="D433" s="30" t="str">
        <f>IFERROR(VLOOKUP(C433,소속부서!$A$2:$B$20,2,FALSE), "")</f>
        <v/>
      </c>
      <c r="L433" s="36" t="str">
        <f>IFERROR(VLOOKUP(I433,보도매체!$A:$C,2,FALSE), "")</f>
        <v/>
      </c>
      <c r="M433" s="38" t="str">
        <f>IFERROR(VLOOKUP(I433,보도매체!$A:$C,3,FALSE), "")</f>
        <v/>
      </c>
    </row>
    <row r="434" spans="3:13" x14ac:dyDescent="0.3">
      <c r="C434" s="35">
        <f t="shared" si="6"/>
        <v>0</v>
      </c>
      <c r="D434" s="30" t="str">
        <f>IFERROR(VLOOKUP(C434,소속부서!$A$2:$B$20,2,FALSE), "")</f>
        <v/>
      </c>
      <c r="L434" s="36" t="str">
        <f>IFERROR(VLOOKUP(I434,보도매체!$A:$C,2,FALSE), "")</f>
        <v/>
      </c>
      <c r="M434" s="38" t="str">
        <f>IFERROR(VLOOKUP(I434,보도매체!$A:$C,3,FALSE), "")</f>
        <v/>
      </c>
    </row>
    <row r="435" spans="3:13" x14ac:dyDescent="0.3">
      <c r="C435" s="35">
        <f t="shared" si="6"/>
        <v>0</v>
      </c>
      <c r="D435" s="30" t="str">
        <f>IFERROR(VLOOKUP(C435,소속부서!$A$2:$B$20,2,FALSE), "")</f>
        <v/>
      </c>
      <c r="L435" s="36" t="str">
        <f>IFERROR(VLOOKUP(I435,보도매체!$A:$C,2,FALSE), "")</f>
        <v/>
      </c>
      <c r="M435" s="38" t="str">
        <f>IFERROR(VLOOKUP(I435,보도매체!$A:$C,3,FALSE), "")</f>
        <v/>
      </c>
    </row>
    <row r="436" spans="3:13" x14ac:dyDescent="0.3">
      <c r="C436" s="35">
        <f t="shared" si="6"/>
        <v>0</v>
      </c>
      <c r="D436" s="30" t="str">
        <f>IFERROR(VLOOKUP(C436,소속부서!$A$2:$B$20,2,FALSE), "")</f>
        <v/>
      </c>
      <c r="L436" s="36" t="str">
        <f>IFERROR(VLOOKUP(I436,보도매체!$A:$C,2,FALSE), "")</f>
        <v/>
      </c>
      <c r="M436" s="38" t="str">
        <f>IFERROR(VLOOKUP(I436,보도매체!$A:$C,3,FALSE), "")</f>
        <v/>
      </c>
    </row>
    <row r="437" spans="3:13" x14ac:dyDescent="0.3">
      <c r="C437" s="35">
        <f t="shared" si="6"/>
        <v>0</v>
      </c>
      <c r="D437" s="30" t="str">
        <f>IFERROR(VLOOKUP(C437,소속부서!$A$2:$B$20,2,FALSE), "")</f>
        <v/>
      </c>
      <c r="L437" s="36" t="str">
        <f>IFERROR(VLOOKUP(I437,보도매체!$A:$C,2,FALSE), "")</f>
        <v/>
      </c>
      <c r="M437" s="38" t="str">
        <f>IFERROR(VLOOKUP(I437,보도매체!$A:$C,3,FALSE), "")</f>
        <v/>
      </c>
    </row>
    <row r="438" spans="3:13" x14ac:dyDescent="0.3">
      <c r="C438" s="35">
        <f t="shared" si="6"/>
        <v>0</v>
      </c>
      <c r="D438" s="30" t="str">
        <f>IFERROR(VLOOKUP(C438,소속부서!$A$2:$B$20,2,FALSE), "")</f>
        <v/>
      </c>
      <c r="L438" s="36" t="str">
        <f>IFERROR(VLOOKUP(I438,보도매체!$A:$C,2,FALSE), "")</f>
        <v/>
      </c>
      <c r="M438" s="38" t="str">
        <f>IFERROR(VLOOKUP(I438,보도매체!$A:$C,3,FALSE), "")</f>
        <v/>
      </c>
    </row>
    <row r="439" spans="3:13" x14ac:dyDescent="0.3">
      <c r="C439" s="35">
        <f t="shared" si="6"/>
        <v>0</v>
      </c>
      <c r="D439" s="30" t="str">
        <f>IFERROR(VLOOKUP(C439,소속부서!$A$2:$B$20,2,FALSE), "")</f>
        <v/>
      </c>
      <c r="L439" s="36" t="str">
        <f>IFERROR(VLOOKUP(I439,보도매체!$A:$C,2,FALSE), "")</f>
        <v/>
      </c>
      <c r="M439" s="38" t="str">
        <f>IFERROR(VLOOKUP(I439,보도매체!$A:$C,3,FALSE), "")</f>
        <v/>
      </c>
    </row>
    <row r="440" spans="3:13" x14ac:dyDescent="0.3">
      <c r="C440" s="35">
        <f t="shared" si="6"/>
        <v>0</v>
      </c>
      <c r="D440" s="30" t="str">
        <f>IFERROR(VLOOKUP(C440,소속부서!$A$2:$B$20,2,FALSE), "")</f>
        <v/>
      </c>
      <c r="L440" s="36" t="str">
        <f>IFERROR(VLOOKUP(I440,보도매체!$A:$C,2,FALSE), "")</f>
        <v/>
      </c>
      <c r="M440" s="38" t="str">
        <f>IFERROR(VLOOKUP(I440,보도매체!$A:$C,3,FALSE), "")</f>
        <v/>
      </c>
    </row>
    <row r="441" spans="3:13" x14ac:dyDescent="0.3">
      <c r="C441" s="35">
        <f t="shared" si="6"/>
        <v>0</v>
      </c>
      <c r="D441" s="30" t="str">
        <f>IFERROR(VLOOKUP(C441,소속부서!$A$2:$B$20,2,FALSE), "")</f>
        <v/>
      </c>
      <c r="L441" s="36" t="str">
        <f>IFERROR(VLOOKUP(I441,보도매체!$A:$C,2,FALSE), "")</f>
        <v/>
      </c>
      <c r="M441" s="38" t="str">
        <f>IFERROR(VLOOKUP(I441,보도매체!$A:$C,3,FALSE), "")</f>
        <v/>
      </c>
    </row>
    <row r="442" spans="3:13" x14ac:dyDescent="0.3">
      <c r="C442" s="35">
        <f t="shared" si="6"/>
        <v>0</v>
      </c>
      <c r="D442" s="30" t="str">
        <f>IFERROR(VLOOKUP(C442,소속부서!$A$2:$B$20,2,FALSE), "")</f>
        <v/>
      </c>
      <c r="L442" s="36" t="str">
        <f>IFERROR(VLOOKUP(I442,보도매체!$A:$C,2,FALSE), "")</f>
        <v/>
      </c>
      <c r="M442" s="38" t="str">
        <f>IFERROR(VLOOKUP(I442,보도매체!$A:$C,3,FALSE), "")</f>
        <v/>
      </c>
    </row>
    <row r="443" spans="3:13" x14ac:dyDescent="0.3">
      <c r="C443" s="35">
        <f t="shared" si="6"/>
        <v>0</v>
      </c>
      <c r="D443" s="30" t="str">
        <f>IFERROR(VLOOKUP(C443,소속부서!$A$2:$B$20,2,FALSE), "")</f>
        <v/>
      </c>
      <c r="L443" s="36" t="str">
        <f>IFERROR(VLOOKUP(I443,보도매체!$A:$C,2,FALSE), "")</f>
        <v/>
      </c>
      <c r="M443" s="38" t="str">
        <f>IFERROR(VLOOKUP(I443,보도매체!$A:$C,3,FALSE), "")</f>
        <v/>
      </c>
    </row>
    <row r="444" spans="3:13" x14ac:dyDescent="0.3">
      <c r="C444" s="35">
        <f t="shared" si="6"/>
        <v>0</v>
      </c>
      <c r="D444" s="30" t="str">
        <f>IFERROR(VLOOKUP(C444,소속부서!$A$2:$B$20,2,FALSE), "")</f>
        <v/>
      </c>
      <c r="L444" s="36" t="str">
        <f>IFERROR(VLOOKUP(I444,보도매체!$A:$C,2,FALSE), "")</f>
        <v/>
      </c>
      <c r="M444" s="38" t="str">
        <f>IFERROR(VLOOKUP(I444,보도매체!$A:$C,3,FALSE), "")</f>
        <v/>
      </c>
    </row>
    <row r="445" spans="3:13" x14ac:dyDescent="0.3">
      <c r="C445" s="35">
        <f t="shared" si="6"/>
        <v>0</v>
      </c>
      <c r="D445" s="30" t="str">
        <f>IFERROR(VLOOKUP(C445,소속부서!$A$2:$B$20,2,FALSE), "")</f>
        <v/>
      </c>
      <c r="L445" s="36" t="str">
        <f>IFERROR(VLOOKUP(I445,보도매체!$A:$C,2,FALSE), "")</f>
        <v/>
      </c>
      <c r="M445" s="38" t="str">
        <f>IFERROR(VLOOKUP(I445,보도매체!$A:$C,3,FALSE), "")</f>
        <v/>
      </c>
    </row>
    <row r="446" spans="3:13" x14ac:dyDescent="0.3">
      <c r="C446" s="35">
        <f t="shared" si="6"/>
        <v>0</v>
      </c>
      <c r="D446" s="30" t="str">
        <f>IFERROR(VLOOKUP(C446,소속부서!$A$2:$B$20,2,FALSE), "")</f>
        <v/>
      </c>
      <c r="L446" s="36" t="str">
        <f>IFERROR(VLOOKUP(I446,보도매체!$A:$C,2,FALSE), "")</f>
        <v/>
      </c>
      <c r="M446" s="38" t="str">
        <f>IFERROR(VLOOKUP(I446,보도매체!$A:$C,3,FALSE), "")</f>
        <v/>
      </c>
    </row>
    <row r="447" spans="3:13" x14ac:dyDescent="0.3">
      <c r="C447" s="35">
        <f t="shared" si="6"/>
        <v>0</v>
      </c>
      <c r="D447" s="30" t="str">
        <f>IFERROR(VLOOKUP(C447,소속부서!$A$2:$B$20,2,FALSE), "")</f>
        <v/>
      </c>
      <c r="L447" s="36" t="str">
        <f>IFERROR(VLOOKUP(I447,보도매체!$A:$C,2,FALSE), "")</f>
        <v/>
      </c>
      <c r="M447" s="38" t="str">
        <f>IFERROR(VLOOKUP(I447,보도매체!$A:$C,3,FALSE), "")</f>
        <v/>
      </c>
    </row>
    <row r="448" spans="3:13" x14ac:dyDescent="0.3">
      <c r="C448" s="35">
        <f t="shared" si="6"/>
        <v>0</v>
      </c>
      <c r="D448" s="30" t="str">
        <f>IFERROR(VLOOKUP(C448,소속부서!$A$2:$B$20,2,FALSE), "")</f>
        <v/>
      </c>
      <c r="L448" s="36" t="str">
        <f>IFERROR(VLOOKUP(I448,보도매체!$A:$C,2,FALSE), "")</f>
        <v/>
      </c>
      <c r="M448" s="38" t="str">
        <f>IFERROR(VLOOKUP(I448,보도매체!$A:$C,3,FALSE), "")</f>
        <v/>
      </c>
    </row>
    <row r="449" spans="3:13" x14ac:dyDescent="0.3">
      <c r="C449" s="35">
        <f t="shared" ref="C449:C512" si="7">E449</f>
        <v>0</v>
      </c>
      <c r="D449" s="30" t="str">
        <f>IFERROR(VLOOKUP(C449,소속부서!$A$2:$B$20,2,FALSE), "")</f>
        <v/>
      </c>
      <c r="L449" s="36" t="str">
        <f>IFERROR(VLOOKUP(I449,보도매체!$A:$C,2,FALSE), "")</f>
        <v/>
      </c>
      <c r="M449" s="38" t="str">
        <f>IFERROR(VLOOKUP(I449,보도매체!$A:$C,3,FALSE), "")</f>
        <v/>
      </c>
    </row>
    <row r="450" spans="3:13" x14ac:dyDescent="0.3">
      <c r="C450" s="35">
        <f t="shared" si="7"/>
        <v>0</v>
      </c>
      <c r="D450" s="30" t="str">
        <f>IFERROR(VLOOKUP(C450,소속부서!$A$2:$B$20,2,FALSE), "")</f>
        <v/>
      </c>
      <c r="L450" s="36" t="str">
        <f>IFERROR(VLOOKUP(I450,보도매체!$A:$C,2,FALSE), "")</f>
        <v/>
      </c>
      <c r="M450" s="38" t="str">
        <f>IFERROR(VLOOKUP(I450,보도매체!$A:$C,3,FALSE), "")</f>
        <v/>
      </c>
    </row>
    <row r="451" spans="3:13" x14ac:dyDescent="0.3">
      <c r="C451" s="35">
        <f t="shared" si="7"/>
        <v>0</v>
      </c>
      <c r="D451" s="30" t="str">
        <f>IFERROR(VLOOKUP(C451,소속부서!$A$2:$B$20,2,FALSE), "")</f>
        <v/>
      </c>
      <c r="L451" s="36" t="str">
        <f>IFERROR(VLOOKUP(I451,보도매체!$A:$C,2,FALSE), "")</f>
        <v/>
      </c>
      <c r="M451" s="38" t="str">
        <f>IFERROR(VLOOKUP(I451,보도매체!$A:$C,3,FALSE), "")</f>
        <v/>
      </c>
    </row>
    <row r="452" spans="3:13" x14ac:dyDescent="0.3">
      <c r="C452" s="35">
        <f t="shared" si="7"/>
        <v>0</v>
      </c>
      <c r="D452" s="30" t="str">
        <f>IFERROR(VLOOKUP(C452,소속부서!$A$2:$B$20,2,FALSE), "")</f>
        <v/>
      </c>
      <c r="L452" s="36" t="str">
        <f>IFERROR(VLOOKUP(I452,보도매체!$A:$C,2,FALSE), "")</f>
        <v/>
      </c>
      <c r="M452" s="38" t="str">
        <f>IFERROR(VLOOKUP(I452,보도매체!$A:$C,3,FALSE), "")</f>
        <v/>
      </c>
    </row>
    <row r="453" spans="3:13" x14ac:dyDescent="0.3">
      <c r="C453" s="35">
        <f t="shared" si="7"/>
        <v>0</v>
      </c>
      <c r="D453" s="30" t="str">
        <f>IFERROR(VLOOKUP(C453,소속부서!$A$2:$B$20,2,FALSE), "")</f>
        <v/>
      </c>
      <c r="L453" s="36" t="str">
        <f>IFERROR(VLOOKUP(I453,보도매체!$A:$C,2,FALSE), "")</f>
        <v/>
      </c>
      <c r="M453" s="38" t="str">
        <f>IFERROR(VLOOKUP(I453,보도매체!$A:$C,3,FALSE), "")</f>
        <v/>
      </c>
    </row>
    <row r="454" spans="3:13" x14ac:dyDescent="0.3">
      <c r="C454" s="35">
        <f t="shared" si="7"/>
        <v>0</v>
      </c>
      <c r="D454" s="30" t="str">
        <f>IFERROR(VLOOKUP(C454,소속부서!$A$2:$B$20,2,FALSE), "")</f>
        <v/>
      </c>
      <c r="L454" s="36" t="str">
        <f>IFERROR(VLOOKUP(I454,보도매체!$A:$C,2,FALSE), "")</f>
        <v/>
      </c>
      <c r="M454" s="38" t="str">
        <f>IFERROR(VLOOKUP(I454,보도매체!$A:$C,3,FALSE), "")</f>
        <v/>
      </c>
    </row>
    <row r="455" spans="3:13" x14ac:dyDescent="0.3">
      <c r="C455" s="35">
        <f t="shared" si="7"/>
        <v>0</v>
      </c>
      <c r="D455" s="30" t="str">
        <f>IFERROR(VLOOKUP(C455,소속부서!$A$2:$B$20,2,FALSE), "")</f>
        <v/>
      </c>
      <c r="L455" s="36" t="str">
        <f>IFERROR(VLOOKUP(I455,보도매체!$A:$C,2,FALSE), "")</f>
        <v/>
      </c>
      <c r="M455" s="38" t="str">
        <f>IFERROR(VLOOKUP(I455,보도매체!$A:$C,3,FALSE), "")</f>
        <v/>
      </c>
    </row>
    <row r="456" spans="3:13" x14ac:dyDescent="0.3">
      <c r="C456" s="35">
        <f t="shared" si="7"/>
        <v>0</v>
      </c>
      <c r="D456" s="30" t="str">
        <f>IFERROR(VLOOKUP(C456,소속부서!$A$2:$B$20,2,FALSE), "")</f>
        <v/>
      </c>
      <c r="L456" s="36" t="str">
        <f>IFERROR(VLOOKUP(I456,보도매체!$A:$C,2,FALSE), "")</f>
        <v/>
      </c>
      <c r="M456" s="38" t="str">
        <f>IFERROR(VLOOKUP(I456,보도매체!$A:$C,3,FALSE), "")</f>
        <v/>
      </c>
    </row>
    <row r="457" spans="3:13" x14ac:dyDescent="0.3">
      <c r="C457" s="35">
        <f t="shared" si="7"/>
        <v>0</v>
      </c>
      <c r="D457" s="30" t="str">
        <f>IFERROR(VLOOKUP(C457,소속부서!$A$2:$B$20,2,FALSE), "")</f>
        <v/>
      </c>
      <c r="L457" s="36" t="str">
        <f>IFERROR(VLOOKUP(I457,보도매체!$A:$C,2,FALSE), "")</f>
        <v/>
      </c>
      <c r="M457" s="38" t="str">
        <f>IFERROR(VLOOKUP(I457,보도매체!$A:$C,3,FALSE), "")</f>
        <v/>
      </c>
    </row>
    <row r="458" spans="3:13" x14ac:dyDescent="0.3">
      <c r="C458" s="35">
        <f t="shared" si="7"/>
        <v>0</v>
      </c>
      <c r="D458" s="30" t="str">
        <f>IFERROR(VLOOKUP(C458,소속부서!$A$2:$B$20,2,FALSE), "")</f>
        <v/>
      </c>
      <c r="L458" s="36" t="str">
        <f>IFERROR(VLOOKUP(I458,보도매체!$A:$C,2,FALSE), "")</f>
        <v/>
      </c>
      <c r="M458" s="38" t="str">
        <f>IFERROR(VLOOKUP(I458,보도매체!$A:$C,3,FALSE), "")</f>
        <v/>
      </c>
    </row>
    <row r="459" spans="3:13" x14ac:dyDescent="0.3">
      <c r="C459" s="35">
        <f t="shared" si="7"/>
        <v>0</v>
      </c>
      <c r="D459" s="30" t="str">
        <f>IFERROR(VLOOKUP(C459,소속부서!$A$2:$B$20,2,FALSE), "")</f>
        <v/>
      </c>
      <c r="L459" s="36" t="str">
        <f>IFERROR(VLOOKUP(I459,보도매체!$A:$C,2,FALSE), "")</f>
        <v/>
      </c>
      <c r="M459" s="38" t="str">
        <f>IFERROR(VLOOKUP(I459,보도매체!$A:$C,3,FALSE), "")</f>
        <v/>
      </c>
    </row>
    <row r="460" spans="3:13" x14ac:dyDescent="0.3">
      <c r="C460" s="35">
        <f t="shared" si="7"/>
        <v>0</v>
      </c>
      <c r="D460" s="30" t="str">
        <f>IFERROR(VLOOKUP(C460,소속부서!$A$2:$B$20,2,FALSE), "")</f>
        <v/>
      </c>
      <c r="L460" s="36" t="str">
        <f>IFERROR(VLOOKUP(I460,보도매체!$A:$C,2,FALSE), "")</f>
        <v/>
      </c>
      <c r="M460" s="38" t="str">
        <f>IFERROR(VLOOKUP(I460,보도매체!$A:$C,3,FALSE), "")</f>
        <v/>
      </c>
    </row>
    <row r="461" spans="3:13" x14ac:dyDescent="0.3">
      <c r="C461" s="35">
        <f t="shared" si="7"/>
        <v>0</v>
      </c>
      <c r="D461" s="30" t="str">
        <f>IFERROR(VLOOKUP(C461,소속부서!$A$2:$B$20,2,FALSE), "")</f>
        <v/>
      </c>
      <c r="L461" s="36" t="str">
        <f>IFERROR(VLOOKUP(I461,보도매체!$A:$C,2,FALSE), "")</f>
        <v/>
      </c>
      <c r="M461" s="38" t="str">
        <f>IFERROR(VLOOKUP(I461,보도매체!$A:$C,3,FALSE), "")</f>
        <v/>
      </c>
    </row>
    <row r="462" spans="3:13" x14ac:dyDescent="0.3">
      <c r="C462" s="35">
        <f t="shared" si="7"/>
        <v>0</v>
      </c>
      <c r="D462" s="30" t="str">
        <f>IFERROR(VLOOKUP(C462,소속부서!$A$2:$B$20,2,FALSE), "")</f>
        <v/>
      </c>
      <c r="L462" s="36" t="str">
        <f>IFERROR(VLOOKUP(I462,보도매체!$A:$C,2,FALSE), "")</f>
        <v/>
      </c>
      <c r="M462" s="38" t="str">
        <f>IFERROR(VLOOKUP(I462,보도매체!$A:$C,3,FALSE), "")</f>
        <v/>
      </c>
    </row>
    <row r="463" spans="3:13" x14ac:dyDescent="0.3">
      <c r="C463" s="35">
        <f t="shared" si="7"/>
        <v>0</v>
      </c>
      <c r="D463" s="30" t="str">
        <f>IFERROR(VLOOKUP(C463,소속부서!$A$2:$B$20,2,FALSE), "")</f>
        <v/>
      </c>
      <c r="L463" s="36" t="str">
        <f>IFERROR(VLOOKUP(I463,보도매체!$A:$C,2,FALSE), "")</f>
        <v/>
      </c>
      <c r="M463" s="38" t="str">
        <f>IFERROR(VLOOKUP(I463,보도매체!$A:$C,3,FALSE), "")</f>
        <v/>
      </c>
    </row>
    <row r="464" spans="3:13" x14ac:dyDescent="0.3">
      <c r="C464" s="35">
        <f t="shared" si="7"/>
        <v>0</v>
      </c>
      <c r="D464" s="30" t="str">
        <f>IFERROR(VLOOKUP(C464,소속부서!$A$2:$B$20,2,FALSE), "")</f>
        <v/>
      </c>
      <c r="L464" s="36" t="str">
        <f>IFERROR(VLOOKUP(I464,보도매체!$A:$C,2,FALSE), "")</f>
        <v/>
      </c>
      <c r="M464" s="38" t="str">
        <f>IFERROR(VLOOKUP(I464,보도매체!$A:$C,3,FALSE), "")</f>
        <v/>
      </c>
    </row>
    <row r="465" spans="3:13" x14ac:dyDescent="0.3">
      <c r="C465" s="35">
        <f t="shared" si="7"/>
        <v>0</v>
      </c>
      <c r="D465" s="30" t="str">
        <f>IFERROR(VLOOKUP(C465,소속부서!$A$2:$B$20,2,FALSE), "")</f>
        <v/>
      </c>
      <c r="L465" s="36" t="str">
        <f>IFERROR(VLOOKUP(I465,보도매체!$A:$C,2,FALSE), "")</f>
        <v/>
      </c>
      <c r="M465" s="38" t="str">
        <f>IFERROR(VLOOKUP(I465,보도매체!$A:$C,3,FALSE), "")</f>
        <v/>
      </c>
    </row>
    <row r="466" spans="3:13" x14ac:dyDescent="0.3">
      <c r="C466" s="35">
        <f t="shared" si="7"/>
        <v>0</v>
      </c>
      <c r="D466" s="30" t="str">
        <f>IFERROR(VLOOKUP(C466,소속부서!$A$2:$B$20,2,FALSE), "")</f>
        <v/>
      </c>
      <c r="L466" s="36" t="str">
        <f>IFERROR(VLOOKUP(I466,보도매체!$A:$C,2,FALSE), "")</f>
        <v/>
      </c>
      <c r="M466" s="38" t="str">
        <f>IFERROR(VLOOKUP(I466,보도매체!$A:$C,3,FALSE), "")</f>
        <v/>
      </c>
    </row>
    <row r="467" spans="3:13" x14ac:dyDescent="0.3">
      <c r="C467" s="35">
        <f t="shared" si="7"/>
        <v>0</v>
      </c>
      <c r="D467" s="30" t="str">
        <f>IFERROR(VLOOKUP(C467,소속부서!$A$2:$B$20,2,FALSE), "")</f>
        <v/>
      </c>
      <c r="L467" s="36" t="str">
        <f>IFERROR(VLOOKUP(I467,보도매체!$A:$C,2,FALSE), "")</f>
        <v/>
      </c>
      <c r="M467" s="38" t="str">
        <f>IFERROR(VLOOKUP(I467,보도매체!$A:$C,3,FALSE), "")</f>
        <v/>
      </c>
    </row>
    <row r="468" spans="3:13" x14ac:dyDescent="0.3">
      <c r="C468" s="35">
        <f t="shared" si="7"/>
        <v>0</v>
      </c>
      <c r="D468" s="30" t="str">
        <f>IFERROR(VLOOKUP(C468,소속부서!$A$2:$B$20,2,FALSE), "")</f>
        <v/>
      </c>
      <c r="L468" s="36" t="str">
        <f>IFERROR(VLOOKUP(I468,보도매체!$A:$C,2,FALSE), "")</f>
        <v/>
      </c>
      <c r="M468" s="38" t="str">
        <f>IFERROR(VLOOKUP(I468,보도매체!$A:$C,3,FALSE), "")</f>
        <v/>
      </c>
    </row>
    <row r="469" spans="3:13" x14ac:dyDescent="0.3">
      <c r="C469" s="35">
        <f t="shared" si="7"/>
        <v>0</v>
      </c>
      <c r="D469" s="30" t="str">
        <f>IFERROR(VLOOKUP(C469,소속부서!$A$2:$B$20,2,FALSE), "")</f>
        <v/>
      </c>
      <c r="L469" s="36" t="str">
        <f>IFERROR(VLOOKUP(I469,보도매체!$A:$C,2,FALSE), "")</f>
        <v/>
      </c>
      <c r="M469" s="38" t="str">
        <f>IFERROR(VLOOKUP(I469,보도매체!$A:$C,3,FALSE), "")</f>
        <v/>
      </c>
    </row>
    <row r="470" spans="3:13" x14ac:dyDescent="0.3">
      <c r="C470" s="35">
        <f t="shared" si="7"/>
        <v>0</v>
      </c>
      <c r="D470" s="30" t="str">
        <f>IFERROR(VLOOKUP(C470,소속부서!$A$2:$B$20,2,FALSE), "")</f>
        <v/>
      </c>
      <c r="L470" s="36" t="str">
        <f>IFERROR(VLOOKUP(I470,보도매체!$A:$C,2,FALSE), "")</f>
        <v/>
      </c>
      <c r="M470" s="38" t="str">
        <f>IFERROR(VLOOKUP(I470,보도매체!$A:$C,3,FALSE), "")</f>
        <v/>
      </c>
    </row>
    <row r="471" spans="3:13" x14ac:dyDescent="0.3">
      <c r="C471" s="35">
        <f t="shared" si="7"/>
        <v>0</v>
      </c>
      <c r="D471" s="30" t="str">
        <f>IFERROR(VLOOKUP(C471,소속부서!$A$2:$B$20,2,FALSE), "")</f>
        <v/>
      </c>
      <c r="L471" s="36" t="str">
        <f>IFERROR(VLOOKUP(I471,보도매체!$A:$C,2,FALSE), "")</f>
        <v/>
      </c>
      <c r="M471" s="38" t="str">
        <f>IFERROR(VLOOKUP(I471,보도매체!$A:$C,3,FALSE), "")</f>
        <v/>
      </c>
    </row>
    <row r="472" spans="3:13" x14ac:dyDescent="0.3">
      <c r="C472" s="35">
        <f t="shared" si="7"/>
        <v>0</v>
      </c>
      <c r="D472" s="30" t="str">
        <f>IFERROR(VLOOKUP(C472,소속부서!$A$2:$B$20,2,FALSE), "")</f>
        <v/>
      </c>
      <c r="L472" s="36" t="str">
        <f>IFERROR(VLOOKUP(I472,보도매체!$A:$C,2,FALSE), "")</f>
        <v/>
      </c>
      <c r="M472" s="38" t="str">
        <f>IFERROR(VLOOKUP(I472,보도매체!$A:$C,3,FALSE), "")</f>
        <v/>
      </c>
    </row>
    <row r="473" spans="3:13" x14ac:dyDescent="0.3">
      <c r="C473" s="35">
        <f t="shared" si="7"/>
        <v>0</v>
      </c>
      <c r="D473" s="30" t="str">
        <f>IFERROR(VLOOKUP(C473,소속부서!$A$2:$B$20,2,FALSE), "")</f>
        <v/>
      </c>
      <c r="L473" s="36" t="str">
        <f>IFERROR(VLOOKUP(I473,보도매체!$A:$C,2,FALSE), "")</f>
        <v/>
      </c>
      <c r="M473" s="38" t="str">
        <f>IFERROR(VLOOKUP(I473,보도매체!$A:$C,3,FALSE), "")</f>
        <v/>
      </c>
    </row>
    <row r="474" spans="3:13" x14ac:dyDescent="0.3">
      <c r="C474" s="35">
        <f t="shared" si="7"/>
        <v>0</v>
      </c>
      <c r="D474" s="30" t="str">
        <f>IFERROR(VLOOKUP(C474,소속부서!$A$2:$B$20,2,FALSE), "")</f>
        <v/>
      </c>
      <c r="L474" s="36" t="str">
        <f>IFERROR(VLOOKUP(I474,보도매체!$A:$C,2,FALSE), "")</f>
        <v/>
      </c>
      <c r="M474" s="38" t="str">
        <f>IFERROR(VLOOKUP(I474,보도매체!$A:$C,3,FALSE), "")</f>
        <v/>
      </c>
    </row>
    <row r="475" spans="3:13" x14ac:dyDescent="0.3">
      <c r="C475" s="35">
        <f t="shared" si="7"/>
        <v>0</v>
      </c>
      <c r="D475" s="30" t="str">
        <f>IFERROR(VLOOKUP(C475,소속부서!$A$2:$B$20,2,FALSE), "")</f>
        <v/>
      </c>
      <c r="L475" s="36" t="str">
        <f>IFERROR(VLOOKUP(I475,보도매체!$A:$C,2,FALSE), "")</f>
        <v/>
      </c>
      <c r="M475" s="38" t="str">
        <f>IFERROR(VLOOKUP(I475,보도매체!$A:$C,3,FALSE), "")</f>
        <v/>
      </c>
    </row>
    <row r="476" spans="3:13" x14ac:dyDescent="0.3">
      <c r="C476" s="35">
        <f t="shared" si="7"/>
        <v>0</v>
      </c>
      <c r="D476" s="30" t="str">
        <f>IFERROR(VLOOKUP(C476,소속부서!$A$2:$B$20,2,FALSE), "")</f>
        <v/>
      </c>
      <c r="L476" s="36" t="str">
        <f>IFERROR(VLOOKUP(I476,보도매체!$A:$C,2,FALSE), "")</f>
        <v/>
      </c>
      <c r="M476" s="38" t="str">
        <f>IFERROR(VLOOKUP(I476,보도매체!$A:$C,3,FALSE), "")</f>
        <v/>
      </c>
    </row>
    <row r="477" spans="3:13" x14ac:dyDescent="0.3">
      <c r="C477" s="35">
        <f t="shared" si="7"/>
        <v>0</v>
      </c>
      <c r="D477" s="30" t="str">
        <f>IFERROR(VLOOKUP(C477,소속부서!$A$2:$B$20,2,FALSE), "")</f>
        <v/>
      </c>
      <c r="L477" s="36" t="str">
        <f>IFERROR(VLOOKUP(I477,보도매체!$A:$C,2,FALSE), "")</f>
        <v/>
      </c>
      <c r="M477" s="38" t="str">
        <f>IFERROR(VLOOKUP(I477,보도매체!$A:$C,3,FALSE), "")</f>
        <v/>
      </c>
    </row>
    <row r="478" spans="3:13" x14ac:dyDescent="0.3">
      <c r="C478" s="35">
        <f t="shared" si="7"/>
        <v>0</v>
      </c>
      <c r="D478" s="30" t="str">
        <f>IFERROR(VLOOKUP(C478,소속부서!$A$2:$B$20,2,FALSE), "")</f>
        <v/>
      </c>
      <c r="L478" s="36" t="str">
        <f>IFERROR(VLOOKUP(I478,보도매체!$A:$C,2,FALSE), "")</f>
        <v/>
      </c>
      <c r="M478" s="38" t="str">
        <f>IFERROR(VLOOKUP(I478,보도매체!$A:$C,3,FALSE), "")</f>
        <v/>
      </c>
    </row>
    <row r="479" spans="3:13" x14ac:dyDescent="0.3">
      <c r="C479" s="35">
        <f t="shared" si="7"/>
        <v>0</v>
      </c>
      <c r="D479" s="30" t="str">
        <f>IFERROR(VLOOKUP(C479,소속부서!$A$2:$B$20,2,FALSE), "")</f>
        <v/>
      </c>
      <c r="L479" s="36" t="str">
        <f>IFERROR(VLOOKUP(I479,보도매체!$A:$C,2,FALSE), "")</f>
        <v/>
      </c>
      <c r="M479" s="38" t="str">
        <f>IFERROR(VLOOKUP(I479,보도매체!$A:$C,3,FALSE), "")</f>
        <v/>
      </c>
    </row>
    <row r="480" spans="3:13" x14ac:dyDescent="0.3">
      <c r="C480" s="35">
        <f t="shared" si="7"/>
        <v>0</v>
      </c>
      <c r="D480" s="30" t="str">
        <f>IFERROR(VLOOKUP(C480,소속부서!$A$2:$B$20,2,FALSE), "")</f>
        <v/>
      </c>
      <c r="L480" s="36" t="str">
        <f>IFERROR(VLOOKUP(I480,보도매체!$A:$C,2,FALSE), "")</f>
        <v/>
      </c>
      <c r="M480" s="38" t="str">
        <f>IFERROR(VLOOKUP(I480,보도매체!$A:$C,3,FALSE), "")</f>
        <v/>
      </c>
    </row>
    <row r="481" spans="3:13" x14ac:dyDescent="0.3">
      <c r="C481" s="35">
        <f t="shared" si="7"/>
        <v>0</v>
      </c>
      <c r="D481" s="30" t="str">
        <f>IFERROR(VLOOKUP(C481,소속부서!$A$2:$B$20,2,FALSE), "")</f>
        <v/>
      </c>
      <c r="L481" s="36" t="str">
        <f>IFERROR(VLOOKUP(I481,보도매체!$A:$C,2,FALSE), "")</f>
        <v/>
      </c>
      <c r="M481" s="38" t="str">
        <f>IFERROR(VLOOKUP(I481,보도매체!$A:$C,3,FALSE), "")</f>
        <v/>
      </c>
    </row>
    <row r="482" spans="3:13" x14ac:dyDescent="0.3">
      <c r="C482" s="35">
        <f t="shared" si="7"/>
        <v>0</v>
      </c>
      <c r="D482" s="30" t="str">
        <f>IFERROR(VLOOKUP(C482,소속부서!$A$2:$B$20,2,FALSE), "")</f>
        <v/>
      </c>
      <c r="L482" s="36" t="str">
        <f>IFERROR(VLOOKUP(I482,보도매체!$A:$C,2,FALSE), "")</f>
        <v/>
      </c>
      <c r="M482" s="38" t="str">
        <f>IFERROR(VLOOKUP(I482,보도매체!$A:$C,3,FALSE), "")</f>
        <v/>
      </c>
    </row>
    <row r="483" spans="3:13" x14ac:dyDescent="0.3">
      <c r="C483" s="35">
        <f t="shared" si="7"/>
        <v>0</v>
      </c>
      <c r="D483" s="30" t="str">
        <f>IFERROR(VLOOKUP(C483,소속부서!$A$2:$B$20,2,FALSE), "")</f>
        <v/>
      </c>
      <c r="L483" s="36" t="str">
        <f>IFERROR(VLOOKUP(I483,보도매체!$A:$C,2,FALSE), "")</f>
        <v/>
      </c>
      <c r="M483" s="38" t="str">
        <f>IFERROR(VLOOKUP(I483,보도매체!$A:$C,3,FALSE), "")</f>
        <v/>
      </c>
    </row>
    <row r="484" spans="3:13" x14ac:dyDescent="0.3">
      <c r="C484" s="35">
        <f t="shared" si="7"/>
        <v>0</v>
      </c>
      <c r="D484" s="30" t="str">
        <f>IFERROR(VLOOKUP(C484,소속부서!$A$2:$B$20,2,FALSE), "")</f>
        <v/>
      </c>
      <c r="L484" s="36" t="str">
        <f>IFERROR(VLOOKUP(I484,보도매체!$A:$C,2,FALSE), "")</f>
        <v/>
      </c>
      <c r="M484" s="38" t="str">
        <f>IFERROR(VLOOKUP(I484,보도매체!$A:$C,3,FALSE), "")</f>
        <v/>
      </c>
    </row>
    <row r="485" spans="3:13" x14ac:dyDescent="0.3">
      <c r="C485" s="35">
        <f t="shared" si="7"/>
        <v>0</v>
      </c>
      <c r="D485" s="30" t="str">
        <f>IFERROR(VLOOKUP(C485,소속부서!$A$2:$B$20,2,FALSE), "")</f>
        <v/>
      </c>
      <c r="L485" s="36" t="str">
        <f>IFERROR(VLOOKUP(I485,보도매체!$A:$C,2,FALSE), "")</f>
        <v/>
      </c>
      <c r="M485" s="38" t="str">
        <f>IFERROR(VLOOKUP(I485,보도매체!$A:$C,3,FALSE), "")</f>
        <v/>
      </c>
    </row>
    <row r="486" spans="3:13" x14ac:dyDescent="0.3">
      <c r="C486" s="35">
        <f t="shared" si="7"/>
        <v>0</v>
      </c>
      <c r="D486" s="30" t="str">
        <f>IFERROR(VLOOKUP(C486,소속부서!$A$2:$B$20,2,FALSE), "")</f>
        <v/>
      </c>
      <c r="L486" s="36" t="str">
        <f>IFERROR(VLOOKUP(I486,보도매체!$A:$C,2,FALSE), "")</f>
        <v/>
      </c>
      <c r="M486" s="38" t="str">
        <f>IFERROR(VLOOKUP(I486,보도매체!$A:$C,3,FALSE), "")</f>
        <v/>
      </c>
    </row>
    <row r="487" spans="3:13" x14ac:dyDescent="0.3">
      <c r="C487" s="35">
        <f t="shared" si="7"/>
        <v>0</v>
      </c>
      <c r="D487" s="30" t="str">
        <f>IFERROR(VLOOKUP(C487,소속부서!$A$2:$B$20,2,FALSE), "")</f>
        <v/>
      </c>
      <c r="L487" s="36" t="str">
        <f>IFERROR(VLOOKUP(I487,보도매체!$A:$C,2,FALSE), "")</f>
        <v/>
      </c>
      <c r="M487" s="38" t="str">
        <f>IFERROR(VLOOKUP(I487,보도매체!$A:$C,3,FALSE), "")</f>
        <v/>
      </c>
    </row>
    <row r="488" spans="3:13" x14ac:dyDescent="0.3">
      <c r="C488" s="35">
        <f t="shared" si="7"/>
        <v>0</v>
      </c>
      <c r="D488" s="30" t="str">
        <f>IFERROR(VLOOKUP(C488,소속부서!$A$2:$B$20,2,FALSE), "")</f>
        <v/>
      </c>
      <c r="L488" s="36" t="str">
        <f>IFERROR(VLOOKUP(I488,보도매체!$A:$C,2,FALSE), "")</f>
        <v/>
      </c>
      <c r="M488" s="38" t="str">
        <f>IFERROR(VLOOKUP(I488,보도매체!$A:$C,3,FALSE), "")</f>
        <v/>
      </c>
    </row>
    <row r="489" spans="3:13" x14ac:dyDescent="0.3">
      <c r="C489" s="35">
        <f t="shared" si="7"/>
        <v>0</v>
      </c>
      <c r="D489" s="30" t="str">
        <f>IFERROR(VLOOKUP(C489,소속부서!$A$2:$B$20,2,FALSE), "")</f>
        <v/>
      </c>
      <c r="L489" s="36" t="str">
        <f>IFERROR(VLOOKUP(I489,보도매체!$A:$C,2,FALSE), "")</f>
        <v/>
      </c>
      <c r="M489" s="38" t="str">
        <f>IFERROR(VLOOKUP(I489,보도매체!$A:$C,3,FALSE), "")</f>
        <v/>
      </c>
    </row>
    <row r="490" spans="3:13" x14ac:dyDescent="0.3">
      <c r="C490" s="35">
        <f t="shared" si="7"/>
        <v>0</v>
      </c>
      <c r="D490" s="30" t="str">
        <f>IFERROR(VLOOKUP(C490,소속부서!$A$2:$B$20,2,FALSE), "")</f>
        <v/>
      </c>
      <c r="L490" s="36" t="str">
        <f>IFERROR(VLOOKUP(I490,보도매체!$A:$C,2,FALSE), "")</f>
        <v/>
      </c>
      <c r="M490" s="38" t="str">
        <f>IFERROR(VLOOKUP(I490,보도매체!$A:$C,3,FALSE), "")</f>
        <v/>
      </c>
    </row>
    <row r="491" spans="3:13" x14ac:dyDescent="0.3">
      <c r="C491" s="35">
        <f t="shared" si="7"/>
        <v>0</v>
      </c>
      <c r="D491" s="30" t="str">
        <f>IFERROR(VLOOKUP(C491,소속부서!$A$2:$B$20,2,FALSE), "")</f>
        <v/>
      </c>
      <c r="L491" s="36" t="str">
        <f>IFERROR(VLOOKUP(I491,보도매체!$A:$C,2,FALSE), "")</f>
        <v/>
      </c>
      <c r="M491" s="38" t="str">
        <f>IFERROR(VLOOKUP(I491,보도매체!$A:$C,3,FALSE), "")</f>
        <v/>
      </c>
    </row>
    <row r="492" spans="3:13" x14ac:dyDescent="0.3">
      <c r="C492" s="35">
        <f t="shared" si="7"/>
        <v>0</v>
      </c>
      <c r="D492" s="30" t="str">
        <f>IFERROR(VLOOKUP(C492,소속부서!$A$2:$B$20,2,FALSE), "")</f>
        <v/>
      </c>
      <c r="L492" s="36" t="str">
        <f>IFERROR(VLOOKUP(I492,보도매체!$A:$C,2,FALSE), "")</f>
        <v/>
      </c>
      <c r="M492" s="38" t="str">
        <f>IFERROR(VLOOKUP(I492,보도매체!$A:$C,3,FALSE), "")</f>
        <v/>
      </c>
    </row>
    <row r="493" spans="3:13" x14ac:dyDescent="0.3">
      <c r="C493" s="35">
        <f t="shared" si="7"/>
        <v>0</v>
      </c>
      <c r="D493" s="30" t="str">
        <f>IFERROR(VLOOKUP(C493,소속부서!$A$2:$B$20,2,FALSE), "")</f>
        <v/>
      </c>
      <c r="L493" s="36" t="str">
        <f>IFERROR(VLOOKUP(I493,보도매체!$A:$C,2,FALSE), "")</f>
        <v/>
      </c>
      <c r="M493" s="38" t="str">
        <f>IFERROR(VLOOKUP(I493,보도매체!$A:$C,3,FALSE), "")</f>
        <v/>
      </c>
    </row>
    <row r="494" spans="3:13" x14ac:dyDescent="0.3">
      <c r="C494" s="35">
        <f t="shared" si="7"/>
        <v>0</v>
      </c>
      <c r="D494" s="30" t="str">
        <f>IFERROR(VLOOKUP(C494,소속부서!$A$2:$B$20,2,FALSE), "")</f>
        <v/>
      </c>
      <c r="L494" s="36" t="str">
        <f>IFERROR(VLOOKUP(I494,보도매체!$A:$C,2,FALSE), "")</f>
        <v/>
      </c>
      <c r="M494" s="38" t="str">
        <f>IFERROR(VLOOKUP(I494,보도매체!$A:$C,3,FALSE), "")</f>
        <v/>
      </c>
    </row>
    <row r="495" spans="3:13" x14ac:dyDescent="0.3">
      <c r="C495" s="35">
        <f t="shared" si="7"/>
        <v>0</v>
      </c>
      <c r="D495" s="30" t="str">
        <f>IFERROR(VLOOKUP(C495,소속부서!$A$2:$B$20,2,FALSE), "")</f>
        <v/>
      </c>
      <c r="L495" s="36" t="str">
        <f>IFERROR(VLOOKUP(I495,보도매체!$A:$C,2,FALSE), "")</f>
        <v/>
      </c>
      <c r="M495" s="38" t="str">
        <f>IFERROR(VLOOKUP(I495,보도매체!$A:$C,3,FALSE), "")</f>
        <v/>
      </c>
    </row>
    <row r="496" spans="3:13" x14ac:dyDescent="0.3">
      <c r="C496" s="35">
        <f t="shared" si="7"/>
        <v>0</v>
      </c>
      <c r="D496" s="30" t="str">
        <f>IFERROR(VLOOKUP(C496,소속부서!$A$2:$B$20,2,FALSE), "")</f>
        <v/>
      </c>
      <c r="L496" s="36" t="str">
        <f>IFERROR(VLOOKUP(I496,보도매체!$A:$C,2,FALSE), "")</f>
        <v/>
      </c>
      <c r="M496" s="38" t="str">
        <f>IFERROR(VLOOKUP(I496,보도매체!$A:$C,3,FALSE), "")</f>
        <v/>
      </c>
    </row>
    <row r="497" spans="3:13" x14ac:dyDescent="0.3">
      <c r="C497" s="35">
        <f t="shared" si="7"/>
        <v>0</v>
      </c>
      <c r="D497" s="30" t="str">
        <f>IFERROR(VLOOKUP(C497,소속부서!$A$2:$B$20,2,FALSE), "")</f>
        <v/>
      </c>
      <c r="L497" s="36" t="str">
        <f>IFERROR(VLOOKUP(I497,보도매체!$A:$C,2,FALSE), "")</f>
        <v/>
      </c>
      <c r="M497" s="38" t="str">
        <f>IFERROR(VLOOKUP(I497,보도매체!$A:$C,3,FALSE), "")</f>
        <v/>
      </c>
    </row>
    <row r="498" spans="3:13" x14ac:dyDescent="0.3">
      <c r="C498" s="35">
        <f t="shared" si="7"/>
        <v>0</v>
      </c>
      <c r="D498" s="30" t="str">
        <f>IFERROR(VLOOKUP(C498,소속부서!$A$2:$B$20,2,FALSE), "")</f>
        <v/>
      </c>
      <c r="L498" s="36" t="str">
        <f>IFERROR(VLOOKUP(I498,보도매체!$A:$C,2,FALSE), "")</f>
        <v/>
      </c>
      <c r="M498" s="38" t="str">
        <f>IFERROR(VLOOKUP(I498,보도매체!$A:$C,3,FALSE), "")</f>
        <v/>
      </c>
    </row>
    <row r="499" spans="3:13" x14ac:dyDescent="0.3">
      <c r="C499" s="35">
        <f t="shared" si="7"/>
        <v>0</v>
      </c>
      <c r="D499" s="30" t="str">
        <f>IFERROR(VLOOKUP(C499,소속부서!$A$2:$B$20,2,FALSE), "")</f>
        <v/>
      </c>
      <c r="L499" s="36" t="str">
        <f>IFERROR(VLOOKUP(I499,보도매체!$A:$C,2,FALSE), "")</f>
        <v/>
      </c>
      <c r="M499" s="38" t="str">
        <f>IFERROR(VLOOKUP(I499,보도매체!$A:$C,3,FALSE), "")</f>
        <v/>
      </c>
    </row>
    <row r="500" spans="3:13" x14ac:dyDescent="0.3">
      <c r="C500" s="35">
        <f t="shared" si="7"/>
        <v>0</v>
      </c>
      <c r="D500" s="30" t="str">
        <f>IFERROR(VLOOKUP(C500,소속부서!$A$2:$B$20,2,FALSE), "")</f>
        <v/>
      </c>
      <c r="L500" s="36" t="str">
        <f>IFERROR(VLOOKUP(I500,보도매체!$A:$C,2,FALSE), "")</f>
        <v/>
      </c>
      <c r="M500" s="38" t="str">
        <f>IFERROR(VLOOKUP(I500,보도매체!$A:$C,3,FALSE), "")</f>
        <v/>
      </c>
    </row>
    <row r="501" spans="3:13" x14ac:dyDescent="0.3">
      <c r="C501" s="35">
        <f t="shared" si="7"/>
        <v>0</v>
      </c>
      <c r="D501" s="30" t="str">
        <f>IFERROR(VLOOKUP(C501,소속부서!$A$2:$B$20,2,FALSE), "")</f>
        <v/>
      </c>
      <c r="L501" s="36" t="str">
        <f>IFERROR(VLOOKUP(I501,보도매체!$A:$C,2,FALSE), "")</f>
        <v/>
      </c>
      <c r="M501" s="38" t="str">
        <f>IFERROR(VLOOKUP(I501,보도매체!$A:$C,3,FALSE), "")</f>
        <v/>
      </c>
    </row>
    <row r="502" spans="3:13" x14ac:dyDescent="0.3">
      <c r="C502" s="35">
        <f t="shared" si="7"/>
        <v>0</v>
      </c>
      <c r="D502" s="30" t="str">
        <f>IFERROR(VLOOKUP(C502,소속부서!$A$2:$B$20,2,FALSE), "")</f>
        <v/>
      </c>
      <c r="L502" s="36" t="str">
        <f>IFERROR(VLOOKUP(I502,보도매체!$A:$C,2,FALSE), "")</f>
        <v/>
      </c>
      <c r="M502" s="38" t="str">
        <f>IFERROR(VLOOKUP(I502,보도매체!$A:$C,3,FALSE), "")</f>
        <v/>
      </c>
    </row>
    <row r="503" spans="3:13" x14ac:dyDescent="0.3">
      <c r="C503" s="35">
        <f t="shared" si="7"/>
        <v>0</v>
      </c>
      <c r="D503" s="30" t="str">
        <f>IFERROR(VLOOKUP(C503,소속부서!$A$2:$B$20,2,FALSE), "")</f>
        <v/>
      </c>
      <c r="L503" s="36" t="str">
        <f>IFERROR(VLOOKUP(I503,보도매체!$A:$C,2,FALSE), "")</f>
        <v/>
      </c>
      <c r="M503" s="38" t="str">
        <f>IFERROR(VLOOKUP(I503,보도매체!$A:$C,3,FALSE), "")</f>
        <v/>
      </c>
    </row>
    <row r="504" spans="3:13" x14ac:dyDescent="0.3">
      <c r="C504" s="35">
        <f t="shared" si="7"/>
        <v>0</v>
      </c>
      <c r="D504" s="30" t="str">
        <f>IFERROR(VLOOKUP(C504,소속부서!$A$2:$B$20,2,FALSE), "")</f>
        <v/>
      </c>
      <c r="L504" s="36" t="str">
        <f>IFERROR(VLOOKUP(I504,보도매체!$A:$C,2,FALSE), "")</f>
        <v/>
      </c>
      <c r="M504" s="38" t="str">
        <f>IFERROR(VLOOKUP(I504,보도매체!$A:$C,3,FALSE), "")</f>
        <v/>
      </c>
    </row>
    <row r="505" spans="3:13" x14ac:dyDescent="0.3">
      <c r="C505" s="35">
        <f t="shared" si="7"/>
        <v>0</v>
      </c>
      <c r="D505" s="30" t="str">
        <f>IFERROR(VLOOKUP(C505,소속부서!$A$2:$B$20,2,FALSE), "")</f>
        <v/>
      </c>
      <c r="L505" s="36" t="str">
        <f>IFERROR(VLOOKUP(I505,보도매체!$A:$C,2,FALSE), "")</f>
        <v/>
      </c>
      <c r="M505" s="38" t="str">
        <f>IFERROR(VLOOKUP(I505,보도매체!$A:$C,3,FALSE), "")</f>
        <v/>
      </c>
    </row>
    <row r="506" spans="3:13" x14ac:dyDescent="0.3">
      <c r="C506" s="35">
        <f t="shared" si="7"/>
        <v>0</v>
      </c>
      <c r="D506" s="30" t="str">
        <f>IFERROR(VLOOKUP(C506,소속부서!$A$2:$B$20,2,FALSE), "")</f>
        <v/>
      </c>
      <c r="L506" s="36" t="str">
        <f>IFERROR(VLOOKUP(I506,보도매체!$A:$C,2,FALSE), "")</f>
        <v/>
      </c>
      <c r="M506" s="38" t="str">
        <f>IFERROR(VLOOKUP(I506,보도매체!$A:$C,3,FALSE), "")</f>
        <v/>
      </c>
    </row>
    <row r="507" spans="3:13" x14ac:dyDescent="0.3">
      <c r="C507" s="35">
        <f t="shared" si="7"/>
        <v>0</v>
      </c>
      <c r="D507" s="30" t="str">
        <f>IFERROR(VLOOKUP(C507,소속부서!$A$2:$B$20,2,FALSE), "")</f>
        <v/>
      </c>
      <c r="L507" s="36" t="str">
        <f>IFERROR(VLOOKUP(I507,보도매체!$A:$C,2,FALSE), "")</f>
        <v/>
      </c>
      <c r="M507" s="38" t="str">
        <f>IFERROR(VLOOKUP(I507,보도매체!$A:$C,3,FALSE), "")</f>
        <v/>
      </c>
    </row>
    <row r="508" spans="3:13" x14ac:dyDescent="0.3">
      <c r="C508" s="35">
        <f t="shared" si="7"/>
        <v>0</v>
      </c>
      <c r="D508" s="30" t="str">
        <f>IFERROR(VLOOKUP(C508,소속부서!$A$2:$B$20,2,FALSE), "")</f>
        <v/>
      </c>
      <c r="L508" s="36" t="str">
        <f>IFERROR(VLOOKUP(I508,보도매체!$A:$C,2,FALSE), "")</f>
        <v/>
      </c>
      <c r="M508" s="38" t="str">
        <f>IFERROR(VLOOKUP(I508,보도매체!$A:$C,3,FALSE), "")</f>
        <v/>
      </c>
    </row>
    <row r="509" spans="3:13" x14ac:dyDescent="0.3">
      <c r="C509" s="35">
        <f t="shared" si="7"/>
        <v>0</v>
      </c>
      <c r="D509" s="30" t="str">
        <f>IFERROR(VLOOKUP(C509,소속부서!$A$2:$B$20,2,FALSE), "")</f>
        <v/>
      </c>
      <c r="L509" s="36" t="str">
        <f>IFERROR(VLOOKUP(I509,보도매체!$A:$C,2,FALSE), "")</f>
        <v/>
      </c>
      <c r="M509" s="38" t="str">
        <f>IFERROR(VLOOKUP(I509,보도매체!$A:$C,3,FALSE), "")</f>
        <v/>
      </c>
    </row>
    <row r="510" spans="3:13" x14ac:dyDescent="0.3">
      <c r="C510" s="35">
        <f t="shared" si="7"/>
        <v>0</v>
      </c>
      <c r="D510" s="30" t="str">
        <f>IFERROR(VLOOKUP(C510,소속부서!$A$2:$B$20,2,FALSE), "")</f>
        <v/>
      </c>
      <c r="L510" s="36" t="str">
        <f>IFERROR(VLOOKUP(I510,보도매체!$A:$C,2,FALSE), "")</f>
        <v/>
      </c>
      <c r="M510" s="38" t="str">
        <f>IFERROR(VLOOKUP(I510,보도매체!$A:$C,3,FALSE), "")</f>
        <v/>
      </c>
    </row>
    <row r="511" spans="3:13" x14ac:dyDescent="0.3">
      <c r="C511" s="35">
        <f t="shared" si="7"/>
        <v>0</v>
      </c>
      <c r="D511" s="30" t="str">
        <f>IFERROR(VLOOKUP(C511,소속부서!$A$2:$B$20,2,FALSE), "")</f>
        <v/>
      </c>
      <c r="L511" s="36" t="str">
        <f>IFERROR(VLOOKUP(I511,보도매체!$A:$C,2,FALSE), "")</f>
        <v/>
      </c>
      <c r="M511" s="38" t="str">
        <f>IFERROR(VLOOKUP(I511,보도매체!$A:$C,3,FALSE), "")</f>
        <v/>
      </c>
    </row>
    <row r="512" spans="3:13" x14ac:dyDescent="0.3">
      <c r="C512" s="35">
        <f t="shared" si="7"/>
        <v>0</v>
      </c>
      <c r="D512" s="30" t="str">
        <f>IFERROR(VLOOKUP(C512,소속부서!$A$2:$B$20,2,FALSE), "")</f>
        <v/>
      </c>
      <c r="L512" s="36" t="str">
        <f>IFERROR(VLOOKUP(I512,보도매체!$A:$C,2,FALSE), "")</f>
        <v/>
      </c>
      <c r="M512" s="38" t="str">
        <f>IFERROR(VLOOKUP(I512,보도매체!$A:$C,3,FALSE), "")</f>
        <v/>
      </c>
    </row>
    <row r="513" spans="3:13" x14ac:dyDescent="0.3">
      <c r="C513" s="35">
        <f t="shared" ref="C513:C576" si="8">E513</f>
        <v>0</v>
      </c>
      <c r="D513" s="30" t="str">
        <f>IFERROR(VLOOKUP(C513,소속부서!$A$2:$B$20,2,FALSE), "")</f>
        <v/>
      </c>
      <c r="L513" s="36" t="str">
        <f>IFERROR(VLOOKUP(I513,보도매체!$A:$C,2,FALSE), "")</f>
        <v/>
      </c>
      <c r="M513" s="38" t="str">
        <f>IFERROR(VLOOKUP(I513,보도매체!$A:$C,3,FALSE), "")</f>
        <v/>
      </c>
    </row>
    <row r="514" spans="3:13" x14ac:dyDescent="0.3">
      <c r="C514" s="35">
        <f t="shared" si="8"/>
        <v>0</v>
      </c>
      <c r="D514" s="30" t="str">
        <f>IFERROR(VLOOKUP(C514,소속부서!$A$2:$B$20,2,FALSE), "")</f>
        <v/>
      </c>
      <c r="L514" s="36" t="str">
        <f>IFERROR(VLOOKUP(I514,보도매체!$A:$C,2,FALSE), "")</f>
        <v/>
      </c>
      <c r="M514" s="38" t="str">
        <f>IFERROR(VLOOKUP(I514,보도매체!$A:$C,3,FALSE), "")</f>
        <v/>
      </c>
    </row>
    <row r="515" spans="3:13" x14ac:dyDescent="0.3">
      <c r="C515" s="35">
        <f t="shared" si="8"/>
        <v>0</v>
      </c>
      <c r="D515" s="30" t="str">
        <f>IFERROR(VLOOKUP(C515,소속부서!$A$2:$B$20,2,FALSE), "")</f>
        <v/>
      </c>
      <c r="L515" s="36" t="str">
        <f>IFERROR(VLOOKUP(I515,보도매체!$A:$C,2,FALSE), "")</f>
        <v/>
      </c>
      <c r="M515" s="38" t="str">
        <f>IFERROR(VLOOKUP(I515,보도매체!$A:$C,3,FALSE), "")</f>
        <v/>
      </c>
    </row>
    <row r="516" spans="3:13" x14ac:dyDescent="0.3">
      <c r="C516" s="35">
        <f t="shared" si="8"/>
        <v>0</v>
      </c>
      <c r="D516" s="30" t="str">
        <f>IFERROR(VLOOKUP(C516,소속부서!$A$2:$B$20,2,FALSE), "")</f>
        <v/>
      </c>
      <c r="L516" s="36" t="str">
        <f>IFERROR(VLOOKUP(I516,보도매체!$A:$C,2,FALSE), "")</f>
        <v/>
      </c>
      <c r="M516" s="38" t="str">
        <f>IFERROR(VLOOKUP(I516,보도매체!$A:$C,3,FALSE), "")</f>
        <v/>
      </c>
    </row>
    <row r="517" spans="3:13" x14ac:dyDescent="0.3">
      <c r="C517" s="35">
        <f t="shared" si="8"/>
        <v>0</v>
      </c>
      <c r="D517" s="30" t="str">
        <f>IFERROR(VLOOKUP(C517,소속부서!$A$2:$B$20,2,FALSE), "")</f>
        <v/>
      </c>
      <c r="L517" s="36" t="str">
        <f>IFERROR(VLOOKUP(I517,보도매체!$A:$C,2,FALSE), "")</f>
        <v/>
      </c>
      <c r="M517" s="38" t="str">
        <f>IFERROR(VLOOKUP(I517,보도매체!$A:$C,3,FALSE), "")</f>
        <v/>
      </c>
    </row>
    <row r="518" spans="3:13" x14ac:dyDescent="0.3">
      <c r="C518" s="35">
        <f t="shared" si="8"/>
        <v>0</v>
      </c>
      <c r="D518" s="30" t="str">
        <f>IFERROR(VLOOKUP(C518,소속부서!$A$2:$B$20,2,FALSE), "")</f>
        <v/>
      </c>
      <c r="L518" s="36" t="str">
        <f>IFERROR(VLOOKUP(I518,보도매체!$A:$C,2,FALSE), "")</f>
        <v/>
      </c>
      <c r="M518" s="38" t="str">
        <f>IFERROR(VLOOKUP(I518,보도매체!$A:$C,3,FALSE), "")</f>
        <v/>
      </c>
    </row>
    <row r="519" spans="3:13" x14ac:dyDescent="0.3">
      <c r="C519" s="35">
        <f t="shared" si="8"/>
        <v>0</v>
      </c>
      <c r="D519" s="30" t="str">
        <f>IFERROR(VLOOKUP(C519,소속부서!$A$2:$B$20,2,FALSE), "")</f>
        <v/>
      </c>
      <c r="L519" s="36" t="str">
        <f>IFERROR(VLOOKUP(I519,보도매체!$A:$C,2,FALSE), "")</f>
        <v/>
      </c>
      <c r="M519" s="38" t="str">
        <f>IFERROR(VLOOKUP(I519,보도매체!$A:$C,3,FALSE), "")</f>
        <v/>
      </c>
    </row>
    <row r="520" spans="3:13" x14ac:dyDescent="0.3">
      <c r="C520" s="35">
        <f t="shared" si="8"/>
        <v>0</v>
      </c>
      <c r="D520" s="30" t="str">
        <f>IFERROR(VLOOKUP(C520,소속부서!$A$2:$B$20,2,FALSE), "")</f>
        <v/>
      </c>
      <c r="L520" s="36" t="str">
        <f>IFERROR(VLOOKUP(I520,보도매체!$A:$C,2,FALSE), "")</f>
        <v/>
      </c>
      <c r="M520" s="38" t="str">
        <f>IFERROR(VLOOKUP(I520,보도매체!$A:$C,3,FALSE), "")</f>
        <v/>
      </c>
    </row>
    <row r="521" spans="3:13" x14ac:dyDescent="0.3">
      <c r="C521" s="35">
        <f t="shared" si="8"/>
        <v>0</v>
      </c>
      <c r="D521" s="30" t="str">
        <f>IFERROR(VLOOKUP(C521,소속부서!$A$2:$B$20,2,FALSE), "")</f>
        <v/>
      </c>
      <c r="L521" s="36" t="str">
        <f>IFERROR(VLOOKUP(I521,보도매체!$A:$C,2,FALSE), "")</f>
        <v/>
      </c>
      <c r="M521" s="38" t="str">
        <f>IFERROR(VLOOKUP(I521,보도매체!$A:$C,3,FALSE), "")</f>
        <v/>
      </c>
    </row>
    <row r="522" spans="3:13" x14ac:dyDescent="0.3">
      <c r="C522" s="35">
        <f t="shared" si="8"/>
        <v>0</v>
      </c>
      <c r="D522" s="30" t="str">
        <f>IFERROR(VLOOKUP(C522,소속부서!$A$2:$B$20,2,FALSE), "")</f>
        <v/>
      </c>
      <c r="L522" s="36" t="str">
        <f>IFERROR(VLOOKUP(I522,보도매체!$A:$C,2,FALSE), "")</f>
        <v/>
      </c>
      <c r="M522" s="38" t="str">
        <f>IFERROR(VLOOKUP(I522,보도매체!$A:$C,3,FALSE), "")</f>
        <v/>
      </c>
    </row>
    <row r="523" spans="3:13" x14ac:dyDescent="0.3">
      <c r="C523" s="35">
        <f t="shared" si="8"/>
        <v>0</v>
      </c>
      <c r="D523" s="30" t="str">
        <f>IFERROR(VLOOKUP(C523,소속부서!$A$2:$B$20,2,FALSE), "")</f>
        <v/>
      </c>
      <c r="L523" s="36" t="str">
        <f>IFERROR(VLOOKUP(I523,보도매체!$A:$C,2,FALSE), "")</f>
        <v/>
      </c>
      <c r="M523" s="38" t="str">
        <f>IFERROR(VLOOKUP(I523,보도매체!$A:$C,3,FALSE), "")</f>
        <v/>
      </c>
    </row>
    <row r="524" spans="3:13" x14ac:dyDescent="0.3">
      <c r="C524" s="35">
        <f t="shared" si="8"/>
        <v>0</v>
      </c>
      <c r="D524" s="30" t="str">
        <f>IFERROR(VLOOKUP(C524,소속부서!$A$2:$B$20,2,FALSE), "")</f>
        <v/>
      </c>
      <c r="L524" s="36" t="str">
        <f>IFERROR(VLOOKUP(I524,보도매체!$A:$C,2,FALSE), "")</f>
        <v/>
      </c>
      <c r="M524" s="38" t="str">
        <f>IFERROR(VLOOKUP(I524,보도매체!$A:$C,3,FALSE), "")</f>
        <v/>
      </c>
    </row>
    <row r="525" spans="3:13" x14ac:dyDescent="0.3">
      <c r="C525" s="35">
        <f t="shared" si="8"/>
        <v>0</v>
      </c>
      <c r="D525" s="30" t="str">
        <f>IFERROR(VLOOKUP(C525,소속부서!$A$2:$B$20,2,FALSE), "")</f>
        <v/>
      </c>
      <c r="L525" s="36" t="str">
        <f>IFERROR(VLOOKUP(I525,보도매체!$A:$C,2,FALSE), "")</f>
        <v/>
      </c>
      <c r="M525" s="38" t="str">
        <f>IFERROR(VLOOKUP(I525,보도매체!$A:$C,3,FALSE), "")</f>
        <v/>
      </c>
    </row>
    <row r="526" spans="3:13" x14ac:dyDescent="0.3">
      <c r="C526" s="35">
        <f t="shared" si="8"/>
        <v>0</v>
      </c>
      <c r="D526" s="30" t="str">
        <f>IFERROR(VLOOKUP(C526,소속부서!$A$2:$B$20,2,FALSE), "")</f>
        <v/>
      </c>
      <c r="L526" s="36" t="str">
        <f>IFERROR(VLOOKUP(I526,보도매체!$A:$C,2,FALSE), "")</f>
        <v/>
      </c>
      <c r="M526" s="38" t="str">
        <f>IFERROR(VLOOKUP(I526,보도매체!$A:$C,3,FALSE), "")</f>
        <v/>
      </c>
    </row>
    <row r="527" spans="3:13" x14ac:dyDescent="0.3">
      <c r="C527" s="35">
        <f t="shared" si="8"/>
        <v>0</v>
      </c>
      <c r="D527" s="30" t="str">
        <f>IFERROR(VLOOKUP(C527,소속부서!$A$2:$B$20,2,FALSE), "")</f>
        <v/>
      </c>
      <c r="L527" s="36" t="str">
        <f>IFERROR(VLOOKUP(I527,보도매체!$A:$C,2,FALSE), "")</f>
        <v/>
      </c>
      <c r="M527" s="38" t="str">
        <f>IFERROR(VLOOKUP(I527,보도매체!$A:$C,3,FALSE), "")</f>
        <v/>
      </c>
    </row>
    <row r="528" spans="3:13" x14ac:dyDescent="0.3">
      <c r="C528" s="35">
        <f t="shared" si="8"/>
        <v>0</v>
      </c>
      <c r="D528" s="30" t="str">
        <f>IFERROR(VLOOKUP(C528,소속부서!$A$2:$B$20,2,FALSE), "")</f>
        <v/>
      </c>
      <c r="L528" s="36" t="str">
        <f>IFERROR(VLOOKUP(I528,보도매체!$A:$C,2,FALSE), "")</f>
        <v/>
      </c>
      <c r="M528" s="38" t="str">
        <f>IFERROR(VLOOKUP(I528,보도매체!$A:$C,3,FALSE), "")</f>
        <v/>
      </c>
    </row>
    <row r="529" spans="3:13" x14ac:dyDescent="0.3">
      <c r="C529" s="35">
        <f t="shared" si="8"/>
        <v>0</v>
      </c>
      <c r="D529" s="30" t="str">
        <f>IFERROR(VLOOKUP(C529,소속부서!$A$2:$B$20,2,FALSE), "")</f>
        <v/>
      </c>
      <c r="L529" s="36" t="str">
        <f>IFERROR(VLOOKUP(I529,보도매체!$A:$C,2,FALSE), "")</f>
        <v/>
      </c>
      <c r="M529" s="38" t="str">
        <f>IFERROR(VLOOKUP(I529,보도매체!$A:$C,3,FALSE), "")</f>
        <v/>
      </c>
    </row>
    <row r="530" spans="3:13" x14ac:dyDescent="0.3">
      <c r="C530" s="35">
        <f t="shared" si="8"/>
        <v>0</v>
      </c>
      <c r="D530" s="30" t="str">
        <f>IFERROR(VLOOKUP(C530,소속부서!$A$2:$B$20,2,FALSE), "")</f>
        <v/>
      </c>
      <c r="L530" s="36" t="str">
        <f>IFERROR(VLOOKUP(I530,보도매체!$A:$C,2,FALSE), "")</f>
        <v/>
      </c>
      <c r="M530" s="38" t="str">
        <f>IFERROR(VLOOKUP(I530,보도매체!$A:$C,3,FALSE), "")</f>
        <v/>
      </c>
    </row>
    <row r="531" spans="3:13" x14ac:dyDescent="0.3">
      <c r="C531" s="35">
        <f t="shared" si="8"/>
        <v>0</v>
      </c>
      <c r="D531" s="30" t="str">
        <f>IFERROR(VLOOKUP(C531,소속부서!$A$2:$B$20,2,FALSE), "")</f>
        <v/>
      </c>
      <c r="L531" s="36" t="str">
        <f>IFERROR(VLOOKUP(I531,보도매체!$A:$C,2,FALSE), "")</f>
        <v/>
      </c>
      <c r="M531" s="38" t="str">
        <f>IFERROR(VLOOKUP(I531,보도매체!$A:$C,3,FALSE), "")</f>
        <v/>
      </c>
    </row>
    <row r="532" spans="3:13" x14ac:dyDescent="0.3">
      <c r="C532" s="35">
        <f t="shared" si="8"/>
        <v>0</v>
      </c>
      <c r="D532" s="30" t="str">
        <f>IFERROR(VLOOKUP(C532,소속부서!$A$2:$B$20,2,FALSE), "")</f>
        <v/>
      </c>
      <c r="L532" s="36" t="str">
        <f>IFERROR(VLOOKUP(I532,보도매체!$A:$C,2,FALSE), "")</f>
        <v/>
      </c>
      <c r="M532" s="38" t="str">
        <f>IFERROR(VLOOKUP(I532,보도매체!$A:$C,3,FALSE), "")</f>
        <v/>
      </c>
    </row>
    <row r="533" spans="3:13" x14ac:dyDescent="0.3">
      <c r="C533" s="35">
        <f t="shared" si="8"/>
        <v>0</v>
      </c>
      <c r="D533" s="30" t="str">
        <f>IFERROR(VLOOKUP(C533,소속부서!$A$2:$B$20,2,FALSE), "")</f>
        <v/>
      </c>
      <c r="L533" s="36" t="str">
        <f>IFERROR(VLOOKUP(I533,보도매체!$A:$C,2,FALSE), "")</f>
        <v/>
      </c>
      <c r="M533" s="38" t="str">
        <f>IFERROR(VLOOKUP(I533,보도매체!$A:$C,3,FALSE), "")</f>
        <v/>
      </c>
    </row>
    <row r="534" spans="3:13" x14ac:dyDescent="0.3">
      <c r="C534" s="35">
        <f t="shared" si="8"/>
        <v>0</v>
      </c>
      <c r="D534" s="30" t="str">
        <f>IFERROR(VLOOKUP(C534,소속부서!$A$2:$B$20,2,FALSE), "")</f>
        <v/>
      </c>
      <c r="L534" s="36" t="str">
        <f>IFERROR(VLOOKUP(I534,보도매체!$A:$C,2,FALSE), "")</f>
        <v/>
      </c>
      <c r="M534" s="38" t="str">
        <f>IFERROR(VLOOKUP(I534,보도매체!$A:$C,3,FALSE), "")</f>
        <v/>
      </c>
    </row>
    <row r="535" spans="3:13" x14ac:dyDescent="0.3">
      <c r="C535" s="35">
        <f t="shared" si="8"/>
        <v>0</v>
      </c>
      <c r="D535" s="30" t="str">
        <f>IFERROR(VLOOKUP(C535,소속부서!$A$2:$B$20,2,FALSE), "")</f>
        <v/>
      </c>
      <c r="L535" s="36" t="str">
        <f>IFERROR(VLOOKUP(I535,보도매체!$A:$C,2,FALSE), "")</f>
        <v/>
      </c>
      <c r="M535" s="38" t="str">
        <f>IFERROR(VLOOKUP(I535,보도매체!$A:$C,3,FALSE), "")</f>
        <v/>
      </c>
    </row>
    <row r="536" spans="3:13" x14ac:dyDescent="0.3">
      <c r="C536" s="35">
        <f t="shared" si="8"/>
        <v>0</v>
      </c>
      <c r="D536" s="30" t="str">
        <f>IFERROR(VLOOKUP(C536,소속부서!$A$2:$B$20,2,FALSE), "")</f>
        <v/>
      </c>
      <c r="L536" s="36" t="str">
        <f>IFERROR(VLOOKUP(I536,보도매체!$A:$C,2,FALSE), "")</f>
        <v/>
      </c>
      <c r="M536" s="38" t="str">
        <f>IFERROR(VLOOKUP(I536,보도매체!$A:$C,3,FALSE), "")</f>
        <v/>
      </c>
    </row>
    <row r="537" spans="3:13" x14ac:dyDescent="0.3">
      <c r="C537" s="35">
        <f t="shared" si="8"/>
        <v>0</v>
      </c>
      <c r="D537" s="30" t="str">
        <f>IFERROR(VLOOKUP(C537,소속부서!$A$2:$B$20,2,FALSE), "")</f>
        <v/>
      </c>
      <c r="L537" s="36" t="str">
        <f>IFERROR(VLOOKUP(I537,보도매체!$A:$C,2,FALSE), "")</f>
        <v/>
      </c>
      <c r="M537" s="38" t="str">
        <f>IFERROR(VLOOKUP(I537,보도매체!$A:$C,3,FALSE), "")</f>
        <v/>
      </c>
    </row>
    <row r="538" spans="3:13" x14ac:dyDescent="0.3">
      <c r="C538" s="35">
        <f t="shared" si="8"/>
        <v>0</v>
      </c>
      <c r="D538" s="30" t="str">
        <f>IFERROR(VLOOKUP(C538,소속부서!$A$2:$B$20,2,FALSE), "")</f>
        <v/>
      </c>
      <c r="L538" s="36" t="str">
        <f>IFERROR(VLOOKUP(I538,보도매체!$A:$C,2,FALSE), "")</f>
        <v/>
      </c>
      <c r="M538" s="38" t="str">
        <f>IFERROR(VLOOKUP(I538,보도매체!$A:$C,3,FALSE), "")</f>
        <v/>
      </c>
    </row>
    <row r="539" spans="3:13" x14ac:dyDescent="0.3">
      <c r="C539" s="35">
        <f t="shared" si="8"/>
        <v>0</v>
      </c>
      <c r="D539" s="30" t="str">
        <f>IFERROR(VLOOKUP(C539,소속부서!$A$2:$B$20,2,FALSE), "")</f>
        <v/>
      </c>
      <c r="L539" s="36" t="str">
        <f>IFERROR(VLOOKUP(I539,보도매체!$A:$C,2,FALSE), "")</f>
        <v/>
      </c>
      <c r="M539" s="38" t="str">
        <f>IFERROR(VLOOKUP(I539,보도매체!$A:$C,3,FALSE), "")</f>
        <v/>
      </c>
    </row>
    <row r="540" spans="3:13" x14ac:dyDescent="0.3">
      <c r="C540" s="35">
        <f t="shared" si="8"/>
        <v>0</v>
      </c>
      <c r="D540" s="30" t="str">
        <f>IFERROR(VLOOKUP(C540,소속부서!$A$2:$B$20,2,FALSE), "")</f>
        <v/>
      </c>
      <c r="L540" s="36" t="str">
        <f>IFERROR(VLOOKUP(I540,보도매체!$A:$C,2,FALSE), "")</f>
        <v/>
      </c>
      <c r="M540" s="38" t="str">
        <f>IFERROR(VLOOKUP(I540,보도매체!$A:$C,3,FALSE), "")</f>
        <v/>
      </c>
    </row>
    <row r="541" spans="3:13" x14ac:dyDescent="0.3">
      <c r="C541" s="35">
        <f t="shared" si="8"/>
        <v>0</v>
      </c>
      <c r="D541" s="30" t="str">
        <f>IFERROR(VLOOKUP(C541,소속부서!$A$2:$B$20,2,FALSE), "")</f>
        <v/>
      </c>
      <c r="L541" s="36" t="str">
        <f>IFERROR(VLOOKUP(I541,보도매체!$A:$C,2,FALSE), "")</f>
        <v/>
      </c>
      <c r="M541" s="38" t="str">
        <f>IFERROR(VLOOKUP(I541,보도매체!$A:$C,3,FALSE), "")</f>
        <v/>
      </c>
    </row>
    <row r="542" spans="3:13" x14ac:dyDescent="0.3">
      <c r="C542" s="35">
        <f t="shared" si="8"/>
        <v>0</v>
      </c>
      <c r="D542" s="30" t="str">
        <f>IFERROR(VLOOKUP(C542,소속부서!$A$2:$B$20,2,FALSE), "")</f>
        <v/>
      </c>
      <c r="L542" s="36" t="str">
        <f>IFERROR(VLOOKUP(I542,보도매체!$A:$C,2,FALSE), "")</f>
        <v/>
      </c>
      <c r="M542" s="38" t="str">
        <f>IFERROR(VLOOKUP(I542,보도매체!$A:$C,3,FALSE), "")</f>
        <v/>
      </c>
    </row>
    <row r="543" spans="3:13" x14ac:dyDescent="0.3">
      <c r="C543" s="35">
        <f t="shared" si="8"/>
        <v>0</v>
      </c>
      <c r="D543" s="30" t="str">
        <f>IFERROR(VLOOKUP(C543,소속부서!$A$2:$B$20,2,FALSE), "")</f>
        <v/>
      </c>
      <c r="L543" s="36" t="str">
        <f>IFERROR(VLOOKUP(I543,보도매체!$A:$C,2,FALSE), "")</f>
        <v/>
      </c>
      <c r="M543" s="38" t="str">
        <f>IFERROR(VLOOKUP(I543,보도매체!$A:$C,3,FALSE), "")</f>
        <v/>
      </c>
    </row>
    <row r="544" spans="3:13" x14ac:dyDescent="0.3">
      <c r="C544" s="35">
        <f t="shared" si="8"/>
        <v>0</v>
      </c>
      <c r="D544" s="30" t="str">
        <f>IFERROR(VLOOKUP(C544,소속부서!$A$2:$B$20,2,FALSE), "")</f>
        <v/>
      </c>
      <c r="L544" s="36" t="str">
        <f>IFERROR(VLOOKUP(I544,보도매체!$A:$C,2,FALSE), "")</f>
        <v/>
      </c>
      <c r="M544" s="38" t="str">
        <f>IFERROR(VLOOKUP(I544,보도매체!$A:$C,3,FALSE), "")</f>
        <v/>
      </c>
    </row>
    <row r="545" spans="3:13" x14ac:dyDescent="0.3">
      <c r="C545" s="35">
        <f t="shared" si="8"/>
        <v>0</v>
      </c>
      <c r="D545" s="30" t="str">
        <f>IFERROR(VLOOKUP(C545,소속부서!$A$2:$B$20,2,FALSE), "")</f>
        <v/>
      </c>
      <c r="L545" s="36" t="str">
        <f>IFERROR(VLOOKUP(I545,보도매체!$A:$C,2,FALSE), "")</f>
        <v/>
      </c>
      <c r="M545" s="38" t="str">
        <f>IFERROR(VLOOKUP(I545,보도매체!$A:$C,3,FALSE), "")</f>
        <v/>
      </c>
    </row>
    <row r="546" spans="3:13" x14ac:dyDescent="0.3">
      <c r="C546" s="35">
        <f t="shared" si="8"/>
        <v>0</v>
      </c>
      <c r="D546" s="30" t="str">
        <f>IFERROR(VLOOKUP(C546,소속부서!$A$2:$B$20,2,FALSE), "")</f>
        <v/>
      </c>
      <c r="L546" s="36" t="str">
        <f>IFERROR(VLOOKUP(I546,보도매체!$A:$C,2,FALSE), "")</f>
        <v/>
      </c>
      <c r="M546" s="38" t="str">
        <f>IFERROR(VLOOKUP(I546,보도매체!$A:$C,3,FALSE), "")</f>
        <v/>
      </c>
    </row>
    <row r="547" spans="3:13" x14ac:dyDescent="0.3">
      <c r="C547" s="35">
        <f t="shared" si="8"/>
        <v>0</v>
      </c>
      <c r="D547" s="30" t="str">
        <f>IFERROR(VLOOKUP(C547,소속부서!$A$2:$B$20,2,FALSE), "")</f>
        <v/>
      </c>
      <c r="L547" s="36" t="str">
        <f>IFERROR(VLOOKUP(I547,보도매체!$A:$C,2,FALSE), "")</f>
        <v/>
      </c>
      <c r="M547" s="38" t="str">
        <f>IFERROR(VLOOKUP(I547,보도매체!$A:$C,3,FALSE), "")</f>
        <v/>
      </c>
    </row>
    <row r="548" spans="3:13" x14ac:dyDescent="0.3">
      <c r="C548" s="35">
        <f t="shared" si="8"/>
        <v>0</v>
      </c>
      <c r="D548" s="30" t="str">
        <f>IFERROR(VLOOKUP(C548,소속부서!$A$2:$B$20,2,FALSE), "")</f>
        <v/>
      </c>
      <c r="L548" s="36" t="str">
        <f>IFERROR(VLOOKUP(I548,보도매체!$A:$C,2,FALSE), "")</f>
        <v/>
      </c>
      <c r="M548" s="38" t="str">
        <f>IFERROR(VLOOKUP(I548,보도매체!$A:$C,3,FALSE), "")</f>
        <v/>
      </c>
    </row>
    <row r="549" spans="3:13" x14ac:dyDescent="0.3">
      <c r="C549" s="35">
        <f t="shared" si="8"/>
        <v>0</v>
      </c>
      <c r="D549" s="30" t="str">
        <f>IFERROR(VLOOKUP(C549,소속부서!$A$2:$B$20,2,FALSE), "")</f>
        <v/>
      </c>
      <c r="L549" s="36" t="str">
        <f>IFERROR(VLOOKUP(I549,보도매체!$A:$C,2,FALSE), "")</f>
        <v/>
      </c>
      <c r="M549" s="38" t="str">
        <f>IFERROR(VLOOKUP(I549,보도매체!$A:$C,3,FALSE), "")</f>
        <v/>
      </c>
    </row>
    <row r="550" spans="3:13" x14ac:dyDescent="0.3">
      <c r="C550" s="35">
        <f t="shared" si="8"/>
        <v>0</v>
      </c>
      <c r="D550" s="30" t="str">
        <f>IFERROR(VLOOKUP(C550,소속부서!$A$2:$B$20,2,FALSE), "")</f>
        <v/>
      </c>
      <c r="L550" s="36" t="str">
        <f>IFERROR(VLOOKUP(I550,보도매체!$A:$C,2,FALSE), "")</f>
        <v/>
      </c>
      <c r="M550" s="38" t="str">
        <f>IFERROR(VLOOKUP(I550,보도매체!$A:$C,3,FALSE), "")</f>
        <v/>
      </c>
    </row>
    <row r="551" spans="3:13" x14ac:dyDescent="0.3">
      <c r="C551" s="35">
        <f t="shared" si="8"/>
        <v>0</v>
      </c>
      <c r="D551" s="30" t="str">
        <f>IFERROR(VLOOKUP(C551,소속부서!$A$2:$B$20,2,FALSE), "")</f>
        <v/>
      </c>
      <c r="L551" s="36" t="str">
        <f>IFERROR(VLOOKUP(I551,보도매체!$A:$C,2,FALSE), "")</f>
        <v/>
      </c>
      <c r="M551" s="38" t="str">
        <f>IFERROR(VLOOKUP(I551,보도매체!$A:$C,3,FALSE), "")</f>
        <v/>
      </c>
    </row>
    <row r="552" spans="3:13" x14ac:dyDescent="0.3">
      <c r="C552" s="35">
        <f t="shared" si="8"/>
        <v>0</v>
      </c>
      <c r="D552" s="30" t="str">
        <f>IFERROR(VLOOKUP(C552,소속부서!$A$2:$B$20,2,FALSE), "")</f>
        <v/>
      </c>
      <c r="L552" s="36" t="str">
        <f>IFERROR(VLOOKUP(I552,보도매체!$A:$C,2,FALSE), "")</f>
        <v/>
      </c>
      <c r="M552" s="38" t="str">
        <f>IFERROR(VLOOKUP(I552,보도매체!$A:$C,3,FALSE), "")</f>
        <v/>
      </c>
    </row>
    <row r="553" spans="3:13" x14ac:dyDescent="0.3">
      <c r="C553" s="35">
        <f t="shared" si="8"/>
        <v>0</v>
      </c>
      <c r="D553" s="30" t="str">
        <f>IFERROR(VLOOKUP(C553,소속부서!$A$2:$B$20,2,FALSE), "")</f>
        <v/>
      </c>
      <c r="L553" s="36" t="str">
        <f>IFERROR(VLOOKUP(I553,보도매체!$A:$C,2,FALSE), "")</f>
        <v/>
      </c>
      <c r="M553" s="38" t="str">
        <f>IFERROR(VLOOKUP(I553,보도매체!$A:$C,3,FALSE), "")</f>
        <v/>
      </c>
    </row>
    <row r="554" spans="3:13" x14ac:dyDescent="0.3">
      <c r="C554" s="35">
        <f t="shared" si="8"/>
        <v>0</v>
      </c>
      <c r="D554" s="30" t="str">
        <f>IFERROR(VLOOKUP(C554,소속부서!$A$2:$B$20,2,FALSE), "")</f>
        <v/>
      </c>
      <c r="L554" s="36" t="str">
        <f>IFERROR(VLOOKUP(I554,보도매체!$A:$C,2,FALSE), "")</f>
        <v/>
      </c>
      <c r="M554" s="38" t="str">
        <f>IFERROR(VLOOKUP(I554,보도매체!$A:$C,3,FALSE), "")</f>
        <v/>
      </c>
    </row>
    <row r="555" spans="3:13" x14ac:dyDescent="0.3">
      <c r="C555" s="35">
        <f t="shared" si="8"/>
        <v>0</v>
      </c>
      <c r="D555" s="30" t="str">
        <f>IFERROR(VLOOKUP(C555,소속부서!$A$2:$B$20,2,FALSE), "")</f>
        <v/>
      </c>
      <c r="L555" s="36" t="str">
        <f>IFERROR(VLOOKUP(I555,보도매체!$A:$C,2,FALSE), "")</f>
        <v/>
      </c>
      <c r="M555" s="38" t="str">
        <f>IFERROR(VLOOKUP(I555,보도매체!$A:$C,3,FALSE), "")</f>
        <v/>
      </c>
    </row>
    <row r="556" spans="3:13" x14ac:dyDescent="0.3">
      <c r="C556" s="35">
        <f t="shared" si="8"/>
        <v>0</v>
      </c>
      <c r="D556" s="30" t="str">
        <f>IFERROR(VLOOKUP(C556,소속부서!$A$2:$B$20,2,FALSE), "")</f>
        <v/>
      </c>
      <c r="L556" s="36" t="str">
        <f>IFERROR(VLOOKUP(I556,보도매체!$A:$C,2,FALSE), "")</f>
        <v/>
      </c>
      <c r="M556" s="38" t="str">
        <f>IFERROR(VLOOKUP(I556,보도매체!$A:$C,3,FALSE), "")</f>
        <v/>
      </c>
    </row>
    <row r="557" spans="3:13" x14ac:dyDescent="0.3">
      <c r="C557" s="35">
        <f t="shared" si="8"/>
        <v>0</v>
      </c>
      <c r="D557" s="30" t="str">
        <f>IFERROR(VLOOKUP(C557,소속부서!$A$2:$B$20,2,FALSE), "")</f>
        <v/>
      </c>
      <c r="L557" s="36" t="str">
        <f>IFERROR(VLOOKUP(I557,보도매체!$A:$C,2,FALSE), "")</f>
        <v/>
      </c>
      <c r="M557" s="38" t="str">
        <f>IFERROR(VLOOKUP(I557,보도매체!$A:$C,3,FALSE), "")</f>
        <v/>
      </c>
    </row>
    <row r="558" spans="3:13" x14ac:dyDescent="0.3">
      <c r="C558" s="35">
        <f t="shared" si="8"/>
        <v>0</v>
      </c>
      <c r="D558" s="30" t="str">
        <f>IFERROR(VLOOKUP(C558,소속부서!$A$2:$B$20,2,FALSE), "")</f>
        <v/>
      </c>
      <c r="L558" s="36" t="str">
        <f>IFERROR(VLOOKUP(I558,보도매체!$A:$C,2,FALSE), "")</f>
        <v/>
      </c>
      <c r="M558" s="38" t="str">
        <f>IFERROR(VLOOKUP(I558,보도매체!$A:$C,3,FALSE), "")</f>
        <v/>
      </c>
    </row>
    <row r="559" spans="3:13" x14ac:dyDescent="0.3">
      <c r="C559" s="35">
        <f t="shared" si="8"/>
        <v>0</v>
      </c>
      <c r="D559" s="30" t="str">
        <f>IFERROR(VLOOKUP(C559,소속부서!$A$2:$B$20,2,FALSE), "")</f>
        <v/>
      </c>
      <c r="L559" s="36" t="str">
        <f>IFERROR(VLOOKUP(I559,보도매체!$A:$C,2,FALSE), "")</f>
        <v/>
      </c>
      <c r="M559" s="38" t="str">
        <f>IFERROR(VLOOKUP(I559,보도매체!$A:$C,3,FALSE), "")</f>
        <v/>
      </c>
    </row>
    <row r="560" spans="3:13" x14ac:dyDescent="0.3">
      <c r="C560" s="35">
        <f t="shared" si="8"/>
        <v>0</v>
      </c>
      <c r="D560" s="30" t="str">
        <f>IFERROR(VLOOKUP(C560,소속부서!$A$2:$B$20,2,FALSE), "")</f>
        <v/>
      </c>
      <c r="L560" s="36" t="str">
        <f>IFERROR(VLOOKUP(I560,보도매체!$A:$C,2,FALSE), "")</f>
        <v/>
      </c>
      <c r="M560" s="38" t="str">
        <f>IFERROR(VLOOKUP(I560,보도매체!$A:$C,3,FALSE), "")</f>
        <v/>
      </c>
    </row>
    <row r="561" spans="3:13" x14ac:dyDescent="0.3">
      <c r="C561" s="35">
        <f t="shared" si="8"/>
        <v>0</v>
      </c>
      <c r="D561" s="30" t="str">
        <f>IFERROR(VLOOKUP(C561,소속부서!$A$2:$B$20,2,FALSE), "")</f>
        <v/>
      </c>
      <c r="L561" s="36" t="str">
        <f>IFERROR(VLOOKUP(I561,보도매체!$A:$C,2,FALSE), "")</f>
        <v/>
      </c>
      <c r="M561" s="38" t="str">
        <f>IFERROR(VLOOKUP(I561,보도매체!$A:$C,3,FALSE), "")</f>
        <v/>
      </c>
    </row>
    <row r="562" spans="3:13" x14ac:dyDescent="0.3">
      <c r="C562" s="35">
        <f t="shared" si="8"/>
        <v>0</v>
      </c>
      <c r="D562" s="30" t="str">
        <f>IFERROR(VLOOKUP(C562,소속부서!$A$2:$B$20,2,FALSE), "")</f>
        <v/>
      </c>
      <c r="L562" s="36" t="str">
        <f>IFERROR(VLOOKUP(I562,보도매체!$A:$C,2,FALSE), "")</f>
        <v/>
      </c>
      <c r="M562" s="38" t="str">
        <f>IFERROR(VLOOKUP(I562,보도매체!$A:$C,3,FALSE), "")</f>
        <v/>
      </c>
    </row>
    <row r="563" spans="3:13" x14ac:dyDescent="0.3">
      <c r="C563" s="35">
        <f t="shared" si="8"/>
        <v>0</v>
      </c>
      <c r="D563" s="30" t="str">
        <f>IFERROR(VLOOKUP(C563,소속부서!$A$2:$B$20,2,FALSE), "")</f>
        <v/>
      </c>
      <c r="L563" s="36" t="str">
        <f>IFERROR(VLOOKUP(I563,보도매체!$A:$C,2,FALSE), "")</f>
        <v/>
      </c>
      <c r="M563" s="38" t="str">
        <f>IFERROR(VLOOKUP(I563,보도매체!$A:$C,3,FALSE), "")</f>
        <v/>
      </c>
    </row>
    <row r="564" spans="3:13" x14ac:dyDescent="0.3">
      <c r="C564" s="35">
        <f t="shared" si="8"/>
        <v>0</v>
      </c>
      <c r="D564" s="30" t="str">
        <f>IFERROR(VLOOKUP(C564,소속부서!$A$2:$B$20,2,FALSE), "")</f>
        <v/>
      </c>
      <c r="L564" s="36" t="str">
        <f>IFERROR(VLOOKUP(I564,보도매체!$A:$C,2,FALSE), "")</f>
        <v/>
      </c>
      <c r="M564" s="38" t="str">
        <f>IFERROR(VLOOKUP(I564,보도매체!$A:$C,3,FALSE), "")</f>
        <v/>
      </c>
    </row>
    <row r="565" spans="3:13" x14ac:dyDescent="0.3">
      <c r="C565" s="35">
        <f t="shared" si="8"/>
        <v>0</v>
      </c>
      <c r="D565" s="30" t="str">
        <f>IFERROR(VLOOKUP(C565,소속부서!$A$2:$B$20,2,FALSE), "")</f>
        <v/>
      </c>
      <c r="L565" s="36" t="str">
        <f>IFERROR(VLOOKUP(I565,보도매체!$A:$C,2,FALSE), "")</f>
        <v/>
      </c>
      <c r="M565" s="38" t="str">
        <f>IFERROR(VLOOKUP(I565,보도매체!$A:$C,3,FALSE), "")</f>
        <v/>
      </c>
    </row>
    <row r="566" spans="3:13" x14ac:dyDescent="0.3">
      <c r="C566" s="35">
        <f t="shared" si="8"/>
        <v>0</v>
      </c>
      <c r="D566" s="30" t="str">
        <f>IFERROR(VLOOKUP(C566,소속부서!$A$2:$B$20,2,FALSE), "")</f>
        <v/>
      </c>
      <c r="L566" s="36" t="str">
        <f>IFERROR(VLOOKUP(I566,보도매체!$A:$C,2,FALSE), "")</f>
        <v/>
      </c>
      <c r="M566" s="38" t="str">
        <f>IFERROR(VLOOKUP(I566,보도매체!$A:$C,3,FALSE), "")</f>
        <v/>
      </c>
    </row>
    <row r="567" spans="3:13" x14ac:dyDescent="0.3">
      <c r="C567" s="35">
        <f t="shared" si="8"/>
        <v>0</v>
      </c>
      <c r="D567" s="30" t="str">
        <f>IFERROR(VLOOKUP(C567,소속부서!$A$2:$B$20,2,FALSE), "")</f>
        <v/>
      </c>
      <c r="L567" s="36" t="str">
        <f>IFERROR(VLOOKUP(I567,보도매체!$A:$C,2,FALSE), "")</f>
        <v/>
      </c>
      <c r="M567" s="38" t="str">
        <f>IFERROR(VLOOKUP(I567,보도매체!$A:$C,3,FALSE), "")</f>
        <v/>
      </c>
    </row>
    <row r="568" spans="3:13" x14ac:dyDescent="0.3">
      <c r="C568" s="35">
        <f t="shared" si="8"/>
        <v>0</v>
      </c>
      <c r="D568" s="30" t="str">
        <f>IFERROR(VLOOKUP(C568,소속부서!$A$2:$B$20,2,FALSE), "")</f>
        <v/>
      </c>
      <c r="L568" s="36" t="str">
        <f>IFERROR(VLOOKUP(I568,보도매체!$A:$C,2,FALSE), "")</f>
        <v/>
      </c>
      <c r="M568" s="38" t="str">
        <f>IFERROR(VLOOKUP(I568,보도매체!$A:$C,3,FALSE), "")</f>
        <v/>
      </c>
    </row>
    <row r="569" spans="3:13" x14ac:dyDescent="0.3">
      <c r="C569" s="35">
        <f t="shared" si="8"/>
        <v>0</v>
      </c>
      <c r="D569" s="30" t="str">
        <f>IFERROR(VLOOKUP(C569,소속부서!$A$2:$B$20,2,FALSE), "")</f>
        <v/>
      </c>
      <c r="L569" s="36" t="str">
        <f>IFERROR(VLOOKUP(I569,보도매체!$A:$C,2,FALSE), "")</f>
        <v/>
      </c>
      <c r="M569" s="38" t="str">
        <f>IFERROR(VLOOKUP(I569,보도매체!$A:$C,3,FALSE), "")</f>
        <v/>
      </c>
    </row>
    <row r="570" spans="3:13" x14ac:dyDescent="0.3">
      <c r="C570" s="35">
        <f t="shared" si="8"/>
        <v>0</v>
      </c>
      <c r="D570" s="30" t="str">
        <f>IFERROR(VLOOKUP(C570,소속부서!$A$2:$B$20,2,FALSE), "")</f>
        <v/>
      </c>
      <c r="L570" s="36" t="str">
        <f>IFERROR(VLOOKUP(I570,보도매체!$A:$C,2,FALSE), "")</f>
        <v/>
      </c>
      <c r="M570" s="38" t="str">
        <f>IFERROR(VLOOKUP(I570,보도매체!$A:$C,3,FALSE), "")</f>
        <v/>
      </c>
    </row>
    <row r="571" spans="3:13" x14ac:dyDescent="0.3">
      <c r="C571" s="35">
        <f t="shared" si="8"/>
        <v>0</v>
      </c>
      <c r="D571" s="30" t="str">
        <f>IFERROR(VLOOKUP(C571,소속부서!$A$2:$B$20,2,FALSE), "")</f>
        <v/>
      </c>
      <c r="L571" s="36" t="str">
        <f>IFERROR(VLOOKUP(I571,보도매체!$A:$C,2,FALSE), "")</f>
        <v/>
      </c>
      <c r="M571" s="38" t="str">
        <f>IFERROR(VLOOKUP(I571,보도매체!$A:$C,3,FALSE), "")</f>
        <v/>
      </c>
    </row>
    <row r="572" spans="3:13" x14ac:dyDescent="0.3">
      <c r="C572" s="35">
        <f t="shared" si="8"/>
        <v>0</v>
      </c>
      <c r="D572" s="30" t="str">
        <f>IFERROR(VLOOKUP(C572,소속부서!$A$2:$B$20,2,FALSE), "")</f>
        <v/>
      </c>
      <c r="L572" s="36" t="str">
        <f>IFERROR(VLOOKUP(I572,보도매체!$A:$C,2,FALSE), "")</f>
        <v/>
      </c>
      <c r="M572" s="38" t="str">
        <f>IFERROR(VLOOKUP(I572,보도매체!$A:$C,3,FALSE), "")</f>
        <v/>
      </c>
    </row>
    <row r="573" spans="3:13" x14ac:dyDescent="0.3">
      <c r="C573" s="35">
        <f t="shared" si="8"/>
        <v>0</v>
      </c>
      <c r="D573" s="30" t="str">
        <f>IFERROR(VLOOKUP(C573,소속부서!$A$2:$B$20,2,FALSE), "")</f>
        <v/>
      </c>
      <c r="L573" s="36" t="str">
        <f>IFERROR(VLOOKUP(I573,보도매체!$A:$C,2,FALSE), "")</f>
        <v/>
      </c>
      <c r="M573" s="38" t="str">
        <f>IFERROR(VLOOKUP(I573,보도매체!$A:$C,3,FALSE), "")</f>
        <v/>
      </c>
    </row>
    <row r="574" spans="3:13" x14ac:dyDescent="0.3">
      <c r="C574" s="35">
        <f t="shared" si="8"/>
        <v>0</v>
      </c>
      <c r="D574" s="30" t="str">
        <f>IFERROR(VLOOKUP(C574,소속부서!$A$2:$B$20,2,FALSE), "")</f>
        <v/>
      </c>
      <c r="L574" s="36" t="str">
        <f>IFERROR(VLOOKUP(I574,보도매체!$A:$C,2,FALSE), "")</f>
        <v/>
      </c>
      <c r="M574" s="38" t="str">
        <f>IFERROR(VLOOKUP(I574,보도매체!$A:$C,3,FALSE), "")</f>
        <v/>
      </c>
    </row>
    <row r="575" spans="3:13" x14ac:dyDescent="0.3">
      <c r="C575" s="35">
        <f t="shared" si="8"/>
        <v>0</v>
      </c>
      <c r="D575" s="30" t="str">
        <f>IFERROR(VLOOKUP(C575,소속부서!$A$2:$B$20,2,FALSE), "")</f>
        <v/>
      </c>
      <c r="L575" s="36" t="str">
        <f>IFERROR(VLOOKUP(I575,보도매체!$A:$C,2,FALSE), "")</f>
        <v/>
      </c>
      <c r="M575" s="38" t="str">
        <f>IFERROR(VLOOKUP(I575,보도매체!$A:$C,3,FALSE), "")</f>
        <v/>
      </c>
    </row>
    <row r="576" spans="3:13" x14ac:dyDescent="0.3">
      <c r="C576" s="35">
        <f t="shared" si="8"/>
        <v>0</v>
      </c>
      <c r="D576" s="30" t="str">
        <f>IFERROR(VLOOKUP(C576,소속부서!$A$2:$B$20,2,FALSE), "")</f>
        <v/>
      </c>
      <c r="L576" s="36" t="str">
        <f>IFERROR(VLOOKUP(I576,보도매체!$A:$C,2,FALSE), "")</f>
        <v/>
      </c>
      <c r="M576" s="38" t="str">
        <f>IFERROR(VLOOKUP(I576,보도매체!$A:$C,3,FALSE), "")</f>
        <v/>
      </c>
    </row>
    <row r="577" spans="3:13" x14ac:dyDescent="0.3">
      <c r="C577" s="35">
        <f t="shared" ref="C577:C640" si="9">E577</f>
        <v>0</v>
      </c>
      <c r="D577" s="30" t="str">
        <f>IFERROR(VLOOKUP(C577,소속부서!$A$2:$B$20,2,FALSE), "")</f>
        <v/>
      </c>
      <c r="L577" s="36" t="str">
        <f>IFERROR(VLOOKUP(I577,보도매체!$A:$C,2,FALSE), "")</f>
        <v/>
      </c>
      <c r="M577" s="38" t="str">
        <f>IFERROR(VLOOKUP(I577,보도매체!$A:$C,3,FALSE), "")</f>
        <v/>
      </c>
    </row>
    <row r="578" spans="3:13" x14ac:dyDescent="0.3">
      <c r="C578" s="35">
        <f t="shared" si="9"/>
        <v>0</v>
      </c>
      <c r="D578" s="30" t="str">
        <f>IFERROR(VLOOKUP(C578,소속부서!$A$2:$B$20,2,FALSE), "")</f>
        <v/>
      </c>
      <c r="L578" s="36" t="str">
        <f>IFERROR(VLOOKUP(I578,보도매체!$A:$C,2,FALSE), "")</f>
        <v/>
      </c>
      <c r="M578" s="38" t="str">
        <f>IFERROR(VLOOKUP(I578,보도매체!$A:$C,3,FALSE), "")</f>
        <v/>
      </c>
    </row>
    <row r="579" spans="3:13" x14ac:dyDescent="0.3">
      <c r="C579" s="35">
        <f t="shared" si="9"/>
        <v>0</v>
      </c>
      <c r="D579" s="30" t="str">
        <f>IFERROR(VLOOKUP(C579,소속부서!$A$2:$B$20,2,FALSE), "")</f>
        <v/>
      </c>
      <c r="L579" s="36" t="str">
        <f>IFERROR(VLOOKUP(I579,보도매체!$A:$C,2,FALSE), "")</f>
        <v/>
      </c>
      <c r="M579" s="38" t="str">
        <f>IFERROR(VLOOKUP(I579,보도매체!$A:$C,3,FALSE), "")</f>
        <v/>
      </c>
    </row>
    <row r="580" spans="3:13" x14ac:dyDescent="0.3">
      <c r="C580" s="35">
        <f t="shared" si="9"/>
        <v>0</v>
      </c>
      <c r="D580" s="30" t="str">
        <f>IFERROR(VLOOKUP(C580,소속부서!$A$2:$B$20,2,FALSE), "")</f>
        <v/>
      </c>
      <c r="L580" s="36" t="str">
        <f>IFERROR(VLOOKUP(I580,보도매체!$A:$C,2,FALSE), "")</f>
        <v/>
      </c>
      <c r="M580" s="38" t="str">
        <f>IFERROR(VLOOKUP(I580,보도매체!$A:$C,3,FALSE), "")</f>
        <v/>
      </c>
    </row>
    <row r="581" spans="3:13" x14ac:dyDescent="0.3">
      <c r="C581" s="35">
        <f t="shared" si="9"/>
        <v>0</v>
      </c>
      <c r="D581" s="30" t="str">
        <f>IFERROR(VLOOKUP(C581,소속부서!$A$2:$B$20,2,FALSE), "")</f>
        <v/>
      </c>
      <c r="L581" s="36" t="str">
        <f>IFERROR(VLOOKUP(I581,보도매체!$A:$C,2,FALSE), "")</f>
        <v/>
      </c>
      <c r="M581" s="38" t="str">
        <f>IFERROR(VLOOKUP(I581,보도매체!$A:$C,3,FALSE), "")</f>
        <v/>
      </c>
    </row>
    <row r="582" spans="3:13" x14ac:dyDescent="0.3">
      <c r="C582" s="35">
        <f t="shared" si="9"/>
        <v>0</v>
      </c>
      <c r="D582" s="30" t="str">
        <f>IFERROR(VLOOKUP(C582,소속부서!$A$2:$B$20,2,FALSE), "")</f>
        <v/>
      </c>
      <c r="L582" s="36" t="str">
        <f>IFERROR(VLOOKUP(I582,보도매체!$A:$C,2,FALSE), "")</f>
        <v/>
      </c>
      <c r="M582" s="38" t="str">
        <f>IFERROR(VLOOKUP(I582,보도매체!$A:$C,3,FALSE), "")</f>
        <v/>
      </c>
    </row>
    <row r="583" spans="3:13" x14ac:dyDescent="0.3">
      <c r="C583" s="35">
        <f t="shared" si="9"/>
        <v>0</v>
      </c>
      <c r="D583" s="30" t="str">
        <f>IFERROR(VLOOKUP(C583,소속부서!$A$2:$B$20,2,FALSE), "")</f>
        <v/>
      </c>
      <c r="L583" s="36" t="str">
        <f>IFERROR(VLOOKUP(I583,보도매체!$A:$C,2,FALSE), "")</f>
        <v/>
      </c>
      <c r="M583" s="38" t="str">
        <f>IFERROR(VLOOKUP(I583,보도매체!$A:$C,3,FALSE), "")</f>
        <v/>
      </c>
    </row>
    <row r="584" spans="3:13" x14ac:dyDescent="0.3">
      <c r="C584" s="35">
        <f t="shared" si="9"/>
        <v>0</v>
      </c>
      <c r="D584" s="30" t="str">
        <f>IFERROR(VLOOKUP(C584,소속부서!$A$2:$B$20,2,FALSE), "")</f>
        <v/>
      </c>
      <c r="L584" s="36" t="str">
        <f>IFERROR(VLOOKUP(I584,보도매체!$A:$C,2,FALSE), "")</f>
        <v/>
      </c>
      <c r="M584" s="38" t="str">
        <f>IFERROR(VLOOKUP(I584,보도매체!$A:$C,3,FALSE), "")</f>
        <v/>
      </c>
    </row>
    <row r="585" spans="3:13" x14ac:dyDescent="0.3">
      <c r="C585" s="35">
        <f t="shared" si="9"/>
        <v>0</v>
      </c>
      <c r="D585" s="30" t="str">
        <f>IFERROR(VLOOKUP(C585,소속부서!$A$2:$B$20,2,FALSE), "")</f>
        <v/>
      </c>
      <c r="L585" s="36" t="str">
        <f>IFERROR(VLOOKUP(I585,보도매체!$A:$C,2,FALSE), "")</f>
        <v/>
      </c>
      <c r="M585" s="38" t="str">
        <f>IFERROR(VLOOKUP(I585,보도매체!$A:$C,3,FALSE), "")</f>
        <v/>
      </c>
    </row>
    <row r="586" spans="3:13" x14ac:dyDescent="0.3">
      <c r="C586" s="35">
        <f t="shared" si="9"/>
        <v>0</v>
      </c>
      <c r="D586" s="30" t="str">
        <f>IFERROR(VLOOKUP(C586,소속부서!$A$2:$B$20,2,FALSE), "")</f>
        <v/>
      </c>
      <c r="L586" s="36" t="str">
        <f>IFERROR(VLOOKUP(I586,보도매체!$A:$C,2,FALSE), "")</f>
        <v/>
      </c>
      <c r="M586" s="38" t="str">
        <f>IFERROR(VLOOKUP(I586,보도매체!$A:$C,3,FALSE), "")</f>
        <v/>
      </c>
    </row>
    <row r="587" spans="3:13" x14ac:dyDescent="0.3">
      <c r="C587" s="35">
        <f t="shared" si="9"/>
        <v>0</v>
      </c>
      <c r="D587" s="30" t="str">
        <f>IFERROR(VLOOKUP(C587,소속부서!$A$2:$B$20,2,FALSE), "")</f>
        <v/>
      </c>
      <c r="L587" s="36" t="str">
        <f>IFERROR(VLOOKUP(I587,보도매체!$A:$C,2,FALSE), "")</f>
        <v/>
      </c>
      <c r="M587" s="38" t="str">
        <f>IFERROR(VLOOKUP(I587,보도매체!$A:$C,3,FALSE), "")</f>
        <v/>
      </c>
    </row>
    <row r="588" spans="3:13" x14ac:dyDescent="0.3">
      <c r="C588" s="35">
        <f t="shared" si="9"/>
        <v>0</v>
      </c>
      <c r="D588" s="30" t="str">
        <f>IFERROR(VLOOKUP(C588,소속부서!$A$2:$B$20,2,FALSE), "")</f>
        <v/>
      </c>
      <c r="L588" s="36" t="str">
        <f>IFERROR(VLOOKUP(I588,보도매체!$A:$C,2,FALSE), "")</f>
        <v/>
      </c>
      <c r="M588" s="38" t="str">
        <f>IFERROR(VLOOKUP(I588,보도매체!$A:$C,3,FALSE), "")</f>
        <v/>
      </c>
    </row>
    <row r="589" spans="3:13" x14ac:dyDescent="0.3">
      <c r="C589" s="35">
        <f t="shared" si="9"/>
        <v>0</v>
      </c>
      <c r="D589" s="30" t="str">
        <f>IFERROR(VLOOKUP(C589,소속부서!$A$2:$B$20,2,FALSE), "")</f>
        <v/>
      </c>
      <c r="L589" s="36" t="str">
        <f>IFERROR(VLOOKUP(I589,보도매체!$A:$C,2,FALSE), "")</f>
        <v/>
      </c>
      <c r="M589" s="38" t="str">
        <f>IFERROR(VLOOKUP(I589,보도매체!$A:$C,3,FALSE), "")</f>
        <v/>
      </c>
    </row>
    <row r="590" spans="3:13" x14ac:dyDescent="0.3">
      <c r="C590" s="35">
        <f t="shared" si="9"/>
        <v>0</v>
      </c>
      <c r="D590" s="30" t="str">
        <f>IFERROR(VLOOKUP(C590,소속부서!$A$2:$B$20,2,FALSE), "")</f>
        <v/>
      </c>
      <c r="L590" s="36" t="str">
        <f>IFERROR(VLOOKUP(I590,보도매체!$A:$C,2,FALSE), "")</f>
        <v/>
      </c>
      <c r="M590" s="38" t="str">
        <f>IFERROR(VLOOKUP(I590,보도매체!$A:$C,3,FALSE), "")</f>
        <v/>
      </c>
    </row>
    <row r="591" spans="3:13" x14ac:dyDescent="0.3">
      <c r="C591" s="35">
        <f t="shared" si="9"/>
        <v>0</v>
      </c>
      <c r="D591" s="30" t="str">
        <f>IFERROR(VLOOKUP(C591,소속부서!$A$2:$B$20,2,FALSE), "")</f>
        <v/>
      </c>
      <c r="L591" s="36" t="str">
        <f>IFERROR(VLOOKUP(I591,보도매체!$A:$C,2,FALSE), "")</f>
        <v/>
      </c>
      <c r="M591" s="38" t="str">
        <f>IFERROR(VLOOKUP(I591,보도매체!$A:$C,3,FALSE), "")</f>
        <v/>
      </c>
    </row>
    <row r="592" spans="3:13" x14ac:dyDescent="0.3">
      <c r="C592" s="35">
        <f t="shared" si="9"/>
        <v>0</v>
      </c>
      <c r="D592" s="30" t="str">
        <f>IFERROR(VLOOKUP(C592,소속부서!$A$2:$B$20,2,FALSE), "")</f>
        <v/>
      </c>
      <c r="L592" s="36" t="str">
        <f>IFERROR(VLOOKUP(I592,보도매체!$A:$C,2,FALSE), "")</f>
        <v/>
      </c>
      <c r="M592" s="38" t="str">
        <f>IFERROR(VLOOKUP(I592,보도매체!$A:$C,3,FALSE), "")</f>
        <v/>
      </c>
    </row>
    <row r="593" spans="3:13" x14ac:dyDescent="0.3">
      <c r="C593" s="35">
        <f t="shared" si="9"/>
        <v>0</v>
      </c>
      <c r="D593" s="30" t="str">
        <f>IFERROR(VLOOKUP(C593,소속부서!$A$2:$B$20,2,FALSE), "")</f>
        <v/>
      </c>
      <c r="L593" s="36" t="str">
        <f>IFERROR(VLOOKUP(I593,보도매체!$A:$C,2,FALSE), "")</f>
        <v/>
      </c>
      <c r="M593" s="38" t="str">
        <f>IFERROR(VLOOKUP(I593,보도매체!$A:$C,3,FALSE), "")</f>
        <v/>
      </c>
    </row>
    <row r="594" spans="3:13" x14ac:dyDescent="0.3">
      <c r="C594" s="35">
        <f t="shared" si="9"/>
        <v>0</v>
      </c>
      <c r="D594" s="30" t="str">
        <f>IFERROR(VLOOKUP(C594,소속부서!$A$2:$B$20,2,FALSE), "")</f>
        <v/>
      </c>
      <c r="L594" s="36" t="str">
        <f>IFERROR(VLOOKUP(I594,보도매체!$A:$C,2,FALSE), "")</f>
        <v/>
      </c>
      <c r="M594" s="38" t="str">
        <f>IFERROR(VLOOKUP(I594,보도매체!$A:$C,3,FALSE), "")</f>
        <v/>
      </c>
    </row>
    <row r="595" spans="3:13" x14ac:dyDescent="0.3">
      <c r="C595" s="35">
        <f t="shared" si="9"/>
        <v>0</v>
      </c>
      <c r="D595" s="30" t="str">
        <f>IFERROR(VLOOKUP(C595,소속부서!$A$2:$B$20,2,FALSE), "")</f>
        <v/>
      </c>
      <c r="L595" s="36" t="str">
        <f>IFERROR(VLOOKUP(I595,보도매체!$A:$C,2,FALSE), "")</f>
        <v/>
      </c>
      <c r="M595" s="38" t="str">
        <f>IFERROR(VLOOKUP(I595,보도매체!$A:$C,3,FALSE), "")</f>
        <v/>
      </c>
    </row>
    <row r="596" spans="3:13" x14ac:dyDescent="0.3">
      <c r="C596" s="35">
        <f t="shared" si="9"/>
        <v>0</v>
      </c>
      <c r="D596" s="30" t="str">
        <f>IFERROR(VLOOKUP(C596,소속부서!$A$2:$B$20,2,FALSE), "")</f>
        <v/>
      </c>
      <c r="L596" s="36" t="str">
        <f>IFERROR(VLOOKUP(I596,보도매체!$A:$C,2,FALSE), "")</f>
        <v/>
      </c>
      <c r="M596" s="38" t="str">
        <f>IFERROR(VLOOKUP(I596,보도매체!$A:$C,3,FALSE), "")</f>
        <v/>
      </c>
    </row>
    <row r="597" spans="3:13" x14ac:dyDescent="0.3">
      <c r="C597" s="35">
        <f t="shared" si="9"/>
        <v>0</v>
      </c>
      <c r="D597" s="30" t="str">
        <f>IFERROR(VLOOKUP(C597,소속부서!$A$2:$B$20,2,FALSE), "")</f>
        <v/>
      </c>
      <c r="L597" s="36" t="str">
        <f>IFERROR(VLOOKUP(I597,보도매체!$A:$C,2,FALSE), "")</f>
        <v/>
      </c>
      <c r="M597" s="38" t="str">
        <f>IFERROR(VLOOKUP(I597,보도매체!$A:$C,3,FALSE), "")</f>
        <v/>
      </c>
    </row>
    <row r="598" spans="3:13" x14ac:dyDescent="0.3">
      <c r="C598" s="35">
        <f t="shared" si="9"/>
        <v>0</v>
      </c>
      <c r="D598" s="30" t="str">
        <f>IFERROR(VLOOKUP(C598,소속부서!$A$2:$B$20,2,FALSE), "")</f>
        <v/>
      </c>
      <c r="L598" s="36" t="str">
        <f>IFERROR(VLOOKUP(I598,보도매체!$A:$C,2,FALSE), "")</f>
        <v/>
      </c>
      <c r="M598" s="38" t="str">
        <f>IFERROR(VLOOKUP(I598,보도매체!$A:$C,3,FALSE), "")</f>
        <v/>
      </c>
    </row>
    <row r="599" spans="3:13" x14ac:dyDescent="0.3">
      <c r="C599" s="35">
        <f t="shared" si="9"/>
        <v>0</v>
      </c>
      <c r="D599" s="30" t="str">
        <f>IFERROR(VLOOKUP(C599,소속부서!$A$2:$B$20,2,FALSE), "")</f>
        <v/>
      </c>
      <c r="L599" s="36" t="str">
        <f>IFERROR(VLOOKUP(I599,보도매체!$A:$C,2,FALSE), "")</f>
        <v/>
      </c>
      <c r="M599" s="38" t="str">
        <f>IFERROR(VLOOKUP(I599,보도매체!$A:$C,3,FALSE), "")</f>
        <v/>
      </c>
    </row>
    <row r="600" spans="3:13" x14ac:dyDescent="0.3">
      <c r="C600" s="35">
        <f t="shared" si="9"/>
        <v>0</v>
      </c>
      <c r="D600" s="30" t="str">
        <f>IFERROR(VLOOKUP(C600,소속부서!$A$2:$B$20,2,FALSE), "")</f>
        <v/>
      </c>
      <c r="L600" s="36" t="str">
        <f>IFERROR(VLOOKUP(I600,보도매체!$A:$C,2,FALSE), "")</f>
        <v/>
      </c>
      <c r="M600" s="38" t="str">
        <f>IFERROR(VLOOKUP(I600,보도매체!$A:$C,3,FALSE), "")</f>
        <v/>
      </c>
    </row>
    <row r="601" spans="3:13" x14ac:dyDescent="0.3">
      <c r="C601" s="35">
        <f t="shared" si="9"/>
        <v>0</v>
      </c>
      <c r="D601" s="30" t="str">
        <f>IFERROR(VLOOKUP(C601,소속부서!$A$2:$B$20,2,FALSE), "")</f>
        <v/>
      </c>
      <c r="L601" s="36" t="str">
        <f>IFERROR(VLOOKUP(I601,보도매체!$A:$C,2,FALSE), "")</f>
        <v/>
      </c>
      <c r="M601" s="38" t="str">
        <f>IFERROR(VLOOKUP(I601,보도매체!$A:$C,3,FALSE), "")</f>
        <v/>
      </c>
    </row>
    <row r="602" spans="3:13" x14ac:dyDescent="0.3">
      <c r="C602" s="35">
        <f t="shared" si="9"/>
        <v>0</v>
      </c>
      <c r="D602" s="30" t="str">
        <f>IFERROR(VLOOKUP(C602,소속부서!$A$2:$B$20,2,FALSE), "")</f>
        <v/>
      </c>
      <c r="L602" s="36" t="str">
        <f>IFERROR(VLOOKUP(I602,보도매체!$A:$C,2,FALSE), "")</f>
        <v/>
      </c>
      <c r="M602" s="38" t="str">
        <f>IFERROR(VLOOKUP(I602,보도매체!$A:$C,3,FALSE), "")</f>
        <v/>
      </c>
    </row>
    <row r="603" spans="3:13" x14ac:dyDescent="0.3">
      <c r="C603" s="35">
        <f t="shared" si="9"/>
        <v>0</v>
      </c>
      <c r="D603" s="30" t="str">
        <f>IFERROR(VLOOKUP(C603,소속부서!$A$2:$B$20,2,FALSE), "")</f>
        <v/>
      </c>
      <c r="L603" s="36" t="str">
        <f>IFERROR(VLOOKUP(I603,보도매체!$A:$C,2,FALSE), "")</f>
        <v/>
      </c>
      <c r="M603" s="38" t="str">
        <f>IFERROR(VLOOKUP(I603,보도매체!$A:$C,3,FALSE), "")</f>
        <v/>
      </c>
    </row>
    <row r="604" spans="3:13" x14ac:dyDescent="0.3">
      <c r="C604" s="35">
        <f t="shared" si="9"/>
        <v>0</v>
      </c>
      <c r="D604" s="30" t="str">
        <f>IFERROR(VLOOKUP(C604,소속부서!$A$2:$B$20,2,FALSE), "")</f>
        <v/>
      </c>
      <c r="L604" s="36" t="str">
        <f>IFERROR(VLOOKUP(I604,보도매체!$A:$C,2,FALSE), "")</f>
        <v/>
      </c>
      <c r="M604" s="38" t="str">
        <f>IFERROR(VLOOKUP(I604,보도매체!$A:$C,3,FALSE), "")</f>
        <v/>
      </c>
    </row>
    <row r="605" spans="3:13" x14ac:dyDescent="0.3">
      <c r="C605" s="35">
        <f t="shared" si="9"/>
        <v>0</v>
      </c>
      <c r="D605" s="30" t="str">
        <f>IFERROR(VLOOKUP(C605,소속부서!$A$2:$B$20,2,FALSE), "")</f>
        <v/>
      </c>
      <c r="L605" s="36" t="str">
        <f>IFERROR(VLOOKUP(I605,보도매체!$A:$C,2,FALSE), "")</f>
        <v/>
      </c>
      <c r="M605" s="38" t="str">
        <f>IFERROR(VLOOKUP(I605,보도매체!$A:$C,3,FALSE), "")</f>
        <v/>
      </c>
    </row>
    <row r="606" spans="3:13" x14ac:dyDescent="0.3">
      <c r="C606" s="35">
        <f t="shared" si="9"/>
        <v>0</v>
      </c>
      <c r="D606" s="30" t="str">
        <f>IFERROR(VLOOKUP(C606,소속부서!$A$2:$B$20,2,FALSE), "")</f>
        <v/>
      </c>
      <c r="L606" s="36" t="str">
        <f>IFERROR(VLOOKUP(I606,보도매체!$A:$C,2,FALSE), "")</f>
        <v/>
      </c>
      <c r="M606" s="38" t="str">
        <f>IFERROR(VLOOKUP(I606,보도매체!$A:$C,3,FALSE), "")</f>
        <v/>
      </c>
    </row>
    <row r="607" spans="3:13" x14ac:dyDescent="0.3">
      <c r="C607" s="35">
        <f t="shared" si="9"/>
        <v>0</v>
      </c>
      <c r="D607" s="30" t="str">
        <f>IFERROR(VLOOKUP(C607,소속부서!$A$2:$B$20,2,FALSE), "")</f>
        <v/>
      </c>
      <c r="L607" s="36" t="str">
        <f>IFERROR(VLOOKUP(I607,보도매체!$A:$C,2,FALSE), "")</f>
        <v/>
      </c>
      <c r="M607" s="38" t="str">
        <f>IFERROR(VLOOKUP(I607,보도매체!$A:$C,3,FALSE), "")</f>
        <v/>
      </c>
    </row>
    <row r="608" spans="3:13" x14ac:dyDescent="0.3">
      <c r="C608" s="35">
        <f t="shared" si="9"/>
        <v>0</v>
      </c>
      <c r="D608" s="30" t="str">
        <f>IFERROR(VLOOKUP(C608,소속부서!$A$2:$B$20,2,FALSE), "")</f>
        <v/>
      </c>
      <c r="L608" s="36" t="str">
        <f>IFERROR(VLOOKUP(I608,보도매체!$A:$C,2,FALSE), "")</f>
        <v/>
      </c>
      <c r="M608" s="38" t="str">
        <f>IFERROR(VLOOKUP(I608,보도매체!$A:$C,3,FALSE), "")</f>
        <v/>
      </c>
    </row>
    <row r="609" spans="3:13" x14ac:dyDescent="0.3">
      <c r="C609" s="35">
        <f t="shared" si="9"/>
        <v>0</v>
      </c>
      <c r="D609" s="30" t="str">
        <f>IFERROR(VLOOKUP(C609,소속부서!$A$2:$B$20,2,FALSE), "")</f>
        <v/>
      </c>
      <c r="L609" s="36" t="str">
        <f>IFERROR(VLOOKUP(I609,보도매체!$A:$C,2,FALSE), "")</f>
        <v/>
      </c>
      <c r="M609" s="38" t="str">
        <f>IFERROR(VLOOKUP(I609,보도매체!$A:$C,3,FALSE), "")</f>
        <v/>
      </c>
    </row>
    <row r="610" spans="3:13" x14ac:dyDescent="0.3">
      <c r="C610" s="35">
        <f t="shared" si="9"/>
        <v>0</v>
      </c>
      <c r="D610" s="30" t="str">
        <f>IFERROR(VLOOKUP(C610,소속부서!$A$2:$B$20,2,FALSE), "")</f>
        <v/>
      </c>
      <c r="L610" s="36" t="str">
        <f>IFERROR(VLOOKUP(I610,보도매체!$A:$C,2,FALSE), "")</f>
        <v/>
      </c>
      <c r="M610" s="38" t="str">
        <f>IFERROR(VLOOKUP(I610,보도매체!$A:$C,3,FALSE), "")</f>
        <v/>
      </c>
    </row>
    <row r="611" spans="3:13" x14ac:dyDescent="0.3">
      <c r="C611" s="35">
        <f t="shared" si="9"/>
        <v>0</v>
      </c>
      <c r="D611" s="30" t="str">
        <f>IFERROR(VLOOKUP(C611,소속부서!$A$2:$B$20,2,FALSE), "")</f>
        <v/>
      </c>
      <c r="L611" s="36" t="str">
        <f>IFERROR(VLOOKUP(I611,보도매체!$A:$C,2,FALSE), "")</f>
        <v/>
      </c>
      <c r="M611" s="38" t="str">
        <f>IFERROR(VLOOKUP(I611,보도매체!$A:$C,3,FALSE), "")</f>
        <v/>
      </c>
    </row>
    <row r="612" spans="3:13" x14ac:dyDescent="0.3">
      <c r="C612" s="35">
        <f t="shared" si="9"/>
        <v>0</v>
      </c>
      <c r="D612" s="30" t="str">
        <f>IFERROR(VLOOKUP(C612,소속부서!$A$2:$B$20,2,FALSE), "")</f>
        <v/>
      </c>
      <c r="L612" s="36" t="str">
        <f>IFERROR(VLOOKUP(I612,보도매체!$A:$C,2,FALSE), "")</f>
        <v/>
      </c>
      <c r="M612" s="38" t="str">
        <f>IFERROR(VLOOKUP(I612,보도매체!$A:$C,3,FALSE), "")</f>
        <v/>
      </c>
    </row>
    <row r="613" spans="3:13" x14ac:dyDescent="0.3">
      <c r="C613" s="35">
        <f t="shared" si="9"/>
        <v>0</v>
      </c>
      <c r="D613" s="30" t="str">
        <f>IFERROR(VLOOKUP(C613,소속부서!$A$2:$B$20,2,FALSE), "")</f>
        <v/>
      </c>
      <c r="L613" s="36" t="str">
        <f>IFERROR(VLOOKUP(I613,보도매체!$A:$C,2,FALSE), "")</f>
        <v/>
      </c>
      <c r="M613" s="38" t="str">
        <f>IFERROR(VLOOKUP(I613,보도매체!$A:$C,3,FALSE), "")</f>
        <v/>
      </c>
    </row>
    <row r="614" spans="3:13" x14ac:dyDescent="0.3">
      <c r="C614" s="35">
        <f t="shared" si="9"/>
        <v>0</v>
      </c>
      <c r="D614" s="30" t="str">
        <f>IFERROR(VLOOKUP(C614,소속부서!$A$2:$B$20,2,FALSE), "")</f>
        <v/>
      </c>
      <c r="L614" s="36" t="str">
        <f>IFERROR(VLOOKUP(I614,보도매체!$A:$C,2,FALSE), "")</f>
        <v/>
      </c>
      <c r="M614" s="38" t="str">
        <f>IFERROR(VLOOKUP(I614,보도매체!$A:$C,3,FALSE), "")</f>
        <v/>
      </c>
    </row>
    <row r="615" spans="3:13" x14ac:dyDescent="0.3">
      <c r="C615" s="35">
        <f t="shared" si="9"/>
        <v>0</v>
      </c>
      <c r="D615" s="30" t="str">
        <f>IFERROR(VLOOKUP(C615,소속부서!$A$2:$B$20,2,FALSE), "")</f>
        <v/>
      </c>
      <c r="L615" s="36" t="str">
        <f>IFERROR(VLOOKUP(I615,보도매체!$A:$C,2,FALSE), "")</f>
        <v/>
      </c>
      <c r="M615" s="38" t="str">
        <f>IFERROR(VLOOKUP(I615,보도매체!$A:$C,3,FALSE), "")</f>
        <v/>
      </c>
    </row>
    <row r="616" spans="3:13" x14ac:dyDescent="0.3">
      <c r="C616" s="35">
        <f t="shared" si="9"/>
        <v>0</v>
      </c>
      <c r="D616" s="30" t="str">
        <f>IFERROR(VLOOKUP(C616,소속부서!$A$2:$B$20,2,FALSE), "")</f>
        <v/>
      </c>
      <c r="L616" s="36" t="str">
        <f>IFERROR(VLOOKUP(I616,보도매체!$A:$C,2,FALSE), "")</f>
        <v/>
      </c>
      <c r="M616" s="38" t="str">
        <f>IFERROR(VLOOKUP(I616,보도매체!$A:$C,3,FALSE), "")</f>
        <v/>
      </c>
    </row>
    <row r="617" spans="3:13" x14ac:dyDescent="0.3">
      <c r="C617" s="35">
        <f t="shared" si="9"/>
        <v>0</v>
      </c>
      <c r="D617" s="30" t="str">
        <f>IFERROR(VLOOKUP(C617,소속부서!$A$2:$B$20,2,FALSE), "")</f>
        <v/>
      </c>
      <c r="L617" s="36" t="str">
        <f>IFERROR(VLOOKUP(I617,보도매체!$A:$C,2,FALSE), "")</f>
        <v/>
      </c>
      <c r="M617" s="38" t="str">
        <f>IFERROR(VLOOKUP(I617,보도매체!$A:$C,3,FALSE), "")</f>
        <v/>
      </c>
    </row>
    <row r="618" spans="3:13" x14ac:dyDescent="0.3">
      <c r="C618" s="35">
        <f t="shared" si="9"/>
        <v>0</v>
      </c>
      <c r="D618" s="30" t="str">
        <f>IFERROR(VLOOKUP(C618,소속부서!$A$2:$B$20,2,FALSE), "")</f>
        <v/>
      </c>
      <c r="L618" s="36" t="str">
        <f>IFERROR(VLOOKUP(I618,보도매체!$A:$C,2,FALSE), "")</f>
        <v/>
      </c>
      <c r="M618" s="38" t="str">
        <f>IFERROR(VLOOKUP(I618,보도매체!$A:$C,3,FALSE), "")</f>
        <v/>
      </c>
    </row>
    <row r="619" spans="3:13" x14ac:dyDescent="0.3">
      <c r="C619" s="35">
        <f t="shared" si="9"/>
        <v>0</v>
      </c>
      <c r="D619" s="30" t="str">
        <f>IFERROR(VLOOKUP(C619,소속부서!$A$2:$B$20,2,FALSE), "")</f>
        <v/>
      </c>
      <c r="L619" s="36" t="str">
        <f>IFERROR(VLOOKUP(I619,보도매체!$A:$C,2,FALSE), "")</f>
        <v/>
      </c>
      <c r="M619" s="38" t="str">
        <f>IFERROR(VLOOKUP(I619,보도매체!$A:$C,3,FALSE), "")</f>
        <v/>
      </c>
    </row>
    <row r="620" spans="3:13" x14ac:dyDescent="0.3">
      <c r="C620" s="35">
        <f t="shared" si="9"/>
        <v>0</v>
      </c>
      <c r="D620" s="30" t="str">
        <f>IFERROR(VLOOKUP(C620,소속부서!$A$2:$B$20,2,FALSE), "")</f>
        <v/>
      </c>
      <c r="L620" s="36" t="str">
        <f>IFERROR(VLOOKUP(I620,보도매체!$A:$C,2,FALSE), "")</f>
        <v/>
      </c>
      <c r="M620" s="38" t="str">
        <f>IFERROR(VLOOKUP(I620,보도매체!$A:$C,3,FALSE), "")</f>
        <v/>
      </c>
    </row>
    <row r="621" spans="3:13" x14ac:dyDescent="0.3">
      <c r="C621" s="35">
        <f t="shared" si="9"/>
        <v>0</v>
      </c>
      <c r="D621" s="30" t="str">
        <f>IFERROR(VLOOKUP(C621,소속부서!$A$2:$B$20,2,FALSE), "")</f>
        <v/>
      </c>
      <c r="L621" s="36" t="str">
        <f>IFERROR(VLOOKUP(I621,보도매체!$A:$C,2,FALSE), "")</f>
        <v/>
      </c>
      <c r="M621" s="38" t="str">
        <f>IFERROR(VLOOKUP(I621,보도매체!$A:$C,3,FALSE), "")</f>
        <v/>
      </c>
    </row>
    <row r="622" spans="3:13" x14ac:dyDescent="0.3">
      <c r="C622" s="35">
        <f t="shared" si="9"/>
        <v>0</v>
      </c>
      <c r="D622" s="30" t="str">
        <f>IFERROR(VLOOKUP(C622,소속부서!$A$2:$B$20,2,FALSE), "")</f>
        <v/>
      </c>
      <c r="L622" s="36" t="str">
        <f>IFERROR(VLOOKUP(I622,보도매체!$A:$C,2,FALSE), "")</f>
        <v/>
      </c>
      <c r="M622" s="38" t="str">
        <f>IFERROR(VLOOKUP(I622,보도매체!$A:$C,3,FALSE), "")</f>
        <v/>
      </c>
    </row>
    <row r="623" spans="3:13" x14ac:dyDescent="0.3">
      <c r="C623" s="35">
        <f t="shared" si="9"/>
        <v>0</v>
      </c>
      <c r="D623" s="30" t="str">
        <f>IFERROR(VLOOKUP(C623,소속부서!$A$2:$B$20,2,FALSE), "")</f>
        <v/>
      </c>
      <c r="L623" s="36" t="str">
        <f>IFERROR(VLOOKUP(I623,보도매체!$A:$C,2,FALSE), "")</f>
        <v/>
      </c>
      <c r="M623" s="38" t="str">
        <f>IFERROR(VLOOKUP(I623,보도매체!$A:$C,3,FALSE), "")</f>
        <v/>
      </c>
    </row>
    <row r="624" spans="3:13" x14ac:dyDescent="0.3">
      <c r="C624" s="35">
        <f t="shared" si="9"/>
        <v>0</v>
      </c>
      <c r="D624" s="30" t="str">
        <f>IFERROR(VLOOKUP(C624,소속부서!$A$2:$B$20,2,FALSE), "")</f>
        <v/>
      </c>
      <c r="L624" s="36" t="str">
        <f>IFERROR(VLOOKUP(I624,보도매체!$A:$C,2,FALSE), "")</f>
        <v/>
      </c>
      <c r="M624" s="38" t="str">
        <f>IFERROR(VLOOKUP(I624,보도매체!$A:$C,3,FALSE), "")</f>
        <v/>
      </c>
    </row>
    <row r="625" spans="3:13" x14ac:dyDescent="0.3">
      <c r="C625" s="35">
        <f t="shared" si="9"/>
        <v>0</v>
      </c>
      <c r="D625" s="30" t="str">
        <f>IFERROR(VLOOKUP(C625,소속부서!$A$2:$B$20,2,FALSE), "")</f>
        <v/>
      </c>
      <c r="L625" s="36" t="str">
        <f>IFERROR(VLOOKUP(I625,보도매체!$A:$C,2,FALSE), "")</f>
        <v/>
      </c>
      <c r="M625" s="38" t="str">
        <f>IFERROR(VLOOKUP(I625,보도매체!$A:$C,3,FALSE), "")</f>
        <v/>
      </c>
    </row>
    <row r="626" spans="3:13" x14ac:dyDescent="0.3">
      <c r="C626" s="35">
        <f t="shared" si="9"/>
        <v>0</v>
      </c>
      <c r="D626" s="30" t="str">
        <f>IFERROR(VLOOKUP(C626,소속부서!$A$2:$B$20,2,FALSE), "")</f>
        <v/>
      </c>
      <c r="L626" s="36" t="str">
        <f>IFERROR(VLOOKUP(I626,보도매체!$A:$C,2,FALSE), "")</f>
        <v/>
      </c>
      <c r="M626" s="38" t="str">
        <f>IFERROR(VLOOKUP(I626,보도매체!$A:$C,3,FALSE), "")</f>
        <v/>
      </c>
    </row>
    <row r="627" spans="3:13" x14ac:dyDescent="0.3">
      <c r="C627" s="35">
        <f t="shared" si="9"/>
        <v>0</v>
      </c>
      <c r="D627" s="30" t="str">
        <f>IFERROR(VLOOKUP(C627,소속부서!$A$2:$B$20,2,FALSE), "")</f>
        <v/>
      </c>
      <c r="L627" s="36" t="str">
        <f>IFERROR(VLOOKUP(I627,보도매체!$A:$C,2,FALSE), "")</f>
        <v/>
      </c>
      <c r="M627" s="38" t="str">
        <f>IFERROR(VLOOKUP(I627,보도매체!$A:$C,3,FALSE), "")</f>
        <v/>
      </c>
    </row>
    <row r="628" spans="3:13" x14ac:dyDescent="0.3">
      <c r="C628" s="35">
        <f t="shared" si="9"/>
        <v>0</v>
      </c>
      <c r="D628" s="30" t="str">
        <f>IFERROR(VLOOKUP(C628,소속부서!$A$2:$B$20,2,FALSE), "")</f>
        <v/>
      </c>
      <c r="L628" s="36" t="str">
        <f>IFERROR(VLOOKUP(I628,보도매체!$A:$C,2,FALSE), "")</f>
        <v/>
      </c>
      <c r="M628" s="38" t="str">
        <f>IFERROR(VLOOKUP(I628,보도매체!$A:$C,3,FALSE), "")</f>
        <v/>
      </c>
    </row>
    <row r="629" spans="3:13" x14ac:dyDescent="0.3">
      <c r="C629" s="35">
        <f t="shared" si="9"/>
        <v>0</v>
      </c>
      <c r="D629" s="30" t="str">
        <f>IFERROR(VLOOKUP(C629,소속부서!$A$2:$B$20,2,FALSE), "")</f>
        <v/>
      </c>
      <c r="L629" s="36" t="str">
        <f>IFERROR(VLOOKUP(I629,보도매체!$A:$C,2,FALSE), "")</f>
        <v/>
      </c>
      <c r="M629" s="38" t="str">
        <f>IFERROR(VLOOKUP(I629,보도매체!$A:$C,3,FALSE), "")</f>
        <v/>
      </c>
    </row>
    <row r="630" spans="3:13" x14ac:dyDescent="0.3">
      <c r="C630" s="35">
        <f t="shared" si="9"/>
        <v>0</v>
      </c>
      <c r="D630" s="30" t="str">
        <f>IFERROR(VLOOKUP(C630,소속부서!$A$2:$B$20,2,FALSE), "")</f>
        <v/>
      </c>
      <c r="L630" s="36" t="str">
        <f>IFERROR(VLOOKUP(I630,보도매체!$A:$C,2,FALSE), "")</f>
        <v/>
      </c>
      <c r="M630" s="38" t="str">
        <f>IFERROR(VLOOKUP(I630,보도매체!$A:$C,3,FALSE), "")</f>
        <v/>
      </c>
    </row>
    <row r="631" spans="3:13" x14ac:dyDescent="0.3">
      <c r="C631" s="35">
        <f t="shared" si="9"/>
        <v>0</v>
      </c>
      <c r="D631" s="30" t="str">
        <f>IFERROR(VLOOKUP(C631,소속부서!$A$2:$B$20,2,FALSE), "")</f>
        <v/>
      </c>
      <c r="L631" s="36" t="str">
        <f>IFERROR(VLOOKUP(I631,보도매체!$A:$C,2,FALSE), "")</f>
        <v/>
      </c>
      <c r="M631" s="38" t="str">
        <f>IFERROR(VLOOKUP(I631,보도매체!$A:$C,3,FALSE), "")</f>
        <v/>
      </c>
    </row>
    <row r="632" spans="3:13" x14ac:dyDescent="0.3">
      <c r="C632" s="35">
        <f t="shared" si="9"/>
        <v>0</v>
      </c>
      <c r="D632" s="30" t="str">
        <f>IFERROR(VLOOKUP(C632,소속부서!$A$2:$B$20,2,FALSE), "")</f>
        <v/>
      </c>
      <c r="L632" s="36" t="str">
        <f>IFERROR(VLOOKUP(I632,보도매체!$A:$C,2,FALSE), "")</f>
        <v/>
      </c>
      <c r="M632" s="38" t="str">
        <f>IFERROR(VLOOKUP(I632,보도매체!$A:$C,3,FALSE), "")</f>
        <v/>
      </c>
    </row>
    <row r="633" spans="3:13" x14ac:dyDescent="0.3">
      <c r="C633" s="35">
        <f t="shared" si="9"/>
        <v>0</v>
      </c>
      <c r="D633" s="30" t="str">
        <f>IFERROR(VLOOKUP(C633,소속부서!$A$2:$B$20,2,FALSE), "")</f>
        <v/>
      </c>
      <c r="L633" s="36" t="str">
        <f>IFERROR(VLOOKUP(I633,보도매체!$A:$C,2,FALSE), "")</f>
        <v/>
      </c>
      <c r="M633" s="38" t="str">
        <f>IFERROR(VLOOKUP(I633,보도매체!$A:$C,3,FALSE), "")</f>
        <v/>
      </c>
    </row>
    <row r="634" spans="3:13" x14ac:dyDescent="0.3">
      <c r="C634" s="35">
        <f t="shared" si="9"/>
        <v>0</v>
      </c>
      <c r="D634" s="30" t="str">
        <f>IFERROR(VLOOKUP(C634,소속부서!$A$2:$B$20,2,FALSE), "")</f>
        <v/>
      </c>
      <c r="L634" s="36" t="str">
        <f>IFERROR(VLOOKUP(I634,보도매체!$A:$C,2,FALSE), "")</f>
        <v/>
      </c>
      <c r="M634" s="38" t="str">
        <f>IFERROR(VLOOKUP(I634,보도매체!$A:$C,3,FALSE), "")</f>
        <v/>
      </c>
    </row>
    <row r="635" spans="3:13" x14ac:dyDescent="0.3">
      <c r="C635" s="35">
        <f t="shared" si="9"/>
        <v>0</v>
      </c>
      <c r="D635" s="30" t="str">
        <f>IFERROR(VLOOKUP(C635,소속부서!$A$2:$B$20,2,FALSE), "")</f>
        <v/>
      </c>
      <c r="L635" s="36" t="str">
        <f>IFERROR(VLOOKUP(I635,보도매체!$A:$C,2,FALSE), "")</f>
        <v/>
      </c>
      <c r="M635" s="38" t="str">
        <f>IFERROR(VLOOKUP(I635,보도매체!$A:$C,3,FALSE), "")</f>
        <v/>
      </c>
    </row>
    <row r="636" spans="3:13" x14ac:dyDescent="0.3">
      <c r="C636" s="35">
        <f t="shared" si="9"/>
        <v>0</v>
      </c>
      <c r="D636" s="30" t="str">
        <f>IFERROR(VLOOKUP(C636,소속부서!$A$2:$B$20,2,FALSE), "")</f>
        <v/>
      </c>
      <c r="L636" s="36" t="str">
        <f>IFERROR(VLOOKUP(I636,보도매체!$A:$C,2,FALSE), "")</f>
        <v/>
      </c>
      <c r="M636" s="38" t="str">
        <f>IFERROR(VLOOKUP(I636,보도매체!$A:$C,3,FALSE), "")</f>
        <v/>
      </c>
    </row>
    <row r="637" spans="3:13" x14ac:dyDescent="0.3">
      <c r="C637" s="35">
        <f t="shared" si="9"/>
        <v>0</v>
      </c>
      <c r="D637" s="30" t="str">
        <f>IFERROR(VLOOKUP(C637,소속부서!$A$2:$B$20,2,FALSE), "")</f>
        <v/>
      </c>
      <c r="L637" s="36" t="str">
        <f>IFERROR(VLOOKUP(I637,보도매체!$A:$C,2,FALSE), "")</f>
        <v/>
      </c>
      <c r="M637" s="38" t="str">
        <f>IFERROR(VLOOKUP(I637,보도매체!$A:$C,3,FALSE), "")</f>
        <v/>
      </c>
    </row>
    <row r="638" spans="3:13" x14ac:dyDescent="0.3">
      <c r="C638" s="35">
        <f t="shared" si="9"/>
        <v>0</v>
      </c>
      <c r="D638" s="30" t="str">
        <f>IFERROR(VLOOKUP(C638,소속부서!$A$2:$B$20,2,FALSE), "")</f>
        <v/>
      </c>
      <c r="L638" s="36" t="str">
        <f>IFERROR(VLOOKUP(I638,보도매체!$A:$C,2,FALSE), "")</f>
        <v/>
      </c>
      <c r="M638" s="38" t="str">
        <f>IFERROR(VLOOKUP(I638,보도매체!$A:$C,3,FALSE), "")</f>
        <v/>
      </c>
    </row>
    <row r="639" spans="3:13" x14ac:dyDescent="0.3">
      <c r="C639" s="35">
        <f t="shared" si="9"/>
        <v>0</v>
      </c>
      <c r="D639" s="30" t="str">
        <f>IFERROR(VLOOKUP(C639,소속부서!$A$2:$B$20,2,FALSE), "")</f>
        <v/>
      </c>
      <c r="L639" s="36" t="str">
        <f>IFERROR(VLOOKUP(I639,보도매체!$A:$C,2,FALSE), "")</f>
        <v/>
      </c>
      <c r="M639" s="38" t="str">
        <f>IFERROR(VLOOKUP(I639,보도매체!$A:$C,3,FALSE), "")</f>
        <v/>
      </c>
    </row>
    <row r="640" spans="3:13" x14ac:dyDescent="0.3">
      <c r="C640" s="35">
        <f t="shared" si="9"/>
        <v>0</v>
      </c>
      <c r="D640" s="30" t="str">
        <f>IFERROR(VLOOKUP(C640,소속부서!$A$2:$B$20,2,FALSE), "")</f>
        <v/>
      </c>
      <c r="L640" s="36" t="str">
        <f>IFERROR(VLOOKUP(I640,보도매체!$A:$C,2,FALSE), "")</f>
        <v/>
      </c>
      <c r="M640" s="38" t="str">
        <f>IFERROR(VLOOKUP(I640,보도매체!$A:$C,3,FALSE), "")</f>
        <v/>
      </c>
    </row>
    <row r="641" spans="3:13" x14ac:dyDescent="0.3">
      <c r="C641" s="35">
        <f t="shared" ref="C641:C704" si="10">E641</f>
        <v>0</v>
      </c>
      <c r="D641" s="30" t="str">
        <f>IFERROR(VLOOKUP(C641,소속부서!$A$2:$B$20,2,FALSE), "")</f>
        <v/>
      </c>
      <c r="L641" s="36" t="str">
        <f>IFERROR(VLOOKUP(I641,보도매체!$A:$C,2,FALSE), "")</f>
        <v/>
      </c>
      <c r="M641" s="38" t="str">
        <f>IFERROR(VLOOKUP(I641,보도매체!$A:$C,3,FALSE), "")</f>
        <v/>
      </c>
    </row>
    <row r="642" spans="3:13" x14ac:dyDescent="0.3">
      <c r="C642" s="35">
        <f t="shared" si="10"/>
        <v>0</v>
      </c>
      <c r="D642" s="30" t="str">
        <f>IFERROR(VLOOKUP(C642,소속부서!$A$2:$B$20,2,FALSE), "")</f>
        <v/>
      </c>
      <c r="L642" s="36" t="str">
        <f>IFERROR(VLOOKUP(I642,보도매체!$A:$C,2,FALSE), "")</f>
        <v/>
      </c>
      <c r="M642" s="38" t="str">
        <f>IFERROR(VLOOKUP(I642,보도매체!$A:$C,3,FALSE), "")</f>
        <v/>
      </c>
    </row>
    <row r="643" spans="3:13" x14ac:dyDescent="0.3">
      <c r="C643" s="35">
        <f t="shared" si="10"/>
        <v>0</v>
      </c>
      <c r="D643" s="30" t="str">
        <f>IFERROR(VLOOKUP(C643,소속부서!$A$2:$B$20,2,FALSE), "")</f>
        <v/>
      </c>
      <c r="L643" s="36" t="str">
        <f>IFERROR(VLOOKUP(I643,보도매체!$A:$C,2,FALSE), "")</f>
        <v/>
      </c>
      <c r="M643" s="38" t="str">
        <f>IFERROR(VLOOKUP(I643,보도매체!$A:$C,3,FALSE), "")</f>
        <v/>
      </c>
    </row>
    <row r="644" spans="3:13" x14ac:dyDescent="0.3">
      <c r="C644" s="35">
        <f t="shared" si="10"/>
        <v>0</v>
      </c>
      <c r="D644" s="30" t="str">
        <f>IFERROR(VLOOKUP(C644,소속부서!$A$2:$B$20,2,FALSE), "")</f>
        <v/>
      </c>
      <c r="L644" s="36" t="str">
        <f>IFERROR(VLOOKUP(I644,보도매체!$A:$C,2,FALSE), "")</f>
        <v/>
      </c>
      <c r="M644" s="38" t="str">
        <f>IFERROR(VLOOKUP(I644,보도매체!$A:$C,3,FALSE), "")</f>
        <v/>
      </c>
    </row>
    <row r="645" spans="3:13" x14ac:dyDescent="0.3">
      <c r="C645" s="35">
        <f t="shared" si="10"/>
        <v>0</v>
      </c>
      <c r="D645" s="30" t="str">
        <f>IFERROR(VLOOKUP(C645,소속부서!$A$2:$B$20,2,FALSE), "")</f>
        <v/>
      </c>
      <c r="L645" s="36" t="str">
        <f>IFERROR(VLOOKUP(I645,보도매체!$A:$C,2,FALSE), "")</f>
        <v/>
      </c>
      <c r="M645" s="38" t="str">
        <f>IFERROR(VLOOKUP(I645,보도매체!$A:$C,3,FALSE), "")</f>
        <v/>
      </c>
    </row>
    <row r="646" spans="3:13" x14ac:dyDescent="0.3">
      <c r="C646" s="35">
        <f t="shared" si="10"/>
        <v>0</v>
      </c>
      <c r="D646" s="30" t="str">
        <f>IFERROR(VLOOKUP(C646,소속부서!$A$2:$B$20,2,FALSE), "")</f>
        <v/>
      </c>
      <c r="L646" s="36" t="str">
        <f>IFERROR(VLOOKUP(I646,보도매체!$A:$C,2,FALSE), "")</f>
        <v/>
      </c>
      <c r="M646" s="38" t="str">
        <f>IFERROR(VLOOKUP(I646,보도매체!$A:$C,3,FALSE), "")</f>
        <v/>
      </c>
    </row>
    <row r="647" spans="3:13" x14ac:dyDescent="0.3">
      <c r="C647" s="35">
        <f t="shared" si="10"/>
        <v>0</v>
      </c>
      <c r="D647" s="30" t="str">
        <f>IFERROR(VLOOKUP(C647,소속부서!$A$2:$B$20,2,FALSE), "")</f>
        <v/>
      </c>
      <c r="L647" s="36" t="str">
        <f>IFERROR(VLOOKUP(I647,보도매체!$A:$C,2,FALSE), "")</f>
        <v/>
      </c>
      <c r="M647" s="38" t="str">
        <f>IFERROR(VLOOKUP(I647,보도매체!$A:$C,3,FALSE), "")</f>
        <v/>
      </c>
    </row>
    <row r="648" spans="3:13" x14ac:dyDescent="0.3">
      <c r="C648" s="35">
        <f t="shared" si="10"/>
        <v>0</v>
      </c>
      <c r="D648" s="30" t="str">
        <f>IFERROR(VLOOKUP(C648,소속부서!$A$2:$B$20,2,FALSE), "")</f>
        <v/>
      </c>
      <c r="L648" s="36" t="str">
        <f>IFERROR(VLOOKUP(I648,보도매체!$A:$C,2,FALSE), "")</f>
        <v/>
      </c>
      <c r="M648" s="38" t="str">
        <f>IFERROR(VLOOKUP(I648,보도매체!$A:$C,3,FALSE), "")</f>
        <v/>
      </c>
    </row>
    <row r="649" spans="3:13" x14ac:dyDescent="0.3">
      <c r="C649" s="35">
        <f t="shared" si="10"/>
        <v>0</v>
      </c>
      <c r="D649" s="30" t="str">
        <f>IFERROR(VLOOKUP(C649,소속부서!$A$2:$B$20,2,FALSE), "")</f>
        <v/>
      </c>
      <c r="L649" s="36" t="str">
        <f>IFERROR(VLOOKUP(I649,보도매체!$A:$C,2,FALSE), "")</f>
        <v/>
      </c>
      <c r="M649" s="38" t="str">
        <f>IFERROR(VLOOKUP(I649,보도매체!$A:$C,3,FALSE), "")</f>
        <v/>
      </c>
    </row>
    <row r="650" spans="3:13" x14ac:dyDescent="0.3">
      <c r="C650" s="35">
        <f t="shared" si="10"/>
        <v>0</v>
      </c>
      <c r="D650" s="30" t="str">
        <f>IFERROR(VLOOKUP(C650,소속부서!$A$2:$B$20,2,FALSE), "")</f>
        <v/>
      </c>
      <c r="L650" s="36" t="str">
        <f>IFERROR(VLOOKUP(I650,보도매체!$A:$C,2,FALSE), "")</f>
        <v/>
      </c>
      <c r="M650" s="38" t="str">
        <f>IFERROR(VLOOKUP(I650,보도매체!$A:$C,3,FALSE), "")</f>
        <v/>
      </c>
    </row>
    <row r="651" spans="3:13" x14ac:dyDescent="0.3">
      <c r="C651" s="35">
        <f t="shared" si="10"/>
        <v>0</v>
      </c>
      <c r="D651" s="30" t="str">
        <f>IFERROR(VLOOKUP(C651,소속부서!$A$2:$B$20,2,FALSE), "")</f>
        <v/>
      </c>
      <c r="L651" s="36" t="str">
        <f>IFERROR(VLOOKUP(I651,보도매체!$A:$C,2,FALSE), "")</f>
        <v/>
      </c>
      <c r="M651" s="38" t="str">
        <f>IFERROR(VLOOKUP(I651,보도매체!$A:$C,3,FALSE), "")</f>
        <v/>
      </c>
    </row>
    <row r="652" spans="3:13" x14ac:dyDescent="0.3">
      <c r="C652" s="35">
        <f t="shared" si="10"/>
        <v>0</v>
      </c>
      <c r="D652" s="30" t="str">
        <f>IFERROR(VLOOKUP(C652,소속부서!$A$2:$B$20,2,FALSE), "")</f>
        <v/>
      </c>
      <c r="L652" s="36" t="str">
        <f>IFERROR(VLOOKUP(I652,보도매체!$A:$C,2,FALSE), "")</f>
        <v/>
      </c>
      <c r="M652" s="38" t="str">
        <f>IFERROR(VLOOKUP(I652,보도매체!$A:$C,3,FALSE), "")</f>
        <v/>
      </c>
    </row>
    <row r="653" spans="3:13" x14ac:dyDescent="0.3">
      <c r="C653" s="35">
        <f t="shared" si="10"/>
        <v>0</v>
      </c>
      <c r="D653" s="30" t="str">
        <f>IFERROR(VLOOKUP(C653,소속부서!$A$2:$B$20,2,FALSE), "")</f>
        <v/>
      </c>
      <c r="L653" s="36" t="str">
        <f>IFERROR(VLOOKUP(I653,보도매체!$A:$C,2,FALSE), "")</f>
        <v/>
      </c>
      <c r="M653" s="38" t="str">
        <f>IFERROR(VLOOKUP(I653,보도매체!$A:$C,3,FALSE), "")</f>
        <v/>
      </c>
    </row>
    <row r="654" spans="3:13" x14ac:dyDescent="0.3">
      <c r="C654" s="35">
        <f t="shared" si="10"/>
        <v>0</v>
      </c>
      <c r="D654" s="30" t="str">
        <f>IFERROR(VLOOKUP(C654,소속부서!$A$2:$B$20,2,FALSE), "")</f>
        <v/>
      </c>
      <c r="L654" s="36" t="str">
        <f>IFERROR(VLOOKUP(I654,보도매체!$A:$C,2,FALSE), "")</f>
        <v/>
      </c>
      <c r="M654" s="38" t="str">
        <f>IFERROR(VLOOKUP(I654,보도매체!$A:$C,3,FALSE), "")</f>
        <v/>
      </c>
    </row>
    <row r="655" spans="3:13" x14ac:dyDescent="0.3">
      <c r="C655" s="35">
        <f t="shared" si="10"/>
        <v>0</v>
      </c>
      <c r="D655" s="30" t="str">
        <f>IFERROR(VLOOKUP(C655,소속부서!$A$2:$B$20,2,FALSE), "")</f>
        <v/>
      </c>
      <c r="L655" s="36" t="str">
        <f>IFERROR(VLOOKUP(I655,보도매체!$A:$C,2,FALSE), "")</f>
        <v/>
      </c>
      <c r="M655" s="38" t="str">
        <f>IFERROR(VLOOKUP(I655,보도매체!$A:$C,3,FALSE), "")</f>
        <v/>
      </c>
    </row>
    <row r="656" spans="3:13" x14ac:dyDescent="0.3">
      <c r="C656" s="35">
        <f t="shared" si="10"/>
        <v>0</v>
      </c>
      <c r="D656" s="30" t="str">
        <f>IFERROR(VLOOKUP(C656,소속부서!$A$2:$B$20,2,FALSE), "")</f>
        <v/>
      </c>
      <c r="L656" s="36" t="str">
        <f>IFERROR(VLOOKUP(I656,보도매체!$A:$C,2,FALSE), "")</f>
        <v/>
      </c>
      <c r="M656" s="38" t="str">
        <f>IFERROR(VLOOKUP(I656,보도매체!$A:$C,3,FALSE), "")</f>
        <v/>
      </c>
    </row>
    <row r="657" spans="3:13" x14ac:dyDescent="0.3">
      <c r="C657" s="35">
        <f t="shared" si="10"/>
        <v>0</v>
      </c>
      <c r="D657" s="30" t="str">
        <f>IFERROR(VLOOKUP(C657,소속부서!$A$2:$B$20,2,FALSE), "")</f>
        <v/>
      </c>
      <c r="L657" s="36" t="str">
        <f>IFERROR(VLOOKUP(I657,보도매체!$A:$C,2,FALSE), "")</f>
        <v/>
      </c>
      <c r="M657" s="38" t="str">
        <f>IFERROR(VLOOKUP(I657,보도매체!$A:$C,3,FALSE), "")</f>
        <v/>
      </c>
    </row>
    <row r="658" spans="3:13" x14ac:dyDescent="0.3">
      <c r="C658" s="35">
        <f t="shared" si="10"/>
        <v>0</v>
      </c>
      <c r="D658" s="30" t="str">
        <f>IFERROR(VLOOKUP(C658,소속부서!$A$2:$B$20,2,FALSE), "")</f>
        <v/>
      </c>
      <c r="L658" s="36" t="str">
        <f>IFERROR(VLOOKUP(I658,보도매체!$A:$C,2,FALSE), "")</f>
        <v/>
      </c>
      <c r="M658" s="38" t="str">
        <f>IFERROR(VLOOKUP(I658,보도매체!$A:$C,3,FALSE), "")</f>
        <v/>
      </c>
    </row>
    <row r="659" spans="3:13" x14ac:dyDescent="0.3">
      <c r="C659" s="35">
        <f t="shared" si="10"/>
        <v>0</v>
      </c>
      <c r="D659" s="30" t="str">
        <f>IFERROR(VLOOKUP(C659,소속부서!$A$2:$B$20,2,FALSE), "")</f>
        <v/>
      </c>
      <c r="L659" s="36" t="str">
        <f>IFERROR(VLOOKUP(I659,보도매체!$A:$C,2,FALSE), "")</f>
        <v/>
      </c>
      <c r="M659" s="38" t="str">
        <f>IFERROR(VLOOKUP(I659,보도매체!$A:$C,3,FALSE), "")</f>
        <v/>
      </c>
    </row>
    <row r="660" spans="3:13" x14ac:dyDescent="0.3">
      <c r="C660" s="35">
        <f t="shared" si="10"/>
        <v>0</v>
      </c>
      <c r="D660" s="30" t="str">
        <f>IFERROR(VLOOKUP(C660,소속부서!$A$2:$B$20,2,FALSE), "")</f>
        <v/>
      </c>
      <c r="L660" s="36" t="str">
        <f>IFERROR(VLOOKUP(I660,보도매체!$A:$C,2,FALSE), "")</f>
        <v/>
      </c>
      <c r="M660" s="38" t="str">
        <f>IFERROR(VLOOKUP(I660,보도매체!$A:$C,3,FALSE), "")</f>
        <v/>
      </c>
    </row>
    <row r="661" spans="3:13" x14ac:dyDescent="0.3">
      <c r="C661" s="35">
        <f t="shared" si="10"/>
        <v>0</v>
      </c>
      <c r="D661" s="30" t="str">
        <f>IFERROR(VLOOKUP(C661,소속부서!$A$2:$B$20,2,FALSE), "")</f>
        <v/>
      </c>
      <c r="L661" s="36" t="str">
        <f>IFERROR(VLOOKUP(I661,보도매체!$A:$C,2,FALSE), "")</f>
        <v/>
      </c>
      <c r="M661" s="38" t="str">
        <f>IFERROR(VLOOKUP(I661,보도매체!$A:$C,3,FALSE), "")</f>
        <v/>
      </c>
    </row>
    <row r="662" spans="3:13" x14ac:dyDescent="0.3">
      <c r="C662" s="35">
        <f t="shared" si="10"/>
        <v>0</v>
      </c>
      <c r="D662" s="30" t="str">
        <f>IFERROR(VLOOKUP(C662,소속부서!$A$2:$B$20,2,FALSE), "")</f>
        <v/>
      </c>
      <c r="L662" s="36" t="str">
        <f>IFERROR(VLOOKUP(I662,보도매체!$A:$C,2,FALSE), "")</f>
        <v/>
      </c>
      <c r="M662" s="38" t="str">
        <f>IFERROR(VLOOKUP(I662,보도매체!$A:$C,3,FALSE), "")</f>
        <v/>
      </c>
    </row>
    <row r="663" spans="3:13" x14ac:dyDescent="0.3">
      <c r="C663" s="35">
        <f t="shared" si="10"/>
        <v>0</v>
      </c>
      <c r="D663" s="30" t="str">
        <f>IFERROR(VLOOKUP(C663,소속부서!$A$2:$B$20,2,FALSE), "")</f>
        <v/>
      </c>
      <c r="L663" s="36" t="str">
        <f>IFERROR(VLOOKUP(I663,보도매체!$A:$C,2,FALSE), "")</f>
        <v/>
      </c>
      <c r="M663" s="38" t="str">
        <f>IFERROR(VLOOKUP(I663,보도매체!$A:$C,3,FALSE), "")</f>
        <v/>
      </c>
    </row>
    <row r="664" spans="3:13" x14ac:dyDescent="0.3">
      <c r="C664" s="35">
        <f t="shared" si="10"/>
        <v>0</v>
      </c>
      <c r="D664" s="30" t="str">
        <f>IFERROR(VLOOKUP(C664,소속부서!$A$2:$B$20,2,FALSE), "")</f>
        <v/>
      </c>
      <c r="L664" s="36" t="str">
        <f>IFERROR(VLOOKUP(I664,보도매체!$A:$C,2,FALSE), "")</f>
        <v/>
      </c>
      <c r="M664" s="38" t="str">
        <f>IFERROR(VLOOKUP(I664,보도매체!$A:$C,3,FALSE), "")</f>
        <v/>
      </c>
    </row>
    <row r="665" spans="3:13" x14ac:dyDescent="0.3">
      <c r="C665" s="35">
        <f t="shared" si="10"/>
        <v>0</v>
      </c>
      <c r="D665" s="30" t="str">
        <f>IFERROR(VLOOKUP(C665,소속부서!$A$2:$B$20,2,FALSE), "")</f>
        <v/>
      </c>
      <c r="L665" s="36" t="str">
        <f>IFERROR(VLOOKUP(I665,보도매체!$A:$C,2,FALSE), "")</f>
        <v/>
      </c>
      <c r="M665" s="38" t="str">
        <f>IFERROR(VLOOKUP(I665,보도매체!$A:$C,3,FALSE), "")</f>
        <v/>
      </c>
    </row>
    <row r="666" spans="3:13" x14ac:dyDescent="0.3">
      <c r="C666" s="35">
        <f t="shared" si="10"/>
        <v>0</v>
      </c>
      <c r="D666" s="30" t="str">
        <f>IFERROR(VLOOKUP(C666,소속부서!$A$2:$B$20,2,FALSE), "")</f>
        <v/>
      </c>
      <c r="L666" s="36" t="str">
        <f>IFERROR(VLOOKUP(I666,보도매체!$A:$C,2,FALSE), "")</f>
        <v/>
      </c>
      <c r="M666" s="38" t="str">
        <f>IFERROR(VLOOKUP(I666,보도매체!$A:$C,3,FALSE), "")</f>
        <v/>
      </c>
    </row>
    <row r="667" spans="3:13" x14ac:dyDescent="0.3">
      <c r="C667" s="35">
        <f t="shared" si="10"/>
        <v>0</v>
      </c>
      <c r="D667" s="30" t="str">
        <f>IFERROR(VLOOKUP(C667,소속부서!$A$2:$B$20,2,FALSE), "")</f>
        <v/>
      </c>
      <c r="L667" s="36" t="str">
        <f>IFERROR(VLOOKUP(I667,보도매체!$A:$C,2,FALSE), "")</f>
        <v/>
      </c>
      <c r="M667" s="38" t="str">
        <f>IFERROR(VLOOKUP(I667,보도매체!$A:$C,3,FALSE), "")</f>
        <v/>
      </c>
    </row>
    <row r="668" spans="3:13" x14ac:dyDescent="0.3">
      <c r="C668" s="35">
        <f t="shared" si="10"/>
        <v>0</v>
      </c>
      <c r="D668" s="30" t="str">
        <f>IFERROR(VLOOKUP(C668,소속부서!$A$2:$B$20,2,FALSE), "")</f>
        <v/>
      </c>
      <c r="L668" s="36" t="str">
        <f>IFERROR(VLOOKUP(I668,보도매체!$A:$C,2,FALSE), "")</f>
        <v/>
      </c>
      <c r="M668" s="38" t="str">
        <f>IFERROR(VLOOKUP(I668,보도매체!$A:$C,3,FALSE), "")</f>
        <v/>
      </c>
    </row>
    <row r="669" spans="3:13" x14ac:dyDescent="0.3">
      <c r="C669" s="35">
        <f t="shared" si="10"/>
        <v>0</v>
      </c>
      <c r="D669" s="30" t="str">
        <f>IFERROR(VLOOKUP(C669,소속부서!$A$2:$B$20,2,FALSE), "")</f>
        <v/>
      </c>
      <c r="L669" s="36" t="str">
        <f>IFERROR(VLOOKUP(I669,보도매체!$A:$C,2,FALSE), "")</f>
        <v/>
      </c>
      <c r="M669" s="38" t="str">
        <f>IFERROR(VLOOKUP(I669,보도매체!$A:$C,3,FALSE), "")</f>
        <v/>
      </c>
    </row>
    <row r="670" spans="3:13" x14ac:dyDescent="0.3">
      <c r="C670" s="35">
        <f t="shared" si="10"/>
        <v>0</v>
      </c>
      <c r="D670" s="30" t="str">
        <f>IFERROR(VLOOKUP(C670,소속부서!$A$2:$B$20,2,FALSE), "")</f>
        <v/>
      </c>
      <c r="L670" s="36" t="str">
        <f>IFERROR(VLOOKUP(I670,보도매체!$A:$C,2,FALSE), "")</f>
        <v/>
      </c>
      <c r="M670" s="38" t="str">
        <f>IFERROR(VLOOKUP(I670,보도매체!$A:$C,3,FALSE), "")</f>
        <v/>
      </c>
    </row>
    <row r="671" spans="3:13" x14ac:dyDescent="0.3">
      <c r="C671" s="35">
        <f t="shared" si="10"/>
        <v>0</v>
      </c>
      <c r="D671" s="30" t="str">
        <f>IFERROR(VLOOKUP(C671,소속부서!$A$2:$B$20,2,FALSE), "")</f>
        <v/>
      </c>
      <c r="L671" s="36" t="str">
        <f>IFERROR(VLOOKUP(I671,보도매체!$A:$C,2,FALSE), "")</f>
        <v/>
      </c>
      <c r="M671" s="38" t="str">
        <f>IFERROR(VLOOKUP(I671,보도매체!$A:$C,3,FALSE), "")</f>
        <v/>
      </c>
    </row>
    <row r="672" spans="3:13" x14ac:dyDescent="0.3">
      <c r="C672" s="35">
        <f t="shared" si="10"/>
        <v>0</v>
      </c>
      <c r="D672" s="30" t="str">
        <f>IFERROR(VLOOKUP(C672,소속부서!$A$2:$B$20,2,FALSE), "")</f>
        <v/>
      </c>
      <c r="L672" s="36" t="str">
        <f>IFERROR(VLOOKUP(I672,보도매체!$A:$C,2,FALSE), "")</f>
        <v/>
      </c>
      <c r="M672" s="38" t="str">
        <f>IFERROR(VLOOKUP(I672,보도매체!$A:$C,3,FALSE), "")</f>
        <v/>
      </c>
    </row>
    <row r="673" spans="3:13" x14ac:dyDescent="0.3">
      <c r="C673" s="35">
        <f t="shared" si="10"/>
        <v>0</v>
      </c>
      <c r="D673" s="30" t="str">
        <f>IFERROR(VLOOKUP(C673,소속부서!$A$2:$B$20,2,FALSE), "")</f>
        <v/>
      </c>
      <c r="L673" s="36" t="str">
        <f>IFERROR(VLOOKUP(I673,보도매체!$A:$C,2,FALSE), "")</f>
        <v/>
      </c>
      <c r="M673" s="38" t="str">
        <f>IFERROR(VLOOKUP(I673,보도매체!$A:$C,3,FALSE), "")</f>
        <v/>
      </c>
    </row>
    <row r="674" spans="3:13" x14ac:dyDescent="0.3">
      <c r="C674" s="35">
        <f t="shared" si="10"/>
        <v>0</v>
      </c>
      <c r="D674" s="30" t="str">
        <f>IFERROR(VLOOKUP(C674,소속부서!$A$2:$B$20,2,FALSE), "")</f>
        <v/>
      </c>
      <c r="L674" s="36" t="str">
        <f>IFERROR(VLOOKUP(I674,보도매체!$A:$C,2,FALSE), "")</f>
        <v/>
      </c>
      <c r="M674" s="38" t="str">
        <f>IFERROR(VLOOKUP(I674,보도매체!$A:$C,3,FALSE), "")</f>
        <v/>
      </c>
    </row>
    <row r="675" spans="3:13" x14ac:dyDescent="0.3">
      <c r="C675" s="35">
        <f t="shared" si="10"/>
        <v>0</v>
      </c>
      <c r="D675" s="30" t="str">
        <f>IFERROR(VLOOKUP(C675,소속부서!$A$2:$B$20,2,FALSE), "")</f>
        <v/>
      </c>
      <c r="L675" s="36" t="str">
        <f>IFERROR(VLOOKUP(I675,보도매체!$A:$C,2,FALSE), "")</f>
        <v/>
      </c>
      <c r="M675" s="38" t="str">
        <f>IFERROR(VLOOKUP(I675,보도매체!$A:$C,3,FALSE), "")</f>
        <v/>
      </c>
    </row>
    <row r="676" spans="3:13" x14ac:dyDescent="0.3">
      <c r="C676" s="35">
        <f t="shared" si="10"/>
        <v>0</v>
      </c>
      <c r="D676" s="30" t="str">
        <f>IFERROR(VLOOKUP(C676,소속부서!$A$2:$B$20,2,FALSE), "")</f>
        <v/>
      </c>
      <c r="L676" s="36" t="str">
        <f>IFERROR(VLOOKUP(I676,보도매체!$A:$C,2,FALSE), "")</f>
        <v/>
      </c>
      <c r="M676" s="38" t="str">
        <f>IFERROR(VLOOKUP(I676,보도매체!$A:$C,3,FALSE), "")</f>
        <v/>
      </c>
    </row>
    <row r="677" spans="3:13" x14ac:dyDescent="0.3">
      <c r="C677" s="35">
        <f t="shared" si="10"/>
        <v>0</v>
      </c>
      <c r="D677" s="30" t="str">
        <f>IFERROR(VLOOKUP(C677,소속부서!$A$2:$B$20,2,FALSE), "")</f>
        <v/>
      </c>
      <c r="L677" s="36" t="str">
        <f>IFERROR(VLOOKUP(I677,보도매체!$A:$C,2,FALSE), "")</f>
        <v/>
      </c>
      <c r="M677" s="38" t="str">
        <f>IFERROR(VLOOKUP(I677,보도매체!$A:$C,3,FALSE), "")</f>
        <v/>
      </c>
    </row>
    <row r="678" spans="3:13" x14ac:dyDescent="0.3">
      <c r="C678" s="35">
        <f t="shared" si="10"/>
        <v>0</v>
      </c>
      <c r="D678" s="30" t="str">
        <f>IFERROR(VLOOKUP(C678,소속부서!$A$2:$B$20,2,FALSE), "")</f>
        <v/>
      </c>
      <c r="L678" s="36" t="str">
        <f>IFERROR(VLOOKUP(I678,보도매체!$A:$C,2,FALSE), "")</f>
        <v/>
      </c>
      <c r="M678" s="38" t="str">
        <f>IFERROR(VLOOKUP(I678,보도매체!$A:$C,3,FALSE), "")</f>
        <v/>
      </c>
    </row>
    <row r="679" spans="3:13" x14ac:dyDescent="0.3">
      <c r="C679" s="35">
        <f t="shared" si="10"/>
        <v>0</v>
      </c>
      <c r="D679" s="30" t="str">
        <f>IFERROR(VLOOKUP(C679,소속부서!$A$2:$B$20,2,FALSE), "")</f>
        <v/>
      </c>
      <c r="L679" s="36" t="str">
        <f>IFERROR(VLOOKUP(I679,보도매체!$A:$C,2,FALSE), "")</f>
        <v/>
      </c>
      <c r="M679" s="38" t="str">
        <f>IFERROR(VLOOKUP(I679,보도매체!$A:$C,3,FALSE), "")</f>
        <v/>
      </c>
    </row>
    <row r="680" spans="3:13" x14ac:dyDescent="0.3">
      <c r="C680" s="35">
        <f t="shared" si="10"/>
        <v>0</v>
      </c>
      <c r="D680" s="30" t="str">
        <f>IFERROR(VLOOKUP(C680,소속부서!$A$2:$B$20,2,FALSE), "")</f>
        <v/>
      </c>
      <c r="L680" s="36" t="str">
        <f>IFERROR(VLOOKUP(I680,보도매체!$A:$C,2,FALSE), "")</f>
        <v/>
      </c>
      <c r="M680" s="38" t="str">
        <f>IFERROR(VLOOKUP(I680,보도매체!$A:$C,3,FALSE), "")</f>
        <v/>
      </c>
    </row>
    <row r="681" spans="3:13" x14ac:dyDescent="0.3">
      <c r="C681" s="35">
        <f t="shared" si="10"/>
        <v>0</v>
      </c>
      <c r="D681" s="30" t="str">
        <f>IFERROR(VLOOKUP(C681,소속부서!$A$2:$B$20,2,FALSE), "")</f>
        <v/>
      </c>
      <c r="L681" s="36" t="str">
        <f>IFERROR(VLOOKUP(I681,보도매체!$A:$C,2,FALSE), "")</f>
        <v/>
      </c>
      <c r="M681" s="38" t="str">
        <f>IFERROR(VLOOKUP(I681,보도매체!$A:$C,3,FALSE), "")</f>
        <v/>
      </c>
    </row>
    <row r="682" spans="3:13" x14ac:dyDescent="0.3">
      <c r="C682" s="35">
        <f t="shared" si="10"/>
        <v>0</v>
      </c>
      <c r="D682" s="30" t="str">
        <f>IFERROR(VLOOKUP(C682,소속부서!$A$2:$B$20,2,FALSE), "")</f>
        <v/>
      </c>
      <c r="L682" s="36" t="str">
        <f>IFERROR(VLOOKUP(I682,보도매체!$A:$C,2,FALSE), "")</f>
        <v/>
      </c>
      <c r="M682" s="38" t="str">
        <f>IFERROR(VLOOKUP(I682,보도매체!$A:$C,3,FALSE), "")</f>
        <v/>
      </c>
    </row>
    <row r="683" spans="3:13" x14ac:dyDescent="0.3">
      <c r="C683" s="35">
        <f t="shared" si="10"/>
        <v>0</v>
      </c>
      <c r="D683" s="30" t="str">
        <f>IFERROR(VLOOKUP(C683,소속부서!$A$2:$B$20,2,FALSE), "")</f>
        <v/>
      </c>
      <c r="L683" s="36" t="str">
        <f>IFERROR(VLOOKUP(I683,보도매체!$A:$C,2,FALSE), "")</f>
        <v/>
      </c>
      <c r="M683" s="38" t="str">
        <f>IFERROR(VLOOKUP(I683,보도매체!$A:$C,3,FALSE), "")</f>
        <v/>
      </c>
    </row>
    <row r="684" spans="3:13" x14ac:dyDescent="0.3">
      <c r="C684" s="35">
        <f t="shared" si="10"/>
        <v>0</v>
      </c>
      <c r="D684" s="30" t="str">
        <f>IFERROR(VLOOKUP(C684,소속부서!$A$2:$B$20,2,FALSE), "")</f>
        <v/>
      </c>
      <c r="L684" s="36" t="str">
        <f>IFERROR(VLOOKUP(I684,보도매체!$A:$C,2,FALSE), "")</f>
        <v/>
      </c>
      <c r="M684" s="38" t="str">
        <f>IFERROR(VLOOKUP(I684,보도매체!$A:$C,3,FALSE), "")</f>
        <v/>
      </c>
    </row>
    <row r="685" spans="3:13" x14ac:dyDescent="0.3">
      <c r="C685" s="35">
        <f t="shared" si="10"/>
        <v>0</v>
      </c>
      <c r="D685" s="30" t="str">
        <f>IFERROR(VLOOKUP(C685,소속부서!$A$2:$B$20,2,FALSE), "")</f>
        <v/>
      </c>
      <c r="L685" s="36" t="str">
        <f>IFERROR(VLOOKUP(I685,보도매체!$A:$C,2,FALSE), "")</f>
        <v/>
      </c>
      <c r="M685" s="38" t="str">
        <f>IFERROR(VLOOKUP(I685,보도매체!$A:$C,3,FALSE), "")</f>
        <v/>
      </c>
    </row>
    <row r="686" spans="3:13" x14ac:dyDescent="0.3">
      <c r="C686" s="35">
        <f t="shared" si="10"/>
        <v>0</v>
      </c>
      <c r="D686" s="30" t="str">
        <f>IFERROR(VLOOKUP(C686,소속부서!$A$2:$B$20,2,FALSE), "")</f>
        <v/>
      </c>
      <c r="L686" s="36" t="str">
        <f>IFERROR(VLOOKUP(I686,보도매체!$A:$C,2,FALSE), "")</f>
        <v/>
      </c>
      <c r="M686" s="38" t="str">
        <f>IFERROR(VLOOKUP(I686,보도매체!$A:$C,3,FALSE), "")</f>
        <v/>
      </c>
    </row>
    <row r="687" spans="3:13" x14ac:dyDescent="0.3">
      <c r="C687" s="35">
        <f t="shared" si="10"/>
        <v>0</v>
      </c>
      <c r="D687" s="30" t="str">
        <f>IFERROR(VLOOKUP(C687,소속부서!$A$2:$B$20,2,FALSE), "")</f>
        <v/>
      </c>
      <c r="L687" s="36" t="str">
        <f>IFERROR(VLOOKUP(I687,보도매체!$A:$C,2,FALSE), "")</f>
        <v/>
      </c>
      <c r="M687" s="38" t="str">
        <f>IFERROR(VLOOKUP(I687,보도매체!$A:$C,3,FALSE), "")</f>
        <v/>
      </c>
    </row>
    <row r="688" spans="3:13" x14ac:dyDescent="0.3">
      <c r="C688" s="35">
        <f t="shared" si="10"/>
        <v>0</v>
      </c>
      <c r="D688" s="30" t="str">
        <f>IFERROR(VLOOKUP(C688,소속부서!$A$2:$B$20,2,FALSE), "")</f>
        <v/>
      </c>
      <c r="L688" s="36" t="str">
        <f>IFERROR(VLOOKUP(I688,보도매체!$A:$C,2,FALSE), "")</f>
        <v/>
      </c>
      <c r="M688" s="38" t="str">
        <f>IFERROR(VLOOKUP(I688,보도매체!$A:$C,3,FALSE), "")</f>
        <v/>
      </c>
    </row>
    <row r="689" spans="3:13" x14ac:dyDescent="0.3">
      <c r="C689" s="35">
        <f t="shared" si="10"/>
        <v>0</v>
      </c>
      <c r="D689" s="30" t="str">
        <f>IFERROR(VLOOKUP(C689,소속부서!$A$2:$B$20,2,FALSE), "")</f>
        <v/>
      </c>
      <c r="L689" s="36" t="str">
        <f>IFERROR(VLOOKUP(I689,보도매체!$A:$C,2,FALSE), "")</f>
        <v/>
      </c>
      <c r="M689" s="38" t="str">
        <f>IFERROR(VLOOKUP(I689,보도매체!$A:$C,3,FALSE), "")</f>
        <v/>
      </c>
    </row>
    <row r="690" spans="3:13" x14ac:dyDescent="0.3">
      <c r="C690" s="35">
        <f t="shared" si="10"/>
        <v>0</v>
      </c>
      <c r="D690" s="30" t="str">
        <f>IFERROR(VLOOKUP(C690,소속부서!$A$2:$B$20,2,FALSE), "")</f>
        <v/>
      </c>
      <c r="L690" s="36" t="str">
        <f>IFERROR(VLOOKUP(I690,보도매체!$A:$C,2,FALSE), "")</f>
        <v/>
      </c>
      <c r="M690" s="38" t="str">
        <f>IFERROR(VLOOKUP(I690,보도매체!$A:$C,3,FALSE), "")</f>
        <v/>
      </c>
    </row>
    <row r="691" spans="3:13" x14ac:dyDescent="0.3">
      <c r="C691" s="35">
        <f t="shared" si="10"/>
        <v>0</v>
      </c>
      <c r="D691" s="30" t="str">
        <f>IFERROR(VLOOKUP(C691,소속부서!$A$2:$B$20,2,FALSE), "")</f>
        <v/>
      </c>
      <c r="L691" s="36" t="str">
        <f>IFERROR(VLOOKUP(I691,보도매체!$A:$C,2,FALSE), "")</f>
        <v/>
      </c>
      <c r="M691" s="38" t="str">
        <f>IFERROR(VLOOKUP(I691,보도매체!$A:$C,3,FALSE), "")</f>
        <v/>
      </c>
    </row>
    <row r="692" spans="3:13" x14ac:dyDescent="0.3">
      <c r="C692" s="35">
        <f t="shared" si="10"/>
        <v>0</v>
      </c>
      <c r="D692" s="30" t="str">
        <f>IFERROR(VLOOKUP(C692,소속부서!$A$2:$B$20,2,FALSE), "")</f>
        <v/>
      </c>
      <c r="L692" s="36" t="str">
        <f>IFERROR(VLOOKUP(I692,보도매체!$A:$C,2,FALSE), "")</f>
        <v/>
      </c>
      <c r="M692" s="38" t="str">
        <f>IFERROR(VLOOKUP(I692,보도매체!$A:$C,3,FALSE), "")</f>
        <v/>
      </c>
    </row>
    <row r="693" spans="3:13" x14ac:dyDescent="0.3">
      <c r="C693" s="35">
        <f t="shared" si="10"/>
        <v>0</v>
      </c>
      <c r="D693" s="30" t="str">
        <f>IFERROR(VLOOKUP(C693,소속부서!$A$2:$B$20,2,FALSE), "")</f>
        <v/>
      </c>
      <c r="L693" s="36" t="str">
        <f>IFERROR(VLOOKUP(I693,보도매체!$A:$C,2,FALSE), "")</f>
        <v/>
      </c>
      <c r="M693" s="38" t="str">
        <f>IFERROR(VLOOKUP(I693,보도매체!$A:$C,3,FALSE), "")</f>
        <v/>
      </c>
    </row>
    <row r="694" spans="3:13" x14ac:dyDescent="0.3">
      <c r="C694" s="35">
        <f t="shared" si="10"/>
        <v>0</v>
      </c>
      <c r="D694" s="30" t="str">
        <f>IFERROR(VLOOKUP(C694,소속부서!$A$2:$B$20,2,FALSE), "")</f>
        <v/>
      </c>
      <c r="L694" s="36" t="str">
        <f>IFERROR(VLOOKUP(I694,보도매체!$A:$C,2,FALSE), "")</f>
        <v/>
      </c>
      <c r="M694" s="38" t="str">
        <f>IFERROR(VLOOKUP(I694,보도매체!$A:$C,3,FALSE), "")</f>
        <v/>
      </c>
    </row>
    <row r="695" spans="3:13" x14ac:dyDescent="0.3">
      <c r="C695" s="35">
        <f t="shared" si="10"/>
        <v>0</v>
      </c>
      <c r="D695" s="30" t="str">
        <f>IFERROR(VLOOKUP(C695,소속부서!$A$2:$B$20,2,FALSE), "")</f>
        <v/>
      </c>
      <c r="L695" s="36" t="str">
        <f>IFERROR(VLOOKUP(I695,보도매체!$A:$C,2,FALSE), "")</f>
        <v/>
      </c>
      <c r="M695" s="38" t="str">
        <f>IFERROR(VLOOKUP(I695,보도매체!$A:$C,3,FALSE), "")</f>
        <v/>
      </c>
    </row>
    <row r="696" spans="3:13" x14ac:dyDescent="0.3">
      <c r="C696" s="35">
        <f t="shared" si="10"/>
        <v>0</v>
      </c>
      <c r="D696" s="30" t="str">
        <f>IFERROR(VLOOKUP(C696,소속부서!$A$2:$B$20,2,FALSE), "")</f>
        <v/>
      </c>
      <c r="L696" s="36" t="str">
        <f>IFERROR(VLOOKUP(I696,보도매체!$A:$C,2,FALSE), "")</f>
        <v/>
      </c>
      <c r="M696" s="38" t="str">
        <f>IFERROR(VLOOKUP(I696,보도매체!$A:$C,3,FALSE), "")</f>
        <v/>
      </c>
    </row>
    <row r="697" spans="3:13" x14ac:dyDescent="0.3">
      <c r="C697" s="35">
        <f t="shared" si="10"/>
        <v>0</v>
      </c>
      <c r="D697" s="30" t="str">
        <f>IFERROR(VLOOKUP(C697,소속부서!$A$2:$B$20,2,FALSE), "")</f>
        <v/>
      </c>
      <c r="L697" s="36" t="str">
        <f>IFERROR(VLOOKUP(I697,보도매체!$A:$C,2,FALSE), "")</f>
        <v/>
      </c>
      <c r="M697" s="38" t="str">
        <f>IFERROR(VLOOKUP(I697,보도매체!$A:$C,3,FALSE), "")</f>
        <v/>
      </c>
    </row>
    <row r="698" spans="3:13" x14ac:dyDescent="0.3">
      <c r="C698" s="35">
        <f t="shared" si="10"/>
        <v>0</v>
      </c>
      <c r="D698" s="30" t="str">
        <f>IFERROR(VLOOKUP(C698,소속부서!$A$2:$B$20,2,FALSE), "")</f>
        <v/>
      </c>
      <c r="L698" s="36" t="str">
        <f>IFERROR(VLOOKUP(I698,보도매체!$A:$C,2,FALSE), "")</f>
        <v/>
      </c>
      <c r="M698" s="38" t="str">
        <f>IFERROR(VLOOKUP(I698,보도매체!$A:$C,3,FALSE), "")</f>
        <v/>
      </c>
    </row>
    <row r="699" spans="3:13" x14ac:dyDescent="0.3">
      <c r="C699" s="35">
        <f t="shared" si="10"/>
        <v>0</v>
      </c>
      <c r="D699" s="30" t="str">
        <f>IFERROR(VLOOKUP(C699,소속부서!$A$2:$B$20,2,FALSE), "")</f>
        <v/>
      </c>
      <c r="L699" s="36" t="str">
        <f>IFERROR(VLOOKUP(I699,보도매체!$A:$C,2,FALSE), "")</f>
        <v/>
      </c>
      <c r="M699" s="38" t="str">
        <f>IFERROR(VLOOKUP(I699,보도매체!$A:$C,3,FALSE), "")</f>
        <v/>
      </c>
    </row>
    <row r="700" spans="3:13" x14ac:dyDescent="0.3">
      <c r="C700" s="35">
        <f t="shared" si="10"/>
        <v>0</v>
      </c>
      <c r="D700" s="30" t="str">
        <f>IFERROR(VLOOKUP(C700,소속부서!$A$2:$B$20,2,FALSE), "")</f>
        <v/>
      </c>
      <c r="L700" s="36" t="str">
        <f>IFERROR(VLOOKUP(I700,보도매체!$A:$C,2,FALSE), "")</f>
        <v/>
      </c>
      <c r="M700" s="38" t="str">
        <f>IFERROR(VLOOKUP(I700,보도매체!$A:$C,3,FALSE), "")</f>
        <v/>
      </c>
    </row>
    <row r="701" spans="3:13" x14ac:dyDescent="0.3">
      <c r="C701" s="35">
        <f t="shared" si="10"/>
        <v>0</v>
      </c>
      <c r="D701" s="30" t="str">
        <f>IFERROR(VLOOKUP(C701,소속부서!$A$2:$B$20,2,FALSE), "")</f>
        <v/>
      </c>
      <c r="L701" s="36" t="str">
        <f>IFERROR(VLOOKUP(I701,보도매체!$A:$C,2,FALSE), "")</f>
        <v/>
      </c>
      <c r="M701" s="38" t="str">
        <f>IFERROR(VLOOKUP(I701,보도매체!$A:$C,3,FALSE), "")</f>
        <v/>
      </c>
    </row>
    <row r="702" spans="3:13" x14ac:dyDescent="0.3">
      <c r="C702" s="35">
        <f t="shared" si="10"/>
        <v>0</v>
      </c>
      <c r="D702" s="30" t="str">
        <f>IFERROR(VLOOKUP(C702,소속부서!$A$2:$B$20,2,FALSE), "")</f>
        <v/>
      </c>
      <c r="L702" s="36" t="str">
        <f>IFERROR(VLOOKUP(I702,보도매체!$A:$C,2,FALSE), "")</f>
        <v/>
      </c>
      <c r="M702" s="38" t="str">
        <f>IFERROR(VLOOKUP(I702,보도매체!$A:$C,3,FALSE), "")</f>
        <v/>
      </c>
    </row>
    <row r="703" spans="3:13" x14ac:dyDescent="0.3">
      <c r="C703" s="35">
        <f t="shared" si="10"/>
        <v>0</v>
      </c>
      <c r="D703" s="30" t="str">
        <f>IFERROR(VLOOKUP(C703,소속부서!$A$2:$B$20,2,FALSE), "")</f>
        <v/>
      </c>
      <c r="L703" s="36" t="str">
        <f>IFERROR(VLOOKUP(I703,보도매체!$A:$C,2,FALSE), "")</f>
        <v/>
      </c>
      <c r="M703" s="38" t="str">
        <f>IFERROR(VLOOKUP(I703,보도매체!$A:$C,3,FALSE), "")</f>
        <v/>
      </c>
    </row>
    <row r="704" spans="3:13" x14ac:dyDescent="0.3">
      <c r="C704" s="35">
        <f t="shared" si="10"/>
        <v>0</v>
      </c>
      <c r="D704" s="30" t="str">
        <f>IFERROR(VLOOKUP(C704,소속부서!$A$2:$B$20,2,FALSE), "")</f>
        <v/>
      </c>
      <c r="L704" s="36" t="str">
        <f>IFERROR(VLOOKUP(I704,보도매체!$A:$C,2,FALSE), "")</f>
        <v/>
      </c>
      <c r="M704" s="38" t="str">
        <f>IFERROR(VLOOKUP(I704,보도매체!$A:$C,3,FALSE), "")</f>
        <v/>
      </c>
    </row>
    <row r="705" spans="3:13" x14ac:dyDescent="0.3">
      <c r="C705" s="35">
        <f t="shared" ref="C705:C768" si="11">E705</f>
        <v>0</v>
      </c>
      <c r="D705" s="30" t="str">
        <f>IFERROR(VLOOKUP(C705,소속부서!$A$2:$B$20,2,FALSE), "")</f>
        <v/>
      </c>
      <c r="L705" s="36" t="str">
        <f>IFERROR(VLOOKUP(I705,보도매체!$A:$C,2,FALSE), "")</f>
        <v/>
      </c>
      <c r="M705" s="38" t="str">
        <f>IFERROR(VLOOKUP(I705,보도매체!$A:$C,3,FALSE), "")</f>
        <v/>
      </c>
    </row>
    <row r="706" spans="3:13" x14ac:dyDescent="0.3">
      <c r="C706" s="35">
        <f t="shared" si="11"/>
        <v>0</v>
      </c>
      <c r="D706" s="30" t="str">
        <f>IFERROR(VLOOKUP(C706,소속부서!$A$2:$B$20,2,FALSE), "")</f>
        <v/>
      </c>
      <c r="L706" s="36" t="str">
        <f>IFERROR(VLOOKUP(I706,보도매체!$A:$C,2,FALSE), "")</f>
        <v/>
      </c>
      <c r="M706" s="38" t="str">
        <f>IFERROR(VLOOKUP(I706,보도매체!$A:$C,3,FALSE), "")</f>
        <v/>
      </c>
    </row>
    <row r="707" spans="3:13" x14ac:dyDescent="0.3">
      <c r="C707" s="35">
        <f t="shared" si="11"/>
        <v>0</v>
      </c>
      <c r="D707" s="30" t="str">
        <f>IFERROR(VLOOKUP(C707,소속부서!$A$2:$B$20,2,FALSE), "")</f>
        <v/>
      </c>
      <c r="L707" s="36" t="str">
        <f>IFERROR(VLOOKUP(I707,보도매체!$A:$C,2,FALSE), "")</f>
        <v/>
      </c>
      <c r="M707" s="38" t="str">
        <f>IFERROR(VLOOKUP(I707,보도매체!$A:$C,3,FALSE), "")</f>
        <v/>
      </c>
    </row>
    <row r="708" spans="3:13" x14ac:dyDescent="0.3">
      <c r="C708" s="35">
        <f t="shared" si="11"/>
        <v>0</v>
      </c>
      <c r="D708" s="30" t="str">
        <f>IFERROR(VLOOKUP(C708,소속부서!$A$2:$B$20,2,FALSE), "")</f>
        <v/>
      </c>
      <c r="L708" s="36" t="str">
        <f>IFERROR(VLOOKUP(I708,보도매체!$A:$C,2,FALSE), "")</f>
        <v/>
      </c>
      <c r="M708" s="38" t="str">
        <f>IFERROR(VLOOKUP(I708,보도매체!$A:$C,3,FALSE), "")</f>
        <v/>
      </c>
    </row>
    <row r="709" spans="3:13" x14ac:dyDescent="0.3">
      <c r="C709" s="35">
        <f t="shared" si="11"/>
        <v>0</v>
      </c>
      <c r="D709" s="30" t="str">
        <f>IFERROR(VLOOKUP(C709,소속부서!$A$2:$B$20,2,FALSE), "")</f>
        <v/>
      </c>
      <c r="L709" s="36" t="str">
        <f>IFERROR(VLOOKUP(I709,보도매체!$A:$C,2,FALSE), "")</f>
        <v/>
      </c>
      <c r="M709" s="38" t="str">
        <f>IFERROR(VLOOKUP(I709,보도매체!$A:$C,3,FALSE), "")</f>
        <v/>
      </c>
    </row>
    <row r="710" spans="3:13" x14ac:dyDescent="0.3">
      <c r="C710" s="35">
        <f t="shared" si="11"/>
        <v>0</v>
      </c>
      <c r="D710" s="30" t="str">
        <f>IFERROR(VLOOKUP(C710,소속부서!$A$2:$B$20,2,FALSE), "")</f>
        <v/>
      </c>
      <c r="L710" s="36" t="str">
        <f>IFERROR(VLOOKUP(I710,보도매체!$A:$C,2,FALSE), "")</f>
        <v/>
      </c>
      <c r="M710" s="38" t="str">
        <f>IFERROR(VLOOKUP(I710,보도매체!$A:$C,3,FALSE), "")</f>
        <v/>
      </c>
    </row>
    <row r="711" spans="3:13" x14ac:dyDescent="0.3">
      <c r="C711" s="35">
        <f t="shared" si="11"/>
        <v>0</v>
      </c>
      <c r="D711" s="30" t="str">
        <f>IFERROR(VLOOKUP(C711,소속부서!$A$2:$B$20,2,FALSE), "")</f>
        <v/>
      </c>
      <c r="L711" s="36" t="str">
        <f>IFERROR(VLOOKUP(I711,보도매체!$A:$C,2,FALSE), "")</f>
        <v/>
      </c>
      <c r="M711" s="38" t="str">
        <f>IFERROR(VLOOKUP(I711,보도매체!$A:$C,3,FALSE), "")</f>
        <v/>
      </c>
    </row>
    <row r="712" spans="3:13" x14ac:dyDescent="0.3">
      <c r="C712" s="35">
        <f t="shared" si="11"/>
        <v>0</v>
      </c>
      <c r="D712" s="30" t="str">
        <f>IFERROR(VLOOKUP(C712,소속부서!$A$2:$B$20,2,FALSE), "")</f>
        <v/>
      </c>
      <c r="L712" s="36" t="str">
        <f>IFERROR(VLOOKUP(I712,보도매체!$A:$C,2,FALSE), "")</f>
        <v/>
      </c>
      <c r="M712" s="38" t="str">
        <f>IFERROR(VLOOKUP(I712,보도매체!$A:$C,3,FALSE), "")</f>
        <v/>
      </c>
    </row>
    <row r="713" spans="3:13" x14ac:dyDescent="0.3">
      <c r="C713" s="35">
        <f t="shared" si="11"/>
        <v>0</v>
      </c>
      <c r="D713" s="30" t="str">
        <f>IFERROR(VLOOKUP(C713,소속부서!$A$2:$B$20,2,FALSE), "")</f>
        <v/>
      </c>
      <c r="L713" s="36" t="str">
        <f>IFERROR(VLOOKUP(I713,보도매체!$A:$C,2,FALSE), "")</f>
        <v/>
      </c>
      <c r="M713" s="38" t="str">
        <f>IFERROR(VLOOKUP(I713,보도매체!$A:$C,3,FALSE), "")</f>
        <v/>
      </c>
    </row>
    <row r="714" spans="3:13" x14ac:dyDescent="0.3">
      <c r="C714" s="35">
        <f t="shared" si="11"/>
        <v>0</v>
      </c>
      <c r="D714" s="30" t="str">
        <f>IFERROR(VLOOKUP(C714,소속부서!$A$2:$B$20,2,FALSE), "")</f>
        <v/>
      </c>
      <c r="L714" s="36" t="str">
        <f>IFERROR(VLOOKUP(I714,보도매체!$A:$C,2,FALSE), "")</f>
        <v/>
      </c>
      <c r="M714" s="38" t="str">
        <f>IFERROR(VLOOKUP(I714,보도매체!$A:$C,3,FALSE), "")</f>
        <v/>
      </c>
    </row>
    <row r="715" spans="3:13" x14ac:dyDescent="0.3">
      <c r="C715" s="35">
        <f t="shared" si="11"/>
        <v>0</v>
      </c>
      <c r="D715" s="30" t="str">
        <f>IFERROR(VLOOKUP(C715,소속부서!$A$2:$B$20,2,FALSE), "")</f>
        <v/>
      </c>
      <c r="L715" s="36" t="str">
        <f>IFERROR(VLOOKUP(I715,보도매체!$A:$C,2,FALSE), "")</f>
        <v/>
      </c>
      <c r="M715" s="38" t="str">
        <f>IFERROR(VLOOKUP(I715,보도매체!$A:$C,3,FALSE), "")</f>
        <v/>
      </c>
    </row>
    <row r="716" spans="3:13" x14ac:dyDescent="0.3">
      <c r="C716" s="35">
        <f t="shared" si="11"/>
        <v>0</v>
      </c>
      <c r="D716" s="30" t="str">
        <f>IFERROR(VLOOKUP(C716,소속부서!$A$2:$B$20,2,FALSE), "")</f>
        <v/>
      </c>
      <c r="L716" s="36" t="str">
        <f>IFERROR(VLOOKUP(I716,보도매체!$A:$C,2,FALSE), "")</f>
        <v/>
      </c>
      <c r="M716" s="38" t="str">
        <f>IFERROR(VLOOKUP(I716,보도매체!$A:$C,3,FALSE), "")</f>
        <v/>
      </c>
    </row>
    <row r="717" spans="3:13" x14ac:dyDescent="0.3">
      <c r="C717" s="35">
        <f t="shared" si="11"/>
        <v>0</v>
      </c>
      <c r="D717" s="30" t="str">
        <f>IFERROR(VLOOKUP(C717,소속부서!$A$2:$B$20,2,FALSE), "")</f>
        <v/>
      </c>
      <c r="L717" s="36" t="str">
        <f>IFERROR(VLOOKUP(I717,보도매체!$A:$C,2,FALSE), "")</f>
        <v/>
      </c>
      <c r="M717" s="38" t="str">
        <f>IFERROR(VLOOKUP(I717,보도매체!$A:$C,3,FALSE), "")</f>
        <v/>
      </c>
    </row>
    <row r="718" spans="3:13" x14ac:dyDescent="0.3">
      <c r="C718" s="35">
        <f t="shared" si="11"/>
        <v>0</v>
      </c>
      <c r="D718" s="30" t="str">
        <f>IFERROR(VLOOKUP(C718,소속부서!$A$2:$B$20,2,FALSE), "")</f>
        <v/>
      </c>
      <c r="L718" s="36" t="str">
        <f>IFERROR(VLOOKUP(I718,보도매체!$A:$C,2,FALSE), "")</f>
        <v/>
      </c>
      <c r="M718" s="38" t="str">
        <f>IFERROR(VLOOKUP(I718,보도매체!$A:$C,3,FALSE), "")</f>
        <v/>
      </c>
    </row>
    <row r="719" spans="3:13" x14ac:dyDescent="0.3">
      <c r="C719" s="35">
        <f t="shared" si="11"/>
        <v>0</v>
      </c>
      <c r="D719" s="30" t="str">
        <f>IFERROR(VLOOKUP(C719,소속부서!$A$2:$B$20,2,FALSE), "")</f>
        <v/>
      </c>
      <c r="L719" s="36" t="str">
        <f>IFERROR(VLOOKUP(I719,보도매체!$A:$C,2,FALSE), "")</f>
        <v/>
      </c>
      <c r="M719" s="38" t="str">
        <f>IFERROR(VLOOKUP(I719,보도매체!$A:$C,3,FALSE), "")</f>
        <v/>
      </c>
    </row>
    <row r="720" spans="3:13" x14ac:dyDescent="0.3">
      <c r="C720" s="35">
        <f t="shared" si="11"/>
        <v>0</v>
      </c>
      <c r="D720" s="30" t="str">
        <f>IFERROR(VLOOKUP(C720,소속부서!$A$2:$B$20,2,FALSE), "")</f>
        <v/>
      </c>
      <c r="L720" s="36" t="str">
        <f>IFERROR(VLOOKUP(I720,보도매체!$A:$C,2,FALSE), "")</f>
        <v/>
      </c>
      <c r="M720" s="38" t="str">
        <f>IFERROR(VLOOKUP(I720,보도매체!$A:$C,3,FALSE), "")</f>
        <v/>
      </c>
    </row>
    <row r="721" spans="3:13" x14ac:dyDescent="0.3">
      <c r="C721" s="35">
        <f t="shared" si="11"/>
        <v>0</v>
      </c>
      <c r="D721" s="30" t="str">
        <f>IFERROR(VLOOKUP(C721,소속부서!$A$2:$B$20,2,FALSE), "")</f>
        <v/>
      </c>
      <c r="L721" s="36" t="str">
        <f>IFERROR(VLOOKUP(I721,보도매체!$A:$C,2,FALSE), "")</f>
        <v/>
      </c>
      <c r="M721" s="38" t="str">
        <f>IFERROR(VLOOKUP(I721,보도매체!$A:$C,3,FALSE), "")</f>
        <v/>
      </c>
    </row>
    <row r="722" spans="3:13" x14ac:dyDescent="0.3">
      <c r="C722" s="35">
        <f t="shared" si="11"/>
        <v>0</v>
      </c>
      <c r="D722" s="30" t="str">
        <f>IFERROR(VLOOKUP(C722,소속부서!$A$2:$B$20,2,FALSE), "")</f>
        <v/>
      </c>
      <c r="L722" s="36" t="str">
        <f>IFERROR(VLOOKUP(I722,보도매체!$A:$C,2,FALSE), "")</f>
        <v/>
      </c>
      <c r="M722" s="38" t="str">
        <f>IFERROR(VLOOKUP(I722,보도매체!$A:$C,3,FALSE), "")</f>
        <v/>
      </c>
    </row>
    <row r="723" spans="3:13" x14ac:dyDescent="0.3">
      <c r="C723" s="35">
        <f t="shared" si="11"/>
        <v>0</v>
      </c>
      <c r="D723" s="30" t="str">
        <f>IFERROR(VLOOKUP(C723,소속부서!$A$2:$B$20,2,FALSE), "")</f>
        <v/>
      </c>
      <c r="L723" s="36" t="str">
        <f>IFERROR(VLOOKUP(I723,보도매체!$A:$C,2,FALSE), "")</f>
        <v/>
      </c>
      <c r="M723" s="38" t="str">
        <f>IFERROR(VLOOKUP(I723,보도매체!$A:$C,3,FALSE), "")</f>
        <v/>
      </c>
    </row>
    <row r="724" spans="3:13" x14ac:dyDescent="0.3">
      <c r="C724" s="35">
        <f t="shared" si="11"/>
        <v>0</v>
      </c>
      <c r="D724" s="30" t="str">
        <f>IFERROR(VLOOKUP(C724,소속부서!$A$2:$B$20,2,FALSE), "")</f>
        <v/>
      </c>
      <c r="L724" s="36" t="str">
        <f>IFERROR(VLOOKUP(I724,보도매체!$A:$C,2,FALSE), "")</f>
        <v/>
      </c>
      <c r="M724" s="38" t="str">
        <f>IFERROR(VLOOKUP(I724,보도매체!$A:$C,3,FALSE), "")</f>
        <v/>
      </c>
    </row>
    <row r="725" spans="3:13" x14ac:dyDescent="0.3">
      <c r="C725" s="35">
        <f t="shared" si="11"/>
        <v>0</v>
      </c>
      <c r="D725" s="30" t="str">
        <f>IFERROR(VLOOKUP(C725,소속부서!$A$2:$B$20,2,FALSE), "")</f>
        <v/>
      </c>
      <c r="L725" s="36" t="str">
        <f>IFERROR(VLOOKUP(I725,보도매체!$A:$C,2,FALSE), "")</f>
        <v/>
      </c>
      <c r="M725" s="38" t="str">
        <f>IFERROR(VLOOKUP(I725,보도매체!$A:$C,3,FALSE), "")</f>
        <v/>
      </c>
    </row>
    <row r="726" spans="3:13" x14ac:dyDescent="0.3">
      <c r="C726" s="35">
        <f t="shared" si="11"/>
        <v>0</v>
      </c>
      <c r="D726" s="30" t="str">
        <f>IFERROR(VLOOKUP(C726,소속부서!$A$2:$B$20,2,FALSE), "")</f>
        <v/>
      </c>
      <c r="L726" s="36" t="str">
        <f>IFERROR(VLOOKUP(I726,보도매체!$A:$C,2,FALSE), "")</f>
        <v/>
      </c>
      <c r="M726" s="38" t="str">
        <f>IFERROR(VLOOKUP(I726,보도매체!$A:$C,3,FALSE), "")</f>
        <v/>
      </c>
    </row>
    <row r="727" spans="3:13" x14ac:dyDescent="0.3">
      <c r="C727" s="35">
        <f t="shared" si="11"/>
        <v>0</v>
      </c>
      <c r="D727" s="30" t="str">
        <f>IFERROR(VLOOKUP(C727,소속부서!$A$2:$B$20,2,FALSE), "")</f>
        <v/>
      </c>
      <c r="L727" s="36" t="str">
        <f>IFERROR(VLOOKUP(I727,보도매체!$A:$C,2,FALSE), "")</f>
        <v/>
      </c>
      <c r="M727" s="38" t="str">
        <f>IFERROR(VLOOKUP(I727,보도매체!$A:$C,3,FALSE), "")</f>
        <v/>
      </c>
    </row>
    <row r="728" spans="3:13" x14ac:dyDescent="0.3">
      <c r="C728" s="35">
        <f t="shared" si="11"/>
        <v>0</v>
      </c>
      <c r="D728" s="30" t="str">
        <f>IFERROR(VLOOKUP(C728,소속부서!$A$2:$B$20,2,FALSE), "")</f>
        <v/>
      </c>
      <c r="L728" s="36" t="str">
        <f>IFERROR(VLOOKUP(I728,보도매체!$A:$C,2,FALSE), "")</f>
        <v/>
      </c>
      <c r="M728" s="38" t="str">
        <f>IFERROR(VLOOKUP(I728,보도매체!$A:$C,3,FALSE), "")</f>
        <v/>
      </c>
    </row>
    <row r="729" spans="3:13" x14ac:dyDescent="0.3">
      <c r="C729" s="35">
        <f t="shared" si="11"/>
        <v>0</v>
      </c>
      <c r="D729" s="30" t="str">
        <f>IFERROR(VLOOKUP(C729,소속부서!$A$2:$B$20,2,FALSE), "")</f>
        <v/>
      </c>
      <c r="L729" s="36" t="str">
        <f>IFERROR(VLOOKUP(I729,보도매체!$A:$C,2,FALSE), "")</f>
        <v/>
      </c>
      <c r="M729" s="38" t="str">
        <f>IFERROR(VLOOKUP(I729,보도매체!$A:$C,3,FALSE), "")</f>
        <v/>
      </c>
    </row>
    <row r="730" spans="3:13" x14ac:dyDescent="0.3">
      <c r="C730" s="35">
        <f t="shared" si="11"/>
        <v>0</v>
      </c>
      <c r="D730" s="30" t="str">
        <f>IFERROR(VLOOKUP(C730,소속부서!$A$2:$B$20,2,FALSE), "")</f>
        <v/>
      </c>
      <c r="L730" s="36" t="str">
        <f>IFERROR(VLOOKUP(I730,보도매체!$A:$C,2,FALSE), "")</f>
        <v/>
      </c>
      <c r="M730" s="38" t="str">
        <f>IFERROR(VLOOKUP(I730,보도매체!$A:$C,3,FALSE), "")</f>
        <v/>
      </c>
    </row>
    <row r="731" spans="3:13" x14ac:dyDescent="0.3">
      <c r="C731" s="35">
        <f t="shared" si="11"/>
        <v>0</v>
      </c>
      <c r="D731" s="30" t="str">
        <f>IFERROR(VLOOKUP(C731,소속부서!$A$2:$B$20,2,FALSE), "")</f>
        <v/>
      </c>
      <c r="L731" s="36" t="str">
        <f>IFERROR(VLOOKUP(I731,보도매체!$A:$C,2,FALSE), "")</f>
        <v/>
      </c>
      <c r="M731" s="38" t="str">
        <f>IFERROR(VLOOKUP(I731,보도매체!$A:$C,3,FALSE), "")</f>
        <v/>
      </c>
    </row>
    <row r="732" spans="3:13" x14ac:dyDescent="0.3">
      <c r="C732" s="35">
        <f t="shared" si="11"/>
        <v>0</v>
      </c>
      <c r="D732" s="30" t="str">
        <f>IFERROR(VLOOKUP(C732,소속부서!$A$2:$B$20,2,FALSE), "")</f>
        <v/>
      </c>
      <c r="L732" s="36" t="str">
        <f>IFERROR(VLOOKUP(I732,보도매체!$A:$C,2,FALSE), "")</f>
        <v/>
      </c>
      <c r="M732" s="38" t="str">
        <f>IFERROR(VLOOKUP(I732,보도매체!$A:$C,3,FALSE), "")</f>
        <v/>
      </c>
    </row>
    <row r="733" spans="3:13" x14ac:dyDescent="0.3">
      <c r="C733" s="35">
        <f t="shared" si="11"/>
        <v>0</v>
      </c>
      <c r="D733" s="30" t="str">
        <f>IFERROR(VLOOKUP(C733,소속부서!$A$2:$B$20,2,FALSE), "")</f>
        <v/>
      </c>
      <c r="L733" s="36" t="str">
        <f>IFERROR(VLOOKUP(I733,보도매체!$A:$C,2,FALSE), "")</f>
        <v/>
      </c>
      <c r="M733" s="38" t="str">
        <f>IFERROR(VLOOKUP(I733,보도매체!$A:$C,3,FALSE), "")</f>
        <v/>
      </c>
    </row>
    <row r="734" spans="3:13" x14ac:dyDescent="0.3">
      <c r="C734" s="35">
        <f t="shared" si="11"/>
        <v>0</v>
      </c>
      <c r="D734" s="30" t="str">
        <f>IFERROR(VLOOKUP(C734,소속부서!$A$2:$B$20,2,FALSE), "")</f>
        <v/>
      </c>
      <c r="L734" s="36" t="str">
        <f>IFERROR(VLOOKUP(I734,보도매체!$A:$C,2,FALSE), "")</f>
        <v/>
      </c>
      <c r="M734" s="38" t="str">
        <f>IFERROR(VLOOKUP(I734,보도매체!$A:$C,3,FALSE), "")</f>
        <v/>
      </c>
    </row>
    <row r="735" spans="3:13" x14ac:dyDescent="0.3">
      <c r="C735" s="35">
        <f t="shared" si="11"/>
        <v>0</v>
      </c>
      <c r="D735" s="30" t="str">
        <f>IFERROR(VLOOKUP(C735,소속부서!$A$2:$B$20,2,FALSE), "")</f>
        <v/>
      </c>
      <c r="L735" s="36" t="str">
        <f>IFERROR(VLOOKUP(I735,보도매체!$A:$C,2,FALSE), "")</f>
        <v/>
      </c>
      <c r="M735" s="38" t="str">
        <f>IFERROR(VLOOKUP(I735,보도매체!$A:$C,3,FALSE), "")</f>
        <v/>
      </c>
    </row>
    <row r="736" spans="3:13" x14ac:dyDescent="0.3">
      <c r="C736" s="35">
        <f t="shared" si="11"/>
        <v>0</v>
      </c>
      <c r="D736" s="30" t="str">
        <f>IFERROR(VLOOKUP(C736,소속부서!$A$2:$B$20,2,FALSE), "")</f>
        <v/>
      </c>
      <c r="L736" s="36" t="str">
        <f>IFERROR(VLOOKUP(I736,보도매체!$A:$C,2,FALSE), "")</f>
        <v/>
      </c>
      <c r="M736" s="38" t="str">
        <f>IFERROR(VLOOKUP(I736,보도매체!$A:$C,3,FALSE), "")</f>
        <v/>
      </c>
    </row>
    <row r="737" spans="3:13" x14ac:dyDescent="0.3">
      <c r="C737" s="35">
        <f t="shared" si="11"/>
        <v>0</v>
      </c>
      <c r="D737" s="30" t="str">
        <f>IFERROR(VLOOKUP(C737,소속부서!$A$2:$B$20,2,FALSE), "")</f>
        <v/>
      </c>
      <c r="L737" s="36" t="str">
        <f>IFERROR(VLOOKUP(I737,보도매체!$A:$C,2,FALSE), "")</f>
        <v/>
      </c>
      <c r="M737" s="38" t="str">
        <f>IFERROR(VLOOKUP(I737,보도매체!$A:$C,3,FALSE), "")</f>
        <v/>
      </c>
    </row>
    <row r="738" spans="3:13" x14ac:dyDescent="0.3">
      <c r="C738" s="35">
        <f t="shared" si="11"/>
        <v>0</v>
      </c>
      <c r="D738" s="30" t="str">
        <f>IFERROR(VLOOKUP(C738,소속부서!$A$2:$B$20,2,FALSE), "")</f>
        <v/>
      </c>
      <c r="L738" s="36" t="str">
        <f>IFERROR(VLOOKUP(I738,보도매체!$A:$C,2,FALSE), "")</f>
        <v/>
      </c>
      <c r="M738" s="38" t="str">
        <f>IFERROR(VLOOKUP(I738,보도매체!$A:$C,3,FALSE), "")</f>
        <v/>
      </c>
    </row>
    <row r="739" spans="3:13" x14ac:dyDescent="0.3">
      <c r="C739" s="35">
        <f t="shared" si="11"/>
        <v>0</v>
      </c>
      <c r="D739" s="30" t="str">
        <f>IFERROR(VLOOKUP(C739,소속부서!$A$2:$B$20,2,FALSE), "")</f>
        <v/>
      </c>
      <c r="L739" s="36" t="str">
        <f>IFERROR(VLOOKUP(I739,보도매체!$A:$C,2,FALSE), "")</f>
        <v/>
      </c>
      <c r="M739" s="38" t="str">
        <f>IFERROR(VLOOKUP(I739,보도매체!$A:$C,3,FALSE), "")</f>
        <v/>
      </c>
    </row>
    <row r="740" spans="3:13" x14ac:dyDescent="0.3">
      <c r="C740" s="35">
        <f t="shared" si="11"/>
        <v>0</v>
      </c>
      <c r="D740" s="30" t="str">
        <f>IFERROR(VLOOKUP(C740,소속부서!$A$2:$B$20,2,FALSE), "")</f>
        <v/>
      </c>
      <c r="L740" s="36" t="str">
        <f>IFERROR(VLOOKUP(I740,보도매체!$A:$C,2,FALSE), "")</f>
        <v/>
      </c>
      <c r="M740" s="38" t="str">
        <f>IFERROR(VLOOKUP(I740,보도매체!$A:$C,3,FALSE), "")</f>
        <v/>
      </c>
    </row>
    <row r="741" spans="3:13" x14ac:dyDescent="0.3">
      <c r="C741" s="35">
        <f t="shared" si="11"/>
        <v>0</v>
      </c>
      <c r="D741" s="30" t="str">
        <f>IFERROR(VLOOKUP(C741,소속부서!$A$2:$B$20,2,FALSE), "")</f>
        <v/>
      </c>
      <c r="L741" s="36" t="str">
        <f>IFERROR(VLOOKUP(I741,보도매체!$A:$C,2,FALSE), "")</f>
        <v/>
      </c>
      <c r="M741" s="38" t="str">
        <f>IFERROR(VLOOKUP(I741,보도매체!$A:$C,3,FALSE), "")</f>
        <v/>
      </c>
    </row>
    <row r="742" spans="3:13" x14ac:dyDescent="0.3">
      <c r="C742" s="35">
        <f t="shared" si="11"/>
        <v>0</v>
      </c>
      <c r="D742" s="30" t="str">
        <f>IFERROR(VLOOKUP(C742,소속부서!$A$2:$B$20,2,FALSE), "")</f>
        <v/>
      </c>
      <c r="L742" s="36" t="str">
        <f>IFERROR(VLOOKUP(I742,보도매체!$A:$C,2,FALSE), "")</f>
        <v/>
      </c>
      <c r="M742" s="38" t="str">
        <f>IFERROR(VLOOKUP(I742,보도매체!$A:$C,3,FALSE), "")</f>
        <v/>
      </c>
    </row>
    <row r="743" spans="3:13" x14ac:dyDescent="0.3">
      <c r="C743" s="35">
        <f t="shared" si="11"/>
        <v>0</v>
      </c>
      <c r="D743" s="30" t="str">
        <f>IFERROR(VLOOKUP(C743,소속부서!$A$2:$B$20,2,FALSE), "")</f>
        <v/>
      </c>
      <c r="L743" s="36" t="str">
        <f>IFERROR(VLOOKUP(I743,보도매체!$A:$C,2,FALSE), "")</f>
        <v/>
      </c>
      <c r="M743" s="38" t="str">
        <f>IFERROR(VLOOKUP(I743,보도매체!$A:$C,3,FALSE), "")</f>
        <v/>
      </c>
    </row>
    <row r="744" spans="3:13" x14ac:dyDescent="0.3">
      <c r="C744" s="35">
        <f t="shared" si="11"/>
        <v>0</v>
      </c>
      <c r="D744" s="30" t="str">
        <f>IFERROR(VLOOKUP(C744,소속부서!$A$2:$B$20,2,FALSE), "")</f>
        <v/>
      </c>
      <c r="L744" s="36" t="str">
        <f>IFERROR(VLOOKUP(I744,보도매체!$A:$C,2,FALSE), "")</f>
        <v/>
      </c>
      <c r="M744" s="38" t="str">
        <f>IFERROR(VLOOKUP(I744,보도매체!$A:$C,3,FALSE), "")</f>
        <v/>
      </c>
    </row>
    <row r="745" spans="3:13" x14ac:dyDescent="0.3">
      <c r="C745" s="35">
        <f t="shared" si="11"/>
        <v>0</v>
      </c>
      <c r="D745" s="30" t="str">
        <f>IFERROR(VLOOKUP(C745,소속부서!$A$2:$B$20,2,FALSE), "")</f>
        <v/>
      </c>
      <c r="L745" s="36" t="str">
        <f>IFERROR(VLOOKUP(I745,보도매체!$A:$C,2,FALSE), "")</f>
        <v/>
      </c>
      <c r="M745" s="38" t="str">
        <f>IFERROR(VLOOKUP(I745,보도매체!$A:$C,3,FALSE), "")</f>
        <v/>
      </c>
    </row>
    <row r="746" spans="3:13" x14ac:dyDescent="0.3">
      <c r="C746" s="35">
        <f t="shared" si="11"/>
        <v>0</v>
      </c>
      <c r="D746" s="30" t="str">
        <f>IFERROR(VLOOKUP(C746,소속부서!$A$2:$B$20,2,FALSE), "")</f>
        <v/>
      </c>
      <c r="L746" s="36" t="str">
        <f>IFERROR(VLOOKUP(I746,보도매체!$A:$C,2,FALSE), "")</f>
        <v/>
      </c>
      <c r="M746" s="38" t="str">
        <f>IFERROR(VLOOKUP(I746,보도매체!$A:$C,3,FALSE), "")</f>
        <v/>
      </c>
    </row>
    <row r="747" spans="3:13" x14ac:dyDescent="0.3">
      <c r="C747" s="35">
        <f t="shared" si="11"/>
        <v>0</v>
      </c>
      <c r="D747" s="30" t="str">
        <f>IFERROR(VLOOKUP(C747,소속부서!$A$2:$B$20,2,FALSE), "")</f>
        <v/>
      </c>
      <c r="L747" s="36" t="str">
        <f>IFERROR(VLOOKUP(I747,보도매체!$A:$C,2,FALSE), "")</f>
        <v/>
      </c>
      <c r="M747" s="38" t="str">
        <f>IFERROR(VLOOKUP(I747,보도매체!$A:$C,3,FALSE), "")</f>
        <v/>
      </c>
    </row>
    <row r="748" spans="3:13" x14ac:dyDescent="0.3">
      <c r="C748" s="35">
        <f t="shared" si="11"/>
        <v>0</v>
      </c>
      <c r="D748" s="30" t="str">
        <f>IFERROR(VLOOKUP(C748,소속부서!$A$2:$B$20,2,FALSE), "")</f>
        <v/>
      </c>
      <c r="L748" s="36" t="str">
        <f>IFERROR(VLOOKUP(I748,보도매체!$A:$C,2,FALSE), "")</f>
        <v/>
      </c>
      <c r="M748" s="38" t="str">
        <f>IFERROR(VLOOKUP(I748,보도매체!$A:$C,3,FALSE), "")</f>
        <v/>
      </c>
    </row>
    <row r="749" spans="3:13" x14ac:dyDescent="0.3">
      <c r="C749" s="35">
        <f t="shared" si="11"/>
        <v>0</v>
      </c>
      <c r="D749" s="30" t="str">
        <f>IFERROR(VLOOKUP(C749,소속부서!$A$2:$B$20,2,FALSE), "")</f>
        <v/>
      </c>
      <c r="L749" s="36" t="str">
        <f>IFERROR(VLOOKUP(I749,보도매체!$A:$C,2,FALSE), "")</f>
        <v/>
      </c>
      <c r="M749" s="38" t="str">
        <f>IFERROR(VLOOKUP(I749,보도매체!$A:$C,3,FALSE), "")</f>
        <v/>
      </c>
    </row>
    <row r="750" spans="3:13" x14ac:dyDescent="0.3">
      <c r="C750" s="35">
        <f t="shared" si="11"/>
        <v>0</v>
      </c>
      <c r="D750" s="30" t="str">
        <f>IFERROR(VLOOKUP(C750,소속부서!$A$2:$B$20,2,FALSE), "")</f>
        <v/>
      </c>
      <c r="L750" s="36" t="str">
        <f>IFERROR(VLOOKUP(I750,보도매체!$A:$C,2,FALSE), "")</f>
        <v/>
      </c>
      <c r="M750" s="38" t="str">
        <f>IFERROR(VLOOKUP(I750,보도매체!$A:$C,3,FALSE), "")</f>
        <v/>
      </c>
    </row>
    <row r="751" spans="3:13" x14ac:dyDescent="0.3">
      <c r="C751" s="35">
        <f t="shared" si="11"/>
        <v>0</v>
      </c>
      <c r="D751" s="30" t="str">
        <f>IFERROR(VLOOKUP(C751,소속부서!$A$2:$B$20,2,FALSE), "")</f>
        <v/>
      </c>
      <c r="L751" s="36" t="str">
        <f>IFERROR(VLOOKUP(I751,보도매체!$A:$C,2,FALSE), "")</f>
        <v/>
      </c>
      <c r="M751" s="38" t="str">
        <f>IFERROR(VLOOKUP(I751,보도매체!$A:$C,3,FALSE), "")</f>
        <v/>
      </c>
    </row>
    <row r="752" spans="3:13" x14ac:dyDescent="0.3">
      <c r="C752" s="35">
        <f t="shared" si="11"/>
        <v>0</v>
      </c>
      <c r="D752" s="30" t="str">
        <f>IFERROR(VLOOKUP(C752,소속부서!$A$2:$B$20,2,FALSE), "")</f>
        <v/>
      </c>
      <c r="L752" s="36" t="str">
        <f>IFERROR(VLOOKUP(I752,보도매체!$A:$C,2,FALSE), "")</f>
        <v/>
      </c>
      <c r="M752" s="38" t="str">
        <f>IFERROR(VLOOKUP(I752,보도매체!$A:$C,3,FALSE), "")</f>
        <v/>
      </c>
    </row>
    <row r="753" spans="3:13" x14ac:dyDescent="0.3">
      <c r="C753" s="35">
        <f t="shared" si="11"/>
        <v>0</v>
      </c>
      <c r="D753" s="30" t="str">
        <f>IFERROR(VLOOKUP(C753,소속부서!$A$2:$B$20,2,FALSE), "")</f>
        <v/>
      </c>
      <c r="L753" s="36" t="str">
        <f>IFERROR(VLOOKUP(I753,보도매체!$A:$C,2,FALSE), "")</f>
        <v/>
      </c>
      <c r="M753" s="38" t="str">
        <f>IFERROR(VLOOKUP(I753,보도매체!$A:$C,3,FALSE), "")</f>
        <v/>
      </c>
    </row>
    <row r="754" spans="3:13" x14ac:dyDescent="0.3">
      <c r="C754" s="35">
        <f t="shared" si="11"/>
        <v>0</v>
      </c>
      <c r="D754" s="30" t="str">
        <f>IFERROR(VLOOKUP(C754,소속부서!$A$2:$B$20,2,FALSE), "")</f>
        <v/>
      </c>
      <c r="L754" s="36" t="str">
        <f>IFERROR(VLOOKUP(I754,보도매체!$A:$C,2,FALSE), "")</f>
        <v/>
      </c>
      <c r="M754" s="38" t="str">
        <f>IFERROR(VLOOKUP(I754,보도매체!$A:$C,3,FALSE), "")</f>
        <v/>
      </c>
    </row>
    <row r="755" spans="3:13" x14ac:dyDescent="0.3">
      <c r="C755" s="35">
        <f t="shared" si="11"/>
        <v>0</v>
      </c>
      <c r="D755" s="30" t="str">
        <f>IFERROR(VLOOKUP(C755,소속부서!$A$2:$B$20,2,FALSE), "")</f>
        <v/>
      </c>
      <c r="L755" s="36" t="str">
        <f>IFERROR(VLOOKUP(I755,보도매체!$A:$C,2,FALSE), "")</f>
        <v/>
      </c>
      <c r="M755" s="38" t="str">
        <f>IFERROR(VLOOKUP(I755,보도매체!$A:$C,3,FALSE), "")</f>
        <v/>
      </c>
    </row>
    <row r="756" spans="3:13" x14ac:dyDescent="0.3">
      <c r="C756" s="35">
        <f t="shared" si="11"/>
        <v>0</v>
      </c>
      <c r="D756" s="30" t="str">
        <f>IFERROR(VLOOKUP(C756,소속부서!$A$2:$B$20,2,FALSE), "")</f>
        <v/>
      </c>
      <c r="L756" s="36" t="str">
        <f>IFERROR(VLOOKUP(I756,보도매체!$A:$C,2,FALSE), "")</f>
        <v/>
      </c>
      <c r="M756" s="38" t="str">
        <f>IFERROR(VLOOKUP(I756,보도매체!$A:$C,3,FALSE), "")</f>
        <v/>
      </c>
    </row>
    <row r="757" spans="3:13" x14ac:dyDescent="0.3">
      <c r="C757" s="35">
        <f t="shared" si="11"/>
        <v>0</v>
      </c>
      <c r="D757" s="30" t="str">
        <f>IFERROR(VLOOKUP(C757,소속부서!$A$2:$B$20,2,FALSE), "")</f>
        <v/>
      </c>
      <c r="L757" s="36" t="str">
        <f>IFERROR(VLOOKUP(I757,보도매체!$A:$C,2,FALSE), "")</f>
        <v/>
      </c>
      <c r="M757" s="38" t="str">
        <f>IFERROR(VLOOKUP(I757,보도매체!$A:$C,3,FALSE), "")</f>
        <v/>
      </c>
    </row>
    <row r="758" spans="3:13" x14ac:dyDescent="0.3">
      <c r="C758" s="35">
        <f t="shared" si="11"/>
        <v>0</v>
      </c>
      <c r="D758" s="30" t="str">
        <f>IFERROR(VLOOKUP(C758,소속부서!$A$2:$B$20,2,FALSE), "")</f>
        <v/>
      </c>
      <c r="L758" s="36" t="str">
        <f>IFERROR(VLOOKUP(I758,보도매체!$A:$C,2,FALSE), "")</f>
        <v/>
      </c>
      <c r="M758" s="38" t="str">
        <f>IFERROR(VLOOKUP(I758,보도매체!$A:$C,3,FALSE), "")</f>
        <v/>
      </c>
    </row>
    <row r="759" spans="3:13" x14ac:dyDescent="0.3">
      <c r="C759" s="35">
        <f t="shared" si="11"/>
        <v>0</v>
      </c>
      <c r="D759" s="30" t="str">
        <f>IFERROR(VLOOKUP(C759,소속부서!$A$2:$B$20,2,FALSE), "")</f>
        <v/>
      </c>
      <c r="L759" s="36" t="str">
        <f>IFERROR(VLOOKUP(I759,보도매체!$A:$C,2,FALSE), "")</f>
        <v/>
      </c>
      <c r="M759" s="38" t="str">
        <f>IFERROR(VLOOKUP(I759,보도매체!$A:$C,3,FALSE), "")</f>
        <v/>
      </c>
    </row>
    <row r="760" spans="3:13" x14ac:dyDescent="0.3">
      <c r="C760" s="35">
        <f t="shared" si="11"/>
        <v>0</v>
      </c>
      <c r="D760" s="30" t="str">
        <f>IFERROR(VLOOKUP(C760,소속부서!$A$2:$B$20,2,FALSE), "")</f>
        <v/>
      </c>
      <c r="L760" s="36" t="str">
        <f>IFERROR(VLOOKUP(I760,보도매체!$A:$C,2,FALSE), "")</f>
        <v/>
      </c>
      <c r="M760" s="38" t="str">
        <f>IFERROR(VLOOKUP(I760,보도매체!$A:$C,3,FALSE), "")</f>
        <v/>
      </c>
    </row>
    <row r="761" spans="3:13" x14ac:dyDescent="0.3">
      <c r="C761" s="35">
        <f t="shared" si="11"/>
        <v>0</v>
      </c>
      <c r="D761" s="30" t="str">
        <f>IFERROR(VLOOKUP(C761,소속부서!$A$2:$B$20,2,FALSE), "")</f>
        <v/>
      </c>
      <c r="L761" s="36" t="str">
        <f>IFERROR(VLOOKUP(I761,보도매체!$A:$C,2,FALSE), "")</f>
        <v/>
      </c>
      <c r="M761" s="38" t="str">
        <f>IFERROR(VLOOKUP(I761,보도매체!$A:$C,3,FALSE), "")</f>
        <v/>
      </c>
    </row>
    <row r="762" spans="3:13" x14ac:dyDescent="0.3">
      <c r="C762" s="35">
        <f t="shared" si="11"/>
        <v>0</v>
      </c>
      <c r="D762" s="30" t="str">
        <f>IFERROR(VLOOKUP(C762,소속부서!$A$2:$B$20,2,FALSE), "")</f>
        <v/>
      </c>
      <c r="L762" s="36" t="str">
        <f>IFERROR(VLOOKUP(I762,보도매체!$A:$C,2,FALSE), "")</f>
        <v/>
      </c>
      <c r="M762" s="38" t="str">
        <f>IFERROR(VLOOKUP(I762,보도매체!$A:$C,3,FALSE), "")</f>
        <v/>
      </c>
    </row>
    <row r="763" spans="3:13" x14ac:dyDescent="0.3">
      <c r="C763" s="35">
        <f t="shared" si="11"/>
        <v>0</v>
      </c>
      <c r="D763" s="30" t="str">
        <f>IFERROR(VLOOKUP(C763,소속부서!$A$2:$B$20,2,FALSE), "")</f>
        <v/>
      </c>
      <c r="L763" s="36" t="str">
        <f>IFERROR(VLOOKUP(I763,보도매체!$A:$C,2,FALSE), "")</f>
        <v/>
      </c>
      <c r="M763" s="38" t="str">
        <f>IFERROR(VLOOKUP(I763,보도매체!$A:$C,3,FALSE), "")</f>
        <v/>
      </c>
    </row>
    <row r="764" spans="3:13" x14ac:dyDescent="0.3">
      <c r="C764" s="35">
        <f t="shared" si="11"/>
        <v>0</v>
      </c>
      <c r="D764" s="30" t="str">
        <f>IFERROR(VLOOKUP(C764,소속부서!$A$2:$B$20,2,FALSE), "")</f>
        <v/>
      </c>
      <c r="L764" s="36" t="str">
        <f>IFERROR(VLOOKUP(I764,보도매체!$A:$C,2,FALSE), "")</f>
        <v/>
      </c>
      <c r="M764" s="38" t="str">
        <f>IFERROR(VLOOKUP(I764,보도매체!$A:$C,3,FALSE), "")</f>
        <v/>
      </c>
    </row>
    <row r="765" spans="3:13" x14ac:dyDescent="0.3">
      <c r="C765" s="35">
        <f t="shared" si="11"/>
        <v>0</v>
      </c>
      <c r="D765" s="30" t="str">
        <f>IFERROR(VLOOKUP(C765,소속부서!$A$2:$B$20,2,FALSE), "")</f>
        <v/>
      </c>
      <c r="L765" s="36" t="str">
        <f>IFERROR(VLOOKUP(I765,보도매체!$A:$C,2,FALSE), "")</f>
        <v/>
      </c>
      <c r="M765" s="38" t="str">
        <f>IFERROR(VLOOKUP(I765,보도매체!$A:$C,3,FALSE), "")</f>
        <v/>
      </c>
    </row>
    <row r="766" spans="3:13" x14ac:dyDescent="0.3">
      <c r="C766" s="35">
        <f t="shared" si="11"/>
        <v>0</v>
      </c>
      <c r="D766" s="30" t="str">
        <f>IFERROR(VLOOKUP(C766,소속부서!$A$2:$B$20,2,FALSE), "")</f>
        <v/>
      </c>
      <c r="L766" s="36" t="str">
        <f>IFERROR(VLOOKUP(I766,보도매체!$A:$C,2,FALSE), "")</f>
        <v/>
      </c>
      <c r="M766" s="38" t="str">
        <f>IFERROR(VLOOKUP(I766,보도매체!$A:$C,3,FALSE), "")</f>
        <v/>
      </c>
    </row>
    <row r="767" spans="3:13" x14ac:dyDescent="0.3">
      <c r="C767" s="35">
        <f t="shared" si="11"/>
        <v>0</v>
      </c>
      <c r="D767" s="30" t="str">
        <f>IFERROR(VLOOKUP(C767,소속부서!$A$2:$B$20,2,FALSE), "")</f>
        <v/>
      </c>
      <c r="L767" s="36" t="str">
        <f>IFERROR(VLOOKUP(I767,보도매체!$A:$C,2,FALSE), "")</f>
        <v/>
      </c>
      <c r="M767" s="38" t="str">
        <f>IFERROR(VLOOKUP(I767,보도매체!$A:$C,3,FALSE), "")</f>
        <v/>
      </c>
    </row>
    <row r="768" spans="3:13" x14ac:dyDescent="0.3">
      <c r="C768" s="35">
        <f t="shared" si="11"/>
        <v>0</v>
      </c>
      <c r="D768" s="30" t="str">
        <f>IFERROR(VLOOKUP(C768,소속부서!$A$2:$B$20,2,FALSE), "")</f>
        <v/>
      </c>
      <c r="L768" s="36" t="str">
        <f>IFERROR(VLOOKUP(I768,보도매체!$A:$C,2,FALSE), "")</f>
        <v/>
      </c>
      <c r="M768" s="38" t="str">
        <f>IFERROR(VLOOKUP(I768,보도매체!$A:$C,3,FALSE), "")</f>
        <v/>
      </c>
    </row>
    <row r="769" spans="3:13" x14ac:dyDescent="0.3">
      <c r="C769" s="35">
        <f t="shared" ref="C769:C832" si="12">E769</f>
        <v>0</v>
      </c>
      <c r="D769" s="30" t="str">
        <f>IFERROR(VLOOKUP(C769,소속부서!$A$2:$B$20,2,FALSE), "")</f>
        <v/>
      </c>
      <c r="L769" s="36" t="str">
        <f>IFERROR(VLOOKUP(I769,보도매체!$A:$C,2,FALSE), "")</f>
        <v/>
      </c>
      <c r="M769" s="38" t="str">
        <f>IFERROR(VLOOKUP(I769,보도매체!$A:$C,3,FALSE), "")</f>
        <v/>
      </c>
    </row>
    <row r="770" spans="3:13" x14ac:dyDescent="0.3">
      <c r="C770" s="35">
        <f t="shared" si="12"/>
        <v>0</v>
      </c>
      <c r="D770" s="30" t="str">
        <f>IFERROR(VLOOKUP(C770,소속부서!$A$2:$B$20,2,FALSE), "")</f>
        <v/>
      </c>
      <c r="L770" s="36" t="str">
        <f>IFERROR(VLOOKUP(I770,보도매체!$A:$C,2,FALSE), "")</f>
        <v/>
      </c>
      <c r="M770" s="38" t="str">
        <f>IFERROR(VLOOKUP(I770,보도매체!$A:$C,3,FALSE), "")</f>
        <v/>
      </c>
    </row>
    <row r="771" spans="3:13" x14ac:dyDescent="0.3">
      <c r="C771" s="35">
        <f t="shared" si="12"/>
        <v>0</v>
      </c>
      <c r="D771" s="30" t="str">
        <f>IFERROR(VLOOKUP(C771,소속부서!$A$2:$B$20,2,FALSE), "")</f>
        <v/>
      </c>
      <c r="L771" s="36" t="str">
        <f>IFERROR(VLOOKUP(I771,보도매체!$A:$C,2,FALSE), "")</f>
        <v/>
      </c>
      <c r="M771" s="38" t="str">
        <f>IFERROR(VLOOKUP(I771,보도매체!$A:$C,3,FALSE), "")</f>
        <v/>
      </c>
    </row>
    <row r="772" spans="3:13" x14ac:dyDescent="0.3">
      <c r="C772" s="35">
        <f t="shared" si="12"/>
        <v>0</v>
      </c>
      <c r="D772" s="30" t="str">
        <f>IFERROR(VLOOKUP(C772,소속부서!$A$2:$B$20,2,FALSE), "")</f>
        <v/>
      </c>
      <c r="L772" s="36" t="str">
        <f>IFERROR(VLOOKUP(I772,보도매체!$A:$C,2,FALSE), "")</f>
        <v/>
      </c>
      <c r="M772" s="38" t="str">
        <f>IFERROR(VLOOKUP(I772,보도매체!$A:$C,3,FALSE), "")</f>
        <v/>
      </c>
    </row>
    <row r="773" spans="3:13" x14ac:dyDescent="0.3">
      <c r="C773" s="35">
        <f t="shared" si="12"/>
        <v>0</v>
      </c>
      <c r="D773" s="30" t="str">
        <f>IFERROR(VLOOKUP(C773,소속부서!$A$2:$B$20,2,FALSE), "")</f>
        <v/>
      </c>
      <c r="L773" s="36" t="str">
        <f>IFERROR(VLOOKUP(I773,보도매체!$A:$C,2,FALSE), "")</f>
        <v/>
      </c>
      <c r="M773" s="38" t="str">
        <f>IFERROR(VLOOKUP(I773,보도매체!$A:$C,3,FALSE), "")</f>
        <v/>
      </c>
    </row>
    <row r="774" spans="3:13" x14ac:dyDescent="0.3">
      <c r="C774" s="35">
        <f t="shared" si="12"/>
        <v>0</v>
      </c>
      <c r="D774" s="30" t="str">
        <f>IFERROR(VLOOKUP(C774,소속부서!$A$2:$B$20,2,FALSE), "")</f>
        <v/>
      </c>
      <c r="L774" s="36" t="str">
        <f>IFERROR(VLOOKUP(I774,보도매체!$A:$C,2,FALSE), "")</f>
        <v/>
      </c>
      <c r="M774" s="38" t="str">
        <f>IFERROR(VLOOKUP(I774,보도매체!$A:$C,3,FALSE), "")</f>
        <v/>
      </c>
    </row>
    <row r="775" spans="3:13" x14ac:dyDescent="0.3">
      <c r="C775" s="35">
        <f t="shared" si="12"/>
        <v>0</v>
      </c>
      <c r="D775" s="30" t="str">
        <f>IFERROR(VLOOKUP(C775,소속부서!$A$2:$B$20,2,FALSE), "")</f>
        <v/>
      </c>
      <c r="L775" s="36" t="str">
        <f>IFERROR(VLOOKUP(I775,보도매체!$A:$C,2,FALSE), "")</f>
        <v/>
      </c>
      <c r="M775" s="38" t="str">
        <f>IFERROR(VLOOKUP(I775,보도매체!$A:$C,3,FALSE), "")</f>
        <v/>
      </c>
    </row>
    <row r="776" spans="3:13" x14ac:dyDescent="0.3">
      <c r="C776" s="35">
        <f t="shared" si="12"/>
        <v>0</v>
      </c>
      <c r="D776" s="30" t="str">
        <f>IFERROR(VLOOKUP(C776,소속부서!$A$2:$B$20,2,FALSE), "")</f>
        <v/>
      </c>
      <c r="L776" s="36" t="str">
        <f>IFERROR(VLOOKUP(I776,보도매체!$A:$C,2,FALSE), "")</f>
        <v/>
      </c>
      <c r="M776" s="38" t="str">
        <f>IFERROR(VLOOKUP(I776,보도매체!$A:$C,3,FALSE), "")</f>
        <v/>
      </c>
    </row>
    <row r="777" spans="3:13" x14ac:dyDescent="0.3">
      <c r="C777" s="35">
        <f t="shared" si="12"/>
        <v>0</v>
      </c>
      <c r="D777" s="30" t="str">
        <f>IFERROR(VLOOKUP(C777,소속부서!$A$2:$B$20,2,FALSE), "")</f>
        <v/>
      </c>
      <c r="L777" s="36" t="str">
        <f>IFERROR(VLOOKUP(I777,보도매체!$A:$C,2,FALSE), "")</f>
        <v/>
      </c>
      <c r="M777" s="38" t="str">
        <f>IFERROR(VLOOKUP(I777,보도매체!$A:$C,3,FALSE), "")</f>
        <v/>
      </c>
    </row>
    <row r="778" spans="3:13" x14ac:dyDescent="0.3">
      <c r="C778" s="35">
        <f t="shared" si="12"/>
        <v>0</v>
      </c>
      <c r="D778" s="30" t="str">
        <f>IFERROR(VLOOKUP(C778,소속부서!$A$2:$B$20,2,FALSE), "")</f>
        <v/>
      </c>
      <c r="L778" s="36" t="str">
        <f>IFERROR(VLOOKUP(I778,보도매체!$A:$C,2,FALSE), "")</f>
        <v/>
      </c>
      <c r="M778" s="38" t="str">
        <f>IFERROR(VLOOKUP(I778,보도매체!$A:$C,3,FALSE), "")</f>
        <v/>
      </c>
    </row>
    <row r="779" spans="3:13" x14ac:dyDescent="0.3">
      <c r="C779" s="35">
        <f t="shared" si="12"/>
        <v>0</v>
      </c>
      <c r="D779" s="30" t="str">
        <f>IFERROR(VLOOKUP(C779,소속부서!$A$2:$B$20,2,FALSE), "")</f>
        <v/>
      </c>
      <c r="L779" s="36" t="str">
        <f>IFERROR(VLOOKUP(I779,보도매체!$A:$C,2,FALSE), "")</f>
        <v/>
      </c>
      <c r="M779" s="38" t="str">
        <f>IFERROR(VLOOKUP(I779,보도매체!$A:$C,3,FALSE), "")</f>
        <v/>
      </c>
    </row>
    <row r="780" spans="3:13" x14ac:dyDescent="0.3">
      <c r="C780" s="35">
        <f t="shared" si="12"/>
        <v>0</v>
      </c>
      <c r="D780" s="30" t="str">
        <f>IFERROR(VLOOKUP(C780,소속부서!$A$2:$B$20,2,FALSE), "")</f>
        <v/>
      </c>
      <c r="L780" s="36" t="str">
        <f>IFERROR(VLOOKUP(I780,보도매체!$A:$C,2,FALSE), "")</f>
        <v/>
      </c>
      <c r="M780" s="38" t="str">
        <f>IFERROR(VLOOKUP(I780,보도매체!$A:$C,3,FALSE), "")</f>
        <v/>
      </c>
    </row>
    <row r="781" spans="3:13" x14ac:dyDescent="0.3">
      <c r="C781" s="35">
        <f t="shared" si="12"/>
        <v>0</v>
      </c>
      <c r="D781" s="30" t="str">
        <f>IFERROR(VLOOKUP(C781,소속부서!$A$2:$B$20,2,FALSE), "")</f>
        <v/>
      </c>
      <c r="L781" s="36" t="str">
        <f>IFERROR(VLOOKUP(I781,보도매체!$A:$C,2,FALSE), "")</f>
        <v/>
      </c>
      <c r="M781" s="38" t="str">
        <f>IFERROR(VLOOKUP(I781,보도매체!$A:$C,3,FALSE), "")</f>
        <v/>
      </c>
    </row>
    <row r="782" spans="3:13" x14ac:dyDescent="0.3">
      <c r="C782" s="35">
        <f t="shared" si="12"/>
        <v>0</v>
      </c>
      <c r="D782" s="30" t="str">
        <f>IFERROR(VLOOKUP(C782,소속부서!$A$2:$B$20,2,FALSE), "")</f>
        <v/>
      </c>
      <c r="L782" s="36" t="str">
        <f>IFERROR(VLOOKUP(I782,보도매체!$A:$C,2,FALSE), "")</f>
        <v/>
      </c>
      <c r="M782" s="38" t="str">
        <f>IFERROR(VLOOKUP(I782,보도매체!$A:$C,3,FALSE), "")</f>
        <v/>
      </c>
    </row>
    <row r="783" spans="3:13" x14ac:dyDescent="0.3">
      <c r="C783" s="35">
        <f t="shared" si="12"/>
        <v>0</v>
      </c>
      <c r="D783" s="30" t="str">
        <f>IFERROR(VLOOKUP(C783,소속부서!$A$2:$B$20,2,FALSE), "")</f>
        <v/>
      </c>
      <c r="L783" s="36" t="str">
        <f>IFERROR(VLOOKUP(I783,보도매체!$A:$C,2,FALSE), "")</f>
        <v/>
      </c>
      <c r="M783" s="38" t="str">
        <f>IFERROR(VLOOKUP(I783,보도매체!$A:$C,3,FALSE), "")</f>
        <v/>
      </c>
    </row>
    <row r="784" spans="3:13" x14ac:dyDescent="0.3">
      <c r="C784" s="35">
        <f t="shared" si="12"/>
        <v>0</v>
      </c>
      <c r="D784" s="30" t="str">
        <f>IFERROR(VLOOKUP(C784,소속부서!$A$2:$B$20,2,FALSE), "")</f>
        <v/>
      </c>
      <c r="L784" s="36" t="str">
        <f>IFERROR(VLOOKUP(I784,보도매체!$A:$C,2,FALSE), "")</f>
        <v/>
      </c>
      <c r="M784" s="38" t="str">
        <f>IFERROR(VLOOKUP(I784,보도매체!$A:$C,3,FALSE), "")</f>
        <v/>
      </c>
    </row>
    <row r="785" spans="3:13" x14ac:dyDescent="0.3">
      <c r="C785" s="35">
        <f t="shared" si="12"/>
        <v>0</v>
      </c>
      <c r="D785" s="30" t="str">
        <f>IFERROR(VLOOKUP(C785,소속부서!$A$2:$B$20,2,FALSE), "")</f>
        <v/>
      </c>
      <c r="L785" s="36" t="str">
        <f>IFERROR(VLOOKUP(I785,보도매체!$A:$C,2,FALSE), "")</f>
        <v/>
      </c>
      <c r="M785" s="38" t="str">
        <f>IFERROR(VLOOKUP(I785,보도매체!$A:$C,3,FALSE), "")</f>
        <v/>
      </c>
    </row>
    <row r="786" spans="3:13" x14ac:dyDescent="0.3">
      <c r="C786" s="35">
        <f t="shared" si="12"/>
        <v>0</v>
      </c>
      <c r="D786" s="30" t="str">
        <f>IFERROR(VLOOKUP(C786,소속부서!$A$2:$B$20,2,FALSE), "")</f>
        <v/>
      </c>
      <c r="L786" s="36" t="str">
        <f>IFERROR(VLOOKUP(I786,보도매체!$A:$C,2,FALSE), "")</f>
        <v/>
      </c>
      <c r="M786" s="38" t="str">
        <f>IFERROR(VLOOKUP(I786,보도매체!$A:$C,3,FALSE), "")</f>
        <v/>
      </c>
    </row>
    <row r="787" spans="3:13" x14ac:dyDescent="0.3">
      <c r="C787" s="35">
        <f t="shared" si="12"/>
        <v>0</v>
      </c>
      <c r="D787" s="30" t="str">
        <f>IFERROR(VLOOKUP(C787,소속부서!$A$2:$B$20,2,FALSE), "")</f>
        <v/>
      </c>
      <c r="L787" s="36" t="str">
        <f>IFERROR(VLOOKUP(I787,보도매체!$A:$C,2,FALSE), "")</f>
        <v/>
      </c>
      <c r="M787" s="38" t="str">
        <f>IFERROR(VLOOKUP(I787,보도매체!$A:$C,3,FALSE), "")</f>
        <v/>
      </c>
    </row>
    <row r="788" spans="3:13" x14ac:dyDescent="0.3">
      <c r="C788" s="35">
        <f t="shared" si="12"/>
        <v>0</v>
      </c>
      <c r="D788" s="30" t="str">
        <f>IFERROR(VLOOKUP(C788,소속부서!$A$2:$B$20,2,FALSE), "")</f>
        <v/>
      </c>
      <c r="L788" s="36" t="str">
        <f>IFERROR(VLOOKUP(I788,보도매체!$A:$C,2,FALSE), "")</f>
        <v/>
      </c>
      <c r="M788" s="38" t="str">
        <f>IFERROR(VLOOKUP(I788,보도매체!$A:$C,3,FALSE), "")</f>
        <v/>
      </c>
    </row>
    <row r="789" spans="3:13" x14ac:dyDescent="0.3">
      <c r="C789" s="35">
        <f t="shared" si="12"/>
        <v>0</v>
      </c>
      <c r="D789" s="30" t="str">
        <f>IFERROR(VLOOKUP(C789,소속부서!$A$2:$B$20,2,FALSE), "")</f>
        <v/>
      </c>
      <c r="L789" s="36" t="str">
        <f>IFERROR(VLOOKUP(I789,보도매체!$A:$C,2,FALSE), "")</f>
        <v/>
      </c>
      <c r="M789" s="38" t="str">
        <f>IFERROR(VLOOKUP(I789,보도매체!$A:$C,3,FALSE), "")</f>
        <v/>
      </c>
    </row>
    <row r="790" spans="3:13" x14ac:dyDescent="0.3">
      <c r="C790" s="35">
        <f t="shared" si="12"/>
        <v>0</v>
      </c>
      <c r="D790" s="30" t="str">
        <f>IFERROR(VLOOKUP(C790,소속부서!$A$2:$B$20,2,FALSE), "")</f>
        <v/>
      </c>
      <c r="L790" s="36" t="str">
        <f>IFERROR(VLOOKUP(I790,보도매체!$A:$C,2,FALSE), "")</f>
        <v/>
      </c>
      <c r="M790" s="38" t="str">
        <f>IFERROR(VLOOKUP(I790,보도매체!$A:$C,3,FALSE), "")</f>
        <v/>
      </c>
    </row>
    <row r="791" spans="3:13" x14ac:dyDescent="0.3">
      <c r="C791" s="35">
        <f t="shared" si="12"/>
        <v>0</v>
      </c>
      <c r="D791" s="30" t="str">
        <f>IFERROR(VLOOKUP(C791,소속부서!$A$2:$B$20,2,FALSE), "")</f>
        <v/>
      </c>
      <c r="L791" s="36" t="str">
        <f>IFERROR(VLOOKUP(I791,보도매체!$A:$C,2,FALSE), "")</f>
        <v/>
      </c>
      <c r="M791" s="38" t="str">
        <f>IFERROR(VLOOKUP(I791,보도매체!$A:$C,3,FALSE), "")</f>
        <v/>
      </c>
    </row>
    <row r="792" spans="3:13" x14ac:dyDescent="0.3">
      <c r="C792" s="35">
        <f t="shared" si="12"/>
        <v>0</v>
      </c>
      <c r="D792" s="30" t="str">
        <f>IFERROR(VLOOKUP(C792,소속부서!$A$2:$B$20,2,FALSE), "")</f>
        <v/>
      </c>
      <c r="L792" s="36" t="str">
        <f>IFERROR(VLOOKUP(I792,보도매체!$A:$C,2,FALSE), "")</f>
        <v/>
      </c>
      <c r="M792" s="38" t="str">
        <f>IFERROR(VLOOKUP(I792,보도매체!$A:$C,3,FALSE), "")</f>
        <v/>
      </c>
    </row>
    <row r="793" spans="3:13" x14ac:dyDescent="0.3">
      <c r="C793" s="35">
        <f t="shared" si="12"/>
        <v>0</v>
      </c>
      <c r="D793" s="30" t="str">
        <f>IFERROR(VLOOKUP(C793,소속부서!$A$2:$B$20,2,FALSE), "")</f>
        <v/>
      </c>
      <c r="L793" s="36" t="str">
        <f>IFERROR(VLOOKUP(I793,보도매체!$A:$C,2,FALSE), "")</f>
        <v/>
      </c>
      <c r="M793" s="38" t="str">
        <f>IFERROR(VLOOKUP(I793,보도매체!$A:$C,3,FALSE), "")</f>
        <v/>
      </c>
    </row>
    <row r="794" spans="3:13" x14ac:dyDescent="0.3">
      <c r="C794" s="35">
        <f t="shared" si="12"/>
        <v>0</v>
      </c>
      <c r="D794" s="30" t="str">
        <f>IFERROR(VLOOKUP(C794,소속부서!$A$2:$B$20,2,FALSE), "")</f>
        <v/>
      </c>
      <c r="L794" s="36" t="str">
        <f>IFERROR(VLOOKUP(I794,보도매체!$A:$C,2,FALSE), "")</f>
        <v/>
      </c>
      <c r="M794" s="38" t="str">
        <f>IFERROR(VLOOKUP(I794,보도매체!$A:$C,3,FALSE), "")</f>
        <v/>
      </c>
    </row>
    <row r="795" spans="3:13" x14ac:dyDescent="0.3">
      <c r="C795" s="35">
        <f t="shared" si="12"/>
        <v>0</v>
      </c>
      <c r="D795" s="30" t="str">
        <f>IFERROR(VLOOKUP(C795,소속부서!$A$2:$B$20,2,FALSE), "")</f>
        <v/>
      </c>
      <c r="L795" s="36" t="str">
        <f>IFERROR(VLOOKUP(I795,보도매체!$A:$C,2,FALSE), "")</f>
        <v/>
      </c>
      <c r="M795" s="38" t="str">
        <f>IFERROR(VLOOKUP(I795,보도매체!$A:$C,3,FALSE), "")</f>
        <v/>
      </c>
    </row>
    <row r="796" spans="3:13" x14ac:dyDescent="0.3">
      <c r="C796" s="35">
        <f t="shared" si="12"/>
        <v>0</v>
      </c>
      <c r="D796" s="30" t="str">
        <f>IFERROR(VLOOKUP(C796,소속부서!$A$2:$B$20,2,FALSE), "")</f>
        <v/>
      </c>
      <c r="L796" s="36" t="str">
        <f>IFERROR(VLOOKUP(I796,보도매체!$A:$C,2,FALSE), "")</f>
        <v/>
      </c>
      <c r="M796" s="38" t="str">
        <f>IFERROR(VLOOKUP(I796,보도매체!$A:$C,3,FALSE), "")</f>
        <v/>
      </c>
    </row>
    <row r="797" spans="3:13" x14ac:dyDescent="0.3">
      <c r="C797" s="35">
        <f t="shared" si="12"/>
        <v>0</v>
      </c>
      <c r="D797" s="30" t="str">
        <f>IFERROR(VLOOKUP(C797,소속부서!$A$2:$B$20,2,FALSE), "")</f>
        <v/>
      </c>
      <c r="L797" s="36" t="str">
        <f>IFERROR(VLOOKUP(I797,보도매체!$A:$C,2,FALSE), "")</f>
        <v/>
      </c>
      <c r="M797" s="38" t="str">
        <f>IFERROR(VLOOKUP(I797,보도매체!$A:$C,3,FALSE), "")</f>
        <v/>
      </c>
    </row>
    <row r="798" spans="3:13" x14ac:dyDescent="0.3">
      <c r="C798" s="35">
        <f t="shared" si="12"/>
        <v>0</v>
      </c>
      <c r="D798" s="30" t="str">
        <f>IFERROR(VLOOKUP(C798,소속부서!$A$2:$B$20,2,FALSE), "")</f>
        <v/>
      </c>
      <c r="L798" s="36" t="str">
        <f>IFERROR(VLOOKUP(I798,보도매체!$A:$C,2,FALSE), "")</f>
        <v/>
      </c>
      <c r="M798" s="38" t="str">
        <f>IFERROR(VLOOKUP(I798,보도매체!$A:$C,3,FALSE), "")</f>
        <v/>
      </c>
    </row>
    <row r="799" spans="3:13" x14ac:dyDescent="0.3">
      <c r="C799" s="35">
        <f t="shared" si="12"/>
        <v>0</v>
      </c>
      <c r="D799" s="30" t="str">
        <f>IFERROR(VLOOKUP(C799,소속부서!$A$2:$B$20,2,FALSE), "")</f>
        <v/>
      </c>
      <c r="L799" s="36" t="str">
        <f>IFERROR(VLOOKUP(I799,보도매체!$A:$C,2,FALSE), "")</f>
        <v/>
      </c>
      <c r="M799" s="38" t="str">
        <f>IFERROR(VLOOKUP(I799,보도매체!$A:$C,3,FALSE), "")</f>
        <v/>
      </c>
    </row>
    <row r="800" spans="3:13" x14ac:dyDescent="0.3">
      <c r="C800" s="35">
        <f t="shared" si="12"/>
        <v>0</v>
      </c>
      <c r="D800" s="30" t="str">
        <f>IFERROR(VLOOKUP(C800,소속부서!$A$2:$B$20,2,FALSE), "")</f>
        <v/>
      </c>
      <c r="L800" s="36" t="str">
        <f>IFERROR(VLOOKUP(I800,보도매체!$A:$C,2,FALSE), "")</f>
        <v/>
      </c>
      <c r="M800" s="38" t="str">
        <f>IFERROR(VLOOKUP(I800,보도매체!$A:$C,3,FALSE), "")</f>
        <v/>
      </c>
    </row>
    <row r="801" spans="3:13" x14ac:dyDescent="0.3">
      <c r="C801" s="35">
        <f t="shared" si="12"/>
        <v>0</v>
      </c>
      <c r="D801" s="30" t="str">
        <f>IFERROR(VLOOKUP(C801,소속부서!$A$2:$B$20,2,FALSE), "")</f>
        <v/>
      </c>
      <c r="L801" s="36" t="str">
        <f>IFERROR(VLOOKUP(I801,보도매체!$A:$C,2,FALSE), "")</f>
        <v/>
      </c>
      <c r="M801" s="38" t="str">
        <f>IFERROR(VLOOKUP(I801,보도매체!$A:$C,3,FALSE), "")</f>
        <v/>
      </c>
    </row>
    <row r="802" spans="3:13" x14ac:dyDescent="0.3">
      <c r="C802" s="35">
        <f t="shared" si="12"/>
        <v>0</v>
      </c>
      <c r="D802" s="30" t="str">
        <f>IFERROR(VLOOKUP(C802,소속부서!$A$2:$B$20,2,FALSE), "")</f>
        <v/>
      </c>
      <c r="L802" s="36" t="str">
        <f>IFERROR(VLOOKUP(I802,보도매체!$A:$C,2,FALSE), "")</f>
        <v/>
      </c>
      <c r="M802" s="38" t="str">
        <f>IFERROR(VLOOKUP(I802,보도매체!$A:$C,3,FALSE), "")</f>
        <v/>
      </c>
    </row>
    <row r="803" spans="3:13" x14ac:dyDescent="0.3">
      <c r="C803" s="35">
        <f t="shared" si="12"/>
        <v>0</v>
      </c>
      <c r="D803" s="30" t="str">
        <f>IFERROR(VLOOKUP(C803,소속부서!$A$2:$B$20,2,FALSE), "")</f>
        <v/>
      </c>
      <c r="L803" s="36" t="str">
        <f>IFERROR(VLOOKUP(I803,보도매체!$A:$C,2,FALSE), "")</f>
        <v/>
      </c>
      <c r="M803" s="38" t="str">
        <f>IFERROR(VLOOKUP(I803,보도매체!$A:$C,3,FALSE), "")</f>
        <v/>
      </c>
    </row>
    <row r="804" spans="3:13" x14ac:dyDescent="0.3">
      <c r="C804" s="35">
        <f t="shared" si="12"/>
        <v>0</v>
      </c>
      <c r="D804" s="30" t="str">
        <f>IFERROR(VLOOKUP(C804,소속부서!$A$2:$B$20,2,FALSE), "")</f>
        <v/>
      </c>
      <c r="L804" s="36" t="str">
        <f>IFERROR(VLOOKUP(I804,보도매체!$A:$C,2,FALSE), "")</f>
        <v/>
      </c>
      <c r="M804" s="38" t="str">
        <f>IFERROR(VLOOKUP(I804,보도매체!$A:$C,3,FALSE), "")</f>
        <v/>
      </c>
    </row>
    <row r="805" spans="3:13" x14ac:dyDescent="0.3">
      <c r="C805" s="35">
        <f t="shared" si="12"/>
        <v>0</v>
      </c>
      <c r="D805" s="30" t="str">
        <f>IFERROR(VLOOKUP(C805,소속부서!$A$2:$B$20,2,FALSE), "")</f>
        <v/>
      </c>
      <c r="L805" s="36" t="str">
        <f>IFERROR(VLOOKUP(I805,보도매체!$A:$C,2,FALSE), "")</f>
        <v/>
      </c>
      <c r="M805" s="38" t="str">
        <f>IFERROR(VLOOKUP(I805,보도매체!$A:$C,3,FALSE), "")</f>
        <v/>
      </c>
    </row>
    <row r="806" spans="3:13" x14ac:dyDescent="0.3">
      <c r="C806" s="35">
        <f t="shared" si="12"/>
        <v>0</v>
      </c>
      <c r="D806" s="30" t="str">
        <f>IFERROR(VLOOKUP(C806,소속부서!$A$2:$B$20,2,FALSE), "")</f>
        <v/>
      </c>
      <c r="L806" s="36" t="str">
        <f>IFERROR(VLOOKUP(I806,보도매체!$A:$C,2,FALSE), "")</f>
        <v/>
      </c>
      <c r="M806" s="38" t="str">
        <f>IFERROR(VLOOKUP(I806,보도매체!$A:$C,3,FALSE), "")</f>
        <v/>
      </c>
    </row>
    <row r="807" spans="3:13" x14ac:dyDescent="0.3">
      <c r="C807" s="35">
        <f t="shared" si="12"/>
        <v>0</v>
      </c>
      <c r="D807" s="30" t="str">
        <f>IFERROR(VLOOKUP(C807,소속부서!$A$2:$B$20,2,FALSE), "")</f>
        <v/>
      </c>
      <c r="L807" s="36" t="str">
        <f>IFERROR(VLOOKUP(I807,보도매체!$A:$C,2,FALSE), "")</f>
        <v/>
      </c>
      <c r="M807" s="38" t="str">
        <f>IFERROR(VLOOKUP(I807,보도매체!$A:$C,3,FALSE), "")</f>
        <v/>
      </c>
    </row>
    <row r="808" spans="3:13" x14ac:dyDescent="0.3">
      <c r="C808" s="35">
        <f t="shared" si="12"/>
        <v>0</v>
      </c>
      <c r="D808" s="30" t="str">
        <f>IFERROR(VLOOKUP(C808,소속부서!$A$2:$B$20,2,FALSE), "")</f>
        <v/>
      </c>
      <c r="L808" s="36" t="str">
        <f>IFERROR(VLOOKUP(I808,보도매체!$A:$C,2,FALSE), "")</f>
        <v/>
      </c>
      <c r="M808" s="38" t="str">
        <f>IFERROR(VLOOKUP(I808,보도매체!$A:$C,3,FALSE), "")</f>
        <v/>
      </c>
    </row>
    <row r="809" spans="3:13" x14ac:dyDescent="0.3">
      <c r="C809" s="35">
        <f t="shared" si="12"/>
        <v>0</v>
      </c>
      <c r="D809" s="30" t="str">
        <f>IFERROR(VLOOKUP(C809,소속부서!$A$2:$B$20,2,FALSE), "")</f>
        <v/>
      </c>
      <c r="L809" s="36" t="str">
        <f>IFERROR(VLOOKUP(I809,보도매체!$A:$C,2,FALSE), "")</f>
        <v/>
      </c>
      <c r="M809" s="38" t="str">
        <f>IFERROR(VLOOKUP(I809,보도매체!$A:$C,3,FALSE), "")</f>
        <v/>
      </c>
    </row>
    <row r="810" spans="3:13" x14ac:dyDescent="0.3">
      <c r="C810" s="35">
        <f t="shared" si="12"/>
        <v>0</v>
      </c>
      <c r="D810" s="30" t="str">
        <f>IFERROR(VLOOKUP(C810,소속부서!$A$2:$B$20,2,FALSE), "")</f>
        <v/>
      </c>
      <c r="L810" s="36" t="str">
        <f>IFERROR(VLOOKUP(I810,보도매체!$A:$C,2,FALSE), "")</f>
        <v/>
      </c>
      <c r="M810" s="38" t="str">
        <f>IFERROR(VLOOKUP(I810,보도매체!$A:$C,3,FALSE), "")</f>
        <v/>
      </c>
    </row>
    <row r="811" spans="3:13" x14ac:dyDescent="0.3">
      <c r="C811" s="35">
        <f t="shared" si="12"/>
        <v>0</v>
      </c>
      <c r="D811" s="30" t="str">
        <f>IFERROR(VLOOKUP(C811,소속부서!$A$2:$B$20,2,FALSE), "")</f>
        <v/>
      </c>
      <c r="L811" s="36" t="str">
        <f>IFERROR(VLOOKUP(I811,보도매체!$A:$C,2,FALSE), "")</f>
        <v/>
      </c>
      <c r="M811" s="38" t="str">
        <f>IFERROR(VLOOKUP(I811,보도매체!$A:$C,3,FALSE), "")</f>
        <v/>
      </c>
    </row>
    <row r="812" spans="3:13" x14ac:dyDescent="0.3">
      <c r="C812" s="35">
        <f t="shared" si="12"/>
        <v>0</v>
      </c>
      <c r="D812" s="30" t="str">
        <f>IFERROR(VLOOKUP(C812,소속부서!$A$2:$B$20,2,FALSE), "")</f>
        <v/>
      </c>
      <c r="L812" s="36" t="str">
        <f>IFERROR(VLOOKUP(I812,보도매체!$A:$C,2,FALSE), "")</f>
        <v/>
      </c>
      <c r="M812" s="38" t="str">
        <f>IFERROR(VLOOKUP(I812,보도매체!$A:$C,3,FALSE), "")</f>
        <v/>
      </c>
    </row>
    <row r="813" spans="3:13" x14ac:dyDescent="0.3">
      <c r="C813" s="35">
        <f t="shared" si="12"/>
        <v>0</v>
      </c>
      <c r="D813" s="30" t="str">
        <f>IFERROR(VLOOKUP(C813,소속부서!$A$2:$B$20,2,FALSE), "")</f>
        <v/>
      </c>
      <c r="L813" s="36" t="str">
        <f>IFERROR(VLOOKUP(I813,보도매체!$A:$C,2,FALSE), "")</f>
        <v/>
      </c>
      <c r="M813" s="38" t="str">
        <f>IFERROR(VLOOKUP(I813,보도매체!$A:$C,3,FALSE), "")</f>
        <v/>
      </c>
    </row>
    <row r="814" spans="3:13" x14ac:dyDescent="0.3">
      <c r="C814" s="35">
        <f t="shared" si="12"/>
        <v>0</v>
      </c>
      <c r="D814" s="30" t="str">
        <f>IFERROR(VLOOKUP(C814,소속부서!$A$2:$B$20,2,FALSE), "")</f>
        <v/>
      </c>
      <c r="L814" s="36" t="str">
        <f>IFERROR(VLOOKUP(I814,보도매체!$A:$C,2,FALSE), "")</f>
        <v/>
      </c>
      <c r="M814" s="38" t="str">
        <f>IFERROR(VLOOKUP(I814,보도매체!$A:$C,3,FALSE), "")</f>
        <v/>
      </c>
    </row>
    <row r="815" spans="3:13" x14ac:dyDescent="0.3">
      <c r="C815" s="35">
        <f t="shared" si="12"/>
        <v>0</v>
      </c>
      <c r="D815" s="30" t="str">
        <f>IFERROR(VLOOKUP(C815,소속부서!$A$2:$B$20,2,FALSE), "")</f>
        <v/>
      </c>
      <c r="L815" s="36" t="str">
        <f>IFERROR(VLOOKUP(I815,보도매체!$A:$C,2,FALSE), "")</f>
        <v/>
      </c>
      <c r="M815" s="38" t="str">
        <f>IFERROR(VLOOKUP(I815,보도매체!$A:$C,3,FALSE), "")</f>
        <v/>
      </c>
    </row>
    <row r="816" spans="3:13" x14ac:dyDescent="0.3">
      <c r="C816" s="35">
        <f t="shared" si="12"/>
        <v>0</v>
      </c>
      <c r="D816" s="30" t="str">
        <f>IFERROR(VLOOKUP(C816,소속부서!$A$2:$B$20,2,FALSE), "")</f>
        <v/>
      </c>
      <c r="L816" s="36" t="str">
        <f>IFERROR(VLOOKUP(I816,보도매체!$A:$C,2,FALSE), "")</f>
        <v/>
      </c>
      <c r="M816" s="38" t="str">
        <f>IFERROR(VLOOKUP(I816,보도매체!$A:$C,3,FALSE), "")</f>
        <v/>
      </c>
    </row>
    <row r="817" spans="3:13" x14ac:dyDescent="0.3">
      <c r="C817" s="35">
        <f t="shared" si="12"/>
        <v>0</v>
      </c>
      <c r="D817" s="30" t="str">
        <f>IFERROR(VLOOKUP(C817,소속부서!$A$2:$B$20,2,FALSE), "")</f>
        <v/>
      </c>
      <c r="L817" s="36" t="str">
        <f>IFERROR(VLOOKUP(I817,보도매체!$A:$C,2,FALSE), "")</f>
        <v/>
      </c>
      <c r="M817" s="38" t="str">
        <f>IFERROR(VLOOKUP(I817,보도매체!$A:$C,3,FALSE), "")</f>
        <v/>
      </c>
    </row>
    <row r="818" spans="3:13" x14ac:dyDescent="0.3">
      <c r="C818" s="35">
        <f t="shared" si="12"/>
        <v>0</v>
      </c>
      <c r="D818" s="30" t="str">
        <f>IFERROR(VLOOKUP(C818,소속부서!$A$2:$B$20,2,FALSE), "")</f>
        <v/>
      </c>
      <c r="L818" s="36" t="str">
        <f>IFERROR(VLOOKUP(I818,보도매체!$A:$C,2,FALSE), "")</f>
        <v/>
      </c>
      <c r="M818" s="38" t="str">
        <f>IFERROR(VLOOKUP(I818,보도매체!$A:$C,3,FALSE), "")</f>
        <v/>
      </c>
    </row>
    <row r="819" spans="3:13" x14ac:dyDescent="0.3">
      <c r="C819" s="35">
        <f t="shared" si="12"/>
        <v>0</v>
      </c>
      <c r="D819" s="30" t="str">
        <f>IFERROR(VLOOKUP(C819,소속부서!$A$2:$B$20,2,FALSE), "")</f>
        <v/>
      </c>
      <c r="L819" s="36" t="str">
        <f>IFERROR(VLOOKUP(I819,보도매체!$A:$C,2,FALSE), "")</f>
        <v/>
      </c>
      <c r="M819" s="38" t="str">
        <f>IFERROR(VLOOKUP(I819,보도매체!$A:$C,3,FALSE), "")</f>
        <v/>
      </c>
    </row>
    <row r="820" spans="3:13" x14ac:dyDescent="0.3">
      <c r="C820" s="35">
        <f t="shared" si="12"/>
        <v>0</v>
      </c>
      <c r="D820" s="30" t="str">
        <f>IFERROR(VLOOKUP(C820,소속부서!$A$2:$B$20,2,FALSE), "")</f>
        <v/>
      </c>
      <c r="L820" s="36" t="str">
        <f>IFERROR(VLOOKUP(I820,보도매체!$A:$C,2,FALSE), "")</f>
        <v/>
      </c>
      <c r="M820" s="38" t="str">
        <f>IFERROR(VLOOKUP(I820,보도매체!$A:$C,3,FALSE), "")</f>
        <v/>
      </c>
    </row>
    <row r="821" spans="3:13" x14ac:dyDescent="0.3">
      <c r="C821" s="35">
        <f t="shared" si="12"/>
        <v>0</v>
      </c>
      <c r="D821" s="30" t="str">
        <f>IFERROR(VLOOKUP(C821,소속부서!$A$2:$B$20,2,FALSE), "")</f>
        <v/>
      </c>
      <c r="L821" s="36" t="str">
        <f>IFERROR(VLOOKUP(I821,보도매체!$A:$C,2,FALSE), "")</f>
        <v/>
      </c>
      <c r="M821" s="38" t="str">
        <f>IFERROR(VLOOKUP(I821,보도매체!$A:$C,3,FALSE), "")</f>
        <v/>
      </c>
    </row>
    <row r="822" spans="3:13" x14ac:dyDescent="0.3">
      <c r="C822" s="35">
        <f t="shared" si="12"/>
        <v>0</v>
      </c>
      <c r="D822" s="30" t="str">
        <f>IFERROR(VLOOKUP(C822,소속부서!$A$2:$B$20,2,FALSE), "")</f>
        <v/>
      </c>
      <c r="L822" s="36" t="str">
        <f>IFERROR(VLOOKUP(I822,보도매체!$A:$C,2,FALSE), "")</f>
        <v/>
      </c>
      <c r="M822" s="38" t="str">
        <f>IFERROR(VLOOKUP(I822,보도매체!$A:$C,3,FALSE), "")</f>
        <v/>
      </c>
    </row>
    <row r="823" spans="3:13" x14ac:dyDescent="0.3">
      <c r="C823" s="35">
        <f t="shared" si="12"/>
        <v>0</v>
      </c>
      <c r="D823" s="30" t="str">
        <f>IFERROR(VLOOKUP(C823,소속부서!$A$2:$B$20,2,FALSE), "")</f>
        <v/>
      </c>
      <c r="L823" s="36" t="str">
        <f>IFERROR(VLOOKUP(I823,보도매체!$A:$C,2,FALSE), "")</f>
        <v/>
      </c>
      <c r="M823" s="38" t="str">
        <f>IFERROR(VLOOKUP(I823,보도매체!$A:$C,3,FALSE), "")</f>
        <v/>
      </c>
    </row>
    <row r="824" spans="3:13" x14ac:dyDescent="0.3">
      <c r="C824" s="35">
        <f t="shared" si="12"/>
        <v>0</v>
      </c>
      <c r="D824" s="30" t="str">
        <f>IFERROR(VLOOKUP(C824,소속부서!$A$2:$B$20,2,FALSE), "")</f>
        <v/>
      </c>
      <c r="L824" s="36" t="str">
        <f>IFERROR(VLOOKUP(I824,보도매체!$A:$C,2,FALSE), "")</f>
        <v/>
      </c>
      <c r="M824" s="38" t="str">
        <f>IFERROR(VLOOKUP(I824,보도매체!$A:$C,3,FALSE), "")</f>
        <v/>
      </c>
    </row>
    <row r="825" spans="3:13" x14ac:dyDescent="0.3">
      <c r="C825" s="35">
        <f t="shared" si="12"/>
        <v>0</v>
      </c>
      <c r="D825" s="30" t="str">
        <f>IFERROR(VLOOKUP(C825,소속부서!$A$2:$B$20,2,FALSE), "")</f>
        <v/>
      </c>
      <c r="L825" s="36" t="str">
        <f>IFERROR(VLOOKUP(I825,보도매체!$A:$C,2,FALSE), "")</f>
        <v/>
      </c>
      <c r="M825" s="38" t="str">
        <f>IFERROR(VLOOKUP(I825,보도매체!$A:$C,3,FALSE), "")</f>
        <v/>
      </c>
    </row>
    <row r="826" spans="3:13" x14ac:dyDescent="0.3">
      <c r="C826" s="35">
        <f t="shared" si="12"/>
        <v>0</v>
      </c>
      <c r="D826" s="30" t="str">
        <f>IFERROR(VLOOKUP(C826,소속부서!$A$2:$B$20,2,FALSE), "")</f>
        <v/>
      </c>
      <c r="L826" s="36" t="str">
        <f>IFERROR(VLOOKUP(I826,보도매체!$A:$C,2,FALSE), "")</f>
        <v/>
      </c>
      <c r="M826" s="38" t="str">
        <f>IFERROR(VLOOKUP(I826,보도매체!$A:$C,3,FALSE), "")</f>
        <v/>
      </c>
    </row>
    <row r="827" spans="3:13" x14ac:dyDescent="0.3">
      <c r="C827" s="35">
        <f t="shared" si="12"/>
        <v>0</v>
      </c>
      <c r="D827" s="30" t="str">
        <f>IFERROR(VLOOKUP(C827,소속부서!$A$2:$B$20,2,FALSE), "")</f>
        <v/>
      </c>
      <c r="L827" s="36" t="str">
        <f>IFERROR(VLOOKUP(I827,보도매체!$A:$C,2,FALSE), "")</f>
        <v/>
      </c>
      <c r="M827" s="38" t="str">
        <f>IFERROR(VLOOKUP(I827,보도매체!$A:$C,3,FALSE), "")</f>
        <v/>
      </c>
    </row>
    <row r="828" spans="3:13" x14ac:dyDescent="0.3">
      <c r="C828" s="35">
        <f t="shared" si="12"/>
        <v>0</v>
      </c>
      <c r="D828" s="30" t="str">
        <f>IFERROR(VLOOKUP(C828,소속부서!$A$2:$B$20,2,FALSE), "")</f>
        <v/>
      </c>
      <c r="L828" s="36" t="str">
        <f>IFERROR(VLOOKUP(I828,보도매체!$A:$C,2,FALSE), "")</f>
        <v/>
      </c>
      <c r="M828" s="38" t="str">
        <f>IFERROR(VLOOKUP(I828,보도매체!$A:$C,3,FALSE), "")</f>
        <v/>
      </c>
    </row>
    <row r="829" spans="3:13" x14ac:dyDescent="0.3">
      <c r="C829" s="35">
        <f t="shared" si="12"/>
        <v>0</v>
      </c>
      <c r="D829" s="30" t="str">
        <f>IFERROR(VLOOKUP(C829,소속부서!$A$2:$B$20,2,FALSE), "")</f>
        <v/>
      </c>
      <c r="L829" s="36" t="str">
        <f>IFERROR(VLOOKUP(I829,보도매체!$A:$C,2,FALSE), "")</f>
        <v/>
      </c>
      <c r="M829" s="38" t="str">
        <f>IFERROR(VLOOKUP(I829,보도매체!$A:$C,3,FALSE), "")</f>
        <v/>
      </c>
    </row>
    <row r="830" spans="3:13" x14ac:dyDescent="0.3">
      <c r="C830" s="35">
        <f t="shared" si="12"/>
        <v>0</v>
      </c>
      <c r="D830" s="30" t="str">
        <f>IFERROR(VLOOKUP(C830,소속부서!$A$2:$B$20,2,FALSE), "")</f>
        <v/>
      </c>
      <c r="L830" s="36" t="str">
        <f>IFERROR(VLOOKUP(I830,보도매체!$A:$C,2,FALSE), "")</f>
        <v/>
      </c>
      <c r="M830" s="38" t="str">
        <f>IFERROR(VLOOKUP(I830,보도매체!$A:$C,3,FALSE), "")</f>
        <v/>
      </c>
    </row>
    <row r="831" spans="3:13" x14ac:dyDescent="0.3">
      <c r="C831" s="35">
        <f t="shared" si="12"/>
        <v>0</v>
      </c>
      <c r="D831" s="30" t="str">
        <f>IFERROR(VLOOKUP(C831,소속부서!$A$2:$B$20,2,FALSE), "")</f>
        <v/>
      </c>
      <c r="L831" s="36" t="str">
        <f>IFERROR(VLOOKUP(I831,보도매체!$A:$C,2,FALSE), "")</f>
        <v/>
      </c>
      <c r="M831" s="38" t="str">
        <f>IFERROR(VLOOKUP(I831,보도매체!$A:$C,3,FALSE), "")</f>
        <v/>
      </c>
    </row>
    <row r="832" spans="3:13" x14ac:dyDescent="0.3">
      <c r="C832" s="35">
        <f t="shared" si="12"/>
        <v>0</v>
      </c>
      <c r="D832" s="30" t="str">
        <f>IFERROR(VLOOKUP(C832,소속부서!$A$2:$B$20,2,FALSE), "")</f>
        <v/>
      </c>
      <c r="L832" s="36" t="str">
        <f>IFERROR(VLOOKUP(I832,보도매체!$A:$C,2,FALSE), "")</f>
        <v/>
      </c>
      <c r="M832" s="38" t="str">
        <f>IFERROR(VLOOKUP(I832,보도매체!$A:$C,3,FALSE), "")</f>
        <v/>
      </c>
    </row>
    <row r="833" spans="3:13" x14ac:dyDescent="0.3">
      <c r="C833" s="35">
        <f t="shared" ref="C833:C896" si="13">E833</f>
        <v>0</v>
      </c>
      <c r="D833" s="30" t="str">
        <f>IFERROR(VLOOKUP(C833,소속부서!$A$2:$B$20,2,FALSE), "")</f>
        <v/>
      </c>
      <c r="L833" s="36" t="str">
        <f>IFERROR(VLOOKUP(I833,보도매체!$A:$C,2,FALSE), "")</f>
        <v/>
      </c>
      <c r="M833" s="38" t="str">
        <f>IFERROR(VLOOKUP(I833,보도매체!$A:$C,3,FALSE), "")</f>
        <v/>
      </c>
    </row>
    <row r="834" spans="3:13" x14ac:dyDescent="0.3">
      <c r="C834" s="35">
        <f t="shared" si="13"/>
        <v>0</v>
      </c>
      <c r="D834" s="30" t="str">
        <f>IFERROR(VLOOKUP(C834,소속부서!$A$2:$B$20,2,FALSE), "")</f>
        <v/>
      </c>
      <c r="L834" s="36" t="str">
        <f>IFERROR(VLOOKUP(I834,보도매체!$A:$C,2,FALSE), "")</f>
        <v/>
      </c>
      <c r="M834" s="38" t="str">
        <f>IFERROR(VLOOKUP(I834,보도매체!$A:$C,3,FALSE), "")</f>
        <v/>
      </c>
    </row>
    <row r="835" spans="3:13" x14ac:dyDescent="0.3">
      <c r="C835" s="35">
        <f t="shared" si="13"/>
        <v>0</v>
      </c>
      <c r="D835" s="30" t="str">
        <f>IFERROR(VLOOKUP(C835,소속부서!$A$2:$B$20,2,FALSE), "")</f>
        <v/>
      </c>
      <c r="L835" s="36" t="str">
        <f>IFERROR(VLOOKUP(I835,보도매체!$A:$C,2,FALSE), "")</f>
        <v/>
      </c>
      <c r="M835" s="38" t="str">
        <f>IFERROR(VLOOKUP(I835,보도매체!$A:$C,3,FALSE), "")</f>
        <v/>
      </c>
    </row>
    <row r="836" spans="3:13" x14ac:dyDescent="0.3">
      <c r="C836" s="35">
        <f t="shared" si="13"/>
        <v>0</v>
      </c>
      <c r="D836" s="30" t="str">
        <f>IFERROR(VLOOKUP(C836,소속부서!$A$2:$B$20,2,FALSE), "")</f>
        <v/>
      </c>
      <c r="L836" s="36" t="str">
        <f>IFERROR(VLOOKUP(I836,보도매체!$A:$C,2,FALSE), "")</f>
        <v/>
      </c>
      <c r="M836" s="38" t="str">
        <f>IFERROR(VLOOKUP(I836,보도매체!$A:$C,3,FALSE), "")</f>
        <v/>
      </c>
    </row>
    <row r="837" spans="3:13" x14ac:dyDescent="0.3">
      <c r="C837" s="35">
        <f t="shared" si="13"/>
        <v>0</v>
      </c>
      <c r="D837" s="30" t="str">
        <f>IFERROR(VLOOKUP(C837,소속부서!$A$2:$B$20,2,FALSE), "")</f>
        <v/>
      </c>
      <c r="L837" s="36" t="str">
        <f>IFERROR(VLOOKUP(I837,보도매체!$A:$C,2,FALSE), "")</f>
        <v/>
      </c>
      <c r="M837" s="38" t="str">
        <f>IFERROR(VLOOKUP(I837,보도매체!$A:$C,3,FALSE), "")</f>
        <v/>
      </c>
    </row>
    <row r="838" spans="3:13" x14ac:dyDescent="0.3">
      <c r="C838" s="35">
        <f t="shared" si="13"/>
        <v>0</v>
      </c>
      <c r="D838" s="30" t="str">
        <f>IFERROR(VLOOKUP(C838,소속부서!$A$2:$B$20,2,FALSE), "")</f>
        <v/>
      </c>
      <c r="L838" s="36" t="str">
        <f>IFERROR(VLOOKUP(I838,보도매체!$A:$C,2,FALSE), "")</f>
        <v/>
      </c>
      <c r="M838" s="38" t="str">
        <f>IFERROR(VLOOKUP(I838,보도매체!$A:$C,3,FALSE), "")</f>
        <v/>
      </c>
    </row>
    <row r="839" spans="3:13" x14ac:dyDescent="0.3">
      <c r="C839" s="35">
        <f t="shared" si="13"/>
        <v>0</v>
      </c>
      <c r="D839" s="30" t="str">
        <f>IFERROR(VLOOKUP(C839,소속부서!$A$2:$B$20,2,FALSE), "")</f>
        <v/>
      </c>
      <c r="L839" s="36" t="str">
        <f>IFERROR(VLOOKUP(I839,보도매체!$A:$C,2,FALSE), "")</f>
        <v/>
      </c>
      <c r="M839" s="38" t="str">
        <f>IFERROR(VLOOKUP(I839,보도매체!$A:$C,3,FALSE), "")</f>
        <v/>
      </c>
    </row>
    <row r="840" spans="3:13" x14ac:dyDescent="0.3">
      <c r="C840" s="35">
        <f t="shared" si="13"/>
        <v>0</v>
      </c>
      <c r="D840" s="30" t="str">
        <f>IFERROR(VLOOKUP(C840,소속부서!$A$2:$B$20,2,FALSE), "")</f>
        <v/>
      </c>
      <c r="L840" s="36" t="str">
        <f>IFERROR(VLOOKUP(I840,보도매체!$A:$C,2,FALSE), "")</f>
        <v/>
      </c>
      <c r="M840" s="38" t="str">
        <f>IFERROR(VLOOKUP(I840,보도매체!$A:$C,3,FALSE), "")</f>
        <v/>
      </c>
    </row>
    <row r="841" spans="3:13" x14ac:dyDescent="0.3">
      <c r="C841" s="35">
        <f t="shared" si="13"/>
        <v>0</v>
      </c>
      <c r="D841" s="30" t="str">
        <f>IFERROR(VLOOKUP(C841,소속부서!$A$2:$B$20,2,FALSE), "")</f>
        <v/>
      </c>
      <c r="L841" s="36" t="str">
        <f>IFERROR(VLOOKUP(I841,보도매체!$A:$C,2,FALSE), "")</f>
        <v/>
      </c>
      <c r="M841" s="38" t="str">
        <f>IFERROR(VLOOKUP(I841,보도매체!$A:$C,3,FALSE), "")</f>
        <v/>
      </c>
    </row>
    <row r="842" spans="3:13" x14ac:dyDescent="0.3">
      <c r="C842" s="35">
        <f t="shared" si="13"/>
        <v>0</v>
      </c>
      <c r="D842" s="30" t="str">
        <f>IFERROR(VLOOKUP(C842,소속부서!$A$2:$B$20,2,FALSE), "")</f>
        <v/>
      </c>
      <c r="L842" s="36" t="str">
        <f>IFERROR(VLOOKUP(I842,보도매체!$A:$C,2,FALSE), "")</f>
        <v/>
      </c>
      <c r="M842" s="38" t="str">
        <f>IFERROR(VLOOKUP(I842,보도매체!$A:$C,3,FALSE), "")</f>
        <v/>
      </c>
    </row>
    <row r="843" spans="3:13" x14ac:dyDescent="0.3">
      <c r="C843" s="35">
        <f t="shared" si="13"/>
        <v>0</v>
      </c>
      <c r="D843" s="30" t="str">
        <f>IFERROR(VLOOKUP(C843,소속부서!$A$2:$B$20,2,FALSE), "")</f>
        <v/>
      </c>
      <c r="L843" s="36" t="str">
        <f>IFERROR(VLOOKUP(I843,보도매체!$A:$C,2,FALSE), "")</f>
        <v/>
      </c>
      <c r="M843" s="38" t="str">
        <f>IFERROR(VLOOKUP(I843,보도매체!$A:$C,3,FALSE), "")</f>
        <v/>
      </c>
    </row>
    <row r="844" spans="3:13" x14ac:dyDescent="0.3">
      <c r="C844" s="35">
        <f t="shared" si="13"/>
        <v>0</v>
      </c>
      <c r="D844" s="30" t="str">
        <f>IFERROR(VLOOKUP(C844,소속부서!$A$2:$B$20,2,FALSE), "")</f>
        <v/>
      </c>
      <c r="L844" s="36" t="str">
        <f>IFERROR(VLOOKUP(I844,보도매체!$A:$C,2,FALSE), "")</f>
        <v/>
      </c>
      <c r="M844" s="38" t="str">
        <f>IFERROR(VLOOKUP(I844,보도매체!$A:$C,3,FALSE), "")</f>
        <v/>
      </c>
    </row>
    <row r="845" spans="3:13" x14ac:dyDescent="0.3">
      <c r="C845" s="35">
        <f t="shared" si="13"/>
        <v>0</v>
      </c>
      <c r="D845" s="30" t="str">
        <f>IFERROR(VLOOKUP(C845,소속부서!$A$2:$B$20,2,FALSE), "")</f>
        <v/>
      </c>
      <c r="L845" s="36" t="str">
        <f>IFERROR(VLOOKUP(I845,보도매체!$A:$C,2,FALSE), "")</f>
        <v/>
      </c>
      <c r="M845" s="38" t="str">
        <f>IFERROR(VLOOKUP(I845,보도매체!$A:$C,3,FALSE), "")</f>
        <v/>
      </c>
    </row>
    <row r="846" spans="3:13" x14ac:dyDescent="0.3">
      <c r="C846" s="35">
        <f t="shared" si="13"/>
        <v>0</v>
      </c>
      <c r="D846" s="30" t="str">
        <f>IFERROR(VLOOKUP(C846,소속부서!$A$2:$B$20,2,FALSE), "")</f>
        <v/>
      </c>
      <c r="L846" s="36" t="str">
        <f>IFERROR(VLOOKUP(I846,보도매체!$A:$C,2,FALSE), "")</f>
        <v/>
      </c>
      <c r="M846" s="38" t="str">
        <f>IFERROR(VLOOKUP(I846,보도매체!$A:$C,3,FALSE), "")</f>
        <v/>
      </c>
    </row>
    <row r="847" spans="3:13" x14ac:dyDescent="0.3">
      <c r="C847" s="35">
        <f t="shared" si="13"/>
        <v>0</v>
      </c>
      <c r="D847" s="30" t="str">
        <f>IFERROR(VLOOKUP(C847,소속부서!$A$2:$B$20,2,FALSE), "")</f>
        <v/>
      </c>
      <c r="L847" s="36" t="str">
        <f>IFERROR(VLOOKUP(I847,보도매체!$A:$C,2,FALSE), "")</f>
        <v/>
      </c>
      <c r="M847" s="38" t="str">
        <f>IFERROR(VLOOKUP(I847,보도매체!$A:$C,3,FALSE), "")</f>
        <v/>
      </c>
    </row>
    <row r="848" spans="3:13" x14ac:dyDescent="0.3">
      <c r="C848" s="35">
        <f t="shared" si="13"/>
        <v>0</v>
      </c>
      <c r="D848" s="30" t="str">
        <f>IFERROR(VLOOKUP(C848,소속부서!$A$2:$B$20,2,FALSE), "")</f>
        <v/>
      </c>
      <c r="L848" s="36" t="str">
        <f>IFERROR(VLOOKUP(I848,보도매체!$A:$C,2,FALSE), "")</f>
        <v/>
      </c>
      <c r="M848" s="38" t="str">
        <f>IFERROR(VLOOKUP(I848,보도매체!$A:$C,3,FALSE), "")</f>
        <v/>
      </c>
    </row>
    <row r="849" spans="3:13" x14ac:dyDescent="0.3">
      <c r="C849" s="35">
        <f t="shared" si="13"/>
        <v>0</v>
      </c>
      <c r="D849" s="30" t="str">
        <f>IFERROR(VLOOKUP(C849,소속부서!$A$2:$B$20,2,FALSE), "")</f>
        <v/>
      </c>
      <c r="L849" s="36" t="str">
        <f>IFERROR(VLOOKUP(I849,보도매체!$A:$C,2,FALSE), "")</f>
        <v/>
      </c>
      <c r="M849" s="38" t="str">
        <f>IFERROR(VLOOKUP(I849,보도매체!$A:$C,3,FALSE), "")</f>
        <v/>
      </c>
    </row>
    <row r="850" spans="3:13" x14ac:dyDescent="0.3">
      <c r="C850" s="35">
        <f t="shared" si="13"/>
        <v>0</v>
      </c>
      <c r="D850" s="30" t="str">
        <f>IFERROR(VLOOKUP(C850,소속부서!$A$2:$B$20,2,FALSE), "")</f>
        <v/>
      </c>
      <c r="L850" s="36" t="str">
        <f>IFERROR(VLOOKUP(I850,보도매체!$A:$C,2,FALSE), "")</f>
        <v/>
      </c>
      <c r="M850" s="38" t="str">
        <f>IFERROR(VLOOKUP(I850,보도매체!$A:$C,3,FALSE), "")</f>
        <v/>
      </c>
    </row>
    <row r="851" spans="3:13" x14ac:dyDescent="0.3">
      <c r="C851" s="35">
        <f t="shared" si="13"/>
        <v>0</v>
      </c>
      <c r="D851" s="30" t="str">
        <f>IFERROR(VLOOKUP(C851,소속부서!$A$2:$B$20,2,FALSE), "")</f>
        <v/>
      </c>
      <c r="L851" s="36" t="str">
        <f>IFERROR(VLOOKUP(I851,보도매체!$A:$C,2,FALSE), "")</f>
        <v/>
      </c>
      <c r="M851" s="38" t="str">
        <f>IFERROR(VLOOKUP(I851,보도매체!$A:$C,3,FALSE), "")</f>
        <v/>
      </c>
    </row>
    <row r="852" spans="3:13" x14ac:dyDescent="0.3">
      <c r="C852" s="35">
        <f t="shared" si="13"/>
        <v>0</v>
      </c>
      <c r="D852" s="30" t="str">
        <f>IFERROR(VLOOKUP(C852,소속부서!$A$2:$B$20,2,FALSE), "")</f>
        <v/>
      </c>
      <c r="L852" s="36" t="str">
        <f>IFERROR(VLOOKUP(I852,보도매체!$A:$C,2,FALSE), "")</f>
        <v/>
      </c>
      <c r="M852" s="38" t="str">
        <f>IFERROR(VLOOKUP(I852,보도매체!$A:$C,3,FALSE), "")</f>
        <v/>
      </c>
    </row>
    <row r="853" spans="3:13" x14ac:dyDescent="0.3">
      <c r="C853" s="35">
        <f t="shared" si="13"/>
        <v>0</v>
      </c>
      <c r="D853" s="30" t="str">
        <f>IFERROR(VLOOKUP(C853,소속부서!$A$2:$B$20,2,FALSE), "")</f>
        <v/>
      </c>
      <c r="L853" s="36" t="str">
        <f>IFERROR(VLOOKUP(I853,보도매체!$A:$C,2,FALSE), "")</f>
        <v/>
      </c>
      <c r="M853" s="38" t="str">
        <f>IFERROR(VLOOKUP(I853,보도매체!$A:$C,3,FALSE), "")</f>
        <v/>
      </c>
    </row>
    <row r="854" spans="3:13" x14ac:dyDescent="0.3">
      <c r="C854" s="35">
        <f t="shared" si="13"/>
        <v>0</v>
      </c>
      <c r="D854" s="30" t="str">
        <f>IFERROR(VLOOKUP(C854,소속부서!$A$2:$B$20,2,FALSE), "")</f>
        <v/>
      </c>
      <c r="L854" s="36" t="str">
        <f>IFERROR(VLOOKUP(I854,보도매체!$A:$C,2,FALSE), "")</f>
        <v/>
      </c>
      <c r="M854" s="38" t="str">
        <f>IFERROR(VLOOKUP(I854,보도매체!$A:$C,3,FALSE), "")</f>
        <v/>
      </c>
    </row>
    <row r="855" spans="3:13" x14ac:dyDescent="0.3">
      <c r="C855" s="35">
        <f t="shared" si="13"/>
        <v>0</v>
      </c>
      <c r="D855" s="30" t="str">
        <f>IFERROR(VLOOKUP(C855,소속부서!$A$2:$B$20,2,FALSE), "")</f>
        <v/>
      </c>
      <c r="L855" s="36" t="str">
        <f>IFERROR(VLOOKUP(I855,보도매체!$A:$C,2,FALSE), "")</f>
        <v/>
      </c>
      <c r="M855" s="38" t="str">
        <f>IFERROR(VLOOKUP(I855,보도매체!$A:$C,3,FALSE), "")</f>
        <v/>
      </c>
    </row>
    <row r="856" spans="3:13" x14ac:dyDescent="0.3">
      <c r="C856" s="35">
        <f t="shared" si="13"/>
        <v>0</v>
      </c>
      <c r="D856" s="30" t="str">
        <f>IFERROR(VLOOKUP(C856,소속부서!$A$2:$B$20,2,FALSE), "")</f>
        <v/>
      </c>
      <c r="L856" s="36" t="str">
        <f>IFERROR(VLOOKUP(I856,보도매체!$A:$C,2,FALSE), "")</f>
        <v/>
      </c>
      <c r="M856" s="38" t="str">
        <f>IFERROR(VLOOKUP(I856,보도매체!$A:$C,3,FALSE), "")</f>
        <v/>
      </c>
    </row>
    <row r="857" spans="3:13" x14ac:dyDescent="0.3">
      <c r="C857" s="35">
        <f t="shared" si="13"/>
        <v>0</v>
      </c>
      <c r="D857" s="30" t="str">
        <f>IFERROR(VLOOKUP(C857,소속부서!$A$2:$B$20,2,FALSE), "")</f>
        <v/>
      </c>
      <c r="L857" s="36" t="str">
        <f>IFERROR(VLOOKUP(I857,보도매체!$A:$C,2,FALSE), "")</f>
        <v/>
      </c>
      <c r="M857" s="38" t="str">
        <f>IFERROR(VLOOKUP(I857,보도매체!$A:$C,3,FALSE), "")</f>
        <v/>
      </c>
    </row>
    <row r="858" spans="3:13" x14ac:dyDescent="0.3">
      <c r="C858" s="35">
        <f t="shared" si="13"/>
        <v>0</v>
      </c>
      <c r="D858" s="30" t="str">
        <f>IFERROR(VLOOKUP(C858,소속부서!$A$2:$B$20,2,FALSE), "")</f>
        <v/>
      </c>
      <c r="L858" s="36" t="str">
        <f>IFERROR(VLOOKUP(I858,보도매체!$A:$C,2,FALSE), "")</f>
        <v/>
      </c>
      <c r="M858" s="38" t="str">
        <f>IFERROR(VLOOKUP(I858,보도매체!$A:$C,3,FALSE), "")</f>
        <v/>
      </c>
    </row>
    <row r="859" spans="3:13" x14ac:dyDescent="0.3">
      <c r="C859" s="35">
        <f t="shared" si="13"/>
        <v>0</v>
      </c>
      <c r="D859" s="30" t="str">
        <f>IFERROR(VLOOKUP(C859,소속부서!$A$2:$B$20,2,FALSE), "")</f>
        <v/>
      </c>
      <c r="L859" s="36" t="str">
        <f>IFERROR(VLOOKUP(I859,보도매체!$A:$C,2,FALSE), "")</f>
        <v/>
      </c>
      <c r="M859" s="38" t="str">
        <f>IFERROR(VLOOKUP(I859,보도매체!$A:$C,3,FALSE), "")</f>
        <v/>
      </c>
    </row>
    <row r="860" spans="3:13" x14ac:dyDescent="0.3">
      <c r="C860" s="35">
        <f t="shared" si="13"/>
        <v>0</v>
      </c>
      <c r="D860" s="30" t="str">
        <f>IFERROR(VLOOKUP(C860,소속부서!$A$2:$B$20,2,FALSE), "")</f>
        <v/>
      </c>
      <c r="L860" s="36" t="str">
        <f>IFERROR(VLOOKUP(I860,보도매체!$A:$C,2,FALSE), "")</f>
        <v/>
      </c>
      <c r="M860" s="38" t="str">
        <f>IFERROR(VLOOKUP(I860,보도매체!$A:$C,3,FALSE), "")</f>
        <v/>
      </c>
    </row>
    <row r="861" spans="3:13" x14ac:dyDescent="0.3">
      <c r="C861" s="35">
        <f t="shared" si="13"/>
        <v>0</v>
      </c>
      <c r="D861" s="30" t="str">
        <f>IFERROR(VLOOKUP(C861,소속부서!$A$2:$B$20,2,FALSE), "")</f>
        <v/>
      </c>
      <c r="L861" s="36" t="str">
        <f>IFERROR(VLOOKUP(I861,보도매체!$A:$C,2,FALSE), "")</f>
        <v/>
      </c>
      <c r="M861" s="38" t="str">
        <f>IFERROR(VLOOKUP(I861,보도매체!$A:$C,3,FALSE), "")</f>
        <v/>
      </c>
    </row>
    <row r="862" spans="3:13" x14ac:dyDescent="0.3">
      <c r="C862" s="35">
        <f t="shared" si="13"/>
        <v>0</v>
      </c>
      <c r="D862" s="30" t="str">
        <f>IFERROR(VLOOKUP(C862,소속부서!$A$2:$B$20,2,FALSE), "")</f>
        <v/>
      </c>
      <c r="L862" s="36" t="str">
        <f>IFERROR(VLOOKUP(I862,보도매체!$A:$C,2,FALSE), "")</f>
        <v/>
      </c>
      <c r="M862" s="38" t="str">
        <f>IFERROR(VLOOKUP(I862,보도매체!$A:$C,3,FALSE), "")</f>
        <v/>
      </c>
    </row>
    <row r="863" spans="3:13" x14ac:dyDescent="0.3">
      <c r="C863" s="35">
        <f t="shared" si="13"/>
        <v>0</v>
      </c>
      <c r="D863" s="30" t="str">
        <f>IFERROR(VLOOKUP(C863,소속부서!$A$2:$B$20,2,FALSE), "")</f>
        <v/>
      </c>
      <c r="L863" s="36" t="str">
        <f>IFERROR(VLOOKUP(I863,보도매체!$A:$C,2,FALSE), "")</f>
        <v/>
      </c>
      <c r="M863" s="38" t="str">
        <f>IFERROR(VLOOKUP(I863,보도매체!$A:$C,3,FALSE), "")</f>
        <v/>
      </c>
    </row>
    <row r="864" spans="3:13" x14ac:dyDescent="0.3">
      <c r="C864" s="35">
        <f t="shared" si="13"/>
        <v>0</v>
      </c>
      <c r="D864" s="30" t="str">
        <f>IFERROR(VLOOKUP(C864,소속부서!$A$2:$B$20,2,FALSE), "")</f>
        <v/>
      </c>
      <c r="L864" s="36" t="str">
        <f>IFERROR(VLOOKUP(I864,보도매체!$A:$C,2,FALSE), "")</f>
        <v/>
      </c>
      <c r="M864" s="38" t="str">
        <f>IFERROR(VLOOKUP(I864,보도매체!$A:$C,3,FALSE), "")</f>
        <v/>
      </c>
    </row>
    <row r="865" spans="3:13" x14ac:dyDescent="0.3">
      <c r="C865" s="35">
        <f t="shared" si="13"/>
        <v>0</v>
      </c>
      <c r="D865" s="30" t="str">
        <f>IFERROR(VLOOKUP(C865,소속부서!$A$2:$B$20,2,FALSE), "")</f>
        <v/>
      </c>
      <c r="L865" s="36" t="str">
        <f>IFERROR(VLOOKUP(I865,보도매체!$A:$C,2,FALSE), "")</f>
        <v/>
      </c>
      <c r="M865" s="38" t="str">
        <f>IFERROR(VLOOKUP(I865,보도매체!$A:$C,3,FALSE), "")</f>
        <v/>
      </c>
    </row>
    <row r="866" spans="3:13" x14ac:dyDescent="0.3">
      <c r="C866" s="35">
        <f t="shared" si="13"/>
        <v>0</v>
      </c>
      <c r="D866" s="30" t="str">
        <f>IFERROR(VLOOKUP(C866,소속부서!$A$2:$B$20,2,FALSE), "")</f>
        <v/>
      </c>
      <c r="L866" s="36" t="str">
        <f>IFERROR(VLOOKUP(I866,보도매체!$A:$C,2,FALSE), "")</f>
        <v/>
      </c>
      <c r="M866" s="38" t="str">
        <f>IFERROR(VLOOKUP(I866,보도매체!$A:$C,3,FALSE), "")</f>
        <v/>
      </c>
    </row>
    <row r="867" spans="3:13" x14ac:dyDescent="0.3">
      <c r="C867" s="35">
        <f t="shared" si="13"/>
        <v>0</v>
      </c>
      <c r="D867" s="30" t="str">
        <f>IFERROR(VLOOKUP(C867,소속부서!$A$2:$B$20,2,FALSE), "")</f>
        <v/>
      </c>
      <c r="L867" s="36" t="str">
        <f>IFERROR(VLOOKUP(I867,보도매체!$A:$C,2,FALSE), "")</f>
        <v/>
      </c>
      <c r="M867" s="38" t="str">
        <f>IFERROR(VLOOKUP(I867,보도매체!$A:$C,3,FALSE), "")</f>
        <v/>
      </c>
    </row>
    <row r="868" spans="3:13" x14ac:dyDescent="0.3">
      <c r="C868" s="35">
        <f t="shared" si="13"/>
        <v>0</v>
      </c>
      <c r="D868" s="30" t="str">
        <f>IFERROR(VLOOKUP(C868,소속부서!$A$2:$B$20,2,FALSE), "")</f>
        <v/>
      </c>
      <c r="L868" s="36" t="str">
        <f>IFERROR(VLOOKUP(I868,보도매체!$A:$C,2,FALSE), "")</f>
        <v/>
      </c>
      <c r="M868" s="38" t="str">
        <f>IFERROR(VLOOKUP(I868,보도매체!$A:$C,3,FALSE), "")</f>
        <v/>
      </c>
    </row>
    <row r="869" spans="3:13" x14ac:dyDescent="0.3">
      <c r="C869" s="35">
        <f t="shared" si="13"/>
        <v>0</v>
      </c>
      <c r="D869" s="30" t="str">
        <f>IFERROR(VLOOKUP(C869,소속부서!$A$2:$B$20,2,FALSE), "")</f>
        <v/>
      </c>
      <c r="L869" s="36" t="str">
        <f>IFERROR(VLOOKUP(I869,보도매체!$A:$C,2,FALSE), "")</f>
        <v/>
      </c>
      <c r="M869" s="38" t="str">
        <f>IFERROR(VLOOKUP(I869,보도매체!$A:$C,3,FALSE), "")</f>
        <v/>
      </c>
    </row>
    <row r="870" spans="3:13" x14ac:dyDescent="0.3">
      <c r="C870" s="35">
        <f t="shared" si="13"/>
        <v>0</v>
      </c>
      <c r="D870" s="30" t="str">
        <f>IFERROR(VLOOKUP(C870,소속부서!$A$2:$B$20,2,FALSE), "")</f>
        <v/>
      </c>
      <c r="L870" s="36" t="str">
        <f>IFERROR(VLOOKUP(I870,보도매체!$A:$C,2,FALSE), "")</f>
        <v/>
      </c>
      <c r="M870" s="38" t="str">
        <f>IFERROR(VLOOKUP(I870,보도매체!$A:$C,3,FALSE), "")</f>
        <v/>
      </c>
    </row>
    <row r="871" spans="3:13" x14ac:dyDescent="0.3">
      <c r="C871" s="35">
        <f t="shared" si="13"/>
        <v>0</v>
      </c>
      <c r="D871" s="30" t="str">
        <f>IFERROR(VLOOKUP(C871,소속부서!$A$2:$B$20,2,FALSE), "")</f>
        <v/>
      </c>
      <c r="L871" s="36" t="str">
        <f>IFERROR(VLOOKUP(I871,보도매체!$A:$C,2,FALSE), "")</f>
        <v/>
      </c>
      <c r="M871" s="38" t="str">
        <f>IFERROR(VLOOKUP(I871,보도매체!$A:$C,3,FALSE), "")</f>
        <v/>
      </c>
    </row>
    <row r="872" spans="3:13" x14ac:dyDescent="0.3">
      <c r="C872" s="35">
        <f t="shared" si="13"/>
        <v>0</v>
      </c>
      <c r="D872" s="30" t="str">
        <f>IFERROR(VLOOKUP(C872,소속부서!$A$2:$B$20,2,FALSE), "")</f>
        <v/>
      </c>
      <c r="L872" s="36" t="str">
        <f>IFERROR(VLOOKUP(I872,보도매체!$A:$C,2,FALSE), "")</f>
        <v/>
      </c>
      <c r="M872" s="38" t="str">
        <f>IFERROR(VLOOKUP(I872,보도매체!$A:$C,3,FALSE), "")</f>
        <v/>
      </c>
    </row>
    <row r="873" spans="3:13" x14ac:dyDescent="0.3">
      <c r="C873" s="35">
        <f t="shared" si="13"/>
        <v>0</v>
      </c>
      <c r="D873" s="30" t="str">
        <f>IFERROR(VLOOKUP(C873,소속부서!$A$2:$B$20,2,FALSE), "")</f>
        <v/>
      </c>
      <c r="L873" s="36" t="str">
        <f>IFERROR(VLOOKUP(I873,보도매체!$A:$C,2,FALSE), "")</f>
        <v/>
      </c>
      <c r="M873" s="38" t="str">
        <f>IFERROR(VLOOKUP(I873,보도매체!$A:$C,3,FALSE), "")</f>
        <v/>
      </c>
    </row>
    <row r="874" spans="3:13" x14ac:dyDescent="0.3">
      <c r="C874" s="35">
        <f t="shared" si="13"/>
        <v>0</v>
      </c>
      <c r="D874" s="30" t="str">
        <f>IFERROR(VLOOKUP(C874,소속부서!$A$2:$B$20,2,FALSE), "")</f>
        <v/>
      </c>
      <c r="L874" s="36" t="str">
        <f>IFERROR(VLOOKUP(I874,보도매체!$A:$C,2,FALSE), "")</f>
        <v/>
      </c>
      <c r="M874" s="38" t="str">
        <f>IFERROR(VLOOKUP(I874,보도매체!$A:$C,3,FALSE), "")</f>
        <v/>
      </c>
    </row>
    <row r="875" spans="3:13" x14ac:dyDescent="0.3">
      <c r="C875" s="35">
        <f t="shared" si="13"/>
        <v>0</v>
      </c>
      <c r="D875" s="30" t="str">
        <f>IFERROR(VLOOKUP(C875,소속부서!$A$2:$B$20,2,FALSE), "")</f>
        <v/>
      </c>
      <c r="L875" s="36" t="str">
        <f>IFERROR(VLOOKUP(I875,보도매체!$A:$C,2,FALSE), "")</f>
        <v/>
      </c>
      <c r="M875" s="38" t="str">
        <f>IFERROR(VLOOKUP(I875,보도매체!$A:$C,3,FALSE), "")</f>
        <v/>
      </c>
    </row>
    <row r="876" spans="3:13" x14ac:dyDescent="0.3">
      <c r="C876" s="35">
        <f t="shared" si="13"/>
        <v>0</v>
      </c>
      <c r="D876" s="30" t="str">
        <f>IFERROR(VLOOKUP(C876,소속부서!$A$2:$B$20,2,FALSE), "")</f>
        <v/>
      </c>
      <c r="L876" s="36" t="str">
        <f>IFERROR(VLOOKUP(I876,보도매체!$A:$C,2,FALSE), "")</f>
        <v/>
      </c>
      <c r="M876" s="38" t="str">
        <f>IFERROR(VLOOKUP(I876,보도매체!$A:$C,3,FALSE), "")</f>
        <v/>
      </c>
    </row>
    <row r="877" spans="3:13" x14ac:dyDescent="0.3">
      <c r="C877" s="35">
        <f t="shared" si="13"/>
        <v>0</v>
      </c>
      <c r="D877" s="30" t="str">
        <f>IFERROR(VLOOKUP(C877,소속부서!$A$2:$B$20,2,FALSE), "")</f>
        <v/>
      </c>
      <c r="L877" s="36" t="str">
        <f>IFERROR(VLOOKUP(I877,보도매체!$A:$C,2,FALSE), "")</f>
        <v/>
      </c>
      <c r="M877" s="38" t="str">
        <f>IFERROR(VLOOKUP(I877,보도매체!$A:$C,3,FALSE), "")</f>
        <v/>
      </c>
    </row>
    <row r="878" spans="3:13" x14ac:dyDescent="0.3">
      <c r="C878" s="35">
        <f t="shared" si="13"/>
        <v>0</v>
      </c>
      <c r="D878" s="30" t="str">
        <f>IFERROR(VLOOKUP(C878,소속부서!$A$2:$B$20,2,FALSE), "")</f>
        <v/>
      </c>
      <c r="L878" s="36" t="str">
        <f>IFERROR(VLOOKUP(I878,보도매체!$A:$C,2,FALSE), "")</f>
        <v/>
      </c>
      <c r="M878" s="38" t="str">
        <f>IFERROR(VLOOKUP(I878,보도매체!$A:$C,3,FALSE), "")</f>
        <v/>
      </c>
    </row>
    <row r="879" spans="3:13" x14ac:dyDescent="0.3">
      <c r="C879" s="35">
        <f t="shared" si="13"/>
        <v>0</v>
      </c>
      <c r="D879" s="30" t="str">
        <f>IFERROR(VLOOKUP(C879,소속부서!$A$2:$B$20,2,FALSE), "")</f>
        <v/>
      </c>
      <c r="L879" s="36" t="str">
        <f>IFERROR(VLOOKUP(I879,보도매체!$A:$C,2,FALSE), "")</f>
        <v/>
      </c>
      <c r="M879" s="38" t="str">
        <f>IFERROR(VLOOKUP(I879,보도매체!$A:$C,3,FALSE), "")</f>
        <v/>
      </c>
    </row>
    <row r="880" spans="3:13" x14ac:dyDescent="0.3">
      <c r="C880" s="35">
        <f t="shared" si="13"/>
        <v>0</v>
      </c>
      <c r="D880" s="30" t="str">
        <f>IFERROR(VLOOKUP(C880,소속부서!$A$2:$B$20,2,FALSE), "")</f>
        <v/>
      </c>
      <c r="L880" s="36" t="str">
        <f>IFERROR(VLOOKUP(I880,보도매체!$A:$C,2,FALSE), "")</f>
        <v/>
      </c>
      <c r="M880" s="38" t="str">
        <f>IFERROR(VLOOKUP(I880,보도매체!$A:$C,3,FALSE), "")</f>
        <v/>
      </c>
    </row>
    <row r="881" spans="3:13" x14ac:dyDescent="0.3">
      <c r="C881" s="35">
        <f t="shared" si="13"/>
        <v>0</v>
      </c>
      <c r="D881" s="30" t="str">
        <f>IFERROR(VLOOKUP(C881,소속부서!$A$2:$B$20,2,FALSE), "")</f>
        <v/>
      </c>
      <c r="L881" s="36" t="str">
        <f>IFERROR(VLOOKUP(I881,보도매체!$A:$C,2,FALSE), "")</f>
        <v/>
      </c>
      <c r="M881" s="38" t="str">
        <f>IFERROR(VLOOKUP(I881,보도매체!$A:$C,3,FALSE), "")</f>
        <v/>
      </c>
    </row>
    <row r="882" spans="3:13" x14ac:dyDescent="0.3">
      <c r="C882" s="35">
        <f t="shared" si="13"/>
        <v>0</v>
      </c>
      <c r="D882" s="30" t="str">
        <f>IFERROR(VLOOKUP(C882,소속부서!$A$2:$B$20,2,FALSE), "")</f>
        <v/>
      </c>
      <c r="L882" s="36" t="str">
        <f>IFERROR(VLOOKUP(I882,보도매체!$A:$C,2,FALSE), "")</f>
        <v/>
      </c>
      <c r="M882" s="38" t="str">
        <f>IFERROR(VLOOKUP(I882,보도매체!$A:$C,3,FALSE), "")</f>
        <v/>
      </c>
    </row>
    <row r="883" spans="3:13" x14ac:dyDescent="0.3">
      <c r="C883" s="35">
        <f t="shared" si="13"/>
        <v>0</v>
      </c>
      <c r="D883" s="30" t="str">
        <f>IFERROR(VLOOKUP(C883,소속부서!$A$2:$B$20,2,FALSE), "")</f>
        <v/>
      </c>
      <c r="L883" s="36" t="str">
        <f>IFERROR(VLOOKUP(I883,보도매체!$A:$C,2,FALSE), "")</f>
        <v/>
      </c>
      <c r="M883" s="38" t="str">
        <f>IFERROR(VLOOKUP(I883,보도매체!$A:$C,3,FALSE), "")</f>
        <v/>
      </c>
    </row>
    <row r="884" spans="3:13" x14ac:dyDescent="0.3">
      <c r="C884" s="35">
        <f t="shared" si="13"/>
        <v>0</v>
      </c>
      <c r="D884" s="30" t="str">
        <f>IFERROR(VLOOKUP(C884,소속부서!$A$2:$B$20,2,FALSE), "")</f>
        <v/>
      </c>
      <c r="L884" s="36" t="str">
        <f>IFERROR(VLOOKUP(I884,보도매체!$A:$C,2,FALSE), "")</f>
        <v/>
      </c>
      <c r="M884" s="38" t="str">
        <f>IFERROR(VLOOKUP(I884,보도매체!$A:$C,3,FALSE), "")</f>
        <v/>
      </c>
    </row>
    <row r="885" spans="3:13" x14ac:dyDescent="0.3">
      <c r="C885" s="35">
        <f t="shared" si="13"/>
        <v>0</v>
      </c>
      <c r="D885" s="30" t="str">
        <f>IFERROR(VLOOKUP(C885,소속부서!$A$2:$B$20,2,FALSE), "")</f>
        <v/>
      </c>
      <c r="L885" s="36" t="str">
        <f>IFERROR(VLOOKUP(I885,보도매체!$A:$C,2,FALSE), "")</f>
        <v/>
      </c>
      <c r="M885" s="38" t="str">
        <f>IFERROR(VLOOKUP(I885,보도매체!$A:$C,3,FALSE), "")</f>
        <v/>
      </c>
    </row>
    <row r="886" spans="3:13" x14ac:dyDescent="0.3">
      <c r="C886" s="35">
        <f t="shared" si="13"/>
        <v>0</v>
      </c>
      <c r="D886" s="30" t="str">
        <f>IFERROR(VLOOKUP(C886,소속부서!$A$2:$B$20,2,FALSE), "")</f>
        <v/>
      </c>
      <c r="L886" s="36" t="str">
        <f>IFERROR(VLOOKUP(I886,보도매체!$A:$C,2,FALSE), "")</f>
        <v/>
      </c>
      <c r="M886" s="38" t="str">
        <f>IFERROR(VLOOKUP(I886,보도매체!$A:$C,3,FALSE), "")</f>
        <v/>
      </c>
    </row>
    <row r="887" spans="3:13" x14ac:dyDescent="0.3">
      <c r="C887" s="35">
        <f t="shared" si="13"/>
        <v>0</v>
      </c>
      <c r="D887" s="30" t="str">
        <f>IFERROR(VLOOKUP(C887,소속부서!$A$2:$B$20,2,FALSE), "")</f>
        <v/>
      </c>
      <c r="L887" s="36" t="str">
        <f>IFERROR(VLOOKUP(I887,보도매체!$A:$C,2,FALSE), "")</f>
        <v/>
      </c>
      <c r="M887" s="38" t="str">
        <f>IFERROR(VLOOKUP(I887,보도매체!$A:$C,3,FALSE), "")</f>
        <v/>
      </c>
    </row>
    <row r="888" spans="3:13" x14ac:dyDescent="0.3">
      <c r="C888" s="35">
        <f t="shared" si="13"/>
        <v>0</v>
      </c>
      <c r="D888" s="30" t="str">
        <f>IFERROR(VLOOKUP(C888,소속부서!$A$2:$B$20,2,FALSE), "")</f>
        <v/>
      </c>
      <c r="L888" s="36" t="str">
        <f>IFERROR(VLOOKUP(I888,보도매체!$A:$C,2,FALSE), "")</f>
        <v/>
      </c>
      <c r="M888" s="38" t="str">
        <f>IFERROR(VLOOKUP(I888,보도매체!$A:$C,3,FALSE), "")</f>
        <v/>
      </c>
    </row>
    <row r="889" spans="3:13" x14ac:dyDescent="0.3">
      <c r="C889" s="35">
        <f t="shared" si="13"/>
        <v>0</v>
      </c>
      <c r="D889" s="30" t="str">
        <f>IFERROR(VLOOKUP(C889,소속부서!$A$2:$B$20,2,FALSE), "")</f>
        <v/>
      </c>
      <c r="L889" s="36" t="str">
        <f>IFERROR(VLOOKUP(I889,보도매체!$A:$C,2,FALSE), "")</f>
        <v/>
      </c>
      <c r="M889" s="38" t="str">
        <f>IFERROR(VLOOKUP(I889,보도매체!$A:$C,3,FALSE), "")</f>
        <v/>
      </c>
    </row>
    <row r="890" spans="3:13" x14ac:dyDescent="0.3">
      <c r="C890" s="35">
        <f t="shared" si="13"/>
        <v>0</v>
      </c>
      <c r="D890" s="30" t="str">
        <f>IFERROR(VLOOKUP(C890,소속부서!$A$2:$B$20,2,FALSE), "")</f>
        <v/>
      </c>
      <c r="L890" s="36" t="str">
        <f>IFERROR(VLOOKUP(I890,보도매체!$A:$C,2,FALSE), "")</f>
        <v/>
      </c>
      <c r="M890" s="38" t="str">
        <f>IFERROR(VLOOKUP(I890,보도매체!$A:$C,3,FALSE), "")</f>
        <v/>
      </c>
    </row>
    <row r="891" spans="3:13" x14ac:dyDescent="0.3">
      <c r="C891" s="35">
        <f t="shared" si="13"/>
        <v>0</v>
      </c>
      <c r="D891" s="30" t="str">
        <f>IFERROR(VLOOKUP(C891,소속부서!$A$2:$B$20,2,FALSE), "")</f>
        <v/>
      </c>
      <c r="L891" s="36" t="str">
        <f>IFERROR(VLOOKUP(I891,보도매체!$A:$C,2,FALSE), "")</f>
        <v/>
      </c>
      <c r="M891" s="38" t="str">
        <f>IFERROR(VLOOKUP(I891,보도매체!$A:$C,3,FALSE), "")</f>
        <v/>
      </c>
    </row>
    <row r="892" spans="3:13" x14ac:dyDescent="0.3">
      <c r="C892" s="35">
        <f t="shared" si="13"/>
        <v>0</v>
      </c>
      <c r="D892" s="30" t="str">
        <f>IFERROR(VLOOKUP(C892,소속부서!$A$2:$B$20,2,FALSE), "")</f>
        <v/>
      </c>
      <c r="L892" s="36" t="str">
        <f>IFERROR(VLOOKUP(I892,보도매체!$A:$C,2,FALSE), "")</f>
        <v/>
      </c>
      <c r="M892" s="38" t="str">
        <f>IFERROR(VLOOKUP(I892,보도매체!$A:$C,3,FALSE), "")</f>
        <v/>
      </c>
    </row>
    <row r="893" spans="3:13" x14ac:dyDescent="0.3">
      <c r="C893" s="35">
        <f t="shared" si="13"/>
        <v>0</v>
      </c>
      <c r="D893" s="30" t="str">
        <f>IFERROR(VLOOKUP(C893,소속부서!$A$2:$B$20,2,FALSE), "")</f>
        <v/>
      </c>
      <c r="L893" s="36" t="str">
        <f>IFERROR(VLOOKUP(I893,보도매체!$A:$C,2,FALSE), "")</f>
        <v/>
      </c>
      <c r="M893" s="38" t="str">
        <f>IFERROR(VLOOKUP(I893,보도매체!$A:$C,3,FALSE), "")</f>
        <v/>
      </c>
    </row>
    <row r="894" spans="3:13" x14ac:dyDescent="0.3">
      <c r="C894" s="35">
        <f t="shared" si="13"/>
        <v>0</v>
      </c>
      <c r="D894" s="30" t="str">
        <f>IFERROR(VLOOKUP(C894,소속부서!$A$2:$B$20,2,FALSE), "")</f>
        <v/>
      </c>
      <c r="L894" s="36" t="str">
        <f>IFERROR(VLOOKUP(I894,보도매체!$A:$C,2,FALSE), "")</f>
        <v/>
      </c>
      <c r="M894" s="38" t="str">
        <f>IFERROR(VLOOKUP(I894,보도매체!$A:$C,3,FALSE), "")</f>
        <v/>
      </c>
    </row>
    <row r="895" spans="3:13" x14ac:dyDescent="0.3">
      <c r="C895" s="35">
        <f t="shared" si="13"/>
        <v>0</v>
      </c>
      <c r="D895" s="30" t="str">
        <f>IFERROR(VLOOKUP(C895,소속부서!$A$2:$B$20,2,FALSE), "")</f>
        <v/>
      </c>
      <c r="L895" s="36" t="str">
        <f>IFERROR(VLOOKUP(I895,보도매체!$A:$C,2,FALSE), "")</f>
        <v/>
      </c>
      <c r="M895" s="38" t="str">
        <f>IFERROR(VLOOKUP(I895,보도매체!$A:$C,3,FALSE), "")</f>
        <v/>
      </c>
    </row>
    <row r="896" spans="3:13" x14ac:dyDescent="0.3">
      <c r="C896" s="35">
        <f t="shared" si="13"/>
        <v>0</v>
      </c>
      <c r="D896" s="30" t="str">
        <f>IFERROR(VLOOKUP(C896,소속부서!$A$2:$B$20,2,FALSE), "")</f>
        <v/>
      </c>
      <c r="L896" s="36" t="str">
        <f>IFERROR(VLOOKUP(I896,보도매체!$A:$C,2,FALSE), "")</f>
        <v/>
      </c>
      <c r="M896" s="38" t="str">
        <f>IFERROR(VLOOKUP(I896,보도매체!$A:$C,3,FALSE), "")</f>
        <v/>
      </c>
    </row>
    <row r="897" spans="3:13" x14ac:dyDescent="0.3">
      <c r="C897" s="35">
        <f t="shared" ref="C897:C960" si="14">E897</f>
        <v>0</v>
      </c>
      <c r="D897" s="30" t="str">
        <f>IFERROR(VLOOKUP(C897,소속부서!$A$2:$B$20,2,FALSE), "")</f>
        <v/>
      </c>
      <c r="L897" s="36" t="str">
        <f>IFERROR(VLOOKUP(I897,보도매체!$A:$C,2,FALSE), "")</f>
        <v/>
      </c>
      <c r="M897" s="38" t="str">
        <f>IFERROR(VLOOKUP(I897,보도매체!$A:$C,3,FALSE), "")</f>
        <v/>
      </c>
    </row>
    <row r="898" spans="3:13" x14ac:dyDescent="0.3">
      <c r="C898" s="35">
        <f t="shared" si="14"/>
        <v>0</v>
      </c>
      <c r="D898" s="30" t="str">
        <f>IFERROR(VLOOKUP(C898,소속부서!$A$2:$B$20,2,FALSE), "")</f>
        <v/>
      </c>
      <c r="L898" s="36" t="str">
        <f>IFERROR(VLOOKUP(I898,보도매체!$A:$C,2,FALSE), "")</f>
        <v/>
      </c>
      <c r="M898" s="38" t="str">
        <f>IFERROR(VLOOKUP(I898,보도매체!$A:$C,3,FALSE), "")</f>
        <v/>
      </c>
    </row>
    <row r="899" spans="3:13" x14ac:dyDescent="0.3">
      <c r="C899" s="35">
        <f t="shared" si="14"/>
        <v>0</v>
      </c>
      <c r="D899" s="30" t="str">
        <f>IFERROR(VLOOKUP(C899,소속부서!$A$2:$B$20,2,FALSE), "")</f>
        <v/>
      </c>
      <c r="L899" s="36" t="str">
        <f>IFERROR(VLOOKUP(I899,보도매체!$A:$C,2,FALSE), "")</f>
        <v/>
      </c>
      <c r="M899" s="38" t="str">
        <f>IFERROR(VLOOKUP(I899,보도매체!$A:$C,3,FALSE), "")</f>
        <v/>
      </c>
    </row>
    <row r="900" spans="3:13" x14ac:dyDescent="0.3">
      <c r="C900" s="35">
        <f t="shared" si="14"/>
        <v>0</v>
      </c>
      <c r="D900" s="30" t="str">
        <f>IFERROR(VLOOKUP(C900,소속부서!$A$2:$B$20,2,FALSE), "")</f>
        <v/>
      </c>
      <c r="L900" s="36" t="str">
        <f>IFERROR(VLOOKUP(I900,보도매체!$A:$C,2,FALSE), "")</f>
        <v/>
      </c>
      <c r="M900" s="38" t="str">
        <f>IFERROR(VLOOKUP(I900,보도매체!$A:$C,3,FALSE), "")</f>
        <v/>
      </c>
    </row>
    <row r="901" spans="3:13" x14ac:dyDescent="0.3">
      <c r="C901" s="35">
        <f t="shared" si="14"/>
        <v>0</v>
      </c>
      <c r="D901" s="30" t="str">
        <f>IFERROR(VLOOKUP(C901,소속부서!$A$2:$B$20,2,FALSE), "")</f>
        <v/>
      </c>
      <c r="L901" s="36" t="str">
        <f>IFERROR(VLOOKUP(I901,보도매체!$A:$C,2,FALSE), "")</f>
        <v/>
      </c>
      <c r="M901" s="38" t="str">
        <f>IFERROR(VLOOKUP(I901,보도매체!$A:$C,3,FALSE), "")</f>
        <v/>
      </c>
    </row>
    <row r="902" spans="3:13" x14ac:dyDescent="0.3">
      <c r="C902" s="35">
        <f t="shared" si="14"/>
        <v>0</v>
      </c>
      <c r="D902" s="30" t="str">
        <f>IFERROR(VLOOKUP(C902,소속부서!$A$2:$B$20,2,FALSE), "")</f>
        <v/>
      </c>
      <c r="L902" s="36" t="str">
        <f>IFERROR(VLOOKUP(I902,보도매체!$A:$C,2,FALSE), "")</f>
        <v/>
      </c>
      <c r="M902" s="38" t="str">
        <f>IFERROR(VLOOKUP(I902,보도매체!$A:$C,3,FALSE), "")</f>
        <v/>
      </c>
    </row>
    <row r="903" spans="3:13" x14ac:dyDescent="0.3">
      <c r="C903" s="35">
        <f t="shared" si="14"/>
        <v>0</v>
      </c>
      <c r="D903" s="30" t="str">
        <f>IFERROR(VLOOKUP(C903,소속부서!$A$2:$B$20,2,FALSE), "")</f>
        <v/>
      </c>
      <c r="L903" s="36" t="str">
        <f>IFERROR(VLOOKUP(I903,보도매체!$A:$C,2,FALSE), "")</f>
        <v/>
      </c>
      <c r="M903" s="38" t="str">
        <f>IFERROR(VLOOKUP(I903,보도매체!$A:$C,3,FALSE), "")</f>
        <v/>
      </c>
    </row>
    <row r="904" spans="3:13" x14ac:dyDescent="0.3">
      <c r="C904" s="35">
        <f t="shared" si="14"/>
        <v>0</v>
      </c>
      <c r="D904" s="30" t="str">
        <f>IFERROR(VLOOKUP(C904,소속부서!$A$2:$B$20,2,FALSE), "")</f>
        <v/>
      </c>
      <c r="L904" s="36" t="str">
        <f>IFERROR(VLOOKUP(I904,보도매체!$A:$C,2,FALSE), "")</f>
        <v/>
      </c>
      <c r="M904" s="38" t="str">
        <f>IFERROR(VLOOKUP(I904,보도매체!$A:$C,3,FALSE), "")</f>
        <v/>
      </c>
    </row>
    <row r="905" spans="3:13" x14ac:dyDescent="0.3">
      <c r="C905" s="35">
        <f t="shared" si="14"/>
        <v>0</v>
      </c>
      <c r="D905" s="30" t="str">
        <f>IFERROR(VLOOKUP(C905,소속부서!$A$2:$B$20,2,FALSE), "")</f>
        <v/>
      </c>
      <c r="L905" s="36" t="str">
        <f>IFERROR(VLOOKUP(I905,보도매체!$A:$C,2,FALSE), "")</f>
        <v/>
      </c>
      <c r="M905" s="38" t="str">
        <f>IFERROR(VLOOKUP(I905,보도매체!$A:$C,3,FALSE), "")</f>
        <v/>
      </c>
    </row>
    <row r="906" spans="3:13" x14ac:dyDescent="0.3">
      <c r="C906" s="35">
        <f t="shared" si="14"/>
        <v>0</v>
      </c>
      <c r="D906" s="30" t="str">
        <f>IFERROR(VLOOKUP(C906,소속부서!$A$2:$B$20,2,FALSE), "")</f>
        <v/>
      </c>
      <c r="L906" s="36" t="str">
        <f>IFERROR(VLOOKUP(I906,보도매체!$A:$C,2,FALSE), "")</f>
        <v/>
      </c>
      <c r="M906" s="38" t="str">
        <f>IFERROR(VLOOKUP(I906,보도매체!$A:$C,3,FALSE), "")</f>
        <v/>
      </c>
    </row>
    <row r="907" spans="3:13" x14ac:dyDescent="0.3">
      <c r="C907" s="35">
        <f t="shared" si="14"/>
        <v>0</v>
      </c>
      <c r="D907" s="30" t="str">
        <f>IFERROR(VLOOKUP(C907,소속부서!$A$2:$B$20,2,FALSE), "")</f>
        <v/>
      </c>
      <c r="L907" s="36" t="str">
        <f>IFERROR(VLOOKUP(I907,보도매체!$A:$C,2,FALSE), "")</f>
        <v/>
      </c>
      <c r="M907" s="38" t="str">
        <f>IFERROR(VLOOKUP(I907,보도매체!$A:$C,3,FALSE), "")</f>
        <v/>
      </c>
    </row>
    <row r="908" spans="3:13" x14ac:dyDescent="0.3">
      <c r="C908" s="35">
        <f t="shared" si="14"/>
        <v>0</v>
      </c>
      <c r="D908" s="30" t="str">
        <f>IFERROR(VLOOKUP(C908,소속부서!$A$2:$B$20,2,FALSE), "")</f>
        <v/>
      </c>
      <c r="L908" s="36" t="str">
        <f>IFERROR(VLOOKUP(I908,보도매체!$A:$C,2,FALSE), "")</f>
        <v/>
      </c>
      <c r="M908" s="38" t="str">
        <f>IFERROR(VLOOKUP(I908,보도매체!$A:$C,3,FALSE), "")</f>
        <v/>
      </c>
    </row>
    <row r="909" spans="3:13" x14ac:dyDescent="0.3">
      <c r="C909" s="35">
        <f t="shared" si="14"/>
        <v>0</v>
      </c>
      <c r="D909" s="30" t="str">
        <f>IFERROR(VLOOKUP(C909,소속부서!$A$2:$B$20,2,FALSE), "")</f>
        <v/>
      </c>
      <c r="L909" s="36" t="str">
        <f>IFERROR(VLOOKUP(I909,보도매체!$A:$C,2,FALSE), "")</f>
        <v/>
      </c>
      <c r="M909" s="38" t="str">
        <f>IFERROR(VLOOKUP(I909,보도매체!$A:$C,3,FALSE), "")</f>
        <v/>
      </c>
    </row>
    <row r="910" spans="3:13" x14ac:dyDescent="0.3">
      <c r="C910" s="35">
        <f t="shared" si="14"/>
        <v>0</v>
      </c>
      <c r="D910" s="30" t="str">
        <f>IFERROR(VLOOKUP(C910,소속부서!$A$2:$B$20,2,FALSE), "")</f>
        <v/>
      </c>
      <c r="L910" s="36" t="str">
        <f>IFERROR(VLOOKUP(I910,보도매체!$A:$C,2,FALSE), "")</f>
        <v/>
      </c>
      <c r="M910" s="38" t="str">
        <f>IFERROR(VLOOKUP(I910,보도매체!$A:$C,3,FALSE), "")</f>
        <v/>
      </c>
    </row>
    <row r="911" spans="3:13" x14ac:dyDescent="0.3">
      <c r="C911" s="35">
        <f t="shared" si="14"/>
        <v>0</v>
      </c>
      <c r="D911" s="30" t="str">
        <f>IFERROR(VLOOKUP(C911,소속부서!$A$2:$B$20,2,FALSE), "")</f>
        <v/>
      </c>
      <c r="L911" s="36" t="str">
        <f>IFERROR(VLOOKUP(I911,보도매체!$A:$C,2,FALSE), "")</f>
        <v/>
      </c>
      <c r="M911" s="38" t="str">
        <f>IFERROR(VLOOKUP(I911,보도매체!$A:$C,3,FALSE), "")</f>
        <v/>
      </c>
    </row>
    <row r="912" spans="3:13" x14ac:dyDescent="0.3">
      <c r="C912" s="35">
        <f t="shared" si="14"/>
        <v>0</v>
      </c>
      <c r="D912" s="30" t="str">
        <f>IFERROR(VLOOKUP(C912,소속부서!$A$2:$B$20,2,FALSE), "")</f>
        <v/>
      </c>
      <c r="L912" s="36" t="str">
        <f>IFERROR(VLOOKUP(I912,보도매체!$A:$C,2,FALSE), "")</f>
        <v/>
      </c>
      <c r="M912" s="38" t="str">
        <f>IFERROR(VLOOKUP(I912,보도매체!$A:$C,3,FALSE), "")</f>
        <v/>
      </c>
    </row>
    <row r="913" spans="3:13" x14ac:dyDescent="0.3">
      <c r="C913" s="35">
        <f t="shared" si="14"/>
        <v>0</v>
      </c>
      <c r="D913" s="30" t="str">
        <f>IFERROR(VLOOKUP(C913,소속부서!$A$2:$B$20,2,FALSE), "")</f>
        <v/>
      </c>
      <c r="L913" s="36" t="str">
        <f>IFERROR(VLOOKUP(I913,보도매체!$A:$C,2,FALSE), "")</f>
        <v/>
      </c>
      <c r="M913" s="38" t="str">
        <f>IFERROR(VLOOKUP(I913,보도매체!$A:$C,3,FALSE), "")</f>
        <v/>
      </c>
    </row>
    <row r="914" spans="3:13" x14ac:dyDescent="0.3">
      <c r="C914" s="35">
        <f t="shared" si="14"/>
        <v>0</v>
      </c>
      <c r="D914" s="30" t="str">
        <f>IFERROR(VLOOKUP(C914,소속부서!$A$2:$B$20,2,FALSE), "")</f>
        <v/>
      </c>
      <c r="L914" s="36" t="str">
        <f>IFERROR(VLOOKUP(I914,보도매체!$A:$C,2,FALSE), "")</f>
        <v/>
      </c>
      <c r="M914" s="38" t="str">
        <f>IFERROR(VLOOKUP(I914,보도매체!$A:$C,3,FALSE), "")</f>
        <v/>
      </c>
    </row>
    <row r="915" spans="3:13" x14ac:dyDescent="0.3">
      <c r="C915" s="35">
        <f t="shared" si="14"/>
        <v>0</v>
      </c>
      <c r="D915" s="30" t="str">
        <f>IFERROR(VLOOKUP(C915,소속부서!$A$2:$B$20,2,FALSE), "")</f>
        <v/>
      </c>
      <c r="L915" s="36" t="str">
        <f>IFERROR(VLOOKUP(I915,보도매체!$A:$C,2,FALSE), "")</f>
        <v/>
      </c>
      <c r="M915" s="38" t="str">
        <f>IFERROR(VLOOKUP(I915,보도매체!$A:$C,3,FALSE), "")</f>
        <v/>
      </c>
    </row>
    <row r="916" spans="3:13" x14ac:dyDescent="0.3">
      <c r="C916" s="35">
        <f t="shared" si="14"/>
        <v>0</v>
      </c>
      <c r="D916" s="30" t="str">
        <f>IFERROR(VLOOKUP(C916,소속부서!$A$2:$B$20,2,FALSE), "")</f>
        <v/>
      </c>
      <c r="L916" s="36" t="str">
        <f>IFERROR(VLOOKUP(I916,보도매체!$A:$C,2,FALSE), "")</f>
        <v/>
      </c>
      <c r="M916" s="38" t="str">
        <f>IFERROR(VLOOKUP(I916,보도매체!$A:$C,3,FALSE), "")</f>
        <v/>
      </c>
    </row>
    <row r="917" spans="3:13" x14ac:dyDescent="0.3">
      <c r="C917" s="35">
        <f t="shared" si="14"/>
        <v>0</v>
      </c>
      <c r="D917" s="30" t="str">
        <f>IFERROR(VLOOKUP(C917,소속부서!$A$2:$B$20,2,FALSE), "")</f>
        <v/>
      </c>
      <c r="L917" s="36" t="str">
        <f>IFERROR(VLOOKUP(I917,보도매체!$A:$C,2,FALSE), "")</f>
        <v/>
      </c>
      <c r="M917" s="38" t="str">
        <f>IFERROR(VLOOKUP(I917,보도매체!$A:$C,3,FALSE), "")</f>
        <v/>
      </c>
    </row>
    <row r="918" spans="3:13" x14ac:dyDescent="0.3">
      <c r="C918" s="35">
        <f t="shared" si="14"/>
        <v>0</v>
      </c>
      <c r="D918" s="30" t="str">
        <f>IFERROR(VLOOKUP(C918,소속부서!$A$2:$B$20,2,FALSE), "")</f>
        <v/>
      </c>
      <c r="L918" s="36" t="str">
        <f>IFERROR(VLOOKUP(I918,보도매체!$A:$C,2,FALSE), "")</f>
        <v/>
      </c>
      <c r="M918" s="38" t="str">
        <f>IFERROR(VLOOKUP(I918,보도매체!$A:$C,3,FALSE), "")</f>
        <v/>
      </c>
    </row>
    <row r="919" spans="3:13" x14ac:dyDescent="0.3">
      <c r="C919" s="35">
        <f t="shared" si="14"/>
        <v>0</v>
      </c>
      <c r="D919" s="30" t="str">
        <f>IFERROR(VLOOKUP(C919,소속부서!$A$2:$B$20,2,FALSE), "")</f>
        <v/>
      </c>
      <c r="L919" s="36" t="str">
        <f>IFERROR(VLOOKUP(I919,보도매체!$A:$C,2,FALSE), "")</f>
        <v/>
      </c>
      <c r="M919" s="38" t="str">
        <f>IFERROR(VLOOKUP(I919,보도매체!$A:$C,3,FALSE), "")</f>
        <v/>
      </c>
    </row>
    <row r="920" spans="3:13" x14ac:dyDescent="0.3">
      <c r="C920" s="35">
        <f t="shared" si="14"/>
        <v>0</v>
      </c>
      <c r="D920" s="30" t="str">
        <f>IFERROR(VLOOKUP(C920,소속부서!$A$2:$B$20,2,FALSE), "")</f>
        <v/>
      </c>
      <c r="L920" s="36" t="str">
        <f>IFERROR(VLOOKUP(I920,보도매체!$A:$C,2,FALSE), "")</f>
        <v/>
      </c>
      <c r="M920" s="38" t="str">
        <f>IFERROR(VLOOKUP(I920,보도매체!$A:$C,3,FALSE), "")</f>
        <v/>
      </c>
    </row>
    <row r="921" spans="3:13" x14ac:dyDescent="0.3">
      <c r="C921" s="35">
        <f t="shared" si="14"/>
        <v>0</v>
      </c>
      <c r="D921" s="30" t="str">
        <f>IFERROR(VLOOKUP(C921,소속부서!$A$2:$B$20,2,FALSE), "")</f>
        <v/>
      </c>
      <c r="L921" s="36" t="str">
        <f>IFERROR(VLOOKUP(I921,보도매체!$A:$C,2,FALSE), "")</f>
        <v/>
      </c>
      <c r="M921" s="38" t="str">
        <f>IFERROR(VLOOKUP(I921,보도매체!$A:$C,3,FALSE), "")</f>
        <v/>
      </c>
    </row>
    <row r="922" spans="3:13" x14ac:dyDescent="0.3">
      <c r="C922" s="35">
        <f t="shared" si="14"/>
        <v>0</v>
      </c>
      <c r="D922" s="30" t="str">
        <f>IFERROR(VLOOKUP(C922,소속부서!$A$2:$B$20,2,FALSE), "")</f>
        <v/>
      </c>
      <c r="L922" s="36" t="str">
        <f>IFERROR(VLOOKUP(I922,보도매체!$A:$C,2,FALSE), "")</f>
        <v/>
      </c>
      <c r="M922" s="38" t="str">
        <f>IFERROR(VLOOKUP(I922,보도매체!$A:$C,3,FALSE), "")</f>
        <v/>
      </c>
    </row>
    <row r="923" spans="3:13" x14ac:dyDescent="0.3">
      <c r="C923" s="35">
        <f t="shared" si="14"/>
        <v>0</v>
      </c>
      <c r="D923" s="30" t="str">
        <f>IFERROR(VLOOKUP(C923,소속부서!$A$2:$B$20,2,FALSE), "")</f>
        <v/>
      </c>
      <c r="L923" s="36" t="str">
        <f>IFERROR(VLOOKUP(I923,보도매체!$A:$C,2,FALSE), "")</f>
        <v/>
      </c>
      <c r="M923" s="38" t="str">
        <f>IFERROR(VLOOKUP(I923,보도매체!$A:$C,3,FALSE), "")</f>
        <v/>
      </c>
    </row>
    <row r="924" spans="3:13" x14ac:dyDescent="0.3">
      <c r="C924" s="35">
        <f t="shared" si="14"/>
        <v>0</v>
      </c>
      <c r="D924" s="30" t="str">
        <f>IFERROR(VLOOKUP(C924,소속부서!$A$2:$B$20,2,FALSE), "")</f>
        <v/>
      </c>
      <c r="L924" s="36" t="str">
        <f>IFERROR(VLOOKUP(I924,보도매체!$A:$C,2,FALSE), "")</f>
        <v/>
      </c>
      <c r="M924" s="38" t="str">
        <f>IFERROR(VLOOKUP(I924,보도매체!$A:$C,3,FALSE), "")</f>
        <v/>
      </c>
    </row>
    <row r="925" spans="3:13" x14ac:dyDescent="0.3">
      <c r="C925" s="35">
        <f t="shared" si="14"/>
        <v>0</v>
      </c>
      <c r="D925" s="30" t="str">
        <f>IFERROR(VLOOKUP(C925,소속부서!$A$2:$B$20,2,FALSE), "")</f>
        <v/>
      </c>
      <c r="L925" s="36" t="str">
        <f>IFERROR(VLOOKUP(I925,보도매체!$A:$C,2,FALSE), "")</f>
        <v/>
      </c>
      <c r="M925" s="38" t="str">
        <f>IFERROR(VLOOKUP(I925,보도매체!$A:$C,3,FALSE), "")</f>
        <v/>
      </c>
    </row>
    <row r="926" spans="3:13" x14ac:dyDescent="0.3">
      <c r="C926" s="35">
        <f t="shared" si="14"/>
        <v>0</v>
      </c>
      <c r="D926" s="30" t="str">
        <f>IFERROR(VLOOKUP(C926,소속부서!$A$2:$B$20,2,FALSE), "")</f>
        <v/>
      </c>
      <c r="L926" s="36" t="str">
        <f>IFERROR(VLOOKUP(I926,보도매체!$A:$C,2,FALSE), "")</f>
        <v/>
      </c>
      <c r="M926" s="38" t="str">
        <f>IFERROR(VLOOKUP(I926,보도매체!$A:$C,3,FALSE), "")</f>
        <v/>
      </c>
    </row>
    <row r="927" spans="3:13" x14ac:dyDescent="0.3">
      <c r="C927" s="35">
        <f t="shared" si="14"/>
        <v>0</v>
      </c>
      <c r="D927" s="30" t="str">
        <f>IFERROR(VLOOKUP(C927,소속부서!$A$2:$B$20,2,FALSE), "")</f>
        <v/>
      </c>
      <c r="L927" s="36" t="str">
        <f>IFERROR(VLOOKUP(I927,보도매체!$A:$C,2,FALSE), "")</f>
        <v/>
      </c>
      <c r="M927" s="38" t="str">
        <f>IFERROR(VLOOKUP(I927,보도매체!$A:$C,3,FALSE), "")</f>
        <v/>
      </c>
    </row>
    <row r="928" spans="3:13" x14ac:dyDescent="0.3">
      <c r="C928" s="35">
        <f t="shared" si="14"/>
        <v>0</v>
      </c>
      <c r="D928" s="30" t="str">
        <f>IFERROR(VLOOKUP(C928,소속부서!$A$2:$B$20,2,FALSE), "")</f>
        <v/>
      </c>
      <c r="L928" s="36" t="str">
        <f>IFERROR(VLOOKUP(I928,보도매체!$A:$C,2,FALSE), "")</f>
        <v/>
      </c>
      <c r="M928" s="38" t="str">
        <f>IFERROR(VLOOKUP(I928,보도매체!$A:$C,3,FALSE), "")</f>
        <v/>
      </c>
    </row>
    <row r="929" spans="3:13" x14ac:dyDescent="0.3">
      <c r="C929" s="35">
        <f t="shared" si="14"/>
        <v>0</v>
      </c>
      <c r="D929" s="30" t="str">
        <f>IFERROR(VLOOKUP(C929,소속부서!$A$2:$B$20,2,FALSE), "")</f>
        <v/>
      </c>
      <c r="L929" s="36" t="str">
        <f>IFERROR(VLOOKUP(I929,보도매체!$A:$C,2,FALSE), "")</f>
        <v/>
      </c>
      <c r="M929" s="38" t="str">
        <f>IFERROR(VLOOKUP(I929,보도매체!$A:$C,3,FALSE), "")</f>
        <v/>
      </c>
    </row>
    <row r="930" spans="3:13" x14ac:dyDescent="0.3">
      <c r="C930" s="35">
        <f t="shared" si="14"/>
        <v>0</v>
      </c>
      <c r="D930" s="30" t="str">
        <f>IFERROR(VLOOKUP(C930,소속부서!$A$2:$B$20,2,FALSE), "")</f>
        <v/>
      </c>
      <c r="L930" s="36" t="str">
        <f>IFERROR(VLOOKUP(I930,보도매체!$A:$C,2,FALSE), "")</f>
        <v/>
      </c>
      <c r="M930" s="38" t="str">
        <f>IFERROR(VLOOKUP(I930,보도매체!$A:$C,3,FALSE), "")</f>
        <v/>
      </c>
    </row>
    <row r="931" spans="3:13" x14ac:dyDescent="0.3">
      <c r="C931" s="35">
        <f t="shared" si="14"/>
        <v>0</v>
      </c>
      <c r="D931" s="30" t="str">
        <f>IFERROR(VLOOKUP(C931,소속부서!$A$2:$B$20,2,FALSE), "")</f>
        <v/>
      </c>
      <c r="L931" s="36" t="str">
        <f>IFERROR(VLOOKUP(I931,보도매체!$A:$C,2,FALSE), "")</f>
        <v/>
      </c>
      <c r="M931" s="38" t="str">
        <f>IFERROR(VLOOKUP(I931,보도매체!$A:$C,3,FALSE), "")</f>
        <v/>
      </c>
    </row>
    <row r="932" spans="3:13" x14ac:dyDescent="0.3">
      <c r="C932" s="35">
        <f t="shared" si="14"/>
        <v>0</v>
      </c>
      <c r="D932" s="30" t="str">
        <f>IFERROR(VLOOKUP(C932,소속부서!$A$2:$B$20,2,FALSE), "")</f>
        <v/>
      </c>
      <c r="L932" s="36" t="str">
        <f>IFERROR(VLOOKUP(I932,보도매체!$A:$C,2,FALSE), "")</f>
        <v/>
      </c>
      <c r="M932" s="38" t="str">
        <f>IFERROR(VLOOKUP(I932,보도매체!$A:$C,3,FALSE), "")</f>
        <v/>
      </c>
    </row>
    <row r="933" spans="3:13" x14ac:dyDescent="0.3">
      <c r="C933" s="35">
        <f t="shared" si="14"/>
        <v>0</v>
      </c>
      <c r="D933" s="30" t="str">
        <f>IFERROR(VLOOKUP(C933,소속부서!$A$2:$B$20,2,FALSE), "")</f>
        <v/>
      </c>
      <c r="L933" s="36" t="str">
        <f>IFERROR(VLOOKUP(I933,보도매체!$A:$C,2,FALSE), "")</f>
        <v/>
      </c>
      <c r="M933" s="38" t="str">
        <f>IFERROR(VLOOKUP(I933,보도매체!$A:$C,3,FALSE), "")</f>
        <v/>
      </c>
    </row>
    <row r="934" spans="3:13" x14ac:dyDescent="0.3">
      <c r="C934" s="35">
        <f t="shared" si="14"/>
        <v>0</v>
      </c>
      <c r="D934" s="30" t="str">
        <f>IFERROR(VLOOKUP(C934,소속부서!$A$2:$B$20,2,FALSE), "")</f>
        <v/>
      </c>
      <c r="L934" s="36" t="str">
        <f>IFERROR(VLOOKUP(I934,보도매체!$A:$C,2,FALSE), "")</f>
        <v/>
      </c>
      <c r="M934" s="38" t="str">
        <f>IFERROR(VLOOKUP(I934,보도매체!$A:$C,3,FALSE), "")</f>
        <v/>
      </c>
    </row>
    <row r="935" spans="3:13" x14ac:dyDescent="0.3">
      <c r="C935" s="35">
        <f t="shared" si="14"/>
        <v>0</v>
      </c>
      <c r="D935" s="30" t="str">
        <f>IFERROR(VLOOKUP(C935,소속부서!$A$2:$B$20,2,FALSE), "")</f>
        <v/>
      </c>
      <c r="L935" s="36" t="str">
        <f>IFERROR(VLOOKUP(I935,보도매체!$A:$C,2,FALSE), "")</f>
        <v/>
      </c>
      <c r="M935" s="38" t="str">
        <f>IFERROR(VLOOKUP(I935,보도매체!$A:$C,3,FALSE), "")</f>
        <v/>
      </c>
    </row>
    <row r="936" spans="3:13" x14ac:dyDescent="0.3">
      <c r="C936" s="35">
        <f t="shared" si="14"/>
        <v>0</v>
      </c>
      <c r="D936" s="30" t="str">
        <f>IFERROR(VLOOKUP(C936,소속부서!$A$2:$B$20,2,FALSE), "")</f>
        <v/>
      </c>
      <c r="L936" s="36" t="str">
        <f>IFERROR(VLOOKUP(I936,보도매체!$A:$C,2,FALSE), "")</f>
        <v/>
      </c>
      <c r="M936" s="38" t="str">
        <f>IFERROR(VLOOKUP(I936,보도매체!$A:$C,3,FALSE), "")</f>
        <v/>
      </c>
    </row>
    <row r="937" spans="3:13" x14ac:dyDescent="0.3">
      <c r="C937" s="35">
        <f t="shared" si="14"/>
        <v>0</v>
      </c>
      <c r="D937" s="30" t="str">
        <f>IFERROR(VLOOKUP(C937,소속부서!$A$2:$B$20,2,FALSE), "")</f>
        <v/>
      </c>
      <c r="L937" s="36" t="str">
        <f>IFERROR(VLOOKUP(I937,보도매체!$A:$C,2,FALSE), "")</f>
        <v/>
      </c>
      <c r="M937" s="38" t="str">
        <f>IFERROR(VLOOKUP(I937,보도매체!$A:$C,3,FALSE), "")</f>
        <v/>
      </c>
    </row>
    <row r="938" spans="3:13" x14ac:dyDescent="0.3">
      <c r="C938" s="35">
        <f t="shared" si="14"/>
        <v>0</v>
      </c>
      <c r="D938" s="30" t="str">
        <f>IFERROR(VLOOKUP(C938,소속부서!$A$2:$B$20,2,FALSE), "")</f>
        <v/>
      </c>
      <c r="L938" s="36" t="str">
        <f>IFERROR(VLOOKUP(I938,보도매체!$A:$C,2,FALSE), "")</f>
        <v/>
      </c>
      <c r="M938" s="38" t="str">
        <f>IFERROR(VLOOKUP(I938,보도매체!$A:$C,3,FALSE), "")</f>
        <v/>
      </c>
    </row>
    <row r="939" spans="3:13" x14ac:dyDescent="0.3">
      <c r="C939" s="35">
        <f t="shared" si="14"/>
        <v>0</v>
      </c>
      <c r="D939" s="30" t="str">
        <f>IFERROR(VLOOKUP(C939,소속부서!$A$2:$B$20,2,FALSE), "")</f>
        <v/>
      </c>
      <c r="L939" s="36" t="str">
        <f>IFERROR(VLOOKUP(I939,보도매체!$A:$C,2,FALSE), "")</f>
        <v/>
      </c>
      <c r="M939" s="38" t="str">
        <f>IFERROR(VLOOKUP(I939,보도매체!$A:$C,3,FALSE), "")</f>
        <v/>
      </c>
    </row>
    <row r="940" spans="3:13" x14ac:dyDescent="0.3">
      <c r="C940" s="35">
        <f t="shared" si="14"/>
        <v>0</v>
      </c>
      <c r="D940" s="30" t="str">
        <f>IFERROR(VLOOKUP(C940,소속부서!$A$2:$B$20,2,FALSE), "")</f>
        <v/>
      </c>
      <c r="L940" s="36" t="str">
        <f>IFERROR(VLOOKUP(I940,보도매체!$A:$C,2,FALSE), "")</f>
        <v/>
      </c>
      <c r="M940" s="38" t="str">
        <f>IFERROR(VLOOKUP(I940,보도매체!$A:$C,3,FALSE), "")</f>
        <v/>
      </c>
    </row>
    <row r="941" spans="3:13" x14ac:dyDescent="0.3">
      <c r="C941" s="35">
        <f t="shared" si="14"/>
        <v>0</v>
      </c>
      <c r="D941" s="30" t="str">
        <f>IFERROR(VLOOKUP(C941,소속부서!$A$2:$B$20,2,FALSE), "")</f>
        <v/>
      </c>
      <c r="L941" s="36" t="str">
        <f>IFERROR(VLOOKUP(I941,보도매체!$A:$C,2,FALSE), "")</f>
        <v/>
      </c>
      <c r="M941" s="38" t="str">
        <f>IFERROR(VLOOKUP(I941,보도매체!$A:$C,3,FALSE), "")</f>
        <v/>
      </c>
    </row>
    <row r="942" spans="3:13" x14ac:dyDescent="0.3">
      <c r="C942" s="35">
        <f t="shared" si="14"/>
        <v>0</v>
      </c>
      <c r="D942" s="30" t="str">
        <f>IFERROR(VLOOKUP(C942,소속부서!$A$2:$B$20,2,FALSE), "")</f>
        <v/>
      </c>
      <c r="L942" s="36" t="str">
        <f>IFERROR(VLOOKUP(I942,보도매체!$A:$C,2,FALSE), "")</f>
        <v/>
      </c>
      <c r="M942" s="38" t="str">
        <f>IFERROR(VLOOKUP(I942,보도매체!$A:$C,3,FALSE), "")</f>
        <v/>
      </c>
    </row>
    <row r="943" spans="3:13" x14ac:dyDescent="0.3">
      <c r="C943" s="35">
        <f t="shared" si="14"/>
        <v>0</v>
      </c>
      <c r="D943" s="30" t="str">
        <f>IFERROR(VLOOKUP(C943,소속부서!$A$2:$B$20,2,FALSE), "")</f>
        <v/>
      </c>
      <c r="L943" s="36" t="str">
        <f>IFERROR(VLOOKUP(I943,보도매체!$A:$C,2,FALSE), "")</f>
        <v/>
      </c>
      <c r="M943" s="38" t="str">
        <f>IFERROR(VLOOKUP(I943,보도매체!$A:$C,3,FALSE), "")</f>
        <v/>
      </c>
    </row>
    <row r="944" spans="3:13" x14ac:dyDescent="0.3">
      <c r="C944" s="35">
        <f t="shared" si="14"/>
        <v>0</v>
      </c>
      <c r="D944" s="30" t="str">
        <f>IFERROR(VLOOKUP(C944,소속부서!$A$2:$B$20,2,FALSE), "")</f>
        <v/>
      </c>
      <c r="L944" s="36" t="str">
        <f>IFERROR(VLOOKUP(I944,보도매체!$A:$C,2,FALSE), "")</f>
        <v/>
      </c>
      <c r="M944" s="38" t="str">
        <f>IFERROR(VLOOKUP(I944,보도매체!$A:$C,3,FALSE), "")</f>
        <v/>
      </c>
    </row>
    <row r="945" spans="3:13" x14ac:dyDescent="0.3">
      <c r="C945" s="35">
        <f t="shared" si="14"/>
        <v>0</v>
      </c>
      <c r="D945" s="30" t="str">
        <f>IFERROR(VLOOKUP(C945,소속부서!$A$2:$B$20,2,FALSE), "")</f>
        <v/>
      </c>
      <c r="L945" s="36" t="str">
        <f>IFERROR(VLOOKUP(I945,보도매체!$A:$C,2,FALSE), "")</f>
        <v/>
      </c>
      <c r="M945" s="38" t="str">
        <f>IFERROR(VLOOKUP(I945,보도매체!$A:$C,3,FALSE), "")</f>
        <v/>
      </c>
    </row>
    <row r="946" spans="3:13" x14ac:dyDescent="0.3">
      <c r="C946" s="35">
        <f t="shared" si="14"/>
        <v>0</v>
      </c>
      <c r="D946" s="30" t="str">
        <f>IFERROR(VLOOKUP(C946,소속부서!$A$2:$B$20,2,FALSE), "")</f>
        <v/>
      </c>
      <c r="L946" s="36" t="str">
        <f>IFERROR(VLOOKUP(I946,보도매체!$A:$C,2,FALSE), "")</f>
        <v/>
      </c>
      <c r="M946" s="38" t="str">
        <f>IFERROR(VLOOKUP(I946,보도매체!$A:$C,3,FALSE), "")</f>
        <v/>
      </c>
    </row>
    <row r="947" spans="3:13" x14ac:dyDescent="0.3">
      <c r="C947" s="35">
        <f t="shared" si="14"/>
        <v>0</v>
      </c>
      <c r="D947" s="30" t="str">
        <f>IFERROR(VLOOKUP(C947,소속부서!$A$2:$B$20,2,FALSE), "")</f>
        <v/>
      </c>
      <c r="L947" s="36" t="str">
        <f>IFERROR(VLOOKUP(I947,보도매체!$A:$C,2,FALSE), "")</f>
        <v/>
      </c>
      <c r="M947" s="38" t="str">
        <f>IFERROR(VLOOKUP(I947,보도매체!$A:$C,3,FALSE), "")</f>
        <v/>
      </c>
    </row>
    <row r="948" spans="3:13" x14ac:dyDescent="0.3">
      <c r="C948" s="35">
        <f t="shared" si="14"/>
        <v>0</v>
      </c>
      <c r="D948" s="30" t="str">
        <f>IFERROR(VLOOKUP(C948,소속부서!$A$2:$B$20,2,FALSE), "")</f>
        <v/>
      </c>
      <c r="L948" s="36" t="str">
        <f>IFERROR(VLOOKUP(I948,보도매체!$A:$C,2,FALSE), "")</f>
        <v/>
      </c>
      <c r="M948" s="38" t="str">
        <f>IFERROR(VLOOKUP(I948,보도매체!$A:$C,3,FALSE), "")</f>
        <v/>
      </c>
    </row>
    <row r="949" spans="3:13" x14ac:dyDescent="0.3">
      <c r="C949" s="35">
        <f t="shared" si="14"/>
        <v>0</v>
      </c>
      <c r="D949" s="30" t="str">
        <f>IFERROR(VLOOKUP(C949,소속부서!$A$2:$B$20,2,FALSE), "")</f>
        <v/>
      </c>
      <c r="L949" s="36" t="str">
        <f>IFERROR(VLOOKUP(I949,보도매체!$A:$C,2,FALSE), "")</f>
        <v/>
      </c>
      <c r="M949" s="38" t="str">
        <f>IFERROR(VLOOKUP(I949,보도매체!$A:$C,3,FALSE), "")</f>
        <v/>
      </c>
    </row>
    <row r="950" spans="3:13" x14ac:dyDescent="0.3">
      <c r="C950" s="35">
        <f t="shared" si="14"/>
        <v>0</v>
      </c>
      <c r="D950" s="30" t="str">
        <f>IFERROR(VLOOKUP(C950,소속부서!$A$2:$B$20,2,FALSE), "")</f>
        <v/>
      </c>
      <c r="L950" s="36" t="str">
        <f>IFERROR(VLOOKUP(I950,보도매체!$A:$C,2,FALSE), "")</f>
        <v/>
      </c>
      <c r="M950" s="38" t="str">
        <f>IFERROR(VLOOKUP(I950,보도매체!$A:$C,3,FALSE), "")</f>
        <v/>
      </c>
    </row>
    <row r="951" spans="3:13" x14ac:dyDescent="0.3">
      <c r="C951" s="35">
        <f t="shared" si="14"/>
        <v>0</v>
      </c>
      <c r="D951" s="30" t="str">
        <f>IFERROR(VLOOKUP(C951,소속부서!$A$2:$B$20,2,FALSE), "")</f>
        <v/>
      </c>
      <c r="L951" s="36" t="str">
        <f>IFERROR(VLOOKUP(I951,보도매체!$A:$C,2,FALSE), "")</f>
        <v/>
      </c>
      <c r="M951" s="38" t="str">
        <f>IFERROR(VLOOKUP(I951,보도매체!$A:$C,3,FALSE), "")</f>
        <v/>
      </c>
    </row>
    <row r="952" spans="3:13" x14ac:dyDescent="0.3">
      <c r="C952" s="35">
        <f t="shared" si="14"/>
        <v>0</v>
      </c>
      <c r="D952" s="30" t="str">
        <f>IFERROR(VLOOKUP(C952,소속부서!$A$2:$B$20,2,FALSE), "")</f>
        <v/>
      </c>
      <c r="L952" s="36" t="str">
        <f>IFERROR(VLOOKUP(I952,보도매체!$A:$C,2,FALSE), "")</f>
        <v/>
      </c>
      <c r="M952" s="38" t="str">
        <f>IFERROR(VLOOKUP(I952,보도매체!$A:$C,3,FALSE), "")</f>
        <v/>
      </c>
    </row>
    <row r="953" spans="3:13" x14ac:dyDescent="0.3">
      <c r="C953" s="35">
        <f t="shared" si="14"/>
        <v>0</v>
      </c>
      <c r="D953" s="30" t="str">
        <f>IFERROR(VLOOKUP(C953,소속부서!$A$2:$B$20,2,FALSE), "")</f>
        <v/>
      </c>
      <c r="L953" s="36" t="str">
        <f>IFERROR(VLOOKUP(I953,보도매체!$A:$C,2,FALSE), "")</f>
        <v/>
      </c>
      <c r="M953" s="38" t="str">
        <f>IFERROR(VLOOKUP(I953,보도매체!$A:$C,3,FALSE), "")</f>
        <v/>
      </c>
    </row>
    <row r="954" spans="3:13" x14ac:dyDescent="0.3">
      <c r="C954" s="35">
        <f t="shared" si="14"/>
        <v>0</v>
      </c>
      <c r="D954" s="30" t="str">
        <f>IFERROR(VLOOKUP(C954,소속부서!$A$2:$B$20,2,FALSE), "")</f>
        <v/>
      </c>
      <c r="L954" s="36" t="str">
        <f>IFERROR(VLOOKUP(I954,보도매체!$A:$C,2,FALSE), "")</f>
        <v/>
      </c>
      <c r="M954" s="38" t="str">
        <f>IFERROR(VLOOKUP(I954,보도매체!$A:$C,3,FALSE), "")</f>
        <v/>
      </c>
    </row>
    <row r="955" spans="3:13" x14ac:dyDescent="0.3">
      <c r="C955" s="35">
        <f t="shared" si="14"/>
        <v>0</v>
      </c>
      <c r="D955" s="30" t="str">
        <f>IFERROR(VLOOKUP(C955,소속부서!$A$2:$B$20,2,FALSE), "")</f>
        <v/>
      </c>
      <c r="L955" s="36" t="str">
        <f>IFERROR(VLOOKUP(I955,보도매체!$A:$C,2,FALSE), "")</f>
        <v/>
      </c>
      <c r="M955" s="38" t="str">
        <f>IFERROR(VLOOKUP(I955,보도매체!$A:$C,3,FALSE), "")</f>
        <v/>
      </c>
    </row>
    <row r="956" spans="3:13" x14ac:dyDescent="0.3">
      <c r="C956" s="35">
        <f t="shared" si="14"/>
        <v>0</v>
      </c>
      <c r="D956" s="30" t="str">
        <f>IFERROR(VLOOKUP(C956,소속부서!$A$2:$B$20,2,FALSE), "")</f>
        <v/>
      </c>
      <c r="L956" s="36" t="str">
        <f>IFERROR(VLOOKUP(I956,보도매체!$A:$C,2,FALSE), "")</f>
        <v/>
      </c>
      <c r="M956" s="38" t="str">
        <f>IFERROR(VLOOKUP(I956,보도매체!$A:$C,3,FALSE), "")</f>
        <v/>
      </c>
    </row>
    <row r="957" spans="3:13" x14ac:dyDescent="0.3">
      <c r="C957" s="35">
        <f t="shared" si="14"/>
        <v>0</v>
      </c>
      <c r="D957" s="30" t="str">
        <f>IFERROR(VLOOKUP(C957,소속부서!$A$2:$B$20,2,FALSE), "")</f>
        <v/>
      </c>
      <c r="L957" s="36" t="str">
        <f>IFERROR(VLOOKUP(I957,보도매체!$A:$C,2,FALSE), "")</f>
        <v/>
      </c>
      <c r="M957" s="38" t="str">
        <f>IFERROR(VLOOKUP(I957,보도매체!$A:$C,3,FALSE), "")</f>
        <v/>
      </c>
    </row>
    <row r="958" spans="3:13" x14ac:dyDescent="0.3">
      <c r="C958" s="35">
        <f t="shared" si="14"/>
        <v>0</v>
      </c>
      <c r="D958" s="30" t="str">
        <f>IFERROR(VLOOKUP(C958,소속부서!$A$2:$B$20,2,FALSE), "")</f>
        <v/>
      </c>
      <c r="L958" s="36" t="str">
        <f>IFERROR(VLOOKUP(I958,보도매체!$A:$C,2,FALSE), "")</f>
        <v/>
      </c>
      <c r="M958" s="38" t="str">
        <f>IFERROR(VLOOKUP(I958,보도매체!$A:$C,3,FALSE), "")</f>
        <v/>
      </c>
    </row>
    <row r="959" spans="3:13" x14ac:dyDescent="0.3">
      <c r="C959" s="35">
        <f t="shared" si="14"/>
        <v>0</v>
      </c>
      <c r="D959" s="30" t="str">
        <f>IFERROR(VLOOKUP(C959,소속부서!$A$2:$B$20,2,FALSE), "")</f>
        <v/>
      </c>
      <c r="L959" s="36" t="str">
        <f>IFERROR(VLOOKUP(I959,보도매체!$A:$C,2,FALSE), "")</f>
        <v/>
      </c>
      <c r="M959" s="38" t="str">
        <f>IFERROR(VLOOKUP(I959,보도매체!$A:$C,3,FALSE), "")</f>
        <v/>
      </c>
    </row>
    <row r="960" spans="3:13" x14ac:dyDescent="0.3">
      <c r="C960" s="35">
        <f t="shared" si="14"/>
        <v>0</v>
      </c>
      <c r="D960" s="30" t="str">
        <f>IFERROR(VLOOKUP(C960,소속부서!$A$2:$B$20,2,FALSE), "")</f>
        <v/>
      </c>
      <c r="L960" s="36" t="str">
        <f>IFERROR(VLOOKUP(I960,보도매체!$A:$C,2,FALSE), "")</f>
        <v/>
      </c>
      <c r="M960" s="38" t="str">
        <f>IFERROR(VLOOKUP(I960,보도매체!$A:$C,3,FALSE), "")</f>
        <v/>
      </c>
    </row>
    <row r="961" spans="3:13" x14ac:dyDescent="0.3">
      <c r="C961" s="35">
        <f t="shared" ref="C961:C1024" si="15">E961</f>
        <v>0</v>
      </c>
      <c r="D961" s="30" t="str">
        <f>IFERROR(VLOOKUP(C961,소속부서!$A$2:$B$20,2,FALSE), "")</f>
        <v/>
      </c>
      <c r="L961" s="36" t="str">
        <f>IFERROR(VLOOKUP(I961,보도매체!$A:$C,2,FALSE), "")</f>
        <v/>
      </c>
      <c r="M961" s="38" t="str">
        <f>IFERROR(VLOOKUP(I961,보도매체!$A:$C,3,FALSE), "")</f>
        <v/>
      </c>
    </row>
    <row r="962" spans="3:13" x14ac:dyDescent="0.3">
      <c r="C962" s="35">
        <f t="shared" si="15"/>
        <v>0</v>
      </c>
      <c r="D962" s="30" t="str">
        <f>IFERROR(VLOOKUP(C962,소속부서!$A$2:$B$20,2,FALSE), "")</f>
        <v/>
      </c>
      <c r="L962" s="36" t="str">
        <f>IFERROR(VLOOKUP(I962,보도매체!$A:$C,2,FALSE), "")</f>
        <v/>
      </c>
      <c r="M962" s="38" t="str">
        <f>IFERROR(VLOOKUP(I962,보도매체!$A:$C,3,FALSE), "")</f>
        <v/>
      </c>
    </row>
    <row r="963" spans="3:13" x14ac:dyDescent="0.3">
      <c r="C963" s="35">
        <f t="shared" si="15"/>
        <v>0</v>
      </c>
      <c r="D963" s="30" t="str">
        <f>IFERROR(VLOOKUP(C963,소속부서!$A$2:$B$20,2,FALSE), "")</f>
        <v/>
      </c>
      <c r="L963" s="36" t="str">
        <f>IFERROR(VLOOKUP(I963,보도매체!$A:$C,2,FALSE), "")</f>
        <v/>
      </c>
      <c r="M963" s="38" t="str">
        <f>IFERROR(VLOOKUP(I963,보도매체!$A:$C,3,FALSE), "")</f>
        <v/>
      </c>
    </row>
    <row r="964" spans="3:13" x14ac:dyDescent="0.3">
      <c r="C964" s="35">
        <f t="shared" si="15"/>
        <v>0</v>
      </c>
      <c r="D964" s="30" t="str">
        <f>IFERROR(VLOOKUP(C964,소속부서!$A$2:$B$20,2,FALSE), "")</f>
        <v/>
      </c>
      <c r="L964" s="36" t="str">
        <f>IFERROR(VLOOKUP(I964,보도매체!$A:$C,2,FALSE), "")</f>
        <v/>
      </c>
      <c r="M964" s="38" t="str">
        <f>IFERROR(VLOOKUP(I964,보도매체!$A:$C,3,FALSE), "")</f>
        <v/>
      </c>
    </row>
    <row r="965" spans="3:13" x14ac:dyDescent="0.3">
      <c r="C965" s="35">
        <f t="shared" si="15"/>
        <v>0</v>
      </c>
      <c r="D965" s="30" t="str">
        <f>IFERROR(VLOOKUP(C965,소속부서!$A$2:$B$20,2,FALSE), "")</f>
        <v/>
      </c>
      <c r="L965" s="36" t="str">
        <f>IFERROR(VLOOKUP(I965,보도매체!$A:$C,2,FALSE), "")</f>
        <v/>
      </c>
      <c r="M965" s="38" t="str">
        <f>IFERROR(VLOOKUP(I965,보도매체!$A:$C,3,FALSE), "")</f>
        <v/>
      </c>
    </row>
    <row r="966" spans="3:13" x14ac:dyDescent="0.3">
      <c r="C966" s="35">
        <f t="shared" si="15"/>
        <v>0</v>
      </c>
      <c r="D966" s="30" t="str">
        <f>IFERROR(VLOOKUP(C966,소속부서!$A$2:$B$20,2,FALSE), "")</f>
        <v/>
      </c>
      <c r="L966" s="36" t="str">
        <f>IFERROR(VLOOKUP(I966,보도매체!$A:$C,2,FALSE), "")</f>
        <v/>
      </c>
      <c r="M966" s="38" t="str">
        <f>IFERROR(VLOOKUP(I966,보도매체!$A:$C,3,FALSE), "")</f>
        <v/>
      </c>
    </row>
    <row r="967" spans="3:13" x14ac:dyDescent="0.3">
      <c r="C967" s="35">
        <f t="shared" si="15"/>
        <v>0</v>
      </c>
      <c r="D967" s="30" t="str">
        <f>IFERROR(VLOOKUP(C967,소속부서!$A$2:$B$20,2,FALSE), "")</f>
        <v/>
      </c>
      <c r="L967" s="36" t="str">
        <f>IFERROR(VLOOKUP(I967,보도매체!$A:$C,2,FALSE), "")</f>
        <v/>
      </c>
      <c r="M967" s="38" t="str">
        <f>IFERROR(VLOOKUP(I967,보도매체!$A:$C,3,FALSE), "")</f>
        <v/>
      </c>
    </row>
    <row r="968" spans="3:13" x14ac:dyDescent="0.3">
      <c r="C968" s="35">
        <f t="shared" si="15"/>
        <v>0</v>
      </c>
      <c r="D968" s="30" t="str">
        <f>IFERROR(VLOOKUP(C968,소속부서!$A$2:$B$20,2,FALSE), "")</f>
        <v/>
      </c>
      <c r="L968" s="36" t="str">
        <f>IFERROR(VLOOKUP(I968,보도매체!$A:$C,2,FALSE), "")</f>
        <v/>
      </c>
      <c r="M968" s="38" t="str">
        <f>IFERROR(VLOOKUP(I968,보도매체!$A:$C,3,FALSE), "")</f>
        <v/>
      </c>
    </row>
    <row r="969" spans="3:13" x14ac:dyDescent="0.3">
      <c r="C969" s="35">
        <f t="shared" si="15"/>
        <v>0</v>
      </c>
      <c r="D969" s="30" t="str">
        <f>IFERROR(VLOOKUP(C969,소속부서!$A$2:$B$20,2,FALSE), "")</f>
        <v/>
      </c>
      <c r="L969" s="36" t="str">
        <f>IFERROR(VLOOKUP(I969,보도매체!$A:$C,2,FALSE), "")</f>
        <v/>
      </c>
      <c r="M969" s="38" t="str">
        <f>IFERROR(VLOOKUP(I969,보도매체!$A:$C,3,FALSE), "")</f>
        <v/>
      </c>
    </row>
    <row r="970" spans="3:13" x14ac:dyDescent="0.3">
      <c r="C970" s="35">
        <f t="shared" si="15"/>
        <v>0</v>
      </c>
      <c r="D970" s="30" t="str">
        <f>IFERROR(VLOOKUP(C970,소속부서!$A$2:$B$20,2,FALSE), "")</f>
        <v/>
      </c>
      <c r="L970" s="36" t="str">
        <f>IFERROR(VLOOKUP(I970,보도매체!$A:$C,2,FALSE), "")</f>
        <v/>
      </c>
      <c r="M970" s="38" t="str">
        <f>IFERROR(VLOOKUP(I970,보도매체!$A:$C,3,FALSE), "")</f>
        <v/>
      </c>
    </row>
    <row r="971" spans="3:13" x14ac:dyDescent="0.3">
      <c r="C971" s="35">
        <f t="shared" si="15"/>
        <v>0</v>
      </c>
      <c r="D971" s="30" t="str">
        <f>IFERROR(VLOOKUP(C971,소속부서!$A$2:$B$20,2,FALSE), "")</f>
        <v/>
      </c>
      <c r="L971" s="36" t="str">
        <f>IFERROR(VLOOKUP(I971,보도매체!$A:$C,2,FALSE), "")</f>
        <v/>
      </c>
      <c r="M971" s="38" t="str">
        <f>IFERROR(VLOOKUP(I971,보도매체!$A:$C,3,FALSE), "")</f>
        <v/>
      </c>
    </row>
    <row r="972" spans="3:13" x14ac:dyDescent="0.3">
      <c r="C972" s="35">
        <f t="shared" si="15"/>
        <v>0</v>
      </c>
      <c r="D972" s="30" t="str">
        <f>IFERROR(VLOOKUP(C972,소속부서!$A$2:$B$20,2,FALSE), "")</f>
        <v/>
      </c>
      <c r="L972" s="36" t="str">
        <f>IFERROR(VLOOKUP(I972,보도매체!$A:$C,2,FALSE), "")</f>
        <v/>
      </c>
      <c r="M972" s="38" t="str">
        <f>IFERROR(VLOOKUP(I972,보도매체!$A:$C,3,FALSE), "")</f>
        <v/>
      </c>
    </row>
    <row r="973" spans="3:13" x14ac:dyDescent="0.3">
      <c r="C973" s="35">
        <f t="shared" si="15"/>
        <v>0</v>
      </c>
      <c r="D973" s="30" t="str">
        <f>IFERROR(VLOOKUP(C973,소속부서!$A$2:$B$20,2,FALSE), "")</f>
        <v/>
      </c>
      <c r="L973" s="36" t="str">
        <f>IFERROR(VLOOKUP(I973,보도매체!$A:$C,2,FALSE), "")</f>
        <v/>
      </c>
      <c r="M973" s="38" t="str">
        <f>IFERROR(VLOOKUP(I973,보도매체!$A:$C,3,FALSE), "")</f>
        <v/>
      </c>
    </row>
    <row r="974" spans="3:13" x14ac:dyDescent="0.3">
      <c r="C974" s="35">
        <f t="shared" si="15"/>
        <v>0</v>
      </c>
      <c r="D974" s="30" t="str">
        <f>IFERROR(VLOOKUP(C974,소속부서!$A$2:$B$20,2,FALSE), "")</f>
        <v/>
      </c>
      <c r="L974" s="36" t="str">
        <f>IFERROR(VLOOKUP(I974,보도매체!$A:$C,2,FALSE), "")</f>
        <v/>
      </c>
      <c r="M974" s="38" t="str">
        <f>IFERROR(VLOOKUP(I974,보도매체!$A:$C,3,FALSE), "")</f>
        <v/>
      </c>
    </row>
    <row r="975" spans="3:13" x14ac:dyDescent="0.3">
      <c r="C975" s="35">
        <f t="shared" si="15"/>
        <v>0</v>
      </c>
      <c r="D975" s="30" t="str">
        <f>IFERROR(VLOOKUP(C975,소속부서!$A$2:$B$20,2,FALSE), "")</f>
        <v/>
      </c>
      <c r="L975" s="36" t="str">
        <f>IFERROR(VLOOKUP(I975,보도매체!$A:$C,2,FALSE), "")</f>
        <v/>
      </c>
      <c r="M975" s="38" t="str">
        <f>IFERROR(VLOOKUP(I975,보도매체!$A:$C,3,FALSE), "")</f>
        <v/>
      </c>
    </row>
    <row r="976" spans="3:13" x14ac:dyDescent="0.3">
      <c r="C976" s="35">
        <f t="shared" si="15"/>
        <v>0</v>
      </c>
      <c r="D976" s="30" t="str">
        <f>IFERROR(VLOOKUP(C976,소속부서!$A$2:$B$20,2,FALSE), "")</f>
        <v/>
      </c>
      <c r="L976" s="36" t="str">
        <f>IFERROR(VLOOKUP(I976,보도매체!$A:$C,2,FALSE), "")</f>
        <v/>
      </c>
      <c r="M976" s="38" t="str">
        <f>IFERROR(VLOOKUP(I976,보도매체!$A:$C,3,FALSE), "")</f>
        <v/>
      </c>
    </row>
    <row r="977" spans="3:13" x14ac:dyDescent="0.3">
      <c r="C977" s="35">
        <f t="shared" si="15"/>
        <v>0</v>
      </c>
      <c r="D977" s="30" t="str">
        <f>IFERROR(VLOOKUP(C977,소속부서!$A$2:$B$20,2,FALSE), "")</f>
        <v/>
      </c>
      <c r="L977" s="36" t="str">
        <f>IFERROR(VLOOKUP(I977,보도매체!$A:$C,2,FALSE), "")</f>
        <v/>
      </c>
      <c r="M977" s="38" t="str">
        <f>IFERROR(VLOOKUP(I977,보도매체!$A:$C,3,FALSE), "")</f>
        <v/>
      </c>
    </row>
    <row r="978" spans="3:13" x14ac:dyDescent="0.3">
      <c r="C978" s="35">
        <f t="shared" si="15"/>
        <v>0</v>
      </c>
      <c r="D978" s="30" t="str">
        <f>IFERROR(VLOOKUP(C978,소속부서!$A$2:$B$20,2,FALSE), "")</f>
        <v/>
      </c>
      <c r="L978" s="36" t="str">
        <f>IFERROR(VLOOKUP(I978,보도매체!$A:$C,2,FALSE), "")</f>
        <v/>
      </c>
      <c r="M978" s="38" t="str">
        <f>IFERROR(VLOOKUP(I978,보도매체!$A:$C,3,FALSE), "")</f>
        <v/>
      </c>
    </row>
    <row r="979" spans="3:13" x14ac:dyDescent="0.3">
      <c r="C979" s="35">
        <f t="shared" si="15"/>
        <v>0</v>
      </c>
      <c r="D979" s="30" t="str">
        <f>IFERROR(VLOOKUP(C979,소속부서!$A$2:$B$20,2,FALSE), "")</f>
        <v/>
      </c>
      <c r="L979" s="36" t="str">
        <f>IFERROR(VLOOKUP(I979,보도매체!$A:$C,2,FALSE), "")</f>
        <v/>
      </c>
      <c r="M979" s="38" t="str">
        <f>IFERROR(VLOOKUP(I979,보도매체!$A:$C,3,FALSE), "")</f>
        <v/>
      </c>
    </row>
    <row r="980" spans="3:13" x14ac:dyDescent="0.3">
      <c r="C980" s="35">
        <f t="shared" si="15"/>
        <v>0</v>
      </c>
      <c r="D980" s="30" t="str">
        <f>IFERROR(VLOOKUP(C980,소속부서!$A$2:$B$20,2,FALSE), "")</f>
        <v/>
      </c>
      <c r="L980" s="36" t="str">
        <f>IFERROR(VLOOKUP(I980,보도매체!$A:$C,2,FALSE), "")</f>
        <v/>
      </c>
      <c r="M980" s="38" t="str">
        <f>IFERROR(VLOOKUP(I980,보도매체!$A:$C,3,FALSE), "")</f>
        <v/>
      </c>
    </row>
    <row r="981" spans="3:13" x14ac:dyDescent="0.3">
      <c r="C981" s="35">
        <f t="shared" si="15"/>
        <v>0</v>
      </c>
      <c r="D981" s="30" t="str">
        <f>IFERROR(VLOOKUP(C981,소속부서!$A$2:$B$20,2,FALSE), "")</f>
        <v/>
      </c>
      <c r="L981" s="36" t="str">
        <f>IFERROR(VLOOKUP(I981,보도매체!$A:$C,2,FALSE), "")</f>
        <v/>
      </c>
      <c r="M981" s="38" t="str">
        <f>IFERROR(VLOOKUP(I981,보도매체!$A:$C,3,FALSE), "")</f>
        <v/>
      </c>
    </row>
    <row r="982" spans="3:13" x14ac:dyDescent="0.3">
      <c r="C982" s="35">
        <f t="shared" si="15"/>
        <v>0</v>
      </c>
      <c r="D982" s="30" t="str">
        <f>IFERROR(VLOOKUP(C982,소속부서!$A$2:$B$20,2,FALSE), "")</f>
        <v/>
      </c>
      <c r="L982" s="36" t="str">
        <f>IFERROR(VLOOKUP(I982,보도매체!$A:$C,2,FALSE), "")</f>
        <v/>
      </c>
      <c r="M982" s="38" t="str">
        <f>IFERROR(VLOOKUP(I982,보도매체!$A:$C,3,FALSE), "")</f>
        <v/>
      </c>
    </row>
    <row r="983" spans="3:13" x14ac:dyDescent="0.3">
      <c r="C983" s="35">
        <f t="shared" si="15"/>
        <v>0</v>
      </c>
      <c r="D983" s="30" t="str">
        <f>IFERROR(VLOOKUP(C983,소속부서!$A$2:$B$20,2,FALSE), "")</f>
        <v/>
      </c>
      <c r="L983" s="36" t="str">
        <f>IFERROR(VLOOKUP(I983,보도매체!$A:$C,2,FALSE), "")</f>
        <v/>
      </c>
      <c r="M983" s="38" t="str">
        <f>IFERROR(VLOOKUP(I983,보도매체!$A:$C,3,FALSE), "")</f>
        <v/>
      </c>
    </row>
    <row r="984" spans="3:13" x14ac:dyDescent="0.3">
      <c r="C984" s="35">
        <f t="shared" si="15"/>
        <v>0</v>
      </c>
      <c r="D984" s="30" t="str">
        <f>IFERROR(VLOOKUP(C984,소속부서!$A$2:$B$20,2,FALSE), "")</f>
        <v/>
      </c>
      <c r="L984" s="36" t="str">
        <f>IFERROR(VLOOKUP(I984,보도매체!$A:$C,2,FALSE), "")</f>
        <v/>
      </c>
      <c r="M984" s="38" t="str">
        <f>IFERROR(VLOOKUP(I984,보도매체!$A:$C,3,FALSE), "")</f>
        <v/>
      </c>
    </row>
    <row r="985" spans="3:13" x14ac:dyDescent="0.3">
      <c r="C985" s="35">
        <f t="shared" si="15"/>
        <v>0</v>
      </c>
      <c r="D985" s="30" t="str">
        <f>IFERROR(VLOOKUP(C985,소속부서!$A$2:$B$20,2,FALSE), "")</f>
        <v/>
      </c>
      <c r="L985" s="36" t="str">
        <f>IFERROR(VLOOKUP(I985,보도매체!$A:$C,2,FALSE), "")</f>
        <v/>
      </c>
      <c r="M985" s="38" t="str">
        <f>IFERROR(VLOOKUP(I985,보도매체!$A:$C,3,FALSE), "")</f>
        <v/>
      </c>
    </row>
    <row r="986" spans="3:13" x14ac:dyDescent="0.3">
      <c r="C986" s="35">
        <f t="shared" si="15"/>
        <v>0</v>
      </c>
      <c r="D986" s="30" t="str">
        <f>IFERROR(VLOOKUP(C986,소속부서!$A$2:$B$20,2,FALSE), "")</f>
        <v/>
      </c>
      <c r="L986" s="36" t="str">
        <f>IFERROR(VLOOKUP(I986,보도매체!$A:$C,2,FALSE), "")</f>
        <v/>
      </c>
      <c r="M986" s="38" t="str">
        <f>IFERROR(VLOOKUP(I986,보도매체!$A:$C,3,FALSE), "")</f>
        <v/>
      </c>
    </row>
    <row r="987" spans="3:13" x14ac:dyDescent="0.3">
      <c r="C987" s="35">
        <f t="shared" si="15"/>
        <v>0</v>
      </c>
      <c r="D987" s="30" t="str">
        <f>IFERROR(VLOOKUP(C987,소속부서!$A$2:$B$20,2,FALSE), "")</f>
        <v/>
      </c>
      <c r="L987" s="36" t="str">
        <f>IFERROR(VLOOKUP(I987,보도매체!$A:$C,2,FALSE), "")</f>
        <v/>
      </c>
      <c r="M987" s="38" t="str">
        <f>IFERROR(VLOOKUP(I987,보도매체!$A:$C,3,FALSE), "")</f>
        <v/>
      </c>
    </row>
    <row r="988" spans="3:13" x14ac:dyDescent="0.3">
      <c r="C988" s="35">
        <f t="shared" si="15"/>
        <v>0</v>
      </c>
      <c r="D988" s="30" t="str">
        <f>IFERROR(VLOOKUP(C988,소속부서!$A$2:$B$20,2,FALSE), "")</f>
        <v/>
      </c>
      <c r="L988" s="36" t="str">
        <f>IFERROR(VLOOKUP(I988,보도매체!$A:$C,2,FALSE), "")</f>
        <v/>
      </c>
      <c r="M988" s="38" t="str">
        <f>IFERROR(VLOOKUP(I988,보도매체!$A:$C,3,FALSE), "")</f>
        <v/>
      </c>
    </row>
    <row r="989" spans="3:13" x14ac:dyDescent="0.3">
      <c r="C989" s="35">
        <f t="shared" si="15"/>
        <v>0</v>
      </c>
      <c r="D989" s="30" t="str">
        <f>IFERROR(VLOOKUP(C989,소속부서!$A$2:$B$20,2,FALSE), "")</f>
        <v/>
      </c>
      <c r="L989" s="36" t="str">
        <f>IFERROR(VLOOKUP(I989,보도매체!$A:$C,2,FALSE), "")</f>
        <v/>
      </c>
      <c r="M989" s="38" t="str">
        <f>IFERROR(VLOOKUP(I989,보도매체!$A:$C,3,FALSE), "")</f>
        <v/>
      </c>
    </row>
    <row r="990" spans="3:13" x14ac:dyDescent="0.3">
      <c r="C990" s="35">
        <f t="shared" si="15"/>
        <v>0</v>
      </c>
      <c r="D990" s="30" t="str">
        <f>IFERROR(VLOOKUP(C990,소속부서!$A$2:$B$20,2,FALSE), "")</f>
        <v/>
      </c>
      <c r="L990" s="36" t="str">
        <f>IFERROR(VLOOKUP(I990,보도매체!$A:$C,2,FALSE), "")</f>
        <v/>
      </c>
      <c r="M990" s="38" t="str">
        <f>IFERROR(VLOOKUP(I990,보도매체!$A:$C,3,FALSE), "")</f>
        <v/>
      </c>
    </row>
    <row r="991" spans="3:13" x14ac:dyDescent="0.3">
      <c r="C991" s="35">
        <f t="shared" si="15"/>
        <v>0</v>
      </c>
      <c r="D991" s="30" t="str">
        <f>IFERROR(VLOOKUP(C991,소속부서!$A$2:$B$20,2,FALSE), "")</f>
        <v/>
      </c>
      <c r="L991" s="36" t="str">
        <f>IFERROR(VLOOKUP(I991,보도매체!$A:$C,2,FALSE), "")</f>
        <v/>
      </c>
      <c r="M991" s="38" t="str">
        <f>IFERROR(VLOOKUP(I991,보도매체!$A:$C,3,FALSE), "")</f>
        <v/>
      </c>
    </row>
    <row r="992" spans="3:13" x14ac:dyDescent="0.3">
      <c r="C992" s="35">
        <f t="shared" si="15"/>
        <v>0</v>
      </c>
      <c r="D992" s="30" t="str">
        <f>IFERROR(VLOOKUP(C992,소속부서!$A$2:$B$20,2,FALSE), "")</f>
        <v/>
      </c>
      <c r="L992" s="36" t="str">
        <f>IFERROR(VLOOKUP(I992,보도매체!$A:$C,2,FALSE), "")</f>
        <v/>
      </c>
      <c r="M992" s="38" t="str">
        <f>IFERROR(VLOOKUP(I992,보도매체!$A:$C,3,FALSE), "")</f>
        <v/>
      </c>
    </row>
    <row r="993" spans="3:13" x14ac:dyDescent="0.3">
      <c r="C993" s="35">
        <f t="shared" si="15"/>
        <v>0</v>
      </c>
      <c r="D993" s="30" t="str">
        <f>IFERROR(VLOOKUP(C993,소속부서!$A$2:$B$20,2,FALSE), "")</f>
        <v/>
      </c>
      <c r="L993" s="36" t="str">
        <f>IFERROR(VLOOKUP(I993,보도매체!$A:$C,2,FALSE), "")</f>
        <v/>
      </c>
      <c r="M993" s="38" t="str">
        <f>IFERROR(VLOOKUP(I993,보도매체!$A:$C,3,FALSE), "")</f>
        <v/>
      </c>
    </row>
    <row r="994" spans="3:13" x14ac:dyDescent="0.3">
      <c r="C994" s="35">
        <f t="shared" si="15"/>
        <v>0</v>
      </c>
      <c r="D994" s="30" t="str">
        <f>IFERROR(VLOOKUP(C994,소속부서!$A$2:$B$20,2,FALSE), "")</f>
        <v/>
      </c>
      <c r="L994" s="36" t="str">
        <f>IFERROR(VLOOKUP(I994,보도매체!$A:$C,2,FALSE), "")</f>
        <v/>
      </c>
      <c r="M994" s="38" t="str">
        <f>IFERROR(VLOOKUP(I994,보도매체!$A:$C,3,FALSE), "")</f>
        <v/>
      </c>
    </row>
    <row r="995" spans="3:13" x14ac:dyDescent="0.3">
      <c r="C995" s="35">
        <f t="shared" si="15"/>
        <v>0</v>
      </c>
      <c r="D995" s="30" t="str">
        <f>IFERROR(VLOOKUP(C995,소속부서!$A$2:$B$20,2,FALSE), "")</f>
        <v/>
      </c>
      <c r="L995" s="36" t="str">
        <f>IFERROR(VLOOKUP(I995,보도매체!$A:$C,2,FALSE), "")</f>
        <v/>
      </c>
      <c r="M995" s="38" t="str">
        <f>IFERROR(VLOOKUP(I995,보도매체!$A:$C,3,FALSE), "")</f>
        <v/>
      </c>
    </row>
    <row r="996" spans="3:13" x14ac:dyDescent="0.3">
      <c r="C996" s="35">
        <f t="shared" si="15"/>
        <v>0</v>
      </c>
      <c r="D996" s="30" t="str">
        <f>IFERROR(VLOOKUP(C996,소속부서!$A$2:$B$20,2,FALSE), "")</f>
        <v/>
      </c>
      <c r="L996" s="36" t="str">
        <f>IFERROR(VLOOKUP(I996,보도매체!$A:$C,2,FALSE), "")</f>
        <v/>
      </c>
      <c r="M996" s="38" t="str">
        <f>IFERROR(VLOOKUP(I996,보도매체!$A:$C,3,FALSE), "")</f>
        <v/>
      </c>
    </row>
    <row r="997" spans="3:13" x14ac:dyDescent="0.3">
      <c r="C997" s="35">
        <f t="shared" si="15"/>
        <v>0</v>
      </c>
      <c r="D997" s="30" t="str">
        <f>IFERROR(VLOOKUP(C997,소속부서!$A$2:$B$20,2,FALSE), "")</f>
        <v/>
      </c>
      <c r="L997" s="36" t="str">
        <f>IFERROR(VLOOKUP(I997,보도매체!$A:$C,2,FALSE), "")</f>
        <v/>
      </c>
      <c r="M997" s="38" t="str">
        <f>IFERROR(VLOOKUP(I997,보도매체!$A:$C,3,FALSE), "")</f>
        <v/>
      </c>
    </row>
    <row r="998" spans="3:13" x14ac:dyDescent="0.3">
      <c r="C998" s="35">
        <f t="shared" si="15"/>
        <v>0</v>
      </c>
      <c r="D998" s="30" t="str">
        <f>IFERROR(VLOOKUP(C998,소속부서!$A$2:$B$20,2,FALSE), "")</f>
        <v/>
      </c>
      <c r="L998" s="36" t="str">
        <f>IFERROR(VLOOKUP(I998,보도매체!$A:$C,2,FALSE), "")</f>
        <v/>
      </c>
      <c r="M998" s="38" t="str">
        <f>IFERROR(VLOOKUP(I998,보도매체!$A:$C,3,FALSE), "")</f>
        <v/>
      </c>
    </row>
    <row r="999" spans="3:13" x14ac:dyDescent="0.3">
      <c r="C999" s="35">
        <f t="shared" si="15"/>
        <v>0</v>
      </c>
      <c r="D999" s="30" t="str">
        <f>IFERROR(VLOOKUP(C999,소속부서!$A$2:$B$20,2,FALSE), "")</f>
        <v/>
      </c>
      <c r="L999" s="36" t="str">
        <f>IFERROR(VLOOKUP(I999,보도매체!$A:$C,2,FALSE), "")</f>
        <v/>
      </c>
      <c r="M999" s="38" t="str">
        <f>IFERROR(VLOOKUP(I999,보도매체!$A:$C,3,FALSE), "")</f>
        <v/>
      </c>
    </row>
    <row r="1000" spans="3:13" x14ac:dyDescent="0.3">
      <c r="C1000" s="35">
        <f t="shared" si="15"/>
        <v>0</v>
      </c>
      <c r="D1000" s="30" t="str">
        <f>IFERROR(VLOOKUP(C1000,소속부서!$A$2:$B$20,2,FALSE), "")</f>
        <v/>
      </c>
      <c r="L1000" s="36" t="str">
        <f>IFERROR(VLOOKUP(I1000,보도매체!$A:$C,2,FALSE), "")</f>
        <v/>
      </c>
      <c r="M1000" s="38" t="str">
        <f>IFERROR(VLOOKUP(I1000,보도매체!$A:$C,3,FALSE), "")</f>
        <v/>
      </c>
    </row>
    <row r="1001" spans="3:13" x14ac:dyDescent="0.3">
      <c r="C1001" s="35">
        <f t="shared" si="15"/>
        <v>0</v>
      </c>
      <c r="D1001" s="30" t="str">
        <f>IFERROR(VLOOKUP(C1001,소속부서!$A$2:$B$20,2,FALSE), "")</f>
        <v/>
      </c>
      <c r="L1001" s="36" t="str">
        <f>IFERROR(VLOOKUP(I1001,보도매체!$A:$C,2,FALSE), "")</f>
        <v/>
      </c>
      <c r="M1001" s="38" t="str">
        <f>IFERROR(VLOOKUP(I1001,보도매체!$A:$C,3,FALSE), "")</f>
        <v/>
      </c>
    </row>
    <row r="1002" spans="3:13" x14ac:dyDescent="0.3">
      <c r="C1002" s="35">
        <f t="shared" si="15"/>
        <v>0</v>
      </c>
      <c r="D1002" s="30" t="str">
        <f>IFERROR(VLOOKUP(C1002,소속부서!$A$2:$B$20,2,FALSE), "")</f>
        <v/>
      </c>
      <c r="L1002" s="36" t="str">
        <f>IFERROR(VLOOKUP(I1002,보도매체!$A:$C,2,FALSE), "")</f>
        <v/>
      </c>
      <c r="M1002" s="38" t="str">
        <f>IFERROR(VLOOKUP(I1002,보도매체!$A:$C,3,FALSE), "")</f>
        <v/>
      </c>
    </row>
    <row r="1003" spans="3:13" x14ac:dyDescent="0.3">
      <c r="C1003" s="35">
        <f t="shared" si="15"/>
        <v>0</v>
      </c>
      <c r="D1003" s="30" t="str">
        <f>IFERROR(VLOOKUP(C1003,소속부서!$A$2:$B$20,2,FALSE), "")</f>
        <v/>
      </c>
      <c r="L1003" s="36" t="str">
        <f>IFERROR(VLOOKUP(I1003,보도매체!$A:$C,2,FALSE), "")</f>
        <v/>
      </c>
      <c r="M1003" s="38" t="str">
        <f>IFERROR(VLOOKUP(I1003,보도매체!$A:$C,3,FALSE), "")</f>
        <v/>
      </c>
    </row>
    <row r="1004" spans="3:13" x14ac:dyDescent="0.3">
      <c r="C1004" s="35">
        <f t="shared" si="15"/>
        <v>0</v>
      </c>
      <c r="D1004" s="30" t="str">
        <f>IFERROR(VLOOKUP(C1004,소속부서!$A$2:$B$20,2,FALSE), "")</f>
        <v/>
      </c>
      <c r="L1004" s="36" t="str">
        <f>IFERROR(VLOOKUP(I1004,보도매체!$A:$C,2,FALSE), "")</f>
        <v/>
      </c>
      <c r="M1004" s="38" t="str">
        <f>IFERROR(VLOOKUP(I1004,보도매체!$A:$C,3,FALSE), "")</f>
        <v/>
      </c>
    </row>
    <row r="1005" spans="3:13" x14ac:dyDescent="0.3">
      <c r="C1005" s="35">
        <f t="shared" si="15"/>
        <v>0</v>
      </c>
      <c r="D1005" s="30" t="str">
        <f>IFERROR(VLOOKUP(C1005,소속부서!$A$2:$B$20,2,FALSE), "")</f>
        <v/>
      </c>
      <c r="L1005" s="36" t="str">
        <f>IFERROR(VLOOKUP(I1005,보도매체!$A:$C,2,FALSE), "")</f>
        <v/>
      </c>
      <c r="M1005" s="38" t="str">
        <f>IFERROR(VLOOKUP(I1005,보도매체!$A:$C,3,FALSE), "")</f>
        <v/>
      </c>
    </row>
    <row r="1006" spans="3:13" x14ac:dyDescent="0.3">
      <c r="C1006" s="35">
        <f t="shared" si="15"/>
        <v>0</v>
      </c>
      <c r="D1006" s="30" t="str">
        <f>IFERROR(VLOOKUP(C1006,소속부서!$A$2:$B$20,2,FALSE), "")</f>
        <v/>
      </c>
      <c r="L1006" s="36" t="str">
        <f>IFERROR(VLOOKUP(I1006,보도매체!$A:$C,2,FALSE), "")</f>
        <v/>
      </c>
      <c r="M1006" s="38" t="str">
        <f>IFERROR(VLOOKUP(I1006,보도매체!$A:$C,3,FALSE), "")</f>
        <v/>
      </c>
    </row>
    <row r="1007" spans="3:13" x14ac:dyDescent="0.3">
      <c r="C1007" s="35">
        <f t="shared" si="15"/>
        <v>0</v>
      </c>
      <c r="D1007" s="30" t="str">
        <f>IFERROR(VLOOKUP(C1007,소속부서!$A$2:$B$20,2,FALSE), "")</f>
        <v/>
      </c>
      <c r="L1007" s="36" t="str">
        <f>IFERROR(VLOOKUP(I1007,보도매체!$A:$C,2,FALSE), "")</f>
        <v/>
      </c>
      <c r="M1007" s="38" t="str">
        <f>IFERROR(VLOOKUP(I1007,보도매체!$A:$C,3,FALSE), "")</f>
        <v/>
      </c>
    </row>
    <row r="1008" spans="3:13" x14ac:dyDescent="0.3">
      <c r="C1008" s="35">
        <f t="shared" si="15"/>
        <v>0</v>
      </c>
      <c r="D1008" s="30" t="str">
        <f>IFERROR(VLOOKUP(C1008,소속부서!$A$2:$B$20,2,FALSE), "")</f>
        <v/>
      </c>
      <c r="L1008" s="36" t="str">
        <f>IFERROR(VLOOKUP(I1008,보도매체!$A:$C,2,FALSE), "")</f>
        <v/>
      </c>
      <c r="M1008" s="38" t="str">
        <f>IFERROR(VLOOKUP(I1008,보도매체!$A:$C,3,FALSE), "")</f>
        <v/>
      </c>
    </row>
    <row r="1009" spans="3:13" x14ac:dyDescent="0.3">
      <c r="C1009" s="35">
        <f t="shared" si="15"/>
        <v>0</v>
      </c>
      <c r="D1009" s="30" t="str">
        <f>IFERROR(VLOOKUP(C1009,소속부서!$A$2:$B$20,2,FALSE), "")</f>
        <v/>
      </c>
      <c r="L1009" s="36" t="str">
        <f>IFERROR(VLOOKUP(I1009,보도매체!$A:$C,2,FALSE), "")</f>
        <v/>
      </c>
      <c r="M1009" s="38" t="str">
        <f>IFERROR(VLOOKUP(I1009,보도매체!$A:$C,3,FALSE), "")</f>
        <v/>
      </c>
    </row>
    <row r="1010" spans="3:13" x14ac:dyDescent="0.3">
      <c r="C1010" s="35">
        <f t="shared" si="15"/>
        <v>0</v>
      </c>
      <c r="D1010" s="30" t="str">
        <f>IFERROR(VLOOKUP(C1010,소속부서!$A$2:$B$20,2,FALSE), "")</f>
        <v/>
      </c>
      <c r="L1010" s="36" t="str">
        <f>IFERROR(VLOOKUP(I1010,보도매체!$A:$C,2,FALSE), "")</f>
        <v/>
      </c>
      <c r="M1010" s="38" t="str">
        <f>IFERROR(VLOOKUP(I1010,보도매체!$A:$C,3,FALSE), "")</f>
        <v/>
      </c>
    </row>
    <row r="1011" spans="3:13" x14ac:dyDescent="0.3">
      <c r="C1011" s="35">
        <f t="shared" si="15"/>
        <v>0</v>
      </c>
      <c r="D1011" s="30" t="str">
        <f>IFERROR(VLOOKUP(C1011,소속부서!$A$2:$B$20,2,FALSE), "")</f>
        <v/>
      </c>
      <c r="L1011" s="36" t="str">
        <f>IFERROR(VLOOKUP(I1011,보도매체!$A:$C,2,FALSE), "")</f>
        <v/>
      </c>
      <c r="M1011" s="38" t="str">
        <f>IFERROR(VLOOKUP(I1011,보도매체!$A:$C,3,FALSE), "")</f>
        <v/>
      </c>
    </row>
    <row r="1012" spans="3:13" x14ac:dyDescent="0.3">
      <c r="C1012" s="35">
        <f t="shared" si="15"/>
        <v>0</v>
      </c>
      <c r="D1012" s="30" t="str">
        <f>IFERROR(VLOOKUP(C1012,소속부서!$A$2:$B$20,2,FALSE), "")</f>
        <v/>
      </c>
      <c r="L1012" s="36" t="str">
        <f>IFERROR(VLOOKUP(I1012,보도매체!$A:$C,2,FALSE), "")</f>
        <v/>
      </c>
      <c r="M1012" s="38" t="str">
        <f>IFERROR(VLOOKUP(I1012,보도매체!$A:$C,3,FALSE), "")</f>
        <v/>
      </c>
    </row>
    <row r="1013" spans="3:13" x14ac:dyDescent="0.3">
      <c r="C1013" s="35">
        <f t="shared" si="15"/>
        <v>0</v>
      </c>
      <c r="D1013" s="30" t="str">
        <f>IFERROR(VLOOKUP(C1013,소속부서!$A$2:$B$20,2,FALSE), "")</f>
        <v/>
      </c>
      <c r="L1013" s="36" t="str">
        <f>IFERROR(VLOOKUP(I1013,보도매체!$A:$C,2,FALSE), "")</f>
        <v/>
      </c>
      <c r="M1013" s="38" t="str">
        <f>IFERROR(VLOOKUP(I1013,보도매체!$A:$C,3,FALSE), "")</f>
        <v/>
      </c>
    </row>
    <row r="1014" spans="3:13" x14ac:dyDescent="0.3">
      <c r="C1014" s="35">
        <f t="shared" si="15"/>
        <v>0</v>
      </c>
      <c r="D1014" s="30" t="str">
        <f>IFERROR(VLOOKUP(C1014,소속부서!$A$2:$B$20,2,FALSE), "")</f>
        <v/>
      </c>
      <c r="L1014" s="36" t="str">
        <f>IFERROR(VLOOKUP(I1014,보도매체!$A:$C,2,FALSE), "")</f>
        <v/>
      </c>
      <c r="M1014" s="38" t="str">
        <f>IFERROR(VLOOKUP(I1014,보도매체!$A:$C,3,FALSE), "")</f>
        <v/>
      </c>
    </row>
    <row r="1015" spans="3:13" x14ac:dyDescent="0.3">
      <c r="C1015" s="35">
        <f t="shared" si="15"/>
        <v>0</v>
      </c>
      <c r="D1015" s="30" t="str">
        <f>IFERROR(VLOOKUP(C1015,소속부서!$A$2:$B$20,2,FALSE), "")</f>
        <v/>
      </c>
      <c r="L1015" s="36" t="str">
        <f>IFERROR(VLOOKUP(I1015,보도매체!$A:$C,2,FALSE), "")</f>
        <v/>
      </c>
      <c r="M1015" s="38" t="str">
        <f>IFERROR(VLOOKUP(I1015,보도매체!$A:$C,3,FALSE), "")</f>
        <v/>
      </c>
    </row>
    <row r="1016" spans="3:13" x14ac:dyDescent="0.3">
      <c r="C1016" s="35">
        <f t="shared" si="15"/>
        <v>0</v>
      </c>
      <c r="D1016" s="30" t="str">
        <f>IFERROR(VLOOKUP(C1016,소속부서!$A$2:$B$20,2,FALSE), "")</f>
        <v/>
      </c>
      <c r="L1016" s="36" t="str">
        <f>IFERROR(VLOOKUP(I1016,보도매체!$A:$C,2,FALSE), "")</f>
        <v/>
      </c>
      <c r="M1016" s="38" t="str">
        <f>IFERROR(VLOOKUP(I1016,보도매체!$A:$C,3,FALSE), "")</f>
        <v/>
      </c>
    </row>
    <row r="1017" spans="3:13" x14ac:dyDescent="0.3">
      <c r="C1017" s="35">
        <f t="shared" si="15"/>
        <v>0</v>
      </c>
      <c r="D1017" s="30" t="str">
        <f>IFERROR(VLOOKUP(C1017,소속부서!$A$2:$B$20,2,FALSE), "")</f>
        <v/>
      </c>
      <c r="L1017" s="36" t="str">
        <f>IFERROR(VLOOKUP(I1017,보도매체!$A:$C,2,FALSE), "")</f>
        <v/>
      </c>
      <c r="M1017" s="38" t="str">
        <f>IFERROR(VLOOKUP(I1017,보도매체!$A:$C,3,FALSE), "")</f>
        <v/>
      </c>
    </row>
    <row r="1018" spans="3:13" x14ac:dyDescent="0.3">
      <c r="C1018" s="35">
        <f t="shared" si="15"/>
        <v>0</v>
      </c>
      <c r="D1018" s="30" t="str">
        <f>IFERROR(VLOOKUP(C1018,소속부서!$A$2:$B$20,2,FALSE), "")</f>
        <v/>
      </c>
      <c r="L1018" s="36" t="str">
        <f>IFERROR(VLOOKUP(I1018,보도매체!$A:$C,2,FALSE), "")</f>
        <v/>
      </c>
      <c r="M1018" s="38" t="str">
        <f>IFERROR(VLOOKUP(I1018,보도매체!$A:$C,3,FALSE), "")</f>
        <v/>
      </c>
    </row>
    <row r="1019" spans="3:13" x14ac:dyDescent="0.3">
      <c r="C1019" s="35">
        <f t="shared" si="15"/>
        <v>0</v>
      </c>
      <c r="D1019" s="30" t="str">
        <f>IFERROR(VLOOKUP(C1019,소속부서!$A$2:$B$20,2,FALSE), "")</f>
        <v/>
      </c>
      <c r="L1019" s="36" t="str">
        <f>IFERROR(VLOOKUP(I1019,보도매체!$A:$C,2,FALSE), "")</f>
        <v/>
      </c>
      <c r="M1019" s="38" t="str">
        <f>IFERROR(VLOOKUP(I1019,보도매체!$A:$C,3,FALSE), "")</f>
        <v/>
      </c>
    </row>
    <row r="1020" spans="3:13" x14ac:dyDescent="0.3">
      <c r="C1020" s="35">
        <f t="shared" si="15"/>
        <v>0</v>
      </c>
      <c r="D1020" s="30" t="str">
        <f>IFERROR(VLOOKUP(C1020,소속부서!$A$2:$B$20,2,FALSE), "")</f>
        <v/>
      </c>
      <c r="L1020" s="36" t="str">
        <f>IFERROR(VLOOKUP(I1020,보도매체!$A:$C,2,FALSE), "")</f>
        <v/>
      </c>
      <c r="M1020" s="38" t="str">
        <f>IFERROR(VLOOKUP(I1020,보도매체!$A:$C,3,FALSE), "")</f>
        <v/>
      </c>
    </row>
    <row r="1021" spans="3:13" x14ac:dyDescent="0.3">
      <c r="C1021" s="35">
        <f t="shared" si="15"/>
        <v>0</v>
      </c>
      <c r="D1021" s="30" t="str">
        <f>IFERROR(VLOOKUP(C1021,소속부서!$A$2:$B$20,2,FALSE), "")</f>
        <v/>
      </c>
      <c r="L1021" s="36" t="str">
        <f>IFERROR(VLOOKUP(I1021,보도매체!$A:$C,2,FALSE), "")</f>
        <v/>
      </c>
      <c r="M1021" s="38" t="str">
        <f>IFERROR(VLOOKUP(I1021,보도매체!$A:$C,3,FALSE), "")</f>
        <v/>
      </c>
    </row>
    <row r="1022" spans="3:13" x14ac:dyDescent="0.3">
      <c r="C1022" s="35">
        <f t="shared" si="15"/>
        <v>0</v>
      </c>
      <c r="D1022" s="30" t="str">
        <f>IFERROR(VLOOKUP(C1022,소속부서!$A$2:$B$20,2,FALSE), "")</f>
        <v/>
      </c>
      <c r="L1022" s="36" t="str">
        <f>IFERROR(VLOOKUP(I1022,보도매체!$A:$C,2,FALSE), "")</f>
        <v/>
      </c>
      <c r="M1022" s="38" t="str">
        <f>IFERROR(VLOOKUP(I1022,보도매체!$A:$C,3,FALSE), "")</f>
        <v/>
      </c>
    </row>
    <row r="1023" spans="3:13" x14ac:dyDescent="0.3">
      <c r="C1023" s="35">
        <f t="shared" si="15"/>
        <v>0</v>
      </c>
      <c r="D1023" s="30" t="str">
        <f>IFERROR(VLOOKUP(C1023,소속부서!$A$2:$B$20,2,FALSE), "")</f>
        <v/>
      </c>
      <c r="L1023" s="36" t="str">
        <f>IFERROR(VLOOKUP(I1023,보도매체!$A:$C,2,FALSE), "")</f>
        <v/>
      </c>
      <c r="M1023" s="38" t="str">
        <f>IFERROR(VLOOKUP(I1023,보도매체!$A:$C,3,FALSE), "")</f>
        <v/>
      </c>
    </row>
    <row r="1024" spans="3:13" x14ac:dyDescent="0.3">
      <c r="C1024" s="35">
        <f t="shared" si="15"/>
        <v>0</v>
      </c>
      <c r="D1024" s="30" t="str">
        <f>IFERROR(VLOOKUP(C1024,소속부서!$A$2:$B$20,2,FALSE), "")</f>
        <v/>
      </c>
      <c r="L1024" s="36" t="str">
        <f>IFERROR(VLOOKUP(I1024,보도매체!$A:$C,2,FALSE), "")</f>
        <v/>
      </c>
      <c r="M1024" s="38" t="str">
        <f>IFERROR(VLOOKUP(I1024,보도매체!$A:$C,3,FALSE), "")</f>
        <v/>
      </c>
    </row>
    <row r="1025" spans="3:13" x14ac:dyDescent="0.3">
      <c r="C1025" s="35">
        <f t="shared" ref="C1025:C1088" si="16">E1025</f>
        <v>0</v>
      </c>
      <c r="D1025" s="30" t="str">
        <f>IFERROR(VLOOKUP(C1025,소속부서!$A$2:$B$20,2,FALSE), "")</f>
        <v/>
      </c>
      <c r="L1025" s="36" t="str">
        <f>IFERROR(VLOOKUP(I1025,보도매체!$A:$C,2,FALSE), "")</f>
        <v/>
      </c>
      <c r="M1025" s="38" t="str">
        <f>IFERROR(VLOOKUP(I1025,보도매체!$A:$C,3,FALSE), "")</f>
        <v/>
      </c>
    </row>
    <row r="1026" spans="3:13" x14ac:dyDescent="0.3">
      <c r="C1026" s="35">
        <f t="shared" si="16"/>
        <v>0</v>
      </c>
      <c r="D1026" s="30" t="str">
        <f>IFERROR(VLOOKUP(C1026,소속부서!$A$2:$B$20,2,FALSE), "")</f>
        <v/>
      </c>
      <c r="L1026" s="36" t="str">
        <f>IFERROR(VLOOKUP(I1026,보도매체!$A:$C,2,FALSE), "")</f>
        <v/>
      </c>
      <c r="M1026" s="38" t="str">
        <f>IFERROR(VLOOKUP(I1026,보도매체!$A:$C,3,FALSE), "")</f>
        <v/>
      </c>
    </row>
    <row r="1027" spans="3:13" x14ac:dyDescent="0.3">
      <c r="C1027" s="35">
        <f t="shared" si="16"/>
        <v>0</v>
      </c>
      <c r="D1027" s="30" t="str">
        <f>IFERROR(VLOOKUP(C1027,소속부서!$A$2:$B$20,2,FALSE), "")</f>
        <v/>
      </c>
      <c r="L1027" s="36" t="str">
        <f>IFERROR(VLOOKUP(I1027,보도매체!$A:$C,2,FALSE), "")</f>
        <v/>
      </c>
      <c r="M1027" s="38" t="str">
        <f>IFERROR(VLOOKUP(I1027,보도매체!$A:$C,3,FALSE), "")</f>
        <v/>
      </c>
    </row>
    <row r="1028" spans="3:13" x14ac:dyDescent="0.3">
      <c r="C1028" s="35">
        <f t="shared" si="16"/>
        <v>0</v>
      </c>
      <c r="D1028" s="30" t="str">
        <f>IFERROR(VLOOKUP(C1028,소속부서!$A$2:$B$20,2,FALSE), "")</f>
        <v/>
      </c>
      <c r="L1028" s="36" t="str">
        <f>IFERROR(VLOOKUP(I1028,보도매체!$A:$C,2,FALSE), "")</f>
        <v/>
      </c>
      <c r="M1028" s="38" t="str">
        <f>IFERROR(VLOOKUP(I1028,보도매체!$A:$C,3,FALSE), "")</f>
        <v/>
      </c>
    </row>
    <row r="1029" spans="3:13" x14ac:dyDescent="0.3">
      <c r="C1029" s="35">
        <f t="shared" si="16"/>
        <v>0</v>
      </c>
      <c r="D1029" s="30" t="str">
        <f>IFERROR(VLOOKUP(C1029,소속부서!$A$2:$B$20,2,FALSE), "")</f>
        <v/>
      </c>
      <c r="L1029" s="36" t="str">
        <f>IFERROR(VLOOKUP(I1029,보도매체!$A:$C,2,FALSE), "")</f>
        <v/>
      </c>
      <c r="M1029" s="38" t="str">
        <f>IFERROR(VLOOKUP(I1029,보도매체!$A:$C,3,FALSE), "")</f>
        <v/>
      </c>
    </row>
    <row r="1030" spans="3:13" x14ac:dyDescent="0.3">
      <c r="C1030" s="35">
        <f t="shared" si="16"/>
        <v>0</v>
      </c>
      <c r="D1030" s="30" t="str">
        <f>IFERROR(VLOOKUP(C1030,소속부서!$A$2:$B$20,2,FALSE), "")</f>
        <v/>
      </c>
      <c r="L1030" s="36" t="str">
        <f>IFERROR(VLOOKUP(I1030,보도매체!$A:$C,2,FALSE), "")</f>
        <v/>
      </c>
      <c r="M1030" s="38" t="str">
        <f>IFERROR(VLOOKUP(I1030,보도매체!$A:$C,3,FALSE), "")</f>
        <v/>
      </c>
    </row>
    <row r="1031" spans="3:13" x14ac:dyDescent="0.3">
      <c r="C1031" s="35">
        <f t="shared" si="16"/>
        <v>0</v>
      </c>
      <c r="D1031" s="30" t="str">
        <f>IFERROR(VLOOKUP(C1031,소속부서!$A$2:$B$20,2,FALSE), "")</f>
        <v/>
      </c>
      <c r="L1031" s="36" t="str">
        <f>IFERROR(VLOOKUP(I1031,보도매체!$A:$C,2,FALSE), "")</f>
        <v/>
      </c>
      <c r="M1031" s="38" t="str">
        <f>IFERROR(VLOOKUP(I1031,보도매체!$A:$C,3,FALSE), "")</f>
        <v/>
      </c>
    </row>
    <row r="1032" spans="3:13" x14ac:dyDescent="0.3">
      <c r="C1032" s="35">
        <f t="shared" si="16"/>
        <v>0</v>
      </c>
      <c r="D1032" s="30" t="str">
        <f>IFERROR(VLOOKUP(C1032,소속부서!$A$2:$B$20,2,FALSE), "")</f>
        <v/>
      </c>
      <c r="L1032" s="36" t="str">
        <f>IFERROR(VLOOKUP(I1032,보도매체!$A:$C,2,FALSE), "")</f>
        <v/>
      </c>
      <c r="M1032" s="38" t="str">
        <f>IFERROR(VLOOKUP(I1032,보도매체!$A:$C,3,FALSE), "")</f>
        <v/>
      </c>
    </row>
    <row r="1033" spans="3:13" x14ac:dyDescent="0.3">
      <c r="C1033" s="35">
        <f t="shared" si="16"/>
        <v>0</v>
      </c>
      <c r="D1033" s="30" t="str">
        <f>IFERROR(VLOOKUP(C1033,소속부서!$A$2:$B$20,2,FALSE), "")</f>
        <v/>
      </c>
      <c r="L1033" s="36" t="str">
        <f>IFERROR(VLOOKUP(I1033,보도매체!$A:$C,2,FALSE), "")</f>
        <v/>
      </c>
      <c r="M1033" s="38" t="str">
        <f>IFERROR(VLOOKUP(I1033,보도매체!$A:$C,3,FALSE), "")</f>
        <v/>
      </c>
    </row>
    <row r="1034" spans="3:13" x14ac:dyDescent="0.3">
      <c r="C1034" s="35">
        <f t="shared" si="16"/>
        <v>0</v>
      </c>
      <c r="D1034" s="30" t="str">
        <f>IFERROR(VLOOKUP(C1034,소속부서!$A$2:$B$20,2,FALSE), "")</f>
        <v/>
      </c>
      <c r="L1034" s="36" t="str">
        <f>IFERROR(VLOOKUP(I1034,보도매체!$A:$C,2,FALSE), "")</f>
        <v/>
      </c>
      <c r="M1034" s="38" t="str">
        <f>IFERROR(VLOOKUP(I1034,보도매체!$A:$C,3,FALSE), "")</f>
        <v/>
      </c>
    </row>
    <row r="1035" spans="3:13" x14ac:dyDescent="0.3">
      <c r="C1035" s="35">
        <f t="shared" si="16"/>
        <v>0</v>
      </c>
      <c r="D1035" s="30" t="str">
        <f>IFERROR(VLOOKUP(C1035,소속부서!$A$2:$B$20,2,FALSE), "")</f>
        <v/>
      </c>
      <c r="L1035" s="36" t="str">
        <f>IFERROR(VLOOKUP(I1035,보도매체!$A:$C,2,FALSE), "")</f>
        <v/>
      </c>
      <c r="M1035" s="38" t="str">
        <f>IFERROR(VLOOKUP(I1035,보도매체!$A:$C,3,FALSE), "")</f>
        <v/>
      </c>
    </row>
    <row r="1036" spans="3:13" x14ac:dyDescent="0.3">
      <c r="C1036" s="35">
        <f t="shared" si="16"/>
        <v>0</v>
      </c>
      <c r="D1036" s="30" t="str">
        <f>IFERROR(VLOOKUP(C1036,소속부서!$A$2:$B$20,2,FALSE), "")</f>
        <v/>
      </c>
      <c r="L1036" s="36" t="str">
        <f>IFERROR(VLOOKUP(I1036,보도매체!$A:$C,2,FALSE), "")</f>
        <v/>
      </c>
      <c r="M1036" s="38" t="str">
        <f>IFERROR(VLOOKUP(I1036,보도매체!$A:$C,3,FALSE), "")</f>
        <v/>
      </c>
    </row>
    <row r="1037" spans="3:13" x14ac:dyDescent="0.3">
      <c r="C1037" s="35">
        <f t="shared" si="16"/>
        <v>0</v>
      </c>
      <c r="D1037" s="30" t="str">
        <f>IFERROR(VLOOKUP(C1037,소속부서!$A$2:$B$20,2,FALSE), "")</f>
        <v/>
      </c>
      <c r="L1037" s="36" t="str">
        <f>IFERROR(VLOOKUP(I1037,보도매체!$A:$C,2,FALSE), "")</f>
        <v/>
      </c>
      <c r="M1037" s="38" t="str">
        <f>IFERROR(VLOOKUP(I1037,보도매체!$A:$C,3,FALSE), "")</f>
        <v/>
      </c>
    </row>
    <row r="1038" spans="3:13" x14ac:dyDescent="0.3">
      <c r="C1038" s="35">
        <f t="shared" si="16"/>
        <v>0</v>
      </c>
      <c r="D1038" s="30" t="str">
        <f>IFERROR(VLOOKUP(C1038,소속부서!$A$2:$B$20,2,FALSE), "")</f>
        <v/>
      </c>
      <c r="L1038" s="36" t="str">
        <f>IFERROR(VLOOKUP(I1038,보도매체!$A:$C,2,FALSE), "")</f>
        <v/>
      </c>
      <c r="M1038" s="38" t="str">
        <f>IFERROR(VLOOKUP(I1038,보도매체!$A:$C,3,FALSE), "")</f>
        <v/>
      </c>
    </row>
    <row r="1039" spans="3:13" x14ac:dyDescent="0.3">
      <c r="C1039" s="35">
        <f t="shared" si="16"/>
        <v>0</v>
      </c>
      <c r="D1039" s="30" t="str">
        <f>IFERROR(VLOOKUP(C1039,소속부서!$A$2:$B$20,2,FALSE), "")</f>
        <v/>
      </c>
      <c r="L1039" s="36" t="str">
        <f>IFERROR(VLOOKUP(I1039,보도매체!$A:$C,2,FALSE), "")</f>
        <v/>
      </c>
      <c r="M1039" s="38" t="str">
        <f>IFERROR(VLOOKUP(I1039,보도매체!$A:$C,3,FALSE), "")</f>
        <v/>
      </c>
    </row>
    <row r="1040" spans="3:13" x14ac:dyDescent="0.3">
      <c r="C1040" s="35">
        <f t="shared" si="16"/>
        <v>0</v>
      </c>
      <c r="D1040" s="30" t="str">
        <f>IFERROR(VLOOKUP(C1040,소속부서!$A$2:$B$20,2,FALSE), "")</f>
        <v/>
      </c>
      <c r="L1040" s="36" t="str">
        <f>IFERROR(VLOOKUP(I1040,보도매체!$A:$C,2,FALSE), "")</f>
        <v/>
      </c>
      <c r="M1040" s="38" t="str">
        <f>IFERROR(VLOOKUP(I1040,보도매체!$A:$C,3,FALSE), "")</f>
        <v/>
      </c>
    </row>
    <row r="1041" spans="3:13" x14ac:dyDescent="0.3">
      <c r="C1041" s="35">
        <f t="shared" si="16"/>
        <v>0</v>
      </c>
      <c r="D1041" s="30" t="str">
        <f>IFERROR(VLOOKUP(C1041,소속부서!$A$2:$B$20,2,FALSE), "")</f>
        <v/>
      </c>
      <c r="L1041" s="36" t="str">
        <f>IFERROR(VLOOKUP(I1041,보도매체!$A:$C,2,FALSE), "")</f>
        <v/>
      </c>
      <c r="M1041" s="38" t="str">
        <f>IFERROR(VLOOKUP(I1041,보도매체!$A:$C,3,FALSE), "")</f>
        <v/>
      </c>
    </row>
    <row r="1042" spans="3:13" x14ac:dyDescent="0.3">
      <c r="C1042" s="35">
        <f t="shared" si="16"/>
        <v>0</v>
      </c>
      <c r="D1042" s="30" t="str">
        <f>IFERROR(VLOOKUP(C1042,소속부서!$A$2:$B$20,2,FALSE), "")</f>
        <v/>
      </c>
      <c r="L1042" s="36" t="str">
        <f>IFERROR(VLOOKUP(I1042,보도매체!$A:$C,2,FALSE), "")</f>
        <v/>
      </c>
      <c r="M1042" s="38" t="str">
        <f>IFERROR(VLOOKUP(I1042,보도매체!$A:$C,3,FALSE), "")</f>
        <v/>
      </c>
    </row>
    <row r="1043" spans="3:13" x14ac:dyDescent="0.3">
      <c r="C1043" s="35">
        <f t="shared" si="16"/>
        <v>0</v>
      </c>
      <c r="D1043" s="30" t="str">
        <f>IFERROR(VLOOKUP(C1043,소속부서!$A$2:$B$20,2,FALSE), "")</f>
        <v/>
      </c>
      <c r="L1043" s="36" t="str">
        <f>IFERROR(VLOOKUP(I1043,보도매체!$A:$C,2,FALSE), "")</f>
        <v/>
      </c>
      <c r="M1043" s="38" t="str">
        <f>IFERROR(VLOOKUP(I1043,보도매체!$A:$C,3,FALSE), "")</f>
        <v/>
      </c>
    </row>
    <row r="1044" spans="3:13" x14ac:dyDescent="0.3">
      <c r="C1044" s="35">
        <f t="shared" si="16"/>
        <v>0</v>
      </c>
      <c r="D1044" s="30" t="str">
        <f>IFERROR(VLOOKUP(C1044,소속부서!$A$2:$B$20,2,FALSE), "")</f>
        <v/>
      </c>
      <c r="L1044" s="36" t="str">
        <f>IFERROR(VLOOKUP(I1044,보도매체!$A:$C,2,FALSE), "")</f>
        <v/>
      </c>
      <c r="M1044" s="38" t="str">
        <f>IFERROR(VLOOKUP(I1044,보도매체!$A:$C,3,FALSE), "")</f>
        <v/>
      </c>
    </row>
    <row r="1045" spans="3:13" x14ac:dyDescent="0.3">
      <c r="C1045" s="35">
        <f t="shared" si="16"/>
        <v>0</v>
      </c>
      <c r="D1045" s="30" t="str">
        <f>IFERROR(VLOOKUP(C1045,소속부서!$A$2:$B$20,2,FALSE), "")</f>
        <v/>
      </c>
      <c r="L1045" s="36" t="str">
        <f>IFERROR(VLOOKUP(I1045,보도매체!$A:$C,2,FALSE), "")</f>
        <v/>
      </c>
      <c r="M1045" s="38" t="str">
        <f>IFERROR(VLOOKUP(I1045,보도매체!$A:$C,3,FALSE), "")</f>
        <v/>
      </c>
    </row>
    <row r="1046" spans="3:13" x14ac:dyDescent="0.3">
      <c r="C1046" s="35">
        <f t="shared" si="16"/>
        <v>0</v>
      </c>
      <c r="D1046" s="30" t="str">
        <f>IFERROR(VLOOKUP(C1046,소속부서!$A$2:$B$20,2,FALSE), "")</f>
        <v/>
      </c>
      <c r="L1046" s="36" t="str">
        <f>IFERROR(VLOOKUP(I1046,보도매체!$A:$C,2,FALSE), "")</f>
        <v/>
      </c>
      <c r="M1046" s="38" t="str">
        <f>IFERROR(VLOOKUP(I1046,보도매체!$A:$C,3,FALSE), "")</f>
        <v/>
      </c>
    </row>
    <row r="1047" spans="3:13" x14ac:dyDescent="0.3">
      <c r="C1047" s="35">
        <f t="shared" si="16"/>
        <v>0</v>
      </c>
      <c r="D1047" s="30" t="str">
        <f>IFERROR(VLOOKUP(C1047,소속부서!$A$2:$B$20,2,FALSE), "")</f>
        <v/>
      </c>
      <c r="L1047" s="36" t="str">
        <f>IFERROR(VLOOKUP(I1047,보도매체!$A:$C,2,FALSE), "")</f>
        <v/>
      </c>
      <c r="M1047" s="38" t="str">
        <f>IFERROR(VLOOKUP(I1047,보도매체!$A:$C,3,FALSE), "")</f>
        <v/>
      </c>
    </row>
    <row r="1048" spans="3:13" x14ac:dyDescent="0.3">
      <c r="C1048" s="35">
        <f t="shared" si="16"/>
        <v>0</v>
      </c>
      <c r="D1048" s="30" t="str">
        <f>IFERROR(VLOOKUP(C1048,소속부서!$A$2:$B$20,2,FALSE), "")</f>
        <v/>
      </c>
      <c r="L1048" s="36" t="str">
        <f>IFERROR(VLOOKUP(I1048,보도매체!$A:$C,2,FALSE), "")</f>
        <v/>
      </c>
      <c r="M1048" s="38" t="str">
        <f>IFERROR(VLOOKUP(I1048,보도매체!$A:$C,3,FALSE), "")</f>
        <v/>
      </c>
    </row>
    <row r="1049" spans="3:13" x14ac:dyDescent="0.3">
      <c r="C1049" s="35">
        <f t="shared" si="16"/>
        <v>0</v>
      </c>
      <c r="D1049" s="30" t="str">
        <f>IFERROR(VLOOKUP(C1049,소속부서!$A$2:$B$20,2,FALSE), "")</f>
        <v/>
      </c>
      <c r="L1049" s="36" t="str">
        <f>IFERROR(VLOOKUP(I1049,보도매체!$A:$C,2,FALSE), "")</f>
        <v/>
      </c>
      <c r="M1049" s="38" t="str">
        <f>IFERROR(VLOOKUP(I1049,보도매체!$A:$C,3,FALSE), "")</f>
        <v/>
      </c>
    </row>
    <row r="1050" spans="3:13" x14ac:dyDescent="0.3">
      <c r="C1050" s="35">
        <f t="shared" si="16"/>
        <v>0</v>
      </c>
      <c r="D1050" s="30" t="str">
        <f>IFERROR(VLOOKUP(C1050,소속부서!$A$2:$B$20,2,FALSE), "")</f>
        <v/>
      </c>
      <c r="L1050" s="36" t="str">
        <f>IFERROR(VLOOKUP(I1050,보도매체!$A:$C,2,FALSE), "")</f>
        <v/>
      </c>
      <c r="M1050" s="38" t="str">
        <f>IFERROR(VLOOKUP(I1050,보도매체!$A:$C,3,FALSE), "")</f>
        <v/>
      </c>
    </row>
    <row r="1051" spans="3:13" x14ac:dyDescent="0.3">
      <c r="C1051" s="35">
        <f t="shared" si="16"/>
        <v>0</v>
      </c>
      <c r="D1051" s="30" t="str">
        <f>IFERROR(VLOOKUP(C1051,소속부서!$A$2:$B$20,2,FALSE), "")</f>
        <v/>
      </c>
      <c r="L1051" s="36" t="str">
        <f>IFERROR(VLOOKUP(I1051,보도매체!$A:$C,2,FALSE), "")</f>
        <v/>
      </c>
      <c r="M1051" s="38" t="str">
        <f>IFERROR(VLOOKUP(I1051,보도매체!$A:$C,3,FALSE), "")</f>
        <v/>
      </c>
    </row>
    <row r="1052" spans="3:13" x14ac:dyDescent="0.3">
      <c r="C1052" s="35">
        <f t="shared" si="16"/>
        <v>0</v>
      </c>
      <c r="D1052" s="30" t="str">
        <f>IFERROR(VLOOKUP(C1052,소속부서!$A$2:$B$20,2,FALSE), "")</f>
        <v/>
      </c>
      <c r="L1052" s="36" t="str">
        <f>IFERROR(VLOOKUP(I1052,보도매체!$A:$C,2,FALSE), "")</f>
        <v/>
      </c>
      <c r="M1052" s="38" t="str">
        <f>IFERROR(VLOOKUP(I1052,보도매체!$A:$C,3,FALSE), "")</f>
        <v/>
      </c>
    </row>
    <row r="1053" spans="3:13" x14ac:dyDescent="0.3">
      <c r="C1053" s="35">
        <f t="shared" si="16"/>
        <v>0</v>
      </c>
      <c r="D1053" s="30" t="str">
        <f>IFERROR(VLOOKUP(C1053,소속부서!$A$2:$B$20,2,FALSE), "")</f>
        <v/>
      </c>
      <c r="L1053" s="36" t="str">
        <f>IFERROR(VLOOKUP(I1053,보도매체!$A:$C,2,FALSE), "")</f>
        <v/>
      </c>
      <c r="M1053" s="38" t="str">
        <f>IFERROR(VLOOKUP(I1053,보도매체!$A:$C,3,FALSE), "")</f>
        <v/>
      </c>
    </row>
    <row r="1054" spans="3:13" x14ac:dyDescent="0.3">
      <c r="C1054" s="35">
        <f t="shared" si="16"/>
        <v>0</v>
      </c>
      <c r="D1054" s="30" t="str">
        <f>IFERROR(VLOOKUP(C1054,소속부서!$A$2:$B$20,2,FALSE), "")</f>
        <v/>
      </c>
      <c r="L1054" s="36" t="str">
        <f>IFERROR(VLOOKUP(I1054,보도매체!$A:$C,2,FALSE), "")</f>
        <v/>
      </c>
      <c r="M1054" s="38" t="str">
        <f>IFERROR(VLOOKUP(I1054,보도매체!$A:$C,3,FALSE), "")</f>
        <v/>
      </c>
    </row>
    <row r="1055" spans="3:13" x14ac:dyDescent="0.3">
      <c r="C1055" s="35">
        <f t="shared" si="16"/>
        <v>0</v>
      </c>
      <c r="D1055" s="30" t="str">
        <f>IFERROR(VLOOKUP(C1055,소속부서!$A$2:$B$20,2,FALSE), "")</f>
        <v/>
      </c>
      <c r="L1055" s="36" t="str">
        <f>IFERROR(VLOOKUP(I1055,보도매체!$A:$C,2,FALSE), "")</f>
        <v/>
      </c>
      <c r="M1055" s="38" t="str">
        <f>IFERROR(VLOOKUP(I1055,보도매체!$A:$C,3,FALSE), "")</f>
        <v/>
      </c>
    </row>
    <row r="1056" spans="3:13" x14ac:dyDescent="0.3">
      <c r="C1056" s="35">
        <f t="shared" si="16"/>
        <v>0</v>
      </c>
      <c r="D1056" s="30" t="str">
        <f>IFERROR(VLOOKUP(C1056,소속부서!$A$2:$B$20,2,FALSE), "")</f>
        <v/>
      </c>
      <c r="L1056" s="36" t="str">
        <f>IFERROR(VLOOKUP(I1056,보도매체!$A:$C,2,FALSE), "")</f>
        <v/>
      </c>
      <c r="M1056" s="38" t="str">
        <f>IFERROR(VLOOKUP(I1056,보도매체!$A:$C,3,FALSE), "")</f>
        <v/>
      </c>
    </row>
    <row r="1057" spans="3:13" x14ac:dyDescent="0.3">
      <c r="C1057" s="35">
        <f t="shared" si="16"/>
        <v>0</v>
      </c>
      <c r="D1057" s="30" t="str">
        <f>IFERROR(VLOOKUP(C1057,소속부서!$A$2:$B$20,2,FALSE), "")</f>
        <v/>
      </c>
      <c r="L1057" s="36" t="str">
        <f>IFERROR(VLOOKUP(I1057,보도매체!$A:$C,2,FALSE), "")</f>
        <v/>
      </c>
      <c r="M1057" s="38" t="str">
        <f>IFERROR(VLOOKUP(I1057,보도매체!$A:$C,3,FALSE), "")</f>
        <v/>
      </c>
    </row>
    <row r="1058" spans="3:13" x14ac:dyDescent="0.3">
      <c r="C1058" s="35">
        <f t="shared" si="16"/>
        <v>0</v>
      </c>
      <c r="D1058" s="30" t="str">
        <f>IFERROR(VLOOKUP(C1058,소속부서!$A$2:$B$20,2,FALSE), "")</f>
        <v/>
      </c>
      <c r="L1058" s="36" t="str">
        <f>IFERROR(VLOOKUP(I1058,보도매체!$A:$C,2,FALSE), "")</f>
        <v/>
      </c>
      <c r="M1058" s="38" t="str">
        <f>IFERROR(VLOOKUP(I1058,보도매체!$A:$C,3,FALSE), "")</f>
        <v/>
      </c>
    </row>
    <row r="1059" spans="3:13" x14ac:dyDescent="0.3">
      <c r="C1059" s="35">
        <f t="shared" si="16"/>
        <v>0</v>
      </c>
      <c r="D1059" s="30" t="str">
        <f>IFERROR(VLOOKUP(C1059,소속부서!$A$2:$B$20,2,FALSE), "")</f>
        <v/>
      </c>
      <c r="L1059" s="36" t="str">
        <f>IFERROR(VLOOKUP(I1059,보도매체!$A:$C,2,FALSE), "")</f>
        <v/>
      </c>
      <c r="M1059" s="38" t="str">
        <f>IFERROR(VLOOKUP(I1059,보도매체!$A:$C,3,FALSE), "")</f>
        <v/>
      </c>
    </row>
    <row r="1060" spans="3:13" x14ac:dyDescent="0.3">
      <c r="C1060" s="35">
        <f t="shared" si="16"/>
        <v>0</v>
      </c>
      <c r="D1060" s="30" t="str">
        <f>IFERROR(VLOOKUP(C1060,소속부서!$A$2:$B$20,2,FALSE), "")</f>
        <v/>
      </c>
      <c r="L1060" s="36" t="str">
        <f>IFERROR(VLOOKUP(I1060,보도매체!$A:$C,2,FALSE), "")</f>
        <v/>
      </c>
      <c r="M1060" s="38" t="str">
        <f>IFERROR(VLOOKUP(I1060,보도매체!$A:$C,3,FALSE), "")</f>
        <v/>
      </c>
    </row>
    <row r="1061" spans="3:13" x14ac:dyDescent="0.3">
      <c r="C1061" s="35">
        <f t="shared" si="16"/>
        <v>0</v>
      </c>
      <c r="D1061" s="30" t="str">
        <f>IFERROR(VLOOKUP(C1061,소속부서!$A$2:$B$20,2,FALSE), "")</f>
        <v/>
      </c>
      <c r="L1061" s="36" t="str">
        <f>IFERROR(VLOOKUP(I1061,보도매체!$A:$C,2,FALSE), "")</f>
        <v/>
      </c>
      <c r="M1061" s="38" t="str">
        <f>IFERROR(VLOOKUP(I1061,보도매체!$A:$C,3,FALSE), "")</f>
        <v/>
      </c>
    </row>
    <row r="1062" spans="3:13" x14ac:dyDescent="0.3">
      <c r="C1062" s="35">
        <f t="shared" si="16"/>
        <v>0</v>
      </c>
      <c r="D1062" s="30" t="str">
        <f>IFERROR(VLOOKUP(C1062,소속부서!$A$2:$B$20,2,FALSE), "")</f>
        <v/>
      </c>
      <c r="L1062" s="36" t="str">
        <f>IFERROR(VLOOKUP(I1062,보도매체!$A:$C,2,FALSE), "")</f>
        <v/>
      </c>
      <c r="M1062" s="38" t="str">
        <f>IFERROR(VLOOKUP(I1062,보도매체!$A:$C,3,FALSE), "")</f>
        <v/>
      </c>
    </row>
    <row r="1063" spans="3:13" x14ac:dyDescent="0.3">
      <c r="C1063" s="35">
        <f t="shared" si="16"/>
        <v>0</v>
      </c>
      <c r="D1063" s="30" t="str">
        <f>IFERROR(VLOOKUP(C1063,소속부서!$A$2:$B$20,2,FALSE), "")</f>
        <v/>
      </c>
      <c r="L1063" s="36" t="str">
        <f>IFERROR(VLOOKUP(I1063,보도매체!$A:$C,2,FALSE), "")</f>
        <v/>
      </c>
      <c r="M1063" s="38" t="str">
        <f>IFERROR(VLOOKUP(I1063,보도매체!$A:$C,3,FALSE), "")</f>
        <v/>
      </c>
    </row>
    <row r="1064" spans="3:13" x14ac:dyDescent="0.3">
      <c r="C1064" s="35">
        <f t="shared" si="16"/>
        <v>0</v>
      </c>
      <c r="D1064" s="30" t="str">
        <f>IFERROR(VLOOKUP(C1064,소속부서!$A$2:$B$20,2,FALSE), "")</f>
        <v/>
      </c>
    </row>
    <row r="1065" spans="3:13" x14ac:dyDescent="0.3">
      <c r="C1065" s="35">
        <f t="shared" si="16"/>
        <v>0</v>
      </c>
      <c r="D1065" s="30" t="str">
        <f>IFERROR(VLOOKUP(C1065,소속부서!$A$2:$B$20,2,FALSE), "")</f>
        <v/>
      </c>
    </row>
    <row r="1066" spans="3:13" x14ac:dyDescent="0.3">
      <c r="C1066" s="35">
        <f t="shared" si="16"/>
        <v>0</v>
      </c>
      <c r="D1066" s="30" t="str">
        <f>IFERROR(VLOOKUP(C1066,소속부서!$A$2:$B$20,2,FALSE), "")</f>
        <v/>
      </c>
    </row>
    <row r="1067" spans="3:13" x14ac:dyDescent="0.3">
      <c r="C1067" s="35">
        <f t="shared" si="16"/>
        <v>0</v>
      </c>
      <c r="D1067" s="30" t="str">
        <f>IFERROR(VLOOKUP(C1067,소속부서!$A$2:$B$20,2,FALSE), "")</f>
        <v/>
      </c>
    </row>
    <row r="1068" spans="3:13" x14ac:dyDescent="0.3">
      <c r="C1068" s="35">
        <f t="shared" si="16"/>
        <v>0</v>
      </c>
      <c r="D1068" s="30" t="str">
        <f>IFERROR(VLOOKUP(C1068,소속부서!$A$2:$B$20,2,FALSE), "")</f>
        <v/>
      </c>
    </row>
    <row r="1069" spans="3:13" x14ac:dyDescent="0.3">
      <c r="C1069" s="35">
        <f t="shared" si="16"/>
        <v>0</v>
      </c>
      <c r="D1069" s="30" t="str">
        <f>IFERROR(VLOOKUP(C1069,소속부서!$A$2:$B$20,2,FALSE), "")</f>
        <v/>
      </c>
    </row>
    <row r="1070" spans="3:13" x14ac:dyDescent="0.3">
      <c r="C1070" s="35">
        <f t="shared" si="16"/>
        <v>0</v>
      </c>
      <c r="D1070" s="30" t="str">
        <f>IFERROR(VLOOKUP(C1070,소속부서!$A$2:$B$20,2,FALSE), "")</f>
        <v/>
      </c>
    </row>
    <row r="1071" spans="3:13" x14ac:dyDescent="0.3">
      <c r="C1071" s="35">
        <f t="shared" si="16"/>
        <v>0</v>
      </c>
      <c r="D1071" s="30" t="str">
        <f>IFERROR(VLOOKUP(C1071,소속부서!$A$2:$B$20,2,FALSE), "")</f>
        <v/>
      </c>
    </row>
    <row r="1072" spans="3:13" x14ac:dyDescent="0.3">
      <c r="C1072" s="35">
        <f t="shared" si="16"/>
        <v>0</v>
      </c>
      <c r="D1072" s="30" t="str">
        <f>IFERROR(VLOOKUP(C1072,소속부서!$A$2:$B$20,2,FALSE), "")</f>
        <v/>
      </c>
    </row>
    <row r="1073" spans="3:4" x14ac:dyDescent="0.3">
      <c r="C1073" s="35">
        <f t="shared" si="16"/>
        <v>0</v>
      </c>
      <c r="D1073" s="30" t="str">
        <f>IFERROR(VLOOKUP(C1073,소속부서!$A$2:$B$20,2,FALSE), "")</f>
        <v/>
      </c>
    </row>
    <row r="1074" spans="3:4" x14ac:dyDescent="0.3">
      <c r="C1074" s="35">
        <f t="shared" si="16"/>
        <v>0</v>
      </c>
      <c r="D1074" s="30" t="str">
        <f>IFERROR(VLOOKUP(C1074,소속부서!$A$2:$B$20,2,FALSE), "")</f>
        <v/>
      </c>
    </row>
    <row r="1075" spans="3:4" x14ac:dyDescent="0.3">
      <c r="C1075" s="35">
        <f t="shared" si="16"/>
        <v>0</v>
      </c>
      <c r="D1075" s="30" t="str">
        <f>IFERROR(VLOOKUP(C1075,소속부서!$A$2:$B$20,2,FALSE), "")</f>
        <v/>
      </c>
    </row>
    <row r="1076" spans="3:4" x14ac:dyDescent="0.3">
      <c r="C1076" s="35">
        <f t="shared" si="16"/>
        <v>0</v>
      </c>
      <c r="D1076" s="30" t="str">
        <f>IFERROR(VLOOKUP(C1076,소속부서!$A$2:$B$20,2,FALSE), "")</f>
        <v/>
      </c>
    </row>
    <row r="1077" spans="3:4" x14ac:dyDescent="0.3">
      <c r="C1077" s="35">
        <f t="shared" si="16"/>
        <v>0</v>
      </c>
      <c r="D1077" s="30" t="str">
        <f>IFERROR(VLOOKUP(C1077,소속부서!$A$2:$B$20,2,FALSE), "")</f>
        <v/>
      </c>
    </row>
    <row r="1078" spans="3:4" x14ac:dyDescent="0.3">
      <c r="C1078" s="35">
        <f t="shared" si="16"/>
        <v>0</v>
      </c>
      <c r="D1078" s="30" t="str">
        <f>IFERROR(VLOOKUP(C1078,소속부서!$A$2:$B$20,2,FALSE), "")</f>
        <v/>
      </c>
    </row>
    <row r="1079" spans="3:4" x14ac:dyDescent="0.3">
      <c r="C1079" s="35">
        <f t="shared" si="16"/>
        <v>0</v>
      </c>
      <c r="D1079" s="30" t="str">
        <f>IFERROR(VLOOKUP(C1079,소속부서!$A$2:$B$20,2,FALSE), "")</f>
        <v/>
      </c>
    </row>
    <row r="1080" spans="3:4" x14ac:dyDescent="0.3">
      <c r="C1080" s="35">
        <f t="shared" si="16"/>
        <v>0</v>
      </c>
      <c r="D1080" s="30" t="str">
        <f>IFERROR(VLOOKUP(C1080,소속부서!$A$2:$B$20,2,FALSE), "")</f>
        <v/>
      </c>
    </row>
    <row r="1081" spans="3:4" x14ac:dyDescent="0.3">
      <c r="C1081" s="35">
        <f t="shared" si="16"/>
        <v>0</v>
      </c>
      <c r="D1081" s="30" t="str">
        <f>IFERROR(VLOOKUP(C1081,소속부서!$A$2:$B$20,2,FALSE), "")</f>
        <v/>
      </c>
    </row>
    <row r="1082" spans="3:4" x14ac:dyDescent="0.3">
      <c r="C1082" s="35">
        <f t="shared" si="16"/>
        <v>0</v>
      </c>
      <c r="D1082" s="30" t="str">
        <f>IFERROR(VLOOKUP(C1082,소속부서!$A$2:$B$20,2,FALSE), "")</f>
        <v/>
      </c>
    </row>
    <row r="1083" spans="3:4" x14ac:dyDescent="0.3">
      <c r="C1083" s="35">
        <f t="shared" si="16"/>
        <v>0</v>
      </c>
      <c r="D1083" s="30" t="str">
        <f>IFERROR(VLOOKUP(C1083,소속부서!$A$2:$B$20,2,FALSE), "")</f>
        <v/>
      </c>
    </row>
    <row r="1084" spans="3:4" x14ac:dyDescent="0.3">
      <c r="C1084" s="35">
        <f t="shared" si="16"/>
        <v>0</v>
      </c>
      <c r="D1084" s="30" t="str">
        <f>IFERROR(VLOOKUP(C1084,소속부서!$A$2:$B$20,2,FALSE), "")</f>
        <v/>
      </c>
    </row>
    <row r="1085" spans="3:4" x14ac:dyDescent="0.3">
      <c r="C1085" s="35">
        <f t="shared" si="16"/>
        <v>0</v>
      </c>
      <c r="D1085" s="30" t="str">
        <f>IFERROR(VLOOKUP(C1085,소속부서!$A$2:$B$20,2,FALSE), "")</f>
        <v/>
      </c>
    </row>
    <row r="1086" spans="3:4" x14ac:dyDescent="0.3">
      <c r="C1086" s="35">
        <f t="shared" si="16"/>
        <v>0</v>
      </c>
      <c r="D1086" s="30" t="str">
        <f>IFERROR(VLOOKUP(C1086,소속부서!$A$2:$B$20,2,FALSE), "")</f>
        <v/>
      </c>
    </row>
    <row r="1087" spans="3:4" x14ac:dyDescent="0.3">
      <c r="C1087" s="35">
        <f t="shared" si="16"/>
        <v>0</v>
      </c>
      <c r="D1087" s="30" t="str">
        <f>IFERROR(VLOOKUP(C1087,소속부서!$A$2:$B$20,2,FALSE), "")</f>
        <v/>
      </c>
    </row>
    <row r="1088" spans="3:4" x14ac:dyDescent="0.3">
      <c r="C1088" s="35">
        <f t="shared" si="16"/>
        <v>0</v>
      </c>
      <c r="D1088" s="30" t="str">
        <f>IFERROR(VLOOKUP(C1088,소속부서!$A$2:$B$20,2,FALSE), "")</f>
        <v/>
      </c>
    </row>
    <row r="1089" spans="3:4" x14ac:dyDescent="0.3">
      <c r="C1089" s="35">
        <f t="shared" ref="C1089:C1152" si="17">E1089</f>
        <v>0</v>
      </c>
      <c r="D1089" s="30" t="str">
        <f>IFERROR(VLOOKUP(C1089,소속부서!$A$2:$B$20,2,FALSE), "")</f>
        <v/>
      </c>
    </row>
    <row r="1090" spans="3:4" x14ac:dyDescent="0.3">
      <c r="C1090" s="35">
        <f t="shared" si="17"/>
        <v>0</v>
      </c>
      <c r="D1090" s="30" t="str">
        <f>IFERROR(VLOOKUP(C1090,소속부서!$A$2:$B$20,2,FALSE), "")</f>
        <v/>
      </c>
    </row>
    <row r="1091" spans="3:4" x14ac:dyDescent="0.3">
      <c r="C1091" s="35">
        <f t="shared" si="17"/>
        <v>0</v>
      </c>
      <c r="D1091" s="30" t="str">
        <f>IFERROR(VLOOKUP(C1091,소속부서!$A$2:$B$20,2,FALSE), "")</f>
        <v/>
      </c>
    </row>
    <row r="1092" spans="3:4" x14ac:dyDescent="0.3">
      <c r="C1092" s="35">
        <f t="shared" si="17"/>
        <v>0</v>
      </c>
      <c r="D1092" s="30" t="str">
        <f>IFERROR(VLOOKUP(C1092,소속부서!$A$2:$B$20,2,FALSE), "")</f>
        <v/>
      </c>
    </row>
    <row r="1093" spans="3:4" x14ac:dyDescent="0.3">
      <c r="C1093" s="35">
        <f t="shared" si="17"/>
        <v>0</v>
      </c>
      <c r="D1093" s="30" t="str">
        <f>IFERROR(VLOOKUP(C1093,소속부서!$A$2:$B$20,2,FALSE), "")</f>
        <v/>
      </c>
    </row>
    <row r="1094" spans="3:4" x14ac:dyDescent="0.3">
      <c r="C1094" s="35">
        <f t="shared" si="17"/>
        <v>0</v>
      </c>
      <c r="D1094" s="30" t="str">
        <f>IFERROR(VLOOKUP(C1094,소속부서!$A$2:$B$20,2,FALSE), "")</f>
        <v/>
      </c>
    </row>
    <row r="1095" spans="3:4" x14ac:dyDescent="0.3">
      <c r="C1095" s="35">
        <f t="shared" si="17"/>
        <v>0</v>
      </c>
      <c r="D1095" s="30" t="str">
        <f>IFERROR(VLOOKUP(C1095,소속부서!$A$2:$B$20,2,FALSE), "")</f>
        <v/>
      </c>
    </row>
    <row r="1096" spans="3:4" x14ac:dyDescent="0.3">
      <c r="C1096" s="35">
        <f t="shared" si="17"/>
        <v>0</v>
      </c>
      <c r="D1096" s="30" t="str">
        <f>IFERROR(VLOOKUP(C1096,소속부서!$A$2:$B$20,2,FALSE), "")</f>
        <v/>
      </c>
    </row>
    <row r="1097" spans="3:4" x14ac:dyDescent="0.3">
      <c r="C1097" s="35">
        <f t="shared" si="17"/>
        <v>0</v>
      </c>
      <c r="D1097" s="30" t="str">
        <f>IFERROR(VLOOKUP(C1097,소속부서!$A$2:$B$20,2,FALSE), "")</f>
        <v/>
      </c>
    </row>
    <row r="1098" spans="3:4" x14ac:dyDescent="0.3">
      <c r="C1098" s="35">
        <f t="shared" si="17"/>
        <v>0</v>
      </c>
      <c r="D1098" s="30" t="str">
        <f>IFERROR(VLOOKUP(C1098,소속부서!$A$2:$B$20,2,FALSE), "")</f>
        <v/>
      </c>
    </row>
    <row r="1099" spans="3:4" x14ac:dyDescent="0.3">
      <c r="C1099" s="35">
        <f t="shared" si="17"/>
        <v>0</v>
      </c>
      <c r="D1099" s="30" t="str">
        <f>IFERROR(VLOOKUP(C1099,소속부서!$A$2:$B$20,2,FALSE), "")</f>
        <v/>
      </c>
    </row>
    <row r="1100" spans="3:4" x14ac:dyDescent="0.3">
      <c r="C1100" s="35">
        <f t="shared" si="17"/>
        <v>0</v>
      </c>
      <c r="D1100" s="30" t="str">
        <f>IFERROR(VLOOKUP(C1100,소속부서!$A$2:$B$20,2,FALSE), "")</f>
        <v/>
      </c>
    </row>
    <row r="1101" spans="3:4" x14ac:dyDescent="0.3">
      <c r="C1101" s="35">
        <f t="shared" si="17"/>
        <v>0</v>
      </c>
      <c r="D1101" s="30" t="str">
        <f>IFERROR(VLOOKUP(C1101,소속부서!$A$2:$B$20,2,FALSE), "")</f>
        <v/>
      </c>
    </row>
    <row r="1102" spans="3:4" x14ac:dyDescent="0.3">
      <c r="C1102" s="35">
        <f t="shared" si="17"/>
        <v>0</v>
      </c>
      <c r="D1102" s="30" t="str">
        <f>IFERROR(VLOOKUP(C1102,소속부서!$A$2:$B$20,2,FALSE), "")</f>
        <v/>
      </c>
    </row>
    <row r="1103" spans="3:4" x14ac:dyDescent="0.3">
      <c r="C1103" s="35">
        <f t="shared" si="17"/>
        <v>0</v>
      </c>
      <c r="D1103" s="30" t="str">
        <f>IFERROR(VLOOKUP(C1103,소속부서!$A$2:$B$20,2,FALSE), "")</f>
        <v/>
      </c>
    </row>
    <row r="1104" spans="3:4" x14ac:dyDescent="0.3">
      <c r="C1104" s="35">
        <f t="shared" si="17"/>
        <v>0</v>
      </c>
      <c r="D1104" s="30" t="str">
        <f>IFERROR(VLOOKUP(C1104,소속부서!$A$2:$B$20,2,FALSE), "")</f>
        <v/>
      </c>
    </row>
    <row r="1105" spans="3:4" x14ac:dyDescent="0.3">
      <c r="C1105" s="35">
        <f t="shared" si="17"/>
        <v>0</v>
      </c>
      <c r="D1105" s="30" t="str">
        <f>IFERROR(VLOOKUP(C1105,소속부서!$A$2:$B$20,2,FALSE), "")</f>
        <v/>
      </c>
    </row>
    <row r="1106" spans="3:4" x14ac:dyDescent="0.3">
      <c r="C1106" s="35">
        <f t="shared" si="17"/>
        <v>0</v>
      </c>
      <c r="D1106" s="30" t="str">
        <f>IFERROR(VLOOKUP(C1106,소속부서!$A$2:$B$20,2,FALSE), "")</f>
        <v/>
      </c>
    </row>
    <row r="1107" spans="3:4" x14ac:dyDescent="0.3">
      <c r="C1107" s="35">
        <f t="shared" si="17"/>
        <v>0</v>
      </c>
      <c r="D1107" s="30" t="str">
        <f>IFERROR(VLOOKUP(C1107,소속부서!$A$2:$B$20,2,FALSE), "")</f>
        <v/>
      </c>
    </row>
    <row r="1108" spans="3:4" x14ac:dyDescent="0.3">
      <c r="C1108" s="35">
        <f t="shared" si="17"/>
        <v>0</v>
      </c>
      <c r="D1108" s="30" t="str">
        <f>IFERROR(VLOOKUP(C1108,소속부서!$A$2:$B$20,2,FALSE), "")</f>
        <v/>
      </c>
    </row>
    <row r="1109" spans="3:4" x14ac:dyDescent="0.3">
      <c r="C1109" s="35">
        <f t="shared" si="17"/>
        <v>0</v>
      </c>
      <c r="D1109" s="30" t="str">
        <f>IFERROR(VLOOKUP(C1109,소속부서!$A$2:$B$20,2,FALSE), "")</f>
        <v/>
      </c>
    </row>
    <row r="1110" spans="3:4" x14ac:dyDescent="0.3">
      <c r="C1110" s="35">
        <f t="shared" si="17"/>
        <v>0</v>
      </c>
      <c r="D1110" s="30" t="str">
        <f>IFERROR(VLOOKUP(C1110,소속부서!$A$2:$B$20,2,FALSE), "")</f>
        <v/>
      </c>
    </row>
    <row r="1111" spans="3:4" x14ac:dyDescent="0.3">
      <c r="C1111" s="35">
        <f t="shared" si="17"/>
        <v>0</v>
      </c>
      <c r="D1111" s="30" t="str">
        <f>IFERROR(VLOOKUP(C1111,소속부서!$A$2:$B$20,2,FALSE), "")</f>
        <v/>
      </c>
    </row>
    <row r="1112" spans="3:4" x14ac:dyDescent="0.3">
      <c r="C1112" s="35">
        <f t="shared" si="17"/>
        <v>0</v>
      </c>
      <c r="D1112" s="30" t="str">
        <f>IFERROR(VLOOKUP(C1112,소속부서!$A$2:$B$20,2,FALSE), "")</f>
        <v/>
      </c>
    </row>
    <row r="1113" spans="3:4" x14ac:dyDescent="0.3">
      <c r="C1113" s="35">
        <f t="shared" si="17"/>
        <v>0</v>
      </c>
      <c r="D1113" s="30" t="str">
        <f>IFERROR(VLOOKUP(C1113,소속부서!$A$2:$B$20,2,FALSE), "")</f>
        <v/>
      </c>
    </row>
    <row r="1114" spans="3:4" x14ac:dyDescent="0.3">
      <c r="C1114" s="35">
        <f t="shared" si="17"/>
        <v>0</v>
      </c>
      <c r="D1114" s="30" t="str">
        <f>IFERROR(VLOOKUP(C1114,소속부서!$A$2:$B$20,2,FALSE), "")</f>
        <v/>
      </c>
    </row>
    <row r="1115" spans="3:4" x14ac:dyDescent="0.3">
      <c r="C1115" s="35">
        <f t="shared" si="17"/>
        <v>0</v>
      </c>
      <c r="D1115" s="30" t="str">
        <f>IFERROR(VLOOKUP(C1115,소속부서!$A$2:$B$20,2,FALSE), "")</f>
        <v/>
      </c>
    </row>
    <row r="1116" spans="3:4" x14ac:dyDescent="0.3">
      <c r="C1116" s="35">
        <f t="shared" si="17"/>
        <v>0</v>
      </c>
      <c r="D1116" s="30" t="str">
        <f>IFERROR(VLOOKUP(C1116,소속부서!$A$2:$B$20,2,FALSE), "")</f>
        <v/>
      </c>
    </row>
    <row r="1117" spans="3:4" x14ac:dyDescent="0.3">
      <c r="C1117" s="35">
        <f t="shared" si="17"/>
        <v>0</v>
      </c>
      <c r="D1117" s="30" t="str">
        <f>IFERROR(VLOOKUP(C1117,소속부서!$A$2:$B$20,2,FALSE), "")</f>
        <v/>
      </c>
    </row>
    <row r="1118" spans="3:4" x14ac:dyDescent="0.3">
      <c r="C1118" s="35">
        <f t="shared" si="17"/>
        <v>0</v>
      </c>
      <c r="D1118" s="30" t="str">
        <f>IFERROR(VLOOKUP(C1118,소속부서!$A$2:$B$20,2,FALSE), "")</f>
        <v/>
      </c>
    </row>
    <row r="1119" spans="3:4" x14ac:dyDescent="0.3">
      <c r="C1119" s="35">
        <f t="shared" si="17"/>
        <v>0</v>
      </c>
      <c r="D1119" s="30" t="str">
        <f>IFERROR(VLOOKUP(C1119,소속부서!$A$2:$B$20,2,FALSE), "")</f>
        <v/>
      </c>
    </row>
    <row r="1120" spans="3:4" x14ac:dyDescent="0.3">
      <c r="C1120" s="35">
        <f t="shared" si="17"/>
        <v>0</v>
      </c>
      <c r="D1120" s="30" t="str">
        <f>IFERROR(VLOOKUP(C1120,소속부서!$A$2:$B$20,2,FALSE), "")</f>
        <v/>
      </c>
    </row>
    <row r="1121" spans="3:4" x14ac:dyDescent="0.3">
      <c r="C1121" s="35">
        <f t="shared" si="17"/>
        <v>0</v>
      </c>
      <c r="D1121" s="30" t="str">
        <f>IFERROR(VLOOKUP(C1121,소속부서!$A$2:$B$20,2,FALSE), "")</f>
        <v/>
      </c>
    </row>
    <row r="1122" spans="3:4" x14ac:dyDescent="0.3">
      <c r="C1122" s="35">
        <f t="shared" si="17"/>
        <v>0</v>
      </c>
      <c r="D1122" s="30" t="str">
        <f>IFERROR(VLOOKUP(C1122,소속부서!$A$2:$B$20,2,FALSE), "")</f>
        <v/>
      </c>
    </row>
    <row r="1123" spans="3:4" x14ac:dyDescent="0.3">
      <c r="C1123" s="35">
        <f t="shared" si="17"/>
        <v>0</v>
      </c>
      <c r="D1123" s="30" t="str">
        <f>IFERROR(VLOOKUP(C1123,소속부서!$A$2:$B$20,2,FALSE), "")</f>
        <v/>
      </c>
    </row>
    <row r="1124" spans="3:4" x14ac:dyDescent="0.3">
      <c r="C1124" s="35">
        <f t="shared" si="17"/>
        <v>0</v>
      </c>
      <c r="D1124" s="30" t="str">
        <f>IFERROR(VLOOKUP(C1124,소속부서!$A$2:$B$20,2,FALSE), "")</f>
        <v/>
      </c>
    </row>
    <row r="1125" spans="3:4" x14ac:dyDescent="0.3">
      <c r="C1125" s="35">
        <f t="shared" si="17"/>
        <v>0</v>
      </c>
      <c r="D1125" s="30" t="str">
        <f>IFERROR(VLOOKUP(C1125,소속부서!$A$2:$B$20,2,FALSE), "")</f>
        <v/>
      </c>
    </row>
    <row r="1126" spans="3:4" x14ac:dyDescent="0.3">
      <c r="C1126" s="35">
        <f t="shared" si="17"/>
        <v>0</v>
      </c>
      <c r="D1126" s="30" t="str">
        <f>IFERROR(VLOOKUP(C1126,소속부서!$A$2:$B$20,2,FALSE), "")</f>
        <v/>
      </c>
    </row>
    <row r="1127" spans="3:4" x14ac:dyDescent="0.3">
      <c r="C1127" s="35">
        <f t="shared" si="17"/>
        <v>0</v>
      </c>
      <c r="D1127" s="30" t="str">
        <f>IFERROR(VLOOKUP(C1127,소속부서!$A$2:$B$20,2,FALSE), "")</f>
        <v/>
      </c>
    </row>
    <row r="1128" spans="3:4" x14ac:dyDescent="0.3">
      <c r="C1128" s="35">
        <f t="shared" si="17"/>
        <v>0</v>
      </c>
      <c r="D1128" s="30" t="str">
        <f>IFERROR(VLOOKUP(C1128,소속부서!$A$2:$B$20,2,FALSE), "")</f>
        <v/>
      </c>
    </row>
    <row r="1129" spans="3:4" x14ac:dyDescent="0.3">
      <c r="C1129" s="35">
        <f t="shared" si="17"/>
        <v>0</v>
      </c>
      <c r="D1129" s="30" t="str">
        <f>IFERROR(VLOOKUP(C1129,소속부서!$A$2:$B$20,2,FALSE), "")</f>
        <v/>
      </c>
    </row>
    <row r="1130" spans="3:4" x14ac:dyDescent="0.3">
      <c r="C1130" s="35">
        <f t="shared" si="17"/>
        <v>0</v>
      </c>
      <c r="D1130" s="30" t="str">
        <f>IFERROR(VLOOKUP(C1130,소속부서!$A$2:$B$20,2,FALSE), "")</f>
        <v/>
      </c>
    </row>
    <row r="1131" spans="3:4" x14ac:dyDescent="0.3">
      <c r="C1131" s="35">
        <f t="shared" si="17"/>
        <v>0</v>
      </c>
      <c r="D1131" s="30" t="str">
        <f>IFERROR(VLOOKUP(C1131,소속부서!$A$2:$B$20,2,FALSE), "")</f>
        <v/>
      </c>
    </row>
    <row r="1132" spans="3:4" x14ac:dyDescent="0.3">
      <c r="C1132" s="35">
        <f t="shared" si="17"/>
        <v>0</v>
      </c>
      <c r="D1132" s="30" t="str">
        <f>IFERROR(VLOOKUP(C1132,소속부서!$A$2:$B$20,2,FALSE), "")</f>
        <v/>
      </c>
    </row>
    <row r="1133" spans="3:4" x14ac:dyDescent="0.3">
      <c r="C1133" s="35">
        <f t="shared" si="17"/>
        <v>0</v>
      </c>
      <c r="D1133" s="30" t="str">
        <f>IFERROR(VLOOKUP(C1133,소속부서!$A$2:$B$20,2,FALSE), "")</f>
        <v/>
      </c>
    </row>
    <row r="1134" spans="3:4" x14ac:dyDescent="0.3">
      <c r="C1134" s="35">
        <f t="shared" si="17"/>
        <v>0</v>
      </c>
      <c r="D1134" s="30" t="str">
        <f>IFERROR(VLOOKUP(C1134,소속부서!$A$2:$B$20,2,FALSE), "")</f>
        <v/>
      </c>
    </row>
    <row r="1135" spans="3:4" x14ac:dyDescent="0.3">
      <c r="C1135" s="35">
        <f t="shared" si="17"/>
        <v>0</v>
      </c>
      <c r="D1135" s="30" t="str">
        <f>IFERROR(VLOOKUP(C1135,소속부서!$A$2:$B$20,2,FALSE), "")</f>
        <v/>
      </c>
    </row>
    <row r="1136" spans="3:4" x14ac:dyDescent="0.3">
      <c r="C1136" s="35">
        <f t="shared" si="17"/>
        <v>0</v>
      </c>
      <c r="D1136" s="30" t="str">
        <f>IFERROR(VLOOKUP(C1136,소속부서!$A$2:$B$20,2,FALSE), "")</f>
        <v/>
      </c>
    </row>
    <row r="1137" spans="3:4" x14ac:dyDescent="0.3">
      <c r="C1137" s="35">
        <f t="shared" si="17"/>
        <v>0</v>
      </c>
      <c r="D1137" s="30" t="str">
        <f>IFERROR(VLOOKUP(C1137,소속부서!$A$2:$B$20,2,FALSE), "")</f>
        <v/>
      </c>
    </row>
    <row r="1138" spans="3:4" x14ac:dyDescent="0.3">
      <c r="C1138" s="35">
        <f t="shared" si="17"/>
        <v>0</v>
      </c>
      <c r="D1138" s="30" t="str">
        <f>IFERROR(VLOOKUP(C1138,소속부서!$A$2:$B$20,2,FALSE), "")</f>
        <v/>
      </c>
    </row>
    <row r="1139" spans="3:4" x14ac:dyDescent="0.3">
      <c r="C1139" s="35">
        <f t="shared" si="17"/>
        <v>0</v>
      </c>
      <c r="D1139" s="30" t="str">
        <f>IFERROR(VLOOKUP(C1139,소속부서!$A$2:$B$20,2,FALSE), "")</f>
        <v/>
      </c>
    </row>
    <row r="1140" spans="3:4" x14ac:dyDescent="0.3">
      <c r="C1140" s="35">
        <f t="shared" si="17"/>
        <v>0</v>
      </c>
      <c r="D1140" s="30" t="str">
        <f>IFERROR(VLOOKUP(C1140,소속부서!$A$2:$B$20,2,FALSE), "")</f>
        <v/>
      </c>
    </row>
    <row r="1141" spans="3:4" x14ac:dyDescent="0.3">
      <c r="C1141" s="35">
        <f t="shared" si="17"/>
        <v>0</v>
      </c>
      <c r="D1141" s="30" t="str">
        <f>IFERROR(VLOOKUP(C1141,소속부서!$A$2:$B$20,2,FALSE), "")</f>
        <v/>
      </c>
    </row>
    <row r="1142" spans="3:4" x14ac:dyDescent="0.3">
      <c r="C1142" s="35">
        <f t="shared" si="17"/>
        <v>0</v>
      </c>
      <c r="D1142" s="30" t="str">
        <f>IFERROR(VLOOKUP(C1142,소속부서!$A$2:$B$20,2,FALSE), "")</f>
        <v/>
      </c>
    </row>
    <row r="1143" spans="3:4" x14ac:dyDescent="0.3">
      <c r="C1143" s="35">
        <f t="shared" si="17"/>
        <v>0</v>
      </c>
      <c r="D1143" s="30" t="str">
        <f>IFERROR(VLOOKUP(C1143,소속부서!$A$2:$B$20,2,FALSE), "")</f>
        <v/>
      </c>
    </row>
    <row r="1144" spans="3:4" x14ac:dyDescent="0.3">
      <c r="C1144" s="35">
        <f t="shared" si="17"/>
        <v>0</v>
      </c>
      <c r="D1144" s="30" t="str">
        <f>IFERROR(VLOOKUP(C1144,소속부서!$A$2:$B$20,2,FALSE), "")</f>
        <v/>
      </c>
    </row>
    <row r="1145" spans="3:4" x14ac:dyDescent="0.3">
      <c r="C1145" s="35">
        <f t="shared" si="17"/>
        <v>0</v>
      </c>
      <c r="D1145" s="30" t="str">
        <f>IFERROR(VLOOKUP(C1145,소속부서!$A$2:$B$20,2,FALSE), "")</f>
        <v/>
      </c>
    </row>
    <row r="1146" spans="3:4" x14ac:dyDescent="0.3">
      <c r="C1146" s="35">
        <f t="shared" si="17"/>
        <v>0</v>
      </c>
      <c r="D1146" s="30" t="str">
        <f>IFERROR(VLOOKUP(C1146,소속부서!$A$2:$B$20,2,FALSE), "")</f>
        <v/>
      </c>
    </row>
    <row r="1147" spans="3:4" x14ac:dyDescent="0.3">
      <c r="C1147" s="35">
        <f t="shared" si="17"/>
        <v>0</v>
      </c>
      <c r="D1147" s="30" t="str">
        <f>IFERROR(VLOOKUP(C1147,소속부서!$A$2:$B$20,2,FALSE), "")</f>
        <v/>
      </c>
    </row>
    <row r="1148" spans="3:4" x14ac:dyDescent="0.3">
      <c r="C1148" s="35">
        <f t="shared" si="17"/>
        <v>0</v>
      </c>
      <c r="D1148" s="30" t="str">
        <f>IFERROR(VLOOKUP(C1148,소속부서!$A$2:$B$20,2,FALSE), "")</f>
        <v/>
      </c>
    </row>
    <row r="1149" spans="3:4" x14ac:dyDescent="0.3">
      <c r="C1149" s="35">
        <f t="shared" si="17"/>
        <v>0</v>
      </c>
      <c r="D1149" s="30" t="str">
        <f>IFERROR(VLOOKUP(C1149,소속부서!$A$2:$B$20,2,FALSE), "")</f>
        <v/>
      </c>
    </row>
    <row r="1150" spans="3:4" x14ac:dyDescent="0.3">
      <c r="C1150" s="35">
        <f t="shared" si="17"/>
        <v>0</v>
      </c>
      <c r="D1150" s="30" t="str">
        <f>IFERROR(VLOOKUP(C1150,소속부서!$A$2:$B$20,2,FALSE), "")</f>
        <v/>
      </c>
    </row>
    <row r="1151" spans="3:4" x14ac:dyDescent="0.3">
      <c r="C1151" s="35">
        <f t="shared" si="17"/>
        <v>0</v>
      </c>
      <c r="D1151" s="30" t="str">
        <f>IFERROR(VLOOKUP(C1151,소속부서!$A$2:$B$20,2,FALSE), "")</f>
        <v/>
      </c>
    </row>
    <row r="1152" spans="3:4" x14ac:dyDescent="0.3">
      <c r="C1152" s="35">
        <f t="shared" si="17"/>
        <v>0</v>
      </c>
      <c r="D1152" s="30" t="str">
        <f>IFERROR(VLOOKUP(C1152,소속부서!$A$2:$B$20,2,FALSE), "")</f>
        <v/>
      </c>
    </row>
    <row r="1153" spans="3:4" x14ac:dyDescent="0.3">
      <c r="C1153" s="35">
        <f t="shared" ref="C1153:C1216" si="18">E1153</f>
        <v>0</v>
      </c>
      <c r="D1153" s="30" t="str">
        <f>IFERROR(VLOOKUP(C1153,소속부서!$A$2:$B$20,2,FALSE), "")</f>
        <v/>
      </c>
    </row>
    <row r="1154" spans="3:4" x14ac:dyDescent="0.3">
      <c r="C1154" s="35">
        <f t="shared" si="18"/>
        <v>0</v>
      </c>
      <c r="D1154" s="30" t="str">
        <f>IFERROR(VLOOKUP(C1154,소속부서!$A$2:$B$20,2,FALSE), "")</f>
        <v/>
      </c>
    </row>
    <row r="1155" spans="3:4" x14ac:dyDescent="0.3">
      <c r="C1155" s="35">
        <f t="shared" si="18"/>
        <v>0</v>
      </c>
      <c r="D1155" s="30" t="str">
        <f>IFERROR(VLOOKUP(C1155,소속부서!$A$2:$B$20,2,FALSE), "")</f>
        <v/>
      </c>
    </row>
    <row r="1156" spans="3:4" x14ac:dyDescent="0.3">
      <c r="C1156" s="35">
        <f t="shared" si="18"/>
        <v>0</v>
      </c>
      <c r="D1156" s="30" t="str">
        <f>IFERROR(VLOOKUP(C1156,소속부서!$A$2:$B$20,2,FALSE), "")</f>
        <v/>
      </c>
    </row>
    <row r="1157" spans="3:4" x14ac:dyDescent="0.3">
      <c r="C1157" s="35">
        <f t="shared" si="18"/>
        <v>0</v>
      </c>
      <c r="D1157" s="30" t="str">
        <f>IFERROR(VLOOKUP(C1157,소속부서!$A$2:$B$20,2,FALSE), "")</f>
        <v/>
      </c>
    </row>
    <row r="1158" spans="3:4" x14ac:dyDescent="0.3">
      <c r="C1158" s="35">
        <f t="shared" si="18"/>
        <v>0</v>
      </c>
      <c r="D1158" s="30" t="str">
        <f>IFERROR(VLOOKUP(C1158,소속부서!$A$2:$B$20,2,FALSE), "")</f>
        <v/>
      </c>
    </row>
    <row r="1159" spans="3:4" x14ac:dyDescent="0.3">
      <c r="C1159" s="35">
        <f t="shared" si="18"/>
        <v>0</v>
      </c>
      <c r="D1159" s="30" t="str">
        <f>IFERROR(VLOOKUP(C1159,소속부서!$A$2:$B$20,2,FALSE), "")</f>
        <v/>
      </c>
    </row>
    <row r="1160" spans="3:4" x14ac:dyDescent="0.3">
      <c r="C1160" s="35">
        <f t="shared" si="18"/>
        <v>0</v>
      </c>
      <c r="D1160" s="30" t="str">
        <f>IFERROR(VLOOKUP(C1160,소속부서!$A$2:$B$20,2,FALSE), "")</f>
        <v/>
      </c>
    </row>
    <row r="1161" spans="3:4" x14ac:dyDescent="0.3">
      <c r="C1161" s="35">
        <f t="shared" si="18"/>
        <v>0</v>
      </c>
      <c r="D1161" s="30" t="str">
        <f>IFERROR(VLOOKUP(C1161,소속부서!$A$2:$B$20,2,FALSE), "")</f>
        <v/>
      </c>
    </row>
    <row r="1162" spans="3:4" x14ac:dyDescent="0.3">
      <c r="C1162" s="35">
        <f t="shared" si="18"/>
        <v>0</v>
      </c>
      <c r="D1162" s="30" t="str">
        <f>IFERROR(VLOOKUP(C1162,소속부서!$A$2:$B$20,2,FALSE), "")</f>
        <v/>
      </c>
    </row>
    <row r="1163" spans="3:4" x14ac:dyDescent="0.3">
      <c r="C1163" s="35">
        <f t="shared" si="18"/>
        <v>0</v>
      </c>
      <c r="D1163" s="30" t="str">
        <f>IFERROR(VLOOKUP(C1163,소속부서!$A$2:$B$20,2,FALSE), "")</f>
        <v/>
      </c>
    </row>
    <row r="1164" spans="3:4" x14ac:dyDescent="0.3">
      <c r="C1164" s="35">
        <f t="shared" si="18"/>
        <v>0</v>
      </c>
      <c r="D1164" s="30" t="str">
        <f>IFERROR(VLOOKUP(C1164,소속부서!$A$2:$B$20,2,FALSE), "")</f>
        <v/>
      </c>
    </row>
    <row r="1165" spans="3:4" x14ac:dyDescent="0.3">
      <c r="C1165" s="35">
        <f t="shared" si="18"/>
        <v>0</v>
      </c>
      <c r="D1165" s="30" t="str">
        <f>IFERROR(VLOOKUP(C1165,소속부서!$A$2:$B$20,2,FALSE), "")</f>
        <v/>
      </c>
    </row>
    <row r="1166" spans="3:4" x14ac:dyDescent="0.3">
      <c r="C1166" s="35">
        <f t="shared" si="18"/>
        <v>0</v>
      </c>
      <c r="D1166" s="30" t="str">
        <f>IFERROR(VLOOKUP(C1166,소속부서!$A$2:$B$20,2,FALSE), "")</f>
        <v/>
      </c>
    </row>
    <row r="1167" spans="3:4" x14ac:dyDescent="0.3">
      <c r="C1167" s="35">
        <f t="shared" si="18"/>
        <v>0</v>
      </c>
      <c r="D1167" s="30" t="str">
        <f>IFERROR(VLOOKUP(C1167,소속부서!$A$2:$B$20,2,FALSE), "")</f>
        <v/>
      </c>
    </row>
    <row r="1168" spans="3:4" x14ac:dyDescent="0.3">
      <c r="C1168" s="35">
        <f t="shared" si="18"/>
        <v>0</v>
      </c>
      <c r="D1168" s="30" t="str">
        <f>IFERROR(VLOOKUP(C1168,소속부서!$A$2:$B$20,2,FALSE), "")</f>
        <v/>
      </c>
    </row>
    <row r="1169" spans="3:4" x14ac:dyDescent="0.3">
      <c r="C1169" s="35">
        <f t="shared" si="18"/>
        <v>0</v>
      </c>
      <c r="D1169" s="30" t="str">
        <f>IFERROR(VLOOKUP(C1169,소속부서!$A$2:$B$20,2,FALSE), "")</f>
        <v/>
      </c>
    </row>
    <row r="1170" spans="3:4" x14ac:dyDescent="0.3">
      <c r="C1170" s="35">
        <f t="shared" si="18"/>
        <v>0</v>
      </c>
      <c r="D1170" s="30" t="str">
        <f>IFERROR(VLOOKUP(C1170,소속부서!$A$2:$B$20,2,FALSE), "")</f>
        <v/>
      </c>
    </row>
    <row r="1171" spans="3:4" x14ac:dyDescent="0.3">
      <c r="C1171" s="35">
        <f t="shared" si="18"/>
        <v>0</v>
      </c>
      <c r="D1171" s="30" t="str">
        <f>IFERROR(VLOOKUP(C1171,소속부서!$A$2:$B$20,2,FALSE), "")</f>
        <v/>
      </c>
    </row>
    <row r="1172" spans="3:4" x14ac:dyDescent="0.3">
      <c r="C1172" s="35">
        <f t="shared" si="18"/>
        <v>0</v>
      </c>
      <c r="D1172" s="30" t="str">
        <f>IFERROR(VLOOKUP(C1172,소속부서!$A$2:$B$20,2,FALSE), "")</f>
        <v/>
      </c>
    </row>
    <row r="1173" spans="3:4" x14ac:dyDescent="0.3">
      <c r="C1173" s="35">
        <f t="shared" si="18"/>
        <v>0</v>
      </c>
      <c r="D1173" s="30" t="str">
        <f>IFERROR(VLOOKUP(C1173,소속부서!$A$2:$B$20,2,FALSE), "")</f>
        <v/>
      </c>
    </row>
    <row r="1174" spans="3:4" x14ac:dyDescent="0.3">
      <c r="C1174" s="35">
        <f t="shared" si="18"/>
        <v>0</v>
      </c>
      <c r="D1174" s="30" t="str">
        <f>IFERROR(VLOOKUP(C1174,소속부서!$A$2:$B$20,2,FALSE), "")</f>
        <v/>
      </c>
    </row>
    <row r="1175" spans="3:4" x14ac:dyDescent="0.3">
      <c r="C1175" s="35">
        <f t="shared" si="18"/>
        <v>0</v>
      </c>
      <c r="D1175" s="30" t="str">
        <f>IFERROR(VLOOKUP(C1175,소속부서!$A$2:$B$20,2,FALSE), "")</f>
        <v/>
      </c>
    </row>
    <row r="1176" spans="3:4" x14ac:dyDescent="0.3">
      <c r="C1176" s="35">
        <f t="shared" si="18"/>
        <v>0</v>
      </c>
      <c r="D1176" s="30" t="str">
        <f>IFERROR(VLOOKUP(C1176,소속부서!$A$2:$B$20,2,FALSE), "")</f>
        <v/>
      </c>
    </row>
    <row r="1177" spans="3:4" x14ac:dyDescent="0.3">
      <c r="C1177" s="35">
        <f t="shared" si="18"/>
        <v>0</v>
      </c>
      <c r="D1177" s="30" t="str">
        <f>IFERROR(VLOOKUP(C1177,소속부서!$A$2:$B$20,2,FALSE), "")</f>
        <v/>
      </c>
    </row>
    <row r="1178" spans="3:4" x14ac:dyDescent="0.3">
      <c r="C1178" s="35">
        <f t="shared" si="18"/>
        <v>0</v>
      </c>
      <c r="D1178" s="30" t="str">
        <f>IFERROR(VLOOKUP(C1178,소속부서!$A$2:$B$20,2,FALSE), "")</f>
        <v/>
      </c>
    </row>
    <row r="1179" spans="3:4" x14ac:dyDescent="0.3">
      <c r="C1179" s="35">
        <f t="shared" si="18"/>
        <v>0</v>
      </c>
      <c r="D1179" s="30" t="str">
        <f>IFERROR(VLOOKUP(C1179,소속부서!$A$2:$B$20,2,FALSE), "")</f>
        <v/>
      </c>
    </row>
    <row r="1180" spans="3:4" x14ac:dyDescent="0.3">
      <c r="C1180" s="35">
        <f t="shared" si="18"/>
        <v>0</v>
      </c>
      <c r="D1180" s="30" t="str">
        <f>IFERROR(VLOOKUP(C1180,소속부서!$A$2:$B$20,2,FALSE), "")</f>
        <v/>
      </c>
    </row>
    <row r="1181" spans="3:4" x14ac:dyDescent="0.3">
      <c r="C1181" s="35">
        <f t="shared" si="18"/>
        <v>0</v>
      </c>
      <c r="D1181" s="30" t="str">
        <f>IFERROR(VLOOKUP(C1181,소속부서!$A$2:$B$20,2,FALSE), "")</f>
        <v/>
      </c>
    </row>
    <row r="1182" spans="3:4" x14ac:dyDescent="0.3">
      <c r="C1182" s="35">
        <f t="shared" si="18"/>
        <v>0</v>
      </c>
      <c r="D1182" s="30" t="str">
        <f>IFERROR(VLOOKUP(C1182,소속부서!$A$2:$B$20,2,FALSE), "")</f>
        <v/>
      </c>
    </row>
    <row r="1183" spans="3:4" x14ac:dyDescent="0.3">
      <c r="C1183" s="35">
        <f t="shared" si="18"/>
        <v>0</v>
      </c>
      <c r="D1183" s="30" t="str">
        <f>IFERROR(VLOOKUP(C1183,소속부서!$A$2:$B$20,2,FALSE), "")</f>
        <v/>
      </c>
    </row>
    <row r="1184" spans="3:4" x14ac:dyDescent="0.3">
      <c r="C1184" s="35">
        <f t="shared" si="18"/>
        <v>0</v>
      </c>
      <c r="D1184" s="30" t="str">
        <f>IFERROR(VLOOKUP(C1184,소속부서!$A$2:$B$20,2,FALSE), "")</f>
        <v/>
      </c>
    </row>
    <row r="1185" spans="3:4" x14ac:dyDescent="0.3">
      <c r="C1185" s="35">
        <f t="shared" si="18"/>
        <v>0</v>
      </c>
      <c r="D1185" s="30" t="str">
        <f>IFERROR(VLOOKUP(C1185,소속부서!$A$2:$B$20,2,FALSE), "")</f>
        <v/>
      </c>
    </row>
    <row r="1186" spans="3:4" x14ac:dyDescent="0.3">
      <c r="C1186" s="35">
        <f t="shared" si="18"/>
        <v>0</v>
      </c>
      <c r="D1186" s="30" t="str">
        <f>IFERROR(VLOOKUP(C1186,소속부서!$A$2:$B$20,2,FALSE), "")</f>
        <v/>
      </c>
    </row>
    <row r="1187" spans="3:4" x14ac:dyDescent="0.3">
      <c r="C1187" s="35">
        <f t="shared" si="18"/>
        <v>0</v>
      </c>
      <c r="D1187" s="30" t="str">
        <f>IFERROR(VLOOKUP(C1187,소속부서!$A$2:$B$20,2,FALSE), "")</f>
        <v/>
      </c>
    </row>
    <row r="1188" spans="3:4" x14ac:dyDescent="0.3">
      <c r="C1188" s="35">
        <f t="shared" si="18"/>
        <v>0</v>
      </c>
      <c r="D1188" s="30" t="str">
        <f>IFERROR(VLOOKUP(C1188,소속부서!$A$2:$B$20,2,FALSE), "")</f>
        <v/>
      </c>
    </row>
    <row r="1189" spans="3:4" x14ac:dyDescent="0.3">
      <c r="C1189" s="35">
        <f t="shared" si="18"/>
        <v>0</v>
      </c>
      <c r="D1189" s="30" t="str">
        <f>IFERROR(VLOOKUP(C1189,소속부서!$A$2:$B$20,2,FALSE), "")</f>
        <v/>
      </c>
    </row>
    <row r="1190" spans="3:4" x14ac:dyDescent="0.3">
      <c r="C1190" s="35">
        <f t="shared" si="18"/>
        <v>0</v>
      </c>
      <c r="D1190" s="30" t="str">
        <f>IFERROR(VLOOKUP(C1190,소속부서!$A$2:$B$20,2,FALSE), "")</f>
        <v/>
      </c>
    </row>
    <row r="1191" spans="3:4" x14ac:dyDescent="0.3">
      <c r="C1191" s="35">
        <f t="shared" si="18"/>
        <v>0</v>
      </c>
      <c r="D1191" s="30" t="str">
        <f>IFERROR(VLOOKUP(C1191,소속부서!$A$2:$B$20,2,FALSE), "")</f>
        <v/>
      </c>
    </row>
    <row r="1192" spans="3:4" x14ac:dyDescent="0.3">
      <c r="C1192" s="35">
        <f t="shared" si="18"/>
        <v>0</v>
      </c>
      <c r="D1192" s="30" t="str">
        <f>IFERROR(VLOOKUP(C1192,소속부서!$A$2:$B$20,2,FALSE), "")</f>
        <v/>
      </c>
    </row>
    <row r="1193" spans="3:4" x14ac:dyDescent="0.3">
      <c r="C1193" s="35">
        <f t="shared" si="18"/>
        <v>0</v>
      </c>
      <c r="D1193" s="30" t="str">
        <f>IFERROR(VLOOKUP(C1193,소속부서!$A$2:$B$20,2,FALSE), "")</f>
        <v/>
      </c>
    </row>
    <row r="1194" spans="3:4" x14ac:dyDescent="0.3">
      <c r="C1194" s="35">
        <f t="shared" si="18"/>
        <v>0</v>
      </c>
      <c r="D1194" s="30" t="str">
        <f>IFERROR(VLOOKUP(C1194,소속부서!$A$2:$B$20,2,FALSE), "")</f>
        <v/>
      </c>
    </row>
    <row r="1195" spans="3:4" x14ac:dyDescent="0.3">
      <c r="C1195" s="35">
        <f t="shared" si="18"/>
        <v>0</v>
      </c>
      <c r="D1195" s="30" t="str">
        <f>IFERROR(VLOOKUP(C1195,소속부서!$A$2:$B$20,2,FALSE), "")</f>
        <v/>
      </c>
    </row>
    <row r="1196" spans="3:4" x14ac:dyDescent="0.3">
      <c r="C1196" s="35">
        <f t="shared" si="18"/>
        <v>0</v>
      </c>
      <c r="D1196" s="30" t="str">
        <f>IFERROR(VLOOKUP(C1196,소속부서!$A$2:$B$20,2,FALSE), "")</f>
        <v/>
      </c>
    </row>
    <row r="1197" spans="3:4" x14ac:dyDescent="0.3">
      <c r="C1197" s="35">
        <f t="shared" si="18"/>
        <v>0</v>
      </c>
      <c r="D1197" s="30" t="str">
        <f>IFERROR(VLOOKUP(C1197,소속부서!$A$2:$B$20,2,FALSE), "")</f>
        <v/>
      </c>
    </row>
    <row r="1198" spans="3:4" x14ac:dyDescent="0.3">
      <c r="C1198" s="35">
        <f t="shared" si="18"/>
        <v>0</v>
      </c>
      <c r="D1198" s="30" t="str">
        <f>IFERROR(VLOOKUP(C1198,소속부서!$A$2:$B$20,2,FALSE), "")</f>
        <v/>
      </c>
    </row>
    <row r="1199" spans="3:4" x14ac:dyDescent="0.3">
      <c r="C1199" s="35">
        <f t="shared" si="18"/>
        <v>0</v>
      </c>
      <c r="D1199" s="30" t="str">
        <f>IFERROR(VLOOKUP(C1199,소속부서!$A$2:$B$20,2,FALSE), "")</f>
        <v/>
      </c>
    </row>
    <row r="1200" spans="3:4" x14ac:dyDescent="0.3">
      <c r="C1200" s="35">
        <f t="shared" si="18"/>
        <v>0</v>
      </c>
      <c r="D1200" s="30" t="str">
        <f>IFERROR(VLOOKUP(C1200,소속부서!$A$2:$B$20,2,FALSE), "")</f>
        <v/>
      </c>
    </row>
    <row r="1201" spans="3:4" x14ac:dyDescent="0.3">
      <c r="C1201" s="35">
        <f t="shared" si="18"/>
        <v>0</v>
      </c>
      <c r="D1201" s="30" t="str">
        <f>IFERROR(VLOOKUP(C1201,소속부서!$A$2:$B$20,2,FALSE), "")</f>
        <v/>
      </c>
    </row>
    <row r="1202" spans="3:4" x14ac:dyDescent="0.3">
      <c r="C1202" s="35">
        <f t="shared" si="18"/>
        <v>0</v>
      </c>
      <c r="D1202" s="30" t="str">
        <f>IFERROR(VLOOKUP(C1202,소속부서!$A$2:$B$20,2,FALSE), "")</f>
        <v/>
      </c>
    </row>
    <row r="1203" spans="3:4" x14ac:dyDescent="0.3">
      <c r="C1203" s="35">
        <f t="shared" si="18"/>
        <v>0</v>
      </c>
      <c r="D1203" s="30" t="str">
        <f>IFERROR(VLOOKUP(C1203,소속부서!$A$2:$B$20,2,FALSE), "")</f>
        <v/>
      </c>
    </row>
    <row r="1204" spans="3:4" x14ac:dyDescent="0.3">
      <c r="C1204" s="35">
        <f t="shared" si="18"/>
        <v>0</v>
      </c>
      <c r="D1204" s="30" t="str">
        <f>IFERROR(VLOOKUP(C1204,소속부서!$A$2:$B$20,2,FALSE), "")</f>
        <v/>
      </c>
    </row>
    <row r="1205" spans="3:4" x14ac:dyDescent="0.3">
      <c r="C1205" s="35">
        <f t="shared" si="18"/>
        <v>0</v>
      </c>
      <c r="D1205" s="30" t="str">
        <f>IFERROR(VLOOKUP(C1205,소속부서!$A$2:$B$20,2,FALSE), "")</f>
        <v/>
      </c>
    </row>
    <row r="1206" spans="3:4" x14ac:dyDescent="0.3">
      <c r="C1206" s="35">
        <f t="shared" si="18"/>
        <v>0</v>
      </c>
      <c r="D1206" s="30" t="str">
        <f>IFERROR(VLOOKUP(C1206,소속부서!$A$2:$B$20,2,FALSE), "")</f>
        <v/>
      </c>
    </row>
    <row r="1207" spans="3:4" x14ac:dyDescent="0.3">
      <c r="C1207" s="35">
        <f t="shared" si="18"/>
        <v>0</v>
      </c>
      <c r="D1207" s="30" t="str">
        <f>IFERROR(VLOOKUP(C1207,소속부서!$A$2:$B$20,2,FALSE), "")</f>
        <v/>
      </c>
    </row>
    <row r="1208" spans="3:4" x14ac:dyDescent="0.3">
      <c r="C1208" s="35">
        <f t="shared" si="18"/>
        <v>0</v>
      </c>
      <c r="D1208" s="30" t="str">
        <f>IFERROR(VLOOKUP(C1208,소속부서!$A$2:$B$20,2,FALSE), "")</f>
        <v/>
      </c>
    </row>
    <row r="1209" spans="3:4" x14ac:dyDescent="0.3">
      <c r="C1209" s="35">
        <f t="shared" si="18"/>
        <v>0</v>
      </c>
      <c r="D1209" s="30" t="str">
        <f>IFERROR(VLOOKUP(C1209,소속부서!$A$2:$B$20,2,FALSE), "")</f>
        <v/>
      </c>
    </row>
    <row r="1210" spans="3:4" x14ac:dyDescent="0.3">
      <c r="C1210" s="35">
        <f t="shared" si="18"/>
        <v>0</v>
      </c>
      <c r="D1210" s="30" t="str">
        <f>IFERROR(VLOOKUP(C1210,소속부서!$A$2:$B$20,2,FALSE), "")</f>
        <v/>
      </c>
    </row>
    <row r="1211" spans="3:4" x14ac:dyDescent="0.3">
      <c r="C1211" s="35">
        <f t="shared" si="18"/>
        <v>0</v>
      </c>
      <c r="D1211" s="30" t="str">
        <f>IFERROR(VLOOKUP(C1211,소속부서!$A$2:$B$20,2,FALSE), "")</f>
        <v/>
      </c>
    </row>
    <row r="1212" spans="3:4" x14ac:dyDescent="0.3">
      <c r="C1212" s="35">
        <f t="shared" si="18"/>
        <v>0</v>
      </c>
      <c r="D1212" s="30" t="str">
        <f>IFERROR(VLOOKUP(C1212,소속부서!$A$2:$B$20,2,FALSE), "")</f>
        <v/>
      </c>
    </row>
    <row r="1213" spans="3:4" x14ac:dyDescent="0.3">
      <c r="C1213" s="35">
        <f t="shared" si="18"/>
        <v>0</v>
      </c>
      <c r="D1213" s="30" t="str">
        <f>IFERROR(VLOOKUP(C1213,소속부서!$A$2:$B$20,2,FALSE), "")</f>
        <v/>
      </c>
    </row>
    <row r="1214" spans="3:4" x14ac:dyDescent="0.3">
      <c r="C1214" s="35">
        <f t="shared" si="18"/>
        <v>0</v>
      </c>
      <c r="D1214" s="30" t="str">
        <f>IFERROR(VLOOKUP(C1214,소속부서!$A$2:$B$20,2,FALSE), "")</f>
        <v/>
      </c>
    </row>
    <row r="1215" spans="3:4" x14ac:dyDescent="0.3">
      <c r="C1215" s="35">
        <f t="shared" si="18"/>
        <v>0</v>
      </c>
      <c r="D1215" s="30" t="str">
        <f>IFERROR(VLOOKUP(C1215,소속부서!$A$2:$B$20,2,FALSE), "")</f>
        <v/>
      </c>
    </row>
    <row r="1216" spans="3:4" x14ac:dyDescent="0.3">
      <c r="C1216" s="35">
        <f t="shared" si="18"/>
        <v>0</v>
      </c>
      <c r="D1216" s="30" t="str">
        <f>IFERROR(VLOOKUP(C1216,소속부서!$A$2:$B$20,2,FALSE), "")</f>
        <v/>
      </c>
    </row>
    <row r="1217" spans="3:4" x14ac:dyDescent="0.3">
      <c r="C1217" s="35">
        <f t="shared" ref="C1217:C1280" si="19">E1217</f>
        <v>0</v>
      </c>
      <c r="D1217" s="30" t="str">
        <f>IFERROR(VLOOKUP(C1217,소속부서!$A$2:$B$20,2,FALSE), "")</f>
        <v/>
      </c>
    </row>
    <row r="1218" spans="3:4" x14ac:dyDescent="0.3">
      <c r="C1218" s="35">
        <f t="shared" si="19"/>
        <v>0</v>
      </c>
      <c r="D1218" s="30" t="str">
        <f>IFERROR(VLOOKUP(C1218,소속부서!$A$2:$B$20,2,FALSE), "")</f>
        <v/>
      </c>
    </row>
    <row r="1219" spans="3:4" x14ac:dyDescent="0.3">
      <c r="C1219" s="35">
        <f t="shared" si="19"/>
        <v>0</v>
      </c>
      <c r="D1219" s="30" t="str">
        <f>IFERROR(VLOOKUP(C1219,소속부서!$A$2:$B$20,2,FALSE), "")</f>
        <v/>
      </c>
    </row>
    <row r="1220" spans="3:4" x14ac:dyDescent="0.3">
      <c r="C1220" s="35">
        <f t="shared" si="19"/>
        <v>0</v>
      </c>
      <c r="D1220" s="30" t="str">
        <f>IFERROR(VLOOKUP(C1220,소속부서!$A$2:$B$20,2,FALSE), "")</f>
        <v/>
      </c>
    </row>
    <row r="1221" spans="3:4" x14ac:dyDescent="0.3">
      <c r="C1221" s="35">
        <f t="shared" si="19"/>
        <v>0</v>
      </c>
      <c r="D1221" s="30" t="str">
        <f>IFERROR(VLOOKUP(C1221,소속부서!$A$2:$B$20,2,FALSE), "")</f>
        <v/>
      </c>
    </row>
    <row r="1222" spans="3:4" x14ac:dyDescent="0.3">
      <c r="C1222" s="35">
        <f t="shared" si="19"/>
        <v>0</v>
      </c>
      <c r="D1222" s="30" t="str">
        <f>IFERROR(VLOOKUP(C1222,소속부서!$A$2:$B$20,2,FALSE), "")</f>
        <v/>
      </c>
    </row>
    <row r="1223" spans="3:4" x14ac:dyDescent="0.3">
      <c r="C1223" s="35">
        <f t="shared" si="19"/>
        <v>0</v>
      </c>
      <c r="D1223" s="30" t="str">
        <f>IFERROR(VLOOKUP(C1223,소속부서!$A$2:$B$20,2,FALSE), "")</f>
        <v/>
      </c>
    </row>
    <row r="1224" spans="3:4" x14ac:dyDescent="0.3">
      <c r="C1224" s="35">
        <f t="shared" si="19"/>
        <v>0</v>
      </c>
      <c r="D1224" s="30" t="str">
        <f>IFERROR(VLOOKUP(C1224,소속부서!$A$2:$B$20,2,FALSE), "")</f>
        <v/>
      </c>
    </row>
    <row r="1225" spans="3:4" x14ac:dyDescent="0.3">
      <c r="C1225" s="35">
        <f t="shared" si="19"/>
        <v>0</v>
      </c>
      <c r="D1225" s="30" t="str">
        <f>IFERROR(VLOOKUP(C1225,소속부서!$A$2:$B$20,2,FALSE), "")</f>
        <v/>
      </c>
    </row>
    <row r="1226" spans="3:4" x14ac:dyDescent="0.3">
      <c r="C1226" s="35">
        <f t="shared" si="19"/>
        <v>0</v>
      </c>
      <c r="D1226" s="30" t="str">
        <f>IFERROR(VLOOKUP(C1226,소속부서!$A$2:$B$20,2,FALSE), "")</f>
        <v/>
      </c>
    </row>
    <row r="1227" spans="3:4" x14ac:dyDescent="0.3">
      <c r="C1227" s="35">
        <f t="shared" si="19"/>
        <v>0</v>
      </c>
      <c r="D1227" s="30" t="str">
        <f>IFERROR(VLOOKUP(C1227,소속부서!$A$2:$B$20,2,FALSE), "")</f>
        <v/>
      </c>
    </row>
    <row r="1228" spans="3:4" x14ac:dyDescent="0.3">
      <c r="C1228" s="35">
        <f t="shared" si="19"/>
        <v>0</v>
      </c>
      <c r="D1228" s="30" t="str">
        <f>IFERROR(VLOOKUP(C1228,소속부서!$A$2:$B$20,2,FALSE), "")</f>
        <v/>
      </c>
    </row>
    <row r="1229" spans="3:4" x14ac:dyDescent="0.3">
      <c r="C1229" s="35">
        <f t="shared" si="19"/>
        <v>0</v>
      </c>
      <c r="D1229" s="30" t="str">
        <f>IFERROR(VLOOKUP(C1229,소속부서!$A$2:$B$20,2,FALSE), "")</f>
        <v/>
      </c>
    </row>
    <row r="1230" spans="3:4" x14ac:dyDescent="0.3">
      <c r="C1230" s="35">
        <f t="shared" si="19"/>
        <v>0</v>
      </c>
      <c r="D1230" s="30" t="str">
        <f>IFERROR(VLOOKUP(C1230,소속부서!$A$2:$B$20,2,FALSE), "")</f>
        <v/>
      </c>
    </row>
    <row r="1231" spans="3:4" x14ac:dyDescent="0.3">
      <c r="C1231" s="35">
        <f t="shared" si="19"/>
        <v>0</v>
      </c>
      <c r="D1231" s="30" t="str">
        <f>IFERROR(VLOOKUP(C1231,소속부서!$A$2:$B$20,2,FALSE), "")</f>
        <v/>
      </c>
    </row>
    <row r="1232" spans="3:4" x14ac:dyDescent="0.3">
      <c r="C1232" s="35">
        <f t="shared" si="19"/>
        <v>0</v>
      </c>
      <c r="D1232" s="30" t="str">
        <f>IFERROR(VLOOKUP(C1232,소속부서!$A$2:$B$20,2,FALSE), "")</f>
        <v/>
      </c>
    </row>
    <row r="1233" spans="3:4" x14ac:dyDescent="0.3">
      <c r="C1233" s="35">
        <f t="shared" si="19"/>
        <v>0</v>
      </c>
      <c r="D1233" s="30" t="str">
        <f>IFERROR(VLOOKUP(C1233,소속부서!$A$2:$B$20,2,FALSE), "")</f>
        <v/>
      </c>
    </row>
    <row r="1234" spans="3:4" x14ac:dyDescent="0.3">
      <c r="C1234" s="35">
        <f t="shared" si="19"/>
        <v>0</v>
      </c>
      <c r="D1234" s="30" t="str">
        <f>IFERROR(VLOOKUP(C1234,소속부서!$A$2:$B$20,2,FALSE), "")</f>
        <v/>
      </c>
    </row>
    <row r="1235" spans="3:4" x14ac:dyDescent="0.3">
      <c r="C1235" s="35">
        <f t="shared" si="19"/>
        <v>0</v>
      </c>
      <c r="D1235" s="30" t="str">
        <f>IFERROR(VLOOKUP(C1235,소속부서!$A$2:$B$20,2,FALSE), "")</f>
        <v/>
      </c>
    </row>
    <row r="1236" spans="3:4" x14ac:dyDescent="0.3">
      <c r="C1236" s="35">
        <f t="shared" si="19"/>
        <v>0</v>
      </c>
      <c r="D1236" s="30" t="str">
        <f>IFERROR(VLOOKUP(C1236,소속부서!$A$2:$B$20,2,FALSE), "")</f>
        <v/>
      </c>
    </row>
    <row r="1237" spans="3:4" x14ac:dyDescent="0.3">
      <c r="C1237" s="35">
        <f t="shared" si="19"/>
        <v>0</v>
      </c>
      <c r="D1237" s="30" t="str">
        <f>IFERROR(VLOOKUP(C1237,소속부서!$A$2:$B$20,2,FALSE), "")</f>
        <v/>
      </c>
    </row>
    <row r="1238" spans="3:4" x14ac:dyDescent="0.3">
      <c r="C1238" s="35">
        <f t="shared" si="19"/>
        <v>0</v>
      </c>
      <c r="D1238" s="30" t="str">
        <f>IFERROR(VLOOKUP(C1238,소속부서!$A$2:$B$20,2,FALSE), "")</f>
        <v/>
      </c>
    </row>
    <row r="1239" spans="3:4" x14ac:dyDescent="0.3">
      <c r="C1239" s="35">
        <f t="shared" si="19"/>
        <v>0</v>
      </c>
      <c r="D1239" s="30" t="str">
        <f>IFERROR(VLOOKUP(C1239,소속부서!$A$2:$B$20,2,FALSE), "")</f>
        <v/>
      </c>
    </row>
    <row r="1240" spans="3:4" x14ac:dyDescent="0.3">
      <c r="C1240" s="35">
        <f t="shared" si="19"/>
        <v>0</v>
      </c>
      <c r="D1240" s="30" t="str">
        <f>IFERROR(VLOOKUP(C1240,소속부서!$A$2:$B$20,2,FALSE), "")</f>
        <v/>
      </c>
    </row>
    <row r="1241" spans="3:4" x14ac:dyDescent="0.3">
      <c r="C1241" s="35">
        <f t="shared" si="19"/>
        <v>0</v>
      </c>
      <c r="D1241" s="30" t="str">
        <f>IFERROR(VLOOKUP(C1241,소속부서!$A$2:$B$20,2,FALSE), "")</f>
        <v/>
      </c>
    </row>
    <row r="1242" spans="3:4" x14ac:dyDescent="0.3">
      <c r="C1242" s="35">
        <f t="shared" si="19"/>
        <v>0</v>
      </c>
      <c r="D1242" s="30" t="str">
        <f>IFERROR(VLOOKUP(C1242,소속부서!$A$2:$B$20,2,FALSE), "")</f>
        <v/>
      </c>
    </row>
    <row r="1243" spans="3:4" x14ac:dyDescent="0.3">
      <c r="C1243" s="35">
        <f t="shared" si="19"/>
        <v>0</v>
      </c>
      <c r="D1243" s="30" t="str">
        <f>IFERROR(VLOOKUP(C1243,소속부서!$A$2:$B$20,2,FALSE), "")</f>
        <v/>
      </c>
    </row>
    <row r="1244" spans="3:4" x14ac:dyDescent="0.3">
      <c r="C1244" s="35">
        <f t="shared" si="19"/>
        <v>0</v>
      </c>
      <c r="D1244" s="30" t="str">
        <f>IFERROR(VLOOKUP(C1244,소속부서!$A$2:$B$20,2,FALSE), "")</f>
        <v/>
      </c>
    </row>
    <row r="1245" spans="3:4" x14ac:dyDescent="0.3">
      <c r="C1245" s="35">
        <f t="shared" si="19"/>
        <v>0</v>
      </c>
      <c r="D1245" s="30" t="str">
        <f>IFERROR(VLOOKUP(C1245,소속부서!$A$2:$B$20,2,FALSE), "")</f>
        <v/>
      </c>
    </row>
    <row r="1246" spans="3:4" x14ac:dyDescent="0.3">
      <c r="C1246" s="35">
        <f t="shared" si="19"/>
        <v>0</v>
      </c>
      <c r="D1246" s="30" t="str">
        <f>IFERROR(VLOOKUP(C1246,소속부서!$A$2:$B$20,2,FALSE), "")</f>
        <v/>
      </c>
    </row>
    <row r="1247" spans="3:4" x14ac:dyDescent="0.3">
      <c r="C1247" s="35">
        <f t="shared" si="19"/>
        <v>0</v>
      </c>
      <c r="D1247" s="30" t="str">
        <f>IFERROR(VLOOKUP(C1247,소속부서!$A$2:$B$20,2,FALSE), "")</f>
        <v/>
      </c>
    </row>
    <row r="1248" spans="3:4" x14ac:dyDescent="0.3">
      <c r="C1248" s="35">
        <f t="shared" si="19"/>
        <v>0</v>
      </c>
      <c r="D1248" s="30" t="str">
        <f>IFERROR(VLOOKUP(C1248,소속부서!$A$2:$B$20,2,FALSE), "")</f>
        <v/>
      </c>
    </row>
    <row r="1249" spans="3:4" x14ac:dyDescent="0.3">
      <c r="C1249" s="35">
        <f t="shared" si="19"/>
        <v>0</v>
      </c>
      <c r="D1249" s="30" t="str">
        <f>IFERROR(VLOOKUP(C1249,소속부서!$A$2:$B$20,2,FALSE), "")</f>
        <v/>
      </c>
    </row>
    <row r="1250" spans="3:4" x14ac:dyDescent="0.3">
      <c r="C1250" s="35">
        <f t="shared" si="19"/>
        <v>0</v>
      </c>
      <c r="D1250" s="30" t="str">
        <f>IFERROR(VLOOKUP(C1250,소속부서!$A$2:$B$20,2,FALSE), "")</f>
        <v/>
      </c>
    </row>
    <row r="1251" spans="3:4" x14ac:dyDescent="0.3">
      <c r="C1251" s="35">
        <f t="shared" si="19"/>
        <v>0</v>
      </c>
      <c r="D1251" s="30" t="str">
        <f>IFERROR(VLOOKUP(C1251,소속부서!$A$2:$B$20,2,FALSE), "")</f>
        <v/>
      </c>
    </row>
    <row r="1252" spans="3:4" x14ac:dyDescent="0.3">
      <c r="C1252" s="35">
        <f t="shared" si="19"/>
        <v>0</v>
      </c>
      <c r="D1252" s="30" t="str">
        <f>IFERROR(VLOOKUP(C1252,소속부서!$A$2:$B$20,2,FALSE), "")</f>
        <v/>
      </c>
    </row>
    <row r="1253" spans="3:4" x14ac:dyDescent="0.3">
      <c r="C1253" s="35">
        <f t="shared" si="19"/>
        <v>0</v>
      </c>
      <c r="D1253" s="30" t="str">
        <f>IFERROR(VLOOKUP(C1253,소속부서!$A$2:$B$20,2,FALSE), "")</f>
        <v/>
      </c>
    </row>
    <row r="1254" spans="3:4" x14ac:dyDescent="0.3">
      <c r="C1254" s="35">
        <f t="shared" si="19"/>
        <v>0</v>
      </c>
      <c r="D1254" s="30" t="str">
        <f>IFERROR(VLOOKUP(C1254,소속부서!$A$2:$B$20,2,FALSE), "")</f>
        <v/>
      </c>
    </row>
    <row r="1255" spans="3:4" x14ac:dyDescent="0.3">
      <c r="C1255" s="35">
        <f t="shared" si="19"/>
        <v>0</v>
      </c>
      <c r="D1255" s="30" t="str">
        <f>IFERROR(VLOOKUP(C1255,소속부서!$A$2:$B$20,2,FALSE), "")</f>
        <v/>
      </c>
    </row>
    <row r="1256" spans="3:4" x14ac:dyDescent="0.3">
      <c r="C1256" s="35">
        <f t="shared" si="19"/>
        <v>0</v>
      </c>
      <c r="D1256" s="30" t="str">
        <f>IFERROR(VLOOKUP(C1256,소속부서!$A$2:$B$20,2,FALSE), "")</f>
        <v/>
      </c>
    </row>
    <row r="1257" spans="3:4" x14ac:dyDescent="0.3">
      <c r="C1257" s="35">
        <f t="shared" si="19"/>
        <v>0</v>
      </c>
      <c r="D1257" s="30" t="str">
        <f>IFERROR(VLOOKUP(C1257,소속부서!$A$2:$B$20,2,FALSE), "")</f>
        <v/>
      </c>
    </row>
    <row r="1258" spans="3:4" x14ac:dyDescent="0.3">
      <c r="C1258" s="35">
        <f t="shared" si="19"/>
        <v>0</v>
      </c>
      <c r="D1258" s="30" t="str">
        <f>IFERROR(VLOOKUP(C1258,소속부서!$A$2:$B$20,2,FALSE), "")</f>
        <v/>
      </c>
    </row>
    <row r="1259" spans="3:4" x14ac:dyDescent="0.3">
      <c r="C1259" s="35">
        <f t="shared" si="19"/>
        <v>0</v>
      </c>
      <c r="D1259" s="30" t="str">
        <f>IFERROR(VLOOKUP(C1259,소속부서!$A$2:$B$20,2,FALSE), "")</f>
        <v/>
      </c>
    </row>
    <row r="1260" spans="3:4" x14ac:dyDescent="0.3">
      <c r="C1260" s="35">
        <f t="shared" si="19"/>
        <v>0</v>
      </c>
      <c r="D1260" s="30" t="str">
        <f>IFERROR(VLOOKUP(C1260,소속부서!$A$2:$B$20,2,FALSE), "")</f>
        <v/>
      </c>
    </row>
    <row r="1261" spans="3:4" x14ac:dyDescent="0.3">
      <c r="C1261" s="35">
        <f t="shared" si="19"/>
        <v>0</v>
      </c>
      <c r="D1261" s="30" t="str">
        <f>IFERROR(VLOOKUP(C1261,소속부서!$A$2:$B$20,2,FALSE), "")</f>
        <v/>
      </c>
    </row>
    <row r="1262" spans="3:4" x14ac:dyDescent="0.3">
      <c r="C1262" s="35">
        <f t="shared" si="19"/>
        <v>0</v>
      </c>
      <c r="D1262" s="30" t="str">
        <f>IFERROR(VLOOKUP(C1262,소속부서!$A$2:$B$20,2,FALSE), "")</f>
        <v/>
      </c>
    </row>
    <row r="1263" spans="3:4" x14ac:dyDescent="0.3">
      <c r="C1263" s="35">
        <f t="shared" si="19"/>
        <v>0</v>
      </c>
      <c r="D1263" s="30" t="str">
        <f>IFERROR(VLOOKUP(C1263,소속부서!$A$2:$B$20,2,FALSE), "")</f>
        <v/>
      </c>
    </row>
    <row r="1264" spans="3:4" x14ac:dyDescent="0.3">
      <c r="C1264" s="35">
        <f t="shared" si="19"/>
        <v>0</v>
      </c>
      <c r="D1264" s="30" t="str">
        <f>IFERROR(VLOOKUP(C1264,소속부서!$A$2:$B$20,2,FALSE), "")</f>
        <v/>
      </c>
    </row>
    <row r="1265" spans="3:4" x14ac:dyDescent="0.3">
      <c r="C1265" s="35">
        <f t="shared" si="19"/>
        <v>0</v>
      </c>
      <c r="D1265" s="30" t="str">
        <f>IFERROR(VLOOKUP(C1265,소속부서!$A$2:$B$20,2,FALSE), "")</f>
        <v/>
      </c>
    </row>
    <row r="1266" spans="3:4" x14ac:dyDescent="0.3">
      <c r="C1266" s="35">
        <f t="shared" si="19"/>
        <v>0</v>
      </c>
      <c r="D1266" s="30" t="str">
        <f>IFERROR(VLOOKUP(C1266,소속부서!$A$2:$B$20,2,FALSE), "")</f>
        <v/>
      </c>
    </row>
    <row r="1267" spans="3:4" x14ac:dyDescent="0.3">
      <c r="C1267" s="35">
        <f t="shared" si="19"/>
        <v>0</v>
      </c>
      <c r="D1267" s="30" t="str">
        <f>IFERROR(VLOOKUP(C1267,소속부서!$A$2:$B$20,2,FALSE), "")</f>
        <v/>
      </c>
    </row>
    <row r="1268" spans="3:4" x14ac:dyDescent="0.3">
      <c r="C1268" s="35">
        <f t="shared" si="19"/>
        <v>0</v>
      </c>
      <c r="D1268" s="30" t="str">
        <f>IFERROR(VLOOKUP(C1268,소속부서!$A$2:$B$20,2,FALSE), "")</f>
        <v/>
      </c>
    </row>
    <row r="1269" spans="3:4" x14ac:dyDescent="0.3">
      <c r="C1269" s="35">
        <f t="shared" si="19"/>
        <v>0</v>
      </c>
      <c r="D1269" s="30" t="str">
        <f>IFERROR(VLOOKUP(C1269,소속부서!$A$2:$B$20,2,FALSE), "")</f>
        <v/>
      </c>
    </row>
    <row r="1270" spans="3:4" x14ac:dyDescent="0.3">
      <c r="C1270" s="35">
        <f t="shared" si="19"/>
        <v>0</v>
      </c>
      <c r="D1270" s="30" t="str">
        <f>IFERROR(VLOOKUP(C1270,소속부서!$A$2:$B$20,2,FALSE), "")</f>
        <v/>
      </c>
    </row>
    <row r="1271" spans="3:4" x14ac:dyDescent="0.3">
      <c r="C1271" s="35">
        <f t="shared" si="19"/>
        <v>0</v>
      </c>
      <c r="D1271" s="30" t="str">
        <f>IFERROR(VLOOKUP(C1271,소속부서!$A$2:$B$20,2,FALSE), "")</f>
        <v/>
      </c>
    </row>
    <row r="1272" spans="3:4" x14ac:dyDescent="0.3">
      <c r="C1272" s="35">
        <f t="shared" si="19"/>
        <v>0</v>
      </c>
      <c r="D1272" s="30" t="str">
        <f>IFERROR(VLOOKUP(C1272,소속부서!$A$2:$B$20,2,FALSE), "")</f>
        <v/>
      </c>
    </row>
    <row r="1273" spans="3:4" x14ac:dyDescent="0.3">
      <c r="C1273" s="35">
        <f t="shared" si="19"/>
        <v>0</v>
      </c>
      <c r="D1273" s="30" t="str">
        <f>IFERROR(VLOOKUP(C1273,소속부서!$A$2:$B$20,2,FALSE), "")</f>
        <v/>
      </c>
    </row>
    <row r="1274" spans="3:4" x14ac:dyDescent="0.3">
      <c r="C1274" s="35">
        <f t="shared" si="19"/>
        <v>0</v>
      </c>
      <c r="D1274" s="30" t="str">
        <f>IFERROR(VLOOKUP(C1274,소속부서!$A$2:$B$20,2,FALSE), "")</f>
        <v/>
      </c>
    </row>
    <row r="1275" spans="3:4" x14ac:dyDescent="0.3">
      <c r="C1275" s="35">
        <f t="shared" si="19"/>
        <v>0</v>
      </c>
      <c r="D1275" s="30" t="str">
        <f>IFERROR(VLOOKUP(C1275,소속부서!$A$2:$B$20,2,FALSE), "")</f>
        <v/>
      </c>
    </row>
    <row r="1276" spans="3:4" x14ac:dyDescent="0.3">
      <c r="C1276" s="35">
        <f t="shared" si="19"/>
        <v>0</v>
      </c>
      <c r="D1276" s="30" t="str">
        <f>IFERROR(VLOOKUP(C1276,소속부서!$A$2:$B$20,2,FALSE), "")</f>
        <v/>
      </c>
    </row>
    <row r="1277" spans="3:4" x14ac:dyDescent="0.3">
      <c r="C1277" s="35">
        <f t="shared" si="19"/>
        <v>0</v>
      </c>
      <c r="D1277" s="30" t="str">
        <f>IFERROR(VLOOKUP(C1277,소속부서!$A$2:$B$20,2,FALSE), "")</f>
        <v/>
      </c>
    </row>
    <row r="1278" spans="3:4" x14ac:dyDescent="0.3">
      <c r="C1278" s="35">
        <f t="shared" si="19"/>
        <v>0</v>
      </c>
      <c r="D1278" s="30" t="str">
        <f>IFERROR(VLOOKUP(C1278,소속부서!$A$2:$B$20,2,FALSE), "")</f>
        <v/>
      </c>
    </row>
    <row r="1279" spans="3:4" x14ac:dyDescent="0.3">
      <c r="C1279" s="35">
        <f t="shared" si="19"/>
        <v>0</v>
      </c>
      <c r="D1279" s="30" t="str">
        <f>IFERROR(VLOOKUP(C1279,소속부서!$A$2:$B$20,2,FALSE), "")</f>
        <v/>
      </c>
    </row>
    <row r="1280" spans="3:4" x14ac:dyDescent="0.3">
      <c r="C1280" s="35">
        <f t="shared" si="19"/>
        <v>0</v>
      </c>
      <c r="D1280" s="30" t="str">
        <f>IFERROR(VLOOKUP(C1280,소속부서!$A$2:$B$20,2,FALSE), "")</f>
        <v/>
      </c>
    </row>
    <row r="1281" spans="3:4" x14ac:dyDescent="0.3">
      <c r="C1281" s="35">
        <f t="shared" ref="C1281:C1344" si="20">E1281</f>
        <v>0</v>
      </c>
      <c r="D1281" s="30" t="str">
        <f>IFERROR(VLOOKUP(C1281,소속부서!$A$2:$B$20,2,FALSE), "")</f>
        <v/>
      </c>
    </row>
    <row r="1282" spans="3:4" x14ac:dyDescent="0.3">
      <c r="C1282" s="35">
        <f t="shared" si="20"/>
        <v>0</v>
      </c>
      <c r="D1282" s="30" t="str">
        <f>IFERROR(VLOOKUP(C1282,소속부서!$A$2:$B$20,2,FALSE), "")</f>
        <v/>
      </c>
    </row>
    <row r="1283" spans="3:4" x14ac:dyDescent="0.3">
      <c r="C1283" s="35">
        <f t="shared" si="20"/>
        <v>0</v>
      </c>
      <c r="D1283" s="30" t="str">
        <f>IFERROR(VLOOKUP(C1283,소속부서!$A$2:$B$20,2,FALSE), "")</f>
        <v/>
      </c>
    </row>
    <row r="1284" spans="3:4" x14ac:dyDescent="0.3">
      <c r="C1284" s="35">
        <f t="shared" si="20"/>
        <v>0</v>
      </c>
      <c r="D1284" s="30" t="str">
        <f>IFERROR(VLOOKUP(C1284,소속부서!$A$2:$B$20,2,FALSE), "")</f>
        <v/>
      </c>
    </row>
    <row r="1285" spans="3:4" x14ac:dyDescent="0.3">
      <c r="C1285" s="35">
        <f t="shared" si="20"/>
        <v>0</v>
      </c>
      <c r="D1285" s="30" t="str">
        <f>IFERROR(VLOOKUP(C1285,소속부서!$A$2:$B$20,2,FALSE), "")</f>
        <v/>
      </c>
    </row>
    <row r="1286" spans="3:4" x14ac:dyDescent="0.3">
      <c r="C1286" s="35">
        <f t="shared" si="20"/>
        <v>0</v>
      </c>
      <c r="D1286" s="30" t="str">
        <f>IFERROR(VLOOKUP(C1286,소속부서!$A$2:$B$20,2,FALSE), "")</f>
        <v/>
      </c>
    </row>
    <row r="1287" spans="3:4" x14ac:dyDescent="0.3">
      <c r="C1287" s="35">
        <f t="shared" si="20"/>
        <v>0</v>
      </c>
      <c r="D1287" s="30" t="str">
        <f>IFERROR(VLOOKUP(C1287,소속부서!$A$2:$B$20,2,FALSE), "")</f>
        <v/>
      </c>
    </row>
    <row r="1288" spans="3:4" x14ac:dyDescent="0.3">
      <c r="C1288" s="35">
        <f t="shared" si="20"/>
        <v>0</v>
      </c>
      <c r="D1288" s="30" t="str">
        <f>IFERROR(VLOOKUP(C1288,소속부서!$A$2:$B$20,2,FALSE), "")</f>
        <v/>
      </c>
    </row>
    <row r="1289" spans="3:4" x14ac:dyDescent="0.3">
      <c r="C1289" s="35">
        <f t="shared" si="20"/>
        <v>0</v>
      </c>
      <c r="D1289" s="30" t="str">
        <f>IFERROR(VLOOKUP(C1289,소속부서!$A$2:$B$20,2,FALSE), "")</f>
        <v/>
      </c>
    </row>
    <row r="1290" spans="3:4" x14ac:dyDescent="0.3">
      <c r="C1290" s="35">
        <f t="shared" si="20"/>
        <v>0</v>
      </c>
      <c r="D1290" s="30" t="str">
        <f>IFERROR(VLOOKUP(C1290,소속부서!$A$2:$B$20,2,FALSE), "")</f>
        <v/>
      </c>
    </row>
    <row r="1291" spans="3:4" x14ac:dyDescent="0.3">
      <c r="C1291" s="35">
        <f t="shared" si="20"/>
        <v>0</v>
      </c>
      <c r="D1291" s="30" t="str">
        <f>IFERROR(VLOOKUP(C1291,소속부서!$A$2:$B$20,2,FALSE), "")</f>
        <v/>
      </c>
    </row>
    <row r="1292" spans="3:4" x14ac:dyDescent="0.3">
      <c r="C1292" s="35">
        <f t="shared" si="20"/>
        <v>0</v>
      </c>
      <c r="D1292" s="30" t="str">
        <f>IFERROR(VLOOKUP(C1292,소속부서!$A$2:$B$20,2,FALSE), "")</f>
        <v/>
      </c>
    </row>
    <row r="1293" spans="3:4" x14ac:dyDescent="0.3">
      <c r="C1293" s="35">
        <f t="shared" si="20"/>
        <v>0</v>
      </c>
      <c r="D1293" s="30" t="str">
        <f>IFERROR(VLOOKUP(C1293,소속부서!$A$2:$B$20,2,FALSE), "")</f>
        <v/>
      </c>
    </row>
    <row r="1294" spans="3:4" x14ac:dyDescent="0.3">
      <c r="C1294" s="35">
        <f t="shared" si="20"/>
        <v>0</v>
      </c>
      <c r="D1294" s="30" t="str">
        <f>IFERROR(VLOOKUP(C1294,소속부서!$A$2:$B$20,2,FALSE), "")</f>
        <v/>
      </c>
    </row>
    <row r="1295" spans="3:4" x14ac:dyDescent="0.3">
      <c r="C1295" s="35">
        <f t="shared" si="20"/>
        <v>0</v>
      </c>
      <c r="D1295" s="30" t="str">
        <f>IFERROR(VLOOKUP(C1295,소속부서!$A$2:$B$20,2,FALSE), "")</f>
        <v/>
      </c>
    </row>
    <row r="1296" spans="3:4" x14ac:dyDescent="0.3">
      <c r="C1296" s="35">
        <f t="shared" si="20"/>
        <v>0</v>
      </c>
      <c r="D1296" s="30" t="str">
        <f>IFERROR(VLOOKUP(C1296,소속부서!$A$2:$B$20,2,FALSE), "")</f>
        <v/>
      </c>
    </row>
    <row r="1297" spans="3:4" x14ac:dyDescent="0.3">
      <c r="C1297" s="35">
        <f t="shared" si="20"/>
        <v>0</v>
      </c>
      <c r="D1297" s="30" t="str">
        <f>IFERROR(VLOOKUP(C1297,소속부서!$A$2:$B$20,2,FALSE), "")</f>
        <v/>
      </c>
    </row>
    <row r="1298" spans="3:4" x14ac:dyDescent="0.3">
      <c r="C1298" s="35">
        <f t="shared" si="20"/>
        <v>0</v>
      </c>
      <c r="D1298" s="30" t="str">
        <f>IFERROR(VLOOKUP(C1298,소속부서!$A$2:$B$20,2,FALSE), "")</f>
        <v/>
      </c>
    </row>
    <row r="1299" spans="3:4" x14ac:dyDescent="0.3">
      <c r="C1299" s="35">
        <f t="shared" si="20"/>
        <v>0</v>
      </c>
      <c r="D1299" s="30" t="str">
        <f>IFERROR(VLOOKUP(C1299,소속부서!$A$2:$B$20,2,FALSE), "")</f>
        <v/>
      </c>
    </row>
    <row r="1300" spans="3:4" x14ac:dyDescent="0.3">
      <c r="C1300" s="35">
        <f t="shared" si="20"/>
        <v>0</v>
      </c>
      <c r="D1300" s="30" t="str">
        <f>IFERROR(VLOOKUP(C1300,소속부서!$A$2:$B$20,2,FALSE), "")</f>
        <v/>
      </c>
    </row>
    <row r="1301" spans="3:4" x14ac:dyDescent="0.3">
      <c r="C1301" s="35">
        <f t="shared" si="20"/>
        <v>0</v>
      </c>
      <c r="D1301" s="30" t="str">
        <f>IFERROR(VLOOKUP(C1301,소속부서!$A$2:$B$20,2,FALSE), "")</f>
        <v/>
      </c>
    </row>
    <row r="1302" spans="3:4" x14ac:dyDescent="0.3">
      <c r="C1302" s="35">
        <f t="shared" si="20"/>
        <v>0</v>
      </c>
      <c r="D1302" s="30" t="str">
        <f>IFERROR(VLOOKUP(C1302,소속부서!$A$2:$B$20,2,FALSE), "")</f>
        <v/>
      </c>
    </row>
    <row r="1303" spans="3:4" x14ac:dyDescent="0.3">
      <c r="C1303" s="35">
        <f t="shared" si="20"/>
        <v>0</v>
      </c>
      <c r="D1303" s="30" t="str">
        <f>IFERROR(VLOOKUP(C1303,소속부서!$A$2:$B$20,2,FALSE), "")</f>
        <v/>
      </c>
    </row>
    <row r="1304" spans="3:4" x14ac:dyDescent="0.3">
      <c r="C1304" s="35">
        <f t="shared" si="20"/>
        <v>0</v>
      </c>
      <c r="D1304" s="30" t="str">
        <f>IFERROR(VLOOKUP(C1304,소속부서!$A$2:$B$20,2,FALSE), "")</f>
        <v/>
      </c>
    </row>
    <row r="1305" spans="3:4" x14ac:dyDescent="0.3">
      <c r="C1305" s="35">
        <f t="shared" si="20"/>
        <v>0</v>
      </c>
      <c r="D1305" s="30" t="str">
        <f>IFERROR(VLOOKUP(C1305,소속부서!$A$2:$B$20,2,FALSE), "")</f>
        <v/>
      </c>
    </row>
    <row r="1306" spans="3:4" x14ac:dyDescent="0.3">
      <c r="C1306" s="35">
        <f t="shared" si="20"/>
        <v>0</v>
      </c>
      <c r="D1306" s="30" t="str">
        <f>IFERROR(VLOOKUP(C1306,소속부서!$A$2:$B$20,2,FALSE), "")</f>
        <v/>
      </c>
    </row>
    <row r="1307" spans="3:4" x14ac:dyDescent="0.3">
      <c r="C1307" s="35">
        <f t="shared" si="20"/>
        <v>0</v>
      </c>
      <c r="D1307" s="30" t="str">
        <f>IFERROR(VLOOKUP(C1307,소속부서!$A$2:$B$20,2,FALSE), "")</f>
        <v/>
      </c>
    </row>
    <row r="1308" spans="3:4" x14ac:dyDescent="0.3">
      <c r="C1308" s="35">
        <f t="shared" si="20"/>
        <v>0</v>
      </c>
      <c r="D1308" s="30" t="str">
        <f>IFERROR(VLOOKUP(C1308,소속부서!$A$2:$B$20,2,FALSE), "")</f>
        <v/>
      </c>
    </row>
    <row r="1309" spans="3:4" x14ac:dyDescent="0.3">
      <c r="C1309" s="35">
        <f t="shared" si="20"/>
        <v>0</v>
      </c>
      <c r="D1309" s="30" t="str">
        <f>IFERROR(VLOOKUP(C1309,소속부서!$A$2:$B$20,2,FALSE), "")</f>
        <v/>
      </c>
    </row>
    <row r="1310" spans="3:4" x14ac:dyDescent="0.3">
      <c r="C1310" s="35">
        <f t="shared" si="20"/>
        <v>0</v>
      </c>
      <c r="D1310" s="30" t="str">
        <f>IFERROR(VLOOKUP(C1310,소속부서!$A$2:$B$20,2,FALSE), "")</f>
        <v/>
      </c>
    </row>
    <row r="1311" spans="3:4" x14ac:dyDescent="0.3">
      <c r="C1311" s="35">
        <f t="shared" si="20"/>
        <v>0</v>
      </c>
      <c r="D1311" s="30" t="str">
        <f>IFERROR(VLOOKUP(C1311,소속부서!$A$2:$B$20,2,FALSE), "")</f>
        <v/>
      </c>
    </row>
    <row r="1312" spans="3:4" x14ac:dyDescent="0.3">
      <c r="C1312" s="35">
        <f t="shared" si="20"/>
        <v>0</v>
      </c>
      <c r="D1312" s="30" t="str">
        <f>IFERROR(VLOOKUP(C1312,소속부서!$A$2:$B$20,2,FALSE), "")</f>
        <v/>
      </c>
    </row>
    <row r="1313" spans="3:4" x14ac:dyDescent="0.3">
      <c r="C1313" s="35">
        <f t="shared" si="20"/>
        <v>0</v>
      </c>
      <c r="D1313" s="30" t="str">
        <f>IFERROR(VLOOKUP(C1313,소속부서!$A$2:$B$20,2,FALSE), "")</f>
        <v/>
      </c>
    </row>
    <row r="1314" spans="3:4" x14ac:dyDescent="0.3">
      <c r="C1314" s="35">
        <f t="shared" si="20"/>
        <v>0</v>
      </c>
      <c r="D1314" s="30" t="str">
        <f>IFERROR(VLOOKUP(C1314,소속부서!$A$2:$B$20,2,FALSE), "")</f>
        <v/>
      </c>
    </row>
    <row r="1315" spans="3:4" x14ac:dyDescent="0.3">
      <c r="C1315" s="35">
        <f t="shared" si="20"/>
        <v>0</v>
      </c>
      <c r="D1315" s="30" t="str">
        <f>IFERROR(VLOOKUP(C1315,소속부서!$A$2:$B$20,2,FALSE), "")</f>
        <v/>
      </c>
    </row>
    <row r="1316" spans="3:4" x14ac:dyDescent="0.3">
      <c r="C1316" s="35">
        <f t="shared" si="20"/>
        <v>0</v>
      </c>
      <c r="D1316" s="30" t="str">
        <f>IFERROR(VLOOKUP(C1316,소속부서!$A$2:$B$20,2,FALSE), "")</f>
        <v/>
      </c>
    </row>
    <row r="1317" spans="3:4" x14ac:dyDescent="0.3">
      <c r="C1317" s="35">
        <f t="shared" si="20"/>
        <v>0</v>
      </c>
      <c r="D1317" s="30" t="str">
        <f>IFERROR(VLOOKUP(C1317,소속부서!$A$2:$B$20,2,FALSE), "")</f>
        <v/>
      </c>
    </row>
    <row r="1318" spans="3:4" x14ac:dyDescent="0.3">
      <c r="C1318" s="35">
        <f t="shared" si="20"/>
        <v>0</v>
      </c>
      <c r="D1318" s="30" t="str">
        <f>IFERROR(VLOOKUP(C1318,소속부서!$A$2:$B$20,2,FALSE), "")</f>
        <v/>
      </c>
    </row>
    <row r="1319" spans="3:4" x14ac:dyDescent="0.3">
      <c r="C1319" s="35">
        <f t="shared" si="20"/>
        <v>0</v>
      </c>
      <c r="D1319" s="30" t="str">
        <f>IFERROR(VLOOKUP(C1319,소속부서!$A$2:$B$20,2,FALSE), "")</f>
        <v/>
      </c>
    </row>
    <row r="1320" spans="3:4" x14ac:dyDescent="0.3">
      <c r="C1320" s="35">
        <f t="shared" si="20"/>
        <v>0</v>
      </c>
      <c r="D1320" s="30" t="str">
        <f>IFERROR(VLOOKUP(C1320,소속부서!$A$2:$B$20,2,FALSE), "")</f>
        <v/>
      </c>
    </row>
    <row r="1321" spans="3:4" x14ac:dyDescent="0.3">
      <c r="C1321" s="35">
        <f t="shared" si="20"/>
        <v>0</v>
      </c>
      <c r="D1321" s="30" t="str">
        <f>IFERROR(VLOOKUP(C1321,소속부서!$A$2:$B$20,2,FALSE), "")</f>
        <v/>
      </c>
    </row>
    <row r="1322" spans="3:4" x14ac:dyDescent="0.3">
      <c r="C1322" s="35">
        <f t="shared" si="20"/>
        <v>0</v>
      </c>
      <c r="D1322" s="30" t="str">
        <f>IFERROR(VLOOKUP(C1322,소속부서!$A$2:$B$20,2,FALSE), "")</f>
        <v/>
      </c>
    </row>
    <row r="1323" spans="3:4" x14ac:dyDescent="0.3">
      <c r="C1323" s="35">
        <f t="shared" si="20"/>
        <v>0</v>
      </c>
      <c r="D1323" s="30" t="str">
        <f>IFERROR(VLOOKUP(C1323,소속부서!$A$2:$B$20,2,FALSE), "")</f>
        <v/>
      </c>
    </row>
    <row r="1324" spans="3:4" x14ac:dyDescent="0.3">
      <c r="C1324" s="35">
        <f t="shared" si="20"/>
        <v>0</v>
      </c>
      <c r="D1324" s="30" t="str">
        <f>IFERROR(VLOOKUP(C1324,소속부서!$A$2:$B$20,2,FALSE), "")</f>
        <v/>
      </c>
    </row>
    <row r="1325" spans="3:4" x14ac:dyDescent="0.3">
      <c r="C1325" s="35">
        <f t="shared" si="20"/>
        <v>0</v>
      </c>
      <c r="D1325" s="30" t="str">
        <f>IFERROR(VLOOKUP(C1325,소속부서!$A$2:$B$20,2,FALSE), "")</f>
        <v/>
      </c>
    </row>
    <row r="1326" spans="3:4" x14ac:dyDescent="0.3">
      <c r="C1326" s="35">
        <f t="shared" si="20"/>
        <v>0</v>
      </c>
      <c r="D1326" s="30" t="str">
        <f>IFERROR(VLOOKUP(C1326,소속부서!$A$2:$B$20,2,FALSE), "")</f>
        <v/>
      </c>
    </row>
    <row r="1327" spans="3:4" x14ac:dyDescent="0.3">
      <c r="C1327" s="35">
        <f t="shared" si="20"/>
        <v>0</v>
      </c>
      <c r="D1327" s="30" t="str">
        <f>IFERROR(VLOOKUP(C1327,소속부서!$A$2:$B$20,2,FALSE), "")</f>
        <v/>
      </c>
    </row>
    <row r="1328" spans="3:4" x14ac:dyDescent="0.3">
      <c r="C1328" s="35">
        <f t="shared" si="20"/>
        <v>0</v>
      </c>
      <c r="D1328" s="30" t="str">
        <f>IFERROR(VLOOKUP(C1328,소속부서!$A$2:$B$20,2,FALSE), "")</f>
        <v/>
      </c>
    </row>
    <row r="1329" spans="3:4" x14ac:dyDescent="0.3">
      <c r="C1329" s="35">
        <f t="shared" si="20"/>
        <v>0</v>
      </c>
      <c r="D1329" s="30" t="str">
        <f>IFERROR(VLOOKUP(C1329,소속부서!$A$2:$B$20,2,FALSE), "")</f>
        <v/>
      </c>
    </row>
    <row r="1330" spans="3:4" x14ac:dyDescent="0.3">
      <c r="C1330" s="35">
        <f t="shared" si="20"/>
        <v>0</v>
      </c>
      <c r="D1330" s="30" t="str">
        <f>IFERROR(VLOOKUP(C1330,소속부서!$A$2:$B$20,2,FALSE), "")</f>
        <v/>
      </c>
    </row>
    <row r="1331" spans="3:4" x14ac:dyDescent="0.3">
      <c r="C1331" s="35">
        <f t="shared" si="20"/>
        <v>0</v>
      </c>
      <c r="D1331" s="30" t="str">
        <f>IFERROR(VLOOKUP(C1331,소속부서!$A$2:$B$20,2,FALSE), "")</f>
        <v/>
      </c>
    </row>
    <row r="1332" spans="3:4" x14ac:dyDescent="0.3">
      <c r="C1332" s="35">
        <f t="shared" si="20"/>
        <v>0</v>
      </c>
      <c r="D1332" s="30" t="str">
        <f>IFERROR(VLOOKUP(C1332,소속부서!$A$2:$B$20,2,FALSE), "")</f>
        <v/>
      </c>
    </row>
    <row r="1333" spans="3:4" x14ac:dyDescent="0.3">
      <c r="C1333" s="35">
        <f t="shared" si="20"/>
        <v>0</v>
      </c>
      <c r="D1333" s="30" t="str">
        <f>IFERROR(VLOOKUP(C1333,소속부서!$A$2:$B$20,2,FALSE), "")</f>
        <v/>
      </c>
    </row>
    <row r="1334" spans="3:4" x14ac:dyDescent="0.3">
      <c r="C1334" s="35">
        <f t="shared" si="20"/>
        <v>0</v>
      </c>
      <c r="D1334" s="30" t="str">
        <f>IFERROR(VLOOKUP(C1334,소속부서!$A$2:$B$20,2,FALSE), "")</f>
        <v/>
      </c>
    </row>
    <row r="1335" spans="3:4" x14ac:dyDescent="0.3">
      <c r="C1335" s="35">
        <f t="shared" si="20"/>
        <v>0</v>
      </c>
      <c r="D1335" s="30" t="str">
        <f>IFERROR(VLOOKUP(C1335,소속부서!$A$2:$B$20,2,FALSE), "")</f>
        <v/>
      </c>
    </row>
    <row r="1336" spans="3:4" x14ac:dyDescent="0.3">
      <c r="C1336" s="35">
        <f t="shared" si="20"/>
        <v>0</v>
      </c>
      <c r="D1336" s="30" t="str">
        <f>IFERROR(VLOOKUP(C1336,소속부서!$A$2:$B$20,2,FALSE), "")</f>
        <v/>
      </c>
    </row>
    <row r="1337" spans="3:4" x14ac:dyDescent="0.3">
      <c r="C1337" s="35">
        <f t="shared" si="20"/>
        <v>0</v>
      </c>
      <c r="D1337" s="30" t="str">
        <f>IFERROR(VLOOKUP(C1337,소속부서!$A$2:$B$20,2,FALSE), "")</f>
        <v/>
      </c>
    </row>
    <row r="1338" spans="3:4" x14ac:dyDescent="0.3">
      <c r="C1338" s="35">
        <f t="shared" si="20"/>
        <v>0</v>
      </c>
      <c r="D1338" s="30" t="str">
        <f>IFERROR(VLOOKUP(C1338,소속부서!$A$2:$B$20,2,FALSE), "")</f>
        <v/>
      </c>
    </row>
    <row r="1339" spans="3:4" x14ac:dyDescent="0.3">
      <c r="C1339" s="35">
        <f t="shared" si="20"/>
        <v>0</v>
      </c>
      <c r="D1339" s="30" t="str">
        <f>IFERROR(VLOOKUP(C1339,소속부서!$A$2:$B$20,2,FALSE), "")</f>
        <v/>
      </c>
    </row>
    <row r="1340" spans="3:4" x14ac:dyDescent="0.3">
      <c r="C1340" s="35">
        <f t="shared" si="20"/>
        <v>0</v>
      </c>
      <c r="D1340" s="30" t="str">
        <f>IFERROR(VLOOKUP(C1340,소속부서!$A$2:$B$20,2,FALSE), "")</f>
        <v/>
      </c>
    </row>
    <row r="1341" spans="3:4" x14ac:dyDescent="0.3">
      <c r="C1341" s="35">
        <f t="shared" si="20"/>
        <v>0</v>
      </c>
      <c r="D1341" s="30" t="str">
        <f>IFERROR(VLOOKUP(C1341,소속부서!$A$2:$B$20,2,FALSE), "")</f>
        <v/>
      </c>
    </row>
    <row r="1342" spans="3:4" x14ac:dyDescent="0.3">
      <c r="C1342" s="35">
        <f t="shared" si="20"/>
        <v>0</v>
      </c>
      <c r="D1342" s="30" t="str">
        <f>IFERROR(VLOOKUP(C1342,소속부서!$A$2:$B$20,2,FALSE), "")</f>
        <v/>
      </c>
    </row>
    <row r="1343" spans="3:4" x14ac:dyDescent="0.3">
      <c r="C1343" s="35">
        <f t="shared" si="20"/>
        <v>0</v>
      </c>
      <c r="D1343" s="30" t="str">
        <f>IFERROR(VLOOKUP(C1343,소속부서!$A$2:$B$20,2,FALSE), "")</f>
        <v/>
      </c>
    </row>
    <row r="1344" spans="3:4" x14ac:dyDescent="0.3">
      <c r="C1344" s="35">
        <f t="shared" si="20"/>
        <v>0</v>
      </c>
      <c r="D1344" s="30" t="str">
        <f>IFERROR(VLOOKUP(C1344,소속부서!$A$2:$B$20,2,FALSE), "")</f>
        <v/>
      </c>
    </row>
    <row r="1345" spans="3:4" x14ac:dyDescent="0.3">
      <c r="C1345" s="35">
        <f t="shared" ref="C1345:C1408" si="21">E1345</f>
        <v>0</v>
      </c>
      <c r="D1345" s="30" t="str">
        <f>IFERROR(VLOOKUP(C1345,소속부서!$A$2:$B$20,2,FALSE), "")</f>
        <v/>
      </c>
    </row>
    <row r="1346" spans="3:4" x14ac:dyDescent="0.3">
      <c r="C1346" s="35">
        <f t="shared" si="21"/>
        <v>0</v>
      </c>
      <c r="D1346" s="30" t="str">
        <f>IFERROR(VLOOKUP(C1346,소속부서!$A$2:$B$20,2,FALSE), "")</f>
        <v/>
      </c>
    </row>
    <row r="1347" spans="3:4" x14ac:dyDescent="0.3">
      <c r="C1347" s="35">
        <f t="shared" si="21"/>
        <v>0</v>
      </c>
      <c r="D1347" s="30" t="str">
        <f>IFERROR(VLOOKUP(C1347,소속부서!$A$2:$B$20,2,FALSE), "")</f>
        <v/>
      </c>
    </row>
    <row r="1348" spans="3:4" x14ac:dyDescent="0.3">
      <c r="C1348" s="35">
        <f t="shared" si="21"/>
        <v>0</v>
      </c>
      <c r="D1348" s="30" t="str">
        <f>IFERROR(VLOOKUP(C1348,소속부서!$A$2:$B$20,2,FALSE), "")</f>
        <v/>
      </c>
    </row>
    <row r="1349" spans="3:4" x14ac:dyDescent="0.3">
      <c r="C1349" s="35">
        <f t="shared" si="21"/>
        <v>0</v>
      </c>
      <c r="D1349" s="30" t="str">
        <f>IFERROR(VLOOKUP(C1349,소속부서!$A$2:$B$20,2,FALSE), "")</f>
        <v/>
      </c>
    </row>
    <row r="1350" spans="3:4" x14ac:dyDescent="0.3">
      <c r="C1350" s="35">
        <f t="shared" si="21"/>
        <v>0</v>
      </c>
      <c r="D1350" s="30" t="str">
        <f>IFERROR(VLOOKUP(C1350,소속부서!$A$2:$B$20,2,FALSE), "")</f>
        <v/>
      </c>
    </row>
    <row r="1351" spans="3:4" x14ac:dyDescent="0.3">
      <c r="C1351" s="35">
        <f t="shared" si="21"/>
        <v>0</v>
      </c>
      <c r="D1351" s="30" t="str">
        <f>IFERROR(VLOOKUP(C1351,소속부서!$A$2:$B$20,2,FALSE), "")</f>
        <v/>
      </c>
    </row>
    <row r="1352" spans="3:4" x14ac:dyDescent="0.3">
      <c r="C1352" s="35">
        <f t="shared" si="21"/>
        <v>0</v>
      </c>
      <c r="D1352" s="30" t="str">
        <f>IFERROR(VLOOKUP(C1352,소속부서!$A$2:$B$20,2,FALSE), "")</f>
        <v/>
      </c>
    </row>
    <row r="1353" spans="3:4" x14ac:dyDescent="0.3">
      <c r="C1353" s="35">
        <f t="shared" si="21"/>
        <v>0</v>
      </c>
      <c r="D1353" s="30" t="str">
        <f>IFERROR(VLOOKUP(C1353,소속부서!$A$2:$B$20,2,FALSE), "")</f>
        <v/>
      </c>
    </row>
    <row r="1354" spans="3:4" x14ac:dyDescent="0.3">
      <c r="C1354" s="35">
        <f t="shared" si="21"/>
        <v>0</v>
      </c>
      <c r="D1354" s="30" t="str">
        <f>IFERROR(VLOOKUP(C1354,소속부서!$A$2:$B$20,2,FALSE), "")</f>
        <v/>
      </c>
    </row>
    <row r="1355" spans="3:4" x14ac:dyDescent="0.3">
      <c r="C1355" s="35">
        <f t="shared" si="21"/>
        <v>0</v>
      </c>
      <c r="D1355" s="30" t="str">
        <f>IFERROR(VLOOKUP(C1355,소속부서!$A$2:$B$20,2,FALSE), "")</f>
        <v/>
      </c>
    </row>
    <row r="1356" spans="3:4" x14ac:dyDescent="0.3">
      <c r="C1356" s="35">
        <f t="shared" si="21"/>
        <v>0</v>
      </c>
      <c r="D1356" s="30" t="str">
        <f>IFERROR(VLOOKUP(C1356,소속부서!$A$2:$B$20,2,FALSE), "")</f>
        <v/>
      </c>
    </row>
    <row r="1357" spans="3:4" x14ac:dyDescent="0.3">
      <c r="C1357" s="35">
        <f t="shared" si="21"/>
        <v>0</v>
      </c>
      <c r="D1357" s="30" t="str">
        <f>IFERROR(VLOOKUP(C1357,소속부서!$A$2:$B$20,2,FALSE), "")</f>
        <v/>
      </c>
    </row>
    <row r="1358" spans="3:4" x14ac:dyDescent="0.3">
      <c r="C1358" s="35">
        <f t="shared" si="21"/>
        <v>0</v>
      </c>
      <c r="D1358" s="30" t="str">
        <f>IFERROR(VLOOKUP(C1358,소속부서!$A$2:$B$20,2,FALSE), "")</f>
        <v/>
      </c>
    </row>
    <row r="1359" spans="3:4" x14ac:dyDescent="0.3">
      <c r="C1359" s="35">
        <f t="shared" si="21"/>
        <v>0</v>
      </c>
      <c r="D1359" s="30" t="str">
        <f>IFERROR(VLOOKUP(C1359,소속부서!$A$2:$B$20,2,FALSE), "")</f>
        <v/>
      </c>
    </row>
    <row r="1360" spans="3:4" x14ac:dyDescent="0.3">
      <c r="C1360" s="35">
        <f t="shared" si="21"/>
        <v>0</v>
      </c>
      <c r="D1360" s="30" t="str">
        <f>IFERROR(VLOOKUP(C1360,소속부서!$A$2:$B$20,2,FALSE), "")</f>
        <v/>
      </c>
    </row>
    <row r="1361" spans="3:4" x14ac:dyDescent="0.3">
      <c r="C1361" s="35">
        <f t="shared" si="21"/>
        <v>0</v>
      </c>
      <c r="D1361" s="30" t="str">
        <f>IFERROR(VLOOKUP(C1361,소속부서!$A$2:$B$20,2,FALSE), "")</f>
        <v/>
      </c>
    </row>
    <row r="1362" spans="3:4" x14ac:dyDescent="0.3">
      <c r="C1362" s="35">
        <f t="shared" si="21"/>
        <v>0</v>
      </c>
      <c r="D1362" s="30" t="str">
        <f>IFERROR(VLOOKUP(C1362,소속부서!$A$2:$B$20,2,FALSE), "")</f>
        <v/>
      </c>
    </row>
    <row r="1363" spans="3:4" x14ac:dyDescent="0.3">
      <c r="C1363" s="35">
        <f t="shared" si="21"/>
        <v>0</v>
      </c>
      <c r="D1363" s="30" t="str">
        <f>IFERROR(VLOOKUP(C1363,소속부서!$A$2:$B$20,2,FALSE), "")</f>
        <v/>
      </c>
    </row>
    <row r="1364" spans="3:4" x14ac:dyDescent="0.3">
      <c r="C1364" s="35">
        <f t="shared" si="21"/>
        <v>0</v>
      </c>
      <c r="D1364" s="30" t="str">
        <f>IFERROR(VLOOKUP(C1364,소속부서!$A$2:$B$20,2,FALSE), "")</f>
        <v/>
      </c>
    </row>
    <row r="1365" spans="3:4" x14ac:dyDescent="0.3">
      <c r="C1365" s="35">
        <f t="shared" si="21"/>
        <v>0</v>
      </c>
      <c r="D1365" s="30" t="str">
        <f>IFERROR(VLOOKUP(C1365,소속부서!$A$2:$B$20,2,FALSE), "")</f>
        <v/>
      </c>
    </row>
    <row r="1366" spans="3:4" x14ac:dyDescent="0.3">
      <c r="C1366" s="35">
        <f t="shared" si="21"/>
        <v>0</v>
      </c>
      <c r="D1366" s="30" t="str">
        <f>IFERROR(VLOOKUP(C1366,소속부서!$A$2:$B$20,2,FALSE), "")</f>
        <v/>
      </c>
    </row>
    <row r="1367" spans="3:4" x14ac:dyDescent="0.3">
      <c r="C1367" s="35">
        <f t="shared" si="21"/>
        <v>0</v>
      </c>
      <c r="D1367" s="30" t="str">
        <f>IFERROR(VLOOKUP(C1367,소속부서!$A$2:$B$20,2,FALSE), "")</f>
        <v/>
      </c>
    </row>
    <row r="1368" spans="3:4" x14ac:dyDescent="0.3">
      <c r="C1368" s="35">
        <f t="shared" si="21"/>
        <v>0</v>
      </c>
      <c r="D1368" s="30" t="str">
        <f>IFERROR(VLOOKUP(C1368,소속부서!$A$2:$B$20,2,FALSE), "")</f>
        <v/>
      </c>
    </row>
    <row r="1369" spans="3:4" x14ac:dyDescent="0.3">
      <c r="C1369" s="35">
        <f t="shared" si="21"/>
        <v>0</v>
      </c>
      <c r="D1369" s="30" t="str">
        <f>IFERROR(VLOOKUP(C1369,소속부서!$A$2:$B$20,2,FALSE), "")</f>
        <v/>
      </c>
    </row>
    <row r="1370" spans="3:4" x14ac:dyDescent="0.3">
      <c r="C1370" s="35">
        <f t="shared" si="21"/>
        <v>0</v>
      </c>
      <c r="D1370" s="30" t="str">
        <f>IFERROR(VLOOKUP(C1370,소속부서!$A$2:$B$20,2,FALSE), "")</f>
        <v/>
      </c>
    </row>
    <row r="1371" spans="3:4" x14ac:dyDescent="0.3">
      <c r="C1371" s="35">
        <f t="shared" si="21"/>
        <v>0</v>
      </c>
      <c r="D1371" s="30" t="str">
        <f>IFERROR(VLOOKUP(C1371,소속부서!$A$2:$B$20,2,FALSE), "")</f>
        <v/>
      </c>
    </row>
    <row r="1372" spans="3:4" x14ac:dyDescent="0.3">
      <c r="C1372" s="35">
        <f t="shared" si="21"/>
        <v>0</v>
      </c>
      <c r="D1372" s="30" t="str">
        <f>IFERROR(VLOOKUP(C1372,소속부서!$A$2:$B$20,2,FALSE), "")</f>
        <v/>
      </c>
    </row>
    <row r="1373" spans="3:4" x14ac:dyDescent="0.3">
      <c r="C1373" s="35">
        <f t="shared" si="21"/>
        <v>0</v>
      </c>
      <c r="D1373" s="30" t="str">
        <f>IFERROR(VLOOKUP(C1373,소속부서!$A$2:$B$20,2,FALSE), "")</f>
        <v/>
      </c>
    </row>
    <row r="1374" spans="3:4" x14ac:dyDescent="0.3">
      <c r="C1374" s="35">
        <f t="shared" si="21"/>
        <v>0</v>
      </c>
      <c r="D1374" s="30" t="str">
        <f>IFERROR(VLOOKUP(C1374,소속부서!$A$2:$B$20,2,FALSE), "")</f>
        <v/>
      </c>
    </row>
    <row r="1375" spans="3:4" x14ac:dyDescent="0.3">
      <c r="C1375" s="35">
        <f t="shared" si="21"/>
        <v>0</v>
      </c>
      <c r="D1375" s="30" t="str">
        <f>IFERROR(VLOOKUP(C1375,소속부서!$A$2:$B$20,2,FALSE), "")</f>
        <v/>
      </c>
    </row>
    <row r="1376" spans="3:4" x14ac:dyDescent="0.3">
      <c r="C1376" s="35">
        <f t="shared" si="21"/>
        <v>0</v>
      </c>
      <c r="D1376" s="30" t="str">
        <f>IFERROR(VLOOKUP(C1376,소속부서!$A$2:$B$20,2,FALSE), "")</f>
        <v/>
      </c>
    </row>
    <row r="1377" spans="3:4" x14ac:dyDescent="0.3">
      <c r="C1377" s="35">
        <f t="shared" si="21"/>
        <v>0</v>
      </c>
      <c r="D1377" s="30" t="str">
        <f>IFERROR(VLOOKUP(C1377,소속부서!$A$2:$B$20,2,FALSE), "")</f>
        <v/>
      </c>
    </row>
    <row r="1378" spans="3:4" x14ac:dyDescent="0.3">
      <c r="C1378" s="35">
        <f t="shared" si="21"/>
        <v>0</v>
      </c>
      <c r="D1378" s="30" t="str">
        <f>IFERROR(VLOOKUP(C1378,소속부서!$A$2:$B$20,2,FALSE), "")</f>
        <v/>
      </c>
    </row>
    <row r="1379" spans="3:4" x14ac:dyDescent="0.3">
      <c r="C1379" s="35">
        <f t="shared" si="21"/>
        <v>0</v>
      </c>
      <c r="D1379" s="30" t="str">
        <f>IFERROR(VLOOKUP(C1379,소속부서!$A$2:$B$20,2,FALSE), "")</f>
        <v/>
      </c>
    </row>
    <row r="1380" spans="3:4" x14ac:dyDescent="0.3">
      <c r="C1380" s="35">
        <f t="shared" si="21"/>
        <v>0</v>
      </c>
      <c r="D1380" s="30" t="str">
        <f>IFERROR(VLOOKUP(C1380,소속부서!$A$2:$B$20,2,FALSE), "")</f>
        <v/>
      </c>
    </row>
    <row r="1381" spans="3:4" x14ac:dyDescent="0.3">
      <c r="C1381" s="35">
        <f t="shared" si="21"/>
        <v>0</v>
      </c>
      <c r="D1381" s="30" t="str">
        <f>IFERROR(VLOOKUP(C1381,소속부서!$A$2:$B$20,2,FALSE), "")</f>
        <v/>
      </c>
    </row>
    <row r="1382" spans="3:4" x14ac:dyDescent="0.3">
      <c r="C1382" s="35">
        <f t="shared" si="21"/>
        <v>0</v>
      </c>
      <c r="D1382" s="30" t="str">
        <f>IFERROR(VLOOKUP(C1382,소속부서!$A$2:$B$20,2,FALSE), "")</f>
        <v/>
      </c>
    </row>
    <row r="1383" spans="3:4" x14ac:dyDescent="0.3">
      <c r="C1383" s="35">
        <f t="shared" si="21"/>
        <v>0</v>
      </c>
      <c r="D1383" s="30" t="str">
        <f>IFERROR(VLOOKUP(C1383,소속부서!$A$2:$B$20,2,FALSE), "")</f>
        <v/>
      </c>
    </row>
    <row r="1384" spans="3:4" x14ac:dyDescent="0.3">
      <c r="C1384" s="35">
        <f t="shared" si="21"/>
        <v>0</v>
      </c>
      <c r="D1384" s="30" t="str">
        <f>IFERROR(VLOOKUP(C1384,소속부서!$A$2:$B$20,2,FALSE), "")</f>
        <v/>
      </c>
    </row>
    <row r="1385" spans="3:4" x14ac:dyDescent="0.3">
      <c r="C1385" s="35">
        <f t="shared" si="21"/>
        <v>0</v>
      </c>
      <c r="D1385" s="30" t="str">
        <f>IFERROR(VLOOKUP(C1385,소속부서!$A$2:$B$20,2,FALSE), "")</f>
        <v/>
      </c>
    </row>
    <row r="1386" spans="3:4" x14ac:dyDescent="0.3">
      <c r="C1386" s="35">
        <f t="shared" si="21"/>
        <v>0</v>
      </c>
      <c r="D1386" s="30" t="str">
        <f>IFERROR(VLOOKUP(C1386,소속부서!$A$2:$B$20,2,FALSE), "")</f>
        <v/>
      </c>
    </row>
    <row r="1387" spans="3:4" x14ac:dyDescent="0.3">
      <c r="C1387" s="35">
        <f t="shared" si="21"/>
        <v>0</v>
      </c>
      <c r="D1387" s="30" t="str">
        <f>IFERROR(VLOOKUP(C1387,소속부서!$A$2:$B$20,2,FALSE), "")</f>
        <v/>
      </c>
    </row>
    <row r="1388" spans="3:4" x14ac:dyDescent="0.3">
      <c r="C1388" s="35">
        <f t="shared" si="21"/>
        <v>0</v>
      </c>
      <c r="D1388" s="30" t="str">
        <f>IFERROR(VLOOKUP(C1388,소속부서!$A$2:$B$20,2,FALSE), "")</f>
        <v/>
      </c>
    </row>
    <row r="1389" spans="3:4" x14ac:dyDescent="0.3">
      <c r="C1389" s="35">
        <f t="shared" si="21"/>
        <v>0</v>
      </c>
      <c r="D1389" s="30" t="str">
        <f>IFERROR(VLOOKUP(C1389,소속부서!$A$2:$B$20,2,FALSE), "")</f>
        <v/>
      </c>
    </row>
    <row r="1390" spans="3:4" x14ac:dyDescent="0.3">
      <c r="C1390" s="35">
        <f t="shared" si="21"/>
        <v>0</v>
      </c>
      <c r="D1390" s="30" t="str">
        <f>IFERROR(VLOOKUP(C1390,소속부서!$A$2:$B$20,2,FALSE), "")</f>
        <v/>
      </c>
    </row>
    <row r="1391" spans="3:4" x14ac:dyDescent="0.3">
      <c r="C1391" s="35">
        <f t="shared" si="21"/>
        <v>0</v>
      </c>
      <c r="D1391" s="30" t="str">
        <f>IFERROR(VLOOKUP(C1391,소속부서!$A$2:$B$20,2,FALSE), "")</f>
        <v/>
      </c>
    </row>
    <row r="1392" spans="3:4" x14ac:dyDescent="0.3">
      <c r="C1392" s="35">
        <f t="shared" si="21"/>
        <v>0</v>
      </c>
      <c r="D1392" s="30" t="str">
        <f>IFERROR(VLOOKUP(C1392,소속부서!$A$2:$B$20,2,FALSE), "")</f>
        <v/>
      </c>
    </row>
    <row r="1393" spans="3:4" x14ac:dyDescent="0.3">
      <c r="C1393" s="35">
        <f t="shared" si="21"/>
        <v>0</v>
      </c>
      <c r="D1393" s="30" t="str">
        <f>IFERROR(VLOOKUP(C1393,소속부서!$A$2:$B$20,2,FALSE), "")</f>
        <v/>
      </c>
    </row>
    <row r="1394" spans="3:4" x14ac:dyDescent="0.3">
      <c r="C1394" s="35">
        <f t="shared" si="21"/>
        <v>0</v>
      </c>
      <c r="D1394" s="30" t="str">
        <f>IFERROR(VLOOKUP(C1394,소속부서!$A$2:$B$20,2,FALSE), "")</f>
        <v/>
      </c>
    </row>
    <row r="1395" spans="3:4" x14ac:dyDescent="0.3">
      <c r="C1395" s="35">
        <f t="shared" si="21"/>
        <v>0</v>
      </c>
      <c r="D1395" s="30" t="str">
        <f>IFERROR(VLOOKUP(C1395,소속부서!$A$2:$B$20,2,FALSE), "")</f>
        <v/>
      </c>
    </row>
    <row r="1396" spans="3:4" x14ac:dyDescent="0.3">
      <c r="C1396" s="35">
        <f t="shared" si="21"/>
        <v>0</v>
      </c>
      <c r="D1396" s="30" t="str">
        <f>IFERROR(VLOOKUP(C1396,소속부서!$A$2:$B$20,2,FALSE), "")</f>
        <v/>
      </c>
    </row>
    <row r="1397" spans="3:4" x14ac:dyDescent="0.3">
      <c r="C1397" s="35">
        <f t="shared" si="21"/>
        <v>0</v>
      </c>
      <c r="D1397" s="30" t="str">
        <f>IFERROR(VLOOKUP(C1397,소속부서!$A$2:$B$20,2,FALSE), "")</f>
        <v/>
      </c>
    </row>
    <row r="1398" spans="3:4" x14ac:dyDescent="0.3">
      <c r="C1398" s="35">
        <f t="shared" si="21"/>
        <v>0</v>
      </c>
      <c r="D1398" s="30" t="str">
        <f>IFERROR(VLOOKUP(C1398,소속부서!$A$2:$B$20,2,FALSE), "")</f>
        <v/>
      </c>
    </row>
    <row r="1399" spans="3:4" x14ac:dyDescent="0.3">
      <c r="C1399" s="35">
        <f t="shared" si="21"/>
        <v>0</v>
      </c>
      <c r="D1399" s="30" t="str">
        <f>IFERROR(VLOOKUP(C1399,소속부서!$A$2:$B$20,2,FALSE), "")</f>
        <v/>
      </c>
    </row>
    <row r="1400" spans="3:4" x14ac:dyDescent="0.3">
      <c r="C1400" s="35">
        <f t="shared" si="21"/>
        <v>0</v>
      </c>
      <c r="D1400" s="30" t="str">
        <f>IFERROR(VLOOKUP(C1400,소속부서!$A$2:$B$20,2,FALSE), "")</f>
        <v/>
      </c>
    </row>
    <row r="1401" spans="3:4" x14ac:dyDescent="0.3">
      <c r="C1401" s="35">
        <f t="shared" si="21"/>
        <v>0</v>
      </c>
      <c r="D1401" s="30" t="str">
        <f>IFERROR(VLOOKUP(C1401,소속부서!$A$2:$B$20,2,FALSE), "")</f>
        <v/>
      </c>
    </row>
    <row r="1402" spans="3:4" x14ac:dyDescent="0.3">
      <c r="C1402" s="35">
        <f t="shared" si="21"/>
        <v>0</v>
      </c>
      <c r="D1402" s="30" t="str">
        <f>IFERROR(VLOOKUP(C1402,소속부서!$A$2:$B$20,2,FALSE), "")</f>
        <v/>
      </c>
    </row>
    <row r="1403" spans="3:4" x14ac:dyDescent="0.3">
      <c r="C1403" s="35">
        <f t="shared" si="21"/>
        <v>0</v>
      </c>
      <c r="D1403" s="30" t="str">
        <f>IFERROR(VLOOKUP(C1403,소속부서!$A$2:$B$20,2,FALSE), "")</f>
        <v/>
      </c>
    </row>
    <row r="1404" spans="3:4" x14ac:dyDescent="0.3">
      <c r="C1404" s="35">
        <f t="shared" si="21"/>
        <v>0</v>
      </c>
      <c r="D1404" s="30" t="str">
        <f>IFERROR(VLOOKUP(C1404,소속부서!$A$2:$B$20,2,FALSE), "")</f>
        <v/>
      </c>
    </row>
    <row r="1405" spans="3:4" x14ac:dyDescent="0.3">
      <c r="C1405" s="35">
        <f t="shared" si="21"/>
        <v>0</v>
      </c>
      <c r="D1405" s="30" t="str">
        <f>IFERROR(VLOOKUP(C1405,소속부서!$A$2:$B$20,2,FALSE), "")</f>
        <v/>
      </c>
    </row>
    <row r="1406" spans="3:4" x14ac:dyDescent="0.3">
      <c r="C1406" s="35">
        <f t="shared" si="21"/>
        <v>0</v>
      </c>
      <c r="D1406" s="30" t="str">
        <f>IFERROR(VLOOKUP(C1406,소속부서!$A$2:$B$20,2,FALSE), "")</f>
        <v/>
      </c>
    </row>
    <row r="1407" spans="3:4" x14ac:dyDescent="0.3">
      <c r="C1407" s="35">
        <f t="shared" si="21"/>
        <v>0</v>
      </c>
      <c r="D1407" s="30" t="str">
        <f>IFERROR(VLOOKUP(C1407,소속부서!$A$2:$B$20,2,FALSE), "")</f>
        <v/>
      </c>
    </row>
    <row r="1408" spans="3:4" x14ac:dyDescent="0.3">
      <c r="C1408" s="35">
        <f t="shared" si="21"/>
        <v>0</v>
      </c>
      <c r="D1408" s="30" t="str">
        <f>IFERROR(VLOOKUP(C1408,소속부서!$A$2:$B$20,2,FALSE), "")</f>
        <v/>
      </c>
    </row>
    <row r="1409" spans="3:4" x14ac:dyDescent="0.3">
      <c r="C1409" s="35">
        <f t="shared" ref="C1409:C1472" si="22">E1409</f>
        <v>0</v>
      </c>
      <c r="D1409" s="30" t="str">
        <f>IFERROR(VLOOKUP(C1409,소속부서!$A$2:$B$20,2,FALSE), "")</f>
        <v/>
      </c>
    </row>
    <row r="1410" spans="3:4" x14ac:dyDescent="0.3">
      <c r="C1410" s="35">
        <f t="shared" si="22"/>
        <v>0</v>
      </c>
      <c r="D1410" s="30" t="str">
        <f>IFERROR(VLOOKUP(C1410,소속부서!$A$2:$B$20,2,FALSE), "")</f>
        <v/>
      </c>
    </row>
    <row r="1411" spans="3:4" x14ac:dyDescent="0.3">
      <c r="C1411" s="35">
        <f t="shared" si="22"/>
        <v>0</v>
      </c>
      <c r="D1411" s="30" t="str">
        <f>IFERROR(VLOOKUP(C1411,소속부서!$A$2:$B$20,2,FALSE), "")</f>
        <v/>
      </c>
    </row>
    <row r="1412" spans="3:4" x14ac:dyDescent="0.3">
      <c r="C1412" s="35">
        <f t="shared" si="22"/>
        <v>0</v>
      </c>
      <c r="D1412" s="30" t="str">
        <f>IFERROR(VLOOKUP(C1412,소속부서!$A$2:$B$20,2,FALSE), "")</f>
        <v/>
      </c>
    </row>
    <row r="1413" spans="3:4" x14ac:dyDescent="0.3">
      <c r="C1413" s="35">
        <f t="shared" si="22"/>
        <v>0</v>
      </c>
      <c r="D1413" s="30" t="str">
        <f>IFERROR(VLOOKUP(C1413,소속부서!$A$2:$B$20,2,FALSE), "")</f>
        <v/>
      </c>
    </row>
    <row r="1414" spans="3:4" x14ac:dyDescent="0.3">
      <c r="C1414" s="35">
        <f t="shared" si="22"/>
        <v>0</v>
      </c>
      <c r="D1414" s="30" t="str">
        <f>IFERROR(VLOOKUP(C1414,소속부서!$A$2:$B$20,2,FALSE), "")</f>
        <v/>
      </c>
    </row>
    <row r="1415" spans="3:4" x14ac:dyDescent="0.3">
      <c r="C1415" s="35">
        <f t="shared" si="22"/>
        <v>0</v>
      </c>
      <c r="D1415" s="30" t="str">
        <f>IFERROR(VLOOKUP(C1415,소속부서!$A$2:$B$20,2,FALSE), "")</f>
        <v/>
      </c>
    </row>
    <row r="1416" spans="3:4" x14ac:dyDescent="0.3">
      <c r="C1416" s="35">
        <f t="shared" si="22"/>
        <v>0</v>
      </c>
      <c r="D1416" s="30" t="str">
        <f>IFERROR(VLOOKUP(C1416,소속부서!$A$2:$B$20,2,FALSE), "")</f>
        <v/>
      </c>
    </row>
    <row r="1417" spans="3:4" x14ac:dyDescent="0.3">
      <c r="C1417" s="35">
        <f t="shared" si="22"/>
        <v>0</v>
      </c>
      <c r="D1417" s="30" t="str">
        <f>IFERROR(VLOOKUP(C1417,소속부서!$A$2:$B$20,2,FALSE), "")</f>
        <v/>
      </c>
    </row>
    <row r="1418" spans="3:4" x14ac:dyDescent="0.3">
      <c r="C1418" s="35">
        <f t="shared" si="22"/>
        <v>0</v>
      </c>
      <c r="D1418" s="30" t="str">
        <f>IFERROR(VLOOKUP(C1418,소속부서!$A$2:$B$20,2,FALSE), "")</f>
        <v/>
      </c>
    </row>
    <row r="1419" spans="3:4" x14ac:dyDescent="0.3">
      <c r="C1419" s="35">
        <f t="shared" si="22"/>
        <v>0</v>
      </c>
      <c r="D1419" s="30" t="str">
        <f>IFERROR(VLOOKUP(C1419,소속부서!$A$2:$B$20,2,FALSE), "")</f>
        <v/>
      </c>
    </row>
    <row r="1420" spans="3:4" x14ac:dyDescent="0.3">
      <c r="C1420" s="35">
        <f t="shared" si="22"/>
        <v>0</v>
      </c>
      <c r="D1420" s="30" t="str">
        <f>IFERROR(VLOOKUP(C1420,소속부서!$A$2:$B$20,2,FALSE), "")</f>
        <v/>
      </c>
    </row>
    <row r="1421" spans="3:4" x14ac:dyDescent="0.3">
      <c r="C1421" s="35">
        <f t="shared" si="22"/>
        <v>0</v>
      </c>
      <c r="D1421" s="30" t="str">
        <f>IFERROR(VLOOKUP(C1421,소속부서!$A$2:$B$20,2,FALSE), "")</f>
        <v/>
      </c>
    </row>
    <row r="1422" spans="3:4" x14ac:dyDescent="0.3">
      <c r="C1422" s="35">
        <f t="shared" si="22"/>
        <v>0</v>
      </c>
      <c r="D1422" s="30" t="str">
        <f>IFERROR(VLOOKUP(C1422,소속부서!$A$2:$B$20,2,FALSE), "")</f>
        <v/>
      </c>
    </row>
    <row r="1423" spans="3:4" x14ac:dyDescent="0.3">
      <c r="C1423" s="35">
        <f t="shared" si="22"/>
        <v>0</v>
      </c>
      <c r="D1423" s="30" t="str">
        <f>IFERROR(VLOOKUP(C1423,소속부서!$A$2:$B$20,2,FALSE), "")</f>
        <v/>
      </c>
    </row>
    <row r="1424" spans="3:4" x14ac:dyDescent="0.3">
      <c r="C1424" s="35">
        <f t="shared" si="22"/>
        <v>0</v>
      </c>
      <c r="D1424" s="30" t="str">
        <f>IFERROR(VLOOKUP(C1424,소속부서!$A$2:$B$20,2,FALSE), "")</f>
        <v/>
      </c>
    </row>
    <row r="1425" spans="3:4" x14ac:dyDescent="0.3">
      <c r="C1425" s="35">
        <f t="shared" si="22"/>
        <v>0</v>
      </c>
      <c r="D1425" s="30" t="str">
        <f>IFERROR(VLOOKUP(C1425,소속부서!$A$2:$B$20,2,FALSE), "")</f>
        <v/>
      </c>
    </row>
    <row r="1426" spans="3:4" x14ac:dyDescent="0.3">
      <c r="C1426" s="35">
        <f t="shared" si="22"/>
        <v>0</v>
      </c>
      <c r="D1426" s="30" t="str">
        <f>IFERROR(VLOOKUP(C1426,소속부서!$A$2:$B$20,2,FALSE), "")</f>
        <v/>
      </c>
    </row>
    <row r="1427" spans="3:4" x14ac:dyDescent="0.3">
      <c r="C1427" s="35">
        <f t="shared" si="22"/>
        <v>0</v>
      </c>
      <c r="D1427" s="30" t="str">
        <f>IFERROR(VLOOKUP(C1427,소속부서!$A$2:$B$20,2,FALSE), "")</f>
        <v/>
      </c>
    </row>
    <row r="1428" spans="3:4" x14ac:dyDescent="0.3">
      <c r="C1428" s="35">
        <f t="shared" si="22"/>
        <v>0</v>
      </c>
      <c r="D1428" s="30" t="str">
        <f>IFERROR(VLOOKUP(C1428,소속부서!$A$2:$B$20,2,FALSE), "")</f>
        <v/>
      </c>
    </row>
    <row r="1429" spans="3:4" x14ac:dyDescent="0.3">
      <c r="C1429" s="35">
        <f t="shared" si="22"/>
        <v>0</v>
      </c>
      <c r="D1429" s="30" t="str">
        <f>IFERROR(VLOOKUP(C1429,소속부서!$A$2:$B$20,2,FALSE), "")</f>
        <v/>
      </c>
    </row>
    <row r="1430" spans="3:4" x14ac:dyDescent="0.3">
      <c r="C1430" s="35">
        <f t="shared" si="22"/>
        <v>0</v>
      </c>
      <c r="D1430" s="30" t="str">
        <f>IFERROR(VLOOKUP(C1430,소속부서!$A$2:$B$20,2,FALSE), "")</f>
        <v/>
      </c>
    </row>
    <row r="1431" spans="3:4" x14ac:dyDescent="0.3">
      <c r="C1431" s="35">
        <f t="shared" si="22"/>
        <v>0</v>
      </c>
      <c r="D1431" s="30" t="str">
        <f>IFERROR(VLOOKUP(C1431,소속부서!$A$2:$B$20,2,FALSE), "")</f>
        <v/>
      </c>
    </row>
    <row r="1432" spans="3:4" x14ac:dyDescent="0.3">
      <c r="C1432" s="35">
        <f t="shared" si="22"/>
        <v>0</v>
      </c>
      <c r="D1432" s="30" t="str">
        <f>IFERROR(VLOOKUP(C1432,소속부서!$A$2:$B$20,2,FALSE), "")</f>
        <v/>
      </c>
    </row>
    <row r="1433" spans="3:4" x14ac:dyDescent="0.3">
      <c r="C1433" s="35">
        <f t="shared" si="22"/>
        <v>0</v>
      </c>
      <c r="D1433" s="30" t="str">
        <f>IFERROR(VLOOKUP(C1433,소속부서!$A$2:$B$20,2,FALSE), "")</f>
        <v/>
      </c>
    </row>
    <row r="1434" spans="3:4" x14ac:dyDescent="0.3">
      <c r="C1434" s="35">
        <f t="shared" si="22"/>
        <v>0</v>
      </c>
      <c r="D1434" s="30" t="str">
        <f>IFERROR(VLOOKUP(C1434,소속부서!$A$2:$B$20,2,FALSE), "")</f>
        <v/>
      </c>
    </row>
    <row r="1435" spans="3:4" x14ac:dyDescent="0.3">
      <c r="C1435" s="35">
        <f t="shared" si="22"/>
        <v>0</v>
      </c>
      <c r="D1435" s="30" t="str">
        <f>IFERROR(VLOOKUP(C1435,소속부서!$A$2:$B$20,2,FALSE), "")</f>
        <v/>
      </c>
    </row>
    <row r="1436" spans="3:4" x14ac:dyDescent="0.3">
      <c r="C1436" s="35">
        <f t="shared" si="22"/>
        <v>0</v>
      </c>
      <c r="D1436" s="30" t="str">
        <f>IFERROR(VLOOKUP(C1436,소속부서!$A$2:$B$20,2,FALSE), "")</f>
        <v/>
      </c>
    </row>
    <row r="1437" spans="3:4" x14ac:dyDescent="0.3">
      <c r="C1437" s="35">
        <f t="shared" si="22"/>
        <v>0</v>
      </c>
      <c r="D1437" s="30" t="str">
        <f>IFERROR(VLOOKUP(C1437,소속부서!$A$2:$B$20,2,FALSE), "")</f>
        <v/>
      </c>
    </row>
    <row r="1438" spans="3:4" x14ac:dyDescent="0.3">
      <c r="C1438" s="35">
        <f t="shared" si="22"/>
        <v>0</v>
      </c>
      <c r="D1438" s="30" t="str">
        <f>IFERROR(VLOOKUP(C1438,소속부서!$A$2:$B$20,2,FALSE), "")</f>
        <v/>
      </c>
    </row>
    <row r="1439" spans="3:4" x14ac:dyDescent="0.3">
      <c r="C1439" s="35">
        <f t="shared" si="22"/>
        <v>0</v>
      </c>
      <c r="D1439" s="30" t="str">
        <f>IFERROR(VLOOKUP(C1439,소속부서!$A$2:$B$20,2,FALSE), "")</f>
        <v/>
      </c>
    </row>
    <row r="1440" spans="3:4" x14ac:dyDescent="0.3">
      <c r="C1440" s="35">
        <f t="shared" si="22"/>
        <v>0</v>
      </c>
      <c r="D1440" s="30" t="str">
        <f>IFERROR(VLOOKUP(C1440,소속부서!$A$2:$B$20,2,FALSE), "")</f>
        <v/>
      </c>
    </row>
    <row r="1441" spans="3:4" x14ac:dyDescent="0.3">
      <c r="C1441" s="35">
        <f t="shared" si="22"/>
        <v>0</v>
      </c>
      <c r="D1441" s="30" t="str">
        <f>IFERROR(VLOOKUP(C1441,소속부서!$A$2:$B$20,2,FALSE), "")</f>
        <v/>
      </c>
    </row>
    <row r="1442" spans="3:4" x14ac:dyDescent="0.3">
      <c r="C1442" s="35">
        <f t="shared" si="22"/>
        <v>0</v>
      </c>
      <c r="D1442" s="30" t="str">
        <f>IFERROR(VLOOKUP(C1442,소속부서!$A$2:$B$20,2,FALSE), "")</f>
        <v/>
      </c>
    </row>
    <row r="1443" spans="3:4" x14ac:dyDescent="0.3">
      <c r="C1443" s="35">
        <f t="shared" si="22"/>
        <v>0</v>
      </c>
      <c r="D1443" s="30" t="str">
        <f>IFERROR(VLOOKUP(C1443,소속부서!$A$2:$B$20,2,FALSE), "")</f>
        <v/>
      </c>
    </row>
    <row r="1444" spans="3:4" x14ac:dyDescent="0.3">
      <c r="C1444" s="35">
        <f t="shared" si="22"/>
        <v>0</v>
      </c>
      <c r="D1444" s="30" t="str">
        <f>IFERROR(VLOOKUP(C1444,소속부서!$A$2:$B$20,2,FALSE), "")</f>
        <v/>
      </c>
    </row>
    <row r="1445" spans="3:4" x14ac:dyDescent="0.3">
      <c r="C1445" s="35">
        <f t="shared" si="22"/>
        <v>0</v>
      </c>
      <c r="D1445" s="30" t="str">
        <f>IFERROR(VLOOKUP(C1445,소속부서!$A$2:$B$20,2,FALSE), "")</f>
        <v/>
      </c>
    </row>
    <row r="1446" spans="3:4" x14ac:dyDescent="0.3">
      <c r="C1446" s="35">
        <f t="shared" si="22"/>
        <v>0</v>
      </c>
      <c r="D1446" s="30" t="str">
        <f>IFERROR(VLOOKUP(C1446,소속부서!$A$2:$B$20,2,FALSE), "")</f>
        <v/>
      </c>
    </row>
    <row r="1447" spans="3:4" x14ac:dyDescent="0.3">
      <c r="C1447" s="35">
        <f t="shared" si="22"/>
        <v>0</v>
      </c>
      <c r="D1447" s="30" t="str">
        <f>IFERROR(VLOOKUP(C1447,소속부서!$A$2:$B$20,2,FALSE), "")</f>
        <v/>
      </c>
    </row>
    <row r="1448" spans="3:4" x14ac:dyDescent="0.3">
      <c r="C1448" s="35">
        <f t="shared" si="22"/>
        <v>0</v>
      </c>
      <c r="D1448" s="30" t="str">
        <f>IFERROR(VLOOKUP(C1448,소속부서!$A$2:$B$20,2,FALSE), "")</f>
        <v/>
      </c>
    </row>
    <row r="1449" spans="3:4" x14ac:dyDescent="0.3">
      <c r="C1449" s="35">
        <f t="shared" si="22"/>
        <v>0</v>
      </c>
      <c r="D1449" s="30" t="str">
        <f>IFERROR(VLOOKUP(C1449,소속부서!$A$2:$B$20,2,FALSE), "")</f>
        <v/>
      </c>
    </row>
    <row r="1450" spans="3:4" x14ac:dyDescent="0.3">
      <c r="C1450" s="35">
        <f t="shared" si="22"/>
        <v>0</v>
      </c>
      <c r="D1450" s="30" t="str">
        <f>IFERROR(VLOOKUP(C1450,소속부서!$A$2:$B$20,2,FALSE), "")</f>
        <v/>
      </c>
    </row>
    <row r="1451" spans="3:4" x14ac:dyDescent="0.3">
      <c r="C1451" s="35">
        <f t="shared" si="22"/>
        <v>0</v>
      </c>
      <c r="D1451" s="30" t="str">
        <f>IFERROR(VLOOKUP(C1451,소속부서!$A$2:$B$20,2,FALSE), "")</f>
        <v/>
      </c>
    </row>
    <row r="1452" spans="3:4" x14ac:dyDescent="0.3">
      <c r="C1452" s="35">
        <f t="shared" si="22"/>
        <v>0</v>
      </c>
      <c r="D1452" s="30" t="str">
        <f>IFERROR(VLOOKUP(C1452,소속부서!$A$2:$B$20,2,FALSE), "")</f>
        <v/>
      </c>
    </row>
    <row r="1453" spans="3:4" x14ac:dyDescent="0.3">
      <c r="C1453" s="35">
        <f t="shared" si="22"/>
        <v>0</v>
      </c>
      <c r="D1453" s="30" t="str">
        <f>IFERROR(VLOOKUP(C1453,소속부서!$A$2:$B$20,2,FALSE), "")</f>
        <v/>
      </c>
    </row>
    <row r="1454" spans="3:4" x14ac:dyDescent="0.3">
      <c r="C1454" s="35">
        <f t="shared" si="22"/>
        <v>0</v>
      </c>
      <c r="D1454" s="30" t="str">
        <f>IFERROR(VLOOKUP(C1454,소속부서!$A$2:$B$20,2,FALSE), "")</f>
        <v/>
      </c>
    </row>
    <row r="1455" spans="3:4" x14ac:dyDescent="0.3">
      <c r="C1455" s="35">
        <f t="shared" si="22"/>
        <v>0</v>
      </c>
      <c r="D1455" s="30" t="str">
        <f>IFERROR(VLOOKUP(C1455,소속부서!$A$2:$B$20,2,FALSE), "")</f>
        <v/>
      </c>
    </row>
    <row r="1456" spans="3:4" x14ac:dyDescent="0.3">
      <c r="C1456" s="35">
        <f t="shared" si="22"/>
        <v>0</v>
      </c>
      <c r="D1456" s="30" t="str">
        <f>IFERROR(VLOOKUP(C1456,소속부서!$A$2:$B$20,2,FALSE), "")</f>
        <v/>
      </c>
    </row>
    <row r="1457" spans="3:4" x14ac:dyDescent="0.3">
      <c r="C1457" s="35">
        <f t="shared" si="22"/>
        <v>0</v>
      </c>
      <c r="D1457" s="30" t="str">
        <f>IFERROR(VLOOKUP(C1457,소속부서!$A$2:$B$20,2,FALSE), "")</f>
        <v/>
      </c>
    </row>
    <row r="1458" spans="3:4" x14ac:dyDescent="0.3">
      <c r="C1458" s="35">
        <f t="shared" si="22"/>
        <v>0</v>
      </c>
      <c r="D1458" s="30" t="str">
        <f>IFERROR(VLOOKUP(C1458,소속부서!$A$2:$B$20,2,FALSE), "")</f>
        <v/>
      </c>
    </row>
    <row r="1459" spans="3:4" x14ac:dyDescent="0.3">
      <c r="C1459" s="35">
        <f t="shared" si="22"/>
        <v>0</v>
      </c>
      <c r="D1459" s="30" t="str">
        <f>IFERROR(VLOOKUP(C1459,소속부서!$A$2:$B$20,2,FALSE), "")</f>
        <v/>
      </c>
    </row>
    <row r="1460" spans="3:4" x14ac:dyDescent="0.3">
      <c r="C1460" s="35">
        <f t="shared" si="22"/>
        <v>0</v>
      </c>
      <c r="D1460" s="30" t="str">
        <f>IFERROR(VLOOKUP(C1460,소속부서!$A$2:$B$20,2,FALSE), "")</f>
        <v/>
      </c>
    </row>
    <row r="1461" spans="3:4" x14ac:dyDescent="0.3">
      <c r="C1461" s="35">
        <f t="shared" si="22"/>
        <v>0</v>
      </c>
      <c r="D1461" s="30" t="str">
        <f>IFERROR(VLOOKUP(C1461,소속부서!$A$2:$B$20,2,FALSE), "")</f>
        <v/>
      </c>
    </row>
    <row r="1462" spans="3:4" x14ac:dyDescent="0.3">
      <c r="C1462" s="35">
        <f t="shared" si="22"/>
        <v>0</v>
      </c>
      <c r="D1462" s="30" t="str">
        <f>IFERROR(VLOOKUP(C1462,소속부서!$A$2:$B$20,2,FALSE), "")</f>
        <v/>
      </c>
    </row>
    <row r="1463" spans="3:4" x14ac:dyDescent="0.3">
      <c r="C1463" s="35">
        <f t="shared" si="22"/>
        <v>0</v>
      </c>
      <c r="D1463" s="30" t="str">
        <f>IFERROR(VLOOKUP(C1463,소속부서!$A$2:$B$20,2,FALSE), "")</f>
        <v/>
      </c>
    </row>
    <row r="1464" spans="3:4" x14ac:dyDescent="0.3">
      <c r="C1464" s="35">
        <f t="shared" si="22"/>
        <v>0</v>
      </c>
      <c r="D1464" s="30" t="str">
        <f>IFERROR(VLOOKUP(C1464,소속부서!$A$2:$B$20,2,FALSE), "")</f>
        <v/>
      </c>
    </row>
    <row r="1465" spans="3:4" x14ac:dyDescent="0.3">
      <c r="C1465" s="35">
        <f t="shared" si="22"/>
        <v>0</v>
      </c>
      <c r="D1465" s="30" t="str">
        <f>IFERROR(VLOOKUP(C1465,소속부서!$A$2:$B$20,2,FALSE), "")</f>
        <v/>
      </c>
    </row>
    <row r="1466" spans="3:4" x14ac:dyDescent="0.3">
      <c r="C1466" s="35">
        <f t="shared" si="22"/>
        <v>0</v>
      </c>
      <c r="D1466" s="30" t="str">
        <f>IFERROR(VLOOKUP(C1466,소속부서!$A$2:$B$20,2,FALSE), "")</f>
        <v/>
      </c>
    </row>
    <row r="1467" spans="3:4" x14ac:dyDescent="0.3">
      <c r="C1467" s="35">
        <f t="shared" si="22"/>
        <v>0</v>
      </c>
      <c r="D1467" s="30" t="str">
        <f>IFERROR(VLOOKUP(C1467,소속부서!$A$2:$B$20,2,FALSE), "")</f>
        <v/>
      </c>
    </row>
    <row r="1468" spans="3:4" x14ac:dyDescent="0.3">
      <c r="C1468" s="35">
        <f t="shared" si="22"/>
        <v>0</v>
      </c>
      <c r="D1468" s="30" t="str">
        <f>IFERROR(VLOOKUP(C1468,소속부서!$A$2:$B$20,2,FALSE), "")</f>
        <v/>
      </c>
    </row>
    <row r="1469" spans="3:4" x14ac:dyDescent="0.3">
      <c r="C1469" s="35">
        <f t="shared" si="22"/>
        <v>0</v>
      </c>
      <c r="D1469" s="30" t="str">
        <f>IFERROR(VLOOKUP(C1469,소속부서!$A$2:$B$20,2,FALSE), "")</f>
        <v/>
      </c>
    </row>
    <row r="1470" spans="3:4" x14ac:dyDescent="0.3">
      <c r="C1470" s="35">
        <f t="shared" si="22"/>
        <v>0</v>
      </c>
      <c r="D1470" s="30" t="str">
        <f>IFERROR(VLOOKUP(C1470,소속부서!$A$2:$B$20,2,FALSE), "")</f>
        <v/>
      </c>
    </row>
    <row r="1471" spans="3:4" x14ac:dyDescent="0.3">
      <c r="C1471" s="35">
        <f t="shared" si="22"/>
        <v>0</v>
      </c>
      <c r="D1471" s="30" t="str">
        <f>IFERROR(VLOOKUP(C1471,소속부서!$A$2:$B$20,2,FALSE), "")</f>
        <v/>
      </c>
    </row>
    <row r="1472" spans="3:4" x14ac:dyDescent="0.3">
      <c r="C1472" s="35">
        <f t="shared" si="22"/>
        <v>0</v>
      </c>
      <c r="D1472" s="30" t="str">
        <f>IFERROR(VLOOKUP(C1472,소속부서!$A$2:$B$20,2,FALSE), "")</f>
        <v/>
      </c>
    </row>
    <row r="1473" spans="3:4" x14ac:dyDescent="0.3">
      <c r="C1473" s="35">
        <f t="shared" ref="C1473:C1536" si="23">E1473</f>
        <v>0</v>
      </c>
      <c r="D1473" s="30" t="str">
        <f>IFERROR(VLOOKUP(C1473,소속부서!$A$2:$B$20,2,FALSE), "")</f>
        <v/>
      </c>
    </row>
    <row r="1474" spans="3:4" x14ac:dyDescent="0.3">
      <c r="C1474" s="35">
        <f t="shared" si="23"/>
        <v>0</v>
      </c>
      <c r="D1474" s="30" t="str">
        <f>IFERROR(VLOOKUP(C1474,소속부서!$A$2:$B$20,2,FALSE), "")</f>
        <v/>
      </c>
    </row>
    <row r="1475" spans="3:4" x14ac:dyDescent="0.3">
      <c r="C1475" s="35">
        <f t="shared" si="23"/>
        <v>0</v>
      </c>
      <c r="D1475" s="30" t="str">
        <f>IFERROR(VLOOKUP(C1475,소속부서!$A$2:$B$20,2,FALSE), "")</f>
        <v/>
      </c>
    </row>
    <row r="1476" spans="3:4" x14ac:dyDescent="0.3">
      <c r="C1476" s="35">
        <f t="shared" si="23"/>
        <v>0</v>
      </c>
      <c r="D1476" s="30" t="str">
        <f>IFERROR(VLOOKUP(C1476,소속부서!$A$2:$B$20,2,FALSE), "")</f>
        <v/>
      </c>
    </row>
    <row r="1477" spans="3:4" x14ac:dyDescent="0.3">
      <c r="C1477" s="35">
        <f t="shared" si="23"/>
        <v>0</v>
      </c>
      <c r="D1477" s="30" t="str">
        <f>IFERROR(VLOOKUP(C1477,소속부서!$A$2:$B$20,2,FALSE), "")</f>
        <v/>
      </c>
    </row>
    <row r="1478" spans="3:4" x14ac:dyDescent="0.3">
      <c r="C1478" s="35">
        <f t="shared" si="23"/>
        <v>0</v>
      </c>
      <c r="D1478" s="30" t="str">
        <f>IFERROR(VLOOKUP(C1478,소속부서!$A$2:$B$20,2,FALSE), "")</f>
        <v/>
      </c>
    </row>
    <row r="1479" spans="3:4" x14ac:dyDescent="0.3">
      <c r="C1479" s="35">
        <f t="shared" si="23"/>
        <v>0</v>
      </c>
      <c r="D1479" s="30" t="str">
        <f>IFERROR(VLOOKUP(C1479,소속부서!$A$2:$B$20,2,FALSE), "")</f>
        <v/>
      </c>
    </row>
    <row r="1480" spans="3:4" x14ac:dyDescent="0.3">
      <c r="C1480" s="35">
        <f t="shared" si="23"/>
        <v>0</v>
      </c>
      <c r="D1480" s="30" t="str">
        <f>IFERROR(VLOOKUP(C1480,소속부서!$A$2:$B$20,2,FALSE), "")</f>
        <v/>
      </c>
    </row>
    <row r="1481" spans="3:4" x14ac:dyDescent="0.3">
      <c r="C1481" s="35">
        <f t="shared" si="23"/>
        <v>0</v>
      </c>
      <c r="D1481" s="30" t="str">
        <f>IFERROR(VLOOKUP(C1481,소속부서!$A$2:$B$20,2,FALSE), "")</f>
        <v/>
      </c>
    </row>
    <row r="1482" spans="3:4" x14ac:dyDescent="0.3">
      <c r="C1482" s="35">
        <f t="shared" si="23"/>
        <v>0</v>
      </c>
      <c r="D1482" s="30" t="str">
        <f>IFERROR(VLOOKUP(C1482,소속부서!$A$2:$B$20,2,FALSE), "")</f>
        <v/>
      </c>
    </row>
    <row r="1483" spans="3:4" x14ac:dyDescent="0.3">
      <c r="C1483" s="35">
        <f t="shared" si="23"/>
        <v>0</v>
      </c>
      <c r="D1483" s="30" t="str">
        <f>IFERROR(VLOOKUP(C1483,소속부서!$A$2:$B$20,2,FALSE), "")</f>
        <v/>
      </c>
    </row>
    <row r="1484" spans="3:4" x14ac:dyDescent="0.3">
      <c r="C1484" s="35">
        <f t="shared" si="23"/>
        <v>0</v>
      </c>
      <c r="D1484" s="30" t="str">
        <f>IFERROR(VLOOKUP(C1484,소속부서!$A$2:$B$20,2,FALSE), "")</f>
        <v/>
      </c>
    </row>
    <row r="1485" spans="3:4" x14ac:dyDescent="0.3">
      <c r="C1485" s="35">
        <f t="shared" si="23"/>
        <v>0</v>
      </c>
      <c r="D1485" s="30" t="str">
        <f>IFERROR(VLOOKUP(C1485,소속부서!$A$2:$B$20,2,FALSE), "")</f>
        <v/>
      </c>
    </row>
    <row r="1486" spans="3:4" x14ac:dyDescent="0.3">
      <c r="C1486" s="35">
        <f t="shared" si="23"/>
        <v>0</v>
      </c>
      <c r="D1486" s="30" t="str">
        <f>IFERROR(VLOOKUP(C1486,소속부서!$A$2:$B$20,2,FALSE), "")</f>
        <v/>
      </c>
    </row>
    <row r="1487" spans="3:4" x14ac:dyDescent="0.3">
      <c r="C1487" s="35">
        <f t="shared" si="23"/>
        <v>0</v>
      </c>
      <c r="D1487" s="30" t="str">
        <f>IFERROR(VLOOKUP(C1487,소속부서!$A$2:$B$20,2,FALSE), "")</f>
        <v/>
      </c>
    </row>
    <row r="1488" spans="3:4" x14ac:dyDescent="0.3">
      <c r="C1488" s="35">
        <f t="shared" si="23"/>
        <v>0</v>
      </c>
      <c r="D1488" s="30" t="str">
        <f>IFERROR(VLOOKUP(C1488,소속부서!$A$2:$B$20,2,FALSE), "")</f>
        <v/>
      </c>
    </row>
    <row r="1489" spans="3:4" x14ac:dyDescent="0.3">
      <c r="C1489" s="35">
        <f t="shared" si="23"/>
        <v>0</v>
      </c>
      <c r="D1489" s="30" t="str">
        <f>IFERROR(VLOOKUP(C1489,소속부서!$A$2:$B$20,2,FALSE), "")</f>
        <v/>
      </c>
    </row>
    <row r="1490" spans="3:4" x14ac:dyDescent="0.3">
      <c r="C1490" s="35">
        <f t="shared" si="23"/>
        <v>0</v>
      </c>
      <c r="D1490" s="30" t="str">
        <f>IFERROR(VLOOKUP(C1490,소속부서!$A$2:$B$20,2,FALSE), "")</f>
        <v/>
      </c>
    </row>
    <row r="1491" spans="3:4" x14ac:dyDescent="0.3">
      <c r="C1491" s="35">
        <f t="shared" si="23"/>
        <v>0</v>
      </c>
      <c r="D1491" s="30" t="str">
        <f>IFERROR(VLOOKUP(C1491,소속부서!$A$2:$B$20,2,FALSE), "")</f>
        <v/>
      </c>
    </row>
    <row r="1492" spans="3:4" x14ac:dyDescent="0.3">
      <c r="C1492" s="35">
        <f t="shared" si="23"/>
        <v>0</v>
      </c>
      <c r="D1492" s="30" t="str">
        <f>IFERROR(VLOOKUP(C1492,소속부서!$A$2:$B$20,2,FALSE), "")</f>
        <v/>
      </c>
    </row>
    <row r="1493" spans="3:4" x14ac:dyDescent="0.3">
      <c r="C1493" s="35">
        <f t="shared" si="23"/>
        <v>0</v>
      </c>
      <c r="D1493" s="30" t="str">
        <f>IFERROR(VLOOKUP(C1493,소속부서!$A$2:$B$20,2,FALSE), "")</f>
        <v/>
      </c>
    </row>
    <row r="1494" spans="3:4" x14ac:dyDescent="0.3">
      <c r="C1494" s="35">
        <f t="shared" si="23"/>
        <v>0</v>
      </c>
      <c r="D1494" s="30" t="str">
        <f>IFERROR(VLOOKUP(C1494,소속부서!$A$2:$B$20,2,FALSE), "")</f>
        <v/>
      </c>
    </row>
    <row r="1495" spans="3:4" x14ac:dyDescent="0.3">
      <c r="C1495" s="35">
        <f t="shared" si="23"/>
        <v>0</v>
      </c>
      <c r="D1495" s="30" t="str">
        <f>IFERROR(VLOOKUP(C1495,소속부서!$A$2:$B$20,2,FALSE), "")</f>
        <v/>
      </c>
    </row>
    <row r="1496" spans="3:4" x14ac:dyDescent="0.3">
      <c r="C1496" s="35">
        <f t="shared" si="23"/>
        <v>0</v>
      </c>
      <c r="D1496" s="30" t="str">
        <f>IFERROR(VLOOKUP(C1496,소속부서!$A$2:$B$20,2,FALSE), "")</f>
        <v/>
      </c>
    </row>
    <row r="1497" spans="3:4" x14ac:dyDescent="0.3">
      <c r="C1497" s="35">
        <f t="shared" si="23"/>
        <v>0</v>
      </c>
      <c r="D1497" s="30" t="str">
        <f>IFERROR(VLOOKUP(C1497,소속부서!$A$2:$B$20,2,FALSE), "")</f>
        <v/>
      </c>
    </row>
    <row r="1498" spans="3:4" x14ac:dyDescent="0.3">
      <c r="C1498" s="35">
        <f t="shared" si="23"/>
        <v>0</v>
      </c>
      <c r="D1498" s="30" t="str">
        <f>IFERROR(VLOOKUP(C1498,소속부서!$A$2:$B$20,2,FALSE), "")</f>
        <v/>
      </c>
    </row>
    <row r="1499" spans="3:4" x14ac:dyDescent="0.3">
      <c r="C1499" s="35">
        <f t="shared" si="23"/>
        <v>0</v>
      </c>
      <c r="D1499" s="30" t="str">
        <f>IFERROR(VLOOKUP(C1499,소속부서!$A$2:$B$20,2,FALSE), "")</f>
        <v/>
      </c>
    </row>
    <row r="1500" spans="3:4" x14ac:dyDescent="0.3">
      <c r="C1500" s="35">
        <f t="shared" si="23"/>
        <v>0</v>
      </c>
      <c r="D1500" s="30" t="str">
        <f>IFERROR(VLOOKUP(C1500,소속부서!$A$2:$B$20,2,FALSE), "")</f>
        <v/>
      </c>
    </row>
    <row r="1501" spans="3:4" x14ac:dyDescent="0.3">
      <c r="C1501" s="35">
        <f t="shared" si="23"/>
        <v>0</v>
      </c>
      <c r="D1501" s="30" t="str">
        <f>IFERROR(VLOOKUP(C1501,소속부서!$A$2:$B$20,2,FALSE), "")</f>
        <v/>
      </c>
    </row>
    <row r="1502" spans="3:4" x14ac:dyDescent="0.3">
      <c r="C1502" s="35">
        <f t="shared" si="23"/>
        <v>0</v>
      </c>
      <c r="D1502" s="30" t="str">
        <f>IFERROR(VLOOKUP(C1502,소속부서!$A$2:$B$20,2,FALSE), "")</f>
        <v/>
      </c>
    </row>
    <row r="1503" spans="3:4" x14ac:dyDescent="0.3">
      <c r="C1503" s="35">
        <f t="shared" si="23"/>
        <v>0</v>
      </c>
      <c r="D1503" s="30" t="str">
        <f>IFERROR(VLOOKUP(C1503,소속부서!$A$2:$B$20,2,FALSE), "")</f>
        <v/>
      </c>
    </row>
    <row r="1504" spans="3:4" x14ac:dyDescent="0.3">
      <c r="C1504" s="35">
        <f t="shared" si="23"/>
        <v>0</v>
      </c>
      <c r="D1504" s="30" t="str">
        <f>IFERROR(VLOOKUP(C1504,소속부서!$A$2:$B$20,2,FALSE), "")</f>
        <v/>
      </c>
    </row>
    <row r="1505" spans="3:4" x14ac:dyDescent="0.3">
      <c r="C1505" s="35">
        <f t="shared" si="23"/>
        <v>0</v>
      </c>
      <c r="D1505" s="30" t="str">
        <f>IFERROR(VLOOKUP(C1505,소속부서!$A$2:$B$20,2,FALSE), "")</f>
        <v/>
      </c>
    </row>
    <row r="1506" spans="3:4" x14ac:dyDescent="0.3">
      <c r="C1506" s="35">
        <f t="shared" si="23"/>
        <v>0</v>
      </c>
      <c r="D1506" s="30" t="str">
        <f>IFERROR(VLOOKUP(C1506,소속부서!$A$2:$B$20,2,FALSE), "")</f>
        <v/>
      </c>
    </row>
    <row r="1507" spans="3:4" x14ac:dyDescent="0.3">
      <c r="C1507" s="35">
        <f t="shared" si="23"/>
        <v>0</v>
      </c>
      <c r="D1507" s="30" t="str">
        <f>IFERROR(VLOOKUP(C1507,소속부서!$A$2:$B$20,2,FALSE), "")</f>
        <v/>
      </c>
    </row>
    <row r="1508" spans="3:4" x14ac:dyDescent="0.3">
      <c r="C1508" s="35">
        <f t="shared" si="23"/>
        <v>0</v>
      </c>
      <c r="D1508" s="30" t="str">
        <f>IFERROR(VLOOKUP(C1508,소속부서!$A$2:$B$20,2,FALSE), "")</f>
        <v/>
      </c>
    </row>
    <row r="1509" spans="3:4" x14ac:dyDescent="0.3">
      <c r="C1509" s="35">
        <f t="shared" si="23"/>
        <v>0</v>
      </c>
      <c r="D1509" s="30" t="str">
        <f>IFERROR(VLOOKUP(C1509,소속부서!$A$2:$B$20,2,FALSE), "")</f>
        <v/>
      </c>
    </row>
    <row r="1510" spans="3:4" x14ac:dyDescent="0.3">
      <c r="C1510" s="35">
        <f t="shared" si="23"/>
        <v>0</v>
      </c>
      <c r="D1510" s="30" t="str">
        <f>IFERROR(VLOOKUP(C1510,소속부서!$A$2:$B$20,2,FALSE), "")</f>
        <v/>
      </c>
    </row>
    <row r="1511" spans="3:4" x14ac:dyDescent="0.3">
      <c r="C1511" s="35">
        <f t="shared" si="23"/>
        <v>0</v>
      </c>
      <c r="D1511" s="30" t="str">
        <f>IFERROR(VLOOKUP(C1511,소속부서!$A$2:$B$20,2,FALSE), "")</f>
        <v/>
      </c>
    </row>
    <row r="1512" spans="3:4" x14ac:dyDescent="0.3">
      <c r="C1512" s="35">
        <f t="shared" si="23"/>
        <v>0</v>
      </c>
      <c r="D1512" s="30" t="str">
        <f>IFERROR(VLOOKUP(C1512,소속부서!$A$2:$B$20,2,FALSE), "")</f>
        <v/>
      </c>
    </row>
    <row r="1513" spans="3:4" x14ac:dyDescent="0.3">
      <c r="C1513" s="35">
        <f t="shared" si="23"/>
        <v>0</v>
      </c>
      <c r="D1513" s="30" t="str">
        <f>IFERROR(VLOOKUP(C1513,소속부서!$A$2:$B$20,2,FALSE), "")</f>
        <v/>
      </c>
    </row>
    <row r="1514" spans="3:4" x14ac:dyDescent="0.3">
      <c r="C1514" s="35">
        <f t="shared" si="23"/>
        <v>0</v>
      </c>
      <c r="D1514" s="30" t="str">
        <f>IFERROR(VLOOKUP(C1514,소속부서!$A$2:$B$20,2,FALSE), "")</f>
        <v/>
      </c>
    </row>
    <row r="1515" spans="3:4" x14ac:dyDescent="0.3">
      <c r="C1515" s="35">
        <f t="shared" si="23"/>
        <v>0</v>
      </c>
      <c r="D1515" s="30" t="str">
        <f>IFERROR(VLOOKUP(C1515,소속부서!$A$2:$B$20,2,FALSE), "")</f>
        <v/>
      </c>
    </row>
    <row r="1516" spans="3:4" x14ac:dyDescent="0.3">
      <c r="C1516" s="35">
        <f t="shared" si="23"/>
        <v>0</v>
      </c>
      <c r="D1516" s="30" t="str">
        <f>IFERROR(VLOOKUP(C1516,소속부서!$A$2:$B$20,2,FALSE), "")</f>
        <v/>
      </c>
    </row>
    <row r="1517" spans="3:4" x14ac:dyDescent="0.3">
      <c r="C1517" s="35">
        <f t="shared" si="23"/>
        <v>0</v>
      </c>
      <c r="D1517" s="30" t="str">
        <f>IFERROR(VLOOKUP(C1517,소속부서!$A$2:$B$20,2,FALSE), "")</f>
        <v/>
      </c>
    </row>
    <row r="1518" spans="3:4" x14ac:dyDescent="0.3">
      <c r="C1518" s="35">
        <f t="shared" si="23"/>
        <v>0</v>
      </c>
      <c r="D1518" s="30" t="str">
        <f>IFERROR(VLOOKUP(C1518,소속부서!$A$2:$B$20,2,FALSE), "")</f>
        <v/>
      </c>
    </row>
    <row r="1519" spans="3:4" x14ac:dyDescent="0.3">
      <c r="C1519" s="35">
        <f t="shared" si="23"/>
        <v>0</v>
      </c>
      <c r="D1519" s="30" t="str">
        <f>IFERROR(VLOOKUP(C1519,소속부서!$A$2:$B$20,2,FALSE), "")</f>
        <v/>
      </c>
    </row>
    <row r="1520" spans="3:4" x14ac:dyDescent="0.3">
      <c r="C1520" s="35">
        <f t="shared" si="23"/>
        <v>0</v>
      </c>
      <c r="D1520" s="30" t="str">
        <f>IFERROR(VLOOKUP(C1520,소속부서!$A$2:$B$20,2,FALSE), "")</f>
        <v/>
      </c>
    </row>
    <row r="1521" spans="3:4" x14ac:dyDescent="0.3">
      <c r="C1521" s="35">
        <f t="shared" si="23"/>
        <v>0</v>
      </c>
      <c r="D1521" s="30" t="str">
        <f>IFERROR(VLOOKUP(C1521,소속부서!$A$2:$B$20,2,FALSE), "")</f>
        <v/>
      </c>
    </row>
    <row r="1522" spans="3:4" x14ac:dyDescent="0.3">
      <c r="C1522" s="35">
        <f t="shared" si="23"/>
        <v>0</v>
      </c>
      <c r="D1522" s="30" t="str">
        <f>IFERROR(VLOOKUP(C1522,소속부서!$A$2:$B$20,2,FALSE), "")</f>
        <v/>
      </c>
    </row>
    <row r="1523" spans="3:4" x14ac:dyDescent="0.3">
      <c r="C1523" s="35">
        <f t="shared" si="23"/>
        <v>0</v>
      </c>
      <c r="D1523" s="30" t="str">
        <f>IFERROR(VLOOKUP(C1523,소속부서!$A$2:$B$20,2,FALSE), "")</f>
        <v/>
      </c>
    </row>
    <row r="1524" spans="3:4" x14ac:dyDescent="0.3">
      <c r="C1524" s="35">
        <f t="shared" si="23"/>
        <v>0</v>
      </c>
      <c r="D1524" s="30" t="str">
        <f>IFERROR(VLOOKUP(C1524,소속부서!$A$2:$B$20,2,FALSE), "")</f>
        <v/>
      </c>
    </row>
    <row r="1525" spans="3:4" x14ac:dyDescent="0.3">
      <c r="C1525" s="35">
        <f t="shared" si="23"/>
        <v>0</v>
      </c>
      <c r="D1525" s="30" t="str">
        <f>IFERROR(VLOOKUP(C1525,소속부서!$A$2:$B$20,2,FALSE), "")</f>
        <v/>
      </c>
    </row>
    <row r="1526" spans="3:4" x14ac:dyDescent="0.3">
      <c r="C1526" s="35">
        <f t="shared" si="23"/>
        <v>0</v>
      </c>
      <c r="D1526" s="30" t="str">
        <f>IFERROR(VLOOKUP(C1526,소속부서!$A$2:$B$20,2,FALSE), "")</f>
        <v/>
      </c>
    </row>
    <row r="1527" spans="3:4" x14ac:dyDescent="0.3">
      <c r="C1527" s="35">
        <f t="shared" si="23"/>
        <v>0</v>
      </c>
      <c r="D1527" s="30" t="str">
        <f>IFERROR(VLOOKUP(C1527,소속부서!$A$2:$B$20,2,FALSE), "")</f>
        <v/>
      </c>
    </row>
    <row r="1528" spans="3:4" x14ac:dyDescent="0.3">
      <c r="C1528" s="35">
        <f t="shared" si="23"/>
        <v>0</v>
      </c>
      <c r="D1528" s="30" t="str">
        <f>IFERROR(VLOOKUP(C1528,소속부서!$A$2:$B$20,2,FALSE), "")</f>
        <v/>
      </c>
    </row>
    <row r="1529" spans="3:4" x14ac:dyDescent="0.3">
      <c r="C1529" s="35">
        <f t="shared" si="23"/>
        <v>0</v>
      </c>
      <c r="D1529" s="30" t="str">
        <f>IFERROR(VLOOKUP(C1529,소속부서!$A$2:$B$20,2,FALSE), "")</f>
        <v/>
      </c>
    </row>
    <row r="1530" spans="3:4" x14ac:dyDescent="0.3">
      <c r="C1530" s="35">
        <f t="shared" si="23"/>
        <v>0</v>
      </c>
      <c r="D1530" s="30" t="str">
        <f>IFERROR(VLOOKUP(C1530,소속부서!$A$2:$B$20,2,FALSE), "")</f>
        <v/>
      </c>
    </row>
    <row r="1531" spans="3:4" x14ac:dyDescent="0.3">
      <c r="C1531" s="35">
        <f t="shared" si="23"/>
        <v>0</v>
      </c>
      <c r="D1531" s="30" t="str">
        <f>IFERROR(VLOOKUP(C1531,소속부서!$A$2:$B$20,2,FALSE), "")</f>
        <v/>
      </c>
    </row>
    <row r="1532" spans="3:4" x14ac:dyDescent="0.3">
      <c r="C1532" s="35">
        <f t="shared" si="23"/>
        <v>0</v>
      </c>
      <c r="D1532" s="30" t="str">
        <f>IFERROR(VLOOKUP(C1532,소속부서!$A$2:$B$20,2,FALSE), "")</f>
        <v/>
      </c>
    </row>
    <row r="1533" spans="3:4" x14ac:dyDescent="0.3">
      <c r="C1533" s="35">
        <f t="shared" si="23"/>
        <v>0</v>
      </c>
      <c r="D1533" s="30" t="str">
        <f>IFERROR(VLOOKUP(C1533,소속부서!$A$2:$B$20,2,FALSE), "")</f>
        <v/>
      </c>
    </row>
    <row r="1534" spans="3:4" x14ac:dyDescent="0.3">
      <c r="C1534" s="35">
        <f t="shared" si="23"/>
        <v>0</v>
      </c>
      <c r="D1534" s="30" t="str">
        <f>IFERROR(VLOOKUP(C1534,소속부서!$A$2:$B$20,2,FALSE), "")</f>
        <v/>
      </c>
    </row>
    <row r="1535" spans="3:4" x14ac:dyDescent="0.3">
      <c r="C1535" s="35">
        <f t="shared" si="23"/>
        <v>0</v>
      </c>
      <c r="D1535" s="30" t="str">
        <f>IFERROR(VLOOKUP(C1535,소속부서!$A$2:$B$20,2,FALSE), "")</f>
        <v/>
      </c>
    </row>
    <row r="1536" spans="3:4" x14ac:dyDescent="0.3">
      <c r="C1536" s="35">
        <f t="shared" si="23"/>
        <v>0</v>
      </c>
      <c r="D1536" s="30" t="str">
        <f>IFERROR(VLOOKUP(C1536,소속부서!$A$2:$B$20,2,FALSE), "")</f>
        <v/>
      </c>
    </row>
    <row r="1537" spans="3:4" x14ac:dyDescent="0.3">
      <c r="C1537" s="35">
        <f t="shared" ref="C1537:C1600" si="24">E1537</f>
        <v>0</v>
      </c>
      <c r="D1537" s="30" t="str">
        <f>IFERROR(VLOOKUP(C1537,소속부서!$A$2:$B$20,2,FALSE), "")</f>
        <v/>
      </c>
    </row>
    <row r="1538" spans="3:4" x14ac:dyDescent="0.3">
      <c r="C1538" s="35">
        <f t="shared" si="24"/>
        <v>0</v>
      </c>
      <c r="D1538" s="30" t="str">
        <f>IFERROR(VLOOKUP(C1538,소속부서!$A$2:$B$20,2,FALSE), "")</f>
        <v/>
      </c>
    </row>
    <row r="1539" spans="3:4" x14ac:dyDescent="0.3">
      <c r="C1539" s="35">
        <f t="shared" si="24"/>
        <v>0</v>
      </c>
      <c r="D1539" s="30" t="str">
        <f>IFERROR(VLOOKUP(C1539,소속부서!$A$2:$B$20,2,FALSE), "")</f>
        <v/>
      </c>
    </row>
    <row r="1540" spans="3:4" x14ac:dyDescent="0.3">
      <c r="C1540" s="35">
        <f t="shared" si="24"/>
        <v>0</v>
      </c>
      <c r="D1540" s="30" t="str">
        <f>IFERROR(VLOOKUP(C1540,소속부서!$A$2:$B$20,2,FALSE), "")</f>
        <v/>
      </c>
    </row>
    <row r="1541" spans="3:4" x14ac:dyDescent="0.3">
      <c r="C1541" s="35">
        <f t="shared" si="24"/>
        <v>0</v>
      </c>
      <c r="D1541" s="30" t="str">
        <f>IFERROR(VLOOKUP(C1541,소속부서!$A$2:$B$20,2,FALSE), "")</f>
        <v/>
      </c>
    </row>
    <row r="1542" spans="3:4" x14ac:dyDescent="0.3">
      <c r="C1542" s="35">
        <f t="shared" si="24"/>
        <v>0</v>
      </c>
      <c r="D1542" s="30" t="str">
        <f>IFERROR(VLOOKUP(C1542,소속부서!$A$2:$B$20,2,FALSE), "")</f>
        <v/>
      </c>
    </row>
    <row r="1543" spans="3:4" x14ac:dyDescent="0.3">
      <c r="C1543" s="35">
        <f t="shared" si="24"/>
        <v>0</v>
      </c>
      <c r="D1543" s="30" t="str">
        <f>IFERROR(VLOOKUP(C1543,소속부서!$A$2:$B$20,2,FALSE), "")</f>
        <v/>
      </c>
    </row>
    <row r="1544" spans="3:4" x14ac:dyDescent="0.3">
      <c r="C1544" s="35">
        <f t="shared" si="24"/>
        <v>0</v>
      </c>
      <c r="D1544" s="30" t="str">
        <f>IFERROR(VLOOKUP(C1544,소속부서!$A$2:$B$20,2,FALSE), "")</f>
        <v/>
      </c>
    </row>
    <row r="1545" spans="3:4" x14ac:dyDescent="0.3">
      <c r="C1545" s="35">
        <f t="shared" si="24"/>
        <v>0</v>
      </c>
      <c r="D1545" s="30" t="str">
        <f>IFERROR(VLOOKUP(C1545,소속부서!$A$2:$B$20,2,FALSE), "")</f>
        <v/>
      </c>
    </row>
    <row r="1546" spans="3:4" x14ac:dyDescent="0.3">
      <c r="C1546" s="35">
        <f t="shared" si="24"/>
        <v>0</v>
      </c>
      <c r="D1546" s="30" t="str">
        <f>IFERROR(VLOOKUP(C1546,소속부서!$A$2:$B$20,2,FALSE), "")</f>
        <v/>
      </c>
    </row>
    <row r="1547" spans="3:4" x14ac:dyDescent="0.3">
      <c r="C1547" s="35">
        <f t="shared" si="24"/>
        <v>0</v>
      </c>
      <c r="D1547" s="30" t="str">
        <f>IFERROR(VLOOKUP(C1547,소속부서!$A$2:$B$20,2,FALSE), "")</f>
        <v/>
      </c>
    </row>
    <row r="1548" spans="3:4" x14ac:dyDescent="0.3">
      <c r="C1548" s="35">
        <f t="shared" si="24"/>
        <v>0</v>
      </c>
      <c r="D1548" s="30" t="str">
        <f>IFERROR(VLOOKUP(C1548,소속부서!$A$2:$B$20,2,FALSE), "")</f>
        <v/>
      </c>
    </row>
    <row r="1549" spans="3:4" x14ac:dyDescent="0.3">
      <c r="C1549" s="35">
        <f t="shared" si="24"/>
        <v>0</v>
      </c>
      <c r="D1549" s="30" t="str">
        <f>IFERROR(VLOOKUP(C1549,소속부서!$A$2:$B$20,2,FALSE), "")</f>
        <v/>
      </c>
    </row>
    <row r="1550" spans="3:4" x14ac:dyDescent="0.3">
      <c r="C1550" s="35">
        <f t="shared" si="24"/>
        <v>0</v>
      </c>
      <c r="D1550" s="30" t="str">
        <f>IFERROR(VLOOKUP(C1550,소속부서!$A$2:$B$20,2,FALSE), "")</f>
        <v/>
      </c>
    </row>
    <row r="1551" spans="3:4" x14ac:dyDescent="0.3">
      <c r="C1551" s="35">
        <f t="shared" si="24"/>
        <v>0</v>
      </c>
      <c r="D1551" s="30" t="str">
        <f>IFERROR(VLOOKUP(C1551,소속부서!$A$2:$B$20,2,FALSE), "")</f>
        <v/>
      </c>
    </row>
    <row r="1552" spans="3:4" x14ac:dyDescent="0.3">
      <c r="C1552" s="35">
        <f t="shared" si="24"/>
        <v>0</v>
      </c>
      <c r="D1552" s="30" t="str">
        <f>IFERROR(VLOOKUP(C1552,소속부서!$A$2:$B$20,2,FALSE), "")</f>
        <v/>
      </c>
    </row>
    <row r="1553" spans="3:4" x14ac:dyDescent="0.3">
      <c r="C1553" s="35">
        <f t="shared" si="24"/>
        <v>0</v>
      </c>
      <c r="D1553" s="30" t="str">
        <f>IFERROR(VLOOKUP(C1553,소속부서!$A$2:$B$20,2,FALSE), "")</f>
        <v/>
      </c>
    </row>
    <row r="1554" spans="3:4" x14ac:dyDescent="0.3">
      <c r="C1554" s="35">
        <f t="shared" si="24"/>
        <v>0</v>
      </c>
      <c r="D1554" s="30" t="str">
        <f>IFERROR(VLOOKUP(C1554,소속부서!$A$2:$B$20,2,FALSE), "")</f>
        <v/>
      </c>
    </row>
    <row r="1555" spans="3:4" x14ac:dyDescent="0.3">
      <c r="C1555" s="35">
        <f t="shared" si="24"/>
        <v>0</v>
      </c>
      <c r="D1555" s="30" t="str">
        <f>IFERROR(VLOOKUP(C1555,소속부서!$A$2:$B$20,2,FALSE), "")</f>
        <v/>
      </c>
    </row>
    <row r="1556" spans="3:4" x14ac:dyDescent="0.3">
      <c r="C1556" s="35">
        <f t="shared" si="24"/>
        <v>0</v>
      </c>
      <c r="D1556" s="30" t="str">
        <f>IFERROR(VLOOKUP(C1556,소속부서!$A$2:$B$20,2,FALSE), "")</f>
        <v/>
      </c>
    </row>
    <row r="1557" spans="3:4" x14ac:dyDescent="0.3">
      <c r="C1557" s="35">
        <f t="shared" si="24"/>
        <v>0</v>
      </c>
      <c r="D1557" s="30" t="str">
        <f>IFERROR(VLOOKUP(C1557,소속부서!$A$2:$B$20,2,FALSE), "")</f>
        <v/>
      </c>
    </row>
    <row r="1558" spans="3:4" x14ac:dyDescent="0.3">
      <c r="C1558" s="35">
        <f t="shared" si="24"/>
        <v>0</v>
      </c>
      <c r="D1558" s="30" t="str">
        <f>IFERROR(VLOOKUP(C1558,소속부서!$A$2:$B$20,2,FALSE), "")</f>
        <v/>
      </c>
    </row>
    <row r="1559" spans="3:4" x14ac:dyDescent="0.3">
      <c r="C1559" s="35">
        <f t="shared" si="24"/>
        <v>0</v>
      </c>
      <c r="D1559" s="30" t="str">
        <f>IFERROR(VLOOKUP(C1559,소속부서!$A$2:$B$20,2,FALSE), "")</f>
        <v/>
      </c>
    </row>
    <row r="1560" spans="3:4" x14ac:dyDescent="0.3">
      <c r="C1560" s="35">
        <f t="shared" si="24"/>
        <v>0</v>
      </c>
      <c r="D1560" s="30" t="str">
        <f>IFERROR(VLOOKUP(C1560,소속부서!$A$2:$B$20,2,FALSE), "")</f>
        <v/>
      </c>
    </row>
    <row r="1561" spans="3:4" x14ac:dyDescent="0.3">
      <c r="C1561" s="35">
        <f t="shared" si="24"/>
        <v>0</v>
      </c>
      <c r="D1561" s="30" t="str">
        <f>IFERROR(VLOOKUP(C1561,소속부서!$A$2:$B$20,2,FALSE), "")</f>
        <v/>
      </c>
    </row>
    <row r="1562" spans="3:4" x14ac:dyDescent="0.3">
      <c r="C1562" s="35">
        <f t="shared" si="24"/>
        <v>0</v>
      </c>
      <c r="D1562" s="30" t="str">
        <f>IFERROR(VLOOKUP(C1562,소속부서!$A$2:$B$20,2,FALSE), "")</f>
        <v/>
      </c>
    </row>
    <row r="1563" spans="3:4" x14ac:dyDescent="0.3">
      <c r="C1563" s="35">
        <f t="shared" si="24"/>
        <v>0</v>
      </c>
      <c r="D1563" s="30" t="str">
        <f>IFERROR(VLOOKUP(C1563,소속부서!$A$2:$B$20,2,FALSE), "")</f>
        <v/>
      </c>
    </row>
    <row r="1564" spans="3:4" x14ac:dyDescent="0.3">
      <c r="C1564" s="35">
        <f t="shared" si="24"/>
        <v>0</v>
      </c>
      <c r="D1564" s="30" t="str">
        <f>IFERROR(VLOOKUP(C1564,소속부서!$A$2:$B$20,2,FALSE), "")</f>
        <v/>
      </c>
    </row>
    <row r="1565" spans="3:4" x14ac:dyDescent="0.3">
      <c r="C1565" s="35">
        <f t="shared" si="24"/>
        <v>0</v>
      </c>
      <c r="D1565" s="30" t="str">
        <f>IFERROR(VLOOKUP(C1565,소속부서!$A$2:$B$20,2,FALSE), "")</f>
        <v/>
      </c>
    </row>
    <row r="1566" spans="3:4" x14ac:dyDescent="0.3">
      <c r="C1566" s="35">
        <f t="shared" si="24"/>
        <v>0</v>
      </c>
      <c r="D1566" s="30" t="str">
        <f>IFERROR(VLOOKUP(C1566,소속부서!$A$2:$B$20,2,FALSE), "")</f>
        <v/>
      </c>
    </row>
    <row r="1567" spans="3:4" x14ac:dyDescent="0.3">
      <c r="C1567" s="35">
        <f t="shared" si="24"/>
        <v>0</v>
      </c>
      <c r="D1567" s="30" t="str">
        <f>IFERROR(VLOOKUP(C1567,소속부서!$A$2:$B$20,2,FALSE), "")</f>
        <v/>
      </c>
    </row>
    <row r="1568" spans="3:4" x14ac:dyDescent="0.3">
      <c r="C1568" s="35">
        <f t="shared" si="24"/>
        <v>0</v>
      </c>
      <c r="D1568" s="30" t="str">
        <f>IFERROR(VLOOKUP(C1568,소속부서!$A$2:$B$20,2,FALSE), "")</f>
        <v/>
      </c>
    </row>
    <row r="1569" spans="3:4" x14ac:dyDescent="0.3">
      <c r="C1569" s="35">
        <f t="shared" si="24"/>
        <v>0</v>
      </c>
      <c r="D1569" s="30" t="str">
        <f>IFERROR(VLOOKUP(C1569,소속부서!$A$2:$B$20,2,FALSE), "")</f>
        <v/>
      </c>
    </row>
    <row r="1570" spans="3:4" x14ac:dyDescent="0.3">
      <c r="C1570" s="35">
        <f t="shared" si="24"/>
        <v>0</v>
      </c>
      <c r="D1570" s="30" t="str">
        <f>IFERROR(VLOOKUP(C1570,소속부서!$A$2:$B$20,2,FALSE), "")</f>
        <v/>
      </c>
    </row>
    <row r="1571" spans="3:4" x14ac:dyDescent="0.3">
      <c r="C1571" s="35">
        <f t="shared" si="24"/>
        <v>0</v>
      </c>
      <c r="D1571" s="30" t="str">
        <f>IFERROR(VLOOKUP(C1571,소속부서!$A$2:$B$20,2,FALSE), "")</f>
        <v/>
      </c>
    </row>
    <row r="1572" spans="3:4" x14ac:dyDescent="0.3">
      <c r="C1572" s="35">
        <f t="shared" si="24"/>
        <v>0</v>
      </c>
      <c r="D1572" s="30" t="str">
        <f>IFERROR(VLOOKUP(C1572,소속부서!$A$2:$B$20,2,FALSE), "")</f>
        <v/>
      </c>
    </row>
    <row r="1573" spans="3:4" x14ac:dyDescent="0.3">
      <c r="C1573" s="35">
        <f t="shared" si="24"/>
        <v>0</v>
      </c>
      <c r="D1573" s="30" t="str">
        <f>IFERROR(VLOOKUP(C1573,소속부서!$A$2:$B$20,2,FALSE), "")</f>
        <v/>
      </c>
    </row>
    <row r="1574" spans="3:4" x14ac:dyDescent="0.3">
      <c r="C1574" s="35">
        <f t="shared" si="24"/>
        <v>0</v>
      </c>
      <c r="D1574" s="30" t="str">
        <f>IFERROR(VLOOKUP(C1574,소속부서!$A$2:$B$20,2,FALSE), "")</f>
        <v/>
      </c>
    </row>
    <row r="1575" spans="3:4" x14ac:dyDescent="0.3">
      <c r="C1575" s="35">
        <f t="shared" si="24"/>
        <v>0</v>
      </c>
      <c r="D1575" s="30" t="str">
        <f>IFERROR(VLOOKUP(C1575,소속부서!$A$2:$B$20,2,FALSE), "")</f>
        <v/>
      </c>
    </row>
    <row r="1576" spans="3:4" x14ac:dyDescent="0.3">
      <c r="C1576" s="35">
        <f t="shared" si="24"/>
        <v>0</v>
      </c>
      <c r="D1576" s="30" t="str">
        <f>IFERROR(VLOOKUP(C1576,소속부서!$A$2:$B$20,2,FALSE), "")</f>
        <v/>
      </c>
    </row>
    <row r="1577" spans="3:4" x14ac:dyDescent="0.3">
      <c r="C1577" s="35">
        <f t="shared" si="24"/>
        <v>0</v>
      </c>
      <c r="D1577" s="30" t="str">
        <f>IFERROR(VLOOKUP(C1577,소속부서!$A$2:$B$20,2,FALSE), "")</f>
        <v/>
      </c>
    </row>
    <row r="1578" spans="3:4" x14ac:dyDescent="0.3">
      <c r="C1578" s="35">
        <f t="shared" si="24"/>
        <v>0</v>
      </c>
      <c r="D1578" s="30" t="str">
        <f>IFERROR(VLOOKUP(C1578,소속부서!$A$2:$B$20,2,FALSE), "")</f>
        <v/>
      </c>
    </row>
    <row r="1579" spans="3:4" x14ac:dyDescent="0.3">
      <c r="C1579" s="35">
        <f t="shared" si="24"/>
        <v>0</v>
      </c>
      <c r="D1579" s="30" t="str">
        <f>IFERROR(VLOOKUP(C1579,소속부서!$A$2:$B$20,2,FALSE), "")</f>
        <v/>
      </c>
    </row>
    <row r="1580" spans="3:4" x14ac:dyDescent="0.3">
      <c r="C1580" s="35">
        <f t="shared" si="24"/>
        <v>0</v>
      </c>
      <c r="D1580" s="30" t="str">
        <f>IFERROR(VLOOKUP(C1580,소속부서!$A$2:$B$20,2,FALSE), "")</f>
        <v/>
      </c>
    </row>
    <row r="1581" spans="3:4" x14ac:dyDescent="0.3">
      <c r="C1581" s="35">
        <f t="shared" si="24"/>
        <v>0</v>
      </c>
      <c r="D1581" s="30" t="str">
        <f>IFERROR(VLOOKUP(C1581,소속부서!$A$2:$B$20,2,FALSE), "")</f>
        <v/>
      </c>
    </row>
    <row r="1582" spans="3:4" x14ac:dyDescent="0.3">
      <c r="C1582" s="35">
        <f t="shared" si="24"/>
        <v>0</v>
      </c>
      <c r="D1582" s="30" t="str">
        <f>IFERROR(VLOOKUP(C1582,소속부서!$A$2:$B$20,2,FALSE), "")</f>
        <v/>
      </c>
    </row>
    <row r="1583" spans="3:4" x14ac:dyDescent="0.3">
      <c r="C1583" s="35">
        <f t="shared" si="24"/>
        <v>0</v>
      </c>
      <c r="D1583" s="30" t="str">
        <f>IFERROR(VLOOKUP(C1583,소속부서!$A$2:$B$20,2,FALSE), "")</f>
        <v/>
      </c>
    </row>
    <row r="1584" spans="3:4" x14ac:dyDescent="0.3">
      <c r="C1584" s="35">
        <f t="shared" si="24"/>
        <v>0</v>
      </c>
      <c r="D1584" s="30" t="str">
        <f>IFERROR(VLOOKUP(C1584,소속부서!$A$2:$B$20,2,FALSE), "")</f>
        <v/>
      </c>
    </row>
    <row r="1585" spans="3:4" x14ac:dyDescent="0.3">
      <c r="C1585" s="35">
        <f t="shared" si="24"/>
        <v>0</v>
      </c>
      <c r="D1585" s="30" t="str">
        <f>IFERROR(VLOOKUP(C1585,소속부서!$A$2:$B$20,2,FALSE), "")</f>
        <v/>
      </c>
    </row>
    <row r="1586" spans="3:4" x14ac:dyDescent="0.3">
      <c r="C1586" s="35">
        <f t="shared" si="24"/>
        <v>0</v>
      </c>
      <c r="D1586" s="30" t="str">
        <f>IFERROR(VLOOKUP(C1586,소속부서!$A$2:$B$20,2,FALSE), "")</f>
        <v/>
      </c>
    </row>
    <row r="1587" spans="3:4" x14ac:dyDescent="0.3">
      <c r="C1587" s="35">
        <f t="shared" si="24"/>
        <v>0</v>
      </c>
      <c r="D1587" s="30" t="str">
        <f>IFERROR(VLOOKUP(C1587,소속부서!$A$2:$B$20,2,FALSE), "")</f>
        <v/>
      </c>
    </row>
    <row r="1588" spans="3:4" x14ac:dyDescent="0.3">
      <c r="C1588" s="35">
        <f t="shared" si="24"/>
        <v>0</v>
      </c>
      <c r="D1588" s="30" t="str">
        <f>IFERROR(VLOOKUP(C1588,소속부서!$A$2:$B$20,2,FALSE), "")</f>
        <v/>
      </c>
    </row>
    <row r="1589" spans="3:4" x14ac:dyDescent="0.3">
      <c r="C1589" s="35">
        <f t="shared" si="24"/>
        <v>0</v>
      </c>
      <c r="D1589" s="30" t="str">
        <f>IFERROR(VLOOKUP(C1589,소속부서!$A$2:$B$20,2,FALSE), "")</f>
        <v/>
      </c>
    </row>
    <row r="1590" spans="3:4" x14ac:dyDescent="0.3">
      <c r="C1590" s="35">
        <f t="shared" si="24"/>
        <v>0</v>
      </c>
      <c r="D1590" s="30" t="str">
        <f>IFERROR(VLOOKUP(C1590,소속부서!$A$2:$B$20,2,FALSE), "")</f>
        <v/>
      </c>
    </row>
    <row r="1591" spans="3:4" x14ac:dyDescent="0.3">
      <c r="C1591" s="35">
        <f t="shared" si="24"/>
        <v>0</v>
      </c>
      <c r="D1591" s="30" t="str">
        <f>IFERROR(VLOOKUP(C1591,소속부서!$A$2:$B$20,2,FALSE), "")</f>
        <v/>
      </c>
    </row>
    <row r="1592" spans="3:4" x14ac:dyDescent="0.3">
      <c r="C1592" s="35">
        <f t="shared" si="24"/>
        <v>0</v>
      </c>
      <c r="D1592" s="30" t="str">
        <f>IFERROR(VLOOKUP(C1592,소속부서!$A$2:$B$20,2,FALSE), "")</f>
        <v/>
      </c>
    </row>
    <row r="1593" spans="3:4" x14ac:dyDescent="0.3">
      <c r="C1593" s="35">
        <f t="shared" si="24"/>
        <v>0</v>
      </c>
      <c r="D1593" s="30" t="str">
        <f>IFERROR(VLOOKUP(C1593,소속부서!$A$2:$B$20,2,FALSE), "")</f>
        <v/>
      </c>
    </row>
    <row r="1594" spans="3:4" x14ac:dyDescent="0.3">
      <c r="C1594" s="35">
        <f t="shared" si="24"/>
        <v>0</v>
      </c>
      <c r="D1594" s="30" t="str">
        <f>IFERROR(VLOOKUP(C1594,소속부서!$A$2:$B$20,2,FALSE), "")</f>
        <v/>
      </c>
    </row>
    <row r="1595" spans="3:4" x14ac:dyDescent="0.3">
      <c r="C1595" s="35">
        <f t="shared" si="24"/>
        <v>0</v>
      </c>
      <c r="D1595" s="30" t="str">
        <f>IFERROR(VLOOKUP(C1595,소속부서!$A$2:$B$20,2,FALSE), "")</f>
        <v/>
      </c>
    </row>
    <row r="1596" spans="3:4" x14ac:dyDescent="0.3">
      <c r="C1596" s="35">
        <f t="shared" si="24"/>
        <v>0</v>
      </c>
      <c r="D1596" s="30" t="str">
        <f>IFERROR(VLOOKUP(C1596,소속부서!$A$2:$B$20,2,FALSE), "")</f>
        <v/>
      </c>
    </row>
    <row r="1597" spans="3:4" x14ac:dyDescent="0.3">
      <c r="C1597" s="35">
        <f t="shared" si="24"/>
        <v>0</v>
      </c>
      <c r="D1597" s="30" t="str">
        <f>IFERROR(VLOOKUP(C1597,소속부서!$A$2:$B$20,2,FALSE), "")</f>
        <v/>
      </c>
    </row>
    <row r="1598" spans="3:4" x14ac:dyDescent="0.3">
      <c r="C1598" s="35">
        <f t="shared" si="24"/>
        <v>0</v>
      </c>
      <c r="D1598" s="30" t="str">
        <f>IFERROR(VLOOKUP(C1598,소속부서!$A$2:$B$20,2,FALSE), "")</f>
        <v/>
      </c>
    </row>
    <row r="1599" spans="3:4" x14ac:dyDescent="0.3">
      <c r="C1599" s="35">
        <f t="shared" si="24"/>
        <v>0</v>
      </c>
      <c r="D1599" s="30" t="str">
        <f>IFERROR(VLOOKUP(C1599,소속부서!$A$2:$B$20,2,FALSE), "")</f>
        <v/>
      </c>
    </row>
    <row r="1600" spans="3:4" x14ac:dyDescent="0.3">
      <c r="C1600" s="35">
        <f t="shared" si="24"/>
        <v>0</v>
      </c>
      <c r="D1600" s="30" t="str">
        <f>IFERROR(VLOOKUP(C1600,소속부서!$A$2:$B$20,2,FALSE), "")</f>
        <v/>
      </c>
    </row>
    <row r="1601" spans="3:4" x14ac:dyDescent="0.3">
      <c r="C1601" s="35">
        <f t="shared" ref="C1601:C1664" si="25">E1601</f>
        <v>0</v>
      </c>
      <c r="D1601" s="30" t="str">
        <f>IFERROR(VLOOKUP(C1601,소속부서!$A$2:$B$20,2,FALSE), "")</f>
        <v/>
      </c>
    </row>
    <row r="1602" spans="3:4" x14ac:dyDescent="0.3">
      <c r="C1602" s="35">
        <f t="shared" si="25"/>
        <v>0</v>
      </c>
      <c r="D1602" s="30" t="str">
        <f>IFERROR(VLOOKUP(C1602,소속부서!$A$2:$B$20,2,FALSE), "")</f>
        <v/>
      </c>
    </row>
    <row r="1603" spans="3:4" x14ac:dyDescent="0.3">
      <c r="C1603" s="35">
        <f t="shared" si="25"/>
        <v>0</v>
      </c>
      <c r="D1603" s="30" t="str">
        <f>IFERROR(VLOOKUP(C1603,소속부서!$A$2:$B$20,2,FALSE), "")</f>
        <v/>
      </c>
    </row>
    <row r="1604" spans="3:4" x14ac:dyDescent="0.3">
      <c r="C1604" s="35">
        <f t="shared" si="25"/>
        <v>0</v>
      </c>
      <c r="D1604" s="30" t="str">
        <f>IFERROR(VLOOKUP(C1604,소속부서!$A$2:$B$20,2,FALSE), "")</f>
        <v/>
      </c>
    </row>
    <row r="1605" spans="3:4" x14ac:dyDescent="0.3">
      <c r="C1605" s="35">
        <f t="shared" si="25"/>
        <v>0</v>
      </c>
      <c r="D1605" s="30" t="str">
        <f>IFERROR(VLOOKUP(C1605,소속부서!$A$2:$B$20,2,FALSE), "")</f>
        <v/>
      </c>
    </row>
    <row r="1606" spans="3:4" x14ac:dyDescent="0.3">
      <c r="C1606" s="35">
        <f t="shared" si="25"/>
        <v>0</v>
      </c>
      <c r="D1606" s="30" t="str">
        <f>IFERROR(VLOOKUP(C1606,소속부서!$A$2:$B$20,2,FALSE), "")</f>
        <v/>
      </c>
    </row>
    <row r="1607" spans="3:4" x14ac:dyDescent="0.3">
      <c r="C1607" s="35">
        <f t="shared" si="25"/>
        <v>0</v>
      </c>
      <c r="D1607" s="30" t="str">
        <f>IFERROR(VLOOKUP(C1607,소속부서!$A$2:$B$20,2,FALSE), "")</f>
        <v/>
      </c>
    </row>
    <row r="1608" spans="3:4" x14ac:dyDescent="0.3">
      <c r="C1608" s="35">
        <f t="shared" si="25"/>
        <v>0</v>
      </c>
      <c r="D1608" s="30" t="str">
        <f>IFERROR(VLOOKUP(C1608,소속부서!$A$2:$B$20,2,FALSE), "")</f>
        <v/>
      </c>
    </row>
    <row r="1609" spans="3:4" x14ac:dyDescent="0.3">
      <c r="C1609" s="35">
        <f t="shared" si="25"/>
        <v>0</v>
      </c>
      <c r="D1609" s="30" t="str">
        <f>IFERROR(VLOOKUP(C1609,소속부서!$A$2:$B$20,2,FALSE), "")</f>
        <v/>
      </c>
    </row>
    <row r="1610" spans="3:4" x14ac:dyDescent="0.3">
      <c r="C1610" s="35">
        <f t="shared" si="25"/>
        <v>0</v>
      </c>
      <c r="D1610" s="30" t="str">
        <f>IFERROR(VLOOKUP(C1610,소속부서!$A$2:$B$20,2,FALSE), "")</f>
        <v/>
      </c>
    </row>
    <row r="1611" spans="3:4" x14ac:dyDescent="0.3">
      <c r="C1611" s="35">
        <f t="shared" si="25"/>
        <v>0</v>
      </c>
      <c r="D1611" s="30" t="str">
        <f>IFERROR(VLOOKUP(C1611,소속부서!$A$2:$B$20,2,FALSE), "")</f>
        <v/>
      </c>
    </row>
    <row r="1612" spans="3:4" x14ac:dyDescent="0.3">
      <c r="C1612" s="35">
        <f t="shared" si="25"/>
        <v>0</v>
      </c>
      <c r="D1612" s="30" t="str">
        <f>IFERROR(VLOOKUP(C1612,소속부서!$A$2:$B$20,2,FALSE), "")</f>
        <v/>
      </c>
    </row>
    <row r="1613" spans="3:4" x14ac:dyDescent="0.3">
      <c r="C1613" s="35">
        <f t="shared" si="25"/>
        <v>0</v>
      </c>
      <c r="D1613" s="30" t="str">
        <f>IFERROR(VLOOKUP(C1613,소속부서!$A$2:$B$20,2,FALSE), "")</f>
        <v/>
      </c>
    </row>
    <row r="1614" spans="3:4" x14ac:dyDescent="0.3">
      <c r="C1614" s="35">
        <f t="shared" si="25"/>
        <v>0</v>
      </c>
      <c r="D1614" s="30" t="str">
        <f>IFERROR(VLOOKUP(C1614,소속부서!$A$2:$B$20,2,FALSE), "")</f>
        <v/>
      </c>
    </row>
    <row r="1615" spans="3:4" x14ac:dyDescent="0.3">
      <c r="C1615" s="35">
        <f t="shared" si="25"/>
        <v>0</v>
      </c>
      <c r="D1615" s="30" t="str">
        <f>IFERROR(VLOOKUP(C1615,소속부서!$A$2:$B$20,2,FALSE), "")</f>
        <v/>
      </c>
    </row>
    <row r="1616" spans="3:4" x14ac:dyDescent="0.3">
      <c r="C1616" s="35">
        <f t="shared" si="25"/>
        <v>0</v>
      </c>
      <c r="D1616" s="30" t="str">
        <f>IFERROR(VLOOKUP(C1616,소속부서!$A$2:$B$20,2,FALSE), "")</f>
        <v/>
      </c>
    </row>
    <row r="1617" spans="3:4" x14ac:dyDescent="0.3">
      <c r="C1617" s="35">
        <f t="shared" si="25"/>
        <v>0</v>
      </c>
      <c r="D1617" s="30" t="str">
        <f>IFERROR(VLOOKUP(C1617,소속부서!$A$2:$B$20,2,FALSE), "")</f>
        <v/>
      </c>
    </row>
    <row r="1618" spans="3:4" x14ac:dyDescent="0.3">
      <c r="C1618" s="35">
        <f t="shared" si="25"/>
        <v>0</v>
      </c>
      <c r="D1618" s="30" t="str">
        <f>IFERROR(VLOOKUP(C1618,소속부서!$A$2:$B$20,2,FALSE), "")</f>
        <v/>
      </c>
    </row>
    <row r="1619" spans="3:4" x14ac:dyDescent="0.3">
      <c r="C1619" s="35">
        <f t="shared" si="25"/>
        <v>0</v>
      </c>
      <c r="D1619" s="30" t="str">
        <f>IFERROR(VLOOKUP(C1619,소속부서!$A$2:$B$20,2,FALSE), "")</f>
        <v/>
      </c>
    </row>
    <row r="1620" spans="3:4" x14ac:dyDescent="0.3">
      <c r="C1620" s="35">
        <f t="shared" si="25"/>
        <v>0</v>
      </c>
      <c r="D1620" s="30" t="str">
        <f>IFERROR(VLOOKUP(C1620,소속부서!$A$2:$B$20,2,FALSE), "")</f>
        <v/>
      </c>
    </row>
    <row r="1621" spans="3:4" x14ac:dyDescent="0.3">
      <c r="C1621" s="35">
        <f t="shared" si="25"/>
        <v>0</v>
      </c>
      <c r="D1621" s="30" t="str">
        <f>IFERROR(VLOOKUP(C1621,소속부서!$A$2:$B$20,2,FALSE), "")</f>
        <v/>
      </c>
    </row>
    <row r="1622" spans="3:4" x14ac:dyDescent="0.3">
      <c r="C1622" s="35">
        <f t="shared" si="25"/>
        <v>0</v>
      </c>
      <c r="D1622" s="30" t="str">
        <f>IFERROR(VLOOKUP(C1622,소속부서!$A$2:$B$20,2,FALSE), "")</f>
        <v/>
      </c>
    </row>
    <row r="1623" spans="3:4" x14ac:dyDescent="0.3">
      <c r="C1623" s="35">
        <f t="shared" si="25"/>
        <v>0</v>
      </c>
      <c r="D1623" s="30" t="str">
        <f>IFERROR(VLOOKUP(C1623,소속부서!$A$2:$B$20,2,FALSE), "")</f>
        <v/>
      </c>
    </row>
    <row r="1624" spans="3:4" x14ac:dyDescent="0.3">
      <c r="C1624" s="35">
        <f t="shared" si="25"/>
        <v>0</v>
      </c>
      <c r="D1624" s="30" t="str">
        <f>IFERROR(VLOOKUP(C1624,소속부서!$A$2:$B$20,2,FALSE), "")</f>
        <v/>
      </c>
    </row>
    <row r="1625" spans="3:4" x14ac:dyDescent="0.3">
      <c r="C1625" s="35">
        <f t="shared" si="25"/>
        <v>0</v>
      </c>
      <c r="D1625" s="30" t="str">
        <f>IFERROR(VLOOKUP(C1625,소속부서!$A$2:$B$20,2,FALSE), "")</f>
        <v/>
      </c>
    </row>
    <row r="1626" spans="3:4" x14ac:dyDescent="0.3">
      <c r="C1626" s="35">
        <f t="shared" si="25"/>
        <v>0</v>
      </c>
      <c r="D1626" s="30" t="str">
        <f>IFERROR(VLOOKUP(C1626,소속부서!$A$2:$B$20,2,FALSE), "")</f>
        <v/>
      </c>
    </row>
    <row r="1627" spans="3:4" x14ac:dyDescent="0.3">
      <c r="C1627" s="35">
        <f t="shared" si="25"/>
        <v>0</v>
      </c>
      <c r="D1627" s="30" t="str">
        <f>IFERROR(VLOOKUP(C1627,소속부서!$A$2:$B$20,2,FALSE), "")</f>
        <v/>
      </c>
    </row>
    <row r="1628" spans="3:4" x14ac:dyDescent="0.3">
      <c r="C1628" s="35">
        <f t="shared" si="25"/>
        <v>0</v>
      </c>
      <c r="D1628" s="30" t="str">
        <f>IFERROR(VLOOKUP(C1628,소속부서!$A$2:$B$20,2,FALSE), "")</f>
        <v/>
      </c>
    </row>
    <row r="1629" spans="3:4" x14ac:dyDescent="0.3">
      <c r="C1629" s="35">
        <f t="shared" si="25"/>
        <v>0</v>
      </c>
      <c r="D1629" s="30" t="str">
        <f>IFERROR(VLOOKUP(C1629,소속부서!$A$2:$B$20,2,FALSE), "")</f>
        <v/>
      </c>
    </row>
    <row r="1630" spans="3:4" x14ac:dyDescent="0.3">
      <c r="C1630" s="35">
        <f t="shared" si="25"/>
        <v>0</v>
      </c>
      <c r="D1630" s="30" t="str">
        <f>IFERROR(VLOOKUP(C1630,소속부서!$A$2:$B$20,2,FALSE), "")</f>
        <v/>
      </c>
    </row>
    <row r="1631" spans="3:4" x14ac:dyDescent="0.3">
      <c r="C1631" s="35">
        <f t="shared" si="25"/>
        <v>0</v>
      </c>
      <c r="D1631" s="30" t="str">
        <f>IFERROR(VLOOKUP(C1631,소속부서!$A$2:$B$20,2,FALSE), "")</f>
        <v/>
      </c>
    </row>
    <row r="1632" spans="3:4" x14ac:dyDescent="0.3">
      <c r="C1632" s="35">
        <f t="shared" si="25"/>
        <v>0</v>
      </c>
      <c r="D1632" s="30" t="str">
        <f>IFERROR(VLOOKUP(C1632,소속부서!$A$2:$B$20,2,FALSE), "")</f>
        <v/>
      </c>
    </row>
    <row r="1633" spans="3:4" x14ac:dyDescent="0.3">
      <c r="C1633" s="35">
        <f t="shared" si="25"/>
        <v>0</v>
      </c>
      <c r="D1633" s="30" t="str">
        <f>IFERROR(VLOOKUP(C1633,소속부서!$A$2:$B$20,2,FALSE), "")</f>
        <v/>
      </c>
    </row>
    <row r="1634" spans="3:4" x14ac:dyDescent="0.3">
      <c r="C1634" s="35">
        <f t="shared" si="25"/>
        <v>0</v>
      </c>
      <c r="D1634" s="30" t="str">
        <f>IFERROR(VLOOKUP(C1634,소속부서!$A$2:$B$20,2,FALSE), "")</f>
        <v/>
      </c>
    </row>
    <row r="1635" spans="3:4" x14ac:dyDescent="0.3">
      <c r="C1635" s="35">
        <f t="shared" si="25"/>
        <v>0</v>
      </c>
      <c r="D1635" s="30" t="str">
        <f>IFERROR(VLOOKUP(C1635,소속부서!$A$2:$B$20,2,FALSE), "")</f>
        <v/>
      </c>
    </row>
    <row r="1636" spans="3:4" x14ac:dyDescent="0.3">
      <c r="C1636" s="35">
        <f t="shared" si="25"/>
        <v>0</v>
      </c>
      <c r="D1636" s="30" t="str">
        <f>IFERROR(VLOOKUP(C1636,소속부서!$A$2:$B$20,2,FALSE), "")</f>
        <v/>
      </c>
    </row>
    <row r="1637" spans="3:4" x14ac:dyDescent="0.3">
      <c r="C1637" s="35">
        <f t="shared" si="25"/>
        <v>0</v>
      </c>
      <c r="D1637" s="30" t="str">
        <f>IFERROR(VLOOKUP(C1637,소속부서!$A$2:$B$20,2,FALSE), "")</f>
        <v/>
      </c>
    </row>
    <row r="1638" spans="3:4" x14ac:dyDescent="0.3">
      <c r="C1638" s="35">
        <f t="shared" si="25"/>
        <v>0</v>
      </c>
      <c r="D1638" s="30" t="str">
        <f>IFERROR(VLOOKUP(C1638,소속부서!$A$2:$B$20,2,FALSE), "")</f>
        <v/>
      </c>
    </row>
    <row r="1639" spans="3:4" x14ac:dyDescent="0.3">
      <c r="C1639" s="35">
        <f t="shared" si="25"/>
        <v>0</v>
      </c>
      <c r="D1639" s="30" t="str">
        <f>IFERROR(VLOOKUP(C1639,소속부서!$A$2:$B$20,2,FALSE), "")</f>
        <v/>
      </c>
    </row>
    <row r="1640" spans="3:4" x14ac:dyDescent="0.3">
      <c r="C1640" s="35">
        <f t="shared" si="25"/>
        <v>0</v>
      </c>
      <c r="D1640" s="30" t="str">
        <f>IFERROR(VLOOKUP(C1640,소속부서!$A$2:$B$20,2,FALSE), "")</f>
        <v/>
      </c>
    </row>
    <row r="1641" spans="3:4" x14ac:dyDescent="0.3">
      <c r="C1641" s="35">
        <f t="shared" si="25"/>
        <v>0</v>
      </c>
      <c r="D1641" s="30" t="str">
        <f>IFERROR(VLOOKUP(C1641,소속부서!$A$2:$B$20,2,FALSE), "")</f>
        <v/>
      </c>
    </row>
    <row r="1642" spans="3:4" x14ac:dyDescent="0.3">
      <c r="C1642" s="35">
        <f t="shared" si="25"/>
        <v>0</v>
      </c>
      <c r="D1642" s="30" t="str">
        <f>IFERROR(VLOOKUP(C1642,소속부서!$A$2:$B$20,2,FALSE), "")</f>
        <v/>
      </c>
    </row>
    <row r="1643" spans="3:4" x14ac:dyDescent="0.3">
      <c r="C1643" s="35">
        <f t="shared" si="25"/>
        <v>0</v>
      </c>
      <c r="D1643" s="30" t="str">
        <f>IFERROR(VLOOKUP(C1643,소속부서!$A$2:$B$20,2,FALSE), "")</f>
        <v/>
      </c>
    </row>
    <row r="1644" spans="3:4" x14ac:dyDescent="0.3">
      <c r="C1644" s="35">
        <f t="shared" si="25"/>
        <v>0</v>
      </c>
      <c r="D1644" s="30" t="str">
        <f>IFERROR(VLOOKUP(C1644,소속부서!$A$2:$B$20,2,FALSE), "")</f>
        <v/>
      </c>
    </row>
    <row r="1645" spans="3:4" x14ac:dyDescent="0.3">
      <c r="C1645" s="35">
        <f t="shared" si="25"/>
        <v>0</v>
      </c>
      <c r="D1645" s="30" t="str">
        <f>IFERROR(VLOOKUP(C1645,소속부서!$A$2:$B$20,2,FALSE), "")</f>
        <v/>
      </c>
    </row>
    <row r="1646" spans="3:4" x14ac:dyDescent="0.3">
      <c r="C1646" s="35">
        <f t="shared" si="25"/>
        <v>0</v>
      </c>
      <c r="D1646" s="30" t="str">
        <f>IFERROR(VLOOKUP(C1646,소속부서!$A$2:$B$20,2,FALSE), "")</f>
        <v/>
      </c>
    </row>
    <row r="1647" spans="3:4" x14ac:dyDescent="0.3">
      <c r="C1647" s="35">
        <f t="shared" si="25"/>
        <v>0</v>
      </c>
      <c r="D1647" s="30" t="str">
        <f>IFERROR(VLOOKUP(C1647,소속부서!$A$2:$B$20,2,FALSE), "")</f>
        <v/>
      </c>
    </row>
    <row r="1648" spans="3:4" x14ac:dyDescent="0.3">
      <c r="C1648" s="35">
        <f t="shared" si="25"/>
        <v>0</v>
      </c>
      <c r="D1648" s="30" t="str">
        <f>IFERROR(VLOOKUP(C1648,소속부서!$A$2:$B$20,2,FALSE), "")</f>
        <v/>
      </c>
    </row>
    <row r="1649" spans="3:4" x14ac:dyDescent="0.3">
      <c r="C1649" s="35">
        <f t="shared" si="25"/>
        <v>0</v>
      </c>
      <c r="D1649" s="30" t="str">
        <f>IFERROR(VLOOKUP(C1649,소속부서!$A$2:$B$20,2,FALSE), "")</f>
        <v/>
      </c>
    </row>
    <row r="1650" spans="3:4" x14ac:dyDescent="0.3">
      <c r="C1650" s="35">
        <f t="shared" si="25"/>
        <v>0</v>
      </c>
      <c r="D1650" s="30" t="str">
        <f>IFERROR(VLOOKUP(C1650,소속부서!$A$2:$B$20,2,FALSE), "")</f>
        <v/>
      </c>
    </row>
    <row r="1651" spans="3:4" x14ac:dyDescent="0.3">
      <c r="C1651" s="35">
        <f t="shared" si="25"/>
        <v>0</v>
      </c>
      <c r="D1651" s="30" t="str">
        <f>IFERROR(VLOOKUP(C1651,소속부서!$A$2:$B$20,2,FALSE), "")</f>
        <v/>
      </c>
    </row>
    <row r="1652" spans="3:4" x14ac:dyDescent="0.3">
      <c r="C1652" s="35">
        <f t="shared" si="25"/>
        <v>0</v>
      </c>
      <c r="D1652" s="30" t="str">
        <f>IFERROR(VLOOKUP(C1652,소속부서!$A$2:$B$20,2,FALSE), "")</f>
        <v/>
      </c>
    </row>
    <row r="1653" spans="3:4" x14ac:dyDescent="0.3">
      <c r="C1653" s="35">
        <f t="shared" si="25"/>
        <v>0</v>
      </c>
      <c r="D1653" s="30" t="str">
        <f>IFERROR(VLOOKUP(C1653,소속부서!$A$2:$B$20,2,FALSE), "")</f>
        <v/>
      </c>
    </row>
    <row r="1654" spans="3:4" x14ac:dyDescent="0.3">
      <c r="C1654" s="35">
        <f t="shared" si="25"/>
        <v>0</v>
      </c>
      <c r="D1654" s="30" t="str">
        <f>IFERROR(VLOOKUP(C1654,소속부서!$A$2:$B$20,2,FALSE), "")</f>
        <v/>
      </c>
    </row>
    <row r="1655" spans="3:4" x14ac:dyDescent="0.3">
      <c r="C1655" s="35">
        <f t="shared" si="25"/>
        <v>0</v>
      </c>
      <c r="D1655" s="30" t="str">
        <f>IFERROR(VLOOKUP(C1655,소속부서!$A$2:$B$20,2,FALSE), "")</f>
        <v/>
      </c>
    </row>
    <row r="1656" spans="3:4" x14ac:dyDescent="0.3">
      <c r="C1656" s="35">
        <f t="shared" si="25"/>
        <v>0</v>
      </c>
      <c r="D1656" s="30" t="str">
        <f>IFERROR(VLOOKUP(C1656,소속부서!$A$2:$B$20,2,FALSE), "")</f>
        <v/>
      </c>
    </row>
    <row r="1657" spans="3:4" x14ac:dyDescent="0.3">
      <c r="C1657" s="35">
        <f t="shared" si="25"/>
        <v>0</v>
      </c>
      <c r="D1657" s="30" t="str">
        <f>IFERROR(VLOOKUP(C1657,소속부서!$A$2:$B$20,2,FALSE), "")</f>
        <v/>
      </c>
    </row>
    <row r="1658" spans="3:4" x14ac:dyDescent="0.3">
      <c r="C1658" s="35">
        <f t="shared" si="25"/>
        <v>0</v>
      </c>
      <c r="D1658" s="30" t="str">
        <f>IFERROR(VLOOKUP(C1658,소속부서!$A$2:$B$20,2,FALSE), "")</f>
        <v/>
      </c>
    </row>
    <row r="1659" spans="3:4" x14ac:dyDescent="0.3">
      <c r="C1659" s="35">
        <f t="shared" si="25"/>
        <v>0</v>
      </c>
      <c r="D1659" s="30" t="str">
        <f>IFERROR(VLOOKUP(C1659,소속부서!$A$2:$B$20,2,FALSE), "")</f>
        <v/>
      </c>
    </row>
    <row r="1660" spans="3:4" x14ac:dyDescent="0.3">
      <c r="C1660" s="35">
        <f t="shared" si="25"/>
        <v>0</v>
      </c>
      <c r="D1660" s="30" t="str">
        <f>IFERROR(VLOOKUP(C1660,소속부서!$A$2:$B$20,2,FALSE), "")</f>
        <v/>
      </c>
    </row>
    <row r="1661" spans="3:4" x14ac:dyDescent="0.3">
      <c r="C1661" s="35">
        <f t="shared" si="25"/>
        <v>0</v>
      </c>
      <c r="D1661" s="30" t="str">
        <f>IFERROR(VLOOKUP(C1661,소속부서!$A$2:$B$20,2,FALSE), "")</f>
        <v/>
      </c>
    </row>
    <row r="1662" spans="3:4" x14ac:dyDescent="0.3">
      <c r="C1662" s="35">
        <f t="shared" si="25"/>
        <v>0</v>
      </c>
      <c r="D1662" s="30" t="str">
        <f>IFERROR(VLOOKUP(C1662,소속부서!$A$2:$B$20,2,FALSE), "")</f>
        <v/>
      </c>
    </row>
    <row r="1663" spans="3:4" x14ac:dyDescent="0.3">
      <c r="C1663" s="35">
        <f t="shared" si="25"/>
        <v>0</v>
      </c>
      <c r="D1663" s="30" t="str">
        <f>IFERROR(VLOOKUP(C1663,소속부서!$A$2:$B$20,2,FALSE), "")</f>
        <v/>
      </c>
    </row>
    <row r="1664" spans="3:4" x14ac:dyDescent="0.3">
      <c r="C1664" s="35">
        <f t="shared" si="25"/>
        <v>0</v>
      </c>
      <c r="D1664" s="30" t="str">
        <f>IFERROR(VLOOKUP(C1664,소속부서!$A$2:$B$20,2,FALSE), "")</f>
        <v/>
      </c>
    </row>
    <row r="1665" spans="3:4" x14ac:dyDescent="0.3">
      <c r="C1665" s="35">
        <f t="shared" ref="C1665:C1728" si="26">E1665</f>
        <v>0</v>
      </c>
      <c r="D1665" s="30" t="str">
        <f>IFERROR(VLOOKUP(C1665,소속부서!$A$2:$B$20,2,FALSE), "")</f>
        <v/>
      </c>
    </row>
    <row r="1666" spans="3:4" x14ac:dyDescent="0.3">
      <c r="C1666" s="35">
        <f t="shared" si="26"/>
        <v>0</v>
      </c>
      <c r="D1666" s="30" t="str">
        <f>IFERROR(VLOOKUP(C1666,소속부서!$A$2:$B$20,2,FALSE), "")</f>
        <v/>
      </c>
    </row>
    <row r="1667" spans="3:4" x14ac:dyDescent="0.3">
      <c r="C1667" s="35">
        <f t="shared" si="26"/>
        <v>0</v>
      </c>
      <c r="D1667" s="30" t="str">
        <f>IFERROR(VLOOKUP(C1667,소속부서!$A$2:$B$20,2,FALSE), "")</f>
        <v/>
      </c>
    </row>
    <row r="1668" spans="3:4" x14ac:dyDescent="0.3">
      <c r="C1668" s="35">
        <f t="shared" si="26"/>
        <v>0</v>
      </c>
      <c r="D1668" s="30" t="str">
        <f>IFERROR(VLOOKUP(C1668,소속부서!$A$2:$B$20,2,FALSE), "")</f>
        <v/>
      </c>
    </row>
    <row r="1669" spans="3:4" x14ac:dyDescent="0.3">
      <c r="C1669" s="35">
        <f t="shared" si="26"/>
        <v>0</v>
      </c>
      <c r="D1669" s="30" t="str">
        <f>IFERROR(VLOOKUP(C1669,소속부서!$A$2:$B$20,2,FALSE), "")</f>
        <v/>
      </c>
    </row>
    <row r="1670" spans="3:4" x14ac:dyDescent="0.3">
      <c r="C1670" s="35">
        <f t="shared" si="26"/>
        <v>0</v>
      </c>
      <c r="D1670" s="30" t="str">
        <f>IFERROR(VLOOKUP(C1670,소속부서!$A$2:$B$20,2,FALSE), "")</f>
        <v/>
      </c>
    </row>
    <row r="1671" spans="3:4" x14ac:dyDescent="0.3">
      <c r="C1671" s="35">
        <f t="shared" si="26"/>
        <v>0</v>
      </c>
      <c r="D1671" s="30" t="str">
        <f>IFERROR(VLOOKUP(C1671,소속부서!$A$2:$B$20,2,FALSE), "")</f>
        <v/>
      </c>
    </row>
    <row r="1672" spans="3:4" x14ac:dyDescent="0.3">
      <c r="C1672" s="35">
        <f t="shared" si="26"/>
        <v>0</v>
      </c>
      <c r="D1672" s="30" t="str">
        <f>IFERROR(VLOOKUP(C1672,소속부서!$A$2:$B$20,2,FALSE), "")</f>
        <v/>
      </c>
    </row>
    <row r="1673" spans="3:4" x14ac:dyDescent="0.3">
      <c r="C1673" s="35">
        <f t="shared" si="26"/>
        <v>0</v>
      </c>
      <c r="D1673" s="30" t="str">
        <f>IFERROR(VLOOKUP(C1673,소속부서!$A$2:$B$20,2,FALSE), "")</f>
        <v/>
      </c>
    </row>
    <row r="1674" spans="3:4" x14ac:dyDescent="0.3">
      <c r="C1674" s="35">
        <f t="shared" si="26"/>
        <v>0</v>
      </c>
      <c r="D1674" s="30" t="str">
        <f>IFERROR(VLOOKUP(C1674,소속부서!$A$2:$B$20,2,FALSE), "")</f>
        <v/>
      </c>
    </row>
    <row r="1675" spans="3:4" x14ac:dyDescent="0.3">
      <c r="C1675" s="35">
        <f t="shared" si="26"/>
        <v>0</v>
      </c>
      <c r="D1675" s="30" t="str">
        <f>IFERROR(VLOOKUP(C1675,소속부서!$A$2:$B$20,2,FALSE), "")</f>
        <v/>
      </c>
    </row>
    <row r="1676" spans="3:4" x14ac:dyDescent="0.3">
      <c r="C1676" s="35">
        <f t="shared" si="26"/>
        <v>0</v>
      </c>
      <c r="D1676" s="30" t="str">
        <f>IFERROR(VLOOKUP(C1676,소속부서!$A$2:$B$20,2,FALSE), "")</f>
        <v/>
      </c>
    </row>
    <row r="1677" spans="3:4" x14ac:dyDescent="0.3">
      <c r="C1677" s="35">
        <f t="shared" si="26"/>
        <v>0</v>
      </c>
      <c r="D1677" s="30" t="str">
        <f>IFERROR(VLOOKUP(C1677,소속부서!$A$2:$B$20,2,FALSE), "")</f>
        <v/>
      </c>
    </row>
    <row r="1678" spans="3:4" x14ac:dyDescent="0.3">
      <c r="C1678" s="35">
        <f t="shared" si="26"/>
        <v>0</v>
      </c>
      <c r="D1678" s="30" t="str">
        <f>IFERROR(VLOOKUP(C1678,소속부서!$A$2:$B$20,2,FALSE), "")</f>
        <v/>
      </c>
    </row>
    <row r="1679" spans="3:4" x14ac:dyDescent="0.3">
      <c r="C1679" s="35">
        <f t="shared" si="26"/>
        <v>0</v>
      </c>
      <c r="D1679" s="30" t="str">
        <f>IFERROR(VLOOKUP(C1679,소속부서!$A$2:$B$20,2,FALSE), "")</f>
        <v/>
      </c>
    </row>
    <row r="1680" spans="3:4" x14ac:dyDescent="0.3">
      <c r="C1680" s="35">
        <f t="shared" si="26"/>
        <v>0</v>
      </c>
      <c r="D1680" s="30" t="str">
        <f>IFERROR(VLOOKUP(C1680,소속부서!$A$2:$B$20,2,FALSE), "")</f>
        <v/>
      </c>
    </row>
    <row r="1681" spans="3:4" x14ac:dyDescent="0.3">
      <c r="C1681" s="35">
        <f t="shared" si="26"/>
        <v>0</v>
      </c>
      <c r="D1681" s="30" t="str">
        <f>IFERROR(VLOOKUP(C1681,소속부서!$A$2:$B$20,2,FALSE), "")</f>
        <v/>
      </c>
    </row>
    <row r="1682" spans="3:4" x14ac:dyDescent="0.3">
      <c r="C1682" s="35">
        <f t="shared" si="26"/>
        <v>0</v>
      </c>
      <c r="D1682" s="30" t="str">
        <f>IFERROR(VLOOKUP(C1682,소속부서!$A$2:$B$20,2,FALSE), "")</f>
        <v/>
      </c>
    </row>
    <row r="1683" spans="3:4" x14ac:dyDescent="0.3">
      <c r="C1683" s="35">
        <f t="shared" si="26"/>
        <v>0</v>
      </c>
      <c r="D1683" s="30" t="str">
        <f>IFERROR(VLOOKUP(C1683,소속부서!$A$2:$B$20,2,FALSE), "")</f>
        <v/>
      </c>
    </row>
    <row r="1684" spans="3:4" x14ac:dyDescent="0.3">
      <c r="C1684" s="35">
        <f t="shared" si="26"/>
        <v>0</v>
      </c>
      <c r="D1684" s="30" t="str">
        <f>IFERROR(VLOOKUP(C1684,소속부서!$A$2:$B$20,2,FALSE), "")</f>
        <v/>
      </c>
    </row>
    <row r="1685" spans="3:4" x14ac:dyDescent="0.3">
      <c r="C1685" s="35">
        <f t="shared" si="26"/>
        <v>0</v>
      </c>
      <c r="D1685" s="30" t="str">
        <f>IFERROR(VLOOKUP(C1685,소속부서!$A$2:$B$20,2,FALSE), "")</f>
        <v/>
      </c>
    </row>
    <row r="1686" spans="3:4" x14ac:dyDescent="0.3">
      <c r="C1686" s="35">
        <f t="shared" si="26"/>
        <v>0</v>
      </c>
      <c r="D1686" s="30" t="str">
        <f>IFERROR(VLOOKUP(C1686,소속부서!$A$2:$B$20,2,FALSE), "")</f>
        <v/>
      </c>
    </row>
    <row r="1687" spans="3:4" x14ac:dyDescent="0.3">
      <c r="C1687" s="35">
        <f t="shared" si="26"/>
        <v>0</v>
      </c>
      <c r="D1687" s="30" t="str">
        <f>IFERROR(VLOOKUP(C1687,소속부서!$A$2:$B$20,2,FALSE), "")</f>
        <v/>
      </c>
    </row>
    <row r="1688" spans="3:4" x14ac:dyDescent="0.3">
      <c r="C1688" s="35">
        <f t="shared" si="26"/>
        <v>0</v>
      </c>
      <c r="D1688" s="30" t="str">
        <f>IFERROR(VLOOKUP(C1688,소속부서!$A$2:$B$20,2,FALSE), "")</f>
        <v/>
      </c>
    </row>
    <row r="1689" spans="3:4" x14ac:dyDescent="0.3">
      <c r="C1689" s="35">
        <f t="shared" si="26"/>
        <v>0</v>
      </c>
      <c r="D1689" s="30" t="str">
        <f>IFERROR(VLOOKUP(C1689,소속부서!$A$2:$B$20,2,FALSE), "")</f>
        <v/>
      </c>
    </row>
    <row r="1690" spans="3:4" x14ac:dyDescent="0.3">
      <c r="C1690" s="35">
        <f t="shared" si="26"/>
        <v>0</v>
      </c>
      <c r="D1690" s="30" t="str">
        <f>IFERROR(VLOOKUP(C1690,소속부서!$A$2:$B$20,2,FALSE), "")</f>
        <v/>
      </c>
    </row>
    <row r="1691" spans="3:4" x14ac:dyDescent="0.3">
      <c r="C1691" s="35">
        <f t="shared" si="26"/>
        <v>0</v>
      </c>
      <c r="D1691" s="30" t="str">
        <f>IFERROR(VLOOKUP(C1691,소속부서!$A$2:$B$20,2,FALSE), "")</f>
        <v/>
      </c>
    </row>
    <row r="1692" spans="3:4" x14ac:dyDescent="0.3">
      <c r="C1692" s="35">
        <f t="shared" si="26"/>
        <v>0</v>
      </c>
      <c r="D1692" s="30" t="str">
        <f>IFERROR(VLOOKUP(C1692,소속부서!$A$2:$B$20,2,FALSE), "")</f>
        <v/>
      </c>
    </row>
    <row r="1693" spans="3:4" x14ac:dyDescent="0.3">
      <c r="C1693" s="35">
        <f t="shared" si="26"/>
        <v>0</v>
      </c>
      <c r="D1693" s="30" t="str">
        <f>IFERROR(VLOOKUP(C1693,소속부서!$A$2:$B$20,2,FALSE), "")</f>
        <v/>
      </c>
    </row>
    <row r="1694" spans="3:4" x14ac:dyDescent="0.3">
      <c r="C1694" s="35">
        <f t="shared" si="26"/>
        <v>0</v>
      </c>
      <c r="D1694" s="30" t="str">
        <f>IFERROR(VLOOKUP(C1694,소속부서!$A$2:$B$20,2,FALSE), "")</f>
        <v/>
      </c>
    </row>
    <row r="1695" spans="3:4" x14ac:dyDescent="0.3">
      <c r="C1695" s="35">
        <f t="shared" si="26"/>
        <v>0</v>
      </c>
      <c r="D1695" s="30" t="str">
        <f>IFERROR(VLOOKUP(C1695,소속부서!$A$2:$B$20,2,FALSE), "")</f>
        <v/>
      </c>
    </row>
    <row r="1696" spans="3:4" x14ac:dyDescent="0.3">
      <c r="C1696" s="35">
        <f t="shared" si="26"/>
        <v>0</v>
      </c>
      <c r="D1696" s="30" t="str">
        <f>IFERROR(VLOOKUP(C1696,소속부서!$A$2:$B$20,2,FALSE), "")</f>
        <v/>
      </c>
    </row>
    <row r="1697" spans="3:4" x14ac:dyDescent="0.3">
      <c r="C1697" s="35">
        <f t="shared" si="26"/>
        <v>0</v>
      </c>
      <c r="D1697" s="30" t="str">
        <f>IFERROR(VLOOKUP(C1697,소속부서!$A$2:$B$20,2,FALSE), "")</f>
        <v/>
      </c>
    </row>
    <row r="1698" spans="3:4" x14ac:dyDescent="0.3">
      <c r="C1698" s="35">
        <f t="shared" si="26"/>
        <v>0</v>
      </c>
      <c r="D1698" s="30" t="str">
        <f>IFERROR(VLOOKUP(C1698,소속부서!$A$2:$B$20,2,FALSE), "")</f>
        <v/>
      </c>
    </row>
    <row r="1699" spans="3:4" x14ac:dyDescent="0.3">
      <c r="C1699" s="35">
        <f t="shared" si="26"/>
        <v>0</v>
      </c>
      <c r="D1699" s="30" t="str">
        <f>IFERROR(VLOOKUP(C1699,소속부서!$A$2:$B$20,2,FALSE), "")</f>
        <v/>
      </c>
    </row>
    <row r="1700" spans="3:4" x14ac:dyDescent="0.3">
      <c r="C1700" s="35">
        <f t="shared" si="26"/>
        <v>0</v>
      </c>
      <c r="D1700" s="30" t="str">
        <f>IFERROR(VLOOKUP(C1700,소속부서!$A$2:$B$20,2,FALSE), "")</f>
        <v/>
      </c>
    </row>
    <row r="1701" spans="3:4" x14ac:dyDescent="0.3">
      <c r="C1701" s="35">
        <f t="shared" si="26"/>
        <v>0</v>
      </c>
      <c r="D1701" s="30" t="str">
        <f>IFERROR(VLOOKUP(C1701,소속부서!$A$2:$B$20,2,FALSE), "")</f>
        <v/>
      </c>
    </row>
    <row r="1702" spans="3:4" x14ac:dyDescent="0.3">
      <c r="C1702" s="35">
        <f t="shared" si="26"/>
        <v>0</v>
      </c>
      <c r="D1702" s="30" t="str">
        <f>IFERROR(VLOOKUP(C1702,소속부서!$A$2:$B$20,2,FALSE), "")</f>
        <v/>
      </c>
    </row>
    <row r="1703" spans="3:4" x14ac:dyDescent="0.3">
      <c r="C1703" s="35">
        <f t="shared" si="26"/>
        <v>0</v>
      </c>
      <c r="D1703" s="30" t="str">
        <f>IFERROR(VLOOKUP(C1703,소속부서!$A$2:$B$20,2,FALSE), "")</f>
        <v/>
      </c>
    </row>
    <row r="1704" spans="3:4" x14ac:dyDescent="0.3">
      <c r="C1704" s="35">
        <f t="shared" si="26"/>
        <v>0</v>
      </c>
      <c r="D1704" s="30" t="str">
        <f>IFERROR(VLOOKUP(C1704,소속부서!$A$2:$B$20,2,FALSE), "")</f>
        <v/>
      </c>
    </row>
    <row r="1705" spans="3:4" x14ac:dyDescent="0.3">
      <c r="C1705" s="35">
        <f t="shared" si="26"/>
        <v>0</v>
      </c>
      <c r="D1705" s="30" t="str">
        <f>IFERROR(VLOOKUP(C1705,소속부서!$A$2:$B$20,2,FALSE), "")</f>
        <v/>
      </c>
    </row>
    <row r="1706" spans="3:4" x14ac:dyDescent="0.3">
      <c r="C1706" s="35">
        <f t="shared" si="26"/>
        <v>0</v>
      </c>
      <c r="D1706" s="30" t="str">
        <f>IFERROR(VLOOKUP(C1706,소속부서!$A$2:$B$20,2,FALSE), "")</f>
        <v/>
      </c>
    </row>
    <row r="1707" spans="3:4" x14ac:dyDescent="0.3">
      <c r="C1707" s="35">
        <f t="shared" si="26"/>
        <v>0</v>
      </c>
      <c r="D1707" s="30" t="str">
        <f>IFERROR(VLOOKUP(C1707,소속부서!$A$2:$B$20,2,FALSE), "")</f>
        <v/>
      </c>
    </row>
    <row r="1708" spans="3:4" x14ac:dyDescent="0.3">
      <c r="C1708" s="35">
        <f t="shared" si="26"/>
        <v>0</v>
      </c>
      <c r="D1708" s="30" t="str">
        <f>IFERROR(VLOOKUP(C1708,소속부서!$A$2:$B$20,2,FALSE), "")</f>
        <v/>
      </c>
    </row>
    <row r="1709" spans="3:4" x14ac:dyDescent="0.3">
      <c r="C1709" s="35">
        <f t="shared" si="26"/>
        <v>0</v>
      </c>
      <c r="D1709" s="30" t="str">
        <f>IFERROR(VLOOKUP(C1709,소속부서!$A$2:$B$20,2,FALSE), "")</f>
        <v/>
      </c>
    </row>
    <row r="1710" spans="3:4" x14ac:dyDescent="0.3">
      <c r="C1710" s="35">
        <f t="shared" si="26"/>
        <v>0</v>
      </c>
      <c r="D1710" s="30" t="str">
        <f>IFERROR(VLOOKUP(C1710,소속부서!$A$2:$B$20,2,FALSE), "")</f>
        <v/>
      </c>
    </row>
    <row r="1711" spans="3:4" x14ac:dyDescent="0.3">
      <c r="C1711" s="35">
        <f t="shared" si="26"/>
        <v>0</v>
      </c>
      <c r="D1711" s="30" t="str">
        <f>IFERROR(VLOOKUP(C1711,소속부서!$A$2:$B$20,2,FALSE), "")</f>
        <v/>
      </c>
    </row>
    <row r="1712" spans="3:4" x14ac:dyDescent="0.3">
      <c r="C1712" s="35">
        <f t="shared" si="26"/>
        <v>0</v>
      </c>
      <c r="D1712" s="30" t="str">
        <f>IFERROR(VLOOKUP(C1712,소속부서!$A$2:$B$20,2,FALSE), "")</f>
        <v/>
      </c>
    </row>
    <row r="1713" spans="3:4" x14ac:dyDescent="0.3">
      <c r="C1713" s="35">
        <f t="shared" si="26"/>
        <v>0</v>
      </c>
      <c r="D1713" s="30" t="str">
        <f>IFERROR(VLOOKUP(C1713,소속부서!$A$2:$B$20,2,FALSE), "")</f>
        <v/>
      </c>
    </row>
    <row r="1714" spans="3:4" x14ac:dyDescent="0.3">
      <c r="C1714" s="35">
        <f t="shared" si="26"/>
        <v>0</v>
      </c>
      <c r="D1714" s="30" t="str">
        <f>IFERROR(VLOOKUP(C1714,소속부서!$A$2:$B$20,2,FALSE), "")</f>
        <v/>
      </c>
    </row>
    <row r="1715" spans="3:4" x14ac:dyDescent="0.3">
      <c r="C1715" s="35">
        <f t="shared" si="26"/>
        <v>0</v>
      </c>
      <c r="D1715" s="30" t="str">
        <f>IFERROR(VLOOKUP(C1715,소속부서!$A$2:$B$20,2,FALSE), "")</f>
        <v/>
      </c>
    </row>
    <row r="1716" spans="3:4" x14ac:dyDescent="0.3">
      <c r="C1716" s="35">
        <f t="shared" si="26"/>
        <v>0</v>
      </c>
      <c r="D1716" s="30" t="str">
        <f>IFERROR(VLOOKUP(C1716,소속부서!$A$2:$B$20,2,FALSE), "")</f>
        <v/>
      </c>
    </row>
    <row r="1717" spans="3:4" x14ac:dyDescent="0.3">
      <c r="C1717" s="35">
        <f t="shared" si="26"/>
        <v>0</v>
      </c>
      <c r="D1717" s="30" t="str">
        <f>IFERROR(VLOOKUP(C1717,소속부서!$A$2:$B$20,2,FALSE), "")</f>
        <v/>
      </c>
    </row>
    <row r="1718" spans="3:4" x14ac:dyDescent="0.3">
      <c r="C1718" s="35">
        <f t="shared" si="26"/>
        <v>0</v>
      </c>
      <c r="D1718" s="30" t="str">
        <f>IFERROR(VLOOKUP(C1718,소속부서!$A$2:$B$20,2,FALSE), "")</f>
        <v/>
      </c>
    </row>
    <row r="1719" spans="3:4" x14ac:dyDescent="0.3">
      <c r="C1719" s="35">
        <f t="shared" si="26"/>
        <v>0</v>
      </c>
      <c r="D1719" s="30" t="str">
        <f>IFERROR(VLOOKUP(C1719,소속부서!$A$2:$B$20,2,FALSE), "")</f>
        <v/>
      </c>
    </row>
    <row r="1720" spans="3:4" x14ac:dyDescent="0.3">
      <c r="C1720" s="35">
        <f t="shared" si="26"/>
        <v>0</v>
      </c>
      <c r="D1720" s="30" t="str">
        <f>IFERROR(VLOOKUP(C1720,소속부서!$A$2:$B$20,2,FALSE), "")</f>
        <v/>
      </c>
    </row>
    <row r="1721" spans="3:4" x14ac:dyDescent="0.3">
      <c r="C1721" s="35">
        <f t="shared" si="26"/>
        <v>0</v>
      </c>
      <c r="D1721" s="30" t="str">
        <f>IFERROR(VLOOKUP(C1721,소속부서!$A$2:$B$20,2,FALSE), "")</f>
        <v/>
      </c>
    </row>
    <row r="1722" spans="3:4" x14ac:dyDescent="0.3">
      <c r="C1722" s="35">
        <f t="shared" si="26"/>
        <v>0</v>
      </c>
      <c r="D1722" s="30" t="str">
        <f>IFERROR(VLOOKUP(C1722,소속부서!$A$2:$B$20,2,FALSE), "")</f>
        <v/>
      </c>
    </row>
    <row r="1723" spans="3:4" x14ac:dyDescent="0.3">
      <c r="C1723" s="35">
        <f t="shared" si="26"/>
        <v>0</v>
      </c>
      <c r="D1723" s="30" t="str">
        <f>IFERROR(VLOOKUP(C1723,소속부서!$A$2:$B$20,2,FALSE), "")</f>
        <v/>
      </c>
    </row>
    <row r="1724" spans="3:4" x14ac:dyDescent="0.3">
      <c r="C1724" s="35">
        <f t="shared" si="26"/>
        <v>0</v>
      </c>
      <c r="D1724" s="30" t="str">
        <f>IFERROR(VLOOKUP(C1724,소속부서!$A$2:$B$20,2,FALSE), "")</f>
        <v/>
      </c>
    </row>
    <row r="1725" spans="3:4" x14ac:dyDescent="0.3">
      <c r="C1725" s="35">
        <f t="shared" si="26"/>
        <v>0</v>
      </c>
      <c r="D1725" s="30" t="str">
        <f>IFERROR(VLOOKUP(C1725,소속부서!$A$2:$B$20,2,FALSE), "")</f>
        <v/>
      </c>
    </row>
    <row r="1726" spans="3:4" x14ac:dyDescent="0.3">
      <c r="C1726" s="35">
        <f t="shared" si="26"/>
        <v>0</v>
      </c>
      <c r="D1726" s="30" t="str">
        <f>IFERROR(VLOOKUP(C1726,소속부서!$A$2:$B$20,2,FALSE), "")</f>
        <v/>
      </c>
    </row>
    <row r="1727" spans="3:4" x14ac:dyDescent="0.3">
      <c r="C1727" s="35">
        <f t="shared" si="26"/>
        <v>0</v>
      </c>
      <c r="D1727" s="30" t="str">
        <f>IFERROR(VLOOKUP(C1727,소속부서!$A$2:$B$20,2,FALSE), "")</f>
        <v/>
      </c>
    </row>
    <row r="1728" spans="3:4" x14ac:dyDescent="0.3">
      <c r="C1728" s="35">
        <f t="shared" si="26"/>
        <v>0</v>
      </c>
      <c r="D1728" s="30" t="str">
        <f>IFERROR(VLOOKUP(C1728,소속부서!$A$2:$B$20,2,FALSE), "")</f>
        <v/>
      </c>
    </row>
    <row r="1729" spans="3:4" x14ac:dyDescent="0.3">
      <c r="C1729" s="35">
        <f t="shared" ref="C1729:C1792" si="27">E1729</f>
        <v>0</v>
      </c>
      <c r="D1729" s="30" t="str">
        <f>IFERROR(VLOOKUP(C1729,소속부서!$A$2:$B$20,2,FALSE), "")</f>
        <v/>
      </c>
    </row>
    <row r="1730" spans="3:4" x14ac:dyDescent="0.3">
      <c r="C1730" s="35">
        <f t="shared" si="27"/>
        <v>0</v>
      </c>
      <c r="D1730" s="30" t="str">
        <f>IFERROR(VLOOKUP(C1730,소속부서!$A$2:$B$20,2,FALSE), "")</f>
        <v/>
      </c>
    </row>
    <row r="1731" spans="3:4" x14ac:dyDescent="0.3">
      <c r="C1731" s="35">
        <f t="shared" si="27"/>
        <v>0</v>
      </c>
      <c r="D1731" s="30" t="str">
        <f>IFERROR(VLOOKUP(C1731,소속부서!$A$2:$B$20,2,FALSE), "")</f>
        <v/>
      </c>
    </row>
    <row r="1732" spans="3:4" x14ac:dyDescent="0.3">
      <c r="C1732" s="35">
        <f t="shared" si="27"/>
        <v>0</v>
      </c>
      <c r="D1732" s="30" t="str">
        <f>IFERROR(VLOOKUP(C1732,소속부서!$A$2:$B$20,2,FALSE), "")</f>
        <v/>
      </c>
    </row>
    <row r="1733" spans="3:4" x14ac:dyDescent="0.3">
      <c r="C1733" s="35">
        <f t="shared" si="27"/>
        <v>0</v>
      </c>
      <c r="D1733" s="30" t="str">
        <f>IFERROR(VLOOKUP(C1733,소속부서!$A$2:$B$20,2,FALSE), "")</f>
        <v/>
      </c>
    </row>
    <row r="1734" spans="3:4" x14ac:dyDescent="0.3">
      <c r="C1734" s="35">
        <f t="shared" si="27"/>
        <v>0</v>
      </c>
      <c r="D1734" s="30" t="str">
        <f>IFERROR(VLOOKUP(C1734,소속부서!$A$2:$B$20,2,FALSE), "")</f>
        <v/>
      </c>
    </row>
    <row r="1735" spans="3:4" x14ac:dyDescent="0.3">
      <c r="C1735" s="35">
        <f t="shared" si="27"/>
        <v>0</v>
      </c>
      <c r="D1735" s="30" t="str">
        <f>IFERROR(VLOOKUP(C1735,소속부서!$A$2:$B$20,2,FALSE), "")</f>
        <v/>
      </c>
    </row>
    <row r="1736" spans="3:4" x14ac:dyDescent="0.3">
      <c r="C1736" s="35">
        <f t="shared" si="27"/>
        <v>0</v>
      </c>
      <c r="D1736" s="30" t="str">
        <f>IFERROR(VLOOKUP(C1736,소속부서!$A$2:$B$20,2,FALSE), "")</f>
        <v/>
      </c>
    </row>
    <row r="1737" spans="3:4" x14ac:dyDescent="0.3">
      <c r="C1737" s="35">
        <f t="shared" si="27"/>
        <v>0</v>
      </c>
      <c r="D1737" s="30" t="str">
        <f>IFERROR(VLOOKUP(C1737,소속부서!$A$2:$B$20,2,FALSE), "")</f>
        <v/>
      </c>
    </row>
    <row r="1738" spans="3:4" x14ac:dyDescent="0.3">
      <c r="C1738" s="35">
        <f t="shared" si="27"/>
        <v>0</v>
      </c>
      <c r="D1738" s="30" t="str">
        <f>IFERROR(VLOOKUP(C1738,소속부서!$A$2:$B$20,2,FALSE), "")</f>
        <v/>
      </c>
    </row>
    <row r="1739" spans="3:4" x14ac:dyDescent="0.3">
      <c r="C1739" s="35">
        <f t="shared" si="27"/>
        <v>0</v>
      </c>
      <c r="D1739" s="30" t="str">
        <f>IFERROR(VLOOKUP(C1739,소속부서!$A$2:$B$20,2,FALSE), "")</f>
        <v/>
      </c>
    </row>
    <row r="1740" spans="3:4" x14ac:dyDescent="0.3">
      <c r="C1740" s="35">
        <f t="shared" si="27"/>
        <v>0</v>
      </c>
      <c r="D1740" s="30" t="str">
        <f>IFERROR(VLOOKUP(C1740,소속부서!$A$2:$B$20,2,FALSE), "")</f>
        <v/>
      </c>
    </row>
    <row r="1741" spans="3:4" x14ac:dyDescent="0.3">
      <c r="C1741" s="35">
        <f t="shared" si="27"/>
        <v>0</v>
      </c>
      <c r="D1741" s="30" t="str">
        <f>IFERROR(VLOOKUP(C1741,소속부서!$A$2:$B$20,2,FALSE), "")</f>
        <v/>
      </c>
    </row>
    <row r="1742" spans="3:4" x14ac:dyDescent="0.3">
      <c r="C1742" s="35">
        <f t="shared" si="27"/>
        <v>0</v>
      </c>
      <c r="D1742" s="30" t="str">
        <f>IFERROR(VLOOKUP(C1742,소속부서!$A$2:$B$20,2,FALSE), "")</f>
        <v/>
      </c>
    </row>
    <row r="1743" spans="3:4" x14ac:dyDescent="0.3">
      <c r="C1743" s="35">
        <f t="shared" si="27"/>
        <v>0</v>
      </c>
      <c r="D1743" s="30" t="str">
        <f>IFERROR(VLOOKUP(C1743,소속부서!$A$2:$B$20,2,FALSE), "")</f>
        <v/>
      </c>
    </row>
    <row r="1744" spans="3:4" x14ac:dyDescent="0.3">
      <c r="C1744" s="35">
        <f t="shared" si="27"/>
        <v>0</v>
      </c>
      <c r="D1744" s="30" t="str">
        <f>IFERROR(VLOOKUP(C1744,소속부서!$A$2:$B$20,2,FALSE), "")</f>
        <v/>
      </c>
    </row>
    <row r="1745" spans="3:4" x14ac:dyDescent="0.3">
      <c r="C1745" s="35">
        <f t="shared" si="27"/>
        <v>0</v>
      </c>
      <c r="D1745" s="30" t="str">
        <f>IFERROR(VLOOKUP(C1745,소속부서!$A$2:$B$20,2,FALSE), "")</f>
        <v/>
      </c>
    </row>
    <row r="1746" spans="3:4" x14ac:dyDescent="0.3">
      <c r="C1746" s="35">
        <f t="shared" si="27"/>
        <v>0</v>
      </c>
      <c r="D1746" s="30" t="str">
        <f>IFERROR(VLOOKUP(C1746,소속부서!$A$2:$B$20,2,FALSE), "")</f>
        <v/>
      </c>
    </row>
    <row r="1747" spans="3:4" x14ac:dyDescent="0.3">
      <c r="C1747" s="35">
        <f t="shared" si="27"/>
        <v>0</v>
      </c>
      <c r="D1747" s="30" t="str">
        <f>IFERROR(VLOOKUP(C1747,소속부서!$A$2:$B$20,2,FALSE), "")</f>
        <v/>
      </c>
    </row>
    <row r="1748" spans="3:4" x14ac:dyDescent="0.3">
      <c r="C1748" s="35">
        <f t="shared" si="27"/>
        <v>0</v>
      </c>
      <c r="D1748" s="30" t="str">
        <f>IFERROR(VLOOKUP(C1748,소속부서!$A$2:$B$20,2,FALSE), "")</f>
        <v/>
      </c>
    </row>
    <row r="1749" spans="3:4" x14ac:dyDescent="0.3">
      <c r="C1749" s="35">
        <f t="shared" si="27"/>
        <v>0</v>
      </c>
      <c r="D1749" s="30" t="str">
        <f>IFERROR(VLOOKUP(C1749,소속부서!$A$2:$B$20,2,FALSE), "")</f>
        <v/>
      </c>
    </row>
    <row r="1750" spans="3:4" x14ac:dyDescent="0.3">
      <c r="C1750" s="35">
        <f t="shared" si="27"/>
        <v>0</v>
      </c>
      <c r="D1750" s="30" t="str">
        <f>IFERROR(VLOOKUP(C1750,소속부서!$A$2:$B$20,2,FALSE), "")</f>
        <v/>
      </c>
    </row>
    <row r="1751" spans="3:4" x14ac:dyDescent="0.3">
      <c r="C1751" s="35">
        <f t="shared" si="27"/>
        <v>0</v>
      </c>
      <c r="D1751" s="30" t="str">
        <f>IFERROR(VLOOKUP(C1751,소속부서!$A$2:$B$20,2,FALSE), "")</f>
        <v/>
      </c>
    </row>
    <row r="1752" spans="3:4" x14ac:dyDescent="0.3">
      <c r="C1752" s="35">
        <f t="shared" si="27"/>
        <v>0</v>
      </c>
      <c r="D1752" s="30" t="str">
        <f>IFERROR(VLOOKUP(C1752,소속부서!$A$2:$B$20,2,FALSE), "")</f>
        <v/>
      </c>
    </row>
    <row r="1753" spans="3:4" x14ac:dyDescent="0.3">
      <c r="C1753" s="35">
        <f t="shared" si="27"/>
        <v>0</v>
      </c>
      <c r="D1753" s="30" t="str">
        <f>IFERROR(VLOOKUP(C1753,소속부서!$A$2:$B$20,2,FALSE), "")</f>
        <v/>
      </c>
    </row>
    <row r="1754" spans="3:4" x14ac:dyDescent="0.3">
      <c r="C1754" s="35">
        <f t="shared" si="27"/>
        <v>0</v>
      </c>
      <c r="D1754" s="30" t="str">
        <f>IFERROR(VLOOKUP(C1754,소속부서!$A$2:$B$20,2,FALSE), "")</f>
        <v/>
      </c>
    </row>
    <row r="1755" spans="3:4" x14ac:dyDescent="0.3">
      <c r="C1755" s="35">
        <f t="shared" si="27"/>
        <v>0</v>
      </c>
      <c r="D1755" s="30" t="str">
        <f>IFERROR(VLOOKUP(C1755,소속부서!$A$2:$B$20,2,FALSE), "")</f>
        <v/>
      </c>
    </row>
    <row r="1756" spans="3:4" x14ac:dyDescent="0.3">
      <c r="C1756" s="35">
        <f t="shared" si="27"/>
        <v>0</v>
      </c>
      <c r="D1756" s="30" t="str">
        <f>IFERROR(VLOOKUP(C1756,소속부서!$A$2:$B$20,2,FALSE), "")</f>
        <v/>
      </c>
    </row>
    <row r="1757" spans="3:4" x14ac:dyDescent="0.3">
      <c r="C1757" s="35">
        <f t="shared" si="27"/>
        <v>0</v>
      </c>
      <c r="D1757" s="30" t="str">
        <f>IFERROR(VLOOKUP(C1757,소속부서!$A$2:$B$20,2,FALSE), "")</f>
        <v/>
      </c>
    </row>
    <row r="1758" spans="3:4" x14ac:dyDescent="0.3">
      <c r="C1758" s="35">
        <f t="shared" si="27"/>
        <v>0</v>
      </c>
      <c r="D1758" s="30" t="str">
        <f>IFERROR(VLOOKUP(C1758,소속부서!$A$2:$B$20,2,FALSE), "")</f>
        <v/>
      </c>
    </row>
    <row r="1759" spans="3:4" x14ac:dyDescent="0.3">
      <c r="C1759" s="35">
        <f t="shared" si="27"/>
        <v>0</v>
      </c>
      <c r="D1759" s="30" t="str">
        <f>IFERROR(VLOOKUP(C1759,소속부서!$A$2:$B$20,2,FALSE), "")</f>
        <v/>
      </c>
    </row>
    <row r="1760" spans="3:4" x14ac:dyDescent="0.3">
      <c r="C1760" s="35">
        <f t="shared" si="27"/>
        <v>0</v>
      </c>
      <c r="D1760" s="30" t="str">
        <f>IFERROR(VLOOKUP(C1760,소속부서!$A$2:$B$20,2,FALSE), "")</f>
        <v/>
      </c>
    </row>
    <row r="1761" spans="3:4" x14ac:dyDescent="0.3">
      <c r="C1761" s="35">
        <f t="shared" si="27"/>
        <v>0</v>
      </c>
      <c r="D1761" s="30" t="str">
        <f>IFERROR(VLOOKUP(C1761,소속부서!$A$2:$B$20,2,FALSE), "")</f>
        <v/>
      </c>
    </row>
    <row r="1762" spans="3:4" x14ac:dyDescent="0.3">
      <c r="C1762" s="35">
        <f t="shared" si="27"/>
        <v>0</v>
      </c>
      <c r="D1762" s="30" t="str">
        <f>IFERROR(VLOOKUP(C1762,소속부서!$A$2:$B$20,2,FALSE), "")</f>
        <v/>
      </c>
    </row>
    <row r="1763" spans="3:4" x14ac:dyDescent="0.3">
      <c r="C1763" s="35">
        <f t="shared" si="27"/>
        <v>0</v>
      </c>
      <c r="D1763" s="30" t="str">
        <f>IFERROR(VLOOKUP(C1763,소속부서!$A$2:$B$20,2,FALSE), "")</f>
        <v/>
      </c>
    </row>
    <row r="1764" spans="3:4" x14ac:dyDescent="0.3">
      <c r="C1764" s="35">
        <f t="shared" si="27"/>
        <v>0</v>
      </c>
      <c r="D1764" s="30" t="str">
        <f>IFERROR(VLOOKUP(C1764,소속부서!$A$2:$B$20,2,FALSE), "")</f>
        <v/>
      </c>
    </row>
    <row r="1765" spans="3:4" x14ac:dyDescent="0.3">
      <c r="C1765" s="35">
        <f t="shared" si="27"/>
        <v>0</v>
      </c>
      <c r="D1765" s="30" t="str">
        <f>IFERROR(VLOOKUP(C1765,소속부서!$A$2:$B$20,2,FALSE), "")</f>
        <v/>
      </c>
    </row>
    <row r="1766" spans="3:4" x14ac:dyDescent="0.3">
      <c r="C1766" s="35">
        <f t="shared" si="27"/>
        <v>0</v>
      </c>
      <c r="D1766" s="30" t="str">
        <f>IFERROR(VLOOKUP(C1766,소속부서!$A$2:$B$20,2,FALSE), "")</f>
        <v/>
      </c>
    </row>
    <row r="1767" spans="3:4" x14ac:dyDescent="0.3">
      <c r="C1767" s="35">
        <f t="shared" si="27"/>
        <v>0</v>
      </c>
      <c r="D1767" s="30" t="str">
        <f>IFERROR(VLOOKUP(C1767,소속부서!$A$2:$B$20,2,FALSE), "")</f>
        <v/>
      </c>
    </row>
    <row r="1768" spans="3:4" x14ac:dyDescent="0.3">
      <c r="C1768" s="35">
        <f t="shared" si="27"/>
        <v>0</v>
      </c>
      <c r="D1768" s="30" t="str">
        <f>IFERROR(VLOOKUP(C1768,소속부서!$A$2:$B$20,2,FALSE), "")</f>
        <v/>
      </c>
    </row>
    <row r="1769" spans="3:4" x14ac:dyDescent="0.3">
      <c r="C1769" s="35">
        <f t="shared" si="27"/>
        <v>0</v>
      </c>
      <c r="D1769" s="30" t="str">
        <f>IFERROR(VLOOKUP(C1769,소속부서!$A$2:$B$20,2,FALSE), "")</f>
        <v/>
      </c>
    </row>
    <row r="1770" spans="3:4" x14ac:dyDescent="0.3">
      <c r="C1770" s="35">
        <f t="shared" si="27"/>
        <v>0</v>
      </c>
      <c r="D1770" s="30" t="str">
        <f>IFERROR(VLOOKUP(C1770,소속부서!$A$2:$B$20,2,FALSE), "")</f>
        <v/>
      </c>
    </row>
    <row r="1771" spans="3:4" x14ac:dyDescent="0.3">
      <c r="C1771" s="35">
        <f t="shared" si="27"/>
        <v>0</v>
      </c>
      <c r="D1771" s="30" t="str">
        <f>IFERROR(VLOOKUP(C1771,소속부서!$A$2:$B$20,2,FALSE), "")</f>
        <v/>
      </c>
    </row>
    <row r="1772" spans="3:4" x14ac:dyDescent="0.3">
      <c r="C1772" s="35">
        <f t="shared" si="27"/>
        <v>0</v>
      </c>
      <c r="D1772" s="30" t="str">
        <f>IFERROR(VLOOKUP(C1772,소속부서!$A$2:$B$20,2,FALSE), "")</f>
        <v/>
      </c>
    </row>
    <row r="1773" spans="3:4" x14ac:dyDescent="0.3">
      <c r="C1773" s="35">
        <f t="shared" si="27"/>
        <v>0</v>
      </c>
      <c r="D1773" s="30" t="str">
        <f>IFERROR(VLOOKUP(C1773,소속부서!$A$2:$B$20,2,FALSE), "")</f>
        <v/>
      </c>
    </row>
    <row r="1774" spans="3:4" x14ac:dyDescent="0.3">
      <c r="C1774" s="35">
        <f t="shared" si="27"/>
        <v>0</v>
      </c>
      <c r="D1774" s="30" t="str">
        <f>IFERROR(VLOOKUP(C1774,소속부서!$A$2:$B$20,2,FALSE), "")</f>
        <v/>
      </c>
    </row>
    <row r="1775" spans="3:4" x14ac:dyDescent="0.3">
      <c r="C1775" s="35">
        <f t="shared" si="27"/>
        <v>0</v>
      </c>
      <c r="D1775" s="30" t="str">
        <f>IFERROR(VLOOKUP(C1775,소속부서!$A$2:$B$20,2,FALSE), "")</f>
        <v/>
      </c>
    </row>
    <row r="1776" spans="3:4" x14ac:dyDescent="0.3">
      <c r="C1776" s="35">
        <f t="shared" si="27"/>
        <v>0</v>
      </c>
      <c r="D1776" s="30" t="str">
        <f>IFERROR(VLOOKUP(C1776,소속부서!$A$2:$B$20,2,FALSE), "")</f>
        <v/>
      </c>
    </row>
    <row r="1777" spans="3:4" x14ac:dyDescent="0.3">
      <c r="C1777" s="35">
        <f t="shared" si="27"/>
        <v>0</v>
      </c>
      <c r="D1777" s="30" t="str">
        <f>IFERROR(VLOOKUP(C1777,소속부서!$A$2:$B$20,2,FALSE), "")</f>
        <v/>
      </c>
    </row>
    <row r="1778" spans="3:4" x14ac:dyDescent="0.3">
      <c r="C1778" s="35">
        <f t="shared" si="27"/>
        <v>0</v>
      </c>
      <c r="D1778" s="30" t="str">
        <f>IFERROR(VLOOKUP(C1778,소속부서!$A$2:$B$20,2,FALSE), "")</f>
        <v/>
      </c>
    </row>
    <row r="1779" spans="3:4" x14ac:dyDescent="0.3">
      <c r="C1779" s="35">
        <f t="shared" si="27"/>
        <v>0</v>
      </c>
      <c r="D1779" s="30" t="str">
        <f>IFERROR(VLOOKUP(C1779,소속부서!$A$2:$B$20,2,FALSE), "")</f>
        <v/>
      </c>
    </row>
    <row r="1780" spans="3:4" x14ac:dyDescent="0.3">
      <c r="C1780" s="35">
        <f t="shared" si="27"/>
        <v>0</v>
      </c>
      <c r="D1780" s="30" t="str">
        <f>IFERROR(VLOOKUP(C1780,소속부서!$A$2:$B$20,2,FALSE), "")</f>
        <v/>
      </c>
    </row>
    <row r="1781" spans="3:4" x14ac:dyDescent="0.3">
      <c r="C1781" s="35">
        <f t="shared" si="27"/>
        <v>0</v>
      </c>
      <c r="D1781" s="30" t="str">
        <f>IFERROR(VLOOKUP(C1781,소속부서!$A$2:$B$20,2,FALSE), "")</f>
        <v/>
      </c>
    </row>
    <row r="1782" spans="3:4" x14ac:dyDescent="0.3">
      <c r="C1782" s="35">
        <f t="shared" si="27"/>
        <v>0</v>
      </c>
      <c r="D1782" s="30" t="str">
        <f>IFERROR(VLOOKUP(C1782,소속부서!$A$2:$B$20,2,FALSE), "")</f>
        <v/>
      </c>
    </row>
    <row r="1783" spans="3:4" x14ac:dyDescent="0.3">
      <c r="C1783" s="35">
        <f t="shared" si="27"/>
        <v>0</v>
      </c>
      <c r="D1783" s="30" t="str">
        <f>IFERROR(VLOOKUP(C1783,소속부서!$A$2:$B$20,2,FALSE), "")</f>
        <v/>
      </c>
    </row>
    <row r="1784" spans="3:4" x14ac:dyDescent="0.3">
      <c r="C1784" s="35">
        <f t="shared" si="27"/>
        <v>0</v>
      </c>
      <c r="D1784" s="30" t="str">
        <f>IFERROR(VLOOKUP(C1784,소속부서!$A$2:$B$20,2,FALSE), "")</f>
        <v/>
      </c>
    </row>
    <row r="1785" spans="3:4" x14ac:dyDescent="0.3">
      <c r="C1785" s="35">
        <f t="shared" si="27"/>
        <v>0</v>
      </c>
      <c r="D1785" s="30" t="str">
        <f>IFERROR(VLOOKUP(C1785,소속부서!$A$2:$B$20,2,FALSE), "")</f>
        <v/>
      </c>
    </row>
    <row r="1786" spans="3:4" x14ac:dyDescent="0.3">
      <c r="C1786" s="35">
        <f t="shared" si="27"/>
        <v>0</v>
      </c>
      <c r="D1786" s="30" t="str">
        <f>IFERROR(VLOOKUP(C1786,소속부서!$A$2:$B$20,2,FALSE), "")</f>
        <v/>
      </c>
    </row>
    <row r="1787" spans="3:4" x14ac:dyDescent="0.3">
      <c r="C1787" s="35">
        <f t="shared" si="27"/>
        <v>0</v>
      </c>
      <c r="D1787" s="30" t="str">
        <f>IFERROR(VLOOKUP(C1787,소속부서!$A$2:$B$20,2,FALSE), "")</f>
        <v/>
      </c>
    </row>
    <row r="1788" spans="3:4" x14ac:dyDescent="0.3">
      <c r="C1788" s="35">
        <f t="shared" si="27"/>
        <v>0</v>
      </c>
      <c r="D1788" s="30" t="str">
        <f>IFERROR(VLOOKUP(C1788,소속부서!$A$2:$B$20,2,FALSE), "")</f>
        <v/>
      </c>
    </row>
    <row r="1789" spans="3:4" x14ac:dyDescent="0.3">
      <c r="C1789" s="35">
        <f t="shared" si="27"/>
        <v>0</v>
      </c>
      <c r="D1789" s="30" t="str">
        <f>IFERROR(VLOOKUP(C1789,소속부서!$A$2:$B$20,2,FALSE), "")</f>
        <v/>
      </c>
    </row>
    <row r="1790" spans="3:4" x14ac:dyDescent="0.3">
      <c r="C1790" s="35">
        <f t="shared" si="27"/>
        <v>0</v>
      </c>
      <c r="D1790" s="30" t="str">
        <f>IFERROR(VLOOKUP(C1790,소속부서!$A$2:$B$20,2,FALSE), "")</f>
        <v/>
      </c>
    </row>
    <row r="1791" spans="3:4" x14ac:dyDescent="0.3">
      <c r="C1791" s="35">
        <f t="shared" si="27"/>
        <v>0</v>
      </c>
      <c r="D1791" s="30" t="str">
        <f>IFERROR(VLOOKUP(C1791,소속부서!$A$2:$B$20,2,FALSE), "")</f>
        <v/>
      </c>
    </row>
    <row r="1792" spans="3:4" x14ac:dyDescent="0.3">
      <c r="C1792" s="35">
        <f t="shared" si="27"/>
        <v>0</v>
      </c>
      <c r="D1792" s="30" t="str">
        <f>IFERROR(VLOOKUP(C1792,소속부서!$A$2:$B$20,2,FALSE), "")</f>
        <v/>
      </c>
    </row>
    <row r="1793" spans="3:4" x14ac:dyDescent="0.3">
      <c r="C1793" s="35">
        <f t="shared" ref="C1793:C1856" si="28">E1793</f>
        <v>0</v>
      </c>
      <c r="D1793" s="30" t="str">
        <f>IFERROR(VLOOKUP(C1793,소속부서!$A$2:$B$20,2,FALSE), "")</f>
        <v/>
      </c>
    </row>
    <row r="1794" spans="3:4" x14ac:dyDescent="0.3">
      <c r="C1794" s="35">
        <f t="shared" si="28"/>
        <v>0</v>
      </c>
      <c r="D1794" s="30" t="str">
        <f>IFERROR(VLOOKUP(C1794,소속부서!$A$2:$B$20,2,FALSE), "")</f>
        <v/>
      </c>
    </row>
    <row r="1795" spans="3:4" x14ac:dyDescent="0.3">
      <c r="C1795" s="35">
        <f t="shared" si="28"/>
        <v>0</v>
      </c>
      <c r="D1795" s="30" t="str">
        <f>IFERROR(VLOOKUP(C1795,소속부서!$A$2:$B$20,2,FALSE), "")</f>
        <v/>
      </c>
    </row>
    <row r="1796" spans="3:4" x14ac:dyDescent="0.3">
      <c r="C1796" s="35">
        <f t="shared" si="28"/>
        <v>0</v>
      </c>
      <c r="D1796" s="30" t="str">
        <f>IFERROR(VLOOKUP(C1796,소속부서!$A$2:$B$20,2,FALSE), "")</f>
        <v/>
      </c>
    </row>
    <row r="1797" spans="3:4" x14ac:dyDescent="0.3">
      <c r="C1797" s="35">
        <f t="shared" si="28"/>
        <v>0</v>
      </c>
      <c r="D1797" s="30" t="str">
        <f>IFERROR(VLOOKUP(C1797,소속부서!$A$2:$B$20,2,FALSE), "")</f>
        <v/>
      </c>
    </row>
    <row r="1798" spans="3:4" x14ac:dyDescent="0.3">
      <c r="C1798" s="35">
        <f t="shared" si="28"/>
        <v>0</v>
      </c>
      <c r="D1798" s="30" t="str">
        <f>IFERROR(VLOOKUP(C1798,소속부서!$A$2:$B$20,2,FALSE), "")</f>
        <v/>
      </c>
    </row>
    <row r="1799" spans="3:4" x14ac:dyDescent="0.3">
      <c r="C1799" s="35">
        <f t="shared" si="28"/>
        <v>0</v>
      </c>
      <c r="D1799" s="30" t="str">
        <f>IFERROR(VLOOKUP(C1799,소속부서!$A$2:$B$20,2,FALSE), "")</f>
        <v/>
      </c>
    </row>
    <row r="1800" spans="3:4" x14ac:dyDescent="0.3">
      <c r="C1800" s="35">
        <f t="shared" si="28"/>
        <v>0</v>
      </c>
      <c r="D1800" s="30" t="str">
        <f>IFERROR(VLOOKUP(C1800,소속부서!$A$2:$B$20,2,FALSE), "")</f>
        <v/>
      </c>
    </row>
    <row r="1801" spans="3:4" x14ac:dyDescent="0.3">
      <c r="C1801" s="35">
        <f t="shared" si="28"/>
        <v>0</v>
      </c>
      <c r="D1801" s="30" t="str">
        <f>IFERROR(VLOOKUP(C1801,소속부서!$A$2:$B$20,2,FALSE), "")</f>
        <v/>
      </c>
    </row>
    <row r="1802" spans="3:4" x14ac:dyDescent="0.3">
      <c r="C1802" s="35">
        <f t="shared" si="28"/>
        <v>0</v>
      </c>
      <c r="D1802" s="30" t="str">
        <f>IFERROR(VLOOKUP(C1802,소속부서!$A$2:$B$20,2,FALSE), "")</f>
        <v/>
      </c>
    </row>
    <row r="1803" spans="3:4" x14ac:dyDescent="0.3">
      <c r="C1803" s="35">
        <f t="shared" si="28"/>
        <v>0</v>
      </c>
      <c r="D1803" s="30" t="str">
        <f>IFERROR(VLOOKUP(C1803,소속부서!$A$2:$B$20,2,FALSE), "")</f>
        <v/>
      </c>
    </row>
    <row r="1804" spans="3:4" x14ac:dyDescent="0.3">
      <c r="C1804" s="35">
        <f t="shared" si="28"/>
        <v>0</v>
      </c>
      <c r="D1804" s="30" t="str">
        <f>IFERROR(VLOOKUP(C1804,소속부서!$A$2:$B$20,2,FALSE), "")</f>
        <v/>
      </c>
    </row>
    <row r="1805" spans="3:4" x14ac:dyDescent="0.3">
      <c r="C1805" s="35">
        <f t="shared" si="28"/>
        <v>0</v>
      </c>
      <c r="D1805" s="30" t="str">
        <f>IFERROR(VLOOKUP(C1805,소속부서!$A$2:$B$20,2,FALSE), "")</f>
        <v/>
      </c>
    </row>
    <row r="1806" spans="3:4" x14ac:dyDescent="0.3">
      <c r="C1806" s="35">
        <f t="shared" si="28"/>
        <v>0</v>
      </c>
      <c r="D1806" s="30" t="str">
        <f>IFERROR(VLOOKUP(C1806,소속부서!$A$2:$B$20,2,FALSE), "")</f>
        <v/>
      </c>
    </row>
    <row r="1807" spans="3:4" x14ac:dyDescent="0.3">
      <c r="C1807" s="35">
        <f t="shared" si="28"/>
        <v>0</v>
      </c>
      <c r="D1807" s="30" t="str">
        <f>IFERROR(VLOOKUP(C1807,소속부서!$A$2:$B$20,2,FALSE), "")</f>
        <v/>
      </c>
    </row>
    <row r="1808" spans="3:4" x14ac:dyDescent="0.3">
      <c r="C1808" s="35">
        <f t="shared" si="28"/>
        <v>0</v>
      </c>
      <c r="D1808" s="30" t="str">
        <f>IFERROR(VLOOKUP(C1808,소속부서!$A$2:$B$20,2,FALSE), "")</f>
        <v/>
      </c>
    </row>
    <row r="1809" spans="3:4" x14ac:dyDescent="0.3">
      <c r="C1809" s="35">
        <f t="shared" si="28"/>
        <v>0</v>
      </c>
      <c r="D1809" s="30" t="str">
        <f>IFERROR(VLOOKUP(C1809,소속부서!$A$2:$B$20,2,FALSE), "")</f>
        <v/>
      </c>
    </row>
    <row r="1810" spans="3:4" x14ac:dyDescent="0.3">
      <c r="C1810" s="35">
        <f t="shared" si="28"/>
        <v>0</v>
      </c>
      <c r="D1810" s="30" t="str">
        <f>IFERROR(VLOOKUP(C1810,소속부서!$A$2:$B$20,2,FALSE), "")</f>
        <v/>
      </c>
    </row>
    <row r="1811" spans="3:4" x14ac:dyDescent="0.3">
      <c r="C1811" s="35">
        <f t="shared" si="28"/>
        <v>0</v>
      </c>
      <c r="D1811" s="30" t="str">
        <f>IFERROR(VLOOKUP(C1811,소속부서!$A$2:$B$20,2,FALSE), "")</f>
        <v/>
      </c>
    </row>
    <row r="1812" spans="3:4" x14ac:dyDescent="0.3">
      <c r="C1812" s="35">
        <f t="shared" si="28"/>
        <v>0</v>
      </c>
      <c r="D1812" s="30" t="str">
        <f>IFERROR(VLOOKUP(C1812,소속부서!$A$2:$B$20,2,FALSE), "")</f>
        <v/>
      </c>
    </row>
    <row r="1813" spans="3:4" x14ac:dyDescent="0.3">
      <c r="C1813" s="35">
        <f t="shared" si="28"/>
        <v>0</v>
      </c>
      <c r="D1813" s="30" t="str">
        <f>IFERROR(VLOOKUP(C1813,소속부서!$A$2:$B$20,2,FALSE), "")</f>
        <v/>
      </c>
    </row>
    <row r="1814" spans="3:4" x14ac:dyDescent="0.3">
      <c r="C1814" s="35">
        <f t="shared" si="28"/>
        <v>0</v>
      </c>
      <c r="D1814" s="30" t="str">
        <f>IFERROR(VLOOKUP(C1814,소속부서!$A$2:$B$20,2,FALSE), "")</f>
        <v/>
      </c>
    </row>
    <row r="1815" spans="3:4" x14ac:dyDescent="0.3">
      <c r="C1815" s="35">
        <f t="shared" si="28"/>
        <v>0</v>
      </c>
      <c r="D1815" s="30" t="str">
        <f>IFERROR(VLOOKUP(C1815,소속부서!$A$2:$B$20,2,FALSE), "")</f>
        <v/>
      </c>
    </row>
    <row r="1816" spans="3:4" x14ac:dyDescent="0.3">
      <c r="C1816" s="35">
        <f t="shared" si="28"/>
        <v>0</v>
      </c>
      <c r="D1816" s="30" t="str">
        <f>IFERROR(VLOOKUP(C1816,소속부서!$A$2:$B$20,2,FALSE), "")</f>
        <v/>
      </c>
    </row>
    <row r="1817" spans="3:4" x14ac:dyDescent="0.3">
      <c r="C1817" s="35">
        <f t="shared" si="28"/>
        <v>0</v>
      </c>
      <c r="D1817" s="30" t="str">
        <f>IFERROR(VLOOKUP(C1817,소속부서!$A$2:$B$20,2,FALSE), "")</f>
        <v/>
      </c>
    </row>
    <row r="1818" spans="3:4" x14ac:dyDescent="0.3">
      <c r="C1818" s="35">
        <f t="shared" si="28"/>
        <v>0</v>
      </c>
      <c r="D1818" s="30" t="str">
        <f>IFERROR(VLOOKUP(C1818,소속부서!$A$2:$B$20,2,FALSE), "")</f>
        <v/>
      </c>
    </row>
    <row r="1819" spans="3:4" x14ac:dyDescent="0.3">
      <c r="C1819" s="35">
        <f t="shared" si="28"/>
        <v>0</v>
      </c>
      <c r="D1819" s="30" t="str">
        <f>IFERROR(VLOOKUP(C1819,소속부서!$A$2:$B$20,2,FALSE), "")</f>
        <v/>
      </c>
    </row>
    <row r="1820" spans="3:4" x14ac:dyDescent="0.3">
      <c r="C1820" s="35">
        <f t="shared" si="28"/>
        <v>0</v>
      </c>
      <c r="D1820" s="30" t="str">
        <f>IFERROR(VLOOKUP(C1820,소속부서!$A$2:$B$20,2,FALSE), "")</f>
        <v/>
      </c>
    </row>
    <row r="1821" spans="3:4" x14ac:dyDescent="0.3">
      <c r="C1821" s="35">
        <f t="shared" si="28"/>
        <v>0</v>
      </c>
      <c r="D1821" s="30" t="str">
        <f>IFERROR(VLOOKUP(C1821,소속부서!$A$2:$B$20,2,FALSE), "")</f>
        <v/>
      </c>
    </row>
    <row r="1822" spans="3:4" x14ac:dyDescent="0.3">
      <c r="C1822" s="35">
        <f t="shared" si="28"/>
        <v>0</v>
      </c>
      <c r="D1822" s="30" t="str">
        <f>IFERROR(VLOOKUP(C1822,소속부서!$A$2:$B$20,2,FALSE), "")</f>
        <v/>
      </c>
    </row>
    <row r="1823" spans="3:4" x14ac:dyDescent="0.3">
      <c r="C1823" s="35">
        <f t="shared" si="28"/>
        <v>0</v>
      </c>
      <c r="D1823" s="30" t="str">
        <f>IFERROR(VLOOKUP(C1823,소속부서!$A$2:$B$20,2,FALSE), "")</f>
        <v/>
      </c>
    </row>
    <row r="1824" spans="3:4" x14ac:dyDescent="0.3">
      <c r="C1824" s="35">
        <f t="shared" si="28"/>
        <v>0</v>
      </c>
      <c r="D1824" s="30" t="str">
        <f>IFERROR(VLOOKUP(C1824,소속부서!$A$2:$B$20,2,FALSE), "")</f>
        <v/>
      </c>
    </row>
    <row r="1825" spans="3:4" x14ac:dyDescent="0.3">
      <c r="C1825" s="35">
        <f t="shared" si="28"/>
        <v>0</v>
      </c>
      <c r="D1825" s="30" t="str">
        <f>IFERROR(VLOOKUP(C1825,소속부서!$A$2:$B$20,2,FALSE), "")</f>
        <v/>
      </c>
    </row>
    <row r="1826" spans="3:4" x14ac:dyDescent="0.3">
      <c r="C1826" s="35">
        <f t="shared" si="28"/>
        <v>0</v>
      </c>
      <c r="D1826" s="30" t="str">
        <f>IFERROR(VLOOKUP(C1826,소속부서!$A$2:$B$20,2,FALSE), "")</f>
        <v/>
      </c>
    </row>
    <row r="1827" spans="3:4" x14ac:dyDescent="0.3">
      <c r="C1827" s="35">
        <f t="shared" si="28"/>
        <v>0</v>
      </c>
      <c r="D1827" s="30" t="str">
        <f>IFERROR(VLOOKUP(C1827,소속부서!$A$2:$B$20,2,FALSE), "")</f>
        <v/>
      </c>
    </row>
    <row r="1828" spans="3:4" x14ac:dyDescent="0.3">
      <c r="C1828" s="35">
        <f t="shared" si="28"/>
        <v>0</v>
      </c>
      <c r="D1828" s="30" t="str">
        <f>IFERROR(VLOOKUP(C1828,소속부서!$A$2:$B$20,2,FALSE), "")</f>
        <v/>
      </c>
    </row>
    <row r="1829" spans="3:4" x14ac:dyDescent="0.3">
      <c r="C1829" s="35">
        <f t="shared" si="28"/>
        <v>0</v>
      </c>
      <c r="D1829" s="30" t="str">
        <f>IFERROR(VLOOKUP(C1829,소속부서!$A$2:$B$20,2,FALSE), "")</f>
        <v/>
      </c>
    </row>
    <row r="1830" spans="3:4" x14ac:dyDescent="0.3">
      <c r="C1830" s="35">
        <f t="shared" si="28"/>
        <v>0</v>
      </c>
      <c r="D1830" s="30" t="str">
        <f>IFERROR(VLOOKUP(C1830,소속부서!$A$2:$B$20,2,FALSE), "")</f>
        <v/>
      </c>
    </row>
    <row r="1831" spans="3:4" x14ac:dyDescent="0.3">
      <c r="C1831" s="35">
        <f t="shared" si="28"/>
        <v>0</v>
      </c>
      <c r="D1831" s="30" t="str">
        <f>IFERROR(VLOOKUP(C1831,소속부서!$A$2:$B$20,2,FALSE), "")</f>
        <v/>
      </c>
    </row>
    <row r="1832" spans="3:4" x14ac:dyDescent="0.3">
      <c r="C1832" s="35">
        <f t="shared" si="28"/>
        <v>0</v>
      </c>
      <c r="D1832" s="30" t="str">
        <f>IFERROR(VLOOKUP(C1832,소속부서!$A$2:$B$20,2,FALSE), "")</f>
        <v/>
      </c>
    </row>
    <row r="1833" spans="3:4" x14ac:dyDescent="0.3">
      <c r="C1833" s="35">
        <f t="shared" si="28"/>
        <v>0</v>
      </c>
      <c r="D1833" s="30" t="str">
        <f>IFERROR(VLOOKUP(C1833,소속부서!$A$2:$B$20,2,FALSE), "")</f>
        <v/>
      </c>
    </row>
    <row r="1834" spans="3:4" x14ac:dyDescent="0.3">
      <c r="C1834" s="35">
        <f t="shared" si="28"/>
        <v>0</v>
      </c>
      <c r="D1834" s="30" t="str">
        <f>IFERROR(VLOOKUP(C1834,소속부서!$A$2:$B$20,2,FALSE), "")</f>
        <v/>
      </c>
    </row>
    <row r="1835" spans="3:4" x14ac:dyDescent="0.3">
      <c r="C1835" s="35">
        <f t="shared" si="28"/>
        <v>0</v>
      </c>
      <c r="D1835" s="30" t="str">
        <f>IFERROR(VLOOKUP(C1835,소속부서!$A$2:$B$20,2,FALSE), "")</f>
        <v/>
      </c>
    </row>
    <row r="1836" spans="3:4" x14ac:dyDescent="0.3">
      <c r="C1836" s="35">
        <f t="shared" si="28"/>
        <v>0</v>
      </c>
      <c r="D1836" s="30" t="str">
        <f>IFERROR(VLOOKUP(C1836,소속부서!$A$2:$B$20,2,FALSE), "")</f>
        <v/>
      </c>
    </row>
    <row r="1837" spans="3:4" x14ac:dyDescent="0.3">
      <c r="C1837" s="35">
        <f t="shared" si="28"/>
        <v>0</v>
      </c>
      <c r="D1837" s="30" t="str">
        <f>IFERROR(VLOOKUP(C1837,소속부서!$A$2:$B$20,2,FALSE), "")</f>
        <v/>
      </c>
    </row>
    <row r="1838" spans="3:4" x14ac:dyDescent="0.3">
      <c r="C1838" s="35">
        <f t="shared" si="28"/>
        <v>0</v>
      </c>
      <c r="D1838" s="30" t="str">
        <f>IFERROR(VLOOKUP(C1838,소속부서!$A$2:$B$20,2,FALSE), "")</f>
        <v/>
      </c>
    </row>
    <row r="1839" spans="3:4" x14ac:dyDescent="0.3">
      <c r="C1839" s="35">
        <f t="shared" si="28"/>
        <v>0</v>
      </c>
      <c r="D1839" s="30" t="str">
        <f>IFERROR(VLOOKUP(C1839,소속부서!$A$2:$B$20,2,FALSE), "")</f>
        <v/>
      </c>
    </row>
    <row r="1840" spans="3:4" x14ac:dyDescent="0.3">
      <c r="C1840" s="35">
        <f t="shared" si="28"/>
        <v>0</v>
      </c>
      <c r="D1840" s="30" t="str">
        <f>IFERROR(VLOOKUP(C1840,소속부서!$A$2:$B$20,2,FALSE), "")</f>
        <v/>
      </c>
    </row>
    <row r="1841" spans="3:4" x14ac:dyDescent="0.3">
      <c r="C1841" s="35">
        <f t="shared" si="28"/>
        <v>0</v>
      </c>
      <c r="D1841" s="30" t="str">
        <f>IFERROR(VLOOKUP(C1841,소속부서!$A$2:$B$20,2,FALSE), "")</f>
        <v/>
      </c>
    </row>
    <row r="1842" spans="3:4" x14ac:dyDescent="0.3">
      <c r="C1842" s="35">
        <f t="shared" si="28"/>
        <v>0</v>
      </c>
      <c r="D1842" s="30" t="str">
        <f>IFERROR(VLOOKUP(C1842,소속부서!$A$2:$B$20,2,FALSE), "")</f>
        <v/>
      </c>
    </row>
    <row r="1843" spans="3:4" x14ac:dyDescent="0.3">
      <c r="C1843" s="35">
        <f t="shared" si="28"/>
        <v>0</v>
      </c>
      <c r="D1843" s="30" t="str">
        <f>IFERROR(VLOOKUP(C1843,소속부서!$A$2:$B$20,2,FALSE), "")</f>
        <v/>
      </c>
    </row>
    <row r="1844" spans="3:4" x14ac:dyDescent="0.3">
      <c r="C1844" s="35">
        <f t="shared" si="28"/>
        <v>0</v>
      </c>
      <c r="D1844" s="30" t="str">
        <f>IFERROR(VLOOKUP(C1844,소속부서!$A$2:$B$20,2,FALSE), "")</f>
        <v/>
      </c>
    </row>
    <row r="1845" spans="3:4" x14ac:dyDescent="0.3">
      <c r="C1845" s="35">
        <f t="shared" si="28"/>
        <v>0</v>
      </c>
      <c r="D1845" s="30" t="str">
        <f>IFERROR(VLOOKUP(C1845,소속부서!$A$2:$B$20,2,FALSE), "")</f>
        <v/>
      </c>
    </row>
    <row r="1846" spans="3:4" x14ac:dyDescent="0.3">
      <c r="C1846" s="35">
        <f t="shared" si="28"/>
        <v>0</v>
      </c>
      <c r="D1846" s="30" t="str">
        <f>IFERROR(VLOOKUP(C1846,소속부서!$A$2:$B$20,2,FALSE), "")</f>
        <v/>
      </c>
    </row>
    <row r="1847" spans="3:4" x14ac:dyDescent="0.3">
      <c r="C1847" s="35">
        <f t="shared" si="28"/>
        <v>0</v>
      </c>
      <c r="D1847" s="30" t="str">
        <f>IFERROR(VLOOKUP(C1847,소속부서!$A$2:$B$20,2,FALSE), "")</f>
        <v/>
      </c>
    </row>
    <row r="1848" spans="3:4" x14ac:dyDescent="0.3">
      <c r="C1848" s="35">
        <f t="shared" si="28"/>
        <v>0</v>
      </c>
      <c r="D1848" s="30" t="str">
        <f>IFERROR(VLOOKUP(C1848,소속부서!$A$2:$B$20,2,FALSE), "")</f>
        <v/>
      </c>
    </row>
    <row r="1849" spans="3:4" x14ac:dyDescent="0.3">
      <c r="C1849" s="35">
        <f t="shared" si="28"/>
        <v>0</v>
      </c>
      <c r="D1849" s="30" t="str">
        <f>IFERROR(VLOOKUP(C1849,소속부서!$A$2:$B$20,2,FALSE), "")</f>
        <v/>
      </c>
    </row>
    <row r="1850" spans="3:4" x14ac:dyDescent="0.3">
      <c r="C1850" s="35">
        <f t="shared" si="28"/>
        <v>0</v>
      </c>
      <c r="D1850" s="30" t="str">
        <f>IFERROR(VLOOKUP(C1850,소속부서!$A$2:$B$20,2,FALSE), "")</f>
        <v/>
      </c>
    </row>
    <row r="1851" spans="3:4" x14ac:dyDescent="0.3">
      <c r="C1851" s="35">
        <f t="shared" si="28"/>
        <v>0</v>
      </c>
      <c r="D1851" s="30" t="str">
        <f>IFERROR(VLOOKUP(C1851,소속부서!$A$2:$B$20,2,FALSE), "")</f>
        <v/>
      </c>
    </row>
    <row r="1852" spans="3:4" x14ac:dyDescent="0.3">
      <c r="C1852" s="35">
        <f t="shared" si="28"/>
        <v>0</v>
      </c>
      <c r="D1852" s="30" t="str">
        <f>IFERROR(VLOOKUP(C1852,소속부서!$A$2:$B$20,2,FALSE), "")</f>
        <v/>
      </c>
    </row>
    <row r="1853" spans="3:4" x14ac:dyDescent="0.3">
      <c r="C1853" s="35">
        <f t="shared" si="28"/>
        <v>0</v>
      </c>
      <c r="D1853" s="30" t="str">
        <f>IFERROR(VLOOKUP(C1853,소속부서!$A$2:$B$20,2,FALSE), "")</f>
        <v/>
      </c>
    </row>
    <row r="1854" spans="3:4" x14ac:dyDescent="0.3">
      <c r="C1854" s="35">
        <f t="shared" si="28"/>
        <v>0</v>
      </c>
      <c r="D1854" s="30" t="str">
        <f>IFERROR(VLOOKUP(C1854,소속부서!$A$2:$B$20,2,FALSE), "")</f>
        <v/>
      </c>
    </row>
    <row r="1855" spans="3:4" x14ac:dyDescent="0.3">
      <c r="C1855" s="35">
        <f t="shared" si="28"/>
        <v>0</v>
      </c>
      <c r="D1855" s="30" t="str">
        <f>IFERROR(VLOOKUP(C1855,소속부서!$A$2:$B$20,2,FALSE), "")</f>
        <v/>
      </c>
    </row>
    <row r="1856" spans="3:4" x14ac:dyDescent="0.3">
      <c r="C1856" s="35">
        <f t="shared" si="28"/>
        <v>0</v>
      </c>
      <c r="D1856" s="30" t="str">
        <f>IFERROR(VLOOKUP(C1856,소속부서!$A$2:$B$20,2,FALSE), "")</f>
        <v/>
      </c>
    </row>
    <row r="1857" spans="3:4" x14ac:dyDescent="0.3">
      <c r="C1857" s="35">
        <f t="shared" ref="C1857:C1920" si="29">E1857</f>
        <v>0</v>
      </c>
      <c r="D1857" s="30" t="str">
        <f>IFERROR(VLOOKUP(C1857,소속부서!$A$2:$B$20,2,FALSE), "")</f>
        <v/>
      </c>
    </row>
    <row r="1858" spans="3:4" x14ac:dyDescent="0.3">
      <c r="C1858" s="35">
        <f t="shared" si="29"/>
        <v>0</v>
      </c>
      <c r="D1858" s="30" t="str">
        <f>IFERROR(VLOOKUP(C1858,소속부서!$A$2:$B$20,2,FALSE), "")</f>
        <v/>
      </c>
    </row>
    <row r="1859" spans="3:4" x14ac:dyDescent="0.3">
      <c r="C1859" s="35">
        <f t="shared" si="29"/>
        <v>0</v>
      </c>
      <c r="D1859" s="30" t="str">
        <f>IFERROR(VLOOKUP(C1859,소속부서!$A$2:$B$20,2,FALSE), "")</f>
        <v/>
      </c>
    </row>
    <row r="1860" spans="3:4" x14ac:dyDescent="0.3">
      <c r="C1860" s="35">
        <f t="shared" si="29"/>
        <v>0</v>
      </c>
      <c r="D1860" s="30" t="str">
        <f>IFERROR(VLOOKUP(C1860,소속부서!$A$2:$B$20,2,FALSE), "")</f>
        <v/>
      </c>
    </row>
    <row r="1861" spans="3:4" x14ac:dyDescent="0.3">
      <c r="C1861" s="35">
        <f t="shared" si="29"/>
        <v>0</v>
      </c>
      <c r="D1861" s="30" t="str">
        <f>IFERROR(VLOOKUP(C1861,소속부서!$A$2:$B$20,2,FALSE), "")</f>
        <v/>
      </c>
    </row>
    <row r="1862" spans="3:4" x14ac:dyDescent="0.3">
      <c r="C1862" s="35">
        <f t="shared" si="29"/>
        <v>0</v>
      </c>
      <c r="D1862" s="30" t="str">
        <f>IFERROR(VLOOKUP(C1862,소속부서!$A$2:$B$20,2,FALSE), "")</f>
        <v/>
      </c>
    </row>
    <row r="1863" spans="3:4" x14ac:dyDescent="0.3">
      <c r="C1863" s="35">
        <f t="shared" si="29"/>
        <v>0</v>
      </c>
      <c r="D1863" s="30" t="str">
        <f>IFERROR(VLOOKUP(C1863,소속부서!$A$2:$B$20,2,FALSE), "")</f>
        <v/>
      </c>
    </row>
    <row r="1864" spans="3:4" x14ac:dyDescent="0.3">
      <c r="C1864" s="35">
        <f t="shared" si="29"/>
        <v>0</v>
      </c>
      <c r="D1864" s="30" t="str">
        <f>IFERROR(VLOOKUP(C1864,소속부서!$A$2:$B$20,2,FALSE), "")</f>
        <v/>
      </c>
    </row>
    <row r="1865" spans="3:4" x14ac:dyDescent="0.3">
      <c r="C1865" s="35">
        <f t="shared" si="29"/>
        <v>0</v>
      </c>
      <c r="D1865" s="30" t="str">
        <f>IFERROR(VLOOKUP(C1865,소속부서!$A$2:$B$20,2,FALSE), "")</f>
        <v/>
      </c>
    </row>
    <row r="1866" spans="3:4" x14ac:dyDescent="0.3">
      <c r="C1866" s="35">
        <f t="shared" si="29"/>
        <v>0</v>
      </c>
      <c r="D1866" s="30" t="str">
        <f>IFERROR(VLOOKUP(C1866,소속부서!$A$2:$B$20,2,FALSE), "")</f>
        <v/>
      </c>
    </row>
    <row r="1867" spans="3:4" x14ac:dyDescent="0.3">
      <c r="C1867" s="35">
        <f t="shared" si="29"/>
        <v>0</v>
      </c>
      <c r="D1867" s="30" t="str">
        <f>IFERROR(VLOOKUP(C1867,소속부서!$A$2:$B$20,2,FALSE), "")</f>
        <v/>
      </c>
    </row>
    <row r="1868" spans="3:4" x14ac:dyDescent="0.3">
      <c r="C1868" s="35">
        <f t="shared" si="29"/>
        <v>0</v>
      </c>
      <c r="D1868" s="30" t="str">
        <f>IFERROR(VLOOKUP(C1868,소속부서!$A$2:$B$20,2,FALSE), "")</f>
        <v/>
      </c>
    </row>
    <row r="1869" spans="3:4" x14ac:dyDescent="0.3">
      <c r="C1869" s="35">
        <f t="shared" si="29"/>
        <v>0</v>
      </c>
      <c r="D1869" s="30" t="str">
        <f>IFERROR(VLOOKUP(C1869,소속부서!$A$2:$B$20,2,FALSE), "")</f>
        <v/>
      </c>
    </row>
    <row r="1870" spans="3:4" x14ac:dyDescent="0.3">
      <c r="C1870" s="35">
        <f t="shared" si="29"/>
        <v>0</v>
      </c>
      <c r="D1870" s="30" t="str">
        <f>IFERROR(VLOOKUP(C1870,소속부서!$A$2:$B$20,2,FALSE), "")</f>
        <v/>
      </c>
    </row>
    <row r="1871" spans="3:4" x14ac:dyDescent="0.3">
      <c r="C1871" s="35">
        <f t="shared" si="29"/>
        <v>0</v>
      </c>
      <c r="D1871" s="30" t="str">
        <f>IFERROR(VLOOKUP(C1871,소속부서!$A$2:$B$20,2,FALSE), "")</f>
        <v/>
      </c>
    </row>
    <row r="1872" spans="3:4" x14ac:dyDescent="0.3">
      <c r="C1872" s="35">
        <f t="shared" si="29"/>
        <v>0</v>
      </c>
      <c r="D1872" s="30" t="str">
        <f>IFERROR(VLOOKUP(C1872,소속부서!$A$2:$B$20,2,FALSE), "")</f>
        <v/>
      </c>
    </row>
    <row r="1873" spans="3:4" x14ac:dyDescent="0.3">
      <c r="C1873" s="35">
        <f t="shared" si="29"/>
        <v>0</v>
      </c>
      <c r="D1873" s="30" t="str">
        <f>IFERROR(VLOOKUP(C1873,소속부서!$A$2:$B$20,2,FALSE), "")</f>
        <v/>
      </c>
    </row>
    <row r="1874" spans="3:4" x14ac:dyDescent="0.3">
      <c r="C1874" s="35">
        <f t="shared" si="29"/>
        <v>0</v>
      </c>
      <c r="D1874" s="30" t="str">
        <f>IFERROR(VLOOKUP(C1874,소속부서!$A$2:$B$20,2,FALSE), "")</f>
        <v/>
      </c>
    </row>
    <row r="1875" spans="3:4" x14ac:dyDescent="0.3">
      <c r="C1875" s="35">
        <f t="shared" si="29"/>
        <v>0</v>
      </c>
      <c r="D1875" s="30" t="str">
        <f>IFERROR(VLOOKUP(C1875,소속부서!$A$2:$B$20,2,FALSE), "")</f>
        <v/>
      </c>
    </row>
    <row r="1876" spans="3:4" x14ac:dyDescent="0.3">
      <c r="C1876" s="35">
        <f t="shared" si="29"/>
        <v>0</v>
      </c>
      <c r="D1876" s="30" t="str">
        <f>IFERROR(VLOOKUP(C1876,소속부서!$A$2:$B$20,2,FALSE), "")</f>
        <v/>
      </c>
    </row>
    <row r="1877" spans="3:4" x14ac:dyDescent="0.3">
      <c r="C1877" s="35">
        <f t="shared" si="29"/>
        <v>0</v>
      </c>
      <c r="D1877" s="30" t="str">
        <f>IFERROR(VLOOKUP(C1877,소속부서!$A$2:$B$20,2,FALSE), "")</f>
        <v/>
      </c>
    </row>
    <row r="1878" spans="3:4" x14ac:dyDescent="0.3">
      <c r="C1878" s="35">
        <f t="shared" si="29"/>
        <v>0</v>
      </c>
      <c r="D1878" s="30" t="str">
        <f>IFERROR(VLOOKUP(C1878,소속부서!$A$2:$B$20,2,FALSE), "")</f>
        <v/>
      </c>
    </row>
    <row r="1879" spans="3:4" x14ac:dyDescent="0.3">
      <c r="C1879" s="35">
        <f t="shared" si="29"/>
        <v>0</v>
      </c>
      <c r="D1879" s="30" t="str">
        <f>IFERROR(VLOOKUP(C1879,소속부서!$A$2:$B$20,2,FALSE), "")</f>
        <v/>
      </c>
    </row>
    <row r="1880" spans="3:4" x14ac:dyDescent="0.3">
      <c r="C1880" s="35">
        <f t="shared" si="29"/>
        <v>0</v>
      </c>
      <c r="D1880" s="30" t="str">
        <f>IFERROR(VLOOKUP(C1880,소속부서!$A$2:$B$20,2,FALSE), "")</f>
        <v/>
      </c>
    </row>
    <row r="1881" spans="3:4" x14ac:dyDescent="0.3">
      <c r="C1881" s="35">
        <f t="shared" si="29"/>
        <v>0</v>
      </c>
      <c r="D1881" s="30" t="str">
        <f>IFERROR(VLOOKUP(C1881,소속부서!$A$2:$B$20,2,FALSE), "")</f>
        <v/>
      </c>
    </row>
    <row r="1882" spans="3:4" x14ac:dyDescent="0.3">
      <c r="C1882" s="35">
        <f t="shared" si="29"/>
        <v>0</v>
      </c>
      <c r="D1882" s="30" t="str">
        <f>IFERROR(VLOOKUP(C1882,소속부서!$A$2:$B$20,2,FALSE), "")</f>
        <v/>
      </c>
    </row>
    <row r="1883" spans="3:4" x14ac:dyDescent="0.3">
      <c r="C1883" s="35">
        <f t="shared" si="29"/>
        <v>0</v>
      </c>
      <c r="D1883" s="30" t="str">
        <f>IFERROR(VLOOKUP(C1883,소속부서!$A$2:$B$20,2,FALSE), "")</f>
        <v/>
      </c>
    </row>
    <row r="1884" spans="3:4" x14ac:dyDescent="0.3">
      <c r="C1884" s="35">
        <f t="shared" si="29"/>
        <v>0</v>
      </c>
      <c r="D1884" s="30" t="str">
        <f>IFERROR(VLOOKUP(C1884,소속부서!$A$2:$B$20,2,FALSE), "")</f>
        <v/>
      </c>
    </row>
    <row r="1885" spans="3:4" x14ac:dyDescent="0.3">
      <c r="C1885" s="35">
        <f t="shared" si="29"/>
        <v>0</v>
      </c>
      <c r="D1885" s="30" t="str">
        <f>IFERROR(VLOOKUP(C1885,소속부서!$A$2:$B$20,2,FALSE), "")</f>
        <v/>
      </c>
    </row>
    <row r="1886" spans="3:4" x14ac:dyDescent="0.3">
      <c r="C1886" s="35">
        <f t="shared" si="29"/>
        <v>0</v>
      </c>
      <c r="D1886" s="30" t="str">
        <f>IFERROR(VLOOKUP(C1886,소속부서!$A$2:$B$20,2,FALSE), "")</f>
        <v/>
      </c>
    </row>
    <row r="1887" spans="3:4" x14ac:dyDescent="0.3">
      <c r="C1887" s="35">
        <f t="shared" si="29"/>
        <v>0</v>
      </c>
      <c r="D1887" s="30" t="str">
        <f>IFERROR(VLOOKUP(C1887,소속부서!$A$2:$B$20,2,FALSE), "")</f>
        <v/>
      </c>
    </row>
    <row r="1888" spans="3:4" x14ac:dyDescent="0.3">
      <c r="C1888" s="35">
        <f t="shared" si="29"/>
        <v>0</v>
      </c>
      <c r="D1888" s="30" t="str">
        <f>IFERROR(VLOOKUP(C1888,소속부서!$A$2:$B$20,2,FALSE), "")</f>
        <v/>
      </c>
    </row>
    <row r="1889" spans="3:4" x14ac:dyDescent="0.3">
      <c r="C1889" s="35">
        <f t="shared" si="29"/>
        <v>0</v>
      </c>
      <c r="D1889" s="30" t="str">
        <f>IFERROR(VLOOKUP(C1889,소속부서!$A$2:$B$20,2,FALSE), "")</f>
        <v/>
      </c>
    </row>
    <row r="1890" spans="3:4" x14ac:dyDescent="0.3">
      <c r="C1890" s="35">
        <f t="shared" si="29"/>
        <v>0</v>
      </c>
      <c r="D1890" s="30" t="str">
        <f>IFERROR(VLOOKUP(C1890,소속부서!$A$2:$B$20,2,FALSE), "")</f>
        <v/>
      </c>
    </row>
    <row r="1891" spans="3:4" x14ac:dyDescent="0.3">
      <c r="C1891" s="35">
        <f t="shared" si="29"/>
        <v>0</v>
      </c>
      <c r="D1891" s="30" t="str">
        <f>IFERROR(VLOOKUP(C1891,소속부서!$A$2:$B$20,2,FALSE), "")</f>
        <v/>
      </c>
    </row>
    <row r="1892" spans="3:4" x14ac:dyDescent="0.3">
      <c r="C1892" s="35">
        <f t="shared" si="29"/>
        <v>0</v>
      </c>
      <c r="D1892" s="30" t="str">
        <f>IFERROR(VLOOKUP(C1892,소속부서!$A$2:$B$20,2,FALSE), "")</f>
        <v/>
      </c>
    </row>
    <row r="1893" spans="3:4" x14ac:dyDescent="0.3">
      <c r="C1893" s="35">
        <f t="shared" si="29"/>
        <v>0</v>
      </c>
      <c r="D1893" s="30" t="str">
        <f>IFERROR(VLOOKUP(C1893,소속부서!$A$2:$B$20,2,FALSE), "")</f>
        <v/>
      </c>
    </row>
    <row r="1894" spans="3:4" x14ac:dyDescent="0.3">
      <c r="C1894" s="35">
        <f t="shared" si="29"/>
        <v>0</v>
      </c>
      <c r="D1894" s="30" t="str">
        <f>IFERROR(VLOOKUP(C1894,소속부서!$A$2:$B$20,2,FALSE), "")</f>
        <v/>
      </c>
    </row>
    <row r="1895" spans="3:4" x14ac:dyDescent="0.3">
      <c r="C1895" s="35">
        <f t="shared" si="29"/>
        <v>0</v>
      </c>
      <c r="D1895" s="30" t="str">
        <f>IFERROR(VLOOKUP(C1895,소속부서!$A$2:$B$20,2,FALSE), "")</f>
        <v/>
      </c>
    </row>
    <row r="1896" spans="3:4" x14ac:dyDescent="0.3">
      <c r="C1896" s="35">
        <f t="shared" si="29"/>
        <v>0</v>
      </c>
      <c r="D1896" s="30" t="str">
        <f>IFERROR(VLOOKUP(C1896,소속부서!$A$2:$B$20,2,FALSE), "")</f>
        <v/>
      </c>
    </row>
    <row r="1897" spans="3:4" x14ac:dyDescent="0.3">
      <c r="C1897" s="35">
        <f t="shared" si="29"/>
        <v>0</v>
      </c>
      <c r="D1897" s="30" t="str">
        <f>IFERROR(VLOOKUP(C1897,소속부서!$A$2:$B$20,2,FALSE), "")</f>
        <v/>
      </c>
    </row>
    <row r="1898" spans="3:4" x14ac:dyDescent="0.3">
      <c r="C1898" s="35">
        <f t="shared" si="29"/>
        <v>0</v>
      </c>
      <c r="D1898" s="30" t="str">
        <f>IFERROR(VLOOKUP(C1898,소속부서!$A$2:$B$20,2,FALSE), "")</f>
        <v/>
      </c>
    </row>
    <row r="1899" spans="3:4" x14ac:dyDescent="0.3">
      <c r="C1899" s="35">
        <f t="shared" si="29"/>
        <v>0</v>
      </c>
      <c r="D1899" s="30" t="str">
        <f>IFERROR(VLOOKUP(C1899,소속부서!$A$2:$B$20,2,FALSE), "")</f>
        <v/>
      </c>
    </row>
    <row r="1900" spans="3:4" x14ac:dyDescent="0.3">
      <c r="C1900" s="35">
        <f t="shared" si="29"/>
        <v>0</v>
      </c>
      <c r="D1900" s="30" t="str">
        <f>IFERROR(VLOOKUP(C1900,소속부서!$A$2:$B$20,2,FALSE), "")</f>
        <v/>
      </c>
    </row>
    <row r="1901" spans="3:4" x14ac:dyDescent="0.3">
      <c r="C1901" s="35">
        <f t="shared" si="29"/>
        <v>0</v>
      </c>
      <c r="D1901" s="30" t="str">
        <f>IFERROR(VLOOKUP(C1901,소속부서!$A$2:$B$20,2,FALSE), "")</f>
        <v/>
      </c>
    </row>
    <row r="1902" spans="3:4" x14ac:dyDescent="0.3">
      <c r="C1902" s="35">
        <f t="shared" si="29"/>
        <v>0</v>
      </c>
      <c r="D1902" s="30" t="str">
        <f>IFERROR(VLOOKUP(C1902,소속부서!$A$2:$B$20,2,FALSE), "")</f>
        <v/>
      </c>
    </row>
    <row r="1903" spans="3:4" x14ac:dyDescent="0.3">
      <c r="C1903" s="35">
        <f t="shared" si="29"/>
        <v>0</v>
      </c>
      <c r="D1903" s="30" t="str">
        <f>IFERROR(VLOOKUP(C1903,소속부서!$A$2:$B$20,2,FALSE), "")</f>
        <v/>
      </c>
    </row>
    <row r="1904" spans="3:4" x14ac:dyDescent="0.3">
      <c r="C1904" s="35">
        <f t="shared" si="29"/>
        <v>0</v>
      </c>
      <c r="D1904" s="30" t="str">
        <f>IFERROR(VLOOKUP(C1904,소속부서!$A$2:$B$20,2,FALSE), "")</f>
        <v/>
      </c>
    </row>
    <row r="1905" spans="3:4" x14ac:dyDescent="0.3">
      <c r="C1905" s="35">
        <f t="shared" si="29"/>
        <v>0</v>
      </c>
      <c r="D1905" s="30" t="str">
        <f>IFERROR(VLOOKUP(C1905,소속부서!$A$2:$B$20,2,FALSE), "")</f>
        <v/>
      </c>
    </row>
    <row r="1906" spans="3:4" x14ac:dyDescent="0.3">
      <c r="C1906" s="35">
        <f t="shared" si="29"/>
        <v>0</v>
      </c>
      <c r="D1906" s="30" t="str">
        <f>IFERROR(VLOOKUP(C1906,소속부서!$A$2:$B$20,2,FALSE), "")</f>
        <v/>
      </c>
    </row>
    <row r="1907" spans="3:4" x14ac:dyDescent="0.3">
      <c r="C1907" s="35">
        <f t="shared" si="29"/>
        <v>0</v>
      </c>
      <c r="D1907" s="30" t="str">
        <f>IFERROR(VLOOKUP(C1907,소속부서!$A$2:$B$20,2,FALSE), "")</f>
        <v/>
      </c>
    </row>
    <row r="1908" spans="3:4" x14ac:dyDescent="0.3">
      <c r="C1908" s="35">
        <f t="shared" si="29"/>
        <v>0</v>
      </c>
      <c r="D1908" s="30" t="str">
        <f>IFERROR(VLOOKUP(C1908,소속부서!$A$2:$B$20,2,FALSE), "")</f>
        <v/>
      </c>
    </row>
    <row r="1909" spans="3:4" x14ac:dyDescent="0.3">
      <c r="C1909" s="35">
        <f t="shared" si="29"/>
        <v>0</v>
      </c>
      <c r="D1909" s="30" t="str">
        <f>IFERROR(VLOOKUP(C1909,소속부서!$A$2:$B$20,2,FALSE), "")</f>
        <v/>
      </c>
    </row>
    <row r="1910" spans="3:4" x14ac:dyDescent="0.3">
      <c r="C1910" s="35">
        <f t="shared" si="29"/>
        <v>0</v>
      </c>
      <c r="D1910" s="30" t="str">
        <f>IFERROR(VLOOKUP(C1910,소속부서!$A$2:$B$20,2,FALSE), "")</f>
        <v/>
      </c>
    </row>
    <row r="1911" spans="3:4" x14ac:dyDescent="0.3">
      <c r="C1911" s="35">
        <f t="shared" si="29"/>
        <v>0</v>
      </c>
      <c r="D1911" s="30" t="str">
        <f>IFERROR(VLOOKUP(C1911,소속부서!$A$2:$B$20,2,FALSE), "")</f>
        <v/>
      </c>
    </row>
    <row r="1912" spans="3:4" x14ac:dyDescent="0.3">
      <c r="C1912" s="35">
        <f t="shared" si="29"/>
        <v>0</v>
      </c>
      <c r="D1912" s="30" t="str">
        <f>IFERROR(VLOOKUP(C1912,소속부서!$A$2:$B$20,2,FALSE), "")</f>
        <v/>
      </c>
    </row>
    <row r="1913" spans="3:4" x14ac:dyDescent="0.3">
      <c r="C1913" s="35">
        <f t="shared" si="29"/>
        <v>0</v>
      </c>
      <c r="D1913" s="30" t="str">
        <f>IFERROR(VLOOKUP(C1913,소속부서!$A$2:$B$20,2,FALSE), "")</f>
        <v/>
      </c>
    </row>
    <row r="1914" spans="3:4" x14ac:dyDescent="0.3">
      <c r="C1914" s="35">
        <f t="shared" si="29"/>
        <v>0</v>
      </c>
      <c r="D1914" s="30" t="str">
        <f>IFERROR(VLOOKUP(C1914,소속부서!$A$2:$B$20,2,FALSE), "")</f>
        <v/>
      </c>
    </row>
    <row r="1915" spans="3:4" x14ac:dyDescent="0.3">
      <c r="C1915" s="35">
        <f t="shared" si="29"/>
        <v>0</v>
      </c>
      <c r="D1915" s="30" t="str">
        <f>IFERROR(VLOOKUP(C1915,소속부서!$A$2:$B$20,2,FALSE), "")</f>
        <v/>
      </c>
    </row>
    <row r="1916" spans="3:4" x14ac:dyDescent="0.3">
      <c r="C1916" s="35">
        <f t="shared" si="29"/>
        <v>0</v>
      </c>
      <c r="D1916" s="30" t="str">
        <f>IFERROR(VLOOKUP(C1916,소속부서!$A$2:$B$20,2,FALSE), "")</f>
        <v/>
      </c>
    </row>
    <row r="1917" spans="3:4" x14ac:dyDescent="0.3">
      <c r="C1917" s="35">
        <f t="shared" si="29"/>
        <v>0</v>
      </c>
      <c r="D1917" s="30" t="str">
        <f>IFERROR(VLOOKUP(C1917,소속부서!$A$2:$B$20,2,FALSE), "")</f>
        <v/>
      </c>
    </row>
    <row r="1918" spans="3:4" x14ac:dyDescent="0.3">
      <c r="C1918" s="35">
        <f t="shared" si="29"/>
        <v>0</v>
      </c>
      <c r="D1918" s="30" t="str">
        <f>IFERROR(VLOOKUP(C1918,소속부서!$A$2:$B$20,2,FALSE), "")</f>
        <v/>
      </c>
    </row>
    <row r="1919" spans="3:4" x14ac:dyDescent="0.3">
      <c r="C1919" s="35">
        <f t="shared" si="29"/>
        <v>0</v>
      </c>
      <c r="D1919" s="30" t="str">
        <f>IFERROR(VLOOKUP(C1919,소속부서!$A$2:$B$20,2,FALSE), "")</f>
        <v/>
      </c>
    </row>
    <row r="1920" spans="3:4" x14ac:dyDescent="0.3">
      <c r="C1920" s="35">
        <f t="shared" si="29"/>
        <v>0</v>
      </c>
      <c r="D1920" s="30" t="str">
        <f>IFERROR(VLOOKUP(C1920,소속부서!$A$2:$B$20,2,FALSE), "")</f>
        <v/>
      </c>
    </row>
    <row r="1921" spans="3:4" x14ac:dyDescent="0.3">
      <c r="C1921" s="35">
        <f t="shared" ref="C1921:C1984" si="30">E1921</f>
        <v>0</v>
      </c>
      <c r="D1921" s="30" t="str">
        <f>IFERROR(VLOOKUP(C1921,소속부서!$A$2:$B$20,2,FALSE), "")</f>
        <v/>
      </c>
    </row>
    <row r="1922" spans="3:4" x14ac:dyDescent="0.3">
      <c r="C1922" s="35">
        <f t="shared" si="30"/>
        <v>0</v>
      </c>
      <c r="D1922" s="30" t="str">
        <f>IFERROR(VLOOKUP(C1922,소속부서!$A$2:$B$20,2,FALSE), "")</f>
        <v/>
      </c>
    </row>
    <row r="1923" spans="3:4" x14ac:dyDescent="0.3">
      <c r="C1923" s="35">
        <f t="shared" si="30"/>
        <v>0</v>
      </c>
      <c r="D1923" s="30" t="str">
        <f>IFERROR(VLOOKUP(C1923,소속부서!$A$2:$B$20,2,FALSE), "")</f>
        <v/>
      </c>
    </row>
    <row r="1924" spans="3:4" x14ac:dyDescent="0.3">
      <c r="C1924" s="35">
        <f t="shared" si="30"/>
        <v>0</v>
      </c>
      <c r="D1924" s="30" t="str">
        <f>IFERROR(VLOOKUP(C1924,소속부서!$A$2:$B$20,2,FALSE), "")</f>
        <v/>
      </c>
    </row>
    <row r="1925" spans="3:4" x14ac:dyDescent="0.3">
      <c r="C1925" s="35">
        <f t="shared" si="30"/>
        <v>0</v>
      </c>
      <c r="D1925" s="30" t="str">
        <f>IFERROR(VLOOKUP(C1925,소속부서!$A$2:$B$20,2,FALSE), "")</f>
        <v/>
      </c>
    </row>
    <row r="1926" spans="3:4" x14ac:dyDescent="0.3">
      <c r="C1926" s="35">
        <f t="shared" si="30"/>
        <v>0</v>
      </c>
      <c r="D1926" s="30" t="str">
        <f>IFERROR(VLOOKUP(C1926,소속부서!$A$2:$B$20,2,FALSE), "")</f>
        <v/>
      </c>
    </row>
    <row r="1927" spans="3:4" x14ac:dyDescent="0.3">
      <c r="C1927" s="35">
        <f t="shared" si="30"/>
        <v>0</v>
      </c>
      <c r="D1927" s="30" t="str">
        <f>IFERROR(VLOOKUP(C1927,소속부서!$A$2:$B$20,2,FALSE), "")</f>
        <v/>
      </c>
    </row>
    <row r="1928" spans="3:4" x14ac:dyDescent="0.3">
      <c r="C1928" s="35">
        <f t="shared" si="30"/>
        <v>0</v>
      </c>
      <c r="D1928" s="30" t="str">
        <f>IFERROR(VLOOKUP(C1928,소속부서!$A$2:$B$20,2,FALSE), "")</f>
        <v/>
      </c>
    </row>
    <row r="1929" spans="3:4" x14ac:dyDescent="0.3">
      <c r="C1929" s="35">
        <f t="shared" si="30"/>
        <v>0</v>
      </c>
      <c r="D1929" s="30" t="str">
        <f>IFERROR(VLOOKUP(C1929,소속부서!$A$2:$B$20,2,FALSE), "")</f>
        <v/>
      </c>
    </row>
    <row r="1930" spans="3:4" x14ac:dyDescent="0.3">
      <c r="C1930" s="35">
        <f t="shared" si="30"/>
        <v>0</v>
      </c>
      <c r="D1930" s="30" t="str">
        <f>IFERROR(VLOOKUP(C1930,소속부서!$A$2:$B$20,2,FALSE), "")</f>
        <v/>
      </c>
    </row>
    <row r="1931" spans="3:4" x14ac:dyDescent="0.3">
      <c r="C1931" s="35">
        <f t="shared" si="30"/>
        <v>0</v>
      </c>
      <c r="D1931" s="30" t="str">
        <f>IFERROR(VLOOKUP(C1931,소속부서!$A$2:$B$20,2,FALSE), "")</f>
        <v/>
      </c>
    </row>
    <row r="1932" spans="3:4" x14ac:dyDescent="0.3">
      <c r="C1932" s="35">
        <f t="shared" si="30"/>
        <v>0</v>
      </c>
      <c r="D1932" s="30" t="str">
        <f>IFERROR(VLOOKUP(C1932,소속부서!$A$2:$B$20,2,FALSE), "")</f>
        <v/>
      </c>
    </row>
    <row r="1933" spans="3:4" x14ac:dyDescent="0.3">
      <c r="C1933" s="35">
        <f t="shared" si="30"/>
        <v>0</v>
      </c>
      <c r="D1933" s="30" t="str">
        <f>IFERROR(VLOOKUP(C1933,소속부서!$A$2:$B$20,2,FALSE), "")</f>
        <v/>
      </c>
    </row>
    <row r="1934" spans="3:4" x14ac:dyDescent="0.3">
      <c r="C1934" s="35">
        <f t="shared" si="30"/>
        <v>0</v>
      </c>
      <c r="D1934" s="30" t="str">
        <f>IFERROR(VLOOKUP(C1934,소속부서!$A$2:$B$20,2,FALSE), "")</f>
        <v/>
      </c>
    </row>
    <row r="1935" spans="3:4" x14ac:dyDescent="0.3">
      <c r="C1935" s="35">
        <f t="shared" si="30"/>
        <v>0</v>
      </c>
      <c r="D1935" s="30" t="str">
        <f>IFERROR(VLOOKUP(C1935,소속부서!$A$2:$B$20,2,FALSE), "")</f>
        <v/>
      </c>
    </row>
    <row r="1936" spans="3:4" x14ac:dyDescent="0.3">
      <c r="C1936" s="35">
        <f t="shared" si="30"/>
        <v>0</v>
      </c>
      <c r="D1936" s="30" t="str">
        <f>IFERROR(VLOOKUP(C1936,소속부서!$A$2:$B$20,2,FALSE), "")</f>
        <v/>
      </c>
    </row>
    <row r="1937" spans="3:4" x14ac:dyDescent="0.3">
      <c r="C1937" s="35">
        <f t="shared" si="30"/>
        <v>0</v>
      </c>
      <c r="D1937" s="30" t="str">
        <f>IFERROR(VLOOKUP(C1937,소속부서!$A$2:$B$20,2,FALSE), "")</f>
        <v/>
      </c>
    </row>
    <row r="1938" spans="3:4" x14ac:dyDescent="0.3">
      <c r="C1938" s="35">
        <f t="shared" si="30"/>
        <v>0</v>
      </c>
      <c r="D1938" s="30" t="str">
        <f>IFERROR(VLOOKUP(C1938,소속부서!$A$2:$B$20,2,FALSE), "")</f>
        <v/>
      </c>
    </row>
    <row r="1939" spans="3:4" x14ac:dyDescent="0.3">
      <c r="C1939" s="35">
        <f t="shared" si="30"/>
        <v>0</v>
      </c>
      <c r="D1939" s="30" t="str">
        <f>IFERROR(VLOOKUP(C1939,소속부서!$A$2:$B$20,2,FALSE), "")</f>
        <v/>
      </c>
    </row>
    <row r="1940" spans="3:4" x14ac:dyDescent="0.3">
      <c r="C1940" s="35">
        <f t="shared" si="30"/>
        <v>0</v>
      </c>
      <c r="D1940" s="30" t="str">
        <f>IFERROR(VLOOKUP(C1940,소속부서!$A$2:$B$20,2,FALSE), "")</f>
        <v/>
      </c>
    </row>
    <row r="1941" spans="3:4" x14ac:dyDescent="0.3">
      <c r="C1941" s="35">
        <f t="shared" si="30"/>
        <v>0</v>
      </c>
      <c r="D1941" s="30" t="str">
        <f>IFERROR(VLOOKUP(C1941,소속부서!$A$2:$B$20,2,FALSE), "")</f>
        <v/>
      </c>
    </row>
    <row r="1942" spans="3:4" x14ac:dyDescent="0.3">
      <c r="C1942" s="35">
        <f t="shared" si="30"/>
        <v>0</v>
      </c>
      <c r="D1942" s="30" t="str">
        <f>IFERROR(VLOOKUP(C1942,소속부서!$A$2:$B$20,2,FALSE), "")</f>
        <v/>
      </c>
    </row>
    <row r="1943" spans="3:4" x14ac:dyDescent="0.3">
      <c r="C1943" s="35">
        <f t="shared" si="30"/>
        <v>0</v>
      </c>
      <c r="D1943" s="30" t="str">
        <f>IFERROR(VLOOKUP(C1943,소속부서!$A$2:$B$20,2,FALSE), "")</f>
        <v/>
      </c>
    </row>
    <row r="1944" spans="3:4" x14ac:dyDescent="0.3">
      <c r="C1944" s="35">
        <f t="shared" si="30"/>
        <v>0</v>
      </c>
      <c r="D1944" s="30" t="str">
        <f>IFERROR(VLOOKUP(C1944,소속부서!$A$2:$B$20,2,FALSE), "")</f>
        <v/>
      </c>
    </row>
    <row r="1945" spans="3:4" x14ac:dyDescent="0.3">
      <c r="C1945" s="35">
        <f t="shared" si="30"/>
        <v>0</v>
      </c>
      <c r="D1945" s="30" t="str">
        <f>IFERROR(VLOOKUP(C1945,소속부서!$A$2:$B$20,2,FALSE), "")</f>
        <v/>
      </c>
    </row>
    <row r="1946" spans="3:4" x14ac:dyDescent="0.3">
      <c r="C1946" s="35">
        <f t="shared" si="30"/>
        <v>0</v>
      </c>
      <c r="D1946" s="30" t="str">
        <f>IFERROR(VLOOKUP(C1946,소속부서!$A$2:$B$20,2,FALSE), "")</f>
        <v/>
      </c>
    </row>
    <row r="1947" spans="3:4" x14ac:dyDescent="0.3">
      <c r="C1947" s="35">
        <f t="shared" si="30"/>
        <v>0</v>
      </c>
      <c r="D1947" s="30" t="str">
        <f>IFERROR(VLOOKUP(C1947,소속부서!$A$2:$B$20,2,FALSE), "")</f>
        <v/>
      </c>
    </row>
    <row r="1948" spans="3:4" x14ac:dyDescent="0.3">
      <c r="C1948" s="35">
        <f t="shared" si="30"/>
        <v>0</v>
      </c>
      <c r="D1948" s="30" t="str">
        <f>IFERROR(VLOOKUP(C1948,소속부서!$A$2:$B$20,2,FALSE), "")</f>
        <v/>
      </c>
    </row>
    <row r="1949" spans="3:4" x14ac:dyDescent="0.3">
      <c r="C1949" s="35">
        <f t="shared" si="30"/>
        <v>0</v>
      </c>
      <c r="D1949" s="30" t="str">
        <f>IFERROR(VLOOKUP(C1949,소속부서!$A$2:$B$20,2,FALSE), "")</f>
        <v/>
      </c>
    </row>
    <row r="1950" spans="3:4" x14ac:dyDescent="0.3">
      <c r="C1950" s="35">
        <f t="shared" si="30"/>
        <v>0</v>
      </c>
      <c r="D1950" s="30" t="str">
        <f>IFERROR(VLOOKUP(C1950,소속부서!$A$2:$B$20,2,FALSE), "")</f>
        <v/>
      </c>
    </row>
    <row r="1951" spans="3:4" x14ac:dyDescent="0.3">
      <c r="C1951" s="35">
        <f t="shared" si="30"/>
        <v>0</v>
      </c>
      <c r="D1951" s="30" t="str">
        <f>IFERROR(VLOOKUP(C1951,소속부서!$A$2:$B$20,2,FALSE), "")</f>
        <v/>
      </c>
    </row>
    <row r="1952" spans="3:4" x14ac:dyDescent="0.3">
      <c r="C1952" s="35">
        <f t="shared" si="30"/>
        <v>0</v>
      </c>
      <c r="D1952" s="30" t="str">
        <f>IFERROR(VLOOKUP(C1952,소속부서!$A$2:$B$20,2,FALSE), "")</f>
        <v/>
      </c>
    </row>
    <row r="1953" spans="3:4" x14ac:dyDescent="0.3">
      <c r="C1953" s="35">
        <f t="shared" si="30"/>
        <v>0</v>
      </c>
      <c r="D1953" s="30" t="str">
        <f>IFERROR(VLOOKUP(C1953,소속부서!$A$2:$B$20,2,FALSE), "")</f>
        <v/>
      </c>
    </row>
    <row r="1954" spans="3:4" x14ac:dyDescent="0.3">
      <c r="C1954" s="35">
        <f t="shared" si="30"/>
        <v>0</v>
      </c>
      <c r="D1954" s="30" t="str">
        <f>IFERROR(VLOOKUP(C1954,소속부서!$A$2:$B$20,2,FALSE), "")</f>
        <v/>
      </c>
    </row>
    <row r="1955" spans="3:4" x14ac:dyDescent="0.3">
      <c r="C1955" s="35">
        <f t="shared" si="30"/>
        <v>0</v>
      </c>
      <c r="D1955" s="30" t="str">
        <f>IFERROR(VLOOKUP(C1955,소속부서!$A$2:$B$20,2,FALSE), "")</f>
        <v/>
      </c>
    </row>
    <row r="1956" spans="3:4" x14ac:dyDescent="0.3">
      <c r="C1956" s="35">
        <f t="shared" si="30"/>
        <v>0</v>
      </c>
      <c r="D1956" s="30" t="str">
        <f>IFERROR(VLOOKUP(C1956,소속부서!$A$2:$B$20,2,FALSE), "")</f>
        <v/>
      </c>
    </row>
    <row r="1957" spans="3:4" x14ac:dyDescent="0.3">
      <c r="C1957" s="35">
        <f t="shared" si="30"/>
        <v>0</v>
      </c>
      <c r="D1957" s="30" t="str">
        <f>IFERROR(VLOOKUP(C1957,소속부서!$A$2:$B$20,2,FALSE), "")</f>
        <v/>
      </c>
    </row>
    <row r="1958" spans="3:4" x14ac:dyDescent="0.3">
      <c r="C1958" s="35">
        <f t="shared" si="30"/>
        <v>0</v>
      </c>
      <c r="D1958" s="30" t="str">
        <f>IFERROR(VLOOKUP(C1958,소속부서!$A$2:$B$20,2,FALSE), "")</f>
        <v/>
      </c>
    </row>
    <row r="1959" spans="3:4" x14ac:dyDescent="0.3">
      <c r="C1959" s="35">
        <f t="shared" si="30"/>
        <v>0</v>
      </c>
      <c r="D1959" s="30" t="str">
        <f>IFERROR(VLOOKUP(C1959,소속부서!$A$2:$B$20,2,FALSE), "")</f>
        <v/>
      </c>
    </row>
    <row r="1960" spans="3:4" x14ac:dyDescent="0.3">
      <c r="C1960" s="35">
        <f t="shared" si="30"/>
        <v>0</v>
      </c>
      <c r="D1960" s="30" t="str">
        <f>IFERROR(VLOOKUP(C1960,소속부서!$A$2:$B$20,2,FALSE), "")</f>
        <v/>
      </c>
    </row>
    <row r="1961" spans="3:4" x14ac:dyDescent="0.3">
      <c r="C1961" s="35">
        <f t="shared" si="30"/>
        <v>0</v>
      </c>
      <c r="D1961" s="30" t="str">
        <f>IFERROR(VLOOKUP(C1961,소속부서!$A$2:$B$20,2,FALSE), "")</f>
        <v/>
      </c>
    </row>
    <row r="1962" spans="3:4" x14ac:dyDescent="0.3">
      <c r="C1962" s="35">
        <f t="shared" si="30"/>
        <v>0</v>
      </c>
      <c r="D1962" s="30" t="str">
        <f>IFERROR(VLOOKUP(C1962,소속부서!$A$2:$B$20,2,FALSE), "")</f>
        <v/>
      </c>
    </row>
    <row r="1963" spans="3:4" x14ac:dyDescent="0.3">
      <c r="C1963" s="35">
        <f t="shared" si="30"/>
        <v>0</v>
      </c>
      <c r="D1963" s="30" t="str">
        <f>IFERROR(VLOOKUP(C1963,소속부서!$A$2:$B$20,2,FALSE), "")</f>
        <v/>
      </c>
    </row>
    <row r="1964" spans="3:4" x14ac:dyDescent="0.3">
      <c r="C1964" s="35">
        <f t="shared" si="30"/>
        <v>0</v>
      </c>
      <c r="D1964" s="30" t="str">
        <f>IFERROR(VLOOKUP(C1964,소속부서!$A$2:$B$20,2,FALSE), "")</f>
        <v/>
      </c>
    </row>
    <row r="1965" spans="3:4" x14ac:dyDescent="0.3">
      <c r="C1965" s="35">
        <f t="shared" si="30"/>
        <v>0</v>
      </c>
      <c r="D1965" s="30" t="str">
        <f>IFERROR(VLOOKUP(C1965,소속부서!$A$2:$B$20,2,FALSE), "")</f>
        <v/>
      </c>
    </row>
    <row r="1966" spans="3:4" x14ac:dyDescent="0.3">
      <c r="C1966" s="35">
        <f t="shared" si="30"/>
        <v>0</v>
      </c>
      <c r="D1966" s="30" t="str">
        <f>IFERROR(VLOOKUP(C1966,소속부서!$A$2:$B$20,2,FALSE), "")</f>
        <v/>
      </c>
    </row>
    <row r="1967" spans="3:4" x14ac:dyDescent="0.3">
      <c r="C1967" s="35">
        <f t="shared" si="30"/>
        <v>0</v>
      </c>
      <c r="D1967" s="30" t="str">
        <f>IFERROR(VLOOKUP(C1967,소속부서!$A$2:$B$20,2,FALSE), "")</f>
        <v/>
      </c>
    </row>
    <row r="1968" spans="3:4" x14ac:dyDescent="0.3">
      <c r="C1968" s="35">
        <f t="shared" si="30"/>
        <v>0</v>
      </c>
      <c r="D1968" s="30" t="str">
        <f>IFERROR(VLOOKUP(C1968,소속부서!$A$2:$B$20,2,FALSE), "")</f>
        <v/>
      </c>
    </row>
    <row r="1969" spans="3:4" x14ac:dyDescent="0.3">
      <c r="C1969" s="35">
        <f t="shared" si="30"/>
        <v>0</v>
      </c>
      <c r="D1969" s="30" t="str">
        <f>IFERROR(VLOOKUP(C1969,소속부서!$A$2:$B$20,2,FALSE), "")</f>
        <v/>
      </c>
    </row>
    <row r="1970" spans="3:4" x14ac:dyDescent="0.3">
      <c r="C1970" s="35">
        <f t="shared" si="30"/>
        <v>0</v>
      </c>
      <c r="D1970" s="30" t="str">
        <f>IFERROR(VLOOKUP(C1970,소속부서!$A$2:$B$20,2,FALSE), "")</f>
        <v/>
      </c>
    </row>
    <row r="1971" spans="3:4" x14ac:dyDescent="0.3">
      <c r="C1971" s="35">
        <f t="shared" si="30"/>
        <v>0</v>
      </c>
      <c r="D1971" s="30" t="str">
        <f>IFERROR(VLOOKUP(C1971,소속부서!$A$2:$B$20,2,FALSE), "")</f>
        <v/>
      </c>
    </row>
    <row r="1972" spans="3:4" x14ac:dyDescent="0.3">
      <c r="C1972" s="35">
        <f t="shared" si="30"/>
        <v>0</v>
      </c>
      <c r="D1972" s="30" t="str">
        <f>IFERROR(VLOOKUP(C1972,소속부서!$A$2:$B$20,2,FALSE), "")</f>
        <v/>
      </c>
    </row>
    <row r="1973" spans="3:4" x14ac:dyDescent="0.3">
      <c r="C1973" s="35">
        <f t="shared" si="30"/>
        <v>0</v>
      </c>
      <c r="D1973" s="30" t="str">
        <f>IFERROR(VLOOKUP(C1973,소속부서!$A$2:$B$20,2,FALSE), "")</f>
        <v/>
      </c>
    </row>
    <row r="1974" spans="3:4" x14ac:dyDescent="0.3">
      <c r="C1974" s="35">
        <f t="shared" si="30"/>
        <v>0</v>
      </c>
      <c r="D1974" s="30" t="str">
        <f>IFERROR(VLOOKUP(C1974,소속부서!$A$2:$B$20,2,FALSE), "")</f>
        <v/>
      </c>
    </row>
    <row r="1975" spans="3:4" x14ac:dyDescent="0.3">
      <c r="C1975" s="35">
        <f t="shared" si="30"/>
        <v>0</v>
      </c>
      <c r="D1975" s="30" t="str">
        <f>IFERROR(VLOOKUP(C1975,소속부서!$A$2:$B$20,2,FALSE), "")</f>
        <v/>
      </c>
    </row>
    <row r="1976" spans="3:4" x14ac:dyDescent="0.3">
      <c r="C1976" s="35">
        <f t="shared" si="30"/>
        <v>0</v>
      </c>
      <c r="D1976" s="30" t="str">
        <f>IFERROR(VLOOKUP(C1976,소속부서!$A$2:$B$20,2,FALSE), "")</f>
        <v/>
      </c>
    </row>
    <row r="1977" spans="3:4" x14ac:dyDescent="0.3">
      <c r="C1977" s="35">
        <f t="shared" si="30"/>
        <v>0</v>
      </c>
      <c r="D1977" s="30" t="str">
        <f>IFERROR(VLOOKUP(C1977,소속부서!$A$2:$B$20,2,FALSE), "")</f>
        <v/>
      </c>
    </row>
    <row r="1978" spans="3:4" x14ac:dyDescent="0.3">
      <c r="C1978" s="35">
        <f t="shared" si="30"/>
        <v>0</v>
      </c>
      <c r="D1978" s="30" t="str">
        <f>IFERROR(VLOOKUP(C1978,소속부서!$A$2:$B$20,2,FALSE), "")</f>
        <v/>
      </c>
    </row>
    <row r="1979" spans="3:4" x14ac:dyDescent="0.3">
      <c r="C1979" s="35">
        <f t="shared" si="30"/>
        <v>0</v>
      </c>
      <c r="D1979" s="30" t="str">
        <f>IFERROR(VLOOKUP(C1979,소속부서!$A$2:$B$20,2,FALSE), "")</f>
        <v/>
      </c>
    </row>
    <row r="1980" spans="3:4" x14ac:dyDescent="0.3">
      <c r="C1980" s="35">
        <f t="shared" si="30"/>
        <v>0</v>
      </c>
      <c r="D1980" s="30" t="str">
        <f>IFERROR(VLOOKUP(C1980,소속부서!$A$2:$B$20,2,FALSE), "")</f>
        <v/>
      </c>
    </row>
    <row r="1981" spans="3:4" x14ac:dyDescent="0.3">
      <c r="C1981" s="35">
        <f t="shared" si="30"/>
        <v>0</v>
      </c>
      <c r="D1981" s="30" t="str">
        <f>IFERROR(VLOOKUP(C1981,소속부서!$A$2:$B$20,2,FALSE), "")</f>
        <v/>
      </c>
    </row>
    <row r="1982" spans="3:4" x14ac:dyDescent="0.3">
      <c r="C1982" s="35">
        <f t="shared" si="30"/>
        <v>0</v>
      </c>
      <c r="D1982" s="30" t="str">
        <f>IFERROR(VLOOKUP(C1982,소속부서!$A$2:$B$20,2,FALSE), "")</f>
        <v/>
      </c>
    </row>
    <row r="1983" spans="3:4" x14ac:dyDescent="0.3">
      <c r="C1983" s="35">
        <f t="shared" si="30"/>
        <v>0</v>
      </c>
      <c r="D1983" s="30" t="str">
        <f>IFERROR(VLOOKUP(C1983,소속부서!$A$2:$B$20,2,FALSE), "")</f>
        <v/>
      </c>
    </row>
    <row r="1984" spans="3:4" x14ac:dyDescent="0.3">
      <c r="C1984" s="35">
        <f t="shared" si="30"/>
        <v>0</v>
      </c>
      <c r="D1984" s="30" t="str">
        <f>IFERROR(VLOOKUP(C1984,소속부서!$A$2:$B$20,2,FALSE), "")</f>
        <v/>
      </c>
    </row>
    <row r="1985" spans="3:4" x14ac:dyDescent="0.3">
      <c r="C1985" s="35">
        <f t="shared" ref="C1985:C2048" si="31">E1985</f>
        <v>0</v>
      </c>
      <c r="D1985" s="30" t="str">
        <f>IFERROR(VLOOKUP(C1985,소속부서!$A$2:$B$20,2,FALSE), "")</f>
        <v/>
      </c>
    </row>
    <row r="1986" spans="3:4" x14ac:dyDescent="0.3">
      <c r="C1986" s="35">
        <f t="shared" si="31"/>
        <v>0</v>
      </c>
      <c r="D1986" s="30" t="str">
        <f>IFERROR(VLOOKUP(C1986,소속부서!$A$2:$B$20,2,FALSE), "")</f>
        <v/>
      </c>
    </row>
    <row r="1987" spans="3:4" x14ac:dyDescent="0.3">
      <c r="C1987" s="35">
        <f t="shared" si="31"/>
        <v>0</v>
      </c>
      <c r="D1987" s="30" t="str">
        <f>IFERROR(VLOOKUP(C1987,소속부서!$A$2:$B$20,2,FALSE), "")</f>
        <v/>
      </c>
    </row>
    <row r="1988" spans="3:4" x14ac:dyDescent="0.3">
      <c r="C1988" s="35">
        <f t="shared" si="31"/>
        <v>0</v>
      </c>
      <c r="D1988" s="30" t="str">
        <f>IFERROR(VLOOKUP(C1988,소속부서!$A$2:$B$20,2,FALSE), "")</f>
        <v/>
      </c>
    </row>
    <row r="1989" spans="3:4" x14ac:dyDescent="0.3">
      <c r="C1989" s="35">
        <f t="shared" si="31"/>
        <v>0</v>
      </c>
      <c r="D1989" s="30" t="str">
        <f>IFERROR(VLOOKUP(C1989,소속부서!$A$2:$B$20,2,FALSE), "")</f>
        <v/>
      </c>
    </row>
    <row r="1990" spans="3:4" x14ac:dyDescent="0.3">
      <c r="C1990" s="35">
        <f t="shared" si="31"/>
        <v>0</v>
      </c>
      <c r="D1990" s="30" t="str">
        <f>IFERROR(VLOOKUP(C1990,소속부서!$A$2:$B$20,2,FALSE), "")</f>
        <v/>
      </c>
    </row>
    <row r="1991" spans="3:4" x14ac:dyDescent="0.3">
      <c r="C1991" s="35">
        <f t="shared" si="31"/>
        <v>0</v>
      </c>
      <c r="D1991" s="30" t="str">
        <f>IFERROR(VLOOKUP(C1991,소속부서!$A$2:$B$20,2,FALSE), "")</f>
        <v/>
      </c>
    </row>
    <row r="1992" spans="3:4" x14ac:dyDescent="0.3">
      <c r="C1992" s="35">
        <f t="shared" si="31"/>
        <v>0</v>
      </c>
      <c r="D1992" s="30" t="str">
        <f>IFERROR(VLOOKUP(C1992,소속부서!$A$2:$B$20,2,FALSE), "")</f>
        <v/>
      </c>
    </row>
    <row r="1993" spans="3:4" x14ac:dyDescent="0.3">
      <c r="C1993" s="35">
        <f t="shared" si="31"/>
        <v>0</v>
      </c>
      <c r="D1993" s="30" t="str">
        <f>IFERROR(VLOOKUP(C1993,소속부서!$A$2:$B$20,2,FALSE), "")</f>
        <v/>
      </c>
    </row>
    <row r="1994" spans="3:4" x14ac:dyDescent="0.3">
      <c r="C1994" s="35">
        <f t="shared" si="31"/>
        <v>0</v>
      </c>
      <c r="D1994" s="30" t="str">
        <f>IFERROR(VLOOKUP(C1994,소속부서!$A$2:$B$20,2,FALSE), "")</f>
        <v/>
      </c>
    </row>
    <row r="1995" spans="3:4" x14ac:dyDescent="0.3">
      <c r="C1995" s="35">
        <f t="shared" si="31"/>
        <v>0</v>
      </c>
      <c r="D1995" s="30" t="str">
        <f>IFERROR(VLOOKUP(C1995,소속부서!$A$2:$B$20,2,FALSE), "")</f>
        <v/>
      </c>
    </row>
    <row r="1996" spans="3:4" x14ac:dyDescent="0.3">
      <c r="C1996" s="35">
        <f t="shared" si="31"/>
        <v>0</v>
      </c>
      <c r="D1996" s="30" t="str">
        <f>IFERROR(VLOOKUP(C1996,소속부서!$A$2:$B$20,2,FALSE), "")</f>
        <v/>
      </c>
    </row>
    <row r="1997" spans="3:4" x14ac:dyDescent="0.3">
      <c r="C1997" s="35">
        <f t="shared" si="31"/>
        <v>0</v>
      </c>
      <c r="D1997" s="30" t="str">
        <f>IFERROR(VLOOKUP(C1997,소속부서!$A$2:$B$20,2,FALSE), "")</f>
        <v/>
      </c>
    </row>
    <row r="1998" spans="3:4" x14ac:dyDescent="0.3">
      <c r="C1998" s="35">
        <f t="shared" si="31"/>
        <v>0</v>
      </c>
      <c r="D1998" s="30" t="str">
        <f>IFERROR(VLOOKUP(C1998,소속부서!$A$2:$B$20,2,FALSE), "")</f>
        <v/>
      </c>
    </row>
    <row r="1999" spans="3:4" x14ac:dyDescent="0.3">
      <c r="C1999" s="35">
        <f t="shared" si="31"/>
        <v>0</v>
      </c>
      <c r="D1999" s="30" t="str">
        <f>IFERROR(VLOOKUP(C1999,소속부서!$A$2:$B$20,2,FALSE), "")</f>
        <v/>
      </c>
    </row>
    <row r="2000" spans="3:4" x14ac:dyDescent="0.3">
      <c r="C2000" s="35">
        <f t="shared" si="31"/>
        <v>0</v>
      </c>
      <c r="D2000" s="30" t="str">
        <f>IFERROR(VLOOKUP(C2000,소속부서!$A$2:$B$20,2,FALSE), "")</f>
        <v/>
      </c>
    </row>
    <row r="2001" spans="3:4" x14ac:dyDescent="0.3">
      <c r="C2001" s="35">
        <f t="shared" si="31"/>
        <v>0</v>
      </c>
      <c r="D2001" s="30" t="str">
        <f>IFERROR(VLOOKUP(C2001,소속부서!$A$2:$B$20,2,FALSE), "")</f>
        <v/>
      </c>
    </row>
    <row r="2002" spans="3:4" x14ac:dyDescent="0.3">
      <c r="C2002" s="35">
        <f t="shared" si="31"/>
        <v>0</v>
      </c>
      <c r="D2002" s="30" t="str">
        <f>IFERROR(VLOOKUP(C2002,소속부서!$A$2:$B$20,2,FALSE), "")</f>
        <v/>
      </c>
    </row>
    <row r="2003" spans="3:4" x14ac:dyDescent="0.3">
      <c r="C2003" s="35">
        <f t="shared" si="31"/>
        <v>0</v>
      </c>
      <c r="D2003" s="30" t="str">
        <f>IFERROR(VLOOKUP(C2003,소속부서!$A$2:$B$20,2,FALSE), "")</f>
        <v/>
      </c>
    </row>
    <row r="2004" spans="3:4" x14ac:dyDescent="0.3">
      <c r="C2004" s="35">
        <f t="shared" si="31"/>
        <v>0</v>
      </c>
      <c r="D2004" s="30" t="str">
        <f>IFERROR(VLOOKUP(C2004,소속부서!$A$2:$B$20,2,FALSE), "")</f>
        <v/>
      </c>
    </row>
    <row r="2005" spans="3:4" x14ac:dyDescent="0.3">
      <c r="C2005" s="35">
        <f t="shared" si="31"/>
        <v>0</v>
      </c>
      <c r="D2005" s="30" t="str">
        <f>IFERROR(VLOOKUP(C2005,소속부서!$A$2:$B$20,2,FALSE), "")</f>
        <v/>
      </c>
    </row>
    <row r="2006" spans="3:4" x14ac:dyDescent="0.3">
      <c r="C2006" s="35">
        <f t="shared" si="31"/>
        <v>0</v>
      </c>
      <c r="D2006" s="30" t="str">
        <f>IFERROR(VLOOKUP(C2006,소속부서!$A$2:$B$20,2,FALSE), "")</f>
        <v/>
      </c>
    </row>
    <row r="2007" spans="3:4" x14ac:dyDescent="0.3">
      <c r="C2007" s="35">
        <f t="shared" si="31"/>
        <v>0</v>
      </c>
      <c r="D2007" s="30" t="str">
        <f>IFERROR(VLOOKUP(C2007,소속부서!$A$2:$B$20,2,FALSE), "")</f>
        <v/>
      </c>
    </row>
    <row r="2008" spans="3:4" x14ac:dyDescent="0.3">
      <c r="C2008" s="35">
        <f t="shared" si="31"/>
        <v>0</v>
      </c>
      <c r="D2008" s="30" t="str">
        <f>IFERROR(VLOOKUP(C2008,소속부서!$A$2:$B$20,2,FALSE), "")</f>
        <v/>
      </c>
    </row>
    <row r="2009" spans="3:4" x14ac:dyDescent="0.3">
      <c r="C2009" s="35">
        <f t="shared" si="31"/>
        <v>0</v>
      </c>
      <c r="D2009" s="30" t="str">
        <f>IFERROR(VLOOKUP(C2009,소속부서!$A$2:$B$20,2,FALSE), "")</f>
        <v/>
      </c>
    </row>
    <row r="2010" spans="3:4" x14ac:dyDescent="0.3">
      <c r="C2010" s="35">
        <f t="shared" si="31"/>
        <v>0</v>
      </c>
      <c r="D2010" s="30" t="str">
        <f>IFERROR(VLOOKUP(C2010,소속부서!$A$2:$B$20,2,FALSE), "")</f>
        <v/>
      </c>
    </row>
    <row r="2011" spans="3:4" x14ac:dyDescent="0.3">
      <c r="C2011" s="35">
        <f t="shared" si="31"/>
        <v>0</v>
      </c>
      <c r="D2011" s="30" t="str">
        <f>IFERROR(VLOOKUP(C2011,소속부서!$A$2:$B$20,2,FALSE), "")</f>
        <v/>
      </c>
    </row>
    <row r="2012" spans="3:4" x14ac:dyDescent="0.3">
      <c r="C2012" s="35">
        <f t="shared" si="31"/>
        <v>0</v>
      </c>
      <c r="D2012" s="30" t="str">
        <f>IFERROR(VLOOKUP(C2012,소속부서!$A$2:$B$20,2,FALSE), "")</f>
        <v/>
      </c>
    </row>
    <row r="2013" spans="3:4" x14ac:dyDescent="0.3">
      <c r="C2013" s="35">
        <f t="shared" si="31"/>
        <v>0</v>
      </c>
      <c r="D2013" s="30" t="str">
        <f>IFERROR(VLOOKUP(C2013,소속부서!$A$2:$B$20,2,FALSE), "")</f>
        <v/>
      </c>
    </row>
    <row r="2014" spans="3:4" x14ac:dyDescent="0.3">
      <c r="C2014" s="35">
        <f t="shared" si="31"/>
        <v>0</v>
      </c>
      <c r="D2014" s="30" t="str">
        <f>IFERROR(VLOOKUP(C2014,소속부서!$A$2:$B$20,2,FALSE), "")</f>
        <v/>
      </c>
    </row>
    <row r="2015" spans="3:4" x14ac:dyDescent="0.3">
      <c r="C2015" s="35">
        <f t="shared" si="31"/>
        <v>0</v>
      </c>
      <c r="D2015" s="30" t="str">
        <f>IFERROR(VLOOKUP(C2015,소속부서!$A$2:$B$20,2,FALSE), "")</f>
        <v/>
      </c>
    </row>
    <row r="2016" spans="3:4" x14ac:dyDescent="0.3">
      <c r="C2016" s="35">
        <f t="shared" si="31"/>
        <v>0</v>
      </c>
      <c r="D2016" s="30" t="str">
        <f>IFERROR(VLOOKUP(C2016,소속부서!$A$2:$B$20,2,FALSE), "")</f>
        <v/>
      </c>
    </row>
    <row r="2017" spans="3:4" x14ac:dyDescent="0.3">
      <c r="C2017" s="35">
        <f t="shared" si="31"/>
        <v>0</v>
      </c>
      <c r="D2017" s="30" t="str">
        <f>IFERROR(VLOOKUP(C2017,소속부서!$A$2:$B$20,2,FALSE), "")</f>
        <v/>
      </c>
    </row>
    <row r="2018" spans="3:4" x14ac:dyDescent="0.3">
      <c r="C2018" s="35">
        <f t="shared" si="31"/>
        <v>0</v>
      </c>
      <c r="D2018" s="30" t="str">
        <f>IFERROR(VLOOKUP(C2018,소속부서!$A$2:$B$20,2,FALSE), "")</f>
        <v/>
      </c>
    </row>
    <row r="2019" spans="3:4" x14ac:dyDescent="0.3">
      <c r="C2019" s="35">
        <f t="shared" si="31"/>
        <v>0</v>
      </c>
      <c r="D2019" s="30" t="str">
        <f>IFERROR(VLOOKUP(C2019,소속부서!$A$2:$B$20,2,FALSE), "")</f>
        <v/>
      </c>
    </row>
    <row r="2020" spans="3:4" x14ac:dyDescent="0.3">
      <c r="C2020" s="35">
        <f t="shared" si="31"/>
        <v>0</v>
      </c>
      <c r="D2020" s="30" t="str">
        <f>IFERROR(VLOOKUP(C2020,소속부서!$A$2:$B$20,2,FALSE), "")</f>
        <v/>
      </c>
    </row>
    <row r="2021" spans="3:4" x14ac:dyDescent="0.3">
      <c r="C2021" s="35">
        <f t="shared" si="31"/>
        <v>0</v>
      </c>
      <c r="D2021" s="30" t="str">
        <f>IFERROR(VLOOKUP(C2021,소속부서!$A$2:$B$20,2,FALSE), "")</f>
        <v/>
      </c>
    </row>
    <row r="2022" spans="3:4" x14ac:dyDescent="0.3">
      <c r="C2022" s="35">
        <f t="shared" si="31"/>
        <v>0</v>
      </c>
      <c r="D2022" s="30" t="str">
        <f>IFERROR(VLOOKUP(C2022,소속부서!$A$2:$B$20,2,FALSE), "")</f>
        <v/>
      </c>
    </row>
    <row r="2023" spans="3:4" x14ac:dyDescent="0.3">
      <c r="C2023" s="35">
        <f t="shared" si="31"/>
        <v>0</v>
      </c>
      <c r="D2023" s="30" t="str">
        <f>IFERROR(VLOOKUP(C2023,소속부서!$A$2:$B$20,2,FALSE), "")</f>
        <v/>
      </c>
    </row>
    <row r="2024" spans="3:4" x14ac:dyDescent="0.3">
      <c r="C2024" s="35">
        <f t="shared" si="31"/>
        <v>0</v>
      </c>
      <c r="D2024" s="30" t="str">
        <f>IFERROR(VLOOKUP(C2024,소속부서!$A$2:$B$20,2,FALSE), "")</f>
        <v/>
      </c>
    </row>
    <row r="2025" spans="3:4" x14ac:dyDescent="0.3">
      <c r="C2025" s="35">
        <f t="shared" si="31"/>
        <v>0</v>
      </c>
      <c r="D2025" s="30" t="str">
        <f>IFERROR(VLOOKUP(C2025,소속부서!$A$2:$B$20,2,FALSE), "")</f>
        <v/>
      </c>
    </row>
    <row r="2026" spans="3:4" x14ac:dyDescent="0.3">
      <c r="C2026" s="35">
        <f t="shared" si="31"/>
        <v>0</v>
      </c>
      <c r="D2026" s="30" t="str">
        <f>IFERROR(VLOOKUP(C2026,소속부서!$A$2:$B$20,2,FALSE), "")</f>
        <v/>
      </c>
    </row>
    <row r="2027" spans="3:4" x14ac:dyDescent="0.3">
      <c r="C2027" s="35">
        <f t="shared" si="31"/>
        <v>0</v>
      </c>
      <c r="D2027" s="30" t="str">
        <f>IFERROR(VLOOKUP(C2027,소속부서!$A$2:$B$20,2,FALSE), "")</f>
        <v/>
      </c>
    </row>
    <row r="2028" spans="3:4" x14ac:dyDescent="0.3">
      <c r="C2028" s="35">
        <f t="shared" si="31"/>
        <v>0</v>
      </c>
      <c r="D2028" s="30" t="str">
        <f>IFERROR(VLOOKUP(C2028,소속부서!$A$2:$B$20,2,FALSE), "")</f>
        <v/>
      </c>
    </row>
    <row r="2029" spans="3:4" x14ac:dyDescent="0.3">
      <c r="C2029" s="35">
        <f t="shared" si="31"/>
        <v>0</v>
      </c>
      <c r="D2029" s="30" t="str">
        <f>IFERROR(VLOOKUP(C2029,소속부서!$A$2:$B$20,2,FALSE), "")</f>
        <v/>
      </c>
    </row>
    <row r="2030" spans="3:4" x14ac:dyDescent="0.3">
      <c r="C2030" s="35">
        <f t="shared" si="31"/>
        <v>0</v>
      </c>
      <c r="D2030" s="30" t="str">
        <f>IFERROR(VLOOKUP(C2030,소속부서!$A$2:$B$20,2,FALSE), "")</f>
        <v/>
      </c>
    </row>
    <row r="2031" spans="3:4" x14ac:dyDescent="0.3">
      <c r="C2031" s="35">
        <f t="shared" si="31"/>
        <v>0</v>
      </c>
      <c r="D2031" s="30" t="str">
        <f>IFERROR(VLOOKUP(C2031,소속부서!$A$2:$B$20,2,FALSE), "")</f>
        <v/>
      </c>
    </row>
    <row r="2032" spans="3:4" x14ac:dyDescent="0.3">
      <c r="C2032" s="35">
        <f t="shared" si="31"/>
        <v>0</v>
      </c>
      <c r="D2032" s="30" t="str">
        <f>IFERROR(VLOOKUP(C2032,소속부서!$A$2:$B$20,2,FALSE), "")</f>
        <v/>
      </c>
    </row>
    <row r="2033" spans="3:4" x14ac:dyDescent="0.3">
      <c r="C2033" s="35">
        <f t="shared" si="31"/>
        <v>0</v>
      </c>
      <c r="D2033" s="30" t="str">
        <f>IFERROR(VLOOKUP(C2033,소속부서!$A$2:$B$20,2,FALSE), "")</f>
        <v/>
      </c>
    </row>
    <row r="2034" spans="3:4" x14ac:dyDescent="0.3">
      <c r="C2034" s="35">
        <f t="shared" si="31"/>
        <v>0</v>
      </c>
      <c r="D2034" s="30" t="str">
        <f>IFERROR(VLOOKUP(C2034,소속부서!$A$2:$B$20,2,FALSE), "")</f>
        <v/>
      </c>
    </row>
    <row r="2035" spans="3:4" x14ac:dyDescent="0.3">
      <c r="C2035" s="35">
        <f t="shared" si="31"/>
        <v>0</v>
      </c>
      <c r="D2035" s="30" t="str">
        <f>IFERROR(VLOOKUP(C2035,소속부서!$A$2:$B$20,2,FALSE), "")</f>
        <v/>
      </c>
    </row>
    <row r="2036" spans="3:4" x14ac:dyDescent="0.3">
      <c r="C2036" s="35">
        <f t="shared" si="31"/>
        <v>0</v>
      </c>
      <c r="D2036" s="30" t="str">
        <f>IFERROR(VLOOKUP(C2036,소속부서!$A$2:$B$20,2,FALSE), "")</f>
        <v/>
      </c>
    </row>
    <row r="2037" spans="3:4" x14ac:dyDescent="0.3">
      <c r="C2037" s="35">
        <f t="shared" si="31"/>
        <v>0</v>
      </c>
      <c r="D2037" s="30" t="str">
        <f>IFERROR(VLOOKUP(C2037,소속부서!$A$2:$B$20,2,FALSE), "")</f>
        <v/>
      </c>
    </row>
    <row r="2038" spans="3:4" x14ac:dyDescent="0.3">
      <c r="C2038" s="35">
        <f t="shared" si="31"/>
        <v>0</v>
      </c>
      <c r="D2038" s="30" t="str">
        <f>IFERROR(VLOOKUP(C2038,소속부서!$A$2:$B$20,2,FALSE), "")</f>
        <v/>
      </c>
    </row>
    <row r="2039" spans="3:4" x14ac:dyDescent="0.3">
      <c r="C2039" s="35">
        <f t="shared" si="31"/>
        <v>0</v>
      </c>
      <c r="D2039" s="30" t="str">
        <f>IFERROR(VLOOKUP(C2039,소속부서!$A$2:$B$20,2,FALSE), "")</f>
        <v/>
      </c>
    </row>
    <row r="2040" spans="3:4" x14ac:dyDescent="0.3">
      <c r="C2040" s="35">
        <f t="shared" si="31"/>
        <v>0</v>
      </c>
      <c r="D2040" s="30" t="str">
        <f>IFERROR(VLOOKUP(C2040,소속부서!$A$2:$B$20,2,FALSE), "")</f>
        <v/>
      </c>
    </row>
    <row r="2041" spans="3:4" x14ac:dyDescent="0.3">
      <c r="C2041" s="35">
        <f t="shared" si="31"/>
        <v>0</v>
      </c>
      <c r="D2041" s="30" t="str">
        <f>IFERROR(VLOOKUP(C2041,소속부서!$A$2:$B$20,2,FALSE), "")</f>
        <v/>
      </c>
    </row>
    <row r="2042" spans="3:4" x14ac:dyDescent="0.3">
      <c r="C2042" s="35">
        <f t="shared" si="31"/>
        <v>0</v>
      </c>
      <c r="D2042" s="30" t="str">
        <f>IFERROR(VLOOKUP(C2042,소속부서!$A$2:$B$20,2,FALSE), "")</f>
        <v/>
      </c>
    </row>
    <row r="2043" spans="3:4" x14ac:dyDescent="0.3">
      <c r="C2043" s="35">
        <f t="shared" si="31"/>
        <v>0</v>
      </c>
      <c r="D2043" s="30" t="str">
        <f>IFERROR(VLOOKUP(C2043,소속부서!$A$2:$B$20,2,FALSE), "")</f>
        <v/>
      </c>
    </row>
    <row r="2044" spans="3:4" x14ac:dyDescent="0.3">
      <c r="C2044" s="35">
        <f t="shared" si="31"/>
        <v>0</v>
      </c>
      <c r="D2044" s="30" t="str">
        <f>IFERROR(VLOOKUP(C2044,소속부서!$A$2:$B$20,2,FALSE), "")</f>
        <v/>
      </c>
    </row>
    <row r="2045" spans="3:4" x14ac:dyDescent="0.3">
      <c r="C2045" s="35">
        <f t="shared" si="31"/>
        <v>0</v>
      </c>
      <c r="D2045" s="30" t="str">
        <f>IFERROR(VLOOKUP(C2045,소속부서!$A$2:$B$20,2,FALSE), "")</f>
        <v/>
      </c>
    </row>
    <row r="2046" spans="3:4" x14ac:dyDescent="0.3">
      <c r="C2046" s="35">
        <f t="shared" si="31"/>
        <v>0</v>
      </c>
      <c r="D2046" s="30" t="str">
        <f>IFERROR(VLOOKUP(C2046,소속부서!$A$2:$B$20,2,FALSE), "")</f>
        <v/>
      </c>
    </row>
    <row r="2047" spans="3:4" x14ac:dyDescent="0.3">
      <c r="C2047" s="35">
        <f t="shared" si="31"/>
        <v>0</v>
      </c>
      <c r="D2047" s="30" t="str">
        <f>IFERROR(VLOOKUP(C2047,소속부서!$A$2:$B$20,2,FALSE), "")</f>
        <v/>
      </c>
    </row>
    <row r="2048" spans="3:4" x14ac:dyDescent="0.3">
      <c r="C2048" s="35">
        <f t="shared" si="31"/>
        <v>0</v>
      </c>
      <c r="D2048" s="30" t="str">
        <f>IFERROR(VLOOKUP(C2048,소속부서!$A$2:$B$20,2,FALSE), "")</f>
        <v/>
      </c>
    </row>
    <row r="2049" spans="3:4" x14ac:dyDescent="0.3">
      <c r="C2049" s="35">
        <f t="shared" ref="C2049:C2112" si="32">E2049</f>
        <v>0</v>
      </c>
      <c r="D2049" s="30" t="str">
        <f>IFERROR(VLOOKUP(C2049,소속부서!$A$2:$B$20,2,FALSE), "")</f>
        <v/>
      </c>
    </row>
    <row r="2050" spans="3:4" x14ac:dyDescent="0.3">
      <c r="C2050" s="35">
        <f t="shared" si="32"/>
        <v>0</v>
      </c>
      <c r="D2050" s="30" t="str">
        <f>IFERROR(VLOOKUP(C2050,소속부서!$A$2:$B$20,2,FALSE), "")</f>
        <v/>
      </c>
    </row>
    <row r="2051" spans="3:4" x14ac:dyDescent="0.3">
      <c r="C2051" s="35">
        <f t="shared" si="32"/>
        <v>0</v>
      </c>
      <c r="D2051" s="30" t="str">
        <f>IFERROR(VLOOKUP(C2051,소속부서!$A$2:$B$20,2,FALSE), "")</f>
        <v/>
      </c>
    </row>
    <row r="2052" spans="3:4" x14ac:dyDescent="0.3">
      <c r="C2052" s="35">
        <f t="shared" si="32"/>
        <v>0</v>
      </c>
      <c r="D2052" s="30" t="str">
        <f>IFERROR(VLOOKUP(C2052,소속부서!$A$2:$B$20,2,FALSE), "")</f>
        <v/>
      </c>
    </row>
    <row r="2053" spans="3:4" x14ac:dyDescent="0.3">
      <c r="C2053" s="35">
        <f t="shared" si="32"/>
        <v>0</v>
      </c>
      <c r="D2053" s="30" t="str">
        <f>IFERROR(VLOOKUP(C2053,소속부서!$A$2:$B$20,2,FALSE), "")</f>
        <v/>
      </c>
    </row>
    <row r="2054" spans="3:4" x14ac:dyDescent="0.3">
      <c r="C2054" s="35">
        <f t="shared" si="32"/>
        <v>0</v>
      </c>
      <c r="D2054" s="30" t="str">
        <f>IFERROR(VLOOKUP(C2054,소속부서!$A$2:$B$20,2,FALSE), "")</f>
        <v/>
      </c>
    </row>
    <row r="2055" spans="3:4" x14ac:dyDescent="0.3">
      <c r="C2055" s="35">
        <f t="shared" si="32"/>
        <v>0</v>
      </c>
      <c r="D2055" s="30" t="str">
        <f>IFERROR(VLOOKUP(C2055,소속부서!$A$2:$B$20,2,FALSE), "")</f>
        <v/>
      </c>
    </row>
    <row r="2056" spans="3:4" x14ac:dyDescent="0.3">
      <c r="C2056" s="35">
        <f t="shared" si="32"/>
        <v>0</v>
      </c>
      <c r="D2056" s="30" t="str">
        <f>IFERROR(VLOOKUP(C2056,소속부서!$A$2:$B$20,2,FALSE), "")</f>
        <v/>
      </c>
    </row>
    <row r="2057" spans="3:4" x14ac:dyDescent="0.3">
      <c r="C2057" s="35">
        <f t="shared" si="32"/>
        <v>0</v>
      </c>
      <c r="D2057" s="30" t="str">
        <f>IFERROR(VLOOKUP(C2057,소속부서!$A$2:$B$20,2,FALSE), "")</f>
        <v/>
      </c>
    </row>
    <row r="2058" spans="3:4" x14ac:dyDescent="0.3">
      <c r="C2058" s="35">
        <f t="shared" si="32"/>
        <v>0</v>
      </c>
      <c r="D2058" s="30" t="str">
        <f>IFERROR(VLOOKUP(C2058,소속부서!$A$2:$B$20,2,FALSE), "")</f>
        <v/>
      </c>
    </row>
    <row r="2059" spans="3:4" x14ac:dyDescent="0.3">
      <c r="C2059" s="35">
        <f t="shared" si="32"/>
        <v>0</v>
      </c>
      <c r="D2059" s="30" t="str">
        <f>IFERROR(VLOOKUP(C2059,소속부서!$A$2:$B$20,2,FALSE), "")</f>
        <v/>
      </c>
    </row>
    <row r="2060" spans="3:4" x14ac:dyDescent="0.3">
      <c r="C2060" s="35">
        <f t="shared" si="32"/>
        <v>0</v>
      </c>
      <c r="D2060" s="30" t="str">
        <f>IFERROR(VLOOKUP(C2060,소속부서!$A$2:$B$20,2,FALSE), "")</f>
        <v/>
      </c>
    </row>
    <row r="2061" spans="3:4" x14ac:dyDescent="0.3">
      <c r="C2061" s="35">
        <f t="shared" si="32"/>
        <v>0</v>
      </c>
      <c r="D2061" s="30" t="str">
        <f>IFERROR(VLOOKUP(C2061,소속부서!$A$2:$B$20,2,FALSE), "")</f>
        <v/>
      </c>
    </row>
    <row r="2062" spans="3:4" x14ac:dyDescent="0.3">
      <c r="C2062" s="35">
        <f t="shared" si="32"/>
        <v>0</v>
      </c>
      <c r="D2062" s="30" t="str">
        <f>IFERROR(VLOOKUP(C2062,소속부서!$A$2:$B$20,2,FALSE), "")</f>
        <v/>
      </c>
    </row>
    <row r="2063" spans="3:4" x14ac:dyDescent="0.3">
      <c r="C2063" s="35">
        <f t="shared" si="32"/>
        <v>0</v>
      </c>
      <c r="D2063" s="30" t="str">
        <f>IFERROR(VLOOKUP(C2063,소속부서!$A$2:$B$20,2,FALSE), "")</f>
        <v/>
      </c>
    </row>
    <row r="2064" spans="3:4" x14ac:dyDescent="0.3">
      <c r="C2064" s="35">
        <f t="shared" si="32"/>
        <v>0</v>
      </c>
      <c r="D2064" s="30" t="str">
        <f>IFERROR(VLOOKUP(C2064,소속부서!$A$2:$B$20,2,FALSE), "")</f>
        <v/>
      </c>
    </row>
    <row r="2065" spans="3:4" x14ac:dyDescent="0.3">
      <c r="C2065" s="35">
        <f t="shared" si="32"/>
        <v>0</v>
      </c>
      <c r="D2065" s="30" t="str">
        <f>IFERROR(VLOOKUP(C2065,소속부서!$A$2:$B$20,2,FALSE), "")</f>
        <v/>
      </c>
    </row>
    <row r="2066" spans="3:4" x14ac:dyDescent="0.3">
      <c r="C2066" s="35">
        <f t="shared" si="32"/>
        <v>0</v>
      </c>
      <c r="D2066" s="30" t="str">
        <f>IFERROR(VLOOKUP(C2066,소속부서!$A$2:$B$20,2,FALSE), "")</f>
        <v/>
      </c>
    </row>
    <row r="2067" spans="3:4" x14ac:dyDescent="0.3">
      <c r="C2067" s="35">
        <f t="shared" si="32"/>
        <v>0</v>
      </c>
      <c r="D2067" s="30" t="str">
        <f>IFERROR(VLOOKUP(C2067,소속부서!$A$2:$B$20,2,FALSE), "")</f>
        <v/>
      </c>
    </row>
    <row r="2068" spans="3:4" x14ac:dyDescent="0.3">
      <c r="C2068" s="35">
        <f t="shared" si="32"/>
        <v>0</v>
      </c>
      <c r="D2068" s="30" t="str">
        <f>IFERROR(VLOOKUP(C2068,소속부서!$A$2:$B$20,2,FALSE), "")</f>
        <v/>
      </c>
    </row>
    <row r="2069" spans="3:4" x14ac:dyDescent="0.3">
      <c r="C2069" s="35">
        <f t="shared" si="32"/>
        <v>0</v>
      </c>
      <c r="D2069" s="30" t="str">
        <f>IFERROR(VLOOKUP(C2069,소속부서!$A$2:$B$20,2,FALSE), "")</f>
        <v/>
      </c>
    </row>
    <row r="2070" spans="3:4" x14ac:dyDescent="0.3">
      <c r="C2070" s="35">
        <f t="shared" si="32"/>
        <v>0</v>
      </c>
      <c r="D2070" s="30" t="str">
        <f>IFERROR(VLOOKUP(C2070,소속부서!$A$2:$B$20,2,FALSE), "")</f>
        <v/>
      </c>
    </row>
    <row r="2071" spans="3:4" x14ac:dyDescent="0.3">
      <c r="C2071" s="35">
        <f t="shared" si="32"/>
        <v>0</v>
      </c>
      <c r="D2071" s="30" t="str">
        <f>IFERROR(VLOOKUP(C2071,소속부서!$A$2:$B$20,2,FALSE), "")</f>
        <v/>
      </c>
    </row>
    <row r="2072" spans="3:4" x14ac:dyDescent="0.3">
      <c r="C2072" s="35">
        <f t="shared" si="32"/>
        <v>0</v>
      </c>
      <c r="D2072" s="30" t="str">
        <f>IFERROR(VLOOKUP(C2072,소속부서!$A$2:$B$20,2,FALSE), "")</f>
        <v/>
      </c>
    </row>
    <row r="2073" spans="3:4" x14ac:dyDescent="0.3">
      <c r="C2073" s="35">
        <f t="shared" si="32"/>
        <v>0</v>
      </c>
      <c r="D2073" s="30" t="str">
        <f>IFERROR(VLOOKUP(C2073,소속부서!$A$2:$B$20,2,FALSE), "")</f>
        <v/>
      </c>
    </row>
    <row r="2074" spans="3:4" x14ac:dyDescent="0.3">
      <c r="C2074" s="35">
        <f t="shared" si="32"/>
        <v>0</v>
      </c>
      <c r="D2074" s="30" t="str">
        <f>IFERROR(VLOOKUP(C2074,소속부서!$A$2:$B$20,2,FALSE), "")</f>
        <v/>
      </c>
    </row>
    <row r="2075" spans="3:4" x14ac:dyDescent="0.3">
      <c r="C2075" s="35">
        <f t="shared" si="32"/>
        <v>0</v>
      </c>
      <c r="D2075" s="30" t="str">
        <f>IFERROR(VLOOKUP(C2075,소속부서!$A$2:$B$20,2,FALSE), "")</f>
        <v/>
      </c>
    </row>
    <row r="2076" spans="3:4" x14ac:dyDescent="0.3">
      <c r="C2076" s="35">
        <f t="shared" si="32"/>
        <v>0</v>
      </c>
      <c r="D2076" s="30" t="str">
        <f>IFERROR(VLOOKUP(C2076,소속부서!$A$2:$B$20,2,FALSE), "")</f>
        <v/>
      </c>
    </row>
    <row r="2077" spans="3:4" x14ac:dyDescent="0.3">
      <c r="C2077" s="35">
        <f t="shared" si="32"/>
        <v>0</v>
      </c>
      <c r="D2077" s="30" t="str">
        <f>IFERROR(VLOOKUP(C2077,소속부서!$A$2:$B$20,2,FALSE), "")</f>
        <v/>
      </c>
    </row>
    <row r="2078" spans="3:4" x14ac:dyDescent="0.3">
      <c r="C2078" s="35">
        <f t="shared" si="32"/>
        <v>0</v>
      </c>
      <c r="D2078" s="30" t="str">
        <f>IFERROR(VLOOKUP(C2078,소속부서!$A$2:$B$20,2,FALSE), "")</f>
        <v/>
      </c>
    </row>
    <row r="2079" spans="3:4" x14ac:dyDescent="0.3">
      <c r="C2079" s="35">
        <f t="shared" si="32"/>
        <v>0</v>
      </c>
      <c r="D2079" s="30" t="str">
        <f>IFERROR(VLOOKUP(C2079,소속부서!$A$2:$B$20,2,FALSE), "")</f>
        <v/>
      </c>
    </row>
    <row r="2080" spans="3:4" x14ac:dyDescent="0.3">
      <c r="C2080" s="35">
        <f t="shared" si="32"/>
        <v>0</v>
      </c>
      <c r="D2080" s="30" t="str">
        <f>IFERROR(VLOOKUP(C2080,소속부서!$A$2:$B$20,2,FALSE), "")</f>
        <v/>
      </c>
    </row>
    <row r="2081" spans="3:4" x14ac:dyDescent="0.3">
      <c r="C2081" s="35">
        <f t="shared" si="32"/>
        <v>0</v>
      </c>
      <c r="D2081" s="30" t="str">
        <f>IFERROR(VLOOKUP(C2081,소속부서!$A$2:$B$20,2,FALSE), "")</f>
        <v/>
      </c>
    </row>
    <row r="2082" spans="3:4" x14ac:dyDescent="0.3">
      <c r="C2082" s="35">
        <f t="shared" si="32"/>
        <v>0</v>
      </c>
      <c r="D2082" s="30" t="str">
        <f>IFERROR(VLOOKUP(C2082,소속부서!$A$2:$B$20,2,FALSE), "")</f>
        <v/>
      </c>
    </row>
    <row r="2083" spans="3:4" x14ac:dyDescent="0.3">
      <c r="C2083" s="35">
        <f t="shared" si="32"/>
        <v>0</v>
      </c>
      <c r="D2083" s="30" t="str">
        <f>IFERROR(VLOOKUP(C2083,소속부서!$A$2:$B$20,2,FALSE), "")</f>
        <v/>
      </c>
    </row>
    <row r="2084" spans="3:4" x14ac:dyDescent="0.3">
      <c r="C2084" s="35">
        <f t="shared" si="32"/>
        <v>0</v>
      </c>
      <c r="D2084" s="30" t="str">
        <f>IFERROR(VLOOKUP(C2084,소속부서!$A$2:$B$20,2,FALSE), "")</f>
        <v/>
      </c>
    </row>
    <row r="2085" spans="3:4" x14ac:dyDescent="0.3">
      <c r="C2085" s="35">
        <f t="shared" si="32"/>
        <v>0</v>
      </c>
      <c r="D2085" s="30" t="str">
        <f>IFERROR(VLOOKUP(C2085,소속부서!$A$2:$B$20,2,FALSE), "")</f>
        <v/>
      </c>
    </row>
    <row r="2086" spans="3:4" x14ac:dyDescent="0.3">
      <c r="C2086" s="35">
        <f t="shared" si="32"/>
        <v>0</v>
      </c>
      <c r="D2086" s="30" t="str">
        <f>IFERROR(VLOOKUP(C2086,소속부서!$A$2:$B$20,2,FALSE), "")</f>
        <v/>
      </c>
    </row>
    <row r="2087" spans="3:4" x14ac:dyDescent="0.3">
      <c r="C2087" s="35">
        <f t="shared" si="32"/>
        <v>0</v>
      </c>
      <c r="D2087" s="30" t="str">
        <f>IFERROR(VLOOKUP(C2087,소속부서!$A$2:$B$20,2,FALSE), "")</f>
        <v/>
      </c>
    </row>
    <row r="2088" spans="3:4" x14ac:dyDescent="0.3">
      <c r="C2088" s="35">
        <f t="shared" si="32"/>
        <v>0</v>
      </c>
      <c r="D2088" s="30" t="str">
        <f>IFERROR(VLOOKUP(C2088,소속부서!$A$2:$B$20,2,FALSE), "")</f>
        <v/>
      </c>
    </row>
    <row r="2089" spans="3:4" x14ac:dyDescent="0.3">
      <c r="C2089" s="35">
        <f t="shared" si="32"/>
        <v>0</v>
      </c>
      <c r="D2089" s="30" t="str">
        <f>IFERROR(VLOOKUP(C2089,소속부서!$A$2:$B$20,2,FALSE), "")</f>
        <v/>
      </c>
    </row>
    <row r="2090" spans="3:4" x14ac:dyDescent="0.3">
      <c r="C2090" s="35">
        <f t="shared" si="32"/>
        <v>0</v>
      </c>
      <c r="D2090" s="30" t="str">
        <f>IFERROR(VLOOKUP(C2090,소속부서!$A$2:$B$20,2,FALSE), "")</f>
        <v/>
      </c>
    </row>
    <row r="2091" spans="3:4" x14ac:dyDescent="0.3">
      <c r="C2091" s="35">
        <f t="shared" si="32"/>
        <v>0</v>
      </c>
      <c r="D2091" s="30" t="str">
        <f>IFERROR(VLOOKUP(C2091,소속부서!$A$2:$B$20,2,FALSE), "")</f>
        <v/>
      </c>
    </row>
    <row r="2092" spans="3:4" x14ac:dyDescent="0.3">
      <c r="C2092" s="35">
        <f t="shared" si="32"/>
        <v>0</v>
      </c>
      <c r="D2092" s="30" t="str">
        <f>IFERROR(VLOOKUP(C2092,소속부서!$A$2:$B$20,2,FALSE), "")</f>
        <v/>
      </c>
    </row>
    <row r="2093" spans="3:4" x14ac:dyDescent="0.3">
      <c r="C2093" s="35">
        <f t="shared" si="32"/>
        <v>0</v>
      </c>
      <c r="D2093" s="30" t="str">
        <f>IFERROR(VLOOKUP(C2093,소속부서!$A$2:$B$20,2,FALSE), "")</f>
        <v/>
      </c>
    </row>
    <row r="2094" spans="3:4" x14ac:dyDescent="0.3">
      <c r="C2094" s="35">
        <f t="shared" si="32"/>
        <v>0</v>
      </c>
      <c r="D2094" s="30" t="str">
        <f>IFERROR(VLOOKUP(C2094,소속부서!$A$2:$B$20,2,FALSE), "")</f>
        <v/>
      </c>
    </row>
    <row r="2095" spans="3:4" x14ac:dyDescent="0.3">
      <c r="C2095" s="35">
        <f t="shared" si="32"/>
        <v>0</v>
      </c>
      <c r="D2095" s="30" t="str">
        <f>IFERROR(VLOOKUP(C2095,소속부서!$A$2:$B$20,2,FALSE), "")</f>
        <v/>
      </c>
    </row>
    <row r="2096" spans="3:4" x14ac:dyDescent="0.3">
      <c r="C2096" s="35">
        <f t="shared" si="32"/>
        <v>0</v>
      </c>
      <c r="D2096" s="30" t="str">
        <f>IFERROR(VLOOKUP(C2096,소속부서!$A$2:$B$20,2,FALSE), "")</f>
        <v/>
      </c>
    </row>
    <row r="2097" spans="3:4" x14ac:dyDescent="0.3">
      <c r="C2097" s="35">
        <f t="shared" si="32"/>
        <v>0</v>
      </c>
      <c r="D2097" s="30" t="str">
        <f>IFERROR(VLOOKUP(C2097,소속부서!$A$2:$B$20,2,FALSE), "")</f>
        <v/>
      </c>
    </row>
    <row r="2098" spans="3:4" x14ac:dyDescent="0.3">
      <c r="C2098" s="35">
        <f t="shared" si="32"/>
        <v>0</v>
      </c>
      <c r="D2098" s="30" t="str">
        <f>IFERROR(VLOOKUP(C2098,소속부서!$A$2:$B$20,2,FALSE), "")</f>
        <v/>
      </c>
    </row>
    <row r="2099" spans="3:4" x14ac:dyDescent="0.3">
      <c r="C2099" s="35">
        <f t="shared" si="32"/>
        <v>0</v>
      </c>
      <c r="D2099" s="30" t="str">
        <f>IFERROR(VLOOKUP(C2099,소속부서!$A$2:$B$20,2,FALSE), "")</f>
        <v/>
      </c>
    </row>
    <row r="2100" spans="3:4" x14ac:dyDescent="0.3">
      <c r="C2100" s="35">
        <f t="shared" si="32"/>
        <v>0</v>
      </c>
      <c r="D2100" s="30" t="str">
        <f>IFERROR(VLOOKUP(C2100,소속부서!$A$2:$B$20,2,FALSE), "")</f>
        <v/>
      </c>
    </row>
    <row r="2101" spans="3:4" x14ac:dyDescent="0.3">
      <c r="C2101" s="35">
        <f t="shared" si="32"/>
        <v>0</v>
      </c>
      <c r="D2101" s="30" t="str">
        <f>IFERROR(VLOOKUP(C2101,소속부서!$A$2:$B$20,2,FALSE), "")</f>
        <v/>
      </c>
    </row>
    <row r="2102" spans="3:4" x14ac:dyDescent="0.3">
      <c r="C2102" s="35">
        <f t="shared" si="32"/>
        <v>0</v>
      </c>
      <c r="D2102" s="30" t="str">
        <f>IFERROR(VLOOKUP(C2102,소속부서!$A$2:$B$20,2,FALSE), "")</f>
        <v/>
      </c>
    </row>
    <row r="2103" spans="3:4" x14ac:dyDescent="0.3">
      <c r="C2103" s="35">
        <f t="shared" si="32"/>
        <v>0</v>
      </c>
      <c r="D2103" s="30" t="str">
        <f>IFERROR(VLOOKUP(C2103,소속부서!$A$2:$B$20,2,FALSE), "")</f>
        <v/>
      </c>
    </row>
    <row r="2104" spans="3:4" x14ac:dyDescent="0.3">
      <c r="C2104" s="35">
        <f t="shared" si="32"/>
        <v>0</v>
      </c>
      <c r="D2104" s="30" t="str">
        <f>IFERROR(VLOOKUP(C2104,소속부서!$A$2:$B$20,2,FALSE), "")</f>
        <v/>
      </c>
    </row>
    <row r="2105" spans="3:4" x14ac:dyDescent="0.3">
      <c r="C2105" s="35">
        <f t="shared" si="32"/>
        <v>0</v>
      </c>
      <c r="D2105" s="30" t="str">
        <f>IFERROR(VLOOKUP(C2105,소속부서!$A$2:$B$20,2,FALSE), "")</f>
        <v/>
      </c>
    </row>
    <row r="2106" spans="3:4" x14ac:dyDescent="0.3">
      <c r="C2106" s="35">
        <f t="shared" si="32"/>
        <v>0</v>
      </c>
      <c r="D2106" s="30" t="str">
        <f>IFERROR(VLOOKUP(C2106,소속부서!$A$2:$B$20,2,FALSE), "")</f>
        <v/>
      </c>
    </row>
    <row r="2107" spans="3:4" x14ac:dyDescent="0.3">
      <c r="C2107" s="35">
        <f t="shared" si="32"/>
        <v>0</v>
      </c>
      <c r="D2107" s="30" t="str">
        <f>IFERROR(VLOOKUP(C2107,소속부서!$A$2:$B$20,2,FALSE), "")</f>
        <v/>
      </c>
    </row>
    <row r="2108" spans="3:4" x14ac:dyDescent="0.3">
      <c r="C2108" s="35">
        <f t="shared" si="32"/>
        <v>0</v>
      </c>
      <c r="D2108" s="30" t="str">
        <f>IFERROR(VLOOKUP(C2108,소속부서!$A$2:$B$20,2,FALSE), "")</f>
        <v/>
      </c>
    </row>
    <row r="2109" spans="3:4" x14ac:dyDescent="0.3">
      <c r="C2109" s="35">
        <f t="shared" si="32"/>
        <v>0</v>
      </c>
      <c r="D2109" s="30" t="str">
        <f>IFERROR(VLOOKUP(C2109,소속부서!$A$2:$B$20,2,FALSE), "")</f>
        <v/>
      </c>
    </row>
    <row r="2110" spans="3:4" x14ac:dyDescent="0.3">
      <c r="C2110" s="35">
        <f t="shared" si="32"/>
        <v>0</v>
      </c>
      <c r="D2110" s="30" t="str">
        <f>IFERROR(VLOOKUP(C2110,소속부서!$A$2:$B$20,2,FALSE), "")</f>
        <v/>
      </c>
    </row>
    <row r="2111" spans="3:4" x14ac:dyDescent="0.3">
      <c r="C2111" s="35">
        <f t="shared" si="32"/>
        <v>0</v>
      </c>
      <c r="D2111" s="30" t="str">
        <f>IFERROR(VLOOKUP(C2111,소속부서!$A$2:$B$20,2,FALSE), "")</f>
        <v/>
      </c>
    </row>
    <row r="2112" spans="3:4" x14ac:dyDescent="0.3">
      <c r="C2112" s="35">
        <f t="shared" si="32"/>
        <v>0</v>
      </c>
      <c r="D2112" s="30" t="str">
        <f>IFERROR(VLOOKUP(C2112,소속부서!$A$2:$B$20,2,FALSE), "")</f>
        <v/>
      </c>
    </row>
    <row r="2113" spans="3:4" x14ac:dyDescent="0.3">
      <c r="C2113" s="35">
        <f t="shared" ref="C2113:C2176" si="33">E2113</f>
        <v>0</v>
      </c>
      <c r="D2113" s="30" t="str">
        <f>IFERROR(VLOOKUP(C2113,소속부서!$A$2:$B$20,2,FALSE), "")</f>
        <v/>
      </c>
    </row>
    <row r="2114" spans="3:4" x14ac:dyDescent="0.3">
      <c r="C2114" s="35">
        <f t="shared" si="33"/>
        <v>0</v>
      </c>
      <c r="D2114" s="30" t="str">
        <f>IFERROR(VLOOKUP(C2114,소속부서!$A$2:$B$20,2,FALSE), "")</f>
        <v/>
      </c>
    </row>
    <row r="2115" spans="3:4" x14ac:dyDescent="0.3">
      <c r="C2115" s="35">
        <f t="shared" si="33"/>
        <v>0</v>
      </c>
      <c r="D2115" s="30" t="str">
        <f>IFERROR(VLOOKUP(C2115,소속부서!$A$2:$B$20,2,FALSE), "")</f>
        <v/>
      </c>
    </row>
    <row r="2116" spans="3:4" x14ac:dyDescent="0.3">
      <c r="C2116" s="35">
        <f t="shared" si="33"/>
        <v>0</v>
      </c>
      <c r="D2116" s="30" t="str">
        <f>IFERROR(VLOOKUP(C2116,소속부서!$A$2:$B$20,2,FALSE), "")</f>
        <v/>
      </c>
    </row>
    <row r="2117" spans="3:4" x14ac:dyDescent="0.3">
      <c r="C2117" s="35">
        <f t="shared" si="33"/>
        <v>0</v>
      </c>
      <c r="D2117" s="30" t="str">
        <f>IFERROR(VLOOKUP(C2117,소속부서!$A$2:$B$20,2,FALSE), "")</f>
        <v/>
      </c>
    </row>
    <row r="2118" spans="3:4" x14ac:dyDescent="0.3">
      <c r="C2118" s="35">
        <f t="shared" si="33"/>
        <v>0</v>
      </c>
      <c r="D2118" s="30" t="str">
        <f>IFERROR(VLOOKUP(C2118,소속부서!$A$2:$B$20,2,FALSE), "")</f>
        <v/>
      </c>
    </row>
    <row r="2119" spans="3:4" x14ac:dyDescent="0.3">
      <c r="C2119" s="35">
        <f t="shared" si="33"/>
        <v>0</v>
      </c>
      <c r="D2119" s="30" t="str">
        <f>IFERROR(VLOOKUP(C2119,소속부서!$A$2:$B$20,2,FALSE), "")</f>
        <v/>
      </c>
    </row>
    <row r="2120" spans="3:4" x14ac:dyDescent="0.3">
      <c r="C2120" s="35">
        <f t="shared" si="33"/>
        <v>0</v>
      </c>
      <c r="D2120" s="30" t="str">
        <f>IFERROR(VLOOKUP(C2120,소속부서!$A$2:$B$20,2,FALSE), "")</f>
        <v/>
      </c>
    </row>
    <row r="2121" spans="3:4" x14ac:dyDescent="0.3">
      <c r="C2121" s="35">
        <f t="shared" si="33"/>
        <v>0</v>
      </c>
      <c r="D2121" s="30" t="str">
        <f>IFERROR(VLOOKUP(C2121,소속부서!$A$2:$B$20,2,FALSE), "")</f>
        <v/>
      </c>
    </row>
    <row r="2122" spans="3:4" x14ac:dyDescent="0.3">
      <c r="C2122" s="35">
        <f t="shared" si="33"/>
        <v>0</v>
      </c>
      <c r="D2122" s="30" t="str">
        <f>IFERROR(VLOOKUP(C2122,소속부서!$A$2:$B$20,2,FALSE), "")</f>
        <v/>
      </c>
    </row>
    <row r="2123" spans="3:4" x14ac:dyDescent="0.3">
      <c r="C2123" s="35">
        <f t="shared" si="33"/>
        <v>0</v>
      </c>
      <c r="D2123" s="30" t="str">
        <f>IFERROR(VLOOKUP(C2123,소속부서!$A$2:$B$20,2,FALSE), "")</f>
        <v/>
      </c>
    </row>
    <row r="2124" spans="3:4" x14ac:dyDescent="0.3">
      <c r="C2124" s="35">
        <f t="shared" si="33"/>
        <v>0</v>
      </c>
      <c r="D2124" s="30" t="str">
        <f>IFERROR(VLOOKUP(C2124,소속부서!$A$2:$B$20,2,FALSE), "")</f>
        <v/>
      </c>
    </row>
    <row r="2125" spans="3:4" x14ac:dyDescent="0.3">
      <c r="C2125" s="35">
        <f t="shared" si="33"/>
        <v>0</v>
      </c>
      <c r="D2125" s="30" t="str">
        <f>IFERROR(VLOOKUP(C2125,소속부서!$A$2:$B$20,2,FALSE), "")</f>
        <v/>
      </c>
    </row>
    <row r="2126" spans="3:4" x14ac:dyDescent="0.3">
      <c r="C2126" s="35">
        <f t="shared" si="33"/>
        <v>0</v>
      </c>
      <c r="D2126" s="30" t="str">
        <f>IFERROR(VLOOKUP(C2126,소속부서!$A$2:$B$20,2,FALSE), "")</f>
        <v/>
      </c>
    </row>
    <row r="2127" spans="3:4" x14ac:dyDescent="0.3">
      <c r="C2127" s="35">
        <f t="shared" si="33"/>
        <v>0</v>
      </c>
      <c r="D2127" s="30" t="str">
        <f>IFERROR(VLOOKUP(C2127,소속부서!$A$2:$B$20,2,FALSE), "")</f>
        <v/>
      </c>
    </row>
    <row r="2128" spans="3:4" x14ac:dyDescent="0.3">
      <c r="C2128" s="35">
        <f t="shared" si="33"/>
        <v>0</v>
      </c>
      <c r="D2128" s="30" t="str">
        <f>IFERROR(VLOOKUP(C2128,소속부서!$A$2:$B$20,2,FALSE), "")</f>
        <v/>
      </c>
    </row>
    <row r="2129" spans="3:4" x14ac:dyDescent="0.3">
      <c r="C2129" s="35">
        <f t="shared" si="33"/>
        <v>0</v>
      </c>
      <c r="D2129" s="30" t="str">
        <f>IFERROR(VLOOKUP(C2129,소속부서!$A$2:$B$20,2,FALSE), "")</f>
        <v/>
      </c>
    </row>
    <row r="2130" spans="3:4" x14ac:dyDescent="0.3">
      <c r="C2130" s="35">
        <f t="shared" si="33"/>
        <v>0</v>
      </c>
      <c r="D2130" s="30" t="str">
        <f>IFERROR(VLOOKUP(C2130,소속부서!$A$2:$B$20,2,FALSE), "")</f>
        <v/>
      </c>
    </row>
    <row r="2131" spans="3:4" x14ac:dyDescent="0.3">
      <c r="C2131" s="35">
        <f t="shared" si="33"/>
        <v>0</v>
      </c>
      <c r="D2131" s="30" t="str">
        <f>IFERROR(VLOOKUP(C2131,소속부서!$A$2:$B$20,2,FALSE), "")</f>
        <v/>
      </c>
    </row>
    <row r="2132" spans="3:4" x14ac:dyDescent="0.3">
      <c r="C2132" s="35">
        <f t="shared" si="33"/>
        <v>0</v>
      </c>
      <c r="D2132" s="30" t="str">
        <f>IFERROR(VLOOKUP(C2132,소속부서!$A$2:$B$20,2,FALSE), "")</f>
        <v/>
      </c>
    </row>
    <row r="2133" spans="3:4" x14ac:dyDescent="0.3">
      <c r="C2133" s="35">
        <f t="shared" si="33"/>
        <v>0</v>
      </c>
      <c r="D2133" s="30" t="str">
        <f>IFERROR(VLOOKUP(C2133,소속부서!$A$2:$B$20,2,FALSE), "")</f>
        <v/>
      </c>
    </row>
    <row r="2134" spans="3:4" x14ac:dyDescent="0.3">
      <c r="C2134" s="35">
        <f t="shared" si="33"/>
        <v>0</v>
      </c>
      <c r="D2134" s="30" t="str">
        <f>IFERROR(VLOOKUP(C2134,소속부서!$A$2:$B$20,2,FALSE), "")</f>
        <v/>
      </c>
    </row>
    <row r="2135" spans="3:4" x14ac:dyDescent="0.3">
      <c r="C2135" s="35">
        <f t="shared" si="33"/>
        <v>0</v>
      </c>
      <c r="D2135" s="30" t="str">
        <f>IFERROR(VLOOKUP(C2135,소속부서!$A$2:$B$20,2,FALSE), "")</f>
        <v/>
      </c>
    </row>
    <row r="2136" spans="3:4" x14ac:dyDescent="0.3">
      <c r="C2136" s="35">
        <f t="shared" si="33"/>
        <v>0</v>
      </c>
      <c r="D2136" s="30" t="str">
        <f>IFERROR(VLOOKUP(C2136,소속부서!$A$2:$B$20,2,FALSE), "")</f>
        <v/>
      </c>
    </row>
    <row r="2137" spans="3:4" x14ac:dyDescent="0.3">
      <c r="C2137" s="35">
        <f t="shared" si="33"/>
        <v>0</v>
      </c>
      <c r="D2137" s="30" t="str">
        <f>IFERROR(VLOOKUP(C2137,소속부서!$A$2:$B$20,2,FALSE), "")</f>
        <v/>
      </c>
    </row>
    <row r="2138" spans="3:4" x14ac:dyDescent="0.3">
      <c r="C2138" s="35">
        <f t="shared" si="33"/>
        <v>0</v>
      </c>
      <c r="D2138" s="30" t="str">
        <f>IFERROR(VLOOKUP(C2138,소속부서!$A$2:$B$20,2,FALSE), "")</f>
        <v/>
      </c>
    </row>
    <row r="2139" spans="3:4" x14ac:dyDescent="0.3">
      <c r="C2139" s="35">
        <f t="shared" si="33"/>
        <v>0</v>
      </c>
      <c r="D2139" s="30" t="str">
        <f>IFERROR(VLOOKUP(C2139,소속부서!$A$2:$B$20,2,FALSE), "")</f>
        <v/>
      </c>
    </row>
    <row r="2140" spans="3:4" x14ac:dyDescent="0.3">
      <c r="C2140" s="35">
        <f t="shared" si="33"/>
        <v>0</v>
      </c>
      <c r="D2140" s="30" t="str">
        <f>IFERROR(VLOOKUP(C2140,소속부서!$A$2:$B$20,2,FALSE), "")</f>
        <v/>
      </c>
    </row>
    <row r="2141" spans="3:4" x14ac:dyDescent="0.3">
      <c r="C2141" s="35">
        <f t="shared" si="33"/>
        <v>0</v>
      </c>
      <c r="D2141" s="30" t="str">
        <f>IFERROR(VLOOKUP(C2141,소속부서!$A$2:$B$20,2,FALSE), "")</f>
        <v/>
      </c>
    </row>
    <row r="2142" spans="3:4" x14ac:dyDescent="0.3">
      <c r="C2142" s="35">
        <f t="shared" si="33"/>
        <v>0</v>
      </c>
      <c r="D2142" s="30" t="str">
        <f>IFERROR(VLOOKUP(C2142,소속부서!$A$2:$B$20,2,FALSE), "")</f>
        <v/>
      </c>
    </row>
    <row r="2143" spans="3:4" x14ac:dyDescent="0.3">
      <c r="C2143" s="35">
        <f t="shared" si="33"/>
        <v>0</v>
      </c>
      <c r="D2143" s="30" t="str">
        <f>IFERROR(VLOOKUP(C2143,소속부서!$A$2:$B$20,2,FALSE), "")</f>
        <v/>
      </c>
    </row>
    <row r="2144" spans="3:4" x14ac:dyDescent="0.3">
      <c r="C2144" s="35">
        <f t="shared" si="33"/>
        <v>0</v>
      </c>
      <c r="D2144" s="30" t="str">
        <f>IFERROR(VLOOKUP(C2144,소속부서!$A$2:$B$20,2,FALSE), "")</f>
        <v/>
      </c>
    </row>
    <row r="2145" spans="3:4" x14ac:dyDescent="0.3">
      <c r="C2145" s="35">
        <f t="shared" si="33"/>
        <v>0</v>
      </c>
      <c r="D2145" s="30" t="str">
        <f>IFERROR(VLOOKUP(C2145,소속부서!$A$2:$B$20,2,FALSE), "")</f>
        <v/>
      </c>
    </row>
    <row r="2146" spans="3:4" x14ac:dyDescent="0.3">
      <c r="C2146" s="35">
        <f t="shared" si="33"/>
        <v>0</v>
      </c>
      <c r="D2146" s="30" t="str">
        <f>IFERROR(VLOOKUP(C2146,소속부서!$A$2:$B$20,2,FALSE), "")</f>
        <v/>
      </c>
    </row>
    <row r="2147" spans="3:4" x14ac:dyDescent="0.3">
      <c r="C2147" s="35">
        <f t="shared" si="33"/>
        <v>0</v>
      </c>
      <c r="D2147" s="30" t="str">
        <f>IFERROR(VLOOKUP(C2147,소속부서!$A$2:$B$20,2,FALSE), "")</f>
        <v/>
      </c>
    </row>
    <row r="2148" spans="3:4" x14ac:dyDescent="0.3">
      <c r="C2148" s="35">
        <f t="shared" si="33"/>
        <v>0</v>
      </c>
      <c r="D2148" s="30" t="str">
        <f>IFERROR(VLOOKUP(C2148,소속부서!$A$2:$B$20,2,FALSE), "")</f>
        <v/>
      </c>
    </row>
    <row r="2149" spans="3:4" x14ac:dyDescent="0.3">
      <c r="C2149" s="35">
        <f t="shared" si="33"/>
        <v>0</v>
      </c>
      <c r="D2149" s="30" t="str">
        <f>IFERROR(VLOOKUP(C2149,소속부서!$A$2:$B$20,2,FALSE), "")</f>
        <v/>
      </c>
    </row>
    <row r="2150" spans="3:4" x14ac:dyDescent="0.3">
      <c r="C2150" s="35">
        <f t="shared" si="33"/>
        <v>0</v>
      </c>
      <c r="D2150" s="30" t="str">
        <f>IFERROR(VLOOKUP(C2150,소속부서!$A$2:$B$20,2,FALSE), "")</f>
        <v/>
      </c>
    </row>
    <row r="2151" spans="3:4" x14ac:dyDescent="0.3">
      <c r="C2151" s="35">
        <f t="shared" si="33"/>
        <v>0</v>
      </c>
      <c r="D2151" s="30" t="str">
        <f>IFERROR(VLOOKUP(C2151,소속부서!$A$2:$B$20,2,FALSE), "")</f>
        <v/>
      </c>
    </row>
    <row r="2152" spans="3:4" x14ac:dyDescent="0.3">
      <c r="C2152" s="35">
        <f t="shared" si="33"/>
        <v>0</v>
      </c>
      <c r="D2152" s="30" t="str">
        <f>IFERROR(VLOOKUP(C2152,소속부서!$A$2:$B$20,2,FALSE), "")</f>
        <v/>
      </c>
    </row>
    <row r="2153" spans="3:4" x14ac:dyDescent="0.3">
      <c r="C2153" s="35">
        <f t="shared" si="33"/>
        <v>0</v>
      </c>
      <c r="D2153" s="30" t="str">
        <f>IFERROR(VLOOKUP(C2153,소속부서!$A$2:$B$20,2,FALSE), "")</f>
        <v/>
      </c>
    </row>
    <row r="2154" spans="3:4" x14ac:dyDescent="0.3">
      <c r="C2154" s="35">
        <f t="shared" si="33"/>
        <v>0</v>
      </c>
      <c r="D2154" s="30" t="str">
        <f>IFERROR(VLOOKUP(C2154,소속부서!$A$2:$B$20,2,FALSE), "")</f>
        <v/>
      </c>
    </row>
    <row r="2155" spans="3:4" x14ac:dyDescent="0.3">
      <c r="C2155" s="35">
        <f t="shared" si="33"/>
        <v>0</v>
      </c>
      <c r="D2155" s="30" t="str">
        <f>IFERROR(VLOOKUP(C2155,소속부서!$A$2:$B$20,2,FALSE), "")</f>
        <v/>
      </c>
    </row>
    <row r="2156" spans="3:4" x14ac:dyDescent="0.3">
      <c r="C2156" s="35">
        <f t="shared" si="33"/>
        <v>0</v>
      </c>
      <c r="D2156" s="30" t="str">
        <f>IFERROR(VLOOKUP(C2156,소속부서!$A$2:$B$20,2,FALSE), "")</f>
        <v/>
      </c>
    </row>
    <row r="2157" spans="3:4" x14ac:dyDescent="0.3">
      <c r="C2157" s="35">
        <f t="shared" si="33"/>
        <v>0</v>
      </c>
      <c r="D2157" s="30" t="str">
        <f>IFERROR(VLOOKUP(C2157,소속부서!$A$2:$B$20,2,FALSE), "")</f>
        <v/>
      </c>
    </row>
    <row r="2158" spans="3:4" x14ac:dyDescent="0.3">
      <c r="C2158" s="35">
        <f t="shared" si="33"/>
        <v>0</v>
      </c>
      <c r="D2158" s="30" t="str">
        <f>IFERROR(VLOOKUP(C2158,소속부서!$A$2:$B$20,2,FALSE), "")</f>
        <v/>
      </c>
    </row>
    <row r="2159" spans="3:4" x14ac:dyDescent="0.3">
      <c r="C2159" s="35">
        <f t="shared" si="33"/>
        <v>0</v>
      </c>
      <c r="D2159" s="30" t="str">
        <f>IFERROR(VLOOKUP(C2159,소속부서!$A$2:$B$20,2,FALSE), "")</f>
        <v/>
      </c>
    </row>
    <row r="2160" spans="3:4" x14ac:dyDescent="0.3">
      <c r="C2160" s="35">
        <f t="shared" si="33"/>
        <v>0</v>
      </c>
      <c r="D2160" s="30" t="str">
        <f>IFERROR(VLOOKUP(C2160,소속부서!$A$2:$B$20,2,FALSE), "")</f>
        <v/>
      </c>
    </row>
    <row r="2161" spans="3:4" x14ac:dyDescent="0.3">
      <c r="C2161" s="35">
        <f t="shared" si="33"/>
        <v>0</v>
      </c>
      <c r="D2161" s="30" t="str">
        <f>IFERROR(VLOOKUP(C2161,소속부서!$A$2:$B$20,2,FALSE), "")</f>
        <v/>
      </c>
    </row>
    <row r="2162" spans="3:4" x14ac:dyDescent="0.3">
      <c r="C2162" s="35">
        <f t="shared" si="33"/>
        <v>0</v>
      </c>
      <c r="D2162" s="30" t="str">
        <f>IFERROR(VLOOKUP(C2162,소속부서!$A$2:$B$20,2,FALSE), "")</f>
        <v/>
      </c>
    </row>
    <row r="2163" spans="3:4" x14ac:dyDescent="0.3">
      <c r="C2163" s="35">
        <f t="shared" si="33"/>
        <v>0</v>
      </c>
      <c r="D2163" s="30" t="str">
        <f>IFERROR(VLOOKUP(C2163,소속부서!$A$2:$B$20,2,FALSE), "")</f>
        <v/>
      </c>
    </row>
    <row r="2164" spans="3:4" x14ac:dyDescent="0.3">
      <c r="C2164" s="35">
        <f t="shared" si="33"/>
        <v>0</v>
      </c>
      <c r="D2164" s="30" t="str">
        <f>IFERROR(VLOOKUP(C2164,소속부서!$A$2:$B$20,2,FALSE), "")</f>
        <v/>
      </c>
    </row>
    <row r="2165" spans="3:4" x14ac:dyDescent="0.3">
      <c r="C2165" s="35">
        <f t="shared" si="33"/>
        <v>0</v>
      </c>
      <c r="D2165" s="30" t="str">
        <f>IFERROR(VLOOKUP(C2165,소속부서!$A$2:$B$20,2,FALSE), "")</f>
        <v/>
      </c>
    </row>
    <row r="2166" spans="3:4" x14ac:dyDescent="0.3">
      <c r="C2166" s="35">
        <f t="shared" si="33"/>
        <v>0</v>
      </c>
      <c r="D2166" s="30" t="str">
        <f>IFERROR(VLOOKUP(C2166,소속부서!$A$2:$B$20,2,FALSE), "")</f>
        <v/>
      </c>
    </row>
    <row r="2167" spans="3:4" x14ac:dyDescent="0.3">
      <c r="C2167" s="35">
        <f t="shared" si="33"/>
        <v>0</v>
      </c>
      <c r="D2167" s="30" t="str">
        <f>IFERROR(VLOOKUP(C2167,소속부서!$A$2:$B$20,2,FALSE), "")</f>
        <v/>
      </c>
    </row>
    <row r="2168" spans="3:4" x14ac:dyDescent="0.3">
      <c r="C2168" s="35">
        <f t="shared" si="33"/>
        <v>0</v>
      </c>
      <c r="D2168" s="30" t="str">
        <f>IFERROR(VLOOKUP(C2168,소속부서!$A$2:$B$20,2,FALSE), "")</f>
        <v/>
      </c>
    </row>
    <row r="2169" spans="3:4" x14ac:dyDescent="0.3">
      <c r="C2169" s="35">
        <f t="shared" si="33"/>
        <v>0</v>
      </c>
      <c r="D2169" s="30" t="str">
        <f>IFERROR(VLOOKUP(C2169,소속부서!$A$2:$B$20,2,FALSE), "")</f>
        <v/>
      </c>
    </row>
    <row r="2170" spans="3:4" x14ac:dyDescent="0.3">
      <c r="C2170" s="35">
        <f t="shared" si="33"/>
        <v>0</v>
      </c>
      <c r="D2170" s="30" t="str">
        <f>IFERROR(VLOOKUP(C2170,소속부서!$A$2:$B$20,2,FALSE), "")</f>
        <v/>
      </c>
    </row>
    <row r="2171" spans="3:4" x14ac:dyDescent="0.3">
      <c r="C2171" s="35">
        <f t="shared" si="33"/>
        <v>0</v>
      </c>
      <c r="D2171" s="30" t="str">
        <f>IFERROR(VLOOKUP(C2171,소속부서!$A$2:$B$20,2,FALSE), "")</f>
        <v/>
      </c>
    </row>
    <row r="2172" spans="3:4" x14ac:dyDescent="0.3">
      <c r="C2172" s="35">
        <f t="shared" si="33"/>
        <v>0</v>
      </c>
      <c r="D2172" s="30" t="str">
        <f>IFERROR(VLOOKUP(C2172,소속부서!$A$2:$B$20,2,FALSE), "")</f>
        <v/>
      </c>
    </row>
    <row r="2173" spans="3:4" x14ac:dyDescent="0.3">
      <c r="C2173" s="35">
        <f t="shared" si="33"/>
        <v>0</v>
      </c>
      <c r="D2173" s="30" t="str">
        <f>IFERROR(VLOOKUP(C2173,소속부서!$A$2:$B$20,2,FALSE), "")</f>
        <v/>
      </c>
    </row>
    <row r="2174" spans="3:4" x14ac:dyDescent="0.3">
      <c r="C2174" s="35">
        <f t="shared" si="33"/>
        <v>0</v>
      </c>
      <c r="D2174" s="30" t="str">
        <f>IFERROR(VLOOKUP(C2174,소속부서!$A$2:$B$20,2,FALSE), "")</f>
        <v/>
      </c>
    </row>
    <row r="2175" spans="3:4" x14ac:dyDescent="0.3">
      <c r="C2175" s="35">
        <f t="shared" si="33"/>
        <v>0</v>
      </c>
      <c r="D2175" s="30" t="str">
        <f>IFERROR(VLOOKUP(C2175,소속부서!$A$2:$B$20,2,FALSE), "")</f>
        <v/>
      </c>
    </row>
    <row r="2176" spans="3:4" x14ac:dyDescent="0.3">
      <c r="C2176" s="35">
        <f t="shared" si="33"/>
        <v>0</v>
      </c>
      <c r="D2176" s="30" t="str">
        <f>IFERROR(VLOOKUP(C2176,소속부서!$A$2:$B$20,2,FALSE), "")</f>
        <v/>
      </c>
    </row>
    <row r="2177" spans="3:4" x14ac:dyDescent="0.3">
      <c r="C2177" s="35">
        <f t="shared" ref="C2177:C2240" si="34">E2177</f>
        <v>0</v>
      </c>
      <c r="D2177" s="30" t="str">
        <f>IFERROR(VLOOKUP(C2177,소속부서!$A$2:$B$20,2,FALSE), "")</f>
        <v/>
      </c>
    </row>
    <row r="2178" spans="3:4" x14ac:dyDescent="0.3">
      <c r="C2178" s="35">
        <f t="shared" si="34"/>
        <v>0</v>
      </c>
      <c r="D2178" s="30" t="str">
        <f>IFERROR(VLOOKUP(C2178,소속부서!$A$2:$B$20,2,FALSE), "")</f>
        <v/>
      </c>
    </row>
    <row r="2179" spans="3:4" x14ac:dyDescent="0.3">
      <c r="C2179" s="35">
        <f t="shared" si="34"/>
        <v>0</v>
      </c>
      <c r="D2179" s="30" t="str">
        <f>IFERROR(VLOOKUP(C2179,소속부서!$A$2:$B$20,2,FALSE), "")</f>
        <v/>
      </c>
    </row>
    <row r="2180" spans="3:4" x14ac:dyDescent="0.3">
      <c r="C2180" s="35">
        <f t="shared" si="34"/>
        <v>0</v>
      </c>
      <c r="D2180" s="30" t="str">
        <f>IFERROR(VLOOKUP(C2180,소속부서!$A$2:$B$20,2,FALSE), "")</f>
        <v/>
      </c>
    </row>
    <row r="2181" spans="3:4" x14ac:dyDescent="0.3">
      <c r="C2181" s="35">
        <f t="shared" si="34"/>
        <v>0</v>
      </c>
      <c r="D2181" s="30" t="str">
        <f>IFERROR(VLOOKUP(C2181,소속부서!$A$2:$B$20,2,FALSE), "")</f>
        <v/>
      </c>
    </row>
    <row r="2182" spans="3:4" x14ac:dyDescent="0.3">
      <c r="C2182" s="35">
        <f t="shared" si="34"/>
        <v>0</v>
      </c>
      <c r="D2182" s="30" t="str">
        <f>IFERROR(VLOOKUP(C2182,소속부서!$A$2:$B$20,2,FALSE), "")</f>
        <v/>
      </c>
    </row>
    <row r="2183" spans="3:4" x14ac:dyDescent="0.3">
      <c r="C2183" s="35">
        <f t="shared" si="34"/>
        <v>0</v>
      </c>
      <c r="D2183" s="30" t="str">
        <f>IFERROR(VLOOKUP(C2183,소속부서!$A$2:$B$20,2,FALSE), "")</f>
        <v/>
      </c>
    </row>
    <row r="2184" spans="3:4" x14ac:dyDescent="0.3">
      <c r="C2184" s="35">
        <f t="shared" si="34"/>
        <v>0</v>
      </c>
      <c r="D2184" s="30" t="str">
        <f>IFERROR(VLOOKUP(C2184,소속부서!$A$2:$B$20,2,FALSE), "")</f>
        <v/>
      </c>
    </row>
    <row r="2185" spans="3:4" x14ac:dyDescent="0.3">
      <c r="C2185" s="35">
        <f t="shared" si="34"/>
        <v>0</v>
      </c>
      <c r="D2185" s="30" t="str">
        <f>IFERROR(VLOOKUP(C2185,소속부서!$A$2:$B$20,2,FALSE), "")</f>
        <v/>
      </c>
    </row>
    <row r="2186" spans="3:4" x14ac:dyDescent="0.3">
      <c r="C2186" s="35">
        <f t="shared" si="34"/>
        <v>0</v>
      </c>
      <c r="D2186" s="30" t="str">
        <f>IFERROR(VLOOKUP(C2186,소속부서!$A$2:$B$20,2,FALSE), "")</f>
        <v/>
      </c>
    </row>
    <row r="2187" spans="3:4" x14ac:dyDescent="0.3">
      <c r="C2187" s="35">
        <f t="shared" si="34"/>
        <v>0</v>
      </c>
      <c r="D2187" s="30" t="str">
        <f>IFERROR(VLOOKUP(C2187,소속부서!$A$2:$B$20,2,FALSE), "")</f>
        <v/>
      </c>
    </row>
    <row r="2188" spans="3:4" x14ac:dyDescent="0.3">
      <c r="C2188" s="35">
        <f t="shared" si="34"/>
        <v>0</v>
      </c>
      <c r="D2188" s="30" t="str">
        <f>IFERROR(VLOOKUP(C2188,소속부서!$A$2:$B$20,2,FALSE), "")</f>
        <v/>
      </c>
    </row>
    <row r="2189" spans="3:4" x14ac:dyDescent="0.3">
      <c r="C2189" s="35">
        <f t="shared" si="34"/>
        <v>0</v>
      </c>
      <c r="D2189" s="30" t="str">
        <f>IFERROR(VLOOKUP(C2189,소속부서!$A$2:$B$20,2,FALSE), "")</f>
        <v/>
      </c>
    </row>
    <row r="2190" spans="3:4" x14ac:dyDescent="0.3">
      <c r="C2190" s="35">
        <f t="shared" si="34"/>
        <v>0</v>
      </c>
      <c r="D2190" s="30" t="str">
        <f>IFERROR(VLOOKUP(C2190,소속부서!$A$2:$B$20,2,FALSE), "")</f>
        <v/>
      </c>
    </row>
    <row r="2191" spans="3:4" x14ac:dyDescent="0.3">
      <c r="C2191" s="35">
        <f t="shared" si="34"/>
        <v>0</v>
      </c>
      <c r="D2191" s="30" t="str">
        <f>IFERROR(VLOOKUP(C2191,소속부서!$A$2:$B$20,2,FALSE), "")</f>
        <v/>
      </c>
    </row>
    <row r="2192" spans="3:4" x14ac:dyDescent="0.3">
      <c r="C2192" s="35">
        <f t="shared" si="34"/>
        <v>0</v>
      </c>
      <c r="D2192" s="30" t="str">
        <f>IFERROR(VLOOKUP(C2192,소속부서!$A$2:$B$20,2,FALSE), "")</f>
        <v/>
      </c>
    </row>
    <row r="2193" spans="3:4" x14ac:dyDescent="0.3">
      <c r="C2193" s="35">
        <f t="shared" si="34"/>
        <v>0</v>
      </c>
      <c r="D2193" s="30" t="str">
        <f>IFERROR(VLOOKUP(C2193,소속부서!$A$2:$B$20,2,FALSE), "")</f>
        <v/>
      </c>
    </row>
    <row r="2194" spans="3:4" x14ac:dyDescent="0.3">
      <c r="C2194" s="35">
        <f t="shared" si="34"/>
        <v>0</v>
      </c>
      <c r="D2194" s="30" t="str">
        <f>IFERROR(VLOOKUP(C2194,소속부서!$A$2:$B$20,2,FALSE), "")</f>
        <v/>
      </c>
    </row>
    <row r="2195" spans="3:4" x14ac:dyDescent="0.3">
      <c r="C2195" s="35">
        <f t="shared" si="34"/>
        <v>0</v>
      </c>
      <c r="D2195" s="30" t="str">
        <f>IFERROR(VLOOKUP(C2195,소속부서!$A$2:$B$20,2,FALSE), "")</f>
        <v/>
      </c>
    </row>
    <row r="2196" spans="3:4" x14ac:dyDescent="0.3">
      <c r="C2196" s="35">
        <f t="shared" si="34"/>
        <v>0</v>
      </c>
      <c r="D2196" s="30" t="str">
        <f>IFERROR(VLOOKUP(C2196,소속부서!$A$2:$B$20,2,FALSE), "")</f>
        <v/>
      </c>
    </row>
    <row r="2197" spans="3:4" x14ac:dyDescent="0.3">
      <c r="C2197" s="35">
        <f t="shared" si="34"/>
        <v>0</v>
      </c>
      <c r="D2197" s="30" t="str">
        <f>IFERROR(VLOOKUP(C2197,소속부서!$A$2:$B$20,2,FALSE), "")</f>
        <v/>
      </c>
    </row>
    <row r="2198" spans="3:4" x14ac:dyDescent="0.3">
      <c r="C2198" s="35">
        <f t="shared" si="34"/>
        <v>0</v>
      </c>
      <c r="D2198" s="30" t="str">
        <f>IFERROR(VLOOKUP(C2198,소속부서!$A$2:$B$20,2,FALSE), "")</f>
        <v/>
      </c>
    </row>
    <row r="2199" spans="3:4" x14ac:dyDescent="0.3">
      <c r="C2199" s="35">
        <f t="shared" si="34"/>
        <v>0</v>
      </c>
      <c r="D2199" s="30" t="str">
        <f>IFERROR(VLOOKUP(C2199,소속부서!$A$2:$B$20,2,FALSE), "")</f>
        <v/>
      </c>
    </row>
    <row r="2200" spans="3:4" x14ac:dyDescent="0.3">
      <c r="C2200" s="35">
        <f t="shared" si="34"/>
        <v>0</v>
      </c>
      <c r="D2200" s="30" t="str">
        <f>IFERROR(VLOOKUP(C2200,소속부서!$A$2:$B$20,2,FALSE), "")</f>
        <v/>
      </c>
    </row>
    <row r="2201" spans="3:4" x14ac:dyDescent="0.3">
      <c r="C2201" s="35">
        <f t="shared" si="34"/>
        <v>0</v>
      </c>
      <c r="D2201" s="30" t="str">
        <f>IFERROR(VLOOKUP(C2201,소속부서!$A$2:$B$20,2,FALSE), "")</f>
        <v/>
      </c>
    </row>
    <row r="2202" spans="3:4" x14ac:dyDescent="0.3">
      <c r="C2202" s="35">
        <f t="shared" si="34"/>
        <v>0</v>
      </c>
      <c r="D2202" s="30" t="str">
        <f>IFERROR(VLOOKUP(C2202,소속부서!$A$2:$B$20,2,FALSE), "")</f>
        <v/>
      </c>
    </row>
    <row r="2203" spans="3:4" x14ac:dyDescent="0.3">
      <c r="C2203" s="35">
        <f t="shared" si="34"/>
        <v>0</v>
      </c>
      <c r="D2203" s="30" t="str">
        <f>IFERROR(VLOOKUP(C2203,소속부서!$A$2:$B$20,2,FALSE), "")</f>
        <v/>
      </c>
    </row>
    <row r="2204" spans="3:4" x14ac:dyDescent="0.3">
      <c r="C2204" s="35">
        <f t="shared" si="34"/>
        <v>0</v>
      </c>
      <c r="D2204" s="30" t="str">
        <f>IFERROR(VLOOKUP(C2204,소속부서!$A$2:$B$20,2,FALSE), "")</f>
        <v/>
      </c>
    </row>
    <row r="2205" spans="3:4" x14ac:dyDescent="0.3">
      <c r="C2205" s="35">
        <f t="shared" si="34"/>
        <v>0</v>
      </c>
      <c r="D2205" s="30" t="str">
        <f>IFERROR(VLOOKUP(C2205,소속부서!$A$2:$B$20,2,FALSE), "")</f>
        <v/>
      </c>
    </row>
    <row r="2206" spans="3:4" x14ac:dyDescent="0.3">
      <c r="C2206" s="35">
        <f t="shared" si="34"/>
        <v>0</v>
      </c>
      <c r="D2206" s="30" t="str">
        <f>IFERROR(VLOOKUP(C2206,소속부서!$A$2:$B$20,2,FALSE), "")</f>
        <v/>
      </c>
    </row>
    <row r="2207" spans="3:4" x14ac:dyDescent="0.3">
      <c r="C2207" s="35">
        <f t="shared" si="34"/>
        <v>0</v>
      </c>
      <c r="D2207" s="30" t="str">
        <f>IFERROR(VLOOKUP(C2207,소속부서!$A$2:$B$20,2,FALSE), "")</f>
        <v/>
      </c>
    </row>
    <row r="2208" spans="3:4" x14ac:dyDescent="0.3">
      <c r="C2208" s="35">
        <f t="shared" si="34"/>
        <v>0</v>
      </c>
      <c r="D2208" s="30" t="str">
        <f>IFERROR(VLOOKUP(C2208,소속부서!$A$2:$B$20,2,FALSE), "")</f>
        <v/>
      </c>
    </row>
    <row r="2209" spans="3:4" x14ac:dyDescent="0.3">
      <c r="C2209" s="35">
        <f t="shared" si="34"/>
        <v>0</v>
      </c>
      <c r="D2209" s="30" t="str">
        <f>IFERROR(VLOOKUP(C2209,소속부서!$A$2:$B$20,2,FALSE), "")</f>
        <v/>
      </c>
    </row>
    <row r="2210" spans="3:4" x14ac:dyDescent="0.3">
      <c r="C2210" s="35">
        <f t="shared" si="34"/>
        <v>0</v>
      </c>
      <c r="D2210" s="30" t="str">
        <f>IFERROR(VLOOKUP(C2210,소속부서!$A$2:$B$20,2,FALSE), "")</f>
        <v/>
      </c>
    </row>
    <row r="2211" spans="3:4" x14ac:dyDescent="0.3">
      <c r="C2211" s="35">
        <f t="shared" si="34"/>
        <v>0</v>
      </c>
      <c r="D2211" s="30" t="str">
        <f>IFERROR(VLOOKUP(C2211,소속부서!$A$2:$B$20,2,FALSE), "")</f>
        <v/>
      </c>
    </row>
    <row r="2212" spans="3:4" x14ac:dyDescent="0.3">
      <c r="C2212" s="35">
        <f t="shared" si="34"/>
        <v>0</v>
      </c>
      <c r="D2212" s="30" t="str">
        <f>IFERROR(VLOOKUP(C2212,소속부서!$A$2:$B$20,2,FALSE), "")</f>
        <v/>
      </c>
    </row>
    <row r="2213" spans="3:4" x14ac:dyDescent="0.3">
      <c r="C2213" s="35">
        <f t="shared" si="34"/>
        <v>0</v>
      </c>
      <c r="D2213" s="30" t="str">
        <f>IFERROR(VLOOKUP(C2213,소속부서!$A$2:$B$20,2,FALSE), "")</f>
        <v/>
      </c>
    </row>
    <row r="2214" spans="3:4" x14ac:dyDescent="0.3">
      <c r="C2214" s="35">
        <f t="shared" si="34"/>
        <v>0</v>
      </c>
      <c r="D2214" s="30" t="str">
        <f>IFERROR(VLOOKUP(C2214,소속부서!$A$2:$B$20,2,FALSE), "")</f>
        <v/>
      </c>
    </row>
    <row r="2215" spans="3:4" x14ac:dyDescent="0.3">
      <c r="C2215" s="35">
        <f t="shared" si="34"/>
        <v>0</v>
      </c>
      <c r="D2215" s="30" t="str">
        <f>IFERROR(VLOOKUP(C2215,소속부서!$A$2:$B$20,2,FALSE), "")</f>
        <v/>
      </c>
    </row>
    <row r="2216" spans="3:4" x14ac:dyDescent="0.3">
      <c r="C2216" s="35">
        <f t="shared" si="34"/>
        <v>0</v>
      </c>
      <c r="D2216" s="30" t="str">
        <f>IFERROR(VLOOKUP(C2216,소속부서!$A$2:$B$20,2,FALSE), "")</f>
        <v/>
      </c>
    </row>
    <row r="2217" spans="3:4" x14ac:dyDescent="0.3">
      <c r="C2217" s="35">
        <f t="shared" si="34"/>
        <v>0</v>
      </c>
      <c r="D2217" s="30" t="str">
        <f>IFERROR(VLOOKUP(C2217,소속부서!$A$2:$B$20,2,FALSE), "")</f>
        <v/>
      </c>
    </row>
    <row r="2218" spans="3:4" x14ac:dyDescent="0.3">
      <c r="C2218" s="35">
        <f t="shared" si="34"/>
        <v>0</v>
      </c>
      <c r="D2218" s="30" t="str">
        <f>IFERROR(VLOOKUP(C2218,소속부서!$A$2:$B$20,2,FALSE), "")</f>
        <v/>
      </c>
    </row>
    <row r="2219" spans="3:4" x14ac:dyDescent="0.3">
      <c r="C2219" s="35">
        <f t="shared" si="34"/>
        <v>0</v>
      </c>
      <c r="D2219" s="30" t="str">
        <f>IFERROR(VLOOKUP(C2219,소속부서!$A$2:$B$20,2,FALSE), "")</f>
        <v/>
      </c>
    </row>
    <row r="2220" spans="3:4" x14ac:dyDescent="0.3">
      <c r="C2220" s="35">
        <f t="shared" si="34"/>
        <v>0</v>
      </c>
      <c r="D2220" s="30" t="str">
        <f>IFERROR(VLOOKUP(C2220,소속부서!$A$2:$B$20,2,FALSE), "")</f>
        <v/>
      </c>
    </row>
    <row r="2221" spans="3:4" x14ac:dyDescent="0.3">
      <c r="C2221" s="35">
        <f t="shared" si="34"/>
        <v>0</v>
      </c>
      <c r="D2221" s="30" t="str">
        <f>IFERROR(VLOOKUP(C2221,소속부서!$A$2:$B$20,2,FALSE), "")</f>
        <v/>
      </c>
    </row>
    <row r="2222" spans="3:4" x14ac:dyDescent="0.3">
      <c r="C2222" s="35">
        <f t="shared" si="34"/>
        <v>0</v>
      </c>
      <c r="D2222" s="30" t="str">
        <f>IFERROR(VLOOKUP(C2222,소속부서!$A$2:$B$20,2,FALSE), "")</f>
        <v/>
      </c>
    </row>
    <row r="2223" spans="3:4" x14ac:dyDescent="0.3">
      <c r="C2223" s="35">
        <f t="shared" si="34"/>
        <v>0</v>
      </c>
      <c r="D2223" s="30" t="str">
        <f>IFERROR(VLOOKUP(C2223,소속부서!$A$2:$B$20,2,FALSE), "")</f>
        <v/>
      </c>
    </row>
    <row r="2224" spans="3:4" x14ac:dyDescent="0.3">
      <c r="C2224" s="35">
        <f t="shared" si="34"/>
        <v>0</v>
      </c>
      <c r="D2224" s="30" t="str">
        <f>IFERROR(VLOOKUP(C2224,소속부서!$A$2:$B$20,2,FALSE), "")</f>
        <v/>
      </c>
    </row>
    <row r="2225" spans="3:4" x14ac:dyDescent="0.3">
      <c r="C2225" s="35">
        <f t="shared" si="34"/>
        <v>0</v>
      </c>
      <c r="D2225" s="30" t="str">
        <f>IFERROR(VLOOKUP(C2225,소속부서!$A$2:$B$20,2,FALSE), "")</f>
        <v/>
      </c>
    </row>
    <row r="2226" spans="3:4" x14ac:dyDescent="0.3">
      <c r="C2226" s="35">
        <f t="shared" si="34"/>
        <v>0</v>
      </c>
      <c r="D2226" s="30" t="str">
        <f>IFERROR(VLOOKUP(C2226,소속부서!$A$2:$B$20,2,FALSE), "")</f>
        <v/>
      </c>
    </row>
    <row r="2227" spans="3:4" x14ac:dyDescent="0.3">
      <c r="C2227" s="35">
        <f t="shared" si="34"/>
        <v>0</v>
      </c>
      <c r="D2227" s="30" t="str">
        <f>IFERROR(VLOOKUP(C2227,소속부서!$A$2:$B$20,2,FALSE), "")</f>
        <v/>
      </c>
    </row>
    <row r="2228" spans="3:4" x14ac:dyDescent="0.3">
      <c r="C2228" s="35">
        <f t="shared" si="34"/>
        <v>0</v>
      </c>
      <c r="D2228" s="30" t="str">
        <f>IFERROR(VLOOKUP(C2228,소속부서!$A$2:$B$20,2,FALSE), "")</f>
        <v/>
      </c>
    </row>
    <row r="2229" spans="3:4" x14ac:dyDescent="0.3">
      <c r="C2229" s="35">
        <f t="shared" si="34"/>
        <v>0</v>
      </c>
      <c r="D2229" s="30" t="str">
        <f>IFERROR(VLOOKUP(C2229,소속부서!$A$2:$B$20,2,FALSE), "")</f>
        <v/>
      </c>
    </row>
    <row r="2230" spans="3:4" x14ac:dyDescent="0.3">
      <c r="C2230" s="35">
        <f t="shared" si="34"/>
        <v>0</v>
      </c>
      <c r="D2230" s="30" t="str">
        <f>IFERROR(VLOOKUP(C2230,소속부서!$A$2:$B$20,2,FALSE), "")</f>
        <v/>
      </c>
    </row>
    <row r="2231" spans="3:4" x14ac:dyDescent="0.3">
      <c r="C2231" s="35">
        <f t="shared" si="34"/>
        <v>0</v>
      </c>
      <c r="D2231" s="30" t="str">
        <f>IFERROR(VLOOKUP(C2231,소속부서!$A$2:$B$20,2,FALSE), "")</f>
        <v/>
      </c>
    </row>
    <row r="2232" spans="3:4" x14ac:dyDescent="0.3">
      <c r="C2232" s="35">
        <f t="shared" si="34"/>
        <v>0</v>
      </c>
      <c r="D2232" s="30" t="str">
        <f>IFERROR(VLOOKUP(C2232,소속부서!$A$2:$B$20,2,FALSE), "")</f>
        <v/>
      </c>
    </row>
    <row r="2233" spans="3:4" x14ac:dyDescent="0.3">
      <c r="C2233" s="35">
        <f t="shared" si="34"/>
        <v>0</v>
      </c>
      <c r="D2233" s="30" t="str">
        <f>IFERROR(VLOOKUP(C2233,소속부서!$A$2:$B$20,2,FALSE), "")</f>
        <v/>
      </c>
    </row>
    <row r="2234" spans="3:4" x14ac:dyDescent="0.3">
      <c r="C2234" s="35">
        <f t="shared" si="34"/>
        <v>0</v>
      </c>
      <c r="D2234" s="30" t="str">
        <f>IFERROR(VLOOKUP(C2234,소속부서!$A$2:$B$20,2,FALSE), "")</f>
        <v/>
      </c>
    </row>
    <row r="2235" spans="3:4" x14ac:dyDescent="0.3">
      <c r="C2235" s="35">
        <f t="shared" si="34"/>
        <v>0</v>
      </c>
      <c r="D2235" s="30" t="str">
        <f>IFERROR(VLOOKUP(C2235,소속부서!$A$2:$B$20,2,FALSE), "")</f>
        <v/>
      </c>
    </row>
    <row r="2236" spans="3:4" x14ac:dyDescent="0.3">
      <c r="C2236" s="35">
        <f t="shared" si="34"/>
        <v>0</v>
      </c>
      <c r="D2236" s="30" t="str">
        <f>IFERROR(VLOOKUP(C2236,소속부서!$A$2:$B$20,2,FALSE), "")</f>
        <v/>
      </c>
    </row>
    <row r="2237" spans="3:4" x14ac:dyDescent="0.3">
      <c r="C2237" s="35">
        <f t="shared" si="34"/>
        <v>0</v>
      </c>
      <c r="D2237" s="30" t="str">
        <f>IFERROR(VLOOKUP(C2237,소속부서!$A$2:$B$20,2,FALSE), "")</f>
        <v/>
      </c>
    </row>
    <row r="2238" spans="3:4" x14ac:dyDescent="0.3">
      <c r="C2238" s="35">
        <f t="shared" si="34"/>
        <v>0</v>
      </c>
      <c r="D2238" s="30" t="str">
        <f>IFERROR(VLOOKUP(C2238,소속부서!$A$2:$B$20,2,FALSE), "")</f>
        <v/>
      </c>
    </row>
    <row r="2239" spans="3:4" x14ac:dyDescent="0.3">
      <c r="C2239" s="35">
        <f t="shared" si="34"/>
        <v>0</v>
      </c>
      <c r="D2239" s="30" t="str">
        <f>IFERROR(VLOOKUP(C2239,소속부서!$A$2:$B$20,2,FALSE), "")</f>
        <v/>
      </c>
    </row>
    <row r="2240" spans="3:4" x14ac:dyDescent="0.3">
      <c r="C2240" s="35">
        <f t="shared" si="34"/>
        <v>0</v>
      </c>
      <c r="D2240" s="30" t="str">
        <f>IFERROR(VLOOKUP(C2240,소속부서!$A$2:$B$20,2,FALSE), "")</f>
        <v/>
      </c>
    </row>
    <row r="2241" spans="3:4" x14ac:dyDescent="0.3">
      <c r="C2241" s="35">
        <f t="shared" ref="C2241:C2304" si="35">E2241</f>
        <v>0</v>
      </c>
      <c r="D2241" s="30" t="str">
        <f>IFERROR(VLOOKUP(C2241,소속부서!$A$2:$B$20,2,FALSE), "")</f>
        <v/>
      </c>
    </row>
    <row r="2242" spans="3:4" x14ac:dyDescent="0.3">
      <c r="C2242" s="35">
        <f t="shared" si="35"/>
        <v>0</v>
      </c>
      <c r="D2242" s="30" t="str">
        <f>IFERROR(VLOOKUP(C2242,소속부서!$A$2:$B$20,2,FALSE), "")</f>
        <v/>
      </c>
    </row>
    <row r="2243" spans="3:4" x14ac:dyDescent="0.3">
      <c r="C2243" s="35">
        <f t="shared" si="35"/>
        <v>0</v>
      </c>
      <c r="D2243" s="30" t="str">
        <f>IFERROR(VLOOKUP(C2243,소속부서!$A$2:$B$20,2,FALSE), "")</f>
        <v/>
      </c>
    </row>
    <row r="2244" spans="3:4" x14ac:dyDescent="0.3">
      <c r="C2244" s="35">
        <f t="shared" si="35"/>
        <v>0</v>
      </c>
      <c r="D2244" s="30" t="str">
        <f>IFERROR(VLOOKUP(C2244,소속부서!$A$2:$B$20,2,FALSE), "")</f>
        <v/>
      </c>
    </row>
    <row r="2245" spans="3:4" x14ac:dyDescent="0.3">
      <c r="C2245" s="35">
        <f t="shared" si="35"/>
        <v>0</v>
      </c>
      <c r="D2245" s="30" t="str">
        <f>IFERROR(VLOOKUP(C2245,소속부서!$A$2:$B$20,2,FALSE), "")</f>
        <v/>
      </c>
    </row>
    <row r="2246" spans="3:4" x14ac:dyDescent="0.3">
      <c r="C2246" s="35">
        <f t="shared" si="35"/>
        <v>0</v>
      </c>
      <c r="D2246" s="30" t="str">
        <f>IFERROR(VLOOKUP(C2246,소속부서!$A$2:$B$20,2,FALSE), "")</f>
        <v/>
      </c>
    </row>
    <row r="2247" spans="3:4" x14ac:dyDescent="0.3">
      <c r="C2247" s="35">
        <f t="shared" si="35"/>
        <v>0</v>
      </c>
      <c r="D2247" s="30" t="str">
        <f>IFERROR(VLOOKUP(C2247,소속부서!$A$2:$B$20,2,FALSE), "")</f>
        <v/>
      </c>
    </row>
    <row r="2248" spans="3:4" x14ac:dyDescent="0.3">
      <c r="C2248" s="35">
        <f t="shared" si="35"/>
        <v>0</v>
      </c>
      <c r="D2248" s="30" t="str">
        <f>IFERROR(VLOOKUP(C2248,소속부서!$A$2:$B$20,2,FALSE), "")</f>
        <v/>
      </c>
    </row>
    <row r="2249" spans="3:4" x14ac:dyDescent="0.3">
      <c r="C2249" s="35">
        <f t="shared" si="35"/>
        <v>0</v>
      </c>
      <c r="D2249" s="30" t="str">
        <f>IFERROR(VLOOKUP(C2249,소속부서!$A$2:$B$20,2,FALSE), "")</f>
        <v/>
      </c>
    </row>
    <row r="2250" spans="3:4" x14ac:dyDescent="0.3">
      <c r="C2250" s="35">
        <f t="shared" si="35"/>
        <v>0</v>
      </c>
      <c r="D2250" s="30" t="str">
        <f>IFERROR(VLOOKUP(C2250,소속부서!$A$2:$B$20,2,FALSE), "")</f>
        <v/>
      </c>
    </row>
    <row r="2251" spans="3:4" x14ac:dyDescent="0.3">
      <c r="C2251" s="35">
        <f t="shared" si="35"/>
        <v>0</v>
      </c>
      <c r="D2251" s="30" t="str">
        <f>IFERROR(VLOOKUP(C2251,소속부서!$A$2:$B$20,2,FALSE), "")</f>
        <v/>
      </c>
    </row>
    <row r="2252" spans="3:4" x14ac:dyDescent="0.3">
      <c r="C2252" s="35">
        <f t="shared" si="35"/>
        <v>0</v>
      </c>
      <c r="D2252" s="30" t="str">
        <f>IFERROR(VLOOKUP(C2252,소속부서!$A$2:$B$20,2,FALSE), "")</f>
        <v/>
      </c>
    </row>
    <row r="2253" spans="3:4" x14ac:dyDescent="0.3">
      <c r="C2253" s="35">
        <f t="shared" si="35"/>
        <v>0</v>
      </c>
      <c r="D2253" s="30" t="str">
        <f>IFERROR(VLOOKUP(C2253,소속부서!$A$2:$B$20,2,FALSE), "")</f>
        <v/>
      </c>
    </row>
    <row r="2254" spans="3:4" x14ac:dyDescent="0.3">
      <c r="C2254" s="35">
        <f t="shared" si="35"/>
        <v>0</v>
      </c>
      <c r="D2254" s="30" t="str">
        <f>IFERROR(VLOOKUP(C2254,소속부서!$A$2:$B$20,2,FALSE), "")</f>
        <v/>
      </c>
    </row>
    <row r="2255" spans="3:4" x14ac:dyDescent="0.3">
      <c r="C2255" s="35">
        <f t="shared" si="35"/>
        <v>0</v>
      </c>
      <c r="D2255" s="30" t="str">
        <f>IFERROR(VLOOKUP(C2255,소속부서!$A$2:$B$20,2,FALSE), "")</f>
        <v/>
      </c>
    </row>
    <row r="2256" spans="3:4" x14ac:dyDescent="0.3">
      <c r="C2256" s="35">
        <f t="shared" si="35"/>
        <v>0</v>
      </c>
      <c r="D2256" s="30" t="str">
        <f>IFERROR(VLOOKUP(C2256,소속부서!$A$2:$B$20,2,FALSE), "")</f>
        <v/>
      </c>
    </row>
    <row r="2257" spans="3:4" x14ac:dyDescent="0.3">
      <c r="C2257" s="35">
        <f t="shared" si="35"/>
        <v>0</v>
      </c>
      <c r="D2257" s="30" t="str">
        <f>IFERROR(VLOOKUP(C2257,소속부서!$A$2:$B$20,2,FALSE), "")</f>
        <v/>
      </c>
    </row>
    <row r="2258" spans="3:4" x14ac:dyDescent="0.3">
      <c r="C2258" s="35">
        <f t="shared" si="35"/>
        <v>0</v>
      </c>
      <c r="D2258" s="30" t="str">
        <f>IFERROR(VLOOKUP(C2258,소속부서!$A$2:$B$20,2,FALSE), "")</f>
        <v/>
      </c>
    </row>
    <row r="2259" spans="3:4" x14ac:dyDescent="0.3">
      <c r="C2259" s="35">
        <f t="shared" si="35"/>
        <v>0</v>
      </c>
      <c r="D2259" s="30" t="str">
        <f>IFERROR(VLOOKUP(C2259,소속부서!$A$2:$B$20,2,FALSE), "")</f>
        <v/>
      </c>
    </row>
    <row r="2260" spans="3:4" x14ac:dyDescent="0.3">
      <c r="C2260" s="35">
        <f t="shared" si="35"/>
        <v>0</v>
      </c>
      <c r="D2260" s="30" t="str">
        <f>IFERROR(VLOOKUP(C2260,소속부서!$A$2:$B$20,2,FALSE), "")</f>
        <v/>
      </c>
    </row>
    <row r="2261" spans="3:4" x14ac:dyDescent="0.3">
      <c r="C2261" s="35">
        <f t="shared" si="35"/>
        <v>0</v>
      </c>
      <c r="D2261" s="30" t="str">
        <f>IFERROR(VLOOKUP(C2261,소속부서!$A$2:$B$20,2,FALSE), "")</f>
        <v/>
      </c>
    </row>
    <row r="2262" spans="3:4" x14ac:dyDescent="0.3">
      <c r="C2262" s="35">
        <f t="shared" si="35"/>
        <v>0</v>
      </c>
      <c r="D2262" s="30" t="str">
        <f>IFERROR(VLOOKUP(C2262,소속부서!$A$2:$B$20,2,FALSE), "")</f>
        <v/>
      </c>
    </row>
    <row r="2263" spans="3:4" x14ac:dyDescent="0.3">
      <c r="C2263" s="35">
        <f t="shared" si="35"/>
        <v>0</v>
      </c>
      <c r="D2263" s="30" t="str">
        <f>IFERROR(VLOOKUP(C2263,소속부서!$A$2:$B$20,2,FALSE), "")</f>
        <v/>
      </c>
    </row>
    <row r="2264" spans="3:4" x14ac:dyDescent="0.3">
      <c r="C2264" s="35">
        <f t="shared" si="35"/>
        <v>0</v>
      </c>
      <c r="D2264" s="30" t="str">
        <f>IFERROR(VLOOKUP(C2264,소속부서!$A$2:$B$20,2,FALSE), "")</f>
        <v/>
      </c>
    </row>
    <row r="2265" spans="3:4" x14ac:dyDescent="0.3">
      <c r="C2265" s="35">
        <f t="shared" si="35"/>
        <v>0</v>
      </c>
      <c r="D2265" s="30" t="str">
        <f>IFERROR(VLOOKUP(C2265,소속부서!$A$2:$B$20,2,FALSE), "")</f>
        <v/>
      </c>
    </row>
    <row r="2266" spans="3:4" x14ac:dyDescent="0.3">
      <c r="C2266" s="35">
        <f t="shared" si="35"/>
        <v>0</v>
      </c>
      <c r="D2266" s="30" t="str">
        <f>IFERROR(VLOOKUP(C2266,소속부서!$A$2:$B$20,2,FALSE), "")</f>
        <v/>
      </c>
    </row>
    <row r="2267" spans="3:4" x14ac:dyDescent="0.3">
      <c r="C2267" s="35">
        <f t="shared" si="35"/>
        <v>0</v>
      </c>
      <c r="D2267" s="30" t="str">
        <f>IFERROR(VLOOKUP(C2267,소속부서!$A$2:$B$20,2,FALSE), "")</f>
        <v/>
      </c>
    </row>
    <row r="2268" spans="3:4" x14ac:dyDescent="0.3">
      <c r="C2268" s="35">
        <f t="shared" si="35"/>
        <v>0</v>
      </c>
      <c r="D2268" s="30" t="str">
        <f>IFERROR(VLOOKUP(C2268,소속부서!$A$2:$B$20,2,FALSE), "")</f>
        <v/>
      </c>
    </row>
    <row r="2269" spans="3:4" x14ac:dyDescent="0.3">
      <c r="C2269" s="35">
        <f t="shared" si="35"/>
        <v>0</v>
      </c>
      <c r="D2269" s="30" t="str">
        <f>IFERROR(VLOOKUP(C2269,소속부서!$A$2:$B$20,2,FALSE), "")</f>
        <v/>
      </c>
    </row>
    <row r="2270" spans="3:4" x14ac:dyDescent="0.3">
      <c r="C2270" s="35">
        <f t="shared" si="35"/>
        <v>0</v>
      </c>
      <c r="D2270" s="30" t="str">
        <f>IFERROR(VLOOKUP(C2270,소속부서!$A$2:$B$20,2,FALSE), "")</f>
        <v/>
      </c>
    </row>
    <row r="2271" spans="3:4" x14ac:dyDescent="0.3">
      <c r="C2271" s="35">
        <f t="shared" si="35"/>
        <v>0</v>
      </c>
      <c r="D2271" s="30" t="str">
        <f>IFERROR(VLOOKUP(C2271,소속부서!$A$2:$B$20,2,FALSE), "")</f>
        <v/>
      </c>
    </row>
    <row r="2272" spans="3:4" x14ac:dyDescent="0.3">
      <c r="C2272" s="35">
        <f t="shared" si="35"/>
        <v>0</v>
      </c>
      <c r="D2272" s="30" t="str">
        <f>IFERROR(VLOOKUP(C2272,소속부서!$A$2:$B$20,2,FALSE), "")</f>
        <v/>
      </c>
    </row>
    <row r="2273" spans="3:4" x14ac:dyDescent="0.3">
      <c r="C2273" s="35">
        <f t="shared" si="35"/>
        <v>0</v>
      </c>
      <c r="D2273" s="30" t="str">
        <f>IFERROR(VLOOKUP(C2273,소속부서!$A$2:$B$20,2,FALSE), "")</f>
        <v/>
      </c>
    </row>
    <row r="2274" spans="3:4" x14ac:dyDescent="0.3">
      <c r="C2274" s="35">
        <f t="shared" si="35"/>
        <v>0</v>
      </c>
      <c r="D2274" s="30" t="str">
        <f>IFERROR(VLOOKUP(C2274,소속부서!$A$2:$B$20,2,FALSE), "")</f>
        <v/>
      </c>
    </row>
    <row r="2275" spans="3:4" x14ac:dyDescent="0.3">
      <c r="C2275" s="35">
        <f t="shared" si="35"/>
        <v>0</v>
      </c>
      <c r="D2275" s="30" t="str">
        <f>IFERROR(VLOOKUP(C2275,소속부서!$A$2:$B$20,2,FALSE), "")</f>
        <v/>
      </c>
    </row>
    <row r="2276" spans="3:4" x14ac:dyDescent="0.3">
      <c r="C2276" s="35">
        <f t="shared" si="35"/>
        <v>0</v>
      </c>
      <c r="D2276" s="30" t="str">
        <f>IFERROR(VLOOKUP(C2276,소속부서!$A$2:$B$20,2,FALSE), "")</f>
        <v/>
      </c>
    </row>
    <row r="2277" spans="3:4" x14ac:dyDescent="0.3">
      <c r="C2277" s="35">
        <f t="shared" si="35"/>
        <v>0</v>
      </c>
      <c r="D2277" s="30" t="str">
        <f>IFERROR(VLOOKUP(C2277,소속부서!$A$2:$B$20,2,FALSE), "")</f>
        <v/>
      </c>
    </row>
    <row r="2278" spans="3:4" x14ac:dyDescent="0.3">
      <c r="C2278" s="35">
        <f t="shared" si="35"/>
        <v>0</v>
      </c>
      <c r="D2278" s="30" t="str">
        <f>IFERROR(VLOOKUP(C2278,소속부서!$A$2:$B$20,2,FALSE), "")</f>
        <v/>
      </c>
    </row>
    <row r="2279" spans="3:4" x14ac:dyDescent="0.3">
      <c r="C2279" s="35">
        <f t="shared" si="35"/>
        <v>0</v>
      </c>
      <c r="D2279" s="30" t="str">
        <f>IFERROR(VLOOKUP(C2279,소속부서!$A$2:$B$20,2,FALSE), "")</f>
        <v/>
      </c>
    </row>
    <row r="2280" spans="3:4" x14ac:dyDescent="0.3">
      <c r="C2280" s="35">
        <f t="shared" si="35"/>
        <v>0</v>
      </c>
      <c r="D2280" s="30" t="str">
        <f>IFERROR(VLOOKUP(C2280,소속부서!$A$2:$B$20,2,FALSE), "")</f>
        <v/>
      </c>
    </row>
    <row r="2281" spans="3:4" x14ac:dyDescent="0.3">
      <c r="C2281" s="35">
        <f t="shared" si="35"/>
        <v>0</v>
      </c>
      <c r="D2281" s="30" t="str">
        <f>IFERROR(VLOOKUP(C2281,소속부서!$A$2:$B$20,2,FALSE), "")</f>
        <v/>
      </c>
    </row>
    <row r="2282" spans="3:4" x14ac:dyDescent="0.3">
      <c r="C2282" s="35">
        <f t="shared" si="35"/>
        <v>0</v>
      </c>
      <c r="D2282" s="30" t="str">
        <f>IFERROR(VLOOKUP(C2282,소속부서!$A$2:$B$20,2,FALSE), "")</f>
        <v/>
      </c>
    </row>
    <row r="2283" spans="3:4" x14ac:dyDescent="0.3">
      <c r="C2283" s="35">
        <f t="shared" si="35"/>
        <v>0</v>
      </c>
      <c r="D2283" s="30" t="str">
        <f>IFERROR(VLOOKUP(C2283,소속부서!$A$2:$B$20,2,FALSE), "")</f>
        <v/>
      </c>
    </row>
    <row r="2284" spans="3:4" x14ac:dyDescent="0.3">
      <c r="C2284" s="35">
        <f t="shared" si="35"/>
        <v>0</v>
      </c>
      <c r="D2284" s="30" t="str">
        <f>IFERROR(VLOOKUP(C2284,소속부서!$A$2:$B$20,2,FALSE), "")</f>
        <v/>
      </c>
    </row>
    <row r="2285" spans="3:4" x14ac:dyDescent="0.3">
      <c r="C2285" s="35">
        <f t="shared" si="35"/>
        <v>0</v>
      </c>
      <c r="D2285" s="30" t="str">
        <f>IFERROR(VLOOKUP(C2285,소속부서!$A$2:$B$20,2,FALSE), "")</f>
        <v/>
      </c>
    </row>
    <row r="2286" spans="3:4" x14ac:dyDescent="0.3">
      <c r="C2286" s="35">
        <f t="shared" si="35"/>
        <v>0</v>
      </c>
      <c r="D2286" s="30" t="str">
        <f>IFERROR(VLOOKUP(C2286,소속부서!$A$2:$B$20,2,FALSE), "")</f>
        <v/>
      </c>
    </row>
    <row r="2287" spans="3:4" x14ac:dyDescent="0.3">
      <c r="C2287" s="35">
        <f t="shared" si="35"/>
        <v>0</v>
      </c>
      <c r="D2287" s="30" t="str">
        <f>IFERROR(VLOOKUP(C2287,소속부서!$A$2:$B$20,2,FALSE), "")</f>
        <v/>
      </c>
    </row>
    <row r="2288" spans="3:4" x14ac:dyDescent="0.3">
      <c r="C2288" s="35">
        <f t="shared" si="35"/>
        <v>0</v>
      </c>
      <c r="D2288" s="30" t="str">
        <f>IFERROR(VLOOKUP(C2288,소속부서!$A$2:$B$20,2,FALSE), "")</f>
        <v/>
      </c>
    </row>
    <row r="2289" spans="3:4" x14ac:dyDescent="0.3">
      <c r="C2289" s="35">
        <f t="shared" si="35"/>
        <v>0</v>
      </c>
      <c r="D2289" s="30" t="str">
        <f>IFERROR(VLOOKUP(C2289,소속부서!$A$2:$B$20,2,FALSE), "")</f>
        <v/>
      </c>
    </row>
    <row r="2290" spans="3:4" x14ac:dyDescent="0.3">
      <c r="C2290" s="35">
        <f t="shared" si="35"/>
        <v>0</v>
      </c>
      <c r="D2290" s="30" t="str">
        <f>IFERROR(VLOOKUP(C2290,소속부서!$A$2:$B$20,2,FALSE), "")</f>
        <v/>
      </c>
    </row>
    <row r="2291" spans="3:4" x14ac:dyDescent="0.3">
      <c r="C2291" s="35">
        <f t="shared" si="35"/>
        <v>0</v>
      </c>
      <c r="D2291" s="30" t="str">
        <f>IFERROR(VLOOKUP(C2291,소속부서!$A$2:$B$20,2,FALSE), "")</f>
        <v/>
      </c>
    </row>
    <row r="2292" spans="3:4" x14ac:dyDescent="0.3">
      <c r="C2292" s="35">
        <f t="shared" si="35"/>
        <v>0</v>
      </c>
      <c r="D2292" s="30" t="str">
        <f>IFERROR(VLOOKUP(C2292,소속부서!$A$2:$B$20,2,FALSE), "")</f>
        <v/>
      </c>
    </row>
    <row r="2293" spans="3:4" x14ac:dyDescent="0.3">
      <c r="C2293" s="35">
        <f t="shared" si="35"/>
        <v>0</v>
      </c>
      <c r="D2293" s="30" t="str">
        <f>IFERROR(VLOOKUP(C2293,소속부서!$A$2:$B$20,2,FALSE), "")</f>
        <v/>
      </c>
    </row>
    <row r="2294" spans="3:4" x14ac:dyDescent="0.3">
      <c r="C2294" s="35">
        <f t="shared" si="35"/>
        <v>0</v>
      </c>
      <c r="D2294" s="30" t="str">
        <f>IFERROR(VLOOKUP(C2294,소속부서!$A$2:$B$20,2,FALSE), "")</f>
        <v/>
      </c>
    </row>
    <row r="2295" spans="3:4" x14ac:dyDescent="0.3">
      <c r="C2295" s="35">
        <f t="shared" si="35"/>
        <v>0</v>
      </c>
      <c r="D2295" s="30" t="str">
        <f>IFERROR(VLOOKUP(C2295,소속부서!$A$2:$B$20,2,FALSE), "")</f>
        <v/>
      </c>
    </row>
    <row r="2296" spans="3:4" x14ac:dyDescent="0.3">
      <c r="C2296" s="35">
        <f t="shared" si="35"/>
        <v>0</v>
      </c>
      <c r="D2296" s="30" t="str">
        <f>IFERROR(VLOOKUP(C2296,소속부서!$A$2:$B$20,2,FALSE), "")</f>
        <v/>
      </c>
    </row>
    <row r="2297" spans="3:4" x14ac:dyDescent="0.3">
      <c r="C2297" s="35">
        <f t="shared" si="35"/>
        <v>0</v>
      </c>
      <c r="D2297" s="30" t="str">
        <f>IFERROR(VLOOKUP(C2297,소속부서!$A$2:$B$20,2,FALSE), "")</f>
        <v/>
      </c>
    </row>
    <row r="2298" spans="3:4" x14ac:dyDescent="0.3">
      <c r="C2298" s="35">
        <f t="shared" si="35"/>
        <v>0</v>
      </c>
      <c r="D2298" s="30" t="str">
        <f>IFERROR(VLOOKUP(C2298,소속부서!$A$2:$B$20,2,FALSE), "")</f>
        <v/>
      </c>
    </row>
    <row r="2299" spans="3:4" x14ac:dyDescent="0.3">
      <c r="C2299" s="35">
        <f t="shared" si="35"/>
        <v>0</v>
      </c>
      <c r="D2299" s="30" t="str">
        <f>IFERROR(VLOOKUP(C2299,소속부서!$A$2:$B$20,2,FALSE), "")</f>
        <v/>
      </c>
    </row>
    <row r="2300" spans="3:4" x14ac:dyDescent="0.3">
      <c r="C2300" s="35">
        <f t="shared" si="35"/>
        <v>0</v>
      </c>
      <c r="D2300" s="30" t="str">
        <f>IFERROR(VLOOKUP(C2300,소속부서!$A$2:$B$20,2,FALSE), "")</f>
        <v/>
      </c>
    </row>
    <row r="2301" spans="3:4" x14ac:dyDescent="0.3">
      <c r="C2301" s="35">
        <f t="shared" si="35"/>
        <v>0</v>
      </c>
      <c r="D2301" s="30" t="str">
        <f>IFERROR(VLOOKUP(C2301,소속부서!$A$2:$B$20,2,FALSE), "")</f>
        <v/>
      </c>
    </row>
    <row r="2302" spans="3:4" x14ac:dyDescent="0.3">
      <c r="C2302" s="35">
        <f t="shared" si="35"/>
        <v>0</v>
      </c>
      <c r="D2302" s="30" t="str">
        <f>IFERROR(VLOOKUP(C2302,소속부서!$A$2:$B$20,2,FALSE), "")</f>
        <v/>
      </c>
    </row>
    <row r="2303" spans="3:4" x14ac:dyDescent="0.3">
      <c r="C2303" s="35">
        <f t="shared" si="35"/>
        <v>0</v>
      </c>
      <c r="D2303" s="30" t="str">
        <f>IFERROR(VLOOKUP(C2303,소속부서!$A$2:$B$20,2,FALSE), "")</f>
        <v/>
      </c>
    </row>
    <row r="2304" spans="3:4" x14ac:dyDescent="0.3">
      <c r="C2304" s="35">
        <f t="shared" si="35"/>
        <v>0</v>
      </c>
      <c r="D2304" s="30" t="str">
        <f>IFERROR(VLOOKUP(C2304,소속부서!$A$2:$B$20,2,FALSE), "")</f>
        <v/>
      </c>
    </row>
    <row r="2305" spans="3:4" x14ac:dyDescent="0.3">
      <c r="C2305" s="35">
        <f t="shared" ref="C2305:C2368" si="36">E2305</f>
        <v>0</v>
      </c>
      <c r="D2305" s="30" t="str">
        <f>IFERROR(VLOOKUP(C2305,소속부서!$A$2:$B$20,2,FALSE), "")</f>
        <v/>
      </c>
    </row>
    <row r="2306" spans="3:4" x14ac:dyDescent="0.3">
      <c r="C2306" s="35">
        <f t="shared" si="36"/>
        <v>0</v>
      </c>
      <c r="D2306" s="30" t="str">
        <f>IFERROR(VLOOKUP(C2306,소속부서!$A$2:$B$20,2,FALSE), "")</f>
        <v/>
      </c>
    </row>
    <row r="2307" spans="3:4" x14ac:dyDescent="0.3">
      <c r="C2307" s="35">
        <f t="shared" si="36"/>
        <v>0</v>
      </c>
      <c r="D2307" s="30" t="str">
        <f>IFERROR(VLOOKUP(C2307,소속부서!$A$2:$B$20,2,FALSE), "")</f>
        <v/>
      </c>
    </row>
    <row r="2308" spans="3:4" x14ac:dyDescent="0.3">
      <c r="C2308" s="35">
        <f t="shared" si="36"/>
        <v>0</v>
      </c>
      <c r="D2308" s="30" t="str">
        <f>IFERROR(VLOOKUP(C2308,소속부서!$A$2:$B$20,2,FALSE), "")</f>
        <v/>
      </c>
    </row>
    <row r="2309" spans="3:4" x14ac:dyDescent="0.3">
      <c r="C2309" s="35">
        <f t="shared" si="36"/>
        <v>0</v>
      </c>
      <c r="D2309" s="30" t="str">
        <f>IFERROR(VLOOKUP(C2309,소속부서!$A$2:$B$20,2,FALSE), "")</f>
        <v/>
      </c>
    </row>
    <row r="2310" spans="3:4" x14ac:dyDescent="0.3">
      <c r="C2310" s="35">
        <f t="shared" si="36"/>
        <v>0</v>
      </c>
      <c r="D2310" s="30" t="str">
        <f>IFERROR(VLOOKUP(C2310,소속부서!$A$2:$B$20,2,FALSE), "")</f>
        <v/>
      </c>
    </row>
    <row r="2311" spans="3:4" x14ac:dyDescent="0.3">
      <c r="C2311" s="35">
        <f t="shared" si="36"/>
        <v>0</v>
      </c>
      <c r="D2311" s="30" t="str">
        <f>IFERROR(VLOOKUP(C2311,소속부서!$A$2:$B$20,2,FALSE), "")</f>
        <v/>
      </c>
    </row>
    <row r="2312" spans="3:4" x14ac:dyDescent="0.3">
      <c r="C2312" s="35">
        <f t="shared" si="36"/>
        <v>0</v>
      </c>
      <c r="D2312" s="30" t="str">
        <f>IFERROR(VLOOKUP(C2312,소속부서!$A$2:$B$20,2,FALSE), "")</f>
        <v/>
      </c>
    </row>
    <row r="2313" spans="3:4" x14ac:dyDescent="0.3">
      <c r="C2313" s="35">
        <f t="shared" si="36"/>
        <v>0</v>
      </c>
      <c r="D2313" s="30" t="str">
        <f>IFERROR(VLOOKUP(C2313,소속부서!$A$2:$B$20,2,FALSE), "")</f>
        <v/>
      </c>
    </row>
    <row r="2314" spans="3:4" x14ac:dyDescent="0.3">
      <c r="C2314" s="35">
        <f t="shared" si="36"/>
        <v>0</v>
      </c>
      <c r="D2314" s="30" t="str">
        <f>IFERROR(VLOOKUP(C2314,소속부서!$A$2:$B$20,2,FALSE), "")</f>
        <v/>
      </c>
    </row>
    <row r="2315" spans="3:4" x14ac:dyDescent="0.3">
      <c r="C2315" s="35">
        <f t="shared" si="36"/>
        <v>0</v>
      </c>
      <c r="D2315" s="30" t="str">
        <f>IFERROR(VLOOKUP(C2315,소속부서!$A$2:$B$20,2,FALSE), "")</f>
        <v/>
      </c>
    </row>
    <row r="2316" spans="3:4" x14ac:dyDescent="0.3">
      <c r="C2316" s="35">
        <f t="shared" si="36"/>
        <v>0</v>
      </c>
      <c r="D2316" s="30" t="str">
        <f>IFERROR(VLOOKUP(C2316,소속부서!$A$2:$B$20,2,FALSE), "")</f>
        <v/>
      </c>
    </row>
    <row r="2317" spans="3:4" x14ac:dyDescent="0.3">
      <c r="C2317" s="35">
        <f t="shared" si="36"/>
        <v>0</v>
      </c>
      <c r="D2317" s="30" t="str">
        <f>IFERROR(VLOOKUP(C2317,소속부서!$A$2:$B$20,2,FALSE), "")</f>
        <v/>
      </c>
    </row>
    <row r="2318" spans="3:4" x14ac:dyDescent="0.3">
      <c r="C2318" s="35">
        <f t="shared" si="36"/>
        <v>0</v>
      </c>
      <c r="D2318" s="30" t="str">
        <f>IFERROR(VLOOKUP(C2318,소속부서!$A$2:$B$20,2,FALSE), "")</f>
        <v/>
      </c>
    </row>
    <row r="2319" spans="3:4" x14ac:dyDescent="0.3">
      <c r="C2319" s="35">
        <f t="shared" si="36"/>
        <v>0</v>
      </c>
      <c r="D2319" s="30" t="str">
        <f>IFERROR(VLOOKUP(C2319,소속부서!$A$2:$B$20,2,FALSE), "")</f>
        <v/>
      </c>
    </row>
    <row r="2320" spans="3:4" x14ac:dyDescent="0.3">
      <c r="C2320" s="35">
        <f t="shared" si="36"/>
        <v>0</v>
      </c>
      <c r="D2320" s="30" t="str">
        <f>IFERROR(VLOOKUP(C2320,소속부서!$A$2:$B$20,2,FALSE), "")</f>
        <v/>
      </c>
    </row>
    <row r="2321" spans="3:4" x14ac:dyDescent="0.3">
      <c r="C2321" s="35">
        <f t="shared" si="36"/>
        <v>0</v>
      </c>
      <c r="D2321" s="30" t="str">
        <f>IFERROR(VLOOKUP(C2321,소속부서!$A$2:$B$20,2,FALSE), "")</f>
        <v/>
      </c>
    </row>
    <row r="2322" spans="3:4" x14ac:dyDescent="0.3">
      <c r="C2322" s="35">
        <f t="shared" si="36"/>
        <v>0</v>
      </c>
      <c r="D2322" s="30" t="str">
        <f>IFERROR(VLOOKUP(C2322,소속부서!$A$2:$B$20,2,FALSE), "")</f>
        <v/>
      </c>
    </row>
    <row r="2323" spans="3:4" x14ac:dyDescent="0.3">
      <c r="C2323" s="35">
        <f t="shared" si="36"/>
        <v>0</v>
      </c>
      <c r="D2323" s="30" t="str">
        <f>IFERROR(VLOOKUP(C2323,소속부서!$A$2:$B$20,2,FALSE), "")</f>
        <v/>
      </c>
    </row>
    <row r="2324" spans="3:4" x14ac:dyDescent="0.3">
      <c r="C2324" s="35">
        <f t="shared" si="36"/>
        <v>0</v>
      </c>
      <c r="D2324" s="30" t="str">
        <f>IFERROR(VLOOKUP(C2324,소속부서!$A$2:$B$20,2,FALSE), "")</f>
        <v/>
      </c>
    </row>
    <row r="2325" spans="3:4" x14ac:dyDescent="0.3">
      <c r="C2325" s="35">
        <f t="shared" si="36"/>
        <v>0</v>
      </c>
      <c r="D2325" s="30" t="str">
        <f>IFERROR(VLOOKUP(C2325,소속부서!$A$2:$B$20,2,FALSE), "")</f>
        <v/>
      </c>
    </row>
    <row r="2326" spans="3:4" x14ac:dyDescent="0.3">
      <c r="C2326" s="35">
        <f t="shared" si="36"/>
        <v>0</v>
      </c>
      <c r="D2326" s="30" t="str">
        <f>IFERROR(VLOOKUP(C2326,소속부서!$A$2:$B$20,2,FALSE), "")</f>
        <v/>
      </c>
    </row>
    <row r="2327" spans="3:4" x14ac:dyDescent="0.3">
      <c r="C2327" s="35">
        <f t="shared" si="36"/>
        <v>0</v>
      </c>
      <c r="D2327" s="30" t="str">
        <f>IFERROR(VLOOKUP(C2327,소속부서!$A$2:$B$20,2,FALSE), "")</f>
        <v/>
      </c>
    </row>
    <row r="2328" spans="3:4" x14ac:dyDescent="0.3">
      <c r="C2328" s="35">
        <f t="shared" si="36"/>
        <v>0</v>
      </c>
      <c r="D2328" s="30" t="str">
        <f>IFERROR(VLOOKUP(C2328,소속부서!$A$2:$B$20,2,FALSE), "")</f>
        <v/>
      </c>
    </row>
    <row r="2329" spans="3:4" x14ac:dyDescent="0.3">
      <c r="C2329" s="35">
        <f t="shared" si="36"/>
        <v>0</v>
      </c>
      <c r="D2329" s="30" t="str">
        <f>IFERROR(VLOOKUP(C2329,소속부서!$A$2:$B$20,2,FALSE), "")</f>
        <v/>
      </c>
    </row>
    <row r="2330" spans="3:4" x14ac:dyDescent="0.3">
      <c r="C2330" s="35">
        <f t="shared" si="36"/>
        <v>0</v>
      </c>
      <c r="D2330" s="30" t="str">
        <f>IFERROR(VLOOKUP(C2330,소속부서!$A$2:$B$20,2,FALSE), "")</f>
        <v/>
      </c>
    </row>
    <row r="2331" spans="3:4" x14ac:dyDescent="0.3">
      <c r="C2331" s="35">
        <f t="shared" si="36"/>
        <v>0</v>
      </c>
      <c r="D2331" s="30" t="str">
        <f>IFERROR(VLOOKUP(C2331,소속부서!$A$2:$B$20,2,FALSE), "")</f>
        <v/>
      </c>
    </row>
    <row r="2332" spans="3:4" x14ac:dyDescent="0.3">
      <c r="C2332" s="35">
        <f t="shared" si="36"/>
        <v>0</v>
      </c>
      <c r="D2332" s="30" t="str">
        <f>IFERROR(VLOOKUP(C2332,소속부서!$A$2:$B$20,2,FALSE), "")</f>
        <v/>
      </c>
    </row>
    <row r="2333" spans="3:4" x14ac:dyDescent="0.3">
      <c r="C2333" s="35">
        <f t="shared" si="36"/>
        <v>0</v>
      </c>
      <c r="D2333" s="30" t="str">
        <f>IFERROR(VLOOKUP(C2333,소속부서!$A$2:$B$20,2,FALSE), "")</f>
        <v/>
      </c>
    </row>
    <row r="2334" spans="3:4" x14ac:dyDescent="0.3">
      <c r="C2334" s="35">
        <f t="shared" si="36"/>
        <v>0</v>
      </c>
      <c r="D2334" s="30" t="str">
        <f>IFERROR(VLOOKUP(C2334,소속부서!$A$2:$B$20,2,FALSE), "")</f>
        <v/>
      </c>
    </row>
    <row r="2335" spans="3:4" x14ac:dyDescent="0.3">
      <c r="C2335" s="35">
        <f t="shared" si="36"/>
        <v>0</v>
      </c>
      <c r="D2335" s="30" t="str">
        <f>IFERROR(VLOOKUP(C2335,소속부서!$A$2:$B$20,2,FALSE), "")</f>
        <v/>
      </c>
    </row>
    <row r="2336" spans="3:4" x14ac:dyDescent="0.3">
      <c r="C2336" s="35">
        <f t="shared" si="36"/>
        <v>0</v>
      </c>
      <c r="D2336" s="30" t="str">
        <f>IFERROR(VLOOKUP(C2336,소속부서!$A$2:$B$20,2,FALSE), "")</f>
        <v/>
      </c>
    </row>
    <row r="2337" spans="3:4" x14ac:dyDescent="0.3">
      <c r="C2337" s="35">
        <f t="shared" si="36"/>
        <v>0</v>
      </c>
      <c r="D2337" s="30" t="str">
        <f>IFERROR(VLOOKUP(C2337,소속부서!$A$2:$B$20,2,FALSE), "")</f>
        <v/>
      </c>
    </row>
    <row r="2338" spans="3:4" x14ac:dyDescent="0.3">
      <c r="C2338" s="35">
        <f t="shared" si="36"/>
        <v>0</v>
      </c>
      <c r="D2338" s="30" t="str">
        <f>IFERROR(VLOOKUP(C2338,소속부서!$A$2:$B$20,2,FALSE), "")</f>
        <v/>
      </c>
    </row>
    <row r="2339" spans="3:4" x14ac:dyDescent="0.3">
      <c r="C2339" s="35">
        <f t="shared" si="36"/>
        <v>0</v>
      </c>
      <c r="D2339" s="30" t="str">
        <f>IFERROR(VLOOKUP(C2339,소속부서!$A$2:$B$20,2,FALSE), "")</f>
        <v/>
      </c>
    </row>
    <row r="2340" spans="3:4" x14ac:dyDescent="0.3">
      <c r="C2340" s="35">
        <f t="shared" si="36"/>
        <v>0</v>
      </c>
      <c r="D2340" s="30" t="str">
        <f>IFERROR(VLOOKUP(C2340,소속부서!$A$2:$B$20,2,FALSE), "")</f>
        <v/>
      </c>
    </row>
    <row r="2341" spans="3:4" x14ac:dyDescent="0.3">
      <c r="C2341" s="35">
        <f t="shared" si="36"/>
        <v>0</v>
      </c>
      <c r="D2341" s="30" t="str">
        <f>IFERROR(VLOOKUP(C2341,소속부서!$A$2:$B$20,2,FALSE), "")</f>
        <v/>
      </c>
    </row>
    <row r="2342" spans="3:4" x14ac:dyDescent="0.3">
      <c r="C2342" s="35">
        <f t="shared" si="36"/>
        <v>0</v>
      </c>
      <c r="D2342" s="30" t="str">
        <f>IFERROR(VLOOKUP(C2342,소속부서!$A$2:$B$20,2,FALSE), "")</f>
        <v/>
      </c>
    </row>
    <row r="2343" spans="3:4" x14ac:dyDescent="0.3">
      <c r="C2343" s="35">
        <f t="shared" si="36"/>
        <v>0</v>
      </c>
      <c r="D2343" s="30" t="str">
        <f>IFERROR(VLOOKUP(C2343,소속부서!$A$2:$B$20,2,FALSE), "")</f>
        <v/>
      </c>
    </row>
    <row r="2344" spans="3:4" x14ac:dyDescent="0.3">
      <c r="C2344" s="35">
        <f t="shared" si="36"/>
        <v>0</v>
      </c>
      <c r="D2344" s="30" t="str">
        <f>IFERROR(VLOOKUP(C2344,소속부서!$A$2:$B$20,2,FALSE), "")</f>
        <v/>
      </c>
    </row>
    <row r="2345" spans="3:4" x14ac:dyDescent="0.3">
      <c r="C2345" s="35">
        <f t="shared" si="36"/>
        <v>0</v>
      </c>
      <c r="D2345" s="30" t="str">
        <f>IFERROR(VLOOKUP(C2345,소속부서!$A$2:$B$20,2,FALSE), "")</f>
        <v/>
      </c>
    </row>
    <row r="2346" spans="3:4" x14ac:dyDescent="0.3">
      <c r="C2346" s="35">
        <f t="shared" si="36"/>
        <v>0</v>
      </c>
      <c r="D2346" s="30" t="str">
        <f>IFERROR(VLOOKUP(C2346,소속부서!$A$2:$B$20,2,FALSE), "")</f>
        <v/>
      </c>
    </row>
    <row r="2347" spans="3:4" x14ac:dyDescent="0.3">
      <c r="C2347" s="35">
        <f t="shared" si="36"/>
        <v>0</v>
      </c>
      <c r="D2347" s="30" t="str">
        <f>IFERROR(VLOOKUP(C2347,소속부서!$A$2:$B$20,2,FALSE), "")</f>
        <v/>
      </c>
    </row>
    <row r="2348" spans="3:4" x14ac:dyDescent="0.3">
      <c r="C2348" s="35">
        <f t="shared" si="36"/>
        <v>0</v>
      </c>
      <c r="D2348" s="30" t="str">
        <f>IFERROR(VLOOKUP(C2348,소속부서!$A$2:$B$20,2,FALSE), "")</f>
        <v/>
      </c>
    </row>
    <row r="2349" spans="3:4" x14ac:dyDescent="0.3">
      <c r="C2349" s="35">
        <f t="shared" si="36"/>
        <v>0</v>
      </c>
      <c r="D2349" s="30" t="str">
        <f>IFERROR(VLOOKUP(C2349,소속부서!$A$2:$B$20,2,FALSE), "")</f>
        <v/>
      </c>
    </row>
    <row r="2350" spans="3:4" x14ac:dyDescent="0.3">
      <c r="C2350" s="35">
        <f t="shared" si="36"/>
        <v>0</v>
      </c>
      <c r="D2350" s="30" t="str">
        <f>IFERROR(VLOOKUP(C2350,소속부서!$A$2:$B$20,2,FALSE), "")</f>
        <v/>
      </c>
    </row>
    <row r="2351" spans="3:4" x14ac:dyDescent="0.3">
      <c r="C2351" s="35">
        <f t="shared" si="36"/>
        <v>0</v>
      </c>
      <c r="D2351" s="30" t="str">
        <f>IFERROR(VLOOKUP(C2351,소속부서!$A$2:$B$20,2,FALSE), "")</f>
        <v/>
      </c>
    </row>
    <row r="2352" spans="3:4" x14ac:dyDescent="0.3">
      <c r="C2352" s="35">
        <f t="shared" si="36"/>
        <v>0</v>
      </c>
      <c r="D2352" s="30" t="str">
        <f>IFERROR(VLOOKUP(C2352,소속부서!$A$2:$B$20,2,FALSE), "")</f>
        <v/>
      </c>
    </row>
    <row r="2353" spans="3:4" x14ac:dyDescent="0.3">
      <c r="C2353" s="35">
        <f t="shared" si="36"/>
        <v>0</v>
      </c>
      <c r="D2353" s="30" t="str">
        <f>IFERROR(VLOOKUP(C2353,소속부서!$A$2:$B$20,2,FALSE), "")</f>
        <v/>
      </c>
    </row>
    <row r="2354" spans="3:4" x14ac:dyDescent="0.3">
      <c r="C2354" s="35">
        <f t="shared" si="36"/>
        <v>0</v>
      </c>
      <c r="D2354" s="30" t="str">
        <f>IFERROR(VLOOKUP(C2354,소속부서!$A$2:$B$20,2,FALSE), "")</f>
        <v/>
      </c>
    </row>
    <row r="2355" spans="3:4" x14ac:dyDescent="0.3">
      <c r="C2355" s="35">
        <f t="shared" si="36"/>
        <v>0</v>
      </c>
      <c r="D2355" s="30" t="str">
        <f>IFERROR(VLOOKUP(C2355,소속부서!$A$2:$B$20,2,FALSE), "")</f>
        <v/>
      </c>
    </row>
    <row r="2356" spans="3:4" x14ac:dyDescent="0.3">
      <c r="C2356" s="35">
        <f t="shared" si="36"/>
        <v>0</v>
      </c>
      <c r="D2356" s="30" t="str">
        <f>IFERROR(VLOOKUP(C2356,소속부서!$A$2:$B$20,2,FALSE), "")</f>
        <v/>
      </c>
    </row>
    <row r="2357" spans="3:4" x14ac:dyDescent="0.3">
      <c r="C2357" s="35">
        <f t="shared" si="36"/>
        <v>0</v>
      </c>
      <c r="D2357" s="30" t="str">
        <f>IFERROR(VLOOKUP(C2357,소속부서!$A$2:$B$20,2,FALSE), "")</f>
        <v/>
      </c>
    </row>
    <row r="2358" spans="3:4" x14ac:dyDescent="0.3">
      <c r="C2358" s="35">
        <f t="shared" si="36"/>
        <v>0</v>
      </c>
      <c r="D2358" s="30" t="str">
        <f>IFERROR(VLOOKUP(C2358,소속부서!$A$2:$B$20,2,FALSE), "")</f>
        <v/>
      </c>
    </row>
    <row r="2359" spans="3:4" x14ac:dyDescent="0.3">
      <c r="C2359" s="35">
        <f t="shared" si="36"/>
        <v>0</v>
      </c>
      <c r="D2359" s="30" t="str">
        <f>IFERROR(VLOOKUP(C2359,소속부서!$A$2:$B$20,2,FALSE), "")</f>
        <v/>
      </c>
    </row>
    <row r="2360" spans="3:4" x14ac:dyDescent="0.3">
      <c r="C2360" s="35">
        <f t="shared" si="36"/>
        <v>0</v>
      </c>
      <c r="D2360" s="30" t="str">
        <f>IFERROR(VLOOKUP(C2360,소속부서!$A$2:$B$20,2,FALSE), "")</f>
        <v/>
      </c>
    </row>
    <row r="2361" spans="3:4" x14ac:dyDescent="0.3">
      <c r="C2361" s="35">
        <f t="shared" si="36"/>
        <v>0</v>
      </c>
      <c r="D2361" s="30" t="str">
        <f>IFERROR(VLOOKUP(C2361,소속부서!$A$2:$B$20,2,FALSE), "")</f>
        <v/>
      </c>
    </row>
    <row r="2362" spans="3:4" x14ac:dyDescent="0.3">
      <c r="C2362" s="35">
        <f t="shared" si="36"/>
        <v>0</v>
      </c>
      <c r="D2362" s="30" t="str">
        <f>IFERROR(VLOOKUP(C2362,소속부서!$A$2:$B$20,2,FALSE), "")</f>
        <v/>
      </c>
    </row>
    <row r="2363" spans="3:4" x14ac:dyDescent="0.3">
      <c r="C2363" s="35">
        <f t="shared" si="36"/>
        <v>0</v>
      </c>
      <c r="D2363" s="30" t="str">
        <f>IFERROR(VLOOKUP(C2363,소속부서!$A$2:$B$20,2,FALSE), "")</f>
        <v/>
      </c>
    </row>
    <row r="2364" spans="3:4" x14ac:dyDescent="0.3">
      <c r="C2364" s="35">
        <f t="shared" si="36"/>
        <v>0</v>
      </c>
      <c r="D2364" s="30" t="str">
        <f>IFERROR(VLOOKUP(C2364,소속부서!$A$2:$B$20,2,FALSE), "")</f>
        <v/>
      </c>
    </row>
    <row r="2365" spans="3:4" x14ac:dyDescent="0.3">
      <c r="C2365" s="35">
        <f t="shared" si="36"/>
        <v>0</v>
      </c>
      <c r="D2365" s="30" t="str">
        <f>IFERROR(VLOOKUP(C2365,소속부서!$A$2:$B$20,2,FALSE), "")</f>
        <v/>
      </c>
    </row>
    <row r="2366" spans="3:4" x14ac:dyDescent="0.3">
      <c r="C2366" s="35">
        <f t="shared" si="36"/>
        <v>0</v>
      </c>
      <c r="D2366" s="30" t="str">
        <f>IFERROR(VLOOKUP(C2366,소속부서!$A$2:$B$20,2,FALSE), "")</f>
        <v/>
      </c>
    </row>
    <row r="2367" spans="3:4" x14ac:dyDescent="0.3">
      <c r="C2367" s="35">
        <f t="shared" si="36"/>
        <v>0</v>
      </c>
      <c r="D2367" s="30" t="str">
        <f>IFERROR(VLOOKUP(C2367,소속부서!$A$2:$B$20,2,FALSE), "")</f>
        <v/>
      </c>
    </row>
    <row r="2368" spans="3:4" x14ac:dyDescent="0.3">
      <c r="C2368" s="35">
        <f t="shared" si="36"/>
        <v>0</v>
      </c>
      <c r="D2368" s="30" t="str">
        <f>IFERROR(VLOOKUP(C2368,소속부서!$A$2:$B$20,2,FALSE), "")</f>
        <v/>
      </c>
    </row>
    <row r="2369" spans="3:4" x14ac:dyDescent="0.3">
      <c r="C2369" s="35">
        <f t="shared" ref="C2369:C2432" si="37">E2369</f>
        <v>0</v>
      </c>
      <c r="D2369" s="30" t="str">
        <f>IFERROR(VLOOKUP(C2369,소속부서!$A$2:$B$20,2,FALSE), "")</f>
        <v/>
      </c>
    </row>
    <row r="2370" spans="3:4" x14ac:dyDescent="0.3">
      <c r="C2370" s="35">
        <f t="shared" si="37"/>
        <v>0</v>
      </c>
      <c r="D2370" s="30" t="str">
        <f>IFERROR(VLOOKUP(C2370,소속부서!$A$2:$B$20,2,FALSE), "")</f>
        <v/>
      </c>
    </row>
    <row r="2371" spans="3:4" x14ac:dyDescent="0.3">
      <c r="C2371" s="35">
        <f t="shared" si="37"/>
        <v>0</v>
      </c>
      <c r="D2371" s="30" t="str">
        <f>IFERROR(VLOOKUP(C2371,소속부서!$A$2:$B$20,2,FALSE), "")</f>
        <v/>
      </c>
    </row>
    <row r="2372" spans="3:4" x14ac:dyDescent="0.3">
      <c r="C2372" s="35">
        <f t="shared" si="37"/>
        <v>0</v>
      </c>
      <c r="D2372" s="30" t="str">
        <f>IFERROR(VLOOKUP(C2372,소속부서!$A$2:$B$20,2,FALSE), "")</f>
        <v/>
      </c>
    </row>
    <row r="2373" spans="3:4" x14ac:dyDescent="0.3">
      <c r="C2373" s="35">
        <f t="shared" si="37"/>
        <v>0</v>
      </c>
      <c r="D2373" s="30" t="str">
        <f>IFERROR(VLOOKUP(C2373,소속부서!$A$2:$B$20,2,FALSE), "")</f>
        <v/>
      </c>
    </row>
    <row r="2374" spans="3:4" x14ac:dyDescent="0.3">
      <c r="C2374" s="35">
        <f t="shared" si="37"/>
        <v>0</v>
      </c>
      <c r="D2374" s="30" t="str">
        <f>IFERROR(VLOOKUP(C2374,소속부서!$A$2:$B$20,2,FALSE), "")</f>
        <v/>
      </c>
    </row>
    <row r="2375" spans="3:4" x14ac:dyDescent="0.3">
      <c r="C2375" s="35">
        <f t="shared" si="37"/>
        <v>0</v>
      </c>
      <c r="D2375" s="30" t="str">
        <f>IFERROR(VLOOKUP(C2375,소속부서!$A$2:$B$20,2,FALSE), "")</f>
        <v/>
      </c>
    </row>
    <row r="2376" spans="3:4" x14ac:dyDescent="0.3">
      <c r="C2376" s="35">
        <f t="shared" si="37"/>
        <v>0</v>
      </c>
      <c r="D2376" s="30" t="str">
        <f>IFERROR(VLOOKUP(C2376,소속부서!$A$2:$B$20,2,FALSE), "")</f>
        <v/>
      </c>
    </row>
    <row r="2377" spans="3:4" x14ac:dyDescent="0.3">
      <c r="C2377" s="35">
        <f t="shared" si="37"/>
        <v>0</v>
      </c>
      <c r="D2377" s="30" t="str">
        <f>IFERROR(VLOOKUP(C2377,소속부서!$A$2:$B$20,2,FALSE), "")</f>
        <v/>
      </c>
    </row>
    <row r="2378" spans="3:4" x14ac:dyDescent="0.3">
      <c r="C2378" s="35">
        <f t="shared" si="37"/>
        <v>0</v>
      </c>
      <c r="D2378" s="30" t="str">
        <f>IFERROR(VLOOKUP(C2378,소속부서!$A$2:$B$20,2,FALSE), "")</f>
        <v/>
      </c>
    </row>
    <row r="2379" spans="3:4" x14ac:dyDescent="0.3">
      <c r="C2379" s="35">
        <f t="shared" si="37"/>
        <v>0</v>
      </c>
      <c r="D2379" s="30" t="str">
        <f>IFERROR(VLOOKUP(C2379,소속부서!$A$2:$B$20,2,FALSE), "")</f>
        <v/>
      </c>
    </row>
    <row r="2380" spans="3:4" x14ac:dyDescent="0.3">
      <c r="C2380" s="35">
        <f t="shared" si="37"/>
        <v>0</v>
      </c>
      <c r="D2380" s="30" t="str">
        <f>IFERROR(VLOOKUP(C2380,소속부서!$A$2:$B$20,2,FALSE), "")</f>
        <v/>
      </c>
    </row>
    <row r="2381" spans="3:4" x14ac:dyDescent="0.3">
      <c r="C2381" s="35">
        <f t="shared" si="37"/>
        <v>0</v>
      </c>
      <c r="D2381" s="30" t="str">
        <f>IFERROR(VLOOKUP(C2381,소속부서!$A$2:$B$20,2,FALSE), "")</f>
        <v/>
      </c>
    </row>
    <row r="2382" spans="3:4" x14ac:dyDescent="0.3">
      <c r="C2382" s="35">
        <f t="shared" si="37"/>
        <v>0</v>
      </c>
      <c r="D2382" s="30" t="str">
        <f>IFERROR(VLOOKUP(C2382,소속부서!$A$2:$B$20,2,FALSE), "")</f>
        <v/>
      </c>
    </row>
    <row r="2383" spans="3:4" x14ac:dyDescent="0.3">
      <c r="C2383" s="35">
        <f t="shared" si="37"/>
        <v>0</v>
      </c>
      <c r="D2383" s="30" t="str">
        <f>IFERROR(VLOOKUP(C2383,소속부서!$A$2:$B$20,2,FALSE), "")</f>
        <v/>
      </c>
    </row>
    <row r="2384" spans="3:4" x14ac:dyDescent="0.3">
      <c r="C2384" s="35">
        <f t="shared" si="37"/>
        <v>0</v>
      </c>
      <c r="D2384" s="30" t="str">
        <f>IFERROR(VLOOKUP(C2384,소속부서!$A$2:$B$20,2,FALSE), "")</f>
        <v/>
      </c>
    </row>
    <row r="2385" spans="3:4" x14ac:dyDescent="0.3">
      <c r="C2385" s="35">
        <f t="shared" si="37"/>
        <v>0</v>
      </c>
      <c r="D2385" s="30" t="str">
        <f>IFERROR(VLOOKUP(C2385,소속부서!$A$2:$B$20,2,FALSE), "")</f>
        <v/>
      </c>
    </row>
    <row r="2386" spans="3:4" x14ac:dyDescent="0.3">
      <c r="C2386" s="35">
        <f t="shared" si="37"/>
        <v>0</v>
      </c>
      <c r="D2386" s="30" t="str">
        <f>IFERROR(VLOOKUP(C2386,소속부서!$A$2:$B$20,2,FALSE), "")</f>
        <v/>
      </c>
    </row>
    <row r="2387" spans="3:4" x14ac:dyDescent="0.3">
      <c r="C2387" s="35">
        <f t="shared" si="37"/>
        <v>0</v>
      </c>
      <c r="D2387" s="30" t="str">
        <f>IFERROR(VLOOKUP(C2387,소속부서!$A$2:$B$20,2,FALSE), "")</f>
        <v/>
      </c>
    </row>
    <row r="2388" spans="3:4" x14ac:dyDescent="0.3">
      <c r="C2388" s="35">
        <f t="shared" si="37"/>
        <v>0</v>
      </c>
      <c r="D2388" s="30" t="str">
        <f>IFERROR(VLOOKUP(C2388,소속부서!$A$2:$B$20,2,FALSE), "")</f>
        <v/>
      </c>
    </row>
    <row r="2389" spans="3:4" x14ac:dyDescent="0.3">
      <c r="C2389" s="35">
        <f t="shared" si="37"/>
        <v>0</v>
      </c>
      <c r="D2389" s="30" t="str">
        <f>IFERROR(VLOOKUP(C2389,소속부서!$A$2:$B$20,2,FALSE), "")</f>
        <v/>
      </c>
    </row>
    <row r="2390" spans="3:4" x14ac:dyDescent="0.3">
      <c r="C2390" s="35">
        <f t="shared" si="37"/>
        <v>0</v>
      </c>
      <c r="D2390" s="30" t="str">
        <f>IFERROR(VLOOKUP(C2390,소속부서!$A$2:$B$20,2,FALSE), "")</f>
        <v/>
      </c>
    </row>
    <row r="2391" spans="3:4" x14ac:dyDescent="0.3">
      <c r="C2391" s="35">
        <f t="shared" si="37"/>
        <v>0</v>
      </c>
      <c r="D2391" s="30" t="str">
        <f>IFERROR(VLOOKUP(C2391,소속부서!$A$2:$B$20,2,FALSE), "")</f>
        <v/>
      </c>
    </row>
    <row r="2392" spans="3:4" x14ac:dyDescent="0.3">
      <c r="C2392" s="35">
        <f t="shared" si="37"/>
        <v>0</v>
      </c>
      <c r="D2392" s="30" t="str">
        <f>IFERROR(VLOOKUP(C2392,소속부서!$A$2:$B$20,2,FALSE), "")</f>
        <v/>
      </c>
    </row>
    <row r="2393" spans="3:4" x14ac:dyDescent="0.3">
      <c r="C2393" s="35">
        <f t="shared" si="37"/>
        <v>0</v>
      </c>
      <c r="D2393" s="30" t="str">
        <f>IFERROR(VLOOKUP(C2393,소속부서!$A$2:$B$20,2,FALSE), "")</f>
        <v/>
      </c>
    </row>
    <row r="2394" spans="3:4" x14ac:dyDescent="0.3">
      <c r="C2394" s="35">
        <f t="shared" si="37"/>
        <v>0</v>
      </c>
      <c r="D2394" s="30" t="str">
        <f>IFERROR(VLOOKUP(C2394,소속부서!$A$2:$B$20,2,FALSE), "")</f>
        <v/>
      </c>
    </row>
    <row r="2395" spans="3:4" x14ac:dyDescent="0.3">
      <c r="C2395" s="35">
        <f t="shared" si="37"/>
        <v>0</v>
      </c>
      <c r="D2395" s="30" t="str">
        <f>IFERROR(VLOOKUP(C2395,소속부서!$A$2:$B$20,2,FALSE), "")</f>
        <v/>
      </c>
    </row>
    <row r="2396" spans="3:4" x14ac:dyDescent="0.3">
      <c r="C2396" s="35">
        <f t="shared" si="37"/>
        <v>0</v>
      </c>
      <c r="D2396" s="30" t="str">
        <f>IFERROR(VLOOKUP(C2396,소속부서!$A$2:$B$20,2,FALSE), "")</f>
        <v/>
      </c>
    </row>
    <row r="2397" spans="3:4" x14ac:dyDescent="0.3">
      <c r="C2397" s="35">
        <f t="shared" si="37"/>
        <v>0</v>
      </c>
      <c r="D2397" s="30" t="str">
        <f>IFERROR(VLOOKUP(C2397,소속부서!$A$2:$B$20,2,FALSE), "")</f>
        <v/>
      </c>
    </row>
    <row r="2398" spans="3:4" x14ac:dyDescent="0.3">
      <c r="C2398" s="35">
        <f t="shared" si="37"/>
        <v>0</v>
      </c>
      <c r="D2398" s="30" t="str">
        <f>IFERROR(VLOOKUP(C2398,소속부서!$A$2:$B$20,2,FALSE), "")</f>
        <v/>
      </c>
    </row>
    <row r="2399" spans="3:4" x14ac:dyDescent="0.3">
      <c r="C2399" s="35">
        <f t="shared" si="37"/>
        <v>0</v>
      </c>
      <c r="D2399" s="30" t="str">
        <f>IFERROR(VLOOKUP(C2399,소속부서!$A$2:$B$20,2,FALSE), "")</f>
        <v/>
      </c>
    </row>
    <row r="2400" spans="3:4" x14ac:dyDescent="0.3">
      <c r="C2400" s="35">
        <f t="shared" si="37"/>
        <v>0</v>
      </c>
      <c r="D2400" s="30" t="str">
        <f>IFERROR(VLOOKUP(C2400,소속부서!$A$2:$B$20,2,FALSE), "")</f>
        <v/>
      </c>
    </row>
    <row r="2401" spans="3:4" x14ac:dyDescent="0.3">
      <c r="C2401" s="35">
        <f t="shared" si="37"/>
        <v>0</v>
      </c>
      <c r="D2401" s="30" t="str">
        <f>IFERROR(VLOOKUP(C2401,소속부서!$A$2:$B$20,2,FALSE), "")</f>
        <v/>
      </c>
    </row>
    <row r="2402" spans="3:4" x14ac:dyDescent="0.3">
      <c r="C2402" s="35">
        <f t="shared" si="37"/>
        <v>0</v>
      </c>
      <c r="D2402" s="30" t="str">
        <f>IFERROR(VLOOKUP(C2402,소속부서!$A$2:$B$20,2,FALSE), "")</f>
        <v/>
      </c>
    </row>
    <row r="2403" spans="3:4" x14ac:dyDescent="0.3">
      <c r="C2403" s="35">
        <f t="shared" si="37"/>
        <v>0</v>
      </c>
      <c r="D2403" s="30" t="str">
        <f>IFERROR(VLOOKUP(C2403,소속부서!$A$2:$B$20,2,FALSE), "")</f>
        <v/>
      </c>
    </row>
    <row r="2404" spans="3:4" x14ac:dyDescent="0.3">
      <c r="C2404" s="35">
        <f t="shared" si="37"/>
        <v>0</v>
      </c>
      <c r="D2404" s="30" t="str">
        <f>IFERROR(VLOOKUP(C2404,소속부서!$A$2:$B$20,2,FALSE), "")</f>
        <v/>
      </c>
    </row>
    <row r="2405" spans="3:4" x14ac:dyDescent="0.3">
      <c r="C2405" s="35">
        <f t="shared" si="37"/>
        <v>0</v>
      </c>
      <c r="D2405" s="30" t="str">
        <f>IFERROR(VLOOKUP(C2405,소속부서!$A$2:$B$20,2,FALSE), "")</f>
        <v/>
      </c>
    </row>
    <row r="2406" spans="3:4" x14ac:dyDescent="0.3">
      <c r="C2406" s="35">
        <f t="shared" si="37"/>
        <v>0</v>
      </c>
      <c r="D2406" s="30" t="str">
        <f>IFERROR(VLOOKUP(C2406,소속부서!$A$2:$B$20,2,FALSE), "")</f>
        <v/>
      </c>
    </row>
    <row r="2407" spans="3:4" x14ac:dyDescent="0.3">
      <c r="C2407" s="35">
        <f t="shared" si="37"/>
        <v>0</v>
      </c>
      <c r="D2407" s="30" t="str">
        <f>IFERROR(VLOOKUP(C2407,소속부서!$A$2:$B$20,2,FALSE), "")</f>
        <v/>
      </c>
    </row>
    <row r="2408" spans="3:4" x14ac:dyDescent="0.3">
      <c r="C2408" s="35">
        <f t="shared" si="37"/>
        <v>0</v>
      </c>
      <c r="D2408" s="30" t="str">
        <f>IFERROR(VLOOKUP(C2408,소속부서!$A$2:$B$20,2,FALSE), "")</f>
        <v/>
      </c>
    </row>
    <row r="2409" spans="3:4" x14ac:dyDescent="0.3">
      <c r="C2409" s="35">
        <f t="shared" si="37"/>
        <v>0</v>
      </c>
      <c r="D2409" s="30" t="str">
        <f>IFERROR(VLOOKUP(C2409,소속부서!$A$2:$B$20,2,FALSE), "")</f>
        <v/>
      </c>
    </row>
    <row r="2410" spans="3:4" x14ac:dyDescent="0.3">
      <c r="C2410" s="35">
        <f t="shared" si="37"/>
        <v>0</v>
      </c>
      <c r="D2410" s="30" t="str">
        <f>IFERROR(VLOOKUP(C2410,소속부서!$A$2:$B$20,2,FALSE), "")</f>
        <v/>
      </c>
    </row>
    <row r="2411" spans="3:4" x14ac:dyDescent="0.3">
      <c r="C2411" s="35">
        <f t="shared" si="37"/>
        <v>0</v>
      </c>
      <c r="D2411" s="30" t="str">
        <f>IFERROR(VLOOKUP(C2411,소속부서!$A$2:$B$20,2,FALSE), "")</f>
        <v/>
      </c>
    </row>
    <row r="2412" spans="3:4" x14ac:dyDescent="0.3">
      <c r="C2412" s="35">
        <f t="shared" si="37"/>
        <v>0</v>
      </c>
      <c r="D2412" s="30" t="str">
        <f>IFERROR(VLOOKUP(C2412,소속부서!$A$2:$B$20,2,FALSE), "")</f>
        <v/>
      </c>
    </row>
    <row r="2413" spans="3:4" x14ac:dyDescent="0.3">
      <c r="C2413" s="35">
        <f t="shared" si="37"/>
        <v>0</v>
      </c>
      <c r="D2413" s="30" t="str">
        <f>IFERROR(VLOOKUP(C2413,소속부서!$A$2:$B$20,2,FALSE), "")</f>
        <v/>
      </c>
    </row>
    <row r="2414" spans="3:4" x14ac:dyDescent="0.3">
      <c r="C2414" s="35">
        <f t="shared" si="37"/>
        <v>0</v>
      </c>
      <c r="D2414" s="30" t="str">
        <f>IFERROR(VLOOKUP(C2414,소속부서!$A$2:$B$20,2,FALSE), "")</f>
        <v/>
      </c>
    </row>
    <row r="2415" spans="3:4" x14ac:dyDescent="0.3">
      <c r="C2415" s="35">
        <f t="shared" si="37"/>
        <v>0</v>
      </c>
      <c r="D2415" s="30" t="str">
        <f>IFERROR(VLOOKUP(C2415,소속부서!$A$2:$B$20,2,FALSE), "")</f>
        <v/>
      </c>
    </row>
    <row r="2416" spans="3:4" x14ac:dyDescent="0.3">
      <c r="C2416" s="35">
        <f t="shared" si="37"/>
        <v>0</v>
      </c>
      <c r="D2416" s="30" t="str">
        <f>IFERROR(VLOOKUP(C2416,소속부서!$A$2:$B$20,2,FALSE), "")</f>
        <v/>
      </c>
    </row>
    <row r="2417" spans="3:4" x14ac:dyDescent="0.3">
      <c r="C2417" s="35">
        <f t="shared" si="37"/>
        <v>0</v>
      </c>
      <c r="D2417" s="30" t="str">
        <f>IFERROR(VLOOKUP(C2417,소속부서!$A$2:$B$20,2,FALSE), "")</f>
        <v/>
      </c>
    </row>
    <row r="2418" spans="3:4" x14ac:dyDescent="0.3">
      <c r="C2418" s="35">
        <f t="shared" si="37"/>
        <v>0</v>
      </c>
      <c r="D2418" s="30" t="str">
        <f>IFERROR(VLOOKUP(C2418,소속부서!$A$2:$B$20,2,FALSE), "")</f>
        <v/>
      </c>
    </row>
    <row r="2419" spans="3:4" x14ac:dyDescent="0.3">
      <c r="C2419" s="35">
        <f t="shared" si="37"/>
        <v>0</v>
      </c>
      <c r="D2419" s="30" t="str">
        <f>IFERROR(VLOOKUP(C2419,소속부서!$A$2:$B$20,2,FALSE), "")</f>
        <v/>
      </c>
    </row>
    <row r="2420" spans="3:4" x14ac:dyDescent="0.3">
      <c r="C2420" s="35">
        <f t="shared" si="37"/>
        <v>0</v>
      </c>
      <c r="D2420" s="30" t="str">
        <f>IFERROR(VLOOKUP(C2420,소속부서!$A$2:$B$20,2,FALSE), "")</f>
        <v/>
      </c>
    </row>
    <row r="2421" spans="3:4" x14ac:dyDescent="0.3">
      <c r="C2421" s="35">
        <f t="shared" si="37"/>
        <v>0</v>
      </c>
      <c r="D2421" s="30" t="str">
        <f>IFERROR(VLOOKUP(C2421,소속부서!$A$2:$B$20,2,FALSE), "")</f>
        <v/>
      </c>
    </row>
    <row r="2422" spans="3:4" x14ac:dyDescent="0.3">
      <c r="C2422" s="35">
        <f t="shared" si="37"/>
        <v>0</v>
      </c>
      <c r="D2422" s="30" t="str">
        <f>IFERROR(VLOOKUP(C2422,소속부서!$A$2:$B$20,2,FALSE), "")</f>
        <v/>
      </c>
    </row>
    <row r="2423" spans="3:4" x14ac:dyDescent="0.3">
      <c r="C2423" s="35">
        <f t="shared" si="37"/>
        <v>0</v>
      </c>
      <c r="D2423" s="30" t="str">
        <f>IFERROR(VLOOKUP(C2423,소속부서!$A$2:$B$20,2,FALSE), "")</f>
        <v/>
      </c>
    </row>
    <row r="2424" spans="3:4" x14ac:dyDescent="0.3">
      <c r="C2424" s="35">
        <f t="shared" si="37"/>
        <v>0</v>
      </c>
      <c r="D2424" s="30" t="str">
        <f>IFERROR(VLOOKUP(C2424,소속부서!$A$2:$B$20,2,FALSE), "")</f>
        <v/>
      </c>
    </row>
    <row r="2425" spans="3:4" x14ac:dyDescent="0.3">
      <c r="C2425" s="35">
        <f t="shared" si="37"/>
        <v>0</v>
      </c>
      <c r="D2425" s="30" t="str">
        <f>IFERROR(VLOOKUP(C2425,소속부서!$A$2:$B$20,2,FALSE), "")</f>
        <v/>
      </c>
    </row>
    <row r="2426" spans="3:4" x14ac:dyDescent="0.3">
      <c r="C2426" s="35">
        <f t="shared" si="37"/>
        <v>0</v>
      </c>
      <c r="D2426" s="30" t="str">
        <f>IFERROR(VLOOKUP(C2426,소속부서!$A$2:$B$20,2,FALSE), "")</f>
        <v/>
      </c>
    </row>
    <row r="2427" spans="3:4" x14ac:dyDescent="0.3">
      <c r="C2427" s="35">
        <f t="shared" si="37"/>
        <v>0</v>
      </c>
      <c r="D2427" s="30" t="str">
        <f>IFERROR(VLOOKUP(C2427,소속부서!$A$2:$B$20,2,FALSE), "")</f>
        <v/>
      </c>
    </row>
    <row r="2428" spans="3:4" x14ac:dyDescent="0.3">
      <c r="C2428" s="35">
        <f t="shared" si="37"/>
        <v>0</v>
      </c>
      <c r="D2428" s="30" t="str">
        <f>IFERROR(VLOOKUP(C2428,소속부서!$A$2:$B$20,2,FALSE), "")</f>
        <v/>
      </c>
    </row>
    <row r="2429" spans="3:4" x14ac:dyDescent="0.3">
      <c r="C2429" s="35">
        <f t="shared" si="37"/>
        <v>0</v>
      </c>
      <c r="D2429" s="30" t="str">
        <f>IFERROR(VLOOKUP(C2429,소속부서!$A$2:$B$20,2,FALSE), "")</f>
        <v/>
      </c>
    </row>
    <row r="2430" spans="3:4" x14ac:dyDescent="0.3">
      <c r="C2430" s="35">
        <f t="shared" si="37"/>
        <v>0</v>
      </c>
      <c r="D2430" s="30" t="str">
        <f>IFERROR(VLOOKUP(C2430,소속부서!$A$2:$B$20,2,FALSE), "")</f>
        <v/>
      </c>
    </row>
    <row r="2431" spans="3:4" x14ac:dyDescent="0.3">
      <c r="C2431" s="35">
        <f t="shared" si="37"/>
        <v>0</v>
      </c>
      <c r="D2431" s="30" t="str">
        <f>IFERROR(VLOOKUP(C2431,소속부서!$A$2:$B$20,2,FALSE), "")</f>
        <v/>
      </c>
    </row>
    <row r="2432" spans="3:4" x14ac:dyDescent="0.3">
      <c r="C2432" s="35">
        <f t="shared" si="37"/>
        <v>0</v>
      </c>
      <c r="D2432" s="30" t="str">
        <f>IFERROR(VLOOKUP(C2432,소속부서!$A$2:$B$20,2,FALSE), "")</f>
        <v/>
      </c>
    </row>
    <row r="2433" spans="3:4" x14ac:dyDescent="0.3">
      <c r="C2433" s="35">
        <f t="shared" ref="C2433:C2496" si="38">E2433</f>
        <v>0</v>
      </c>
      <c r="D2433" s="30" t="str">
        <f>IFERROR(VLOOKUP(C2433,소속부서!$A$2:$B$20,2,FALSE), "")</f>
        <v/>
      </c>
    </row>
    <row r="2434" spans="3:4" x14ac:dyDescent="0.3">
      <c r="C2434" s="35">
        <f t="shared" si="38"/>
        <v>0</v>
      </c>
      <c r="D2434" s="30" t="str">
        <f>IFERROR(VLOOKUP(C2434,소속부서!$A$2:$B$20,2,FALSE), "")</f>
        <v/>
      </c>
    </row>
    <row r="2435" spans="3:4" x14ac:dyDescent="0.3">
      <c r="C2435" s="35">
        <f t="shared" si="38"/>
        <v>0</v>
      </c>
      <c r="D2435" s="30" t="str">
        <f>IFERROR(VLOOKUP(C2435,소속부서!$A$2:$B$20,2,FALSE), "")</f>
        <v/>
      </c>
    </row>
    <row r="2436" spans="3:4" x14ac:dyDescent="0.3">
      <c r="C2436" s="35">
        <f t="shared" si="38"/>
        <v>0</v>
      </c>
      <c r="D2436" s="30" t="str">
        <f>IFERROR(VLOOKUP(C2436,소속부서!$A$2:$B$20,2,FALSE), "")</f>
        <v/>
      </c>
    </row>
    <row r="2437" spans="3:4" x14ac:dyDescent="0.3">
      <c r="C2437" s="35">
        <f t="shared" si="38"/>
        <v>0</v>
      </c>
      <c r="D2437" s="30" t="str">
        <f>IFERROR(VLOOKUP(C2437,소속부서!$A$2:$B$20,2,FALSE), "")</f>
        <v/>
      </c>
    </row>
    <row r="2438" spans="3:4" x14ac:dyDescent="0.3">
      <c r="C2438" s="35">
        <f t="shared" si="38"/>
        <v>0</v>
      </c>
      <c r="D2438" s="30" t="str">
        <f>IFERROR(VLOOKUP(C2438,소속부서!$A$2:$B$20,2,FALSE), "")</f>
        <v/>
      </c>
    </row>
    <row r="2439" spans="3:4" x14ac:dyDescent="0.3">
      <c r="C2439" s="35">
        <f t="shared" si="38"/>
        <v>0</v>
      </c>
      <c r="D2439" s="30" t="str">
        <f>IFERROR(VLOOKUP(C2439,소속부서!$A$2:$B$20,2,FALSE), "")</f>
        <v/>
      </c>
    </row>
    <row r="2440" spans="3:4" x14ac:dyDescent="0.3">
      <c r="C2440" s="35">
        <f t="shared" si="38"/>
        <v>0</v>
      </c>
      <c r="D2440" s="30" t="str">
        <f>IFERROR(VLOOKUP(C2440,소속부서!$A$2:$B$20,2,FALSE), "")</f>
        <v/>
      </c>
    </row>
    <row r="2441" spans="3:4" x14ac:dyDescent="0.3">
      <c r="C2441" s="35">
        <f t="shared" si="38"/>
        <v>0</v>
      </c>
      <c r="D2441" s="30" t="str">
        <f>IFERROR(VLOOKUP(C2441,소속부서!$A$2:$B$20,2,FALSE), "")</f>
        <v/>
      </c>
    </row>
    <row r="2442" spans="3:4" x14ac:dyDescent="0.3">
      <c r="C2442" s="35">
        <f t="shared" si="38"/>
        <v>0</v>
      </c>
      <c r="D2442" s="30" t="str">
        <f>IFERROR(VLOOKUP(C2442,소속부서!$A$2:$B$20,2,FALSE), "")</f>
        <v/>
      </c>
    </row>
    <row r="2443" spans="3:4" x14ac:dyDescent="0.3">
      <c r="C2443" s="35">
        <f t="shared" si="38"/>
        <v>0</v>
      </c>
      <c r="D2443" s="30" t="str">
        <f>IFERROR(VLOOKUP(C2443,소속부서!$A$2:$B$20,2,FALSE), "")</f>
        <v/>
      </c>
    </row>
    <row r="2444" spans="3:4" x14ac:dyDescent="0.3">
      <c r="C2444" s="35">
        <f t="shared" si="38"/>
        <v>0</v>
      </c>
      <c r="D2444" s="30" t="str">
        <f>IFERROR(VLOOKUP(C2444,소속부서!$A$2:$B$20,2,FALSE), "")</f>
        <v/>
      </c>
    </row>
    <row r="2445" spans="3:4" x14ac:dyDescent="0.3">
      <c r="C2445" s="35">
        <f t="shared" si="38"/>
        <v>0</v>
      </c>
      <c r="D2445" s="30" t="str">
        <f>IFERROR(VLOOKUP(C2445,소속부서!$A$2:$B$20,2,FALSE), "")</f>
        <v/>
      </c>
    </row>
    <row r="2446" spans="3:4" x14ac:dyDescent="0.3">
      <c r="C2446" s="35">
        <f t="shared" si="38"/>
        <v>0</v>
      </c>
      <c r="D2446" s="30" t="str">
        <f>IFERROR(VLOOKUP(C2446,소속부서!$A$2:$B$20,2,FALSE), "")</f>
        <v/>
      </c>
    </row>
    <row r="2447" spans="3:4" x14ac:dyDescent="0.3">
      <c r="C2447" s="35">
        <f t="shared" si="38"/>
        <v>0</v>
      </c>
      <c r="D2447" s="30" t="str">
        <f>IFERROR(VLOOKUP(C2447,소속부서!$A$2:$B$20,2,FALSE), "")</f>
        <v/>
      </c>
    </row>
    <row r="2448" spans="3:4" x14ac:dyDescent="0.3">
      <c r="C2448" s="35">
        <f t="shared" si="38"/>
        <v>0</v>
      </c>
      <c r="D2448" s="30" t="str">
        <f>IFERROR(VLOOKUP(C2448,소속부서!$A$2:$B$20,2,FALSE), "")</f>
        <v/>
      </c>
    </row>
    <row r="2449" spans="3:4" x14ac:dyDescent="0.3">
      <c r="C2449" s="35">
        <f t="shared" si="38"/>
        <v>0</v>
      </c>
      <c r="D2449" s="30" t="str">
        <f>IFERROR(VLOOKUP(C2449,소속부서!$A$2:$B$20,2,FALSE), "")</f>
        <v/>
      </c>
    </row>
    <row r="2450" spans="3:4" x14ac:dyDescent="0.3">
      <c r="C2450" s="35">
        <f t="shared" si="38"/>
        <v>0</v>
      </c>
      <c r="D2450" s="30" t="str">
        <f>IFERROR(VLOOKUP(C2450,소속부서!$A$2:$B$20,2,FALSE), "")</f>
        <v/>
      </c>
    </row>
    <row r="2451" spans="3:4" x14ac:dyDescent="0.3">
      <c r="C2451" s="35">
        <f t="shared" si="38"/>
        <v>0</v>
      </c>
      <c r="D2451" s="30" t="str">
        <f>IFERROR(VLOOKUP(C2451,소속부서!$A$2:$B$20,2,FALSE), "")</f>
        <v/>
      </c>
    </row>
    <row r="2452" spans="3:4" x14ac:dyDescent="0.3">
      <c r="C2452" s="35">
        <f t="shared" si="38"/>
        <v>0</v>
      </c>
      <c r="D2452" s="30" t="str">
        <f>IFERROR(VLOOKUP(C2452,소속부서!$A$2:$B$20,2,FALSE), "")</f>
        <v/>
      </c>
    </row>
    <row r="2453" spans="3:4" x14ac:dyDescent="0.3">
      <c r="C2453" s="35">
        <f t="shared" si="38"/>
        <v>0</v>
      </c>
      <c r="D2453" s="30" t="str">
        <f>IFERROR(VLOOKUP(C2453,소속부서!$A$2:$B$20,2,FALSE), "")</f>
        <v/>
      </c>
    </row>
    <row r="2454" spans="3:4" x14ac:dyDescent="0.3">
      <c r="C2454" s="35">
        <f t="shared" si="38"/>
        <v>0</v>
      </c>
      <c r="D2454" s="30" t="str">
        <f>IFERROR(VLOOKUP(C2454,소속부서!$A$2:$B$20,2,FALSE), "")</f>
        <v/>
      </c>
    </row>
    <row r="2455" spans="3:4" x14ac:dyDescent="0.3">
      <c r="C2455" s="35">
        <f t="shared" si="38"/>
        <v>0</v>
      </c>
      <c r="D2455" s="30" t="str">
        <f>IFERROR(VLOOKUP(C2455,소속부서!$A$2:$B$20,2,FALSE), "")</f>
        <v/>
      </c>
    </row>
    <row r="2456" spans="3:4" x14ac:dyDescent="0.3">
      <c r="C2456" s="35">
        <f t="shared" si="38"/>
        <v>0</v>
      </c>
      <c r="D2456" s="30" t="str">
        <f>IFERROR(VLOOKUP(C2456,소속부서!$A$2:$B$20,2,FALSE), "")</f>
        <v/>
      </c>
    </row>
    <row r="2457" spans="3:4" x14ac:dyDescent="0.3">
      <c r="C2457" s="35">
        <f t="shared" si="38"/>
        <v>0</v>
      </c>
      <c r="D2457" s="30" t="str">
        <f>IFERROR(VLOOKUP(C2457,소속부서!$A$2:$B$20,2,FALSE), "")</f>
        <v/>
      </c>
    </row>
    <row r="2458" spans="3:4" x14ac:dyDescent="0.3">
      <c r="C2458" s="35">
        <f t="shared" si="38"/>
        <v>0</v>
      </c>
      <c r="D2458" s="30" t="str">
        <f>IFERROR(VLOOKUP(C2458,소속부서!$A$2:$B$20,2,FALSE), "")</f>
        <v/>
      </c>
    </row>
    <row r="2459" spans="3:4" x14ac:dyDescent="0.3">
      <c r="C2459" s="35">
        <f t="shared" si="38"/>
        <v>0</v>
      </c>
      <c r="D2459" s="30" t="str">
        <f>IFERROR(VLOOKUP(C2459,소속부서!$A$2:$B$20,2,FALSE), "")</f>
        <v/>
      </c>
    </row>
    <row r="2460" spans="3:4" x14ac:dyDescent="0.3">
      <c r="C2460" s="35">
        <f t="shared" si="38"/>
        <v>0</v>
      </c>
      <c r="D2460" s="30" t="str">
        <f>IFERROR(VLOOKUP(C2460,소속부서!$A$2:$B$20,2,FALSE), "")</f>
        <v/>
      </c>
    </row>
    <row r="2461" spans="3:4" x14ac:dyDescent="0.3">
      <c r="C2461" s="35">
        <f t="shared" si="38"/>
        <v>0</v>
      </c>
      <c r="D2461" s="30" t="str">
        <f>IFERROR(VLOOKUP(C2461,소속부서!$A$2:$B$20,2,FALSE), "")</f>
        <v/>
      </c>
    </row>
    <row r="2462" spans="3:4" x14ac:dyDescent="0.3">
      <c r="C2462" s="35">
        <f t="shared" si="38"/>
        <v>0</v>
      </c>
      <c r="D2462" s="30" t="str">
        <f>IFERROR(VLOOKUP(C2462,소속부서!$A$2:$B$20,2,FALSE), "")</f>
        <v/>
      </c>
    </row>
    <row r="2463" spans="3:4" x14ac:dyDescent="0.3">
      <c r="C2463" s="35">
        <f t="shared" si="38"/>
        <v>0</v>
      </c>
      <c r="D2463" s="30" t="str">
        <f>IFERROR(VLOOKUP(C2463,소속부서!$A$2:$B$20,2,FALSE), "")</f>
        <v/>
      </c>
    </row>
    <row r="2464" spans="3:4" x14ac:dyDescent="0.3">
      <c r="C2464" s="35">
        <f t="shared" si="38"/>
        <v>0</v>
      </c>
      <c r="D2464" s="30" t="str">
        <f>IFERROR(VLOOKUP(C2464,소속부서!$A$2:$B$20,2,FALSE), "")</f>
        <v/>
      </c>
    </row>
    <row r="2465" spans="3:4" x14ac:dyDescent="0.3">
      <c r="C2465" s="35">
        <f t="shared" si="38"/>
        <v>0</v>
      </c>
      <c r="D2465" s="30" t="str">
        <f>IFERROR(VLOOKUP(C2465,소속부서!$A$2:$B$20,2,FALSE), "")</f>
        <v/>
      </c>
    </row>
    <row r="2466" spans="3:4" x14ac:dyDescent="0.3">
      <c r="C2466" s="35">
        <f t="shared" si="38"/>
        <v>0</v>
      </c>
      <c r="D2466" s="30" t="str">
        <f>IFERROR(VLOOKUP(C2466,소속부서!$A$2:$B$20,2,FALSE), "")</f>
        <v/>
      </c>
    </row>
    <row r="2467" spans="3:4" x14ac:dyDescent="0.3">
      <c r="C2467" s="35">
        <f t="shared" si="38"/>
        <v>0</v>
      </c>
      <c r="D2467" s="30" t="str">
        <f>IFERROR(VLOOKUP(C2467,소속부서!$A$2:$B$20,2,FALSE), "")</f>
        <v/>
      </c>
    </row>
    <row r="2468" spans="3:4" x14ac:dyDescent="0.3">
      <c r="C2468" s="35">
        <f t="shared" si="38"/>
        <v>0</v>
      </c>
      <c r="D2468" s="30" t="str">
        <f>IFERROR(VLOOKUP(C2468,소속부서!$A$2:$B$20,2,FALSE), "")</f>
        <v/>
      </c>
    </row>
    <row r="2469" spans="3:4" x14ac:dyDescent="0.3">
      <c r="C2469" s="35">
        <f t="shared" si="38"/>
        <v>0</v>
      </c>
      <c r="D2469" s="30" t="str">
        <f>IFERROR(VLOOKUP(C2469,소속부서!$A$2:$B$20,2,FALSE), "")</f>
        <v/>
      </c>
    </row>
    <row r="2470" spans="3:4" x14ac:dyDescent="0.3">
      <c r="C2470" s="35">
        <f t="shared" si="38"/>
        <v>0</v>
      </c>
      <c r="D2470" s="30" t="str">
        <f>IFERROR(VLOOKUP(C2470,소속부서!$A$2:$B$20,2,FALSE), "")</f>
        <v/>
      </c>
    </row>
    <row r="2471" spans="3:4" x14ac:dyDescent="0.3">
      <c r="C2471" s="35">
        <f t="shared" si="38"/>
        <v>0</v>
      </c>
      <c r="D2471" s="30" t="str">
        <f>IFERROR(VLOOKUP(C2471,소속부서!$A$2:$B$20,2,FALSE), "")</f>
        <v/>
      </c>
    </row>
    <row r="2472" spans="3:4" x14ac:dyDescent="0.3">
      <c r="C2472" s="35">
        <f t="shared" si="38"/>
        <v>0</v>
      </c>
      <c r="D2472" s="30" t="str">
        <f>IFERROR(VLOOKUP(C2472,소속부서!$A$2:$B$20,2,FALSE), "")</f>
        <v/>
      </c>
    </row>
    <row r="2473" spans="3:4" x14ac:dyDescent="0.3">
      <c r="C2473" s="35">
        <f t="shared" si="38"/>
        <v>0</v>
      </c>
      <c r="D2473" s="30" t="str">
        <f>IFERROR(VLOOKUP(C2473,소속부서!$A$2:$B$20,2,FALSE), "")</f>
        <v/>
      </c>
    </row>
    <row r="2474" spans="3:4" x14ac:dyDescent="0.3">
      <c r="C2474" s="35">
        <f t="shared" si="38"/>
        <v>0</v>
      </c>
      <c r="D2474" s="30" t="str">
        <f>IFERROR(VLOOKUP(C2474,소속부서!$A$2:$B$20,2,FALSE), "")</f>
        <v/>
      </c>
    </row>
    <row r="2475" spans="3:4" x14ac:dyDescent="0.3">
      <c r="C2475" s="35">
        <f t="shared" si="38"/>
        <v>0</v>
      </c>
      <c r="D2475" s="30" t="str">
        <f>IFERROR(VLOOKUP(C2475,소속부서!$A$2:$B$20,2,FALSE), "")</f>
        <v/>
      </c>
    </row>
    <row r="2476" spans="3:4" x14ac:dyDescent="0.3">
      <c r="C2476" s="35">
        <f t="shared" si="38"/>
        <v>0</v>
      </c>
      <c r="D2476" s="30" t="str">
        <f>IFERROR(VLOOKUP(C2476,소속부서!$A$2:$B$20,2,FALSE), "")</f>
        <v/>
      </c>
    </row>
    <row r="2477" spans="3:4" x14ac:dyDescent="0.3">
      <c r="C2477" s="35">
        <f t="shared" si="38"/>
        <v>0</v>
      </c>
      <c r="D2477" s="30" t="str">
        <f>IFERROR(VLOOKUP(C2477,소속부서!$A$2:$B$20,2,FALSE), "")</f>
        <v/>
      </c>
    </row>
    <row r="2478" spans="3:4" x14ac:dyDescent="0.3">
      <c r="C2478" s="35">
        <f t="shared" si="38"/>
        <v>0</v>
      </c>
      <c r="D2478" s="30" t="str">
        <f>IFERROR(VLOOKUP(C2478,소속부서!$A$2:$B$20,2,FALSE), "")</f>
        <v/>
      </c>
    </row>
    <row r="2479" spans="3:4" x14ac:dyDescent="0.3">
      <c r="C2479" s="35">
        <f t="shared" si="38"/>
        <v>0</v>
      </c>
      <c r="D2479" s="30" t="str">
        <f>IFERROR(VLOOKUP(C2479,소속부서!$A$2:$B$20,2,FALSE), "")</f>
        <v/>
      </c>
    </row>
    <row r="2480" spans="3:4" x14ac:dyDescent="0.3">
      <c r="C2480" s="35">
        <f t="shared" si="38"/>
        <v>0</v>
      </c>
      <c r="D2480" s="30" t="str">
        <f>IFERROR(VLOOKUP(C2480,소속부서!$A$2:$B$20,2,FALSE), "")</f>
        <v/>
      </c>
    </row>
    <row r="2481" spans="3:4" x14ac:dyDescent="0.3">
      <c r="C2481" s="35">
        <f t="shared" si="38"/>
        <v>0</v>
      </c>
      <c r="D2481" s="30" t="str">
        <f>IFERROR(VLOOKUP(C2481,소속부서!$A$2:$B$20,2,FALSE), "")</f>
        <v/>
      </c>
    </row>
    <row r="2482" spans="3:4" x14ac:dyDescent="0.3">
      <c r="C2482" s="35">
        <f t="shared" si="38"/>
        <v>0</v>
      </c>
      <c r="D2482" s="30" t="str">
        <f>IFERROR(VLOOKUP(C2482,소속부서!$A$2:$B$20,2,FALSE), "")</f>
        <v/>
      </c>
    </row>
    <row r="2483" spans="3:4" x14ac:dyDescent="0.3">
      <c r="C2483" s="35">
        <f t="shared" si="38"/>
        <v>0</v>
      </c>
      <c r="D2483" s="30" t="str">
        <f>IFERROR(VLOOKUP(C2483,소속부서!$A$2:$B$20,2,FALSE), "")</f>
        <v/>
      </c>
    </row>
    <row r="2484" spans="3:4" x14ac:dyDescent="0.3">
      <c r="C2484" s="35">
        <f t="shared" si="38"/>
        <v>0</v>
      </c>
      <c r="D2484" s="30" t="str">
        <f>IFERROR(VLOOKUP(C2484,소속부서!$A$2:$B$20,2,FALSE), "")</f>
        <v/>
      </c>
    </row>
    <row r="2485" spans="3:4" x14ac:dyDescent="0.3">
      <c r="C2485" s="35">
        <f t="shared" si="38"/>
        <v>0</v>
      </c>
      <c r="D2485" s="30" t="str">
        <f>IFERROR(VLOOKUP(C2485,소속부서!$A$2:$B$20,2,FALSE), "")</f>
        <v/>
      </c>
    </row>
    <row r="2486" spans="3:4" x14ac:dyDescent="0.3">
      <c r="C2486" s="35">
        <f t="shared" si="38"/>
        <v>0</v>
      </c>
      <c r="D2486" s="30" t="str">
        <f>IFERROR(VLOOKUP(C2486,소속부서!$A$2:$B$20,2,FALSE), "")</f>
        <v/>
      </c>
    </row>
    <row r="2487" spans="3:4" x14ac:dyDescent="0.3">
      <c r="C2487" s="35">
        <f t="shared" si="38"/>
        <v>0</v>
      </c>
      <c r="D2487" s="30" t="str">
        <f>IFERROR(VLOOKUP(C2487,소속부서!$A$2:$B$20,2,FALSE), "")</f>
        <v/>
      </c>
    </row>
    <row r="2488" spans="3:4" x14ac:dyDescent="0.3">
      <c r="C2488" s="35">
        <f t="shared" si="38"/>
        <v>0</v>
      </c>
      <c r="D2488" s="30" t="str">
        <f>IFERROR(VLOOKUP(C2488,소속부서!$A$2:$B$20,2,FALSE), "")</f>
        <v/>
      </c>
    </row>
    <row r="2489" spans="3:4" x14ac:dyDescent="0.3">
      <c r="C2489" s="35">
        <f t="shared" si="38"/>
        <v>0</v>
      </c>
      <c r="D2489" s="30" t="str">
        <f>IFERROR(VLOOKUP(C2489,소속부서!$A$2:$B$20,2,FALSE), "")</f>
        <v/>
      </c>
    </row>
    <row r="2490" spans="3:4" x14ac:dyDescent="0.3">
      <c r="C2490" s="35">
        <f t="shared" si="38"/>
        <v>0</v>
      </c>
      <c r="D2490" s="30" t="str">
        <f>IFERROR(VLOOKUP(C2490,소속부서!$A$2:$B$20,2,FALSE), "")</f>
        <v/>
      </c>
    </row>
    <row r="2491" spans="3:4" x14ac:dyDescent="0.3">
      <c r="C2491" s="35">
        <f t="shared" si="38"/>
        <v>0</v>
      </c>
      <c r="D2491" s="30" t="str">
        <f>IFERROR(VLOOKUP(C2491,소속부서!$A$2:$B$20,2,FALSE), "")</f>
        <v/>
      </c>
    </row>
    <row r="2492" spans="3:4" x14ac:dyDescent="0.3">
      <c r="C2492" s="35">
        <f t="shared" si="38"/>
        <v>0</v>
      </c>
      <c r="D2492" s="30" t="str">
        <f>IFERROR(VLOOKUP(C2492,소속부서!$A$2:$B$20,2,FALSE), "")</f>
        <v/>
      </c>
    </row>
    <row r="2493" spans="3:4" x14ac:dyDescent="0.3">
      <c r="C2493" s="35">
        <f t="shared" si="38"/>
        <v>0</v>
      </c>
      <c r="D2493" s="30" t="str">
        <f>IFERROR(VLOOKUP(C2493,소속부서!$A$2:$B$20,2,FALSE), "")</f>
        <v/>
      </c>
    </row>
    <row r="2494" spans="3:4" x14ac:dyDescent="0.3">
      <c r="C2494" s="35">
        <f t="shared" si="38"/>
        <v>0</v>
      </c>
      <c r="D2494" s="30" t="str">
        <f>IFERROR(VLOOKUP(C2494,소속부서!$A$2:$B$20,2,FALSE), "")</f>
        <v/>
      </c>
    </row>
    <row r="2495" spans="3:4" x14ac:dyDescent="0.3">
      <c r="C2495" s="35">
        <f t="shared" si="38"/>
        <v>0</v>
      </c>
      <c r="D2495" s="30" t="str">
        <f>IFERROR(VLOOKUP(C2495,소속부서!$A$2:$B$20,2,FALSE), "")</f>
        <v/>
      </c>
    </row>
    <row r="2496" spans="3:4" x14ac:dyDescent="0.3">
      <c r="C2496" s="35">
        <f t="shared" si="38"/>
        <v>0</v>
      </c>
      <c r="D2496" s="30" t="str">
        <f>IFERROR(VLOOKUP(C2496,소속부서!$A$2:$B$20,2,FALSE), "")</f>
        <v/>
      </c>
    </row>
    <row r="2497" spans="3:4" x14ac:dyDescent="0.3">
      <c r="C2497" s="35">
        <f t="shared" ref="C2497:C2560" si="39">E2497</f>
        <v>0</v>
      </c>
      <c r="D2497" s="30" t="str">
        <f>IFERROR(VLOOKUP(C2497,소속부서!$A$2:$B$20,2,FALSE), "")</f>
        <v/>
      </c>
    </row>
    <row r="2498" spans="3:4" x14ac:dyDescent="0.3">
      <c r="C2498" s="35">
        <f t="shared" si="39"/>
        <v>0</v>
      </c>
      <c r="D2498" s="30" t="str">
        <f>IFERROR(VLOOKUP(C2498,소속부서!$A$2:$B$20,2,FALSE), "")</f>
        <v/>
      </c>
    </row>
    <row r="2499" spans="3:4" x14ac:dyDescent="0.3">
      <c r="C2499" s="35">
        <f t="shared" si="39"/>
        <v>0</v>
      </c>
      <c r="D2499" s="30" t="str">
        <f>IFERROR(VLOOKUP(C2499,소속부서!$A$2:$B$20,2,FALSE), "")</f>
        <v/>
      </c>
    </row>
    <row r="2500" spans="3:4" x14ac:dyDescent="0.3">
      <c r="C2500" s="35">
        <f t="shared" si="39"/>
        <v>0</v>
      </c>
      <c r="D2500" s="30" t="str">
        <f>IFERROR(VLOOKUP(C2500,소속부서!$A$2:$B$20,2,FALSE), "")</f>
        <v/>
      </c>
    </row>
    <row r="2501" spans="3:4" x14ac:dyDescent="0.3">
      <c r="C2501" s="35">
        <f t="shared" si="39"/>
        <v>0</v>
      </c>
      <c r="D2501" s="30" t="str">
        <f>IFERROR(VLOOKUP(C2501,소속부서!$A$2:$B$20,2,FALSE), "")</f>
        <v/>
      </c>
    </row>
    <row r="2502" spans="3:4" x14ac:dyDescent="0.3">
      <c r="C2502" s="35">
        <f t="shared" si="39"/>
        <v>0</v>
      </c>
      <c r="D2502" s="30" t="str">
        <f>IFERROR(VLOOKUP(C2502,소속부서!$A$2:$B$20,2,FALSE), "")</f>
        <v/>
      </c>
    </row>
    <row r="2503" spans="3:4" x14ac:dyDescent="0.3">
      <c r="C2503" s="35">
        <f t="shared" si="39"/>
        <v>0</v>
      </c>
      <c r="D2503" s="30" t="str">
        <f>IFERROR(VLOOKUP(C2503,소속부서!$A$2:$B$20,2,FALSE), "")</f>
        <v/>
      </c>
    </row>
    <row r="2504" spans="3:4" x14ac:dyDescent="0.3">
      <c r="C2504" s="35">
        <f t="shared" si="39"/>
        <v>0</v>
      </c>
      <c r="D2504" s="30" t="str">
        <f>IFERROR(VLOOKUP(C2504,소속부서!$A$2:$B$20,2,FALSE), "")</f>
        <v/>
      </c>
    </row>
    <row r="2505" spans="3:4" x14ac:dyDescent="0.3">
      <c r="C2505" s="35">
        <f t="shared" si="39"/>
        <v>0</v>
      </c>
      <c r="D2505" s="30" t="str">
        <f>IFERROR(VLOOKUP(C2505,소속부서!$A$2:$B$20,2,FALSE), "")</f>
        <v/>
      </c>
    </row>
    <row r="2506" spans="3:4" x14ac:dyDescent="0.3">
      <c r="C2506" s="35">
        <f t="shared" si="39"/>
        <v>0</v>
      </c>
      <c r="D2506" s="30" t="str">
        <f>IFERROR(VLOOKUP(C2506,소속부서!$A$2:$B$20,2,FALSE), "")</f>
        <v/>
      </c>
    </row>
    <row r="2507" spans="3:4" x14ac:dyDescent="0.3">
      <c r="C2507" s="35">
        <f t="shared" si="39"/>
        <v>0</v>
      </c>
      <c r="D2507" s="30" t="str">
        <f>IFERROR(VLOOKUP(C2507,소속부서!$A$2:$B$20,2,FALSE), "")</f>
        <v/>
      </c>
    </row>
    <row r="2508" spans="3:4" x14ac:dyDescent="0.3">
      <c r="C2508" s="35">
        <f t="shared" si="39"/>
        <v>0</v>
      </c>
      <c r="D2508" s="30" t="str">
        <f>IFERROR(VLOOKUP(C2508,소속부서!$A$2:$B$20,2,FALSE), "")</f>
        <v/>
      </c>
    </row>
    <row r="2509" spans="3:4" x14ac:dyDescent="0.3">
      <c r="C2509" s="35">
        <f t="shared" si="39"/>
        <v>0</v>
      </c>
      <c r="D2509" s="30" t="str">
        <f>IFERROR(VLOOKUP(C2509,소속부서!$A$2:$B$20,2,FALSE), "")</f>
        <v/>
      </c>
    </row>
    <row r="2510" spans="3:4" x14ac:dyDescent="0.3">
      <c r="C2510" s="35">
        <f t="shared" si="39"/>
        <v>0</v>
      </c>
      <c r="D2510" s="30" t="str">
        <f>IFERROR(VLOOKUP(C2510,소속부서!$A$2:$B$20,2,FALSE), "")</f>
        <v/>
      </c>
    </row>
    <row r="2511" spans="3:4" x14ac:dyDescent="0.3">
      <c r="C2511" s="35">
        <f t="shared" si="39"/>
        <v>0</v>
      </c>
      <c r="D2511" s="30" t="str">
        <f>IFERROR(VLOOKUP(C2511,소속부서!$A$2:$B$20,2,FALSE), "")</f>
        <v/>
      </c>
    </row>
    <row r="2512" spans="3:4" x14ac:dyDescent="0.3">
      <c r="C2512" s="35">
        <f t="shared" si="39"/>
        <v>0</v>
      </c>
      <c r="D2512" s="30" t="str">
        <f>IFERROR(VLOOKUP(C2512,소속부서!$A$2:$B$20,2,FALSE), "")</f>
        <v/>
      </c>
    </row>
    <row r="2513" spans="3:4" x14ac:dyDescent="0.3">
      <c r="C2513" s="35">
        <f t="shared" si="39"/>
        <v>0</v>
      </c>
      <c r="D2513" s="30" t="str">
        <f>IFERROR(VLOOKUP(C2513,소속부서!$A$2:$B$20,2,FALSE), "")</f>
        <v/>
      </c>
    </row>
    <row r="2514" spans="3:4" x14ac:dyDescent="0.3">
      <c r="C2514" s="35">
        <f t="shared" si="39"/>
        <v>0</v>
      </c>
      <c r="D2514" s="30" t="str">
        <f>IFERROR(VLOOKUP(C2514,소속부서!$A$2:$B$20,2,FALSE), "")</f>
        <v/>
      </c>
    </row>
    <row r="2515" spans="3:4" x14ac:dyDescent="0.3">
      <c r="C2515" s="35">
        <f t="shared" si="39"/>
        <v>0</v>
      </c>
      <c r="D2515" s="30" t="str">
        <f>IFERROR(VLOOKUP(C2515,소속부서!$A$2:$B$20,2,FALSE), "")</f>
        <v/>
      </c>
    </row>
    <row r="2516" spans="3:4" x14ac:dyDescent="0.3">
      <c r="C2516" s="35">
        <f t="shared" si="39"/>
        <v>0</v>
      </c>
      <c r="D2516" s="30" t="str">
        <f>IFERROR(VLOOKUP(C2516,소속부서!$A$2:$B$20,2,FALSE), "")</f>
        <v/>
      </c>
    </row>
    <row r="2517" spans="3:4" x14ac:dyDescent="0.3">
      <c r="C2517" s="35">
        <f t="shared" si="39"/>
        <v>0</v>
      </c>
      <c r="D2517" s="30" t="str">
        <f>IFERROR(VLOOKUP(C2517,소속부서!$A$2:$B$20,2,FALSE), "")</f>
        <v/>
      </c>
    </row>
    <row r="2518" spans="3:4" x14ac:dyDescent="0.3">
      <c r="C2518" s="35">
        <f t="shared" si="39"/>
        <v>0</v>
      </c>
      <c r="D2518" s="30" t="str">
        <f>IFERROR(VLOOKUP(C2518,소속부서!$A$2:$B$20,2,FALSE), "")</f>
        <v/>
      </c>
    </row>
    <row r="2519" spans="3:4" x14ac:dyDescent="0.3">
      <c r="C2519" s="35">
        <f t="shared" si="39"/>
        <v>0</v>
      </c>
      <c r="D2519" s="30" t="str">
        <f>IFERROR(VLOOKUP(C2519,소속부서!$A$2:$B$20,2,FALSE), "")</f>
        <v/>
      </c>
    </row>
    <row r="2520" spans="3:4" x14ac:dyDescent="0.3">
      <c r="C2520" s="35">
        <f t="shared" si="39"/>
        <v>0</v>
      </c>
      <c r="D2520" s="30" t="str">
        <f>IFERROR(VLOOKUP(C2520,소속부서!$A$2:$B$20,2,FALSE), "")</f>
        <v/>
      </c>
    </row>
    <row r="2521" spans="3:4" x14ac:dyDescent="0.3">
      <c r="C2521" s="35">
        <f t="shared" si="39"/>
        <v>0</v>
      </c>
      <c r="D2521" s="30" t="str">
        <f>IFERROR(VLOOKUP(C2521,소속부서!$A$2:$B$20,2,FALSE), "")</f>
        <v/>
      </c>
    </row>
    <row r="2522" spans="3:4" x14ac:dyDescent="0.3">
      <c r="C2522" s="35">
        <f t="shared" si="39"/>
        <v>0</v>
      </c>
      <c r="D2522" s="30" t="str">
        <f>IFERROR(VLOOKUP(C2522,소속부서!$A$2:$B$20,2,FALSE), "")</f>
        <v/>
      </c>
    </row>
    <row r="2523" spans="3:4" x14ac:dyDescent="0.3">
      <c r="C2523" s="35">
        <f t="shared" si="39"/>
        <v>0</v>
      </c>
      <c r="D2523" s="30" t="str">
        <f>IFERROR(VLOOKUP(C2523,소속부서!$A$2:$B$20,2,FALSE), "")</f>
        <v/>
      </c>
    </row>
    <row r="2524" spans="3:4" x14ac:dyDescent="0.3">
      <c r="C2524" s="35">
        <f t="shared" si="39"/>
        <v>0</v>
      </c>
      <c r="D2524" s="30" t="str">
        <f>IFERROR(VLOOKUP(C2524,소속부서!$A$2:$B$20,2,FALSE), "")</f>
        <v/>
      </c>
    </row>
    <row r="2525" spans="3:4" x14ac:dyDescent="0.3">
      <c r="C2525" s="35">
        <f t="shared" si="39"/>
        <v>0</v>
      </c>
      <c r="D2525" s="30" t="str">
        <f>IFERROR(VLOOKUP(C2525,소속부서!$A$2:$B$20,2,FALSE), "")</f>
        <v/>
      </c>
    </row>
    <row r="2526" spans="3:4" x14ac:dyDescent="0.3">
      <c r="C2526" s="35">
        <f t="shared" si="39"/>
        <v>0</v>
      </c>
      <c r="D2526" s="30" t="str">
        <f>IFERROR(VLOOKUP(C2526,소속부서!$A$2:$B$20,2,FALSE), "")</f>
        <v/>
      </c>
    </row>
    <row r="2527" spans="3:4" x14ac:dyDescent="0.3">
      <c r="C2527" s="35">
        <f t="shared" si="39"/>
        <v>0</v>
      </c>
      <c r="D2527" s="30" t="str">
        <f>IFERROR(VLOOKUP(C2527,소속부서!$A$2:$B$20,2,FALSE), "")</f>
        <v/>
      </c>
    </row>
    <row r="2528" spans="3:4" x14ac:dyDescent="0.3">
      <c r="C2528" s="35">
        <f t="shared" si="39"/>
        <v>0</v>
      </c>
      <c r="D2528" s="30" t="str">
        <f>IFERROR(VLOOKUP(C2528,소속부서!$A$2:$B$20,2,FALSE), "")</f>
        <v/>
      </c>
    </row>
    <row r="2529" spans="3:4" x14ac:dyDescent="0.3">
      <c r="C2529" s="35">
        <f t="shared" si="39"/>
        <v>0</v>
      </c>
      <c r="D2529" s="30" t="str">
        <f>IFERROR(VLOOKUP(C2529,소속부서!$A$2:$B$20,2,FALSE), "")</f>
        <v/>
      </c>
    </row>
    <row r="2530" spans="3:4" x14ac:dyDescent="0.3">
      <c r="C2530" s="35">
        <f t="shared" si="39"/>
        <v>0</v>
      </c>
      <c r="D2530" s="30" t="str">
        <f>IFERROR(VLOOKUP(C2530,소속부서!$A$2:$B$20,2,FALSE), "")</f>
        <v/>
      </c>
    </row>
    <row r="2531" spans="3:4" x14ac:dyDescent="0.3">
      <c r="C2531" s="35">
        <f t="shared" si="39"/>
        <v>0</v>
      </c>
      <c r="D2531" s="30" t="str">
        <f>IFERROR(VLOOKUP(C2531,소속부서!$A$2:$B$20,2,FALSE), "")</f>
        <v/>
      </c>
    </row>
    <row r="2532" spans="3:4" x14ac:dyDescent="0.3">
      <c r="C2532" s="35">
        <f t="shared" si="39"/>
        <v>0</v>
      </c>
      <c r="D2532" s="30" t="str">
        <f>IFERROR(VLOOKUP(C2532,소속부서!$A$2:$B$20,2,FALSE), "")</f>
        <v/>
      </c>
    </row>
    <row r="2533" spans="3:4" x14ac:dyDescent="0.3">
      <c r="C2533" s="35">
        <f t="shared" si="39"/>
        <v>0</v>
      </c>
      <c r="D2533" s="30" t="str">
        <f>IFERROR(VLOOKUP(C2533,소속부서!$A$2:$B$20,2,FALSE), "")</f>
        <v/>
      </c>
    </row>
    <row r="2534" spans="3:4" x14ac:dyDescent="0.3">
      <c r="C2534" s="35">
        <f t="shared" si="39"/>
        <v>0</v>
      </c>
      <c r="D2534" s="30" t="str">
        <f>IFERROR(VLOOKUP(C2534,소속부서!$A$2:$B$20,2,FALSE), "")</f>
        <v/>
      </c>
    </row>
    <row r="2535" spans="3:4" x14ac:dyDescent="0.3">
      <c r="C2535" s="35">
        <f t="shared" si="39"/>
        <v>0</v>
      </c>
      <c r="D2535" s="30" t="str">
        <f>IFERROR(VLOOKUP(C2535,소속부서!$A$2:$B$20,2,FALSE), "")</f>
        <v/>
      </c>
    </row>
    <row r="2536" spans="3:4" x14ac:dyDescent="0.3">
      <c r="C2536" s="35">
        <f t="shared" si="39"/>
        <v>0</v>
      </c>
      <c r="D2536" s="30" t="str">
        <f>IFERROR(VLOOKUP(C2536,소속부서!$A$2:$B$20,2,FALSE), "")</f>
        <v/>
      </c>
    </row>
    <row r="2537" spans="3:4" x14ac:dyDescent="0.3">
      <c r="C2537" s="35">
        <f t="shared" si="39"/>
        <v>0</v>
      </c>
      <c r="D2537" s="30" t="str">
        <f>IFERROR(VLOOKUP(C2537,소속부서!$A$2:$B$20,2,FALSE), "")</f>
        <v/>
      </c>
    </row>
    <row r="2538" spans="3:4" x14ac:dyDescent="0.3">
      <c r="C2538" s="35">
        <f t="shared" si="39"/>
        <v>0</v>
      </c>
      <c r="D2538" s="30" t="str">
        <f>IFERROR(VLOOKUP(C2538,소속부서!$A$2:$B$20,2,FALSE), "")</f>
        <v/>
      </c>
    </row>
    <row r="2539" spans="3:4" x14ac:dyDescent="0.3">
      <c r="C2539" s="35">
        <f t="shared" si="39"/>
        <v>0</v>
      </c>
      <c r="D2539" s="30" t="str">
        <f>IFERROR(VLOOKUP(C2539,소속부서!$A$2:$B$20,2,FALSE), "")</f>
        <v/>
      </c>
    </row>
    <row r="2540" spans="3:4" x14ac:dyDescent="0.3">
      <c r="C2540" s="35">
        <f t="shared" si="39"/>
        <v>0</v>
      </c>
      <c r="D2540" s="30" t="str">
        <f>IFERROR(VLOOKUP(C2540,소속부서!$A$2:$B$20,2,FALSE), "")</f>
        <v/>
      </c>
    </row>
    <row r="2541" spans="3:4" x14ac:dyDescent="0.3">
      <c r="C2541" s="35">
        <f t="shared" si="39"/>
        <v>0</v>
      </c>
      <c r="D2541" s="30" t="str">
        <f>IFERROR(VLOOKUP(C2541,소속부서!$A$2:$B$20,2,FALSE), "")</f>
        <v/>
      </c>
    </row>
    <row r="2542" spans="3:4" x14ac:dyDescent="0.3">
      <c r="C2542" s="35">
        <f t="shared" si="39"/>
        <v>0</v>
      </c>
      <c r="D2542" s="30" t="str">
        <f>IFERROR(VLOOKUP(C2542,소속부서!$A$2:$B$20,2,FALSE), "")</f>
        <v/>
      </c>
    </row>
    <row r="2543" spans="3:4" x14ac:dyDescent="0.3">
      <c r="C2543" s="35">
        <f t="shared" si="39"/>
        <v>0</v>
      </c>
      <c r="D2543" s="30" t="str">
        <f>IFERROR(VLOOKUP(C2543,소속부서!$A$2:$B$20,2,FALSE), "")</f>
        <v/>
      </c>
    </row>
    <row r="2544" spans="3:4" x14ac:dyDescent="0.3">
      <c r="C2544" s="35">
        <f t="shared" si="39"/>
        <v>0</v>
      </c>
      <c r="D2544" s="30" t="str">
        <f>IFERROR(VLOOKUP(C2544,소속부서!$A$2:$B$20,2,FALSE), "")</f>
        <v/>
      </c>
    </row>
    <row r="2545" spans="3:4" x14ac:dyDescent="0.3">
      <c r="C2545" s="35">
        <f t="shared" si="39"/>
        <v>0</v>
      </c>
      <c r="D2545" s="30" t="str">
        <f>IFERROR(VLOOKUP(C2545,소속부서!$A$2:$B$20,2,FALSE), "")</f>
        <v/>
      </c>
    </row>
    <row r="2546" spans="3:4" x14ac:dyDescent="0.3">
      <c r="C2546" s="35">
        <f t="shared" si="39"/>
        <v>0</v>
      </c>
      <c r="D2546" s="30" t="str">
        <f>IFERROR(VLOOKUP(C2546,소속부서!$A$2:$B$20,2,FALSE), "")</f>
        <v/>
      </c>
    </row>
    <row r="2547" spans="3:4" x14ac:dyDescent="0.3">
      <c r="C2547" s="35">
        <f t="shared" si="39"/>
        <v>0</v>
      </c>
      <c r="D2547" s="30" t="str">
        <f>IFERROR(VLOOKUP(C2547,소속부서!$A$2:$B$20,2,FALSE), "")</f>
        <v/>
      </c>
    </row>
    <row r="2548" spans="3:4" x14ac:dyDescent="0.3">
      <c r="C2548" s="35">
        <f t="shared" si="39"/>
        <v>0</v>
      </c>
      <c r="D2548" s="30" t="str">
        <f>IFERROR(VLOOKUP(C2548,소속부서!$A$2:$B$20,2,FALSE), "")</f>
        <v/>
      </c>
    </row>
    <row r="2549" spans="3:4" x14ac:dyDescent="0.3">
      <c r="C2549" s="35">
        <f t="shared" si="39"/>
        <v>0</v>
      </c>
      <c r="D2549" s="30" t="str">
        <f>IFERROR(VLOOKUP(C2549,소속부서!$A$2:$B$20,2,FALSE), "")</f>
        <v/>
      </c>
    </row>
    <row r="2550" spans="3:4" x14ac:dyDescent="0.3">
      <c r="C2550" s="35">
        <f t="shared" si="39"/>
        <v>0</v>
      </c>
      <c r="D2550" s="30" t="str">
        <f>IFERROR(VLOOKUP(C2550,소속부서!$A$2:$B$20,2,FALSE), "")</f>
        <v/>
      </c>
    </row>
    <row r="2551" spans="3:4" x14ac:dyDescent="0.3">
      <c r="C2551" s="35">
        <f t="shared" si="39"/>
        <v>0</v>
      </c>
      <c r="D2551" s="30" t="str">
        <f>IFERROR(VLOOKUP(C2551,소속부서!$A$2:$B$20,2,FALSE), "")</f>
        <v/>
      </c>
    </row>
    <row r="2552" spans="3:4" x14ac:dyDescent="0.3">
      <c r="C2552" s="35">
        <f t="shared" si="39"/>
        <v>0</v>
      </c>
      <c r="D2552" s="30" t="str">
        <f>IFERROR(VLOOKUP(C2552,소속부서!$A$2:$B$20,2,FALSE), "")</f>
        <v/>
      </c>
    </row>
    <row r="2553" spans="3:4" x14ac:dyDescent="0.3">
      <c r="C2553" s="35">
        <f t="shared" si="39"/>
        <v>0</v>
      </c>
      <c r="D2553" s="30" t="str">
        <f>IFERROR(VLOOKUP(C2553,소속부서!$A$2:$B$20,2,FALSE), "")</f>
        <v/>
      </c>
    </row>
    <row r="2554" spans="3:4" x14ac:dyDescent="0.3">
      <c r="C2554" s="35">
        <f t="shared" si="39"/>
        <v>0</v>
      </c>
      <c r="D2554" s="30" t="str">
        <f>IFERROR(VLOOKUP(C2554,소속부서!$A$2:$B$20,2,FALSE), "")</f>
        <v/>
      </c>
    </row>
    <row r="2555" spans="3:4" x14ac:dyDescent="0.3">
      <c r="C2555" s="35">
        <f t="shared" si="39"/>
        <v>0</v>
      </c>
      <c r="D2555" s="30" t="str">
        <f>IFERROR(VLOOKUP(C2555,소속부서!$A$2:$B$20,2,FALSE), "")</f>
        <v/>
      </c>
    </row>
    <row r="2556" spans="3:4" x14ac:dyDescent="0.3">
      <c r="C2556" s="35">
        <f t="shared" si="39"/>
        <v>0</v>
      </c>
      <c r="D2556" s="30" t="str">
        <f>IFERROR(VLOOKUP(C2556,소속부서!$A$2:$B$20,2,FALSE), "")</f>
        <v/>
      </c>
    </row>
    <row r="2557" spans="3:4" x14ac:dyDescent="0.3">
      <c r="C2557" s="35">
        <f t="shared" si="39"/>
        <v>0</v>
      </c>
      <c r="D2557" s="30" t="str">
        <f>IFERROR(VLOOKUP(C2557,소속부서!$A$2:$B$20,2,FALSE), "")</f>
        <v/>
      </c>
    </row>
    <row r="2558" spans="3:4" x14ac:dyDescent="0.3">
      <c r="C2558" s="35">
        <f t="shared" si="39"/>
        <v>0</v>
      </c>
      <c r="D2558" s="30" t="str">
        <f>IFERROR(VLOOKUP(C2558,소속부서!$A$2:$B$20,2,FALSE), "")</f>
        <v/>
      </c>
    </row>
    <row r="2559" spans="3:4" x14ac:dyDescent="0.3">
      <c r="C2559" s="35">
        <f t="shared" si="39"/>
        <v>0</v>
      </c>
      <c r="D2559" s="30" t="str">
        <f>IFERROR(VLOOKUP(C2559,소속부서!$A$2:$B$20,2,FALSE), "")</f>
        <v/>
      </c>
    </row>
    <row r="2560" spans="3:4" x14ac:dyDescent="0.3">
      <c r="C2560" s="35">
        <f t="shared" si="39"/>
        <v>0</v>
      </c>
      <c r="D2560" s="30" t="str">
        <f>IFERROR(VLOOKUP(C2560,소속부서!$A$2:$B$20,2,FALSE), "")</f>
        <v/>
      </c>
    </row>
    <row r="2561" spans="3:4" x14ac:dyDescent="0.3">
      <c r="C2561" s="35">
        <f t="shared" ref="C2561:C2624" si="40">E2561</f>
        <v>0</v>
      </c>
      <c r="D2561" s="30" t="str">
        <f>IFERROR(VLOOKUP(C2561,소속부서!$A$2:$B$20,2,FALSE), "")</f>
        <v/>
      </c>
    </row>
    <row r="2562" spans="3:4" x14ac:dyDescent="0.3">
      <c r="C2562" s="35">
        <f t="shared" si="40"/>
        <v>0</v>
      </c>
      <c r="D2562" s="30" t="str">
        <f>IFERROR(VLOOKUP(C2562,소속부서!$A$2:$B$20,2,FALSE), "")</f>
        <v/>
      </c>
    </row>
    <row r="2563" spans="3:4" x14ac:dyDescent="0.3">
      <c r="C2563" s="35">
        <f t="shared" si="40"/>
        <v>0</v>
      </c>
      <c r="D2563" s="30" t="str">
        <f>IFERROR(VLOOKUP(C2563,소속부서!$A$2:$B$20,2,FALSE), "")</f>
        <v/>
      </c>
    </row>
    <row r="2564" spans="3:4" x14ac:dyDescent="0.3">
      <c r="C2564" s="35">
        <f t="shared" si="40"/>
        <v>0</v>
      </c>
      <c r="D2564" s="30" t="str">
        <f>IFERROR(VLOOKUP(C2564,소속부서!$A$2:$B$20,2,FALSE), "")</f>
        <v/>
      </c>
    </row>
    <row r="2565" spans="3:4" x14ac:dyDescent="0.3">
      <c r="C2565" s="35">
        <f t="shared" si="40"/>
        <v>0</v>
      </c>
      <c r="D2565" s="30" t="str">
        <f>IFERROR(VLOOKUP(C2565,소속부서!$A$2:$B$20,2,FALSE), "")</f>
        <v/>
      </c>
    </row>
    <row r="2566" spans="3:4" x14ac:dyDescent="0.3">
      <c r="C2566" s="35">
        <f t="shared" si="40"/>
        <v>0</v>
      </c>
      <c r="D2566" s="30" t="str">
        <f>IFERROR(VLOOKUP(C2566,소속부서!$A$2:$B$20,2,FALSE), "")</f>
        <v/>
      </c>
    </row>
    <row r="2567" spans="3:4" x14ac:dyDescent="0.3">
      <c r="C2567" s="35">
        <f t="shared" si="40"/>
        <v>0</v>
      </c>
      <c r="D2567" s="30" t="str">
        <f>IFERROR(VLOOKUP(C2567,소속부서!$A$2:$B$20,2,FALSE), "")</f>
        <v/>
      </c>
    </row>
    <row r="2568" spans="3:4" x14ac:dyDescent="0.3">
      <c r="C2568" s="35">
        <f t="shared" si="40"/>
        <v>0</v>
      </c>
      <c r="D2568" s="30" t="str">
        <f>IFERROR(VLOOKUP(C2568,소속부서!$A$2:$B$20,2,FALSE), "")</f>
        <v/>
      </c>
    </row>
    <row r="2569" spans="3:4" x14ac:dyDescent="0.3">
      <c r="C2569" s="35">
        <f t="shared" si="40"/>
        <v>0</v>
      </c>
      <c r="D2569" s="30" t="str">
        <f>IFERROR(VLOOKUP(C2569,소속부서!$A$2:$B$20,2,FALSE), "")</f>
        <v/>
      </c>
    </row>
    <row r="2570" spans="3:4" x14ac:dyDescent="0.3">
      <c r="C2570" s="35">
        <f t="shared" si="40"/>
        <v>0</v>
      </c>
      <c r="D2570" s="30" t="str">
        <f>IFERROR(VLOOKUP(C2570,소속부서!$A$2:$B$20,2,FALSE), "")</f>
        <v/>
      </c>
    </row>
    <row r="2571" spans="3:4" x14ac:dyDescent="0.3">
      <c r="C2571" s="35">
        <f t="shared" si="40"/>
        <v>0</v>
      </c>
      <c r="D2571" s="30" t="str">
        <f>IFERROR(VLOOKUP(C2571,소속부서!$A$2:$B$20,2,FALSE), "")</f>
        <v/>
      </c>
    </row>
    <row r="2572" spans="3:4" x14ac:dyDescent="0.3">
      <c r="C2572" s="35">
        <f t="shared" si="40"/>
        <v>0</v>
      </c>
      <c r="D2572" s="30" t="str">
        <f>IFERROR(VLOOKUP(C2572,소속부서!$A$2:$B$20,2,FALSE), "")</f>
        <v/>
      </c>
    </row>
    <row r="2573" spans="3:4" x14ac:dyDescent="0.3">
      <c r="C2573" s="35">
        <f t="shared" si="40"/>
        <v>0</v>
      </c>
      <c r="D2573" s="30" t="str">
        <f>IFERROR(VLOOKUP(C2573,소속부서!$A$2:$B$20,2,FALSE), "")</f>
        <v/>
      </c>
    </row>
    <row r="2574" spans="3:4" x14ac:dyDescent="0.3">
      <c r="C2574" s="35">
        <f t="shared" si="40"/>
        <v>0</v>
      </c>
      <c r="D2574" s="30" t="str">
        <f>IFERROR(VLOOKUP(C2574,소속부서!$A$2:$B$20,2,FALSE), "")</f>
        <v/>
      </c>
    </row>
    <row r="2575" spans="3:4" x14ac:dyDescent="0.3">
      <c r="C2575" s="35">
        <f t="shared" si="40"/>
        <v>0</v>
      </c>
      <c r="D2575" s="30" t="str">
        <f>IFERROR(VLOOKUP(C2575,소속부서!$A$2:$B$20,2,FALSE), "")</f>
        <v/>
      </c>
    </row>
    <row r="2576" spans="3:4" x14ac:dyDescent="0.3">
      <c r="C2576" s="35">
        <f t="shared" si="40"/>
        <v>0</v>
      </c>
      <c r="D2576" s="30" t="str">
        <f>IFERROR(VLOOKUP(C2576,소속부서!$A$2:$B$20,2,FALSE), "")</f>
        <v/>
      </c>
    </row>
    <row r="2577" spans="3:4" x14ac:dyDescent="0.3">
      <c r="C2577" s="35">
        <f t="shared" si="40"/>
        <v>0</v>
      </c>
      <c r="D2577" s="30" t="str">
        <f>IFERROR(VLOOKUP(C2577,소속부서!$A$2:$B$20,2,FALSE), "")</f>
        <v/>
      </c>
    </row>
    <row r="2578" spans="3:4" x14ac:dyDescent="0.3">
      <c r="C2578" s="35">
        <f t="shared" si="40"/>
        <v>0</v>
      </c>
      <c r="D2578" s="30" t="str">
        <f>IFERROR(VLOOKUP(C2578,소속부서!$A$2:$B$20,2,FALSE), "")</f>
        <v/>
      </c>
    </row>
    <row r="2579" spans="3:4" x14ac:dyDescent="0.3">
      <c r="C2579" s="35">
        <f t="shared" si="40"/>
        <v>0</v>
      </c>
      <c r="D2579" s="30" t="str">
        <f>IFERROR(VLOOKUP(C2579,소속부서!$A$2:$B$20,2,FALSE), "")</f>
        <v/>
      </c>
    </row>
    <row r="2580" spans="3:4" x14ac:dyDescent="0.3">
      <c r="C2580" s="35">
        <f t="shared" si="40"/>
        <v>0</v>
      </c>
      <c r="D2580" s="30" t="str">
        <f>IFERROR(VLOOKUP(C2580,소속부서!$A$2:$B$20,2,FALSE), "")</f>
        <v/>
      </c>
    </row>
    <row r="2581" spans="3:4" x14ac:dyDescent="0.3">
      <c r="C2581" s="35">
        <f t="shared" si="40"/>
        <v>0</v>
      </c>
      <c r="D2581" s="30" t="str">
        <f>IFERROR(VLOOKUP(C2581,소속부서!$A$2:$B$20,2,FALSE), "")</f>
        <v/>
      </c>
    </row>
    <row r="2582" spans="3:4" x14ac:dyDescent="0.3">
      <c r="C2582" s="35">
        <f t="shared" si="40"/>
        <v>0</v>
      </c>
      <c r="D2582" s="30" t="str">
        <f>IFERROR(VLOOKUP(C2582,소속부서!$A$2:$B$20,2,FALSE), "")</f>
        <v/>
      </c>
    </row>
    <row r="2583" spans="3:4" x14ac:dyDescent="0.3">
      <c r="C2583" s="35">
        <f t="shared" si="40"/>
        <v>0</v>
      </c>
      <c r="D2583" s="30" t="str">
        <f>IFERROR(VLOOKUP(C2583,소속부서!$A$2:$B$20,2,FALSE), "")</f>
        <v/>
      </c>
    </row>
    <row r="2584" spans="3:4" x14ac:dyDescent="0.3">
      <c r="C2584" s="35">
        <f t="shared" si="40"/>
        <v>0</v>
      </c>
      <c r="D2584" s="30" t="str">
        <f>IFERROR(VLOOKUP(C2584,소속부서!$A$2:$B$20,2,FALSE), "")</f>
        <v/>
      </c>
    </row>
    <row r="2585" spans="3:4" x14ac:dyDescent="0.3">
      <c r="C2585" s="35">
        <f t="shared" si="40"/>
        <v>0</v>
      </c>
      <c r="D2585" s="30" t="str">
        <f>IFERROR(VLOOKUP(C2585,소속부서!$A$2:$B$20,2,FALSE), "")</f>
        <v/>
      </c>
    </row>
    <row r="2586" spans="3:4" x14ac:dyDescent="0.3">
      <c r="C2586" s="35">
        <f t="shared" si="40"/>
        <v>0</v>
      </c>
      <c r="D2586" s="30" t="str">
        <f>IFERROR(VLOOKUP(C2586,소속부서!$A$2:$B$20,2,FALSE), "")</f>
        <v/>
      </c>
    </row>
    <row r="2587" spans="3:4" x14ac:dyDescent="0.3">
      <c r="C2587" s="35">
        <f t="shared" si="40"/>
        <v>0</v>
      </c>
      <c r="D2587" s="30" t="str">
        <f>IFERROR(VLOOKUP(C2587,소속부서!$A$2:$B$20,2,FALSE), "")</f>
        <v/>
      </c>
    </row>
    <row r="2588" spans="3:4" x14ac:dyDescent="0.3">
      <c r="C2588" s="35">
        <f t="shared" si="40"/>
        <v>0</v>
      </c>
      <c r="D2588" s="30" t="str">
        <f>IFERROR(VLOOKUP(C2588,소속부서!$A$2:$B$20,2,FALSE), "")</f>
        <v/>
      </c>
    </row>
    <row r="2589" spans="3:4" x14ac:dyDescent="0.3">
      <c r="C2589" s="35">
        <f t="shared" si="40"/>
        <v>0</v>
      </c>
      <c r="D2589" s="30" t="str">
        <f>IFERROR(VLOOKUP(C2589,소속부서!$A$2:$B$20,2,FALSE), "")</f>
        <v/>
      </c>
    </row>
    <row r="2590" spans="3:4" x14ac:dyDescent="0.3">
      <c r="C2590" s="35">
        <f t="shared" si="40"/>
        <v>0</v>
      </c>
      <c r="D2590" s="30" t="str">
        <f>IFERROR(VLOOKUP(C2590,소속부서!$A$2:$B$20,2,FALSE), "")</f>
        <v/>
      </c>
    </row>
    <row r="2591" spans="3:4" x14ac:dyDescent="0.3">
      <c r="C2591" s="35">
        <f t="shared" si="40"/>
        <v>0</v>
      </c>
      <c r="D2591" s="30" t="str">
        <f>IFERROR(VLOOKUP(C2591,소속부서!$A$2:$B$20,2,FALSE), "")</f>
        <v/>
      </c>
    </row>
    <row r="2592" spans="3:4" x14ac:dyDescent="0.3">
      <c r="C2592" s="35">
        <f t="shared" si="40"/>
        <v>0</v>
      </c>
      <c r="D2592" s="30" t="str">
        <f>IFERROR(VLOOKUP(C2592,소속부서!$A$2:$B$20,2,FALSE), "")</f>
        <v/>
      </c>
    </row>
    <row r="2593" spans="3:4" x14ac:dyDescent="0.3">
      <c r="C2593" s="35">
        <f t="shared" si="40"/>
        <v>0</v>
      </c>
      <c r="D2593" s="30" t="str">
        <f>IFERROR(VLOOKUP(C2593,소속부서!$A$2:$B$20,2,FALSE), "")</f>
        <v/>
      </c>
    </row>
    <row r="2594" spans="3:4" x14ac:dyDescent="0.3">
      <c r="C2594" s="35">
        <f t="shared" si="40"/>
        <v>0</v>
      </c>
      <c r="D2594" s="30" t="str">
        <f>IFERROR(VLOOKUP(C2594,소속부서!$A$2:$B$20,2,FALSE), "")</f>
        <v/>
      </c>
    </row>
    <row r="2595" spans="3:4" x14ac:dyDescent="0.3">
      <c r="C2595" s="35">
        <f t="shared" si="40"/>
        <v>0</v>
      </c>
      <c r="D2595" s="30" t="str">
        <f>IFERROR(VLOOKUP(C2595,소속부서!$A$2:$B$20,2,FALSE), "")</f>
        <v/>
      </c>
    </row>
    <row r="2596" spans="3:4" x14ac:dyDescent="0.3">
      <c r="C2596" s="35">
        <f t="shared" si="40"/>
        <v>0</v>
      </c>
      <c r="D2596" s="30" t="str">
        <f>IFERROR(VLOOKUP(C2596,소속부서!$A$2:$B$20,2,FALSE), "")</f>
        <v/>
      </c>
    </row>
    <row r="2597" spans="3:4" x14ac:dyDescent="0.3">
      <c r="C2597" s="35">
        <f t="shared" si="40"/>
        <v>0</v>
      </c>
      <c r="D2597" s="30" t="str">
        <f>IFERROR(VLOOKUP(C2597,소속부서!$A$2:$B$20,2,FALSE), "")</f>
        <v/>
      </c>
    </row>
    <row r="2598" spans="3:4" x14ac:dyDescent="0.3">
      <c r="C2598" s="35">
        <f t="shared" si="40"/>
        <v>0</v>
      </c>
      <c r="D2598" s="30" t="str">
        <f>IFERROR(VLOOKUP(C2598,소속부서!$A$2:$B$20,2,FALSE), "")</f>
        <v/>
      </c>
    </row>
    <row r="2599" spans="3:4" x14ac:dyDescent="0.3">
      <c r="C2599" s="35">
        <f t="shared" si="40"/>
        <v>0</v>
      </c>
      <c r="D2599" s="30" t="str">
        <f>IFERROR(VLOOKUP(C2599,소속부서!$A$2:$B$20,2,FALSE), "")</f>
        <v/>
      </c>
    </row>
    <row r="2600" spans="3:4" x14ac:dyDescent="0.3">
      <c r="C2600" s="35">
        <f t="shared" si="40"/>
        <v>0</v>
      </c>
      <c r="D2600" s="30" t="str">
        <f>IFERROR(VLOOKUP(C2600,소속부서!$A$2:$B$20,2,FALSE), "")</f>
        <v/>
      </c>
    </row>
    <row r="2601" spans="3:4" x14ac:dyDescent="0.3">
      <c r="C2601" s="35">
        <f t="shared" si="40"/>
        <v>0</v>
      </c>
      <c r="D2601" s="30" t="str">
        <f>IFERROR(VLOOKUP(C2601,소속부서!$A$2:$B$20,2,FALSE), "")</f>
        <v/>
      </c>
    </row>
    <row r="2602" spans="3:4" x14ac:dyDescent="0.3">
      <c r="C2602" s="35">
        <f t="shared" si="40"/>
        <v>0</v>
      </c>
      <c r="D2602" s="30" t="str">
        <f>IFERROR(VLOOKUP(C2602,소속부서!$A$2:$B$20,2,FALSE), "")</f>
        <v/>
      </c>
    </row>
    <row r="2603" spans="3:4" x14ac:dyDescent="0.3">
      <c r="C2603" s="35">
        <f t="shared" si="40"/>
        <v>0</v>
      </c>
      <c r="D2603" s="30" t="str">
        <f>IFERROR(VLOOKUP(C2603,소속부서!$A$2:$B$20,2,FALSE), "")</f>
        <v/>
      </c>
    </row>
    <row r="2604" spans="3:4" x14ac:dyDescent="0.3">
      <c r="C2604" s="35">
        <f t="shared" si="40"/>
        <v>0</v>
      </c>
      <c r="D2604" s="30" t="str">
        <f>IFERROR(VLOOKUP(C2604,소속부서!$A$2:$B$20,2,FALSE), "")</f>
        <v/>
      </c>
    </row>
    <row r="2605" spans="3:4" x14ac:dyDescent="0.3">
      <c r="C2605" s="35">
        <f t="shared" si="40"/>
        <v>0</v>
      </c>
      <c r="D2605" s="30" t="str">
        <f>IFERROR(VLOOKUP(C2605,소속부서!$A$2:$B$20,2,FALSE), "")</f>
        <v/>
      </c>
    </row>
    <row r="2606" spans="3:4" x14ac:dyDescent="0.3">
      <c r="C2606" s="35">
        <f t="shared" si="40"/>
        <v>0</v>
      </c>
      <c r="D2606" s="30" t="str">
        <f>IFERROR(VLOOKUP(C2606,소속부서!$A$2:$B$20,2,FALSE), "")</f>
        <v/>
      </c>
    </row>
    <row r="2607" spans="3:4" x14ac:dyDescent="0.3">
      <c r="C2607" s="35">
        <f t="shared" si="40"/>
        <v>0</v>
      </c>
      <c r="D2607" s="30" t="str">
        <f>IFERROR(VLOOKUP(C2607,소속부서!$A$2:$B$20,2,FALSE), "")</f>
        <v/>
      </c>
    </row>
    <row r="2608" spans="3:4" x14ac:dyDescent="0.3">
      <c r="C2608" s="35">
        <f t="shared" si="40"/>
        <v>0</v>
      </c>
      <c r="D2608" s="30" t="str">
        <f>IFERROR(VLOOKUP(C2608,소속부서!$A$2:$B$20,2,FALSE), "")</f>
        <v/>
      </c>
    </row>
    <row r="2609" spans="3:4" x14ac:dyDescent="0.3">
      <c r="C2609" s="35">
        <f t="shared" si="40"/>
        <v>0</v>
      </c>
      <c r="D2609" s="30" t="str">
        <f>IFERROR(VLOOKUP(C2609,소속부서!$A$2:$B$20,2,FALSE), "")</f>
        <v/>
      </c>
    </row>
    <row r="2610" spans="3:4" x14ac:dyDescent="0.3">
      <c r="C2610" s="35">
        <f t="shared" si="40"/>
        <v>0</v>
      </c>
      <c r="D2610" s="30" t="str">
        <f>IFERROR(VLOOKUP(C2610,소속부서!$A$2:$B$20,2,FALSE), "")</f>
        <v/>
      </c>
    </row>
    <row r="2611" spans="3:4" x14ac:dyDescent="0.3">
      <c r="C2611" s="35">
        <f t="shared" si="40"/>
        <v>0</v>
      </c>
      <c r="D2611" s="30" t="str">
        <f>IFERROR(VLOOKUP(C2611,소속부서!$A$2:$B$20,2,FALSE), "")</f>
        <v/>
      </c>
    </row>
    <row r="2612" spans="3:4" x14ac:dyDescent="0.3">
      <c r="C2612" s="35">
        <f t="shared" si="40"/>
        <v>0</v>
      </c>
      <c r="D2612" s="30" t="str">
        <f>IFERROR(VLOOKUP(C2612,소속부서!$A$2:$B$20,2,FALSE), "")</f>
        <v/>
      </c>
    </row>
    <row r="2613" spans="3:4" x14ac:dyDescent="0.3">
      <c r="C2613" s="35">
        <f t="shared" si="40"/>
        <v>0</v>
      </c>
      <c r="D2613" s="30" t="str">
        <f>IFERROR(VLOOKUP(C2613,소속부서!$A$2:$B$20,2,FALSE), "")</f>
        <v/>
      </c>
    </row>
    <row r="2614" spans="3:4" x14ac:dyDescent="0.3">
      <c r="C2614" s="35">
        <f t="shared" si="40"/>
        <v>0</v>
      </c>
      <c r="D2614" s="30" t="str">
        <f>IFERROR(VLOOKUP(C2614,소속부서!$A$2:$B$20,2,FALSE), "")</f>
        <v/>
      </c>
    </row>
    <row r="2615" spans="3:4" x14ac:dyDescent="0.3">
      <c r="C2615" s="35">
        <f t="shared" si="40"/>
        <v>0</v>
      </c>
      <c r="D2615" s="30" t="str">
        <f>IFERROR(VLOOKUP(C2615,소속부서!$A$2:$B$20,2,FALSE), "")</f>
        <v/>
      </c>
    </row>
    <row r="2616" spans="3:4" x14ac:dyDescent="0.3">
      <c r="C2616" s="35">
        <f t="shared" si="40"/>
        <v>0</v>
      </c>
      <c r="D2616" s="30" t="str">
        <f>IFERROR(VLOOKUP(C2616,소속부서!$A$2:$B$20,2,FALSE), "")</f>
        <v/>
      </c>
    </row>
    <row r="2617" spans="3:4" x14ac:dyDescent="0.3">
      <c r="C2617" s="35">
        <f t="shared" si="40"/>
        <v>0</v>
      </c>
      <c r="D2617" s="30" t="str">
        <f>IFERROR(VLOOKUP(C2617,소속부서!$A$2:$B$20,2,FALSE), "")</f>
        <v/>
      </c>
    </row>
    <row r="2618" spans="3:4" x14ac:dyDescent="0.3">
      <c r="C2618" s="35">
        <f t="shared" si="40"/>
        <v>0</v>
      </c>
      <c r="D2618" s="30" t="str">
        <f>IFERROR(VLOOKUP(C2618,소속부서!$A$2:$B$20,2,FALSE), "")</f>
        <v/>
      </c>
    </row>
    <row r="2619" spans="3:4" x14ac:dyDescent="0.3">
      <c r="C2619" s="35">
        <f t="shared" si="40"/>
        <v>0</v>
      </c>
      <c r="D2619" s="30" t="str">
        <f>IFERROR(VLOOKUP(C2619,소속부서!$A$2:$B$20,2,FALSE), "")</f>
        <v/>
      </c>
    </row>
    <row r="2620" spans="3:4" x14ac:dyDescent="0.3">
      <c r="C2620" s="35">
        <f t="shared" si="40"/>
        <v>0</v>
      </c>
      <c r="D2620" s="30" t="str">
        <f>IFERROR(VLOOKUP(C2620,소속부서!$A$2:$B$20,2,FALSE), "")</f>
        <v/>
      </c>
    </row>
    <row r="2621" spans="3:4" x14ac:dyDescent="0.3">
      <c r="C2621" s="35">
        <f t="shared" si="40"/>
        <v>0</v>
      </c>
      <c r="D2621" s="30" t="str">
        <f>IFERROR(VLOOKUP(C2621,소속부서!$A$2:$B$20,2,FALSE), "")</f>
        <v/>
      </c>
    </row>
    <row r="2622" spans="3:4" x14ac:dyDescent="0.3">
      <c r="C2622" s="35">
        <f t="shared" si="40"/>
        <v>0</v>
      </c>
      <c r="D2622" s="30" t="str">
        <f>IFERROR(VLOOKUP(C2622,소속부서!$A$2:$B$20,2,FALSE), "")</f>
        <v/>
      </c>
    </row>
    <row r="2623" spans="3:4" x14ac:dyDescent="0.3">
      <c r="C2623" s="35">
        <f t="shared" si="40"/>
        <v>0</v>
      </c>
      <c r="D2623" s="30" t="str">
        <f>IFERROR(VLOOKUP(C2623,소속부서!$A$2:$B$20,2,FALSE), "")</f>
        <v/>
      </c>
    </row>
    <row r="2624" spans="3:4" x14ac:dyDescent="0.3">
      <c r="C2624" s="35">
        <f t="shared" si="40"/>
        <v>0</v>
      </c>
      <c r="D2624" s="30" t="str">
        <f>IFERROR(VLOOKUP(C2624,소속부서!$A$2:$B$20,2,FALSE), "")</f>
        <v/>
      </c>
    </row>
    <row r="2625" spans="3:4" x14ac:dyDescent="0.3">
      <c r="C2625" s="35">
        <f t="shared" ref="C2625:C2688" si="41">E2625</f>
        <v>0</v>
      </c>
      <c r="D2625" s="30" t="str">
        <f>IFERROR(VLOOKUP(C2625,소속부서!$A$2:$B$20,2,FALSE), "")</f>
        <v/>
      </c>
    </row>
    <row r="2626" spans="3:4" x14ac:dyDescent="0.3">
      <c r="C2626" s="35">
        <f t="shared" si="41"/>
        <v>0</v>
      </c>
      <c r="D2626" s="30" t="str">
        <f>IFERROR(VLOOKUP(C2626,소속부서!$A$2:$B$20,2,FALSE), "")</f>
        <v/>
      </c>
    </row>
    <row r="2627" spans="3:4" x14ac:dyDescent="0.3">
      <c r="C2627" s="35">
        <f t="shared" si="41"/>
        <v>0</v>
      </c>
      <c r="D2627" s="30" t="str">
        <f>IFERROR(VLOOKUP(C2627,소속부서!$A$2:$B$20,2,FALSE), "")</f>
        <v/>
      </c>
    </row>
    <row r="2628" spans="3:4" x14ac:dyDescent="0.3">
      <c r="C2628" s="35">
        <f t="shared" si="41"/>
        <v>0</v>
      </c>
      <c r="D2628" s="30" t="str">
        <f>IFERROR(VLOOKUP(C2628,소속부서!$A$2:$B$20,2,FALSE), "")</f>
        <v/>
      </c>
    </row>
    <row r="2629" spans="3:4" x14ac:dyDescent="0.3">
      <c r="C2629" s="35">
        <f t="shared" si="41"/>
        <v>0</v>
      </c>
      <c r="D2629" s="30" t="str">
        <f>IFERROR(VLOOKUP(C2629,소속부서!$A$2:$B$20,2,FALSE), "")</f>
        <v/>
      </c>
    </row>
    <row r="2630" spans="3:4" x14ac:dyDescent="0.3">
      <c r="C2630" s="35">
        <f t="shared" si="41"/>
        <v>0</v>
      </c>
      <c r="D2630" s="30" t="str">
        <f>IFERROR(VLOOKUP(C2630,소속부서!$A$2:$B$20,2,FALSE), "")</f>
        <v/>
      </c>
    </row>
    <row r="2631" spans="3:4" x14ac:dyDescent="0.3">
      <c r="C2631" s="35">
        <f t="shared" si="41"/>
        <v>0</v>
      </c>
      <c r="D2631" s="30" t="str">
        <f>IFERROR(VLOOKUP(C2631,소속부서!$A$2:$B$20,2,FALSE), "")</f>
        <v/>
      </c>
    </row>
    <row r="2632" spans="3:4" x14ac:dyDescent="0.3">
      <c r="C2632" s="35">
        <f t="shared" si="41"/>
        <v>0</v>
      </c>
      <c r="D2632" s="30" t="str">
        <f>IFERROR(VLOOKUP(C2632,소속부서!$A$2:$B$20,2,FALSE), "")</f>
        <v/>
      </c>
    </row>
    <row r="2633" spans="3:4" x14ac:dyDescent="0.3">
      <c r="C2633" s="35">
        <f t="shared" si="41"/>
        <v>0</v>
      </c>
      <c r="D2633" s="30" t="str">
        <f>IFERROR(VLOOKUP(C2633,소속부서!$A$2:$B$20,2,FALSE), "")</f>
        <v/>
      </c>
    </row>
    <row r="2634" spans="3:4" x14ac:dyDescent="0.3">
      <c r="C2634" s="35">
        <f t="shared" si="41"/>
        <v>0</v>
      </c>
      <c r="D2634" s="30" t="str">
        <f>IFERROR(VLOOKUP(C2634,소속부서!$A$2:$B$20,2,FALSE), "")</f>
        <v/>
      </c>
    </row>
    <row r="2635" spans="3:4" x14ac:dyDescent="0.3">
      <c r="C2635" s="35">
        <f t="shared" si="41"/>
        <v>0</v>
      </c>
      <c r="D2635" s="30" t="str">
        <f>IFERROR(VLOOKUP(C2635,소속부서!$A$2:$B$20,2,FALSE), "")</f>
        <v/>
      </c>
    </row>
    <row r="2636" spans="3:4" x14ac:dyDescent="0.3">
      <c r="C2636" s="35">
        <f t="shared" si="41"/>
        <v>0</v>
      </c>
      <c r="D2636" s="30" t="str">
        <f>IFERROR(VLOOKUP(C2636,소속부서!$A$2:$B$20,2,FALSE), "")</f>
        <v/>
      </c>
    </row>
    <row r="2637" spans="3:4" x14ac:dyDescent="0.3">
      <c r="C2637" s="35">
        <f t="shared" si="41"/>
        <v>0</v>
      </c>
      <c r="D2637" s="30" t="str">
        <f>IFERROR(VLOOKUP(C2637,소속부서!$A$2:$B$20,2,FALSE), "")</f>
        <v/>
      </c>
    </row>
    <row r="2638" spans="3:4" x14ac:dyDescent="0.3">
      <c r="C2638" s="35">
        <f t="shared" si="41"/>
        <v>0</v>
      </c>
      <c r="D2638" s="30" t="str">
        <f>IFERROR(VLOOKUP(C2638,소속부서!$A$2:$B$20,2,FALSE), "")</f>
        <v/>
      </c>
    </row>
    <row r="2639" spans="3:4" x14ac:dyDescent="0.3">
      <c r="C2639" s="35">
        <f t="shared" si="41"/>
        <v>0</v>
      </c>
      <c r="D2639" s="30" t="str">
        <f>IFERROR(VLOOKUP(C2639,소속부서!$A$2:$B$20,2,FALSE), "")</f>
        <v/>
      </c>
    </row>
    <row r="2640" spans="3:4" x14ac:dyDescent="0.3">
      <c r="C2640" s="35">
        <f t="shared" si="41"/>
        <v>0</v>
      </c>
      <c r="D2640" s="30" t="str">
        <f>IFERROR(VLOOKUP(C2640,소속부서!$A$2:$B$20,2,FALSE), "")</f>
        <v/>
      </c>
    </row>
    <row r="2641" spans="3:4" x14ac:dyDescent="0.3">
      <c r="C2641" s="35">
        <f t="shared" si="41"/>
        <v>0</v>
      </c>
      <c r="D2641" s="30" t="str">
        <f>IFERROR(VLOOKUP(C2641,소속부서!$A$2:$B$20,2,FALSE), "")</f>
        <v/>
      </c>
    </row>
    <row r="2642" spans="3:4" x14ac:dyDescent="0.3">
      <c r="C2642" s="35">
        <f t="shared" si="41"/>
        <v>0</v>
      </c>
      <c r="D2642" s="30" t="str">
        <f>IFERROR(VLOOKUP(C2642,소속부서!$A$2:$B$20,2,FALSE), "")</f>
        <v/>
      </c>
    </row>
    <row r="2643" spans="3:4" x14ac:dyDescent="0.3">
      <c r="C2643" s="35">
        <f t="shared" si="41"/>
        <v>0</v>
      </c>
      <c r="D2643" s="30" t="str">
        <f>IFERROR(VLOOKUP(C2643,소속부서!$A$2:$B$20,2,FALSE), "")</f>
        <v/>
      </c>
    </row>
    <row r="2644" spans="3:4" x14ac:dyDescent="0.3">
      <c r="C2644" s="35">
        <f t="shared" si="41"/>
        <v>0</v>
      </c>
      <c r="D2644" s="30" t="str">
        <f>IFERROR(VLOOKUP(C2644,소속부서!$A$2:$B$20,2,FALSE), "")</f>
        <v/>
      </c>
    </row>
    <row r="2645" spans="3:4" x14ac:dyDescent="0.3">
      <c r="C2645" s="35">
        <f t="shared" si="41"/>
        <v>0</v>
      </c>
      <c r="D2645" s="30" t="str">
        <f>IFERROR(VLOOKUP(C2645,소속부서!$A$2:$B$20,2,FALSE), "")</f>
        <v/>
      </c>
    </row>
    <row r="2646" spans="3:4" x14ac:dyDescent="0.3">
      <c r="C2646" s="35">
        <f t="shared" si="41"/>
        <v>0</v>
      </c>
      <c r="D2646" s="30" t="str">
        <f>IFERROR(VLOOKUP(C2646,소속부서!$A$2:$B$20,2,FALSE), "")</f>
        <v/>
      </c>
    </row>
    <row r="2647" spans="3:4" x14ac:dyDescent="0.3">
      <c r="C2647" s="35">
        <f t="shared" si="41"/>
        <v>0</v>
      </c>
      <c r="D2647" s="30" t="str">
        <f>IFERROR(VLOOKUP(C2647,소속부서!$A$2:$B$20,2,FALSE), "")</f>
        <v/>
      </c>
    </row>
    <row r="2648" spans="3:4" x14ac:dyDescent="0.3">
      <c r="C2648" s="35">
        <f t="shared" si="41"/>
        <v>0</v>
      </c>
      <c r="D2648" s="30" t="str">
        <f>IFERROR(VLOOKUP(C2648,소속부서!$A$2:$B$20,2,FALSE), "")</f>
        <v/>
      </c>
    </row>
    <row r="2649" spans="3:4" x14ac:dyDescent="0.3">
      <c r="C2649" s="35">
        <f t="shared" si="41"/>
        <v>0</v>
      </c>
      <c r="D2649" s="30" t="str">
        <f>IFERROR(VLOOKUP(C2649,소속부서!$A$2:$B$20,2,FALSE), "")</f>
        <v/>
      </c>
    </row>
    <row r="2650" spans="3:4" x14ac:dyDescent="0.3">
      <c r="C2650" s="35">
        <f t="shared" si="41"/>
        <v>0</v>
      </c>
      <c r="D2650" s="30" t="str">
        <f>IFERROR(VLOOKUP(C2650,소속부서!$A$2:$B$20,2,FALSE), "")</f>
        <v/>
      </c>
    </row>
    <row r="2651" spans="3:4" x14ac:dyDescent="0.3">
      <c r="C2651" s="35">
        <f t="shared" si="41"/>
        <v>0</v>
      </c>
      <c r="D2651" s="30" t="str">
        <f>IFERROR(VLOOKUP(C2651,소속부서!$A$2:$B$20,2,FALSE), "")</f>
        <v/>
      </c>
    </row>
    <row r="2652" spans="3:4" x14ac:dyDescent="0.3">
      <c r="C2652" s="35">
        <f t="shared" si="41"/>
        <v>0</v>
      </c>
      <c r="D2652" s="30" t="str">
        <f>IFERROR(VLOOKUP(C2652,소속부서!$A$2:$B$20,2,FALSE), "")</f>
        <v/>
      </c>
    </row>
    <row r="2653" spans="3:4" x14ac:dyDescent="0.3">
      <c r="C2653" s="35">
        <f t="shared" si="41"/>
        <v>0</v>
      </c>
      <c r="D2653" s="30" t="str">
        <f>IFERROR(VLOOKUP(C2653,소속부서!$A$2:$B$20,2,FALSE), "")</f>
        <v/>
      </c>
    </row>
    <row r="2654" spans="3:4" x14ac:dyDescent="0.3">
      <c r="C2654" s="35">
        <f t="shared" si="41"/>
        <v>0</v>
      </c>
      <c r="D2654" s="30" t="str">
        <f>IFERROR(VLOOKUP(C2654,소속부서!$A$2:$B$20,2,FALSE), "")</f>
        <v/>
      </c>
    </row>
    <row r="2655" spans="3:4" x14ac:dyDescent="0.3">
      <c r="C2655" s="35">
        <f t="shared" si="41"/>
        <v>0</v>
      </c>
      <c r="D2655" s="30" t="str">
        <f>IFERROR(VLOOKUP(C2655,소속부서!$A$2:$B$20,2,FALSE), "")</f>
        <v/>
      </c>
    </row>
    <row r="2656" spans="3:4" x14ac:dyDescent="0.3">
      <c r="C2656" s="35">
        <f t="shared" si="41"/>
        <v>0</v>
      </c>
      <c r="D2656" s="30" t="str">
        <f>IFERROR(VLOOKUP(C2656,소속부서!$A$2:$B$20,2,FALSE), "")</f>
        <v/>
      </c>
    </row>
    <row r="2657" spans="3:4" x14ac:dyDescent="0.3">
      <c r="C2657" s="35">
        <f t="shared" si="41"/>
        <v>0</v>
      </c>
      <c r="D2657" s="30" t="str">
        <f>IFERROR(VLOOKUP(C2657,소속부서!$A$2:$B$20,2,FALSE), "")</f>
        <v/>
      </c>
    </row>
    <row r="2658" spans="3:4" x14ac:dyDescent="0.3">
      <c r="C2658" s="35">
        <f t="shared" si="41"/>
        <v>0</v>
      </c>
      <c r="D2658" s="30" t="str">
        <f>IFERROR(VLOOKUP(C2658,소속부서!$A$2:$B$20,2,FALSE), "")</f>
        <v/>
      </c>
    </row>
    <row r="2659" spans="3:4" x14ac:dyDescent="0.3">
      <c r="C2659" s="35">
        <f t="shared" si="41"/>
        <v>0</v>
      </c>
      <c r="D2659" s="30" t="str">
        <f>IFERROR(VLOOKUP(C2659,소속부서!$A$2:$B$20,2,FALSE), "")</f>
        <v/>
      </c>
    </row>
    <row r="2660" spans="3:4" x14ac:dyDescent="0.3">
      <c r="C2660" s="35">
        <f t="shared" si="41"/>
        <v>0</v>
      </c>
      <c r="D2660" s="30" t="str">
        <f>IFERROR(VLOOKUP(C2660,소속부서!$A$2:$B$20,2,FALSE), "")</f>
        <v/>
      </c>
    </row>
    <row r="2661" spans="3:4" x14ac:dyDescent="0.3">
      <c r="C2661" s="35">
        <f t="shared" si="41"/>
        <v>0</v>
      </c>
      <c r="D2661" s="30" t="str">
        <f>IFERROR(VLOOKUP(C2661,소속부서!$A$2:$B$20,2,FALSE), "")</f>
        <v/>
      </c>
    </row>
    <row r="2662" spans="3:4" x14ac:dyDescent="0.3">
      <c r="C2662" s="35">
        <f t="shared" si="41"/>
        <v>0</v>
      </c>
      <c r="D2662" s="30" t="str">
        <f>IFERROR(VLOOKUP(C2662,소속부서!$A$2:$B$20,2,FALSE), "")</f>
        <v/>
      </c>
    </row>
    <row r="2663" spans="3:4" x14ac:dyDescent="0.3">
      <c r="C2663" s="35">
        <f t="shared" si="41"/>
        <v>0</v>
      </c>
      <c r="D2663" s="30" t="str">
        <f>IFERROR(VLOOKUP(C2663,소속부서!$A$2:$B$20,2,FALSE), "")</f>
        <v/>
      </c>
    </row>
    <row r="2664" spans="3:4" x14ac:dyDescent="0.3">
      <c r="C2664" s="35">
        <f t="shared" si="41"/>
        <v>0</v>
      </c>
      <c r="D2664" s="30" t="str">
        <f>IFERROR(VLOOKUP(C2664,소속부서!$A$2:$B$20,2,FALSE), "")</f>
        <v/>
      </c>
    </row>
    <row r="2665" spans="3:4" x14ac:dyDescent="0.3">
      <c r="C2665" s="35">
        <f t="shared" si="41"/>
        <v>0</v>
      </c>
      <c r="D2665" s="30" t="str">
        <f>IFERROR(VLOOKUP(C2665,소속부서!$A$2:$B$20,2,FALSE), "")</f>
        <v/>
      </c>
    </row>
    <row r="2666" spans="3:4" x14ac:dyDescent="0.3">
      <c r="C2666" s="35">
        <f t="shared" si="41"/>
        <v>0</v>
      </c>
      <c r="D2666" s="30" t="str">
        <f>IFERROR(VLOOKUP(C2666,소속부서!$A$2:$B$20,2,FALSE), "")</f>
        <v/>
      </c>
    </row>
    <row r="2667" spans="3:4" x14ac:dyDescent="0.3">
      <c r="C2667" s="35">
        <f t="shared" si="41"/>
        <v>0</v>
      </c>
      <c r="D2667" s="30" t="str">
        <f>IFERROR(VLOOKUP(C2667,소속부서!$A$2:$B$20,2,FALSE), "")</f>
        <v/>
      </c>
    </row>
    <row r="2668" spans="3:4" x14ac:dyDescent="0.3">
      <c r="C2668" s="35">
        <f t="shared" si="41"/>
        <v>0</v>
      </c>
      <c r="D2668" s="30" t="str">
        <f>IFERROR(VLOOKUP(C2668,소속부서!$A$2:$B$20,2,FALSE), "")</f>
        <v/>
      </c>
    </row>
    <row r="2669" spans="3:4" x14ac:dyDescent="0.3">
      <c r="C2669" s="35">
        <f t="shared" si="41"/>
        <v>0</v>
      </c>
      <c r="D2669" s="30" t="str">
        <f>IFERROR(VLOOKUP(C2669,소속부서!$A$2:$B$20,2,FALSE), "")</f>
        <v/>
      </c>
    </row>
    <row r="2670" spans="3:4" x14ac:dyDescent="0.3">
      <c r="C2670" s="35">
        <f t="shared" si="41"/>
        <v>0</v>
      </c>
      <c r="D2670" s="30" t="str">
        <f>IFERROR(VLOOKUP(C2670,소속부서!$A$2:$B$20,2,FALSE), "")</f>
        <v/>
      </c>
    </row>
    <row r="2671" spans="3:4" x14ac:dyDescent="0.3">
      <c r="C2671" s="35">
        <f t="shared" si="41"/>
        <v>0</v>
      </c>
      <c r="D2671" s="30" t="str">
        <f>IFERROR(VLOOKUP(C2671,소속부서!$A$2:$B$20,2,FALSE), "")</f>
        <v/>
      </c>
    </row>
    <row r="2672" spans="3:4" x14ac:dyDescent="0.3">
      <c r="C2672" s="35">
        <f t="shared" si="41"/>
        <v>0</v>
      </c>
      <c r="D2672" s="30" t="str">
        <f>IFERROR(VLOOKUP(C2672,소속부서!$A$2:$B$20,2,FALSE), "")</f>
        <v/>
      </c>
    </row>
    <row r="2673" spans="3:4" x14ac:dyDescent="0.3">
      <c r="C2673" s="35">
        <f t="shared" si="41"/>
        <v>0</v>
      </c>
      <c r="D2673" s="30" t="str">
        <f>IFERROR(VLOOKUP(C2673,소속부서!$A$2:$B$20,2,FALSE), "")</f>
        <v/>
      </c>
    </row>
    <row r="2674" spans="3:4" x14ac:dyDescent="0.3">
      <c r="C2674" s="35">
        <f t="shared" si="41"/>
        <v>0</v>
      </c>
      <c r="D2674" s="30" t="str">
        <f>IFERROR(VLOOKUP(C2674,소속부서!$A$2:$B$20,2,FALSE), "")</f>
        <v/>
      </c>
    </row>
    <row r="2675" spans="3:4" x14ac:dyDescent="0.3">
      <c r="C2675" s="35">
        <f t="shared" si="41"/>
        <v>0</v>
      </c>
      <c r="D2675" s="30" t="str">
        <f>IFERROR(VLOOKUP(C2675,소속부서!$A$2:$B$20,2,FALSE), "")</f>
        <v/>
      </c>
    </row>
    <row r="2676" spans="3:4" x14ac:dyDescent="0.3">
      <c r="C2676" s="35">
        <f t="shared" si="41"/>
        <v>0</v>
      </c>
      <c r="D2676" s="30" t="str">
        <f>IFERROR(VLOOKUP(C2676,소속부서!$A$2:$B$20,2,FALSE), "")</f>
        <v/>
      </c>
    </row>
    <row r="2677" spans="3:4" x14ac:dyDescent="0.3">
      <c r="C2677" s="35">
        <f t="shared" si="41"/>
        <v>0</v>
      </c>
      <c r="D2677" s="30" t="str">
        <f>IFERROR(VLOOKUP(C2677,소속부서!$A$2:$B$20,2,FALSE), "")</f>
        <v/>
      </c>
    </row>
    <row r="2678" spans="3:4" x14ac:dyDescent="0.3">
      <c r="C2678" s="35">
        <f t="shared" si="41"/>
        <v>0</v>
      </c>
      <c r="D2678" s="30" t="str">
        <f>IFERROR(VLOOKUP(C2678,소속부서!$A$2:$B$20,2,FALSE), "")</f>
        <v/>
      </c>
    </row>
    <row r="2679" spans="3:4" x14ac:dyDescent="0.3">
      <c r="C2679" s="35">
        <f t="shared" si="41"/>
        <v>0</v>
      </c>
      <c r="D2679" s="30" t="str">
        <f>IFERROR(VLOOKUP(C2679,소속부서!$A$2:$B$20,2,FALSE), "")</f>
        <v/>
      </c>
    </row>
    <row r="2680" spans="3:4" x14ac:dyDescent="0.3">
      <c r="C2680" s="35">
        <f t="shared" si="41"/>
        <v>0</v>
      </c>
      <c r="D2680" s="30" t="str">
        <f>IFERROR(VLOOKUP(C2680,소속부서!$A$2:$B$20,2,FALSE), "")</f>
        <v/>
      </c>
    </row>
    <row r="2681" spans="3:4" x14ac:dyDescent="0.3">
      <c r="C2681" s="35">
        <f t="shared" si="41"/>
        <v>0</v>
      </c>
      <c r="D2681" s="30" t="str">
        <f>IFERROR(VLOOKUP(C2681,소속부서!$A$2:$B$20,2,FALSE), "")</f>
        <v/>
      </c>
    </row>
    <row r="2682" spans="3:4" x14ac:dyDescent="0.3">
      <c r="C2682" s="35">
        <f t="shared" si="41"/>
        <v>0</v>
      </c>
      <c r="D2682" s="30" t="str">
        <f>IFERROR(VLOOKUP(C2682,소속부서!$A$2:$B$20,2,FALSE), "")</f>
        <v/>
      </c>
    </row>
    <row r="2683" spans="3:4" x14ac:dyDescent="0.3">
      <c r="C2683" s="35">
        <f t="shared" si="41"/>
        <v>0</v>
      </c>
      <c r="D2683" s="30" t="str">
        <f>IFERROR(VLOOKUP(C2683,소속부서!$A$2:$B$20,2,FALSE), "")</f>
        <v/>
      </c>
    </row>
    <row r="2684" spans="3:4" x14ac:dyDescent="0.3">
      <c r="C2684" s="35">
        <f t="shared" si="41"/>
        <v>0</v>
      </c>
      <c r="D2684" s="30" t="str">
        <f>IFERROR(VLOOKUP(C2684,소속부서!$A$2:$B$20,2,FALSE), "")</f>
        <v/>
      </c>
    </row>
    <row r="2685" spans="3:4" x14ac:dyDescent="0.3">
      <c r="C2685" s="35">
        <f t="shared" si="41"/>
        <v>0</v>
      </c>
      <c r="D2685" s="30" t="str">
        <f>IFERROR(VLOOKUP(C2685,소속부서!$A$2:$B$20,2,FALSE), "")</f>
        <v/>
      </c>
    </row>
    <row r="2686" spans="3:4" x14ac:dyDescent="0.3">
      <c r="C2686" s="35">
        <f t="shared" si="41"/>
        <v>0</v>
      </c>
      <c r="D2686" s="30" t="str">
        <f>IFERROR(VLOOKUP(C2686,소속부서!$A$2:$B$20,2,FALSE), "")</f>
        <v/>
      </c>
    </row>
    <row r="2687" spans="3:4" x14ac:dyDescent="0.3">
      <c r="C2687" s="35">
        <f t="shared" si="41"/>
        <v>0</v>
      </c>
      <c r="D2687" s="30" t="str">
        <f>IFERROR(VLOOKUP(C2687,소속부서!$A$2:$B$20,2,FALSE), "")</f>
        <v/>
      </c>
    </row>
    <row r="2688" spans="3:4" x14ac:dyDescent="0.3">
      <c r="C2688" s="35">
        <f t="shared" si="41"/>
        <v>0</v>
      </c>
      <c r="D2688" s="30" t="str">
        <f>IFERROR(VLOOKUP(C2688,소속부서!$A$2:$B$20,2,FALSE), "")</f>
        <v/>
      </c>
    </row>
    <row r="2689" spans="3:4" x14ac:dyDescent="0.3">
      <c r="C2689" s="35">
        <f t="shared" ref="C2689:C2752" si="42">E2689</f>
        <v>0</v>
      </c>
      <c r="D2689" s="30" t="str">
        <f>IFERROR(VLOOKUP(C2689,소속부서!$A$2:$B$20,2,FALSE), "")</f>
        <v/>
      </c>
    </row>
    <row r="2690" spans="3:4" x14ac:dyDescent="0.3">
      <c r="C2690" s="35">
        <f t="shared" si="42"/>
        <v>0</v>
      </c>
      <c r="D2690" s="30" t="str">
        <f>IFERROR(VLOOKUP(C2690,소속부서!$A$2:$B$20,2,FALSE), "")</f>
        <v/>
      </c>
    </row>
    <row r="2691" spans="3:4" x14ac:dyDescent="0.3">
      <c r="C2691" s="35">
        <f t="shared" si="42"/>
        <v>0</v>
      </c>
      <c r="D2691" s="30" t="str">
        <f>IFERROR(VLOOKUP(C2691,소속부서!$A$2:$B$20,2,FALSE), "")</f>
        <v/>
      </c>
    </row>
    <row r="2692" spans="3:4" x14ac:dyDescent="0.3">
      <c r="C2692" s="35">
        <f t="shared" si="42"/>
        <v>0</v>
      </c>
      <c r="D2692" s="30" t="str">
        <f>IFERROR(VLOOKUP(C2692,소속부서!$A$2:$B$20,2,FALSE), "")</f>
        <v/>
      </c>
    </row>
    <row r="2693" spans="3:4" x14ac:dyDescent="0.3">
      <c r="C2693" s="35">
        <f t="shared" si="42"/>
        <v>0</v>
      </c>
      <c r="D2693" s="30" t="str">
        <f>IFERROR(VLOOKUP(C2693,소속부서!$A$2:$B$20,2,FALSE), "")</f>
        <v/>
      </c>
    </row>
    <row r="2694" spans="3:4" x14ac:dyDescent="0.3">
      <c r="C2694" s="35">
        <f t="shared" si="42"/>
        <v>0</v>
      </c>
      <c r="D2694" s="30" t="str">
        <f>IFERROR(VLOOKUP(C2694,소속부서!$A$2:$B$20,2,FALSE), "")</f>
        <v/>
      </c>
    </row>
    <row r="2695" spans="3:4" x14ac:dyDescent="0.3">
      <c r="C2695" s="35">
        <f t="shared" si="42"/>
        <v>0</v>
      </c>
      <c r="D2695" s="30" t="str">
        <f>IFERROR(VLOOKUP(C2695,소속부서!$A$2:$B$20,2,FALSE), "")</f>
        <v/>
      </c>
    </row>
    <row r="2696" spans="3:4" x14ac:dyDescent="0.3">
      <c r="C2696" s="35">
        <f t="shared" si="42"/>
        <v>0</v>
      </c>
      <c r="D2696" s="30" t="str">
        <f>IFERROR(VLOOKUP(C2696,소속부서!$A$2:$B$20,2,FALSE), "")</f>
        <v/>
      </c>
    </row>
    <row r="2697" spans="3:4" x14ac:dyDescent="0.3">
      <c r="C2697" s="35">
        <f t="shared" si="42"/>
        <v>0</v>
      </c>
      <c r="D2697" s="30" t="str">
        <f>IFERROR(VLOOKUP(C2697,소속부서!$A$2:$B$20,2,FALSE), "")</f>
        <v/>
      </c>
    </row>
    <row r="2698" spans="3:4" x14ac:dyDescent="0.3">
      <c r="C2698" s="35">
        <f t="shared" si="42"/>
        <v>0</v>
      </c>
      <c r="D2698" s="30" t="str">
        <f>IFERROR(VLOOKUP(C2698,소속부서!$A$2:$B$20,2,FALSE), "")</f>
        <v/>
      </c>
    </row>
    <row r="2699" spans="3:4" x14ac:dyDescent="0.3">
      <c r="C2699" s="35">
        <f t="shared" si="42"/>
        <v>0</v>
      </c>
      <c r="D2699" s="30" t="str">
        <f>IFERROR(VLOOKUP(C2699,소속부서!$A$2:$B$20,2,FALSE), "")</f>
        <v/>
      </c>
    </row>
    <row r="2700" spans="3:4" x14ac:dyDescent="0.3">
      <c r="C2700" s="35">
        <f t="shared" si="42"/>
        <v>0</v>
      </c>
      <c r="D2700" s="30" t="str">
        <f>IFERROR(VLOOKUP(C2700,소속부서!$A$2:$B$20,2,FALSE), "")</f>
        <v/>
      </c>
    </row>
    <row r="2701" spans="3:4" x14ac:dyDescent="0.3">
      <c r="C2701" s="35">
        <f t="shared" si="42"/>
        <v>0</v>
      </c>
      <c r="D2701" s="30" t="str">
        <f>IFERROR(VLOOKUP(C2701,소속부서!$A$2:$B$20,2,FALSE), "")</f>
        <v/>
      </c>
    </row>
    <row r="2702" spans="3:4" x14ac:dyDescent="0.3">
      <c r="C2702" s="35">
        <f t="shared" si="42"/>
        <v>0</v>
      </c>
      <c r="D2702" s="30" t="str">
        <f>IFERROR(VLOOKUP(C2702,소속부서!$A$2:$B$20,2,FALSE), "")</f>
        <v/>
      </c>
    </row>
    <row r="2703" spans="3:4" x14ac:dyDescent="0.3">
      <c r="C2703" s="35">
        <f t="shared" si="42"/>
        <v>0</v>
      </c>
      <c r="D2703" s="30" t="str">
        <f>IFERROR(VLOOKUP(C2703,소속부서!$A$2:$B$20,2,FALSE), "")</f>
        <v/>
      </c>
    </row>
    <row r="2704" spans="3:4" x14ac:dyDescent="0.3">
      <c r="C2704" s="35">
        <f t="shared" si="42"/>
        <v>0</v>
      </c>
      <c r="D2704" s="30" t="str">
        <f>IFERROR(VLOOKUP(C2704,소속부서!$A$2:$B$20,2,FALSE), "")</f>
        <v/>
      </c>
    </row>
    <row r="2705" spans="3:4" x14ac:dyDescent="0.3">
      <c r="C2705" s="35">
        <f t="shared" si="42"/>
        <v>0</v>
      </c>
      <c r="D2705" s="30" t="str">
        <f>IFERROR(VLOOKUP(C2705,소속부서!$A$2:$B$20,2,FALSE), "")</f>
        <v/>
      </c>
    </row>
    <row r="2706" spans="3:4" x14ac:dyDescent="0.3">
      <c r="C2706" s="35">
        <f t="shared" si="42"/>
        <v>0</v>
      </c>
      <c r="D2706" s="30" t="str">
        <f>IFERROR(VLOOKUP(C2706,소속부서!$A$2:$B$20,2,FALSE), "")</f>
        <v/>
      </c>
    </row>
    <row r="2707" spans="3:4" x14ac:dyDescent="0.3">
      <c r="C2707" s="35">
        <f t="shared" si="42"/>
        <v>0</v>
      </c>
      <c r="D2707" s="30" t="str">
        <f>IFERROR(VLOOKUP(C2707,소속부서!$A$2:$B$20,2,FALSE), "")</f>
        <v/>
      </c>
    </row>
    <row r="2708" spans="3:4" x14ac:dyDescent="0.3">
      <c r="C2708" s="35">
        <f t="shared" si="42"/>
        <v>0</v>
      </c>
      <c r="D2708" s="30" t="str">
        <f>IFERROR(VLOOKUP(C2708,소속부서!$A$2:$B$20,2,FALSE), "")</f>
        <v/>
      </c>
    </row>
    <row r="2709" spans="3:4" x14ac:dyDescent="0.3">
      <c r="C2709" s="35">
        <f t="shared" si="42"/>
        <v>0</v>
      </c>
      <c r="D2709" s="30" t="str">
        <f>IFERROR(VLOOKUP(C2709,소속부서!$A$2:$B$20,2,FALSE), "")</f>
        <v/>
      </c>
    </row>
    <row r="2710" spans="3:4" x14ac:dyDescent="0.3">
      <c r="C2710" s="35">
        <f t="shared" si="42"/>
        <v>0</v>
      </c>
      <c r="D2710" s="30" t="str">
        <f>IFERROR(VLOOKUP(C2710,소속부서!$A$2:$B$20,2,FALSE), "")</f>
        <v/>
      </c>
    </row>
    <row r="2711" spans="3:4" x14ac:dyDescent="0.3">
      <c r="C2711" s="35">
        <f t="shared" si="42"/>
        <v>0</v>
      </c>
      <c r="D2711" s="30" t="str">
        <f>IFERROR(VLOOKUP(C2711,소속부서!$A$2:$B$20,2,FALSE), "")</f>
        <v/>
      </c>
    </row>
    <row r="2712" spans="3:4" x14ac:dyDescent="0.3">
      <c r="C2712" s="35">
        <f t="shared" si="42"/>
        <v>0</v>
      </c>
      <c r="D2712" s="30" t="str">
        <f>IFERROR(VLOOKUP(C2712,소속부서!$A$2:$B$20,2,FALSE), "")</f>
        <v/>
      </c>
    </row>
    <row r="2713" spans="3:4" x14ac:dyDescent="0.3">
      <c r="C2713" s="35">
        <f t="shared" si="42"/>
        <v>0</v>
      </c>
      <c r="D2713" s="30" t="str">
        <f>IFERROR(VLOOKUP(C2713,소속부서!$A$2:$B$20,2,FALSE), "")</f>
        <v/>
      </c>
    </row>
    <row r="2714" spans="3:4" x14ac:dyDescent="0.3">
      <c r="C2714" s="35">
        <f t="shared" si="42"/>
        <v>0</v>
      </c>
      <c r="D2714" s="30" t="str">
        <f>IFERROR(VLOOKUP(C2714,소속부서!$A$2:$B$20,2,FALSE), "")</f>
        <v/>
      </c>
    </row>
    <row r="2715" spans="3:4" x14ac:dyDescent="0.3">
      <c r="C2715" s="35">
        <f t="shared" si="42"/>
        <v>0</v>
      </c>
      <c r="D2715" s="30" t="str">
        <f>IFERROR(VLOOKUP(C2715,소속부서!$A$2:$B$20,2,FALSE), "")</f>
        <v/>
      </c>
    </row>
    <row r="2716" spans="3:4" x14ac:dyDescent="0.3">
      <c r="C2716" s="35">
        <f t="shared" si="42"/>
        <v>0</v>
      </c>
      <c r="D2716" s="30" t="str">
        <f>IFERROR(VLOOKUP(C2716,소속부서!$A$2:$B$20,2,FALSE), "")</f>
        <v/>
      </c>
    </row>
    <row r="2717" spans="3:4" x14ac:dyDescent="0.3">
      <c r="C2717" s="35">
        <f t="shared" si="42"/>
        <v>0</v>
      </c>
      <c r="D2717" s="30" t="str">
        <f>IFERROR(VLOOKUP(C2717,소속부서!$A$2:$B$20,2,FALSE), "")</f>
        <v/>
      </c>
    </row>
    <row r="2718" spans="3:4" x14ac:dyDescent="0.3">
      <c r="C2718" s="35">
        <f t="shared" si="42"/>
        <v>0</v>
      </c>
      <c r="D2718" s="30" t="str">
        <f>IFERROR(VLOOKUP(C2718,소속부서!$A$2:$B$20,2,FALSE), "")</f>
        <v/>
      </c>
    </row>
    <row r="2719" spans="3:4" x14ac:dyDescent="0.3">
      <c r="C2719" s="35">
        <f t="shared" si="42"/>
        <v>0</v>
      </c>
      <c r="D2719" s="30" t="str">
        <f>IFERROR(VLOOKUP(C2719,소속부서!$A$2:$B$20,2,FALSE), "")</f>
        <v/>
      </c>
    </row>
    <row r="2720" spans="3:4" x14ac:dyDescent="0.3">
      <c r="C2720" s="35">
        <f t="shared" si="42"/>
        <v>0</v>
      </c>
      <c r="D2720" s="30" t="str">
        <f>IFERROR(VLOOKUP(C2720,소속부서!$A$2:$B$20,2,FALSE), "")</f>
        <v/>
      </c>
    </row>
    <row r="2721" spans="3:4" x14ac:dyDescent="0.3">
      <c r="C2721" s="35">
        <f t="shared" si="42"/>
        <v>0</v>
      </c>
      <c r="D2721" s="30" t="str">
        <f>IFERROR(VLOOKUP(C2721,소속부서!$A$2:$B$20,2,FALSE), "")</f>
        <v/>
      </c>
    </row>
    <row r="2722" spans="3:4" x14ac:dyDescent="0.3">
      <c r="C2722" s="35">
        <f t="shared" si="42"/>
        <v>0</v>
      </c>
      <c r="D2722" s="30" t="str">
        <f>IFERROR(VLOOKUP(C2722,소속부서!$A$2:$B$20,2,FALSE), "")</f>
        <v/>
      </c>
    </row>
    <row r="2723" spans="3:4" x14ac:dyDescent="0.3">
      <c r="C2723" s="35">
        <f t="shared" si="42"/>
        <v>0</v>
      </c>
      <c r="D2723" s="30" t="str">
        <f>IFERROR(VLOOKUP(C2723,소속부서!$A$2:$B$20,2,FALSE), "")</f>
        <v/>
      </c>
    </row>
    <row r="2724" spans="3:4" x14ac:dyDescent="0.3">
      <c r="C2724" s="35">
        <f t="shared" si="42"/>
        <v>0</v>
      </c>
      <c r="D2724" s="30" t="str">
        <f>IFERROR(VLOOKUP(C2724,소속부서!$A$2:$B$20,2,FALSE), "")</f>
        <v/>
      </c>
    </row>
    <row r="2725" spans="3:4" x14ac:dyDescent="0.3">
      <c r="C2725" s="35">
        <f t="shared" si="42"/>
        <v>0</v>
      </c>
      <c r="D2725" s="30" t="str">
        <f>IFERROR(VLOOKUP(C2725,소속부서!$A$2:$B$20,2,FALSE), "")</f>
        <v/>
      </c>
    </row>
    <row r="2726" spans="3:4" x14ac:dyDescent="0.3">
      <c r="C2726" s="35">
        <f t="shared" si="42"/>
        <v>0</v>
      </c>
      <c r="D2726" s="30" t="str">
        <f>IFERROR(VLOOKUP(C2726,소속부서!$A$2:$B$20,2,FALSE), "")</f>
        <v/>
      </c>
    </row>
    <row r="2727" spans="3:4" x14ac:dyDescent="0.3">
      <c r="C2727" s="35">
        <f t="shared" si="42"/>
        <v>0</v>
      </c>
      <c r="D2727" s="30" t="str">
        <f>IFERROR(VLOOKUP(C2727,소속부서!$A$2:$B$20,2,FALSE), "")</f>
        <v/>
      </c>
    </row>
    <row r="2728" spans="3:4" x14ac:dyDescent="0.3">
      <c r="C2728" s="35">
        <f t="shared" si="42"/>
        <v>0</v>
      </c>
      <c r="D2728" s="30" t="str">
        <f>IFERROR(VLOOKUP(C2728,소속부서!$A$2:$B$20,2,FALSE), "")</f>
        <v/>
      </c>
    </row>
    <row r="2729" spans="3:4" x14ac:dyDescent="0.3">
      <c r="C2729" s="35">
        <f t="shared" si="42"/>
        <v>0</v>
      </c>
      <c r="D2729" s="30" t="str">
        <f>IFERROR(VLOOKUP(C2729,소속부서!$A$2:$B$20,2,FALSE), "")</f>
        <v/>
      </c>
    </row>
    <row r="2730" spans="3:4" x14ac:dyDescent="0.3">
      <c r="C2730" s="35">
        <f t="shared" si="42"/>
        <v>0</v>
      </c>
      <c r="D2730" s="30" t="str">
        <f>IFERROR(VLOOKUP(C2730,소속부서!$A$2:$B$20,2,FALSE), "")</f>
        <v/>
      </c>
    </row>
    <row r="2731" spans="3:4" x14ac:dyDescent="0.3">
      <c r="C2731" s="35">
        <f t="shared" si="42"/>
        <v>0</v>
      </c>
      <c r="D2731" s="30" t="str">
        <f>IFERROR(VLOOKUP(C2731,소속부서!$A$2:$B$20,2,FALSE), "")</f>
        <v/>
      </c>
    </row>
    <row r="2732" spans="3:4" x14ac:dyDescent="0.3">
      <c r="C2732" s="35">
        <f t="shared" si="42"/>
        <v>0</v>
      </c>
      <c r="D2732" s="30" t="str">
        <f>IFERROR(VLOOKUP(C2732,소속부서!$A$2:$B$20,2,FALSE), "")</f>
        <v/>
      </c>
    </row>
    <row r="2733" spans="3:4" x14ac:dyDescent="0.3">
      <c r="C2733" s="35">
        <f t="shared" si="42"/>
        <v>0</v>
      </c>
      <c r="D2733" s="30" t="str">
        <f>IFERROR(VLOOKUP(C2733,소속부서!$A$2:$B$20,2,FALSE), "")</f>
        <v/>
      </c>
    </row>
    <row r="2734" spans="3:4" x14ac:dyDescent="0.3">
      <c r="C2734" s="35">
        <f t="shared" si="42"/>
        <v>0</v>
      </c>
      <c r="D2734" s="30" t="str">
        <f>IFERROR(VLOOKUP(C2734,소속부서!$A$2:$B$20,2,FALSE), "")</f>
        <v/>
      </c>
    </row>
    <row r="2735" spans="3:4" x14ac:dyDescent="0.3">
      <c r="C2735" s="35">
        <f t="shared" si="42"/>
        <v>0</v>
      </c>
      <c r="D2735" s="30" t="str">
        <f>IFERROR(VLOOKUP(C2735,소속부서!$A$2:$B$20,2,FALSE), "")</f>
        <v/>
      </c>
    </row>
    <row r="2736" spans="3:4" x14ac:dyDescent="0.3">
      <c r="C2736" s="35">
        <f t="shared" si="42"/>
        <v>0</v>
      </c>
      <c r="D2736" s="30" t="str">
        <f>IFERROR(VLOOKUP(C2736,소속부서!$A$2:$B$20,2,FALSE), "")</f>
        <v/>
      </c>
    </row>
    <row r="2737" spans="3:4" x14ac:dyDescent="0.3">
      <c r="C2737" s="35">
        <f t="shared" si="42"/>
        <v>0</v>
      </c>
      <c r="D2737" s="30" t="str">
        <f>IFERROR(VLOOKUP(C2737,소속부서!$A$2:$B$20,2,FALSE), "")</f>
        <v/>
      </c>
    </row>
    <row r="2738" spans="3:4" x14ac:dyDescent="0.3">
      <c r="C2738" s="35">
        <f t="shared" si="42"/>
        <v>0</v>
      </c>
      <c r="D2738" s="30" t="str">
        <f>IFERROR(VLOOKUP(C2738,소속부서!$A$2:$B$20,2,FALSE), "")</f>
        <v/>
      </c>
    </row>
    <row r="2739" spans="3:4" x14ac:dyDescent="0.3">
      <c r="C2739" s="35">
        <f t="shared" si="42"/>
        <v>0</v>
      </c>
      <c r="D2739" s="30" t="str">
        <f>IFERROR(VLOOKUP(C2739,소속부서!$A$2:$B$20,2,FALSE), "")</f>
        <v/>
      </c>
    </row>
    <row r="2740" spans="3:4" x14ac:dyDescent="0.3">
      <c r="C2740" s="35">
        <f t="shared" si="42"/>
        <v>0</v>
      </c>
      <c r="D2740" s="30" t="str">
        <f>IFERROR(VLOOKUP(C2740,소속부서!$A$2:$B$20,2,FALSE), "")</f>
        <v/>
      </c>
    </row>
    <row r="2741" spans="3:4" x14ac:dyDescent="0.3">
      <c r="C2741" s="35">
        <f t="shared" si="42"/>
        <v>0</v>
      </c>
      <c r="D2741" s="30" t="str">
        <f>IFERROR(VLOOKUP(C2741,소속부서!$A$2:$B$20,2,FALSE), "")</f>
        <v/>
      </c>
    </row>
    <row r="2742" spans="3:4" x14ac:dyDescent="0.3">
      <c r="C2742" s="35">
        <f t="shared" si="42"/>
        <v>0</v>
      </c>
      <c r="D2742" s="30" t="str">
        <f>IFERROR(VLOOKUP(C2742,소속부서!$A$2:$B$20,2,FALSE), "")</f>
        <v/>
      </c>
    </row>
    <row r="2743" spans="3:4" x14ac:dyDescent="0.3">
      <c r="C2743" s="35">
        <f t="shared" si="42"/>
        <v>0</v>
      </c>
      <c r="D2743" s="30" t="str">
        <f>IFERROR(VLOOKUP(C2743,소속부서!$A$2:$B$20,2,FALSE), "")</f>
        <v/>
      </c>
    </row>
    <row r="2744" spans="3:4" x14ac:dyDescent="0.3">
      <c r="C2744" s="35">
        <f t="shared" si="42"/>
        <v>0</v>
      </c>
      <c r="D2744" s="30" t="str">
        <f>IFERROR(VLOOKUP(C2744,소속부서!$A$2:$B$20,2,FALSE), "")</f>
        <v/>
      </c>
    </row>
    <row r="2745" spans="3:4" x14ac:dyDescent="0.3">
      <c r="C2745" s="35">
        <f t="shared" si="42"/>
        <v>0</v>
      </c>
      <c r="D2745" s="30" t="str">
        <f>IFERROR(VLOOKUP(C2745,소속부서!$A$2:$B$20,2,FALSE), "")</f>
        <v/>
      </c>
    </row>
    <row r="2746" spans="3:4" x14ac:dyDescent="0.3">
      <c r="C2746" s="35">
        <f t="shared" si="42"/>
        <v>0</v>
      </c>
      <c r="D2746" s="30" t="str">
        <f>IFERROR(VLOOKUP(C2746,소속부서!$A$2:$B$20,2,FALSE), "")</f>
        <v/>
      </c>
    </row>
    <row r="2747" spans="3:4" x14ac:dyDescent="0.3">
      <c r="C2747" s="35">
        <f t="shared" si="42"/>
        <v>0</v>
      </c>
      <c r="D2747" s="30" t="str">
        <f>IFERROR(VLOOKUP(C2747,소속부서!$A$2:$B$20,2,FALSE), "")</f>
        <v/>
      </c>
    </row>
    <row r="2748" spans="3:4" x14ac:dyDescent="0.3">
      <c r="C2748" s="35">
        <f t="shared" si="42"/>
        <v>0</v>
      </c>
      <c r="D2748" s="30" t="str">
        <f>IFERROR(VLOOKUP(C2748,소속부서!$A$2:$B$20,2,FALSE), "")</f>
        <v/>
      </c>
    </row>
    <row r="2749" spans="3:4" x14ac:dyDescent="0.3">
      <c r="C2749" s="35">
        <f t="shared" si="42"/>
        <v>0</v>
      </c>
      <c r="D2749" s="30" t="str">
        <f>IFERROR(VLOOKUP(C2749,소속부서!$A$2:$B$20,2,FALSE), "")</f>
        <v/>
      </c>
    </row>
    <row r="2750" spans="3:4" x14ac:dyDescent="0.3">
      <c r="C2750" s="35">
        <f t="shared" si="42"/>
        <v>0</v>
      </c>
      <c r="D2750" s="30" t="str">
        <f>IFERROR(VLOOKUP(C2750,소속부서!$A$2:$B$20,2,FALSE), "")</f>
        <v/>
      </c>
    </row>
    <row r="2751" spans="3:4" x14ac:dyDescent="0.3">
      <c r="C2751" s="35">
        <f t="shared" si="42"/>
        <v>0</v>
      </c>
      <c r="D2751" s="30" t="str">
        <f>IFERROR(VLOOKUP(C2751,소속부서!$A$2:$B$20,2,FALSE), "")</f>
        <v/>
      </c>
    </row>
    <row r="2752" spans="3:4" x14ac:dyDescent="0.3">
      <c r="C2752" s="35">
        <f t="shared" si="42"/>
        <v>0</v>
      </c>
      <c r="D2752" s="30" t="str">
        <f>IFERROR(VLOOKUP(C2752,소속부서!$A$2:$B$20,2,FALSE), "")</f>
        <v/>
      </c>
    </row>
    <row r="2753" spans="3:4" x14ac:dyDescent="0.3">
      <c r="C2753" s="35">
        <f t="shared" ref="C2753:C2816" si="43">E2753</f>
        <v>0</v>
      </c>
      <c r="D2753" s="30" t="str">
        <f>IFERROR(VLOOKUP(C2753,소속부서!$A$2:$B$20,2,FALSE), "")</f>
        <v/>
      </c>
    </row>
    <row r="2754" spans="3:4" x14ac:dyDescent="0.3">
      <c r="C2754" s="35">
        <f t="shared" si="43"/>
        <v>0</v>
      </c>
      <c r="D2754" s="30" t="str">
        <f>IFERROR(VLOOKUP(C2754,소속부서!$A$2:$B$20,2,FALSE), "")</f>
        <v/>
      </c>
    </row>
    <row r="2755" spans="3:4" x14ac:dyDescent="0.3">
      <c r="C2755" s="35">
        <f t="shared" si="43"/>
        <v>0</v>
      </c>
      <c r="D2755" s="30" t="str">
        <f>IFERROR(VLOOKUP(C2755,소속부서!$A$2:$B$20,2,FALSE), "")</f>
        <v/>
      </c>
    </row>
    <row r="2756" spans="3:4" x14ac:dyDescent="0.3">
      <c r="C2756" s="35">
        <f t="shared" si="43"/>
        <v>0</v>
      </c>
      <c r="D2756" s="30" t="str">
        <f>IFERROR(VLOOKUP(C2756,소속부서!$A$2:$B$20,2,FALSE), "")</f>
        <v/>
      </c>
    </row>
    <row r="2757" spans="3:4" x14ac:dyDescent="0.3">
      <c r="C2757" s="35">
        <f t="shared" si="43"/>
        <v>0</v>
      </c>
      <c r="D2757" s="30" t="str">
        <f>IFERROR(VLOOKUP(C2757,소속부서!$A$2:$B$20,2,FALSE), "")</f>
        <v/>
      </c>
    </row>
    <row r="2758" spans="3:4" x14ac:dyDescent="0.3">
      <c r="C2758" s="35">
        <f t="shared" si="43"/>
        <v>0</v>
      </c>
      <c r="D2758" s="30" t="str">
        <f>IFERROR(VLOOKUP(C2758,소속부서!$A$2:$B$20,2,FALSE), "")</f>
        <v/>
      </c>
    </row>
    <row r="2759" spans="3:4" x14ac:dyDescent="0.3">
      <c r="C2759" s="35">
        <f t="shared" si="43"/>
        <v>0</v>
      </c>
      <c r="D2759" s="30" t="str">
        <f>IFERROR(VLOOKUP(C2759,소속부서!$A$2:$B$20,2,FALSE), "")</f>
        <v/>
      </c>
    </row>
    <row r="2760" spans="3:4" x14ac:dyDescent="0.3">
      <c r="C2760" s="35">
        <f t="shared" si="43"/>
        <v>0</v>
      </c>
      <c r="D2760" s="30" t="str">
        <f>IFERROR(VLOOKUP(C2760,소속부서!$A$2:$B$20,2,FALSE), "")</f>
        <v/>
      </c>
    </row>
    <row r="2761" spans="3:4" x14ac:dyDescent="0.3">
      <c r="C2761" s="35">
        <f t="shared" si="43"/>
        <v>0</v>
      </c>
      <c r="D2761" s="30" t="str">
        <f>IFERROR(VLOOKUP(C2761,소속부서!$A$2:$B$20,2,FALSE), "")</f>
        <v/>
      </c>
    </row>
    <row r="2762" spans="3:4" x14ac:dyDescent="0.3">
      <c r="C2762" s="35">
        <f t="shared" si="43"/>
        <v>0</v>
      </c>
      <c r="D2762" s="30" t="str">
        <f>IFERROR(VLOOKUP(C2762,소속부서!$A$2:$B$20,2,FALSE), "")</f>
        <v/>
      </c>
    </row>
    <row r="2763" spans="3:4" x14ac:dyDescent="0.3">
      <c r="C2763" s="35">
        <f t="shared" si="43"/>
        <v>0</v>
      </c>
      <c r="D2763" s="30" t="str">
        <f>IFERROR(VLOOKUP(C2763,소속부서!$A$2:$B$20,2,FALSE), "")</f>
        <v/>
      </c>
    </row>
    <row r="2764" spans="3:4" x14ac:dyDescent="0.3">
      <c r="C2764" s="35">
        <f t="shared" si="43"/>
        <v>0</v>
      </c>
      <c r="D2764" s="30" t="str">
        <f>IFERROR(VLOOKUP(C2764,소속부서!$A$2:$B$20,2,FALSE), "")</f>
        <v/>
      </c>
    </row>
    <row r="2765" spans="3:4" x14ac:dyDescent="0.3">
      <c r="C2765" s="35">
        <f t="shared" si="43"/>
        <v>0</v>
      </c>
      <c r="D2765" s="30" t="str">
        <f>IFERROR(VLOOKUP(C2765,소속부서!$A$2:$B$20,2,FALSE), "")</f>
        <v/>
      </c>
    </row>
    <row r="2766" spans="3:4" x14ac:dyDescent="0.3">
      <c r="C2766" s="35">
        <f t="shared" si="43"/>
        <v>0</v>
      </c>
      <c r="D2766" s="30" t="str">
        <f>IFERROR(VLOOKUP(C2766,소속부서!$A$2:$B$20,2,FALSE), "")</f>
        <v/>
      </c>
    </row>
    <row r="2767" spans="3:4" x14ac:dyDescent="0.3">
      <c r="C2767" s="35">
        <f t="shared" si="43"/>
        <v>0</v>
      </c>
      <c r="D2767" s="30" t="str">
        <f>IFERROR(VLOOKUP(C2767,소속부서!$A$2:$B$20,2,FALSE), "")</f>
        <v/>
      </c>
    </row>
    <row r="2768" spans="3:4" x14ac:dyDescent="0.3">
      <c r="C2768" s="35">
        <f t="shared" si="43"/>
        <v>0</v>
      </c>
      <c r="D2768" s="30" t="str">
        <f>IFERROR(VLOOKUP(C2768,소속부서!$A$2:$B$20,2,FALSE), "")</f>
        <v/>
      </c>
    </row>
    <row r="2769" spans="3:4" x14ac:dyDescent="0.3">
      <c r="C2769" s="35">
        <f t="shared" si="43"/>
        <v>0</v>
      </c>
      <c r="D2769" s="30" t="str">
        <f>IFERROR(VLOOKUP(C2769,소속부서!$A$2:$B$20,2,FALSE), "")</f>
        <v/>
      </c>
    </row>
    <row r="2770" spans="3:4" x14ac:dyDescent="0.3">
      <c r="C2770" s="35">
        <f t="shared" si="43"/>
        <v>0</v>
      </c>
      <c r="D2770" s="30" t="str">
        <f>IFERROR(VLOOKUP(C2770,소속부서!$A$2:$B$20,2,FALSE), "")</f>
        <v/>
      </c>
    </row>
    <row r="2771" spans="3:4" x14ac:dyDescent="0.3">
      <c r="C2771" s="35">
        <f t="shared" si="43"/>
        <v>0</v>
      </c>
      <c r="D2771" s="30" t="str">
        <f>IFERROR(VLOOKUP(C2771,소속부서!$A$2:$B$20,2,FALSE), "")</f>
        <v/>
      </c>
    </row>
    <row r="2772" spans="3:4" x14ac:dyDescent="0.3">
      <c r="C2772" s="35">
        <f t="shared" si="43"/>
        <v>0</v>
      </c>
      <c r="D2772" s="30" t="str">
        <f>IFERROR(VLOOKUP(C2772,소속부서!$A$2:$B$20,2,FALSE), "")</f>
        <v/>
      </c>
    </row>
    <row r="2773" spans="3:4" x14ac:dyDescent="0.3">
      <c r="C2773" s="35">
        <f t="shared" si="43"/>
        <v>0</v>
      </c>
      <c r="D2773" s="30" t="str">
        <f>IFERROR(VLOOKUP(C2773,소속부서!$A$2:$B$20,2,FALSE), "")</f>
        <v/>
      </c>
    </row>
    <row r="2774" spans="3:4" x14ac:dyDescent="0.3">
      <c r="C2774" s="35">
        <f t="shared" si="43"/>
        <v>0</v>
      </c>
      <c r="D2774" s="30" t="str">
        <f>IFERROR(VLOOKUP(C2774,소속부서!$A$2:$B$20,2,FALSE), "")</f>
        <v/>
      </c>
    </row>
    <row r="2775" spans="3:4" x14ac:dyDescent="0.3">
      <c r="C2775" s="35">
        <f t="shared" si="43"/>
        <v>0</v>
      </c>
      <c r="D2775" s="30" t="str">
        <f>IFERROR(VLOOKUP(C2775,소속부서!$A$2:$B$20,2,FALSE), "")</f>
        <v/>
      </c>
    </row>
    <row r="2776" spans="3:4" x14ac:dyDescent="0.3">
      <c r="C2776" s="35">
        <f t="shared" si="43"/>
        <v>0</v>
      </c>
      <c r="D2776" s="30" t="str">
        <f>IFERROR(VLOOKUP(C2776,소속부서!$A$2:$B$20,2,FALSE), "")</f>
        <v/>
      </c>
    </row>
    <row r="2777" spans="3:4" x14ac:dyDescent="0.3">
      <c r="C2777" s="35">
        <f t="shared" si="43"/>
        <v>0</v>
      </c>
      <c r="D2777" s="30" t="str">
        <f>IFERROR(VLOOKUP(C2777,소속부서!$A$2:$B$20,2,FALSE), "")</f>
        <v/>
      </c>
    </row>
    <row r="2778" spans="3:4" x14ac:dyDescent="0.3">
      <c r="C2778" s="35">
        <f t="shared" si="43"/>
        <v>0</v>
      </c>
      <c r="D2778" s="30" t="str">
        <f>IFERROR(VLOOKUP(C2778,소속부서!$A$2:$B$20,2,FALSE), "")</f>
        <v/>
      </c>
    </row>
    <row r="2779" spans="3:4" x14ac:dyDescent="0.3">
      <c r="C2779" s="35">
        <f t="shared" si="43"/>
        <v>0</v>
      </c>
      <c r="D2779" s="30" t="str">
        <f>IFERROR(VLOOKUP(C2779,소속부서!$A$2:$B$20,2,FALSE), "")</f>
        <v/>
      </c>
    </row>
    <row r="2780" spans="3:4" x14ac:dyDescent="0.3">
      <c r="C2780" s="35">
        <f t="shared" si="43"/>
        <v>0</v>
      </c>
      <c r="D2780" s="30" t="str">
        <f>IFERROR(VLOOKUP(C2780,소속부서!$A$2:$B$20,2,FALSE), "")</f>
        <v/>
      </c>
    </row>
    <row r="2781" spans="3:4" x14ac:dyDescent="0.3">
      <c r="C2781" s="35">
        <f t="shared" si="43"/>
        <v>0</v>
      </c>
      <c r="D2781" s="30" t="str">
        <f>IFERROR(VLOOKUP(C2781,소속부서!$A$2:$B$20,2,FALSE), "")</f>
        <v/>
      </c>
    </row>
    <row r="2782" spans="3:4" x14ac:dyDescent="0.3">
      <c r="C2782" s="35">
        <f t="shared" si="43"/>
        <v>0</v>
      </c>
      <c r="D2782" s="30" t="str">
        <f>IFERROR(VLOOKUP(C2782,소속부서!$A$2:$B$20,2,FALSE), "")</f>
        <v/>
      </c>
    </row>
    <row r="2783" spans="3:4" x14ac:dyDescent="0.3">
      <c r="C2783" s="35">
        <f t="shared" si="43"/>
        <v>0</v>
      </c>
      <c r="D2783" s="30" t="str">
        <f>IFERROR(VLOOKUP(C2783,소속부서!$A$2:$B$20,2,FALSE), "")</f>
        <v/>
      </c>
    </row>
    <row r="2784" spans="3:4" x14ac:dyDescent="0.3">
      <c r="C2784" s="35">
        <f t="shared" si="43"/>
        <v>0</v>
      </c>
      <c r="D2784" s="30" t="str">
        <f>IFERROR(VLOOKUP(C2784,소속부서!$A$2:$B$20,2,FALSE), "")</f>
        <v/>
      </c>
    </row>
    <row r="2785" spans="3:4" x14ac:dyDescent="0.3">
      <c r="C2785" s="35">
        <f t="shared" si="43"/>
        <v>0</v>
      </c>
      <c r="D2785" s="30" t="str">
        <f>IFERROR(VLOOKUP(C2785,소속부서!$A$2:$B$20,2,FALSE), "")</f>
        <v/>
      </c>
    </row>
    <row r="2786" spans="3:4" x14ac:dyDescent="0.3">
      <c r="C2786" s="35">
        <f t="shared" si="43"/>
        <v>0</v>
      </c>
      <c r="D2786" s="30" t="str">
        <f>IFERROR(VLOOKUP(C2786,소속부서!$A$2:$B$20,2,FALSE), "")</f>
        <v/>
      </c>
    </row>
    <row r="2787" spans="3:4" x14ac:dyDescent="0.3">
      <c r="C2787" s="35">
        <f t="shared" si="43"/>
        <v>0</v>
      </c>
      <c r="D2787" s="30" t="str">
        <f>IFERROR(VLOOKUP(C2787,소속부서!$A$2:$B$20,2,FALSE), "")</f>
        <v/>
      </c>
    </row>
    <row r="2788" spans="3:4" x14ac:dyDescent="0.3">
      <c r="C2788" s="35">
        <f t="shared" si="43"/>
        <v>0</v>
      </c>
      <c r="D2788" s="30" t="str">
        <f>IFERROR(VLOOKUP(C2788,소속부서!$A$2:$B$20,2,FALSE), "")</f>
        <v/>
      </c>
    </row>
    <row r="2789" spans="3:4" x14ac:dyDescent="0.3">
      <c r="C2789" s="35">
        <f t="shared" si="43"/>
        <v>0</v>
      </c>
      <c r="D2789" s="30" t="str">
        <f>IFERROR(VLOOKUP(C2789,소속부서!$A$2:$B$20,2,FALSE), "")</f>
        <v/>
      </c>
    </row>
    <row r="2790" spans="3:4" x14ac:dyDescent="0.3">
      <c r="C2790" s="35">
        <f t="shared" si="43"/>
        <v>0</v>
      </c>
      <c r="D2790" s="30" t="str">
        <f>IFERROR(VLOOKUP(C2790,소속부서!$A$2:$B$20,2,FALSE), "")</f>
        <v/>
      </c>
    </row>
    <row r="2791" spans="3:4" x14ac:dyDescent="0.3">
      <c r="C2791" s="35">
        <f t="shared" si="43"/>
        <v>0</v>
      </c>
      <c r="D2791" s="30" t="str">
        <f>IFERROR(VLOOKUP(C2791,소속부서!$A$2:$B$20,2,FALSE), "")</f>
        <v/>
      </c>
    </row>
    <row r="2792" spans="3:4" x14ac:dyDescent="0.3">
      <c r="C2792" s="35">
        <f t="shared" si="43"/>
        <v>0</v>
      </c>
      <c r="D2792" s="30" t="str">
        <f>IFERROR(VLOOKUP(C2792,소속부서!$A$2:$B$20,2,FALSE), "")</f>
        <v/>
      </c>
    </row>
    <row r="2793" spans="3:4" x14ac:dyDescent="0.3">
      <c r="C2793" s="35">
        <f t="shared" si="43"/>
        <v>0</v>
      </c>
      <c r="D2793" s="30" t="str">
        <f>IFERROR(VLOOKUP(C2793,소속부서!$A$2:$B$20,2,FALSE), "")</f>
        <v/>
      </c>
    </row>
    <row r="2794" spans="3:4" x14ac:dyDescent="0.3">
      <c r="C2794" s="35">
        <f t="shared" si="43"/>
        <v>0</v>
      </c>
      <c r="D2794" s="30" t="str">
        <f>IFERROR(VLOOKUP(C2794,소속부서!$A$2:$B$20,2,FALSE), "")</f>
        <v/>
      </c>
    </row>
    <row r="2795" spans="3:4" x14ac:dyDescent="0.3">
      <c r="C2795" s="35">
        <f t="shared" si="43"/>
        <v>0</v>
      </c>
      <c r="D2795" s="30" t="str">
        <f>IFERROR(VLOOKUP(C2795,소속부서!$A$2:$B$20,2,FALSE), "")</f>
        <v/>
      </c>
    </row>
    <row r="2796" spans="3:4" x14ac:dyDescent="0.3">
      <c r="C2796" s="35">
        <f t="shared" si="43"/>
        <v>0</v>
      </c>
      <c r="D2796" s="30" t="str">
        <f>IFERROR(VLOOKUP(C2796,소속부서!$A$2:$B$20,2,FALSE), "")</f>
        <v/>
      </c>
    </row>
    <row r="2797" spans="3:4" x14ac:dyDescent="0.3">
      <c r="C2797" s="35">
        <f t="shared" si="43"/>
        <v>0</v>
      </c>
      <c r="D2797" s="30" t="str">
        <f>IFERROR(VLOOKUP(C2797,소속부서!$A$2:$B$20,2,FALSE), "")</f>
        <v/>
      </c>
    </row>
    <row r="2798" spans="3:4" x14ac:dyDescent="0.3">
      <c r="C2798" s="35">
        <f t="shared" si="43"/>
        <v>0</v>
      </c>
      <c r="D2798" s="30" t="str">
        <f>IFERROR(VLOOKUP(C2798,소속부서!$A$2:$B$20,2,FALSE), "")</f>
        <v/>
      </c>
    </row>
    <row r="2799" spans="3:4" x14ac:dyDescent="0.3">
      <c r="C2799" s="35">
        <f t="shared" si="43"/>
        <v>0</v>
      </c>
      <c r="D2799" s="30" t="str">
        <f>IFERROR(VLOOKUP(C2799,소속부서!$A$2:$B$20,2,FALSE), "")</f>
        <v/>
      </c>
    </row>
    <row r="2800" spans="3:4" x14ac:dyDescent="0.3">
      <c r="C2800" s="35">
        <f t="shared" si="43"/>
        <v>0</v>
      </c>
      <c r="D2800" s="30" t="str">
        <f>IFERROR(VLOOKUP(C2800,소속부서!$A$2:$B$20,2,FALSE), "")</f>
        <v/>
      </c>
    </row>
    <row r="2801" spans="3:4" x14ac:dyDescent="0.3">
      <c r="C2801" s="35">
        <f t="shared" si="43"/>
        <v>0</v>
      </c>
      <c r="D2801" s="30" t="str">
        <f>IFERROR(VLOOKUP(C2801,소속부서!$A$2:$B$20,2,FALSE), "")</f>
        <v/>
      </c>
    </row>
    <row r="2802" spans="3:4" x14ac:dyDescent="0.3">
      <c r="C2802" s="35">
        <f t="shared" si="43"/>
        <v>0</v>
      </c>
      <c r="D2802" s="30" t="str">
        <f>IFERROR(VLOOKUP(C2802,소속부서!$A$2:$B$20,2,FALSE), "")</f>
        <v/>
      </c>
    </row>
    <row r="2803" spans="3:4" x14ac:dyDescent="0.3">
      <c r="C2803" s="35">
        <f t="shared" si="43"/>
        <v>0</v>
      </c>
      <c r="D2803" s="30" t="str">
        <f>IFERROR(VLOOKUP(C2803,소속부서!$A$2:$B$20,2,FALSE), "")</f>
        <v/>
      </c>
    </row>
    <row r="2804" spans="3:4" x14ac:dyDescent="0.3">
      <c r="C2804" s="35">
        <f t="shared" si="43"/>
        <v>0</v>
      </c>
      <c r="D2804" s="30" t="str">
        <f>IFERROR(VLOOKUP(C2804,소속부서!$A$2:$B$20,2,FALSE), "")</f>
        <v/>
      </c>
    </row>
    <row r="2805" spans="3:4" x14ac:dyDescent="0.3">
      <c r="C2805" s="35">
        <f t="shared" si="43"/>
        <v>0</v>
      </c>
      <c r="D2805" s="30" t="str">
        <f>IFERROR(VLOOKUP(C2805,소속부서!$A$2:$B$20,2,FALSE), "")</f>
        <v/>
      </c>
    </row>
    <row r="2806" spans="3:4" x14ac:dyDescent="0.3">
      <c r="C2806" s="35">
        <f t="shared" si="43"/>
        <v>0</v>
      </c>
      <c r="D2806" s="30" t="str">
        <f>IFERROR(VLOOKUP(C2806,소속부서!$A$2:$B$20,2,FALSE), "")</f>
        <v/>
      </c>
    </row>
    <row r="2807" spans="3:4" x14ac:dyDescent="0.3">
      <c r="C2807" s="35">
        <f t="shared" si="43"/>
        <v>0</v>
      </c>
      <c r="D2807" s="30" t="str">
        <f>IFERROR(VLOOKUP(C2807,소속부서!$A$2:$B$20,2,FALSE), "")</f>
        <v/>
      </c>
    </row>
    <row r="2808" spans="3:4" x14ac:dyDescent="0.3">
      <c r="C2808" s="35">
        <f t="shared" si="43"/>
        <v>0</v>
      </c>
      <c r="D2808" s="30" t="str">
        <f>IFERROR(VLOOKUP(C2808,소속부서!$A$2:$B$20,2,FALSE), "")</f>
        <v/>
      </c>
    </row>
    <row r="2809" spans="3:4" x14ac:dyDescent="0.3">
      <c r="C2809" s="35">
        <f t="shared" si="43"/>
        <v>0</v>
      </c>
      <c r="D2809" s="30" t="str">
        <f>IFERROR(VLOOKUP(C2809,소속부서!$A$2:$B$20,2,FALSE), "")</f>
        <v/>
      </c>
    </row>
    <row r="2810" spans="3:4" x14ac:dyDescent="0.3">
      <c r="C2810" s="35">
        <f t="shared" si="43"/>
        <v>0</v>
      </c>
      <c r="D2810" s="30" t="str">
        <f>IFERROR(VLOOKUP(C2810,소속부서!$A$2:$B$20,2,FALSE), "")</f>
        <v/>
      </c>
    </row>
    <row r="2811" spans="3:4" x14ac:dyDescent="0.3">
      <c r="C2811" s="35">
        <f t="shared" si="43"/>
        <v>0</v>
      </c>
      <c r="D2811" s="30" t="str">
        <f>IFERROR(VLOOKUP(C2811,소속부서!$A$2:$B$20,2,FALSE), "")</f>
        <v/>
      </c>
    </row>
    <row r="2812" spans="3:4" x14ac:dyDescent="0.3">
      <c r="C2812" s="35">
        <f t="shared" si="43"/>
        <v>0</v>
      </c>
      <c r="D2812" s="30" t="str">
        <f>IFERROR(VLOOKUP(C2812,소속부서!$A$2:$B$20,2,FALSE), "")</f>
        <v/>
      </c>
    </row>
    <row r="2813" spans="3:4" x14ac:dyDescent="0.3">
      <c r="C2813" s="35">
        <f t="shared" si="43"/>
        <v>0</v>
      </c>
      <c r="D2813" s="30" t="str">
        <f>IFERROR(VLOOKUP(C2813,소속부서!$A$2:$B$20,2,FALSE), "")</f>
        <v/>
      </c>
    </row>
    <row r="2814" spans="3:4" x14ac:dyDescent="0.3">
      <c r="C2814" s="35">
        <f t="shared" si="43"/>
        <v>0</v>
      </c>
      <c r="D2814" s="30" t="str">
        <f>IFERROR(VLOOKUP(C2814,소속부서!$A$2:$B$20,2,FALSE), "")</f>
        <v/>
      </c>
    </row>
    <row r="2815" spans="3:4" x14ac:dyDescent="0.3">
      <c r="C2815" s="35">
        <f t="shared" si="43"/>
        <v>0</v>
      </c>
      <c r="D2815" s="30" t="str">
        <f>IFERROR(VLOOKUP(C2815,소속부서!$A$2:$B$20,2,FALSE), "")</f>
        <v/>
      </c>
    </row>
    <row r="2816" spans="3:4" x14ac:dyDescent="0.3">
      <c r="C2816" s="35">
        <f t="shared" si="43"/>
        <v>0</v>
      </c>
      <c r="D2816" s="30" t="str">
        <f>IFERROR(VLOOKUP(C2816,소속부서!$A$2:$B$20,2,FALSE), "")</f>
        <v/>
      </c>
    </row>
    <row r="2817" spans="3:4" x14ac:dyDescent="0.3">
      <c r="C2817" s="35">
        <f t="shared" ref="C2817:C2880" si="44">E2817</f>
        <v>0</v>
      </c>
      <c r="D2817" s="30" t="str">
        <f>IFERROR(VLOOKUP(C2817,소속부서!$A$2:$B$20,2,FALSE), "")</f>
        <v/>
      </c>
    </row>
    <row r="2818" spans="3:4" x14ac:dyDescent="0.3">
      <c r="C2818" s="35">
        <f t="shared" si="44"/>
        <v>0</v>
      </c>
      <c r="D2818" s="30" t="str">
        <f>IFERROR(VLOOKUP(C2818,소속부서!$A$2:$B$20,2,FALSE), "")</f>
        <v/>
      </c>
    </row>
    <row r="2819" spans="3:4" x14ac:dyDescent="0.3">
      <c r="C2819" s="35">
        <f t="shared" si="44"/>
        <v>0</v>
      </c>
      <c r="D2819" s="30" t="str">
        <f>IFERROR(VLOOKUP(C2819,소속부서!$A$2:$B$20,2,FALSE), "")</f>
        <v/>
      </c>
    </row>
    <row r="2820" spans="3:4" x14ac:dyDescent="0.3">
      <c r="C2820" s="35">
        <f t="shared" si="44"/>
        <v>0</v>
      </c>
      <c r="D2820" s="30" t="str">
        <f>IFERROR(VLOOKUP(C2820,소속부서!$A$2:$B$20,2,FALSE), "")</f>
        <v/>
      </c>
    </row>
    <row r="2821" spans="3:4" x14ac:dyDescent="0.3">
      <c r="C2821" s="35">
        <f t="shared" si="44"/>
        <v>0</v>
      </c>
      <c r="D2821" s="30" t="str">
        <f>IFERROR(VLOOKUP(C2821,소속부서!$A$2:$B$20,2,FALSE), "")</f>
        <v/>
      </c>
    </row>
    <row r="2822" spans="3:4" x14ac:dyDescent="0.3">
      <c r="C2822" s="35">
        <f t="shared" si="44"/>
        <v>0</v>
      </c>
      <c r="D2822" s="30" t="str">
        <f>IFERROR(VLOOKUP(C2822,소속부서!$A$2:$B$20,2,FALSE), "")</f>
        <v/>
      </c>
    </row>
    <row r="2823" spans="3:4" x14ac:dyDescent="0.3">
      <c r="C2823" s="35">
        <f t="shared" si="44"/>
        <v>0</v>
      </c>
      <c r="D2823" s="30" t="str">
        <f>IFERROR(VLOOKUP(C2823,소속부서!$A$2:$B$20,2,FALSE), "")</f>
        <v/>
      </c>
    </row>
    <row r="2824" spans="3:4" x14ac:dyDescent="0.3">
      <c r="C2824" s="35">
        <f t="shared" si="44"/>
        <v>0</v>
      </c>
      <c r="D2824" s="30" t="str">
        <f>IFERROR(VLOOKUP(C2824,소속부서!$A$2:$B$20,2,FALSE), "")</f>
        <v/>
      </c>
    </row>
    <row r="2825" spans="3:4" x14ac:dyDescent="0.3">
      <c r="C2825" s="35">
        <f t="shared" si="44"/>
        <v>0</v>
      </c>
      <c r="D2825" s="30" t="str">
        <f>IFERROR(VLOOKUP(C2825,소속부서!$A$2:$B$20,2,FALSE), "")</f>
        <v/>
      </c>
    </row>
    <row r="2826" spans="3:4" x14ac:dyDescent="0.3">
      <c r="C2826" s="35">
        <f t="shared" si="44"/>
        <v>0</v>
      </c>
      <c r="D2826" s="30" t="str">
        <f>IFERROR(VLOOKUP(C2826,소속부서!$A$2:$B$20,2,FALSE), "")</f>
        <v/>
      </c>
    </row>
    <row r="2827" spans="3:4" x14ac:dyDescent="0.3">
      <c r="C2827" s="35">
        <f t="shared" si="44"/>
        <v>0</v>
      </c>
      <c r="D2827" s="30" t="str">
        <f>IFERROR(VLOOKUP(C2827,소속부서!$A$2:$B$20,2,FALSE), "")</f>
        <v/>
      </c>
    </row>
    <row r="2828" spans="3:4" x14ac:dyDescent="0.3">
      <c r="C2828" s="35">
        <f t="shared" si="44"/>
        <v>0</v>
      </c>
      <c r="D2828" s="30" t="str">
        <f>IFERROR(VLOOKUP(C2828,소속부서!$A$2:$B$20,2,FALSE), "")</f>
        <v/>
      </c>
    </row>
    <row r="2829" spans="3:4" x14ac:dyDescent="0.3">
      <c r="C2829" s="35">
        <f t="shared" si="44"/>
        <v>0</v>
      </c>
      <c r="D2829" s="30" t="str">
        <f>IFERROR(VLOOKUP(C2829,소속부서!$A$2:$B$20,2,FALSE), "")</f>
        <v/>
      </c>
    </row>
    <row r="2830" spans="3:4" x14ac:dyDescent="0.3">
      <c r="C2830" s="35">
        <f t="shared" si="44"/>
        <v>0</v>
      </c>
      <c r="D2830" s="30" t="str">
        <f>IFERROR(VLOOKUP(C2830,소속부서!$A$2:$B$20,2,FALSE), "")</f>
        <v/>
      </c>
    </row>
    <row r="2831" spans="3:4" x14ac:dyDescent="0.3">
      <c r="C2831" s="35">
        <f t="shared" si="44"/>
        <v>0</v>
      </c>
      <c r="D2831" s="30" t="str">
        <f>IFERROR(VLOOKUP(C2831,소속부서!$A$2:$B$20,2,FALSE), "")</f>
        <v/>
      </c>
    </row>
    <row r="2832" spans="3:4" x14ac:dyDescent="0.3">
      <c r="C2832" s="35">
        <f t="shared" si="44"/>
        <v>0</v>
      </c>
      <c r="D2832" s="30" t="str">
        <f>IFERROR(VLOOKUP(C2832,소속부서!$A$2:$B$20,2,FALSE), "")</f>
        <v/>
      </c>
    </row>
    <row r="2833" spans="3:4" x14ac:dyDescent="0.3">
      <c r="C2833" s="35">
        <f t="shared" si="44"/>
        <v>0</v>
      </c>
      <c r="D2833" s="30" t="str">
        <f>IFERROR(VLOOKUP(C2833,소속부서!$A$2:$B$20,2,FALSE), "")</f>
        <v/>
      </c>
    </row>
    <row r="2834" spans="3:4" x14ac:dyDescent="0.3">
      <c r="C2834" s="35">
        <f t="shared" si="44"/>
        <v>0</v>
      </c>
      <c r="D2834" s="30" t="str">
        <f>IFERROR(VLOOKUP(C2834,소속부서!$A$2:$B$20,2,FALSE), "")</f>
        <v/>
      </c>
    </row>
    <row r="2835" spans="3:4" x14ac:dyDescent="0.3">
      <c r="C2835" s="35">
        <f t="shared" si="44"/>
        <v>0</v>
      </c>
      <c r="D2835" s="30" t="str">
        <f>IFERROR(VLOOKUP(C2835,소속부서!$A$2:$B$20,2,FALSE), "")</f>
        <v/>
      </c>
    </row>
    <row r="2836" spans="3:4" x14ac:dyDescent="0.3">
      <c r="C2836" s="35">
        <f t="shared" si="44"/>
        <v>0</v>
      </c>
      <c r="D2836" s="30" t="str">
        <f>IFERROR(VLOOKUP(C2836,소속부서!$A$2:$B$20,2,FALSE), "")</f>
        <v/>
      </c>
    </row>
    <row r="2837" spans="3:4" x14ac:dyDescent="0.3">
      <c r="C2837" s="35">
        <f t="shared" si="44"/>
        <v>0</v>
      </c>
      <c r="D2837" s="30" t="str">
        <f>IFERROR(VLOOKUP(C2837,소속부서!$A$2:$B$20,2,FALSE), "")</f>
        <v/>
      </c>
    </row>
    <row r="2838" spans="3:4" x14ac:dyDescent="0.3">
      <c r="C2838" s="35">
        <f t="shared" si="44"/>
        <v>0</v>
      </c>
      <c r="D2838" s="30" t="str">
        <f>IFERROR(VLOOKUP(C2838,소속부서!$A$2:$B$20,2,FALSE), "")</f>
        <v/>
      </c>
    </row>
    <row r="2839" spans="3:4" x14ac:dyDescent="0.3">
      <c r="C2839" s="35">
        <f t="shared" si="44"/>
        <v>0</v>
      </c>
      <c r="D2839" s="30" t="str">
        <f>IFERROR(VLOOKUP(C2839,소속부서!$A$2:$B$20,2,FALSE), "")</f>
        <v/>
      </c>
    </row>
    <row r="2840" spans="3:4" x14ac:dyDescent="0.3">
      <c r="C2840" s="35">
        <f t="shared" si="44"/>
        <v>0</v>
      </c>
      <c r="D2840" s="30" t="str">
        <f>IFERROR(VLOOKUP(C2840,소속부서!$A$2:$B$20,2,FALSE), "")</f>
        <v/>
      </c>
    </row>
    <row r="2841" spans="3:4" x14ac:dyDescent="0.3">
      <c r="C2841" s="35">
        <f t="shared" si="44"/>
        <v>0</v>
      </c>
      <c r="D2841" s="30" t="str">
        <f>IFERROR(VLOOKUP(C2841,소속부서!$A$2:$B$20,2,FALSE), "")</f>
        <v/>
      </c>
    </row>
    <row r="2842" spans="3:4" x14ac:dyDescent="0.3">
      <c r="C2842" s="35">
        <f t="shared" si="44"/>
        <v>0</v>
      </c>
      <c r="D2842" s="30" t="str">
        <f>IFERROR(VLOOKUP(C2842,소속부서!$A$2:$B$20,2,FALSE), "")</f>
        <v/>
      </c>
    </row>
    <row r="2843" spans="3:4" x14ac:dyDescent="0.3">
      <c r="C2843" s="35">
        <f t="shared" si="44"/>
        <v>0</v>
      </c>
      <c r="D2843" s="30" t="str">
        <f>IFERROR(VLOOKUP(C2843,소속부서!$A$2:$B$20,2,FALSE), "")</f>
        <v/>
      </c>
    </row>
    <row r="2844" spans="3:4" x14ac:dyDescent="0.3">
      <c r="C2844" s="35">
        <f t="shared" si="44"/>
        <v>0</v>
      </c>
      <c r="D2844" s="30" t="str">
        <f>IFERROR(VLOOKUP(C2844,소속부서!$A$2:$B$20,2,FALSE), "")</f>
        <v/>
      </c>
    </row>
    <row r="2845" spans="3:4" x14ac:dyDescent="0.3">
      <c r="C2845" s="35">
        <f t="shared" si="44"/>
        <v>0</v>
      </c>
      <c r="D2845" s="30" t="str">
        <f>IFERROR(VLOOKUP(C2845,소속부서!$A$2:$B$20,2,FALSE), "")</f>
        <v/>
      </c>
    </row>
    <row r="2846" spans="3:4" x14ac:dyDescent="0.3">
      <c r="C2846" s="35">
        <f t="shared" si="44"/>
        <v>0</v>
      </c>
      <c r="D2846" s="30" t="str">
        <f>IFERROR(VLOOKUP(C2846,소속부서!$A$2:$B$20,2,FALSE), "")</f>
        <v/>
      </c>
    </row>
    <row r="2847" spans="3:4" x14ac:dyDescent="0.3">
      <c r="C2847" s="35">
        <f t="shared" si="44"/>
        <v>0</v>
      </c>
      <c r="D2847" s="30" t="str">
        <f>IFERROR(VLOOKUP(C2847,소속부서!$A$2:$B$20,2,FALSE), "")</f>
        <v/>
      </c>
    </row>
    <row r="2848" spans="3:4" x14ac:dyDescent="0.3">
      <c r="C2848" s="35">
        <f t="shared" si="44"/>
        <v>0</v>
      </c>
      <c r="D2848" s="30" t="str">
        <f>IFERROR(VLOOKUP(C2848,소속부서!$A$2:$B$20,2,FALSE), "")</f>
        <v/>
      </c>
    </row>
    <row r="2849" spans="3:4" x14ac:dyDescent="0.3">
      <c r="C2849" s="35">
        <f t="shared" si="44"/>
        <v>0</v>
      </c>
      <c r="D2849" s="30" t="str">
        <f>IFERROR(VLOOKUP(C2849,소속부서!$A$2:$B$20,2,FALSE), "")</f>
        <v/>
      </c>
    </row>
    <row r="2850" spans="3:4" x14ac:dyDescent="0.3">
      <c r="C2850" s="35">
        <f t="shared" si="44"/>
        <v>0</v>
      </c>
      <c r="D2850" s="30" t="str">
        <f>IFERROR(VLOOKUP(C2850,소속부서!$A$2:$B$20,2,FALSE), "")</f>
        <v/>
      </c>
    </row>
    <row r="2851" spans="3:4" x14ac:dyDescent="0.3">
      <c r="C2851" s="35">
        <f t="shared" si="44"/>
        <v>0</v>
      </c>
      <c r="D2851" s="30" t="str">
        <f>IFERROR(VLOOKUP(C2851,소속부서!$A$2:$B$20,2,FALSE), "")</f>
        <v/>
      </c>
    </row>
    <row r="2852" spans="3:4" x14ac:dyDescent="0.3">
      <c r="C2852" s="35">
        <f t="shared" si="44"/>
        <v>0</v>
      </c>
      <c r="D2852" s="30" t="str">
        <f>IFERROR(VLOOKUP(C2852,소속부서!$A$2:$B$20,2,FALSE), "")</f>
        <v/>
      </c>
    </row>
    <row r="2853" spans="3:4" x14ac:dyDescent="0.3">
      <c r="C2853" s="35">
        <f t="shared" si="44"/>
        <v>0</v>
      </c>
      <c r="D2853" s="30" t="str">
        <f>IFERROR(VLOOKUP(C2853,소속부서!$A$2:$B$20,2,FALSE), "")</f>
        <v/>
      </c>
    </row>
    <row r="2854" spans="3:4" x14ac:dyDescent="0.3">
      <c r="C2854" s="35">
        <f t="shared" si="44"/>
        <v>0</v>
      </c>
      <c r="D2854" s="30" t="str">
        <f>IFERROR(VLOOKUP(C2854,소속부서!$A$2:$B$20,2,FALSE), "")</f>
        <v/>
      </c>
    </row>
    <row r="2855" spans="3:4" x14ac:dyDescent="0.3">
      <c r="C2855" s="35">
        <f t="shared" si="44"/>
        <v>0</v>
      </c>
      <c r="D2855" s="30" t="str">
        <f>IFERROR(VLOOKUP(C2855,소속부서!$A$2:$B$20,2,FALSE), "")</f>
        <v/>
      </c>
    </row>
    <row r="2856" spans="3:4" x14ac:dyDescent="0.3">
      <c r="C2856" s="35">
        <f t="shared" si="44"/>
        <v>0</v>
      </c>
      <c r="D2856" s="30" t="str">
        <f>IFERROR(VLOOKUP(C2856,소속부서!$A$2:$B$20,2,FALSE), "")</f>
        <v/>
      </c>
    </row>
    <row r="2857" spans="3:4" x14ac:dyDescent="0.3">
      <c r="C2857" s="35">
        <f t="shared" si="44"/>
        <v>0</v>
      </c>
      <c r="D2857" s="30" t="str">
        <f>IFERROR(VLOOKUP(C2857,소속부서!$A$2:$B$20,2,FALSE), "")</f>
        <v/>
      </c>
    </row>
    <row r="2858" spans="3:4" x14ac:dyDescent="0.3">
      <c r="C2858" s="35">
        <f t="shared" si="44"/>
        <v>0</v>
      </c>
      <c r="D2858" s="30" t="str">
        <f>IFERROR(VLOOKUP(C2858,소속부서!$A$2:$B$20,2,FALSE), "")</f>
        <v/>
      </c>
    </row>
    <row r="2859" spans="3:4" x14ac:dyDescent="0.3">
      <c r="C2859" s="35">
        <f t="shared" si="44"/>
        <v>0</v>
      </c>
      <c r="D2859" s="30" t="str">
        <f>IFERROR(VLOOKUP(C2859,소속부서!$A$2:$B$20,2,FALSE), "")</f>
        <v/>
      </c>
    </row>
    <row r="2860" spans="3:4" x14ac:dyDescent="0.3">
      <c r="C2860" s="35">
        <f t="shared" si="44"/>
        <v>0</v>
      </c>
      <c r="D2860" s="30" t="str">
        <f>IFERROR(VLOOKUP(C2860,소속부서!$A$2:$B$20,2,FALSE), "")</f>
        <v/>
      </c>
    </row>
    <row r="2861" spans="3:4" x14ac:dyDescent="0.3">
      <c r="C2861" s="35">
        <f t="shared" si="44"/>
        <v>0</v>
      </c>
      <c r="D2861" s="30" t="str">
        <f>IFERROR(VLOOKUP(C2861,소속부서!$A$2:$B$20,2,FALSE), "")</f>
        <v/>
      </c>
    </row>
    <row r="2862" spans="3:4" x14ac:dyDescent="0.3">
      <c r="C2862" s="35">
        <f t="shared" si="44"/>
        <v>0</v>
      </c>
      <c r="D2862" s="30" t="str">
        <f>IFERROR(VLOOKUP(C2862,소속부서!$A$2:$B$20,2,FALSE), "")</f>
        <v/>
      </c>
    </row>
    <row r="2863" spans="3:4" x14ac:dyDescent="0.3">
      <c r="C2863" s="35">
        <f t="shared" si="44"/>
        <v>0</v>
      </c>
      <c r="D2863" s="30" t="str">
        <f>IFERROR(VLOOKUP(C2863,소속부서!$A$2:$B$20,2,FALSE), "")</f>
        <v/>
      </c>
    </row>
    <row r="2864" spans="3:4" x14ac:dyDescent="0.3">
      <c r="C2864" s="35">
        <f t="shared" si="44"/>
        <v>0</v>
      </c>
      <c r="D2864" s="30" t="str">
        <f>IFERROR(VLOOKUP(C2864,소속부서!$A$2:$B$20,2,FALSE), "")</f>
        <v/>
      </c>
    </row>
    <row r="2865" spans="3:4" x14ac:dyDescent="0.3">
      <c r="C2865" s="35">
        <f t="shared" si="44"/>
        <v>0</v>
      </c>
      <c r="D2865" s="30" t="str">
        <f>IFERROR(VLOOKUP(C2865,소속부서!$A$2:$B$20,2,FALSE), "")</f>
        <v/>
      </c>
    </row>
    <row r="2866" spans="3:4" x14ac:dyDescent="0.3">
      <c r="C2866" s="35">
        <f t="shared" si="44"/>
        <v>0</v>
      </c>
      <c r="D2866" s="30" t="str">
        <f>IFERROR(VLOOKUP(C2866,소속부서!$A$2:$B$20,2,FALSE), "")</f>
        <v/>
      </c>
    </row>
    <row r="2867" spans="3:4" x14ac:dyDescent="0.3">
      <c r="C2867" s="35">
        <f t="shared" si="44"/>
        <v>0</v>
      </c>
      <c r="D2867" s="30" t="str">
        <f>IFERROR(VLOOKUP(C2867,소속부서!$A$2:$B$20,2,FALSE), "")</f>
        <v/>
      </c>
    </row>
    <row r="2868" spans="3:4" x14ac:dyDescent="0.3">
      <c r="C2868" s="35">
        <f t="shared" si="44"/>
        <v>0</v>
      </c>
      <c r="D2868" s="30" t="str">
        <f>IFERROR(VLOOKUP(C2868,소속부서!$A$2:$B$20,2,FALSE), "")</f>
        <v/>
      </c>
    </row>
    <row r="2869" spans="3:4" x14ac:dyDescent="0.3">
      <c r="C2869" s="35">
        <f t="shared" si="44"/>
        <v>0</v>
      </c>
      <c r="D2869" s="30" t="str">
        <f>IFERROR(VLOOKUP(C2869,소속부서!$A$2:$B$20,2,FALSE), "")</f>
        <v/>
      </c>
    </row>
    <row r="2870" spans="3:4" x14ac:dyDescent="0.3">
      <c r="C2870" s="35">
        <f t="shared" si="44"/>
        <v>0</v>
      </c>
      <c r="D2870" s="30" t="str">
        <f>IFERROR(VLOOKUP(C2870,소속부서!$A$2:$B$20,2,FALSE), "")</f>
        <v/>
      </c>
    </row>
    <row r="2871" spans="3:4" x14ac:dyDescent="0.3">
      <c r="C2871" s="35">
        <f t="shared" si="44"/>
        <v>0</v>
      </c>
      <c r="D2871" s="30" t="str">
        <f>IFERROR(VLOOKUP(C2871,소속부서!$A$2:$B$20,2,FALSE), "")</f>
        <v/>
      </c>
    </row>
    <row r="2872" spans="3:4" x14ac:dyDescent="0.3">
      <c r="C2872" s="35">
        <f t="shared" si="44"/>
        <v>0</v>
      </c>
      <c r="D2872" s="30" t="str">
        <f>IFERROR(VLOOKUP(C2872,소속부서!$A$2:$B$20,2,FALSE), "")</f>
        <v/>
      </c>
    </row>
    <row r="2873" spans="3:4" x14ac:dyDescent="0.3">
      <c r="C2873" s="35">
        <f t="shared" si="44"/>
        <v>0</v>
      </c>
      <c r="D2873" s="30" t="str">
        <f>IFERROR(VLOOKUP(C2873,소속부서!$A$2:$B$20,2,FALSE), "")</f>
        <v/>
      </c>
    </row>
    <row r="2874" spans="3:4" x14ac:dyDescent="0.3">
      <c r="C2874" s="35">
        <f t="shared" si="44"/>
        <v>0</v>
      </c>
      <c r="D2874" s="30" t="str">
        <f>IFERROR(VLOOKUP(C2874,소속부서!$A$2:$B$20,2,FALSE), "")</f>
        <v/>
      </c>
    </row>
    <row r="2875" spans="3:4" x14ac:dyDescent="0.3">
      <c r="C2875" s="35">
        <f t="shared" si="44"/>
        <v>0</v>
      </c>
      <c r="D2875" s="30" t="str">
        <f>IFERROR(VLOOKUP(C2875,소속부서!$A$2:$B$20,2,FALSE), "")</f>
        <v/>
      </c>
    </row>
    <row r="2876" spans="3:4" x14ac:dyDescent="0.3">
      <c r="C2876" s="35">
        <f t="shared" si="44"/>
        <v>0</v>
      </c>
      <c r="D2876" s="30" t="str">
        <f>IFERROR(VLOOKUP(C2876,소속부서!$A$2:$B$20,2,FALSE), "")</f>
        <v/>
      </c>
    </row>
    <row r="2877" spans="3:4" x14ac:dyDescent="0.3">
      <c r="C2877" s="35">
        <f t="shared" si="44"/>
        <v>0</v>
      </c>
      <c r="D2877" s="30" t="str">
        <f>IFERROR(VLOOKUP(C2877,소속부서!$A$2:$B$20,2,FALSE), "")</f>
        <v/>
      </c>
    </row>
    <row r="2878" spans="3:4" x14ac:dyDescent="0.3">
      <c r="C2878" s="35">
        <f t="shared" si="44"/>
        <v>0</v>
      </c>
      <c r="D2878" s="30" t="str">
        <f>IFERROR(VLOOKUP(C2878,소속부서!$A$2:$B$20,2,FALSE), "")</f>
        <v/>
      </c>
    </row>
    <row r="2879" spans="3:4" x14ac:dyDescent="0.3">
      <c r="C2879" s="35">
        <f t="shared" si="44"/>
        <v>0</v>
      </c>
      <c r="D2879" s="30" t="str">
        <f>IFERROR(VLOOKUP(C2879,소속부서!$A$2:$B$20,2,FALSE), "")</f>
        <v/>
      </c>
    </row>
    <row r="2880" spans="3:4" x14ac:dyDescent="0.3">
      <c r="C2880" s="35">
        <f t="shared" si="44"/>
        <v>0</v>
      </c>
      <c r="D2880" s="30" t="str">
        <f>IFERROR(VLOOKUP(C2880,소속부서!$A$2:$B$20,2,FALSE), "")</f>
        <v/>
      </c>
    </row>
    <row r="2881" spans="3:4" x14ac:dyDescent="0.3">
      <c r="C2881" s="35">
        <f t="shared" ref="C2881:C2944" si="45">E2881</f>
        <v>0</v>
      </c>
      <c r="D2881" s="30" t="str">
        <f>IFERROR(VLOOKUP(C2881,소속부서!$A$2:$B$20,2,FALSE), "")</f>
        <v/>
      </c>
    </row>
    <row r="2882" spans="3:4" x14ac:dyDescent="0.3">
      <c r="C2882" s="35">
        <f t="shared" si="45"/>
        <v>0</v>
      </c>
      <c r="D2882" s="30" t="str">
        <f>IFERROR(VLOOKUP(C2882,소속부서!$A$2:$B$20,2,FALSE), "")</f>
        <v/>
      </c>
    </row>
    <row r="2883" spans="3:4" x14ac:dyDescent="0.3">
      <c r="C2883" s="35">
        <f t="shared" si="45"/>
        <v>0</v>
      </c>
      <c r="D2883" s="30" t="str">
        <f>IFERROR(VLOOKUP(C2883,소속부서!$A$2:$B$20,2,FALSE), "")</f>
        <v/>
      </c>
    </row>
    <row r="2884" spans="3:4" x14ac:dyDescent="0.3">
      <c r="C2884" s="35">
        <f t="shared" si="45"/>
        <v>0</v>
      </c>
      <c r="D2884" s="30" t="str">
        <f>IFERROR(VLOOKUP(C2884,소속부서!$A$2:$B$20,2,FALSE), "")</f>
        <v/>
      </c>
    </row>
    <row r="2885" spans="3:4" x14ac:dyDescent="0.3">
      <c r="C2885" s="35">
        <f t="shared" si="45"/>
        <v>0</v>
      </c>
      <c r="D2885" s="30" t="str">
        <f>IFERROR(VLOOKUP(C2885,소속부서!$A$2:$B$20,2,FALSE), "")</f>
        <v/>
      </c>
    </row>
    <row r="2886" spans="3:4" x14ac:dyDescent="0.3">
      <c r="C2886" s="35">
        <f t="shared" si="45"/>
        <v>0</v>
      </c>
      <c r="D2886" s="30" t="str">
        <f>IFERROR(VLOOKUP(C2886,소속부서!$A$2:$B$20,2,FALSE), "")</f>
        <v/>
      </c>
    </row>
    <row r="2887" spans="3:4" x14ac:dyDescent="0.3">
      <c r="C2887" s="35">
        <f t="shared" si="45"/>
        <v>0</v>
      </c>
      <c r="D2887" s="30" t="str">
        <f>IFERROR(VLOOKUP(C2887,소속부서!$A$2:$B$20,2,FALSE), "")</f>
        <v/>
      </c>
    </row>
    <row r="2888" spans="3:4" x14ac:dyDescent="0.3">
      <c r="C2888" s="35">
        <f t="shared" si="45"/>
        <v>0</v>
      </c>
      <c r="D2888" s="30" t="str">
        <f>IFERROR(VLOOKUP(C2888,소속부서!$A$2:$B$20,2,FALSE), "")</f>
        <v/>
      </c>
    </row>
    <row r="2889" spans="3:4" x14ac:dyDescent="0.3">
      <c r="C2889" s="35">
        <f t="shared" si="45"/>
        <v>0</v>
      </c>
      <c r="D2889" s="30" t="str">
        <f>IFERROR(VLOOKUP(C2889,소속부서!$A$2:$B$20,2,FALSE), "")</f>
        <v/>
      </c>
    </row>
    <row r="2890" spans="3:4" x14ac:dyDescent="0.3">
      <c r="C2890" s="35">
        <f t="shared" si="45"/>
        <v>0</v>
      </c>
      <c r="D2890" s="30" t="str">
        <f>IFERROR(VLOOKUP(C2890,소속부서!$A$2:$B$20,2,FALSE), "")</f>
        <v/>
      </c>
    </row>
    <row r="2891" spans="3:4" x14ac:dyDescent="0.3">
      <c r="C2891" s="35">
        <f t="shared" si="45"/>
        <v>0</v>
      </c>
      <c r="D2891" s="30" t="str">
        <f>IFERROR(VLOOKUP(C2891,소속부서!$A$2:$B$20,2,FALSE), "")</f>
        <v/>
      </c>
    </row>
    <row r="2892" spans="3:4" x14ac:dyDescent="0.3">
      <c r="C2892" s="35">
        <f t="shared" si="45"/>
        <v>0</v>
      </c>
      <c r="D2892" s="30" t="str">
        <f>IFERROR(VLOOKUP(C2892,소속부서!$A$2:$B$20,2,FALSE), "")</f>
        <v/>
      </c>
    </row>
    <row r="2893" spans="3:4" x14ac:dyDescent="0.3">
      <c r="C2893" s="35">
        <f t="shared" si="45"/>
        <v>0</v>
      </c>
      <c r="D2893" s="30" t="str">
        <f>IFERROR(VLOOKUP(C2893,소속부서!$A$2:$B$20,2,FALSE), "")</f>
        <v/>
      </c>
    </row>
    <row r="2894" spans="3:4" x14ac:dyDescent="0.3">
      <c r="C2894" s="35">
        <f t="shared" si="45"/>
        <v>0</v>
      </c>
      <c r="D2894" s="30" t="str">
        <f>IFERROR(VLOOKUP(C2894,소속부서!$A$2:$B$20,2,FALSE), "")</f>
        <v/>
      </c>
    </row>
    <row r="2895" spans="3:4" x14ac:dyDescent="0.3">
      <c r="C2895" s="35">
        <f t="shared" si="45"/>
        <v>0</v>
      </c>
      <c r="D2895" s="30" t="str">
        <f>IFERROR(VLOOKUP(C2895,소속부서!$A$2:$B$20,2,FALSE), "")</f>
        <v/>
      </c>
    </row>
    <row r="2896" spans="3:4" x14ac:dyDescent="0.3">
      <c r="C2896" s="35">
        <f t="shared" si="45"/>
        <v>0</v>
      </c>
      <c r="D2896" s="30" t="str">
        <f>IFERROR(VLOOKUP(C2896,소속부서!$A$2:$B$20,2,FALSE), "")</f>
        <v/>
      </c>
    </row>
    <row r="2897" spans="3:4" x14ac:dyDescent="0.3">
      <c r="C2897" s="35">
        <f t="shared" si="45"/>
        <v>0</v>
      </c>
      <c r="D2897" s="30" t="str">
        <f>IFERROR(VLOOKUP(C2897,소속부서!$A$2:$B$20,2,FALSE), "")</f>
        <v/>
      </c>
    </row>
    <row r="2898" spans="3:4" x14ac:dyDescent="0.3">
      <c r="C2898" s="35">
        <f t="shared" si="45"/>
        <v>0</v>
      </c>
      <c r="D2898" s="30" t="str">
        <f>IFERROR(VLOOKUP(C2898,소속부서!$A$2:$B$20,2,FALSE), "")</f>
        <v/>
      </c>
    </row>
    <row r="2899" spans="3:4" x14ac:dyDescent="0.3">
      <c r="C2899" s="35">
        <f t="shared" si="45"/>
        <v>0</v>
      </c>
      <c r="D2899" s="30" t="str">
        <f>IFERROR(VLOOKUP(C2899,소속부서!$A$2:$B$20,2,FALSE), "")</f>
        <v/>
      </c>
    </row>
    <row r="2900" spans="3:4" x14ac:dyDescent="0.3">
      <c r="C2900" s="35">
        <f t="shared" si="45"/>
        <v>0</v>
      </c>
      <c r="D2900" s="30" t="str">
        <f>IFERROR(VLOOKUP(C2900,소속부서!$A$2:$B$20,2,FALSE), "")</f>
        <v/>
      </c>
    </row>
    <row r="2901" spans="3:4" x14ac:dyDescent="0.3">
      <c r="C2901" s="35">
        <f t="shared" si="45"/>
        <v>0</v>
      </c>
      <c r="D2901" s="30" t="str">
        <f>IFERROR(VLOOKUP(C2901,소속부서!$A$2:$B$20,2,FALSE), "")</f>
        <v/>
      </c>
    </row>
    <row r="2902" spans="3:4" x14ac:dyDescent="0.3">
      <c r="C2902" s="35">
        <f t="shared" si="45"/>
        <v>0</v>
      </c>
      <c r="D2902" s="30" t="str">
        <f>IFERROR(VLOOKUP(C2902,소속부서!$A$2:$B$20,2,FALSE), "")</f>
        <v/>
      </c>
    </row>
    <row r="2903" spans="3:4" x14ac:dyDescent="0.3">
      <c r="C2903" s="35">
        <f t="shared" si="45"/>
        <v>0</v>
      </c>
      <c r="D2903" s="30" t="str">
        <f>IFERROR(VLOOKUP(C2903,소속부서!$A$2:$B$20,2,FALSE), "")</f>
        <v/>
      </c>
    </row>
    <row r="2904" spans="3:4" x14ac:dyDescent="0.3">
      <c r="C2904" s="35">
        <f t="shared" si="45"/>
        <v>0</v>
      </c>
      <c r="D2904" s="30" t="str">
        <f>IFERROR(VLOOKUP(C2904,소속부서!$A$2:$B$20,2,FALSE), "")</f>
        <v/>
      </c>
    </row>
    <row r="2905" spans="3:4" x14ac:dyDescent="0.3">
      <c r="C2905" s="35">
        <f t="shared" si="45"/>
        <v>0</v>
      </c>
      <c r="D2905" s="30" t="str">
        <f>IFERROR(VLOOKUP(C2905,소속부서!$A$2:$B$20,2,FALSE), "")</f>
        <v/>
      </c>
    </row>
    <row r="2906" spans="3:4" x14ac:dyDescent="0.3">
      <c r="C2906" s="35">
        <f t="shared" si="45"/>
        <v>0</v>
      </c>
      <c r="D2906" s="30" t="str">
        <f>IFERROR(VLOOKUP(C2906,소속부서!$A$2:$B$20,2,FALSE), "")</f>
        <v/>
      </c>
    </row>
    <row r="2907" spans="3:4" x14ac:dyDescent="0.3">
      <c r="C2907" s="35">
        <f t="shared" si="45"/>
        <v>0</v>
      </c>
      <c r="D2907" s="30" t="str">
        <f>IFERROR(VLOOKUP(C2907,소속부서!$A$2:$B$20,2,FALSE), "")</f>
        <v/>
      </c>
    </row>
    <row r="2908" spans="3:4" x14ac:dyDescent="0.3">
      <c r="C2908" s="35">
        <f t="shared" si="45"/>
        <v>0</v>
      </c>
      <c r="D2908" s="30" t="str">
        <f>IFERROR(VLOOKUP(C2908,소속부서!$A$2:$B$20,2,FALSE), "")</f>
        <v/>
      </c>
    </row>
    <row r="2909" spans="3:4" x14ac:dyDescent="0.3">
      <c r="C2909" s="35">
        <f t="shared" si="45"/>
        <v>0</v>
      </c>
      <c r="D2909" s="30" t="str">
        <f>IFERROR(VLOOKUP(C2909,소속부서!$A$2:$B$20,2,FALSE), "")</f>
        <v/>
      </c>
    </row>
    <row r="2910" spans="3:4" x14ac:dyDescent="0.3">
      <c r="C2910" s="35">
        <f t="shared" si="45"/>
        <v>0</v>
      </c>
      <c r="D2910" s="30" t="str">
        <f>IFERROR(VLOOKUP(C2910,소속부서!$A$2:$B$20,2,FALSE), "")</f>
        <v/>
      </c>
    </row>
    <row r="2911" spans="3:4" x14ac:dyDescent="0.3">
      <c r="C2911" s="35">
        <f t="shared" si="45"/>
        <v>0</v>
      </c>
      <c r="D2911" s="30" t="str">
        <f>IFERROR(VLOOKUP(C2911,소속부서!$A$2:$B$20,2,FALSE), "")</f>
        <v/>
      </c>
    </row>
    <row r="2912" spans="3:4" x14ac:dyDescent="0.3">
      <c r="C2912" s="35">
        <f t="shared" si="45"/>
        <v>0</v>
      </c>
      <c r="D2912" s="30" t="str">
        <f>IFERROR(VLOOKUP(C2912,소속부서!$A$2:$B$20,2,FALSE), "")</f>
        <v/>
      </c>
    </row>
    <row r="2913" spans="3:4" x14ac:dyDescent="0.3">
      <c r="C2913" s="35">
        <f t="shared" si="45"/>
        <v>0</v>
      </c>
      <c r="D2913" s="30" t="str">
        <f>IFERROR(VLOOKUP(C2913,소속부서!$A$2:$B$20,2,FALSE), "")</f>
        <v/>
      </c>
    </row>
    <row r="2914" spans="3:4" x14ac:dyDescent="0.3">
      <c r="C2914" s="35">
        <f t="shared" si="45"/>
        <v>0</v>
      </c>
      <c r="D2914" s="30" t="str">
        <f>IFERROR(VLOOKUP(C2914,소속부서!$A$2:$B$20,2,FALSE), "")</f>
        <v/>
      </c>
    </row>
    <row r="2915" spans="3:4" x14ac:dyDescent="0.3">
      <c r="C2915" s="35">
        <f t="shared" si="45"/>
        <v>0</v>
      </c>
      <c r="D2915" s="30" t="str">
        <f>IFERROR(VLOOKUP(C2915,소속부서!$A$2:$B$20,2,FALSE), "")</f>
        <v/>
      </c>
    </row>
    <row r="2916" spans="3:4" x14ac:dyDescent="0.3">
      <c r="C2916" s="35">
        <f t="shared" si="45"/>
        <v>0</v>
      </c>
      <c r="D2916" s="30" t="str">
        <f>IFERROR(VLOOKUP(C2916,소속부서!$A$2:$B$20,2,FALSE), "")</f>
        <v/>
      </c>
    </row>
    <row r="2917" spans="3:4" x14ac:dyDescent="0.3">
      <c r="C2917" s="35">
        <f t="shared" si="45"/>
        <v>0</v>
      </c>
      <c r="D2917" s="30" t="str">
        <f>IFERROR(VLOOKUP(C2917,소속부서!$A$2:$B$20,2,FALSE), "")</f>
        <v/>
      </c>
    </row>
    <row r="2918" spans="3:4" x14ac:dyDescent="0.3">
      <c r="C2918" s="35">
        <f t="shared" si="45"/>
        <v>0</v>
      </c>
      <c r="D2918" s="30" t="str">
        <f>IFERROR(VLOOKUP(C2918,소속부서!$A$2:$B$20,2,FALSE), "")</f>
        <v/>
      </c>
    </row>
    <row r="2919" spans="3:4" x14ac:dyDescent="0.3">
      <c r="C2919" s="35">
        <f t="shared" si="45"/>
        <v>0</v>
      </c>
      <c r="D2919" s="30" t="str">
        <f>IFERROR(VLOOKUP(C2919,소속부서!$A$2:$B$20,2,FALSE), "")</f>
        <v/>
      </c>
    </row>
    <row r="2920" spans="3:4" x14ac:dyDescent="0.3">
      <c r="C2920" s="35">
        <f t="shared" si="45"/>
        <v>0</v>
      </c>
      <c r="D2920" s="30" t="str">
        <f>IFERROR(VLOOKUP(C2920,소속부서!$A$2:$B$20,2,FALSE), "")</f>
        <v/>
      </c>
    </row>
    <row r="2921" spans="3:4" x14ac:dyDescent="0.3">
      <c r="C2921" s="35">
        <f t="shared" si="45"/>
        <v>0</v>
      </c>
      <c r="D2921" s="30" t="str">
        <f>IFERROR(VLOOKUP(C2921,소속부서!$A$2:$B$20,2,FALSE), "")</f>
        <v/>
      </c>
    </row>
    <row r="2922" spans="3:4" x14ac:dyDescent="0.3">
      <c r="C2922" s="35">
        <f t="shared" si="45"/>
        <v>0</v>
      </c>
      <c r="D2922" s="30" t="str">
        <f>IFERROR(VLOOKUP(C2922,소속부서!$A$2:$B$20,2,FALSE), "")</f>
        <v/>
      </c>
    </row>
    <row r="2923" spans="3:4" x14ac:dyDescent="0.3">
      <c r="C2923" s="35">
        <f t="shared" si="45"/>
        <v>0</v>
      </c>
      <c r="D2923" s="30" t="str">
        <f>IFERROR(VLOOKUP(C2923,소속부서!$A$2:$B$20,2,FALSE), "")</f>
        <v/>
      </c>
    </row>
    <row r="2924" spans="3:4" x14ac:dyDescent="0.3">
      <c r="C2924" s="35">
        <f t="shared" si="45"/>
        <v>0</v>
      </c>
      <c r="D2924" s="30" t="str">
        <f>IFERROR(VLOOKUP(C2924,소속부서!$A$2:$B$20,2,FALSE), "")</f>
        <v/>
      </c>
    </row>
    <row r="2925" spans="3:4" x14ac:dyDescent="0.3">
      <c r="C2925" s="35">
        <f t="shared" si="45"/>
        <v>0</v>
      </c>
      <c r="D2925" s="30" t="str">
        <f>IFERROR(VLOOKUP(C2925,소속부서!$A$2:$B$20,2,FALSE), "")</f>
        <v/>
      </c>
    </row>
    <row r="2926" spans="3:4" x14ac:dyDescent="0.3">
      <c r="C2926" s="35">
        <f t="shared" si="45"/>
        <v>0</v>
      </c>
      <c r="D2926" s="30" t="str">
        <f>IFERROR(VLOOKUP(C2926,소속부서!$A$2:$B$20,2,FALSE), "")</f>
        <v/>
      </c>
    </row>
    <row r="2927" spans="3:4" x14ac:dyDescent="0.3">
      <c r="C2927" s="35">
        <f t="shared" si="45"/>
        <v>0</v>
      </c>
      <c r="D2927" s="30" t="str">
        <f>IFERROR(VLOOKUP(C2927,소속부서!$A$2:$B$20,2,FALSE), "")</f>
        <v/>
      </c>
    </row>
    <row r="2928" spans="3:4" x14ac:dyDescent="0.3">
      <c r="C2928" s="35">
        <f t="shared" si="45"/>
        <v>0</v>
      </c>
      <c r="D2928" s="30" t="str">
        <f>IFERROR(VLOOKUP(C2928,소속부서!$A$2:$B$20,2,FALSE), "")</f>
        <v/>
      </c>
    </row>
    <row r="2929" spans="3:4" x14ac:dyDescent="0.3">
      <c r="C2929" s="35">
        <f t="shared" si="45"/>
        <v>0</v>
      </c>
      <c r="D2929" s="30" t="str">
        <f>IFERROR(VLOOKUP(C2929,소속부서!$A$2:$B$20,2,FALSE), "")</f>
        <v/>
      </c>
    </row>
    <row r="2930" spans="3:4" x14ac:dyDescent="0.3">
      <c r="C2930" s="35">
        <f t="shared" si="45"/>
        <v>0</v>
      </c>
      <c r="D2930" s="30" t="str">
        <f>IFERROR(VLOOKUP(C2930,소속부서!$A$2:$B$20,2,FALSE), "")</f>
        <v/>
      </c>
    </row>
    <row r="2931" spans="3:4" x14ac:dyDescent="0.3">
      <c r="C2931" s="35">
        <f t="shared" si="45"/>
        <v>0</v>
      </c>
      <c r="D2931" s="30" t="str">
        <f>IFERROR(VLOOKUP(C2931,소속부서!$A$2:$B$20,2,FALSE), "")</f>
        <v/>
      </c>
    </row>
    <row r="2932" spans="3:4" x14ac:dyDescent="0.3">
      <c r="C2932" s="35">
        <f t="shared" si="45"/>
        <v>0</v>
      </c>
      <c r="D2932" s="30" t="str">
        <f>IFERROR(VLOOKUP(C2932,소속부서!$A$2:$B$20,2,FALSE), "")</f>
        <v/>
      </c>
    </row>
    <row r="2933" spans="3:4" x14ac:dyDescent="0.3">
      <c r="C2933" s="35">
        <f t="shared" si="45"/>
        <v>0</v>
      </c>
      <c r="D2933" s="30" t="str">
        <f>IFERROR(VLOOKUP(C2933,소속부서!$A$2:$B$20,2,FALSE), "")</f>
        <v/>
      </c>
    </row>
    <row r="2934" spans="3:4" x14ac:dyDescent="0.3">
      <c r="C2934" s="35">
        <f t="shared" si="45"/>
        <v>0</v>
      </c>
      <c r="D2934" s="30" t="str">
        <f>IFERROR(VLOOKUP(C2934,소속부서!$A$2:$B$20,2,FALSE), "")</f>
        <v/>
      </c>
    </row>
    <row r="2935" spans="3:4" x14ac:dyDescent="0.3">
      <c r="C2935" s="35">
        <f t="shared" si="45"/>
        <v>0</v>
      </c>
      <c r="D2935" s="30" t="str">
        <f>IFERROR(VLOOKUP(C2935,소속부서!$A$2:$B$20,2,FALSE), "")</f>
        <v/>
      </c>
    </row>
    <row r="2936" spans="3:4" x14ac:dyDescent="0.3">
      <c r="C2936" s="35">
        <f t="shared" si="45"/>
        <v>0</v>
      </c>
      <c r="D2936" s="30" t="str">
        <f>IFERROR(VLOOKUP(C2936,소속부서!$A$2:$B$20,2,FALSE), "")</f>
        <v/>
      </c>
    </row>
    <row r="2937" spans="3:4" x14ac:dyDescent="0.3">
      <c r="C2937" s="35">
        <f t="shared" si="45"/>
        <v>0</v>
      </c>
      <c r="D2937" s="30" t="str">
        <f>IFERROR(VLOOKUP(C2937,소속부서!$A$2:$B$20,2,FALSE), "")</f>
        <v/>
      </c>
    </row>
    <row r="2938" spans="3:4" x14ac:dyDescent="0.3">
      <c r="C2938" s="35">
        <f t="shared" si="45"/>
        <v>0</v>
      </c>
      <c r="D2938" s="30" t="str">
        <f>IFERROR(VLOOKUP(C2938,소속부서!$A$2:$B$20,2,FALSE), "")</f>
        <v/>
      </c>
    </row>
    <row r="2939" spans="3:4" x14ac:dyDescent="0.3">
      <c r="C2939" s="35">
        <f t="shared" si="45"/>
        <v>0</v>
      </c>
      <c r="D2939" s="30" t="str">
        <f>IFERROR(VLOOKUP(C2939,소속부서!$A$2:$B$20,2,FALSE), "")</f>
        <v/>
      </c>
    </row>
    <row r="2940" spans="3:4" x14ac:dyDescent="0.3">
      <c r="C2940" s="35">
        <f t="shared" si="45"/>
        <v>0</v>
      </c>
      <c r="D2940" s="30" t="str">
        <f>IFERROR(VLOOKUP(C2940,소속부서!$A$2:$B$20,2,FALSE), "")</f>
        <v/>
      </c>
    </row>
    <row r="2941" spans="3:4" x14ac:dyDescent="0.3">
      <c r="C2941" s="35">
        <f t="shared" si="45"/>
        <v>0</v>
      </c>
      <c r="D2941" s="30" t="str">
        <f>IFERROR(VLOOKUP(C2941,소속부서!$A$2:$B$20,2,FALSE), "")</f>
        <v/>
      </c>
    </row>
    <row r="2942" spans="3:4" x14ac:dyDescent="0.3">
      <c r="C2942" s="35">
        <f t="shared" si="45"/>
        <v>0</v>
      </c>
      <c r="D2942" s="30" t="str">
        <f>IFERROR(VLOOKUP(C2942,소속부서!$A$2:$B$20,2,FALSE), "")</f>
        <v/>
      </c>
    </row>
    <row r="2943" spans="3:4" x14ac:dyDescent="0.3">
      <c r="C2943" s="35">
        <f t="shared" si="45"/>
        <v>0</v>
      </c>
      <c r="D2943" s="30" t="str">
        <f>IFERROR(VLOOKUP(C2943,소속부서!$A$2:$B$20,2,FALSE), "")</f>
        <v/>
      </c>
    </row>
    <row r="2944" spans="3:4" x14ac:dyDescent="0.3">
      <c r="C2944" s="35">
        <f t="shared" si="45"/>
        <v>0</v>
      </c>
      <c r="D2944" s="30" t="str">
        <f>IFERROR(VLOOKUP(C2944,소속부서!$A$2:$B$20,2,FALSE), "")</f>
        <v/>
      </c>
    </row>
    <row r="2945" spans="3:4" x14ac:dyDescent="0.3">
      <c r="C2945" s="35">
        <f t="shared" ref="C2945:C3008" si="46">E2945</f>
        <v>0</v>
      </c>
      <c r="D2945" s="30" t="str">
        <f>IFERROR(VLOOKUP(C2945,소속부서!$A$2:$B$20,2,FALSE), "")</f>
        <v/>
      </c>
    </row>
    <row r="2946" spans="3:4" x14ac:dyDescent="0.3">
      <c r="C2946" s="35">
        <f t="shared" si="46"/>
        <v>0</v>
      </c>
      <c r="D2946" s="30" t="str">
        <f>IFERROR(VLOOKUP(C2946,소속부서!$A$2:$B$20,2,FALSE), "")</f>
        <v/>
      </c>
    </row>
    <row r="2947" spans="3:4" x14ac:dyDescent="0.3">
      <c r="C2947" s="35">
        <f t="shared" si="46"/>
        <v>0</v>
      </c>
      <c r="D2947" s="30" t="str">
        <f>IFERROR(VLOOKUP(C2947,소속부서!$A$2:$B$20,2,FALSE), "")</f>
        <v/>
      </c>
    </row>
    <row r="2948" spans="3:4" x14ac:dyDescent="0.3">
      <c r="C2948" s="35">
        <f t="shared" si="46"/>
        <v>0</v>
      </c>
      <c r="D2948" s="30" t="str">
        <f>IFERROR(VLOOKUP(C2948,소속부서!$A$2:$B$20,2,FALSE), "")</f>
        <v/>
      </c>
    </row>
    <row r="2949" spans="3:4" x14ac:dyDescent="0.3">
      <c r="C2949" s="35">
        <f t="shared" si="46"/>
        <v>0</v>
      </c>
      <c r="D2949" s="30" t="str">
        <f>IFERROR(VLOOKUP(C2949,소속부서!$A$2:$B$20,2,FALSE), "")</f>
        <v/>
      </c>
    </row>
    <row r="2950" spans="3:4" x14ac:dyDescent="0.3">
      <c r="C2950" s="35">
        <f t="shared" si="46"/>
        <v>0</v>
      </c>
      <c r="D2950" s="30" t="str">
        <f>IFERROR(VLOOKUP(C2950,소속부서!$A$2:$B$20,2,FALSE), "")</f>
        <v/>
      </c>
    </row>
    <row r="2951" spans="3:4" x14ac:dyDescent="0.3">
      <c r="C2951" s="35">
        <f t="shared" si="46"/>
        <v>0</v>
      </c>
      <c r="D2951" s="30" t="str">
        <f>IFERROR(VLOOKUP(C2951,소속부서!$A$2:$B$20,2,FALSE), "")</f>
        <v/>
      </c>
    </row>
    <row r="2952" spans="3:4" x14ac:dyDescent="0.3">
      <c r="C2952" s="35">
        <f t="shared" si="46"/>
        <v>0</v>
      </c>
      <c r="D2952" s="30" t="str">
        <f>IFERROR(VLOOKUP(C2952,소속부서!$A$2:$B$20,2,FALSE), "")</f>
        <v/>
      </c>
    </row>
    <row r="2953" spans="3:4" x14ac:dyDescent="0.3">
      <c r="C2953" s="35">
        <f t="shared" si="46"/>
        <v>0</v>
      </c>
      <c r="D2953" s="30" t="str">
        <f>IFERROR(VLOOKUP(C2953,소속부서!$A$2:$B$20,2,FALSE), "")</f>
        <v/>
      </c>
    </row>
    <row r="2954" spans="3:4" x14ac:dyDescent="0.3">
      <c r="C2954" s="35">
        <f t="shared" si="46"/>
        <v>0</v>
      </c>
      <c r="D2954" s="30" t="str">
        <f>IFERROR(VLOOKUP(C2954,소속부서!$A$2:$B$20,2,FALSE), "")</f>
        <v/>
      </c>
    </row>
    <row r="2955" spans="3:4" x14ac:dyDescent="0.3">
      <c r="C2955" s="35">
        <f t="shared" si="46"/>
        <v>0</v>
      </c>
      <c r="D2955" s="30" t="str">
        <f>IFERROR(VLOOKUP(C2955,소속부서!$A$2:$B$20,2,FALSE), "")</f>
        <v/>
      </c>
    </row>
    <row r="2956" spans="3:4" x14ac:dyDescent="0.3">
      <c r="C2956" s="35">
        <f t="shared" si="46"/>
        <v>0</v>
      </c>
      <c r="D2956" s="30" t="str">
        <f>IFERROR(VLOOKUP(C2956,소속부서!$A$2:$B$20,2,FALSE), "")</f>
        <v/>
      </c>
    </row>
    <row r="2957" spans="3:4" x14ac:dyDescent="0.3">
      <c r="C2957" s="35">
        <f t="shared" si="46"/>
        <v>0</v>
      </c>
      <c r="D2957" s="30" t="str">
        <f>IFERROR(VLOOKUP(C2957,소속부서!$A$2:$B$20,2,FALSE), "")</f>
        <v/>
      </c>
    </row>
    <row r="2958" spans="3:4" x14ac:dyDescent="0.3">
      <c r="C2958" s="35">
        <f t="shared" si="46"/>
        <v>0</v>
      </c>
      <c r="D2958" s="30" t="str">
        <f>IFERROR(VLOOKUP(C2958,소속부서!$A$2:$B$20,2,FALSE), "")</f>
        <v/>
      </c>
    </row>
    <row r="2959" spans="3:4" x14ac:dyDescent="0.3">
      <c r="C2959" s="35">
        <f t="shared" si="46"/>
        <v>0</v>
      </c>
      <c r="D2959" s="30" t="str">
        <f>IFERROR(VLOOKUP(C2959,소속부서!$A$2:$B$20,2,FALSE), "")</f>
        <v/>
      </c>
    </row>
    <row r="2960" spans="3:4" x14ac:dyDescent="0.3">
      <c r="C2960" s="35">
        <f t="shared" si="46"/>
        <v>0</v>
      </c>
      <c r="D2960" s="30" t="str">
        <f>IFERROR(VLOOKUP(C2960,소속부서!$A$2:$B$20,2,FALSE), "")</f>
        <v/>
      </c>
    </row>
    <row r="2961" spans="3:4" x14ac:dyDescent="0.3">
      <c r="C2961" s="35">
        <f t="shared" si="46"/>
        <v>0</v>
      </c>
      <c r="D2961" s="30" t="str">
        <f>IFERROR(VLOOKUP(C2961,소속부서!$A$2:$B$20,2,FALSE), "")</f>
        <v/>
      </c>
    </row>
    <row r="2962" spans="3:4" x14ac:dyDescent="0.3">
      <c r="C2962" s="35">
        <f t="shared" si="46"/>
        <v>0</v>
      </c>
      <c r="D2962" s="30" t="str">
        <f>IFERROR(VLOOKUP(C2962,소속부서!$A$2:$B$20,2,FALSE), "")</f>
        <v/>
      </c>
    </row>
    <row r="2963" spans="3:4" x14ac:dyDescent="0.3">
      <c r="C2963" s="35">
        <f t="shared" si="46"/>
        <v>0</v>
      </c>
      <c r="D2963" s="30" t="str">
        <f>IFERROR(VLOOKUP(C2963,소속부서!$A$2:$B$20,2,FALSE), "")</f>
        <v/>
      </c>
    </row>
    <row r="2964" spans="3:4" x14ac:dyDescent="0.3">
      <c r="C2964" s="35">
        <f t="shared" si="46"/>
        <v>0</v>
      </c>
      <c r="D2964" s="30" t="str">
        <f>IFERROR(VLOOKUP(C2964,소속부서!$A$2:$B$20,2,FALSE), "")</f>
        <v/>
      </c>
    </row>
    <row r="2965" spans="3:4" x14ac:dyDescent="0.3">
      <c r="C2965" s="35">
        <f t="shared" si="46"/>
        <v>0</v>
      </c>
      <c r="D2965" s="30" t="str">
        <f>IFERROR(VLOOKUP(C2965,소속부서!$A$2:$B$20,2,FALSE), "")</f>
        <v/>
      </c>
    </row>
    <row r="2966" spans="3:4" x14ac:dyDescent="0.3">
      <c r="C2966" s="35">
        <f t="shared" si="46"/>
        <v>0</v>
      </c>
      <c r="D2966" s="30" t="str">
        <f>IFERROR(VLOOKUP(C2966,소속부서!$A$2:$B$20,2,FALSE), "")</f>
        <v/>
      </c>
    </row>
    <row r="2967" spans="3:4" x14ac:dyDescent="0.3">
      <c r="C2967" s="35">
        <f t="shared" si="46"/>
        <v>0</v>
      </c>
      <c r="D2967" s="30" t="str">
        <f>IFERROR(VLOOKUP(C2967,소속부서!$A$2:$B$20,2,FALSE), "")</f>
        <v/>
      </c>
    </row>
    <row r="2968" spans="3:4" x14ac:dyDescent="0.3">
      <c r="C2968" s="35">
        <f t="shared" si="46"/>
        <v>0</v>
      </c>
      <c r="D2968" s="30" t="str">
        <f>IFERROR(VLOOKUP(C2968,소속부서!$A$2:$B$20,2,FALSE), "")</f>
        <v/>
      </c>
    </row>
    <row r="2969" spans="3:4" x14ac:dyDescent="0.3">
      <c r="C2969" s="35">
        <f t="shared" si="46"/>
        <v>0</v>
      </c>
      <c r="D2969" s="30" t="str">
        <f>IFERROR(VLOOKUP(C2969,소속부서!$A$2:$B$20,2,FALSE), "")</f>
        <v/>
      </c>
    </row>
    <row r="2970" spans="3:4" x14ac:dyDescent="0.3">
      <c r="C2970" s="35">
        <f t="shared" si="46"/>
        <v>0</v>
      </c>
      <c r="D2970" s="30" t="str">
        <f>IFERROR(VLOOKUP(C2970,소속부서!$A$2:$B$20,2,FALSE), "")</f>
        <v/>
      </c>
    </row>
    <row r="2971" spans="3:4" x14ac:dyDescent="0.3">
      <c r="C2971" s="35">
        <f t="shared" si="46"/>
        <v>0</v>
      </c>
      <c r="D2971" s="30" t="str">
        <f>IFERROR(VLOOKUP(C2971,소속부서!$A$2:$B$20,2,FALSE), "")</f>
        <v/>
      </c>
    </row>
    <row r="2972" spans="3:4" x14ac:dyDescent="0.3">
      <c r="C2972" s="35">
        <f t="shared" si="46"/>
        <v>0</v>
      </c>
      <c r="D2972" s="30" t="str">
        <f>IFERROR(VLOOKUP(C2972,소속부서!$A$2:$B$20,2,FALSE), "")</f>
        <v/>
      </c>
    </row>
    <row r="2973" spans="3:4" x14ac:dyDescent="0.3">
      <c r="C2973" s="35">
        <f t="shared" si="46"/>
        <v>0</v>
      </c>
      <c r="D2973" s="30" t="str">
        <f>IFERROR(VLOOKUP(C2973,소속부서!$A$2:$B$20,2,FALSE), "")</f>
        <v/>
      </c>
    </row>
    <row r="2974" spans="3:4" x14ac:dyDescent="0.3">
      <c r="C2974" s="35">
        <f t="shared" si="46"/>
        <v>0</v>
      </c>
      <c r="D2974" s="30" t="str">
        <f>IFERROR(VLOOKUP(C2974,소속부서!$A$2:$B$20,2,FALSE), "")</f>
        <v/>
      </c>
    </row>
    <row r="2975" spans="3:4" x14ac:dyDescent="0.3">
      <c r="C2975" s="35">
        <f t="shared" si="46"/>
        <v>0</v>
      </c>
      <c r="D2975" s="30" t="str">
        <f>IFERROR(VLOOKUP(C2975,소속부서!$A$2:$B$20,2,FALSE), "")</f>
        <v/>
      </c>
    </row>
    <row r="2976" spans="3:4" x14ac:dyDescent="0.3">
      <c r="C2976" s="35">
        <f t="shared" si="46"/>
        <v>0</v>
      </c>
      <c r="D2976" s="30" t="str">
        <f>IFERROR(VLOOKUP(C2976,소속부서!$A$2:$B$20,2,FALSE), "")</f>
        <v/>
      </c>
    </row>
    <row r="2977" spans="3:4" x14ac:dyDescent="0.3">
      <c r="C2977" s="35">
        <f t="shared" si="46"/>
        <v>0</v>
      </c>
      <c r="D2977" s="30" t="str">
        <f>IFERROR(VLOOKUP(C2977,소속부서!$A$2:$B$20,2,FALSE), "")</f>
        <v/>
      </c>
    </row>
    <row r="2978" spans="3:4" x14ac:dyDescent="0.3">
      <c r="C2978" s="35">
        <f t="shared" si="46"/>
        <v>0</v>
      </c>
      <c r="D2978" s="30" t="str">
        <f>IFERROR(VLOOKUP(C2978,소속부서!$A$2:$B$20,2,FALSE), "")</f>
        <v/>
      </c>
    </row>
    <row r="2979" spans="3:4" x14ac:dyDescent="0.3">
      <c r="C2979" s="35">
        <f t="shared" si="46"/>
        <v>0</v>
      </c>
      <c r="D2979" s="30" t="str">
        <f>IFERROR(VLOOKUP(C2979,소속부서!$A$2:$B$20,2,FALSE), "")</f>
        <v/>
      </c>
    </row>
    <row r="2980" spans="3:4" x14ac:dyDescent="0.3">
      <c r="C2980" s="35">
        <f t="shared" si="46"/>
        <v>0</v>
      </c>
      <c r="D2980" s="30" t="str">
        <f>IFERROR(VLOOKUP(C2980,소속부서!$A$2:$B$20,2,FALSE), "")</f>
        <v/>
      </c>
    </row>
    <row r="2981" spans="3:4" x14ac:dyDescent="0.3">
      <c r="C2981" s="35">
        <f t="shared" si="46"/>
        <v>0</v>
      </c>
      <c r="D2981" s="30" t="str">
        <f>IFERROR(VLOOKUP(C2981,소속부서!$A$2:$B$20,2,FALSE), "")</f>
        <v/>
      </c>
    </row>
    <row r="2982" spans="3:4" x14ac:dyDescent="0.3">
      <c r="C2982" s="35">
        <f t="shared" si="46"/>
        <v>0</v>
      </c>
      <c r="D2982" s="30" t="str">
        <f>IFERROR(VLOOKUP(C2982,소속부서!$A$2:$B$20,2,FALSE), "")</f>
        <v/>
      </c>
    </row>
    <row r="2983" spans="3:4" x14ac:dyDescent="0.3">
      <c r="C2983" s="35">
        <f t="shared" si="46"/>
        <v>0</v>
      </c>
      <c r="D2983" s="30" t="str">
        <f>IFERROR(VLOOKUP(C2983,소속부서!$A$2:$B$20,2,FALSE), "")</f>
        <v/>
      </c>
    </row>
    <row r="2984" spans="3:4" x14ac:dyDescent="0.3">
      <c r="C2984" s="35">
        <f t="shared" si="46"/>
        <v>0</v>
      </c>
      <c r="D2984" s="30" t="str">
        <f>IFERROR(VLOOKUP(C2984,소속부서!$A$2:$B$20,2,FALSE), "")</f>
        <v/>
      </c>
    </row>
    <row r="2985" spans="3:4" x14ac:dyDescent="0.3">
      <c r="C2985" s="35">
        <f t="shared" si="46"/>
        <v>0</v>
      </c>
      <c r="D2985" s="30" t="str">
        <f>IFERROR(VLOOKUP(C2985,소속부서!$A$2:$B$20,2,FALSE), "")</f>
        <v/>
      </c>
    </row>
    <row r="2986" spans="3:4" x14ac:dyDescent="0.3">
      <c r="C2986" s="35">
        <f t="shared" si="46"/>
        <v>0</v>
      </c>
      <c r="D2986" s="30" t="str">
        <f>IFERROR(VLOOKUP(C2986,소속부서!$A$2:$B$20,2,FALSE), "")</f>
        <v/>
      </c>
    </row>
    <row r="2987" spans="3:4" x14ac:dyDescent="0.3">
      <c r="C2987" s="35">
        <f t="shared" si="46"/>
        <v>0</v>
      </c>
      <c r="D2987" s="30" t="str">
        <f>IFERROR(VLOOKUP(C2987,소속부서!$A$2:$B$20,2,FALSE), "")</f>
        <v/>
      </c>
    </row>
    <row r="2988" spans="3:4" x14ac:dyDescent="0.3">
      <c r="C2988" s="35">
        <f t="shared" si="46"/>
        <v>0</v>
      </c>
      <c r="D2988" s="30" t="str">
        <f>IFERROR(VLOOKUP(C2988,소속부서!$A$2:$B$20,2,FALSE), "")</f>
        <v/>
      </c>
    </row>
    <row r="2989" spans="3:4" x14ac:dyDescent="0.3">
      <c r="C2989" s="35">
        <f t="shared" si="46"/>
        <v>0</v>
      </c>
      <c r="D2989" s="30" t="str">
        <f>IFERROR(VLOOKUP(C2989,소속부서!$A$2:$B$20,2,FALSE), "")</f>
        <v/>
      </c>
    </row>
    <row r="2990" spans="3:4" x14ac:dyDescent="0.3">
      <c r="C2990" s="35">
        <f t="shared" si="46"/>
        <v>0</v>
      </c>
      <c r="D2990" s="30" t="str">
        <f>IFERROR(VLOOKUP(C2990,소속부서!$A$2:$B$20,2,FALSE), "")</f>
        <v/>
      </c>
    </row>
    <row r="2991" spans="3:4" x14ac:dyDescent="0.3">
      <c r="C2991" s="35">
        <f t="shared" si="46"/>
        <v>0</v>
      </c>
      <c r="D2991" s="30" t="str">
        <f>IFERROR(VLOOKUP(C2991,소속부서!$A$2:$B$20,2,FALSE), "")</f>
        <v/>
      </c>
    </row>
    <row r="2992" spans="3:4" x14ac:dyDescent="0.3">
      <c r="C2992" s="35">
        <f t="shared" si="46"/>
        <v>0</v>
      </c>
      <c r="D2992" s="30" t="str">
        <f>IFERROR(VLOOKUP(C2992,소속부서!$A$2:$B$20,2,FALSE), "")</f>
        <v/>
      </c>
    </row>
    <row r="2993" spans="3:4" x14ac:dyDescent="0.3">
      <c r="C2993" s="35">
        <f t="shared" si="46"/>
        <v>0</v>
      </c>
      <c r="D2993" s="30" t="str">
        <f>IFERROR(VLOOKUP(C2993,소속부서!$A$2:$B$20,2,FALSE), "")</f>
        <v/>
      </c>
    </row>
    <row r="2994" spans="3:4" x14ac:dyDescent="0.3">
      <c r="C2994" s="35">
        <f t="shared" si="46"/>
        <v>0</v>
      </c>
      <c r="D2994" s="30" t="str">
        <f>IFERROR(VLOOKUP(C2994,소속부서!$A$2:$B$20,2,FALSE), "")</f>
        <v/>
      </c>
    </row>
    <row r="2995" spans="3:4" x14ac:dyDescent="0.3">
      <c r="C2995" s="35">
        <f t="shared" si="46"/>
        <v>0</v>
      </c>
      <c r="D2995" s="30" t="str">
        <f>IFERROR(VLOOKUP(C2995,소속부서!$A$2:$B$20,2,FALSE), "")</f>
        <v/>
      </c>
    </row>
    <row r="2996" spans="3:4" x14ac:dyDescent="0.3">
      <c r="C2996" s="35">
        <f t="shared" si="46"/>
        <v>0</v>
      </c>
      <c r="D2996" s="30" t="str">
        <f>IFERROR(VLOOKUP(C2996,소속부서!$A$2:$B$20,2,FALSE), "")</f>
        <v/>
      </c>
    </row>
    <row r="2997" spans="3:4" x14ac:dyDescent="0.3">
      <c r="C2997" s="35">
        <f t="shared" si="46"/>
        <v>0</v>
      </c>
      <c r="D2997" s="30" t="str">
        <f>IFERROR(VLOOKUP(C2997,소속부서!$A$2:$B$20,2,FALSE), "")</f>
        <v/>
      </c>
    </row>
    <row r="2998" spans="3:4" x14ac:dyDescent="0.3">
      <c r="C2998" s="35">
        <f t="shared" si="46"/>
        <v>0</v>
      </c>
      <c r="D2998" s="30" t="str">
        <f>IFERROR(VLOOKUP(C2998,소속부서!$A$2:$B$20,2,FALSE), "")</f>
        <v/>
      </c>
    </row>
    <row r="2999" spans="3:4" x14ac:dyDescent="0.3">
      <c r="C2999" s="35">
        <f t="shared" si="46"/>
        <v>0</v>
      </c>
      <c r="D2999" s="30" t="str">
        <f>IFERROR(VLOOKUP(C2999,소속부서!$A$2:$B$20,2,FALSE), "")</f>
        <v/>
      </c>
    </row>
    <row r="3000" spans="3:4" x14ac:dyDescent="0.3">
      <c r="C3000" s="35">
        <f t="shared" si="46"/>
        <v>0</v>
      </c>
      <c r="D3000" s="30" t="str">
        <f>IFERROR(VLOOKUP(C3000,소속부서!$A$2:$B$20,2,FALSE), "")</f>
        <v/>
      </c>
    </row>
    <row r="3001" spans="3:4" x14ac:dyDescent="0.3">
      <c r="C3001" s="35">
        <f t="shared" si="46"/>
        <v>0</v>
      </c>
      <c r="D3001" s="30" t="str">
        <f>IFERROR(VLOOKUP(C3001,소속부서!$A$2:$B$20,2,FALSE), "")</f>
        <v/>
      </c>
    </row>
    <row r="3002" spans="3:4" x14ac:dyDescent="0.3">
      <c r="C3002" s="35">
        <f t="shared" si="46"/>
        <v>0</v>
      </c>
      <c r="D3002" s="30" t="str">
        <f>IFERROR(VLOOKUP(C3002,소속부서!$A$2:$B$20,2,FALSE), "")</f>
        <v/>
      </c>
    </row>
    <row r="3003" spans="3:4" x14ac:dyDescent="0.3">
      <c r="C3003" s="35">
        <f t="shared" si="46"/>
        <v>0</v>
      </c>
      <c r="D3003" s="30" t="str">
        <f>IFERROR(VLOOKUP(C3003,소속부서!$A$2:$B$20,2,FALSE), "")</f>
        <v/>
      </c>
    </row>
    <row r="3004" spans="3:4" x14ac:dyDescent="0.3">
      <c r="C3004" s="35">
        <f t="shared" si="46"/>
        <v>0</v>
      </c>
      <c r="D3004" s="30" t="str">
        <f>IFERROR(VLOOKUP(C3004,소속부서!$A$2:$B$20,2,FALSE), "")</f>
        <v/>
      </c>
    </row>
    <row r="3005" spans="3:4" x14ac:dyDescent="0.3">
      <c r="C3005" s="35">
        <f t="shared" si="46"/>
        <v>0</v>
      </c>
      <c r="D3005" s="30" t="str">
        <f>IFERROR(VLOOKUP(C3005,소속부서!$A$2:$B$20,2,FALSE), "")</f>
        <v/>
      </c>
    </row>
    <row r="3006" spans="3:4" x14ac:dyDescent="0.3">
      <c r="C3006" s="35">
        <f t="shared" si="46"/>
        <v>0</v>
      </c>
      <c r="D3006" s="30" t="str">
        <f>IFERROR(VLOOKUP(C3006,소속부서!$A$2:$B$20,2,FALSE), "")</f>
        <v/>
      </c>
    </row>
    <row r="3007" spans="3:4" x14ac:dyDescent="0.3">
      <c r="C3007" s="35">
        <f t="shared" si="46"/>
        <v>0</v>
      </c>
      <c r="D3007" s="30" t="str">
        <f>IFERROR(VLOOKUP(C3007,소속부서!$A$2:$B$20,2,FALSE), "")</f>
        <v/>
      </c>
    </row>
    <row r="3008" spans="3:4" x14ac:dyDescent="0.3">
      <c r="C3008" s="35">
        <f t="shared" si="46"/>
        <v>0</v>
      </c>
      <c r="D3008" s="30" t="str">
        <f>IFERROR(VLOOKUP(C3008,소속부서!$A$2:$B$20,2,FALSE), "")</f>
        <v/>
      </c>
    </row>
    <row r="3009" spans="3:4" x14ac:dyDescent="0.3">
      <c r="C3009" s="35">
        <f t="shared" ref="C3009:C3072" si="47">E3009</f>
        <v>0</v>
      </c>
      <c r="D3009" s="30" t="str">
        <f>IFERROR(VLOOKUP(C3009,소속부서!$A$2:$B$20,2,FALSE), "")</f>
        <v/>
      </c>
    </row>
    <row r="3010" spans="3:4" x14ac:dyDescent="0.3">
      <c r="C3010" s="35">
        <f t="shared" si="47"/>
        <v>0</v>
      </c>
      <c r="D3010" s="30" t="str">
        <f>IFERROR(VLOOKUP(C3010,소속부서!$A$2:$B$20,2,FALSE), "")</f>
        <v/>
      </c>
    </row>
    <row r="3011" spans="3:4" x14ac:dyDescent="0.3">
      <c r="C3011" s="35">
        <f t="shared" si="47"/>
        <v>0</v>
      </c>
      <c r="D3011" s="30" t="str">
        <f>IFERROR(VLOOKUP(C3011,소속부서!$A$2:$B$20,2,FALSE), "")</f>
        <v/>
      </c>
    </row>
    <row r="3012" spans="3:4" x14ac:dyDescent="0.3">
      <c r="C3012" s="35">
        <f t="shared" si="47"/>
        <v>0</v>
      </c>
      <c r="D3012" s="30" t="str">
        <f>IFERROR(VLOOKUP(C3012,소속부서!$A$2:$B$20,2,FALSE), "")</f>
        <v/>
      </c>
    </row>
    <row r="3013" spans="3:4" x14ac:dyDescent="0.3">
      <c r="C3013" s="35">
        <f t="shared" si="47"/>
        <v>0</v>
      </c>
      <c r="D3013" s="30" t="str">
        <f>IFERROR(VLOOKUP(C3013,소속부서!$A$2:$B$20,2,FALSE), "")</f>
        <v/>
      </c>
    </row>
    <row r="3014" spans="3:4" x14ac:dyDescent="0.3">
      <c r="C3014" s="35">
        <f t="shared" si="47"/>
        <v>0</v>
      </c>
      <c r="D3014" s="30" t="str">
        <f>IFERROR(VLOOKUP(C3014,소속부서!$A$2:$B$20,2,FALSE), "")</f>
        <v/>
      </c>
    </row>
    <row r="3015" spans="3:4" x14ac:dyDescent="0.3">
      <c r="C3015" s="35">
        <f t="shared" si="47"/>
        <v>0</v>
      </c>
      <c r="D3015" s="30" t="str">
        <f>IFERROR(VLOOKUP(C3015,소속부서!$A$2:$B$20,2,FALSE), "")</f>
        <v/>
      </c>
    </row>
    <row r="3016" spans="3:4" x14ac:dyDescent="0.3">
      <c r="C3016" s="35">
        <f t="shared" si="47"/>
        <v>0</v>
      </c>
      <c r="D3016" s="30" t="str">
        <f>IFERROR(VLOOKUP(C3016,소속부서!$A$2:$B$20,2,FALSE), "")</f>
        <v/>
      </c>
    </row>
    <row r="3017" spans="3:4" x14ac:dyDescent="0.3">
      <c r="C3017" s="35">
        <f t="shared" si="47"/>
        <v>0</v>
      </c>
      <c r="D3017" s="30" t="str">
        <f>IFERROR(VLOOKUP(C3017,소속부서!$A$2:$B$20,2,FALSE), "")</f>
        <v/>
      </c>
    </row>
    <row r="3018" spans="3:4" x14ac:dyDescent="0.3">
      <c r="C3018" s="35">
        <f t="shared" si="47"/>
        <v>0</v>
      </c>
      <c r="D3018" s="30" t="str">
        <f>IFERROR(VLOOKUP(C3018,소속부서!$A$2:$B$20,2,FALSE), "")</f>
        <v/>
      </c>
    </row>
    <row r="3019" spans="3:4" x14ac:dyDescent="0.3">
      <c r="C3019" s="35">
        <f t="shared" si="47"/>
        <v>0</v>
      </c>
      <c r="D3019" s="30" t="str">
        <f>IFERROR(VLOOKUP(C3019,소속부서!$A$2:$B$20,2,FALSE), "")</f>
        <v/>
      </c>
    </row>
    <row r="3020" spans="3:4" x14ac:dyDescent="0.3">
      <c r="C3020" s="35">
        <f t="shared" si="47"/>
        <v>0</v>
      </c>
      <c r="D3020" s="30" t="str">
        <f>IFERROR(VLOOKUP(C3020,소속부서!$A$2:$B$20,2,FALSE), "")</f>
        <v/>
      </c>
    </row>
    <row r="3021" spans="3:4" x14ac:dyDescent="0.3">
      <c r="C3021" s="35">
        <f t="shared" si="47"/>
        <v>0</v>
      </c>
      <c r="D3021" s="30" t="str">
        <f>IFERROR(VLOOKUP(C3021,소속부서!$A$2:$B$20,2,FALSE), "")</f>
        <v/>
      </c>
    </row>
    <row r="3022" spans="3:4" x14ac:dyDescent="0.3">
      <c r="C3022" s="35">
        <f t="shared" si="47"/>
        <v>0</v>
      </c>
      <c r="D3022" s="30" t="str">
        <f>IFERROR(VLOOKUP(C3022,소속부서!$A$2:$B$20,2,FALSE), "")</f>
        <v/>
      </c>
    </row>
    <row r="3023" spans="3:4" x14ac:dyDescent="0.3">
      <c r="C3023" s="35">
        <f t="shared" si="47"/>
        <v>0</v>
      </c>
      <c r="D3023" s="30" t="str">
        <f>IFERROR(VLOOKUP(C3023,소속부서!$A$2:$B$20,2,FALSE), "")</f>
        <v/>
      </c>
    </row>
    <row r="3024" spans="3:4" x14ac:dyDescent="0.3">
      <c r="C3024" s="35">
        <f t="shared" si="47"/>
        <v>0</v>
      </c>
      <c r="D3024" s="30" t="str">
        <f>IFERROR(VLOOKUP(C3024,소속부서!$A$2:$B$20,2,FALSE), "")</f>
        <v/>
      </c>
    </row>
    <row r="3025" spans="3:4" x14ac:dyDescent="0.3">
      <c r="C3025" s="35">
        <f t="shared" si="47"/>
        <v>0</v>
      </c>
      <c r="D3025" s="30" t="str">
        <f>IFERROR(VLOOKUP(C3025,소속부서!$A$2:$B$20,2,FALSE), "")</f>
        <v/>
      </c>
    </row>
    <row r="3026" spans="3:4" x14ac:dyDescent="0.3">
      <c r="C3026" s="35">
        <f t="shared" si="47"/>
        <v>0</v>
      </c>
      <c r="D3026" s="30" t="str">
        <f>IFERROR(VLOOKUP(C3026,소속부서!$A$2:$B$20,2,FALSE), "")</f>
        <v/>
      </c>
    </row>
    <row r="3027" spans="3:4" x14ac:dyDescent="0.3">
      <c r="C3027" s="35">
        <f t="shared" si="47"/>
        <v>0</v>
      </c>
      <c r="D3027" s="30" t="str">
        <f>IFERROR(VLOOKUP(C3027,소속부서!$A$2:$B$20,2,FALSE), "")</f>
        <v/>
      </c>
    </row>
    <row r="3028" spans="3:4" x14ac:dyDescent="0.3">
      <c r="C3028" s="35">
        <f t="shared" si="47"/>
        <v>0</v>
      </c>
      <c r="D3028" s="30" t="str">
        <f>IFERROR(VLOOKUP(C3028,소속부서!$A$2:$B$20,2,FALSE), "")</f>
        <v/>
      </c>
    </row>
    <row r="3029" spans="3:4" x14ac:dyDescent="0.3">
      <c r="C3029" s="35">
        <f t="shared" si="47"/>
        <v>0</v>
      </c>
      <c r="D3029" s="30" t="str">
        <f>IFERROR(VLOOKUP(C3029,소속부서!$A$2:$B$20,2,FALSE), "")</f>
        <v/>
      </c>
    </row>
    <row r="3030" spans="3:4" x14ac:dyDescent="0.3">
      <c r="C3030" s="35">
        <f t="shared" si="47"/>
        <v>0</v>
      </c>
      <c r="D3030" s="30" t="str">
        <f>IFERROR(VLOOKUP(C3030,소속부서!$A$2:$B$20,2,FALSE), "")</f>
        <v/>
      </c>
    </row>
    <row r="3031" spans="3:4" x14ac:dyDescent="0.3">
      <c r="C3031" s="35">
        <f t="shared" si="47"/>
        <v>0</v>
      </c>
      <c r="D3031" s="30" t="str">
        <f>IFERROR(VLOOKUP(C3031,소속부서!$A$2:$B$20,2,FALSE), "")</f>
        <v/>
      </c>
    </row>
    <row r="3032" spans="3:4" x14ac:dyDescent="0.3">
      <c r="C3032" s="35">
        <f t="shared" si="47"/>
        <v>0</v>
      </c>
      <c r="D3032" s="30" t="str">
        <f>IFERROR(VLOOKUP(C3032,소속부서!$A$2:$B$20,2,FALSE), "")</f>
        <v/>
      </c>
    </row>
    <row r="3033" spans="3:4" x14ac:dyDescent="0.3">
      <c r="C3033" s="35">
        <f t="shared" si="47"/>
        <v>0</v>
      </c>
      <c r="D3033" s="30" t="str">
        <f>IFERROR(VLOOKUP(C3033,소속부서!$A$2:$B$20,2,FALSE), "")</f>
        <v/>
      </c>
    </row>
    <row r="3034" spans="3:4" x14ac:dyDescent="0.3">
      <c r="C3034" s="35">
        <f t="shared" si="47"/>
        <v>0</v>
      </c>
      <c r="D3034" s="30" t="str">
        <f>IFERROR(VLOOKUP(C3034,소속부서!$A$2:$B$20,2,FALSE), "")</f>
        <v/>
      </c>
    </row>
    <row r="3035" spans="3:4" x14ac:dyDescent="0.3">
      <c r="C3035" s="35">
        <f t="shared" si="47"/>
        <v>0</v>
      </c>
      <c r="D3035" s="30" t="str">
        <f>IFERROR(VLOOKUP(C3035,소속부서!$A$2:$B$20,2,FALSE), "")</f>
        <v/>
      </c>
    </row>
    <row r="3036" spans="3:4" x14ac:dyDescent="0.3">
      <c r="C3036" s="35">
        <f t="shared" si="47"/>
        <v>0</v>
      </c>
      <c r="D3036" s="30" t="str">
        <f>IFERROR(VLOOKUP(C3036,소속부서!$A$2:$B$20,2,FALSE), "")</f>
        <v/>
      </c>
    </row>
    <row r="3037" spans="3:4" x14ac:dyDescent="0.3">
      <c r="C3037" s="35">
        <f t="shared" si="47"/>
        <v>0</v>
      </c>
      <c r="D3037" s="30" t="str">
        <f>IFERROR(VLOOKUP(C3037,소속부서!$A$2:$B$20,2,FALSE), "")</f>
        <v/>
      </c>
    </row>
    <row r="3038" spans="3:4" x14ac:dyDescent="0.3">
      <c r="C3038" s="35">
        <f t="shared" si="47"/>
        <v>0</v>
      </c>
      <c r="D3038" s="30" t="str">
        <f>IFERROR(VLOOKUP(C3038,소속부서!$A$2:$B$20,2,FALSE), "")</f>
        <v/>
      </c>
    </row>
    <row r="3039" spans="3:4" x14ac:dyDescent="0.3">
      <c r="C3039" s="35">
        <f t="shared" si="47"/>
        <v>0</v>
      </c>
      <c r="D3039" s="30" t="str">
        <f>IFERROR(VLOOKUP(C3039,소속부서!$A$2:$B$20,2,FALSE), "")</f>
        <v/>
      </c>
    </row>
    <row r="3040" spans="3:4" x14ac:dyDescent="0.3">
      <c r="C3040" s="35">
        <f t="shared" si="47"/>
        <v>0</v>
      </c>
      <c r="D3040" s="30" t="str">
        <f>IFERROR(VLOOKUP(C3040,소속부서!$A$2:$B$20,2,FALSE), "")</f>
        <v/>
      </c>
    </row>
    <row r="3041" spans="3:4" x14ac:dyDescent="0.3">
      <c r="C3041" s="35">
        <f t="shared" si="47"/>
        <v>0</v>
      </c>
      <c r="D3041" s="30" t="str">
        <f>IFERROR(VLOOKUP(C3041,소속부서!$A$2:$B$20,2,FALSE), "")</f>
        <v/>
      </c>
    </row>
    <row r="3042" spans="3:4" x14ac:dyDescent="0.3">
      <c r="C3042" s="35">
        <f t="shared" si="47"/>
        <v>0</v>
      </c>
      <c r="D3042" s="30" t="str">
        <f>IFERROR(VLOOKUP(C3042,소속부서!$A$2:$B$20,2,FALSE), "")</f>
        <v/>
      </c>
    </row>
    <row r="3043" spans="3:4" x14ac:dyDescent="0.3">
      <c r="C3043" s="35">
        <f t="shared" si="47"/>
        <v>0</v>
      </c>
      <c r="D3043" s="30" t="str">
        <f>IFERROR(VLOOKUP(C3043,소속부서!$A$2:$B$20,2,FALSE), "")</f>
        <v/>
      </c>
    </row>
    <row r="3044" spans="3:4" x14ac:dyDescent="0.3">
      <c r="C3044" s="35">
        <f t="shared" si="47"/>
        <v>0</v>
      </c>
      <c r="D3044" s="30" t="str">
        <f>IFERROR(VLOOKUP(C3044,소속부서!$A$2:$B$20,2,FALSE), "")</f>
        <v/>
      </c>
    </row>
    <row r="3045" spans="3:4" x14ac:dyDescent="0.3">
      <c r="C3045" s="35">
        <f t="shared" si="47"/>
        <v>0</v>
      </c>
      <c r="D3045" s="30" t="str">
        <f>IFERROR(VLOOKUP(C3045,소속부서!$A$2:$B$20,2,FALSE), "")</f>
        <v/>
      </c>
    </row>
    <row r="3046" spans="3:4" x14ac:dyDescent="0.3">
      <c r="C3046" s="35">
        <f t="shared" si="47"/>
        <v>0</v>
      </c>
      <c r="D3046" s="30" t="str">
        <f>IFERROR(VLOOKUP(C3046,소속부서!$A$2:$B$20,2,FALSE), "")</f>
        <v/>
      </c>
    </row>
    <row r="3047" spans="3:4" x14ac:dyDescent="0.3">
      <c r="C3047" s="35">
        <f t="shared" si="47"/>
        <v>0</v>
      </c>
      <c r="D3047" s="30" t="str">
        <f>IFERROR(VLOOKUP(C3047,소속부서!$A$2:$B$20,2,FALSE), "")</f>
        <v/>
      </c>
    </row>
    <row r="3048" spans="3:4" x14ac:dyDescent="0.3">
      <c r="C3048" s="35">
        <f t="shared" si="47"/>
        <v>0</v>
      </c>
      <c r="D3048" s="30" t="str">
        <f>IFERROR(VLOOKUP(C3048,소속부서!$A$2:$B$20,2,FALSE), "")</f>
        <v/>
      </c>
    </row>
    <row r="3049" spans="3:4" x14ac:dyDescent="0.3">
      <c r="C3049" s="35">
        <f t="shared" si="47"/>
        <v>0</v>
      </c>
      <c r="D3049" s="30" t="str">
        <f>IFERROR(VLOOKUP(C3049,소속부서!$A$2:$B$20,2,FALSE), "")</f>
        <v/>
      </c>
    </row>
    <row r="3050" spans="3:4" x14ac:dyDescent="0.3">
      <c r="C3050" s="35">
        <f t="shared" si="47"/>
        <v>0</v>
      </c>
      <c r="D3050" s="30" t="str">
        <f>IFERROR(VLOOKUP(C3050,소속부서!$A$2:$B$20,2,FALSE), "")</f>
        <v/>
      </c>
    </row>
    <row r="3051" spans="3:4" x14ac:dyDescent="0.3">
      <c r="C3051" s="35">
        <f t="shared" si="47"/>
        <v>0</v>
      </c>
      <c r="D3051" s="30" t="str">
        <f>IFERROR(VLOOKUP(C3051,소속부서!$A$2:$B$20,2,FALSE), "")</f>
        <v/>
      </c>
    </row>
    <row r="3052" spans="3:4" x14ac:dyDescent="0.3">
      <c r="C3052" s="35">
        <f t="shared" si="47"/>
        <v>0</v>
      </c>
      <c r="D3052" s="30" t="str">
        <f>IFERROR(VLOOKUP(C3052,소속부서!$A$2:$B$20,2,FALSE), "")</f>
        <v/>
      </c>
    </row>
    <row r="3053" spans="3:4" x14ac:dyDescent="0.3">
      <c r="C3053" s="35">
        <f t="shared" si="47"/>
        <v>0</v>
      </c>
      <c r="D3053" s="30" t="str">
        <f>IFERROR(VLOOKUP(C3053,소속부서!$A$2:$B$20,2,FALSE), "")</f>
        <v/>
      </c>
    </row>
    <row r="3054" spans="3:4" x14ac:dyDescent="0.3">
      <c r="C3054" s="35">
        <f t="shared" si="47"/>
        <v>0</v>
      </c>
      <c r="D3054" s="30" t="str">
        <f>IFERROR(VLOOKUP(C3054,소속부서!$A$2:$B$20,2,FALSE), "")</f>
        <v/>
      </c>
    </row>
    <row r="3055" spans="3:4" x14ac:dyDescent="0.3">
      <c r="C3055" s="35">
        <f t="shared" si="47"/>
        <v>0</v>
      </c>
      <c r="D3055" s="30" t="str">
        <f>IFERROR(VLOOKUP(C3055,소속부서!$A$2:$B$20,2,FALSE), "")</f>
        <v/>
      </c>
    </row>
    <row r="3056" spans="3:4" x14ac:dyDescent="0.3">
      <c r="C3056" s="35">
        <f t="shared" si="47"/>
        <v>0</v>
      </c>
      <c r="D3056" s="30" t="str">
        <f>IFERROR(VLOOKUP(C3056,소속부서!$A$2:$B$20,2,FALSE), "")</f>
        <v/>
      </c>
    </row>
    <row r="3057" spans="3:4" x14ac:dyDescent="0.3">
      <c r="C3057" s="35">
        <f t="shared" si="47"/>
        <v>0</v>
      </c>
      <c r="D3057" s="30" t="str">
        <f>IFERROR(VLOOKUP(C3057,소속부서!$A$2:$B$20,2,FALSE), "")</f>
        <v/>
      </c>
    </row>
    <row r="3058" spans="3:4" x14ac:dyDescent="0.3">
      <c r="C3058" s="35">
        <f t="shared" si="47"/>
        <v>0</v>
      </c>
      <c r="D3058" s="30" t="str">
        <f>IFERROR(VLOOKUP(C3058,소속부서!$A$2:$B$20,2,FALSE), "")</f>
        <v/>
      </c>
    </row>
    <row r="3059" spans="3:4" x14ac:dyDescent="0.3">
      <c r="C3059" s="35">
        <f t="shared" si="47"/>
        <v>0</v>
      </c>
      <c r="D3059" s="30" t="str">
        <f>IFERROR(VLOOKUP(C3059,소속부서!$A$2:$B$20,2,FALSE), "")</f>
        <v/>
      </c>
    </row>
    <row r="3060" spans="3:4" x14ac:dyDescent="0.3">
      <c r="C3060" s="35">
        <f t="shared" si="47"/>
        <v>0</v>
      </c>
      <c r="D3060" s="30" t="str">
        <f>IFERROR(VLOOKUP(C3060,소속부서!$A$2:$B$20,2,FALSE), "")</f>
        <v/>
      </c>
    </row>
    <row r="3061" spans="3:4" x14ac:dyDescent="0.3">
      <c r="C3061" s="35">
        <f t="shared" si="47"/>
        <v>0</v>
      </c>
      <c r="D3061" s="30" t="str">
        <f>IFERROR(VLOOKUP(C3061,소속부서!$A$2:$B$20,2,FALSE), "")</f>
        <v/>
      </c>
    </row>
    <row r="3062" spans="3:4" x14ac:dyDescent="0.3">
      <c r="C3062" s="35">
        <f t="shared" si="47"/>
        <v>0</v>
      </c>
      <c r="D3062" s="30" t="str">
        <f>IFERROR(VLOOKUP(C3062,소속부서!$A$2:$B$20,2,FALSE), "")</f>
        <v/>
      </c>
    </row>
    <row r="3063" spans="3:4" x14ac:dyDescent="0.3">
      <c r="C3063" s="35">
        <f t="shared" si="47"/>
        <v>0</v>
      </c>
      <c r="D3063" s="30" t="str">
        <f>IFERROR(VLOOKUP(C3063,소속부서!$A$2:$B$20,2,FALSE), "")</f>
        <v/>
      </c>
    </row>
    <row r="3064" spans="3:4" x14ac:dyDescent="0.3">
      <c r="C3064" s="35">
        <f t="shared" si="47"/>
        <v>0</v>
      </c>
      <c r="D3064" s="30" t="str">
        <f>IFERROR(VLOOKUP(C3064,소속부서!$A$2:$B$20,2,FALSE), "")</f>
        <v/>
      </c>
    </row>
    <row r="3065" spans="3:4" x14ac:dyDescent="0.3">
      <c r="C3065" s="35">
        <f t="shared" si="47"/>
        <v>0</v>
      </c>
      <c r="D3065" s="30" t="str">
        <f>IFERROR(VLOOKUP(C3065,소속부서!$A$2:$B$20,2,FALSE), "")</f>
        <v/>
      </c>
    </row>
    <row r="3066" spans="3:4" x14ac:dyDescent="0.3">
      <c r="C3066" s="35">
        <f t="shared" si="47"/>
        <v>0</v>
      </c>
      <c r="D3066" s="30" t="str">
        <f>IFERROR(VLOOKUP(C3066,소속부서!$A$2:$B$20,2,FALSE), "")</f>
        <v/>
      </c>
    </row>
    <row r="3067" spans="3:4" x14ac:dyDescent="0.3">
      <c r="C3067" s="35">
        <f t="shared" si="47"/>
        <v>0</v>
      </c>
      <c r="D3067" s="30" t="str">
        <f>IFERROR(VLOOKUP(C3067,소속부서!$A$2:$B$20,2,FALSE), "")</f>
        <v/>
      </c>
    </row>
    <row r="3068" spans="3:4" x14ac:dyDescent="0.3">
      <c r="C3068" s="35">
        <f t="shared" si="47"/>
        <v>0</v>
      </c>
      <c r="D3068" s="30" t="str">
        <f>IFERROR(VLOOKUP(C3068,소속부서!$A$2:$B$20,2,FALSE), "")</f>
        <v/>
      </c>
    </row>
    <row r="3069" spans="3:4" x14ac:dyDescent="0.3">
      <c r="C3069" s="35">
        <f t="shared" si="47"/>
        <v>0</v>
      </c>
      <c r="D3069" s="30" t="str">
        <f>IFERROR(VLOOKUP(C3069,소속부서!$A$2:$B$20,2,FALSE), "")</f>
        <v/>
      </c>
    </row>
    <row r="3070" spans="3:4" x14ac:dyDescent="0.3">
      <c r="C3070" s="35">
        <f t="shared" si="47"/>
        <v>0</v>
      </c>
      <c r="D3070" s="30" t="str">
        <f>IFERROR(VLOOKUP(C3070,소속부서!$A$2:$B$20,2,FALSE), "")</f>
        <v/>
      </c>
    </row>
    <row r="3071" spans="3:4" x14ac:dyDescent="0.3">
      <c r="C3071" s="35">
        <f t="shared" si="47"/>
        <v>0</v>
      </c>
      <c r="D3071" s="30" t="str">
        <f>IFERROR(VLOOKUP(C3071,소속부서!$A$2:$B$20,2,FALSE), "")</f>
        <v/>
      </c>
    </row>
    <row r="3072" spans="3:4" x14ac:dyDescent="0.3">
      <c r="C3072" s="35">
        <f t="shared" si="47"/>
        <v>0</v>
      </c>
      <c r="D3072" s="30" t="str">
        <f>IFERROR(VLOOKUP(C3072,소속부서!$A$2:$B$20,2,FALSE), "")</f>
        <v/>
      </c>
    </row>
    <row r="3073" spans="3:4" x14ac:dyDescent="0.3">
      <c r="C3073" s="35">
        <f t="shared" ref="C3073:C3136" si="48">E3073</f>
        <v>0</v>
      </c>
      <c r="D3073" s="30" t="str">
        <f>IFERROR(VLOOKUP(C3073,소속부서!$A$2:$B$20,2,FALSE), "")</f>
        <v/>
      </c>
    </row>
    <row r="3074" spans="3:4" x14ac:dyDescent="0.3">
      <c r="C3074" s="35">
        <f t="shared" si="48"/>
        <v>0</v>
      </c>
      <c r="D3074" s="30" t="str">
        <f>IFERROR(VLOOKUP(C3074,소속부서!$A$2:$B$20,2,FALSE), "")</f>
        <v/>
      </c>
    </row>
    <row r="3075" spans="3:4" x14ac:dyDescent="0.3">
      <c r="C3075" s="35">
        <f t="shared" si="48"/>
        <v>0</v>
      </c>
      <c r="D3075" s="30" t="str">
        <f>IFERROR(VLOOKUP(C3075,소속부서!$A$2:$B$20,2,FALSE), "")</f>
        <v/>
      </c>
    </row>
    <row r="3076" spans="3:4" x14ac:dyDescent="0.3">
      <c r="C3076" s="35">
        <f t="shared" si="48"/>
        <v>0</v>
      </c>
      <c r="D3076" s="30" t="str">
        <f>IFERROR(VLOOKUP(C3076,소속부서!$A$2:$B$20,2,FALSE), "")</f>
        <v/>
      </c>
    </row>
    <row r="3077" spans="3:4" x14ac:dyDescent="0.3">
      <c r="C3077" s="35">
        <f t="shared" si="48"/>
        <v>0</v>
      </c>
      <c r="D3077" s="30" t="str">
        <f>IFERROR(VLOOKUP(C3077,소속부서!$A$2:$B$20,2,FALSE), "")</f>
        <v/>
      </c>
    </row>
    <row r="3078" spans="3:4" x14ac:dyDescent="0.3">
      <c r="C3078" s="35">
        <f t="shared" si="48"/>
        <v>0</v>
      </c>
      <c r="D3078" s="30" t="str">
        <f>IFERROR(VLOOKUP(C3078,소속부서!$A$2:$B$20,2,FALSE), "")</f>
        <v/>
      </c>
    </row>
    <row r="3079" spans="3:4" x14ac:dyDescent="0.3">
      <c r="C3079" s="35">
        <f t="shared" si="48"/>
        <v>0</v>
      </c>
      <c r="D3079" s="30" t="str">
        <f>IFERROR(VLOOKUP(C3079,소속부서!$A$2:$B$20,2,FALSE), "")</f>
        <v/>
      </c>
    </row>
    <row r="3080" spans="3:4" x14ac:dyDescent="0.3">
      <c r="C3080" s="35">
        <f t="shared" si="48"/>
        <v>0</v>
      </c>
      <c r="D3080" s="30" t="str">
        <f>IFERROR(VLOOKUP(C3080,소속부서!$A$2:$B$20,2,FALSE), "")</f>
        <v/>
      </c>
    </row>
    <row r="3081" spans="3:4" x14ac:dyDescent="0.3">
      <c r="C3081" s="35">
        <f t="shared" si="48"/>
        <v>0</v>
      </c>
      <c r="D3081" s="30" t="str">
        <f>IFERROR(VLOOKUP(C3081,소속부서!$A$2:$B$20,2,FALSE), "")</f>
        <v/>
      </c>
    </row>
    <row r="3082" spans="3:4" x14ac:dyDescent="0.3">
      <c r="C3082" s="35">
        <f t="shared" si="48"/>
        <v>0</v>
      </c>
      <c r="D3082" s="30" t="str">
        <f>IFERROR(VLOOKUP(C3082,소속부서!$A$2:$B$20,2,FALSE), "")</f>
        <v/>
      </c>
    </row>
    <row r="3083" spans="3:4" x14ac:dyDescent="0.3">
      <c r="C3083" s="35">
        <f t="shared" si="48"/>
        <v>0</v>
      </c>
      <c r="D3083" s="30" t="str">
        <f>IFERROR(VLOOKUP(C3083,소속부서!$A$2:$B$20,2,FALSE), "")</f>
        <v/>
      </c>
    </row>
    <row r="3084" spans="3:4" x14ac:dyDescent="0.3">
      <c r="C3084" s="35">
        <f t="shared" si="48"/>
        <v>0</v>
      </c>
      <c r="D3084" s="30" t="str">
        <f>IFERROR(VLOOKUP(C3084,소속부서!$A$2:$B$20,2,FALSE), "")</f>
        <v/>
      </c>
    </row>
    <row r="3085" spans="3:4" x14ac:dyDescent="0.3">
      <c r="C3085" s="35">
        <f t="shared" si="48"/>
        <v>0</v>
      </c>
      <c r="D3085" s="30" t="str">
        <f>IFERROR(VLOOKUP(C3085,소속부서!$A$2:$B$20,2,FALSE), "")</f>
        <v/>
      </c>
    </row>
    <row r="3086" spans="3:4" x14ac:dyDescent="0.3">
      <c r="C3086" s="35">
        <f t="shared" si="48"/>
        <v>0</v>
      </c>
      <c r="D3086" s="30" t="str">
        <f>IFERROR(VLOOKUP(C3086,소속부서!$A$2:$B$20,2,FALSE), "")</f>
        <v/>
      </c>
    </row>
    <row r="3087" spans="3:4" x14ac:dyDescent="0.3">
      <c r="C3087" s="35">
        <f t="shared" si="48"/>
        <v>0</v>
      </c>
      <c r="D3087" s="30" t="str">
        <f>IFERROR(VLOOKUP(C3087,소속부서!$A$2:$B$20,2,FALSE), "")</f>
        <v/>
      </c>
    </row>
    <row r="3088" spans="3:4" x14ac:dyDescent="0.3">
      <c r="C3088" s="35">
        <f t="shared" si="48"/>
        <v>0</v>
      </c>
      <c r="D3088" s="30" t="str">
        <f>IFERROR(VLOOKUP(C3088,소속부서!$A$2:$B$20,2,FALSE), "")</f>
        <v/>
      </c>
    </row>
    <row r="3089" spans="3:4" x14ac:dyDescent="0.3">
      <c r="C3089" s="35">
        <f t="shared" si="48"/>
        <v>0</v>
      </c>
      <c r="D3089" s="30" t="str">
        <f>IFERROR(VLOOKUP(C3089,소속부서!$A$2:$B$20,2,FALSE), "")</f>
        <v/>
      </c>
    </row>
    <row r="3090" spans="3:4" x14ac:dyDescent="0.3">
      <c r="C3090" s="35">
        <f t="shared" si="48"/>
        <v>0</v>
      </c>
      <c r="D3090" s="30" t="str">
        <f>IFERROR(VLOOKUP(C3090,소속부서!$A$2:$B$20,2,FALSE), "")</f>
        <v/>
      </c>
    </row>
    <row r="3091" spans="3:4" x14ac:dyDescent="0.3">
      <c r="C3091" s="35">
        <f t="shared" si="48"/>
        <v>0</v>
      </c>
      <c r="D3091" s="30" t="str">
        <f>IFERROR(VLOOKUP(C3091,소속부서!$A$2:$B$20,2,FALSE), "")</f>
        <v/>
      </c>
    </row>
    <row r="3092" spans="3:4" x14ac:dyDescent="0.3">
      <c r="C3092" s="35">
        <f t="shared" si="48"/>
        <v>0</v>
      </c>
      <c r="D3092" s="30" t="str">
        <f>IFERROR(VLOOKUP(C3092,소속부서!$A$2:$B$20,2,FALSE), "")</f>
        <v/>
      </c>
    </row>
    <row r="3093" spans="3:4" x14ac:dyDescent="0.3">
      <c r="C3093" s="35">
        <f t="shared" si="48"/>
        <v>0</v>
      </c>
      <c r="D3093" s="30" t="str">
        <f>IFERROR(VLOOKUP(C3093,소속부서!$A$2:$B$20,2,FALSE), "")</f>
        <v/>
      </c>
    </row>
    <row r="3094" spans="3:4" x14ac:dyDescent="0.3">
      <c r="C3094" s="35">
        <f t="shared" si="48"/>
        <v>0</v>
      </c>
      <c r="D3094" s="30" t="str">
        <f>IFERROR(VLOOKUP(C3094,소속부서!$A$2:$B$20,2,FALSE), "")</f>
        <v/>
      </c>
    </row>
    <row r="3095" spans="3:4" x14ac:dyDescent="0.3">
      <c r="C3095" s="35">
        <f t="shared" si="48"/>
        <v>0</v>
      </c>
      <c r="D3095" s="30" t="str">
        <f>IFERROR(VLOOKUP(C3095,소속부서!$A$2:$B$20,2,FALSE), "")</f>
        <v/>
      </c>
    </row>
    <row r="3096" spans="3:4" x14ac:dyDescent="0.3">
      <c r="C3096" s="35">
        <f t="shared" si="48"/>
        <v>0</v>
      </c>
      <c r="D3096" s="30" t="str">
        <f>IFERROR(VLOOKUP(C3096,소속부서!$A$2:$B$20,2,FALSE), "")</f>
        <v/>
      </c>
    </row>
    <row r="3097" spans="3:4" x14ac:dyDescent="0.3">
      <c r="C3097" s="35">
        <f t="shared" si="48"/>
        <v>0</v>
      </c>
      <c r="D3097" s="30" t="str">
        <f>IFERROR(VLOOKUP(C3097,소속부서!$A$2:$B$20,2,FALSE), "")</f>
        <v/>
      </c>
    </row>
    <row r="3098" spans="3:4" x14ac:dyDescent="0.3">
      <c r="C3098" s="35">
        <f t="shared" si="48"/>
        <v>0</v>
      </c>
      <c r="D3098" s="30" t="str">
        <f>IFERROR(VLOOKUP(C3098,소속부서!$A$2:$B$20,2,FALSE), "")</f>
        <v/>
      </c>
    </row>
    <row r="3099" spans="3:4" x14ac:dyDescent="0.3">
      <c r="C3099" s="35">
        <f t="shared" si="48"/>
        <v>0</v>
      </c>
      <c r="D3099" s="30" t="str">
        <f>IFERROR(VLOOKUP(C3099,소속부서!$A$2:$B$20,2,FALSE), "")</f>
        <v/>
      </c>
    </row>
    <row r="3100" spans="3:4" x14ac:dyDescent="0.3">
      <c r="C3100" s="35">
        <f t="shared" si="48"/>
        <v>0</v>
      </c>
      <c r="D3100" s="30" t="str">
        <f>IFERROR(VLOOKUP(C3100,소속부서!$A$2:$B$20,2,FALSE), "")</f>
        <v/>
      </c>
    </row>
    <row r="3101" spans="3:4" x14ac:dyDescent="0.3">
      <c r="C3101" s="35">
        <f t="shared" si="48"/>
        <v>0</v>
      </c>
      <c r="D3101" s="30" t="str">
        <f>IFERROR(VLOOKUP(C3101,소속부서!$A$2:$B$20,2,FALSE), "")</f>
        <v/>
      </c>
    </row>
    <row r="3102" spans="3:4" x14ac:dyDescent="0.3">
      <c r="C3102" s="35">
        <f t="shared" si="48"/>
        <v>0</v>
      </c>
      <c r="D3102" s="30" t="str">
        <f>IFERROR(VLOOKUP(C3102,소속부서!$A$2:$B$20,2,FALSE), "")</f>
        <v/>
      </c>
    </row>
    <row r="3103" spans="3:4" x14ac:dyDescent="0.3">
      <c r="C3103" s="35">
        <f t="shared" si="48"/>
        <v>0</v>
      </c>
      <c r="D3103" s="30" t="str">
        <f>IFERROR(VLOOKUP(C3103,소속부서!$A$2:$B$20,2,FALSE), "")</f>
        <v/>
      </c>
    </row>
    <row r="3104" spans="3:4" x14ac:dyDescent="0.3">
      <c r="C3104" s="35">
        <f t="shared" si="48"/>
        <v>0</v>
      </c>
      <c r="D3104" s="30" t="str">
        <f>IFERROR(VLOOKUP(C3104,소속부서!$A$2:$B$20,2,FALSE), "")</f>
        <v/>
      </c>
    </row>
    <row r="3105" spans="3:4" x14ac:dyDescent="0.3">
      <c r="C3105" s="35">
        <f t="shared" si="48"/>
        <v>0</v>
      </c>
      <c r="D3105" s="30" t="str">
        <f>IFERROR(VLOOKUP(C3105,소속부서!$A$2:$B$20,2,FALSE), "")</f>
        <v/>
      </c>
    </row>
    <row r="3106" spans="3:4" x14ac:dyDescent="0.3">
      <c r="C3106" s="35">
        <f t="shared" si="48"/>
        <v>0</v>
      </c>
      <c r="D3106" s="30" t="str">
        <f>IFERROR(VLOOKUP(C3106,소속부서!$A$2:$B$20,2,FALSE), "")</f>
        <v/>
      </c>
    </row>
    <row r="3107" spans="3:4" x14ac:dyDescent="0.3">
      <c r="C3107" s="35">
        <f t="shared" si="48"/>
        <v>0</v>
      </c>
      <c r="D3107" s="30" t="str">
        <f>IFERROR(VLOOKUP(C3107,소속부서!$A$2:$B$20,2,FALSE), "")</f>
        <v/>
      </c>
    </row>
    <row r="3108" spans="3:4" x14ac:dyDescent="0.3">
      <c r="C3108" s="35">
        <f t="shared" si="48"/>
        <v>0</v>
      </c>
      <c r="D3108" s="30" t="str">
        <f>IFERROR(VLOOKUP(C3108,소속부서!$A$2:$B$20,2,FALSE), "")</f>
        <v/>
      </c>
    </row>
    <row r="3109" spans="3:4" x14ac:dyDescent="0.3">
      <c r="C3109" s="35">
        <f t="shared" si="48"/>
        <v>0</v>
      </c>
      <c r="D3109" s="30" t="str">
        <f>IFERROR(VLOOKUP(C3109,소속부서!$A$2:$B$20,2,FALSE), "")</f>
        <v/>
      </c>
    </row>
    <row r="3110" spans="3:4" x14ac:dyDescent="0.3">
      <c r="C3110" s="35">
        <f t="shared" si="48"/>
        <v>0</v>
      </c>
      <c r="D3110" s="30" t="str">
        <f>IFERROR(VLOOKUP(C3110,소속부서!$A$2:$B$20,2,FALSE), "")</f>
        <v/>
      </c>
    </row>
    <row r="3111" spans="3:4" x14ac:dyDescent="0.3">
      <c r="C3111" s="35">
        <f t="shared" si="48"/>
        <v>0</v>
      </c>
      <c r="D3111" s="30" t="str">
        <f>IFERROR(VLOOKUP(C3111,소속부서!$A$2:$B$20,2,FALSE), "")</f>
        <v/>
      </c>
    </row>
    <row r="3112" spans="3:4" x14ac:dyDescent="0.3">
      <c r="C3112" s="35">
        <f t="shared" si="48"/>
        <v>0</v>
      </c>
      <c r="D3112" s="30" t="str">
        <f>IFERROR(VLOOKUP(C3112,소속부서!$A$2:$B$20,2,FALSE), "")</f>
        <v/>
      </c>
    </row>
    <row r="3113" spans="3:4" x14ac:dyDescent="0.3">
      <c r="C3113" s="35">
        <f t="shared" si="48"/>
        <v>0</v>
      </c>
      <c r="D3113" s="30" t="str">
        <f>IFERROR(VLOOKUP(C3113,소속부서!$A$2:$B$20,2,FALSE), "")</f>
        <v/>
      </c>
    </row>
    <row r="3114" spans="3:4" x14ac:dyDescent="0.3">
      <c r="C3114" s="35">
        <f t="shared" si="48"/>
        <v>0</v>
      </c>
      <c r="D3114" s="30" t="str">
        <f>IFERROR(VLOOKUP(C3114,소속부서!$A$2:$B$20,2,FALSE), "")</f>
        <v/>
      </c>
    </row>
    <row r="3115" spans="3:4" x14ac:dyDescent="0.3">
      <c r="C3115" s="35">
        <f t="shared" si="48"/>
        <v>0</v>
      </c>
      <c r="D3115" s="30" t="str">
        <f>IFERROR(VLOOKUP(C3115,소속부서!$A$2:$B$20,2,FALSE), "")</f>
        <v/>
      </c>
    </row>
    <row r="3116" spans="3:4" x14ac:dyDescent="0.3">
      <c r="C3116" s="35">
        <f t="shared" si="48"/>
        <v>0</v>
      </c>
      <c r="D3116" s="30" t="str">
        <f>IFERROR(VLOOKUP(C3116,소속부서!$A$2:$B$20,2,FALSE), "")</f>
        <v/>
      </c>
    </row>
    <row r="3117" spans="3:4" x14ac:dyDescent="0.3">
      <c r="C3117" s="35">
        <f t="shared" si="48"/>
        <v>0</v>
      </c>
      <c r="D3117" s="30" t="str">
        <f>IFERROR(VLOOKUP(C3117,소속부서!$A$2:$B$20,2,FALSE), "")</f>
        <v/>
      </c>
    </row>
    <row r="3118" spans="3:4" x14ac:dyDescent="0.3">
      <c r="C3118" s="35">
        <f t="shared" si="48"/>
        <v>0</v>
      </c>
      <c r="D3118" s="30" t="str">
        <f>IFERROR(VLOOKUP(C3118,소속부서!$A$2:$B$20,2,FALSE), "")</f>
        <v/>
      </c>
    </row>
    <row r="3119" spans="3:4" x14ac:dyDescent="0.3">
      <c r="C3119" s="35">
        <f t="shared" si="48"/>
        <v>0</v>
      </c>
      <c r="D3119" s="30" t="str">
        <f>IFERROR(VLOOKUP(C3119,소속부서!$A$2:$B$20,2,FALSE), "")</f>
        <v/>
      </c>
    </row>
    <row r="3120" spans="3:4" x14ac:dyDescent="0.3">
      <c r="C3120" s="35">
        <f t="shared" si="48"/>
        <v>0</v>
      </c>
      <c r="D3120" s="30" t="str">
        <f>IFERROR(VLOOKUP(C3120,소속부서!$A$2:$B$20,2,FALSE), "")</f>
        <v/>
      </c>
    </row>
    <row r="3121" spans="3:4" x14ac:dyDescent="0.3">
      <c r="C3121" s="35">
        <f t="shared" si="48"/>
        <v>0</v>
      </c>
      <c r="D3121" s="30" t="str">
        <f>IFERROR(VLOOKUP(C3121,소속부서!$A$2:$B$20,2,FALSE), "")</f>
        <v/>
      </c>
    </row>
    <row r="3122" spans="3:4" x14ac:dyDescent="0.3">
      <c r="C3122" s="35">
        <f t="shared" si="48"/>
        <v>0</v>
      </c>
      <c r="D3122" s="30" t="str">
        <f>IFERROR(VLOOKUP(C3122,소속부서!$A$2:$B$20,2,FALSE), "")</f>
        <v/>
      </c>
    </row>
    <row r="3123" spans="3:4" x14ac:dyDescent="0.3">
      <c r="C3123" s="35">
        <f t="shared" si="48"/>
        <v>0</v>
      </c>
      <c r="D3123" s="30" t="str">
        <f>IFERROR(VLOOKUP(C3123,소속부서!$A$2:$B$20,2,FALSE), "")</f>
        <v/>
      </c>
    </row>
    <row r="3124" spans="3:4" x14ac:dyDescent="0.3">
      <c r="C3124" s="35">
        <f t="shared" si="48"/>
        <v>0</v>
      </c>
      <c r="D3124" s="30" t="str">
        <f>IFERROR(VLOOKUP(C3124,소속부서!$A$2:$B$20,2,FALSE), "")</f>
        <v/>
      </c>
    </row>
    <row r="3125" spans="3:4" x14ac:dyDescent="0.3">
      <c r="C3125" s="35">
        <f t="shared" si="48"/>
        <v>0</v>
      </c>
      <c r="D3125" s="30" t="str">
        <f>IFERROR(VLOOKUP(C3125,소속부서!$A$2:$B$20,2,FALSE), "")</f>
        <v/>
      </c>
    </row>
    <row r="3126" spans="3:4" x14ac:dyDescent="0.3">
      <c r="C3126" s="35">
        <f t="shared" si="48"/>
        <v>0</v>
      </c>
      <c r="D3126" s="30" t="str">
        <f>IFERROR(VLOOKUP(C3126,소속부서!$A$2:$B$20,2,FALSE), "")</f>
        <v/>
      </c>
    </row>
    <row r="3127" spans="3:4" x14ac:dyDescent="0.3">
      <c r="C3127" s="35">
        <f t="shared" si="48"/>
        <v>0</v>
      </c>
      <c r="D3127" s="30" t="str">
        <f>IFERROR(VLOOKUP(C3127,소속부서!$A$2:$B$20,2,FALSE), "")</f>
        <v/>
      </c>
    </row>
    <row r="3128" spans="3:4" x14ac:dyDescent="0.3">
      <c r="C3128" s="35">
        <f t="shared" si="48"/>
        <v>0</v>
      </c>
      <c r="D3128" s="30" t="str">
        <f>IFERROR(VLOOKUP(C3128,소속부서!$A$2:$B$20,2,FALSE), "")</f>
        <v/>
      </c>
    </row>
    <row r="3129" spans="3:4" x14ac:dyDescent="0.3">
      <c r="C3129" s="35">
        <f t="shared" si="48"/>
        <v>0</v>
      </c>
      <c r="D3129" s="30" t="str">
        <f>IFERROR(VLOOKUP(C3129,소속부서!$A$2:$B$20,2,FALSE), "")</f>
        <v/>
      </c>
    </row>
    <row r="3130" spans="3:4" x14ac:dyDescent="0.3">
      <c r="C3130" s="35">
        <f t="shared" si="48"/>
        <v>0</v>
      </c>
      <c r="D3130" s="30" t="str">
        <f>IFERROR(VLOOKUP(C3130,소속부서!$A$2:$B$20,2,FALSE), "")</f>
        <v/>
      </c>
    </row>
    <row r="3131" spans="3:4" x14ac:dyDescent="0.3">
      <c r="C3131" s="35">
        <f t="shared" si="48"/>
        <v>0</v>
      </c>
      <c r="D3131" s="30" t="str">
        <f>IFERROR(VLOOKUP(C3131,소속부서!$A$2:$B$20,2,FALSE), "")</f>
        <v/>
      </c>
    </row>
    <row r="3132" spans="3:4" x14ac:dyDescent="0.3">
      <c r="C3132" s="35">
        <f t="shared" si="48"/>
        <v>0</v>
      </c>
      <c r="D3132" s="30" t="str">
        <f>IFERROR(VLOOKUP(C3132,소속부서!$A$2:$B$20,2,FALSE), "")</f>
        <v/>
      </c>
    </row>
    <row r="3133" spans="3:4" x14ac:dyDescent="0.3">
      <c r="C3133" s="35">
        <f t="shared" si="48"/>
        <v>0</v>
      </c>
      <c r="D3133" s="30" t="str">
        <f>IFERROR(VLOOKUP(C3133,소속부서!$A$2:$B$20,2,FALSE), "")</f>
        <v/>
      </c>
    </row>
    <row r="3134" spans="3:4" x14ac:dyDescent="0.3">
      <c r="C3134" s="35">
        <f t="shared" si="48"/>
        <v>0</v>
      </c>
      <c r="D3134" s="30" t="str">
        <f>IFERROR(VLOOKUP(C3134,소속부서!$A$2:$B$20,2,FALSE), "")</f>
        <v/>
      </c>
    </row>
    <row r="3135" spans="3:4" x14ac:dyDescent="0.3">
      <c r="C3135" s="35">
        <f t="shared" si="48"/>
        <v>0</v>
      </c>
      <c r="D3135" s="30" t="str">
        <f>IFERROR(VLOOKUP(C3135,소속부서!$A$2:$B$20,2,FALSE), "")</f>
        <v/>
      </c>
    </row>
    <row r="3136" spans="3:4" x14ac:dyDescent="0.3">
      <c r="C3136" s="35">
        <f t="shared" si="48"/>
        <v>0</v>
      </c>
      <c r="D3136" s="30" t="str">
        <f>IFERROR(VLOOKUP(C3136,소속부서!$A$2:$B$20,2,FALSE), "")</f>
        <v/>
      </c>
    </row>
    <row r="3137" spans="3:4" x14ac:dyDescent="0.3">
      <c r="C3137" s="35">
        <f t="shared" ref="C3137:C3200" si="49">E3137</f>
        <v>0</v>
      </c>
      <c r="D3137" s="30" t="str">
        <f>IFERROR(VLOOKUP(C3137,소속부서!$A$2:$B$20,2,FALSE), "")</f>
        <v/>
      </c>
    </row>
    <row r="3138" spans="3:4" x14ac:dyDescent="0.3">
      <c r="C3138" s="35">
        <f t="shared" si="49"/>
        <v>0</v>
      </c>
      <c r="D3138" s="30" t="str">
        <f>IFERROR(VLOOKUP(C3138,소속부서!$A$2:$B$20,2,FALSE), "")</f>
        <v/>
      </c>
    </row>
    <row r="3139" spans="3:4" x14ac:dyDescent="0.3">
      <c r="C3139" s="35">
        <f t="shared" si="49"/>
        <v>0</v>
      </c>
      <c r="D3139" s="30" t="str">
        <f>IFERROR(VLOOKUP(C3139,소속부서!$A$2:$B$20,2,FALSE), "")</f>
        <v/>
      </c>
    </row>
    <row r="3140" spans="3:4" x14ac:dyDescent="0.3">
      <c r="C3140" s="35">
        <f t="shared" si="49"/>
        <v>0</v>
      </c>
      <c r="D3140" s="30" t="str">
        <f>IFERROR(VLOOKUP(C3140,소속부서!$A$2:$B$20,2,FALSE), "")</f>
        <v/>
      </c>
    </row>
    <row r="3141" spans="3:4" x14ac:dyDescent="0.3">
      <c r="C3141" s="35">
        <f t="shared" si="49"/>
        <v>0</v>
      </c>
      <c r="D3141" s="30" t="str">
        <f>IFERROR(VLOOKUP(C3141,소속부서!$A$2:$B$20,2,FALSE), "")</f>
        <v/>
      </c>
    </row>
    <row r="3142" spans="3:4" x14ac:dyDescent="0.3">
      <c r="C3142" s="35">
        <f t="shared" si="49"/>
        <v>0</v>
      </c>
      <c r="D3142" s="30" t="str">
        <f>IFERROR(VLOOKUP(C3142,소속부서!$A$2:$B$20,2,FALSE), "")</f>
        <v/>
      </c>
    </row>
    <row r="3143" spans="3:4" x14ac:dyDescent="0.3">
      <c r="C3143" s="35">
        <f t="shared" si="49"/>
        <v>0</v>
      </c>
      <c r="D3143" s="30" t="str">
        <f>IFERROR(VLOOKUP(C3143,소속부서!$A$2:$B$20,2,FALSE), "")</f>
        <v/>
      </c>
    </row>
    <row r="3144" spans="3:4" x14ac:dyDescent="0.3">
      <c r="C3144" s="35">
        <f t="shared" si="49"/>
        <v>0</v>
      </c>
      <c r="D3144" s="30" t="str">
        <f>IFERROR(VLOOKUP(C3144,소속부서!$A$2:$B$20,2,FALSE), "")</f>
        <v/>
      </c>
    </row>
    <row r="3145" spans="3:4" x14ac:dyDescent="0.3">
      <c r="C3145" s="35">
        <f t="shared" si="49"/>
        <v>0</v>
      </c>
      <c r="D3145" s="30" t="str">
        <f>IFERROR(VLOOKUP(C3145,소속부서!$A$2:$B$20,2,FALSE), "")</f>
        <v/>
      </c>
    </row>
    <row r="3146" spans="3:4" x14ac:dyDescent="0.3">
      <c r="C3146" s="35">
        <f t="shared" si="49"/>
        <v>0</v>
      </c>
      <c r="D3146" s="30" t="str">
        <f>IFERROR(VLOOKUP(C3146,소속부서!$A$2:$B$20,2,FALSE), "")</f>
        <v/>
      </c>
    </row>
    <row r="3147" spans="3:4" x14ac:dyDescent="0.3">
      <c r="C3147" s="35">
        <f t="shared" si="49"/>
        <v>0</v>
      </c>
      <c r="D3147" s="30" t="str">
        <f>IFERROR(VLOOKUP(C3147,소속부서!$A$2:$B$20,2,FALSE), "")</f>
        <v/>
      </c>
    </row>
    <row r="3148" spans="3:4" x14ac:dyDescent="0.3">
      <c r="C3148" s="35">
        <f t="shared" si="49"/>
        <v>0</v>
      </c>
      <c r="D3148" s="30" t="str">
        <f>IFERROR(VLOOKUP(C3148,소속부서!$A$2:$B$20,2,FALSE), "")</f>
        <v/>
      </c>
    </row>
    <row r="3149" spans="3:4" x14ac:dyDescent="0.3">
      <c r="C3149" s="35">
        <f t="shared" si="49"/>
        <v>0</v>
      </c>
      <c r="D3149" s="30" t="str">
        <f>IFERROR(VLOOKUP(C3149,소속부서!$A$2:$B$20,2,FALSE), "")</f>
        <v/>
      </c>
    </row>
    <row r="3150" spans="3:4" x14ac:dyDescent="0.3">
      <c r="C3150" s="35">
        <f t="shared" si="49"/>
        <v>0</v>
      </c>
      <c r="D3150" s="30" t="str">
        <f>IFERROR(VLOOKUP(C3150,소속부서!$A$2:$B$20,2,FALSE), "")</f>
        <v/>
      </c>
    </row>
    <row r="3151" spans="3:4" x14ac:dyDescent="0.3">
      <c r="C3151" s="35">
        <f t="shared" si="49"/>
        <v>0</v>
      </c>
      <c r="D3151" s="30" t="str">
        <f>IFERROR(VLOOKUP(C3151,소속부서!$A$2:$B$20,2,FALSE), "")</f>
        <v/>
      </c>
    </row>
    <row r="3152" spans="3:4" x14ac:dyDescent="0.3">
      <c r="C3152" s="35">
        <f t="shared" si="49"/>
        <v>0</v>
      </c>
      <c r="D3152" s="30" t="str">
        <f>IFERROR(VLOOKUP(C3152,소속부서!$A$2:$B$20,2,FALSE), "")</f>
        <v/>
      </c>
    </row>
    <row r="3153" spans="3:4" x14ac:dyDescent="0.3">
      <c r="C3153" s="35">
        <f t="shared" si="49"/>
        <v>0</v>
      </c>
      <c r="D3153" s="30" t="str">
        <f>IFERROR(VLOOKUP(C3153,소속부서!$A$2:$B$20,2,FALSE), "")</f>
        <v/>
      </c>
    </row>
    <row r="3154" spans="3:4" x14ac:dyDescent="0.3">
      <c r="C3154" s="35">
        <f t="shared" si="49"/>
        <v>0</v>
      </c>
      <c r="D3154" s="30" t="str">
        <f>IFERROR(VLOOKUP(C3154,소속부서!$A$2:$B$20,2,FALSE), "")</f>
        <v/>
      </c>
    </row>
    <row r="3155" spans="3:4" x14ac:dyDescent="0.3">
      <c r="C3155" s="35">
        <f t="shared" si="49"/>
        <v>0</v>
      </c>
      <c r="D3155" s="30" t="str">
        <f>IFERROR(VLOOKUP(C3155,소속부서!$A$2:$B$20,2,FALSE), "")</f>
        <v/>
      </c>
    </row>
    <row r="3156" spans="3:4" x14ac:dyDescent="0.3">
      <c r="C3156" s="35">
        <f t="shared" si="49"/>
        <v>0</v>
      </c>
      <c r="D3156" s="30" t="str">
        <f>IFERROR(VLOOKUP(C3156,소속부서!$A$2:$B$20,2,FALSE), "")</f>
        <v/>
      </c>
    </row>
    <row r="3157" spans="3:4" x14ac:dyDescent="0.3">
      <c r="C3157" s="35">
        <f t="shared" si="49"/>
        <v>0</v>
      </c>
      <c r="D3157" s="30" t="str">
        <f>IFERROR(VLOOKUP(C3157,소속부서!$A$2:$B$20,2,FALSE), "")</f>
        <v/>
      </c>
    </row>
    <row r="3158" spans="3:4" x14ac:dyDescent="0.3">
      <c r="C3158" s="35">
        <f t="shared" si="49"/>
        <v>0</v>
      </c>
      <c r="D3158" s="30" t="str">
        <f>IFERROR(VLOOKUP(C3158,소속부서!$A$2:$B$20,2,FALSE), "")</f>
        <v/>
      </c>
    </row>
    <row r="3159" spans="3:4" x14ac:dyDescent="0.3">
      <c r="C3159" s="35">
        <f t="shared" si="49"/>
        <v>0</v>
      </c>
      <c r="D3159" s="30" t="str">
        <f>IFERROR(VLOOKUP(C3159,소속부서!$A$2:$B$20,2,FALSE), "")</f>
        <v/>
      </c>
    </row>
    <row r="3160" spans="3:4" x14ac:dyDescent="0.3">
      <c r="C3160" s="35">
        <f t="shared" si="49"/>
        <v>0</v>
      </c>
      <c r="D3160" s="30" t="str">
        <f>IFERROR(VLOOKUP(C3160,소속부서!$A$2:$B$20,2,FALSE), "")</f>
        <v/>
      </c>
    </row>
    <row r="3161" spans="3:4" x14ac:dyDescent="0.3">
      <c r="C3161" s="35">
        <f t="shared" si="49"/>
        <v>0</v>
      </c>
      <c r="D3161" s="30" t="str">
        <f>IFERROR(VLOOKUP(C3161,소속부서!$A$2:$B$20,2,FALSE), "")</f>
        <v/>
      </c>
    </row>
    <row r="3162" spans="3:4" x14ac:dyDescent="0.3">
      <c r="C3162" s="35">
        <f t="shared" si="49"/>
        <v>0</v>
      </c>
      <c r="D3162" s="30" t="str">
        <f>IFERROR(VLOOKUP(C3162,소속부서!$A$2:$B$20,2,FALSE), "")</f>
        <v/>
      </c>
    </row>
    <row r="3163" spans="3:4" x14ac:dyDescent="0.3">
      <c r="C3163" s="35">
        <f t="shared" si="49"/>
        <v>0</v>
      </c>
      <c r="D3163" s="30" t="str">
        <f>IFERROR(VLOOKUP(C3163,소속부서!$A$2:$B$20,2,FALSE), "")</f>
        <v/>
      </c>
    </row>
    <row r="3164" spans="3:4" x14ac:dyDescent="0.3">
      <c r="C3164" s="35">
        <f t="shared" si="49"/>
        <v>0</v>
      </c>
      <c r="D3164" s="30" t="str">
        <f>IFERROR(VLOOKUP(C3164,소속부서!$A$2:$B$20,2,FALSE), "")</f>
        <v/>
      </c>
    </row>
    <row r="3165" spans="3:4" x14ac:dyDescent="0.3">
      <c r="C3165" s="35">
        <f t="shared" si="49"/>
        <v>0</v>
      </c>
      <c r="D3165" s="30" t="str">
        <f>IFERROR(VLOOKUP(C3165,소속부서!$A$2:$B$20,2,FALSE), "")</f>
        <v/>
      </c>
    </row>
    <row r="3166" spans="3:4" x14ac:dyDescent="0.3">
      <c r="C3166" s="35">
        <f t="shared" si="49"/>
        <v>0</v>
      </c>
      <c r="D3166" s="30" t="str">
        <f>IFERROR(VLOOKUP(C3166,소속부서!$A$2:$B$20,2,FALSE), "")</f>
        <v/>
      </c>
    </row>
    <row r="3167" spans="3:4" x14ac:dyDescent="0.3">
      <c r="C3167" s="35">
        <f t="shared" si="49"/>
        <v>0</v>
      </c>
      <c r="D3167" s="30" t="str">
        <f>IFERROR(VLOOKUP(C3167,소속부서!$A$2:$B$20,2,FALSE), "")</f>
        <v/>
      </c>
    </row>
    <row r="3168" spans="3:4" x14ac:dyDescent="0.3">
      <c r="C3168" s="35">
        <f t="shared" si="49"/>
        <v>0</v>
      </c>
      <c r="D3168" s="30" t="str">
        <f>IFERROR(VLOOKUP(C3168,소속부서!$A$2:$B$20,2,FALSE), "")</f>
        <v/>
      </c>
    </row>
    <row r="3169" spans="3:4" x14ac:dyDescent="0.3">
      <c r="C3169" s="35">
        <f t="shared" si="49"/>
        <v>0</v>
      </c>
      <c r="D3169" s="30" t="str">
        <f>IFERROR(VLOOKUP(C3169,소속부서!$A$2:$B$20,2,FALSE), "")</f>
        <v/>
      </c>
    </row>
    <row r="3170" spans="3:4" x14ac:dyDescent="0.3">
      <c r="C3170" s="35">
        <f t="shared" si="49"/>
        <v>0</v>
      </c>
      <c r="D3170" s="30" t="str">
        <f>IFERROR(VLOOKUP(C3170,소속부서!$A$2:$B$20,2,FALSE), "")</f>
        <v/>
      </c>
    </row>
    <row r="3171" spans="3:4" x14ac:dyDescent="0.3">
      <c r="C3171" s="35">
        <f t="shared" si="49"/>
        <v>0</v>
      </c>
      <c r="D3171" s="30" t="str">
        <f>IFERROR(VLOOKUP(C3171,소속부서!$A$2:$B$20,2,FALSE), "")</f>
        <v/>
      </c>
    </row>
    <row r="3172" spans="3:4" x14ac:dyDescent="0.3">
      <c r="C3172" s="35">
        <f t="shared" si="49"/>
        <v>0</v>
      </c>
      <c r="D3172" s="30" t="str">
        <f>IFERROR(VLOOKUP(C3172,소속부서!$A$2:$B$20,2,FALSE), "")</f>
        <v/>
      </c>
    </row>
    <row r="3173" spans="3:4" x14ac:dyDescent="0.3">
      <c r="C3173" s="35">
        <f t="shared" si="49"/>
        <v>0</v>
      </c>
      <c r="D3173" s="30" t="str">
        <f>IFERROR(VLOOKUP(C3173,소속부서!$A$2:$B$20,2,FALSE), "")</f>
        <v/>
      </c>
    </row>
    <row r="3174" spans="3:4" x14ac:dyDescent="0.3">
      <c r="C3174" s="35">
        <f t="shared" si="49"/>
        <v>0</v>
      </c>
      <c r="D3174" s="30" t="str">
        <f>IFERROR(VLOOKUP(C3174,소속부서!$A$2:$B$20,2,FALSE), "")</f>
        <v/>
      </c>
    </row>
    <row r="3175" spans="3:4" x14ac:dyDescent="0.3">
      <c r="C3175" s="35">
        <f t="shared" si="49"/>
        <v>0</v>
      </c>
      <c r="D3175" s="30" t="str">
        <f>IFERROR(VLOOKUP(C3175,소속부서!$A$2:$B$20,2,FALSE), "")</f>
        <v/>
      </c>
    </row>
    <row r="3176" spans="3:4" x14ac:dyDescent="0.3">
      <c r="C3176" s="35">
        <f t="shared" si="49"/>
        <v>0</v>
      </c>
      <c r="D3176" s="30" t="str">
        <f>IFERROR(VLOOKUP(C3176,소속부서!$A$2:$B$20,2,FALSE), "")</f>
        <v/>
      </c>
    </row>
    <row r="3177" spans="3:4" x14ac:dyDescent="0.3">
      <c r="C3177" s="35">
        <f t="shared" si="49"/>
        <v>0</v>
      </c>
      <c r="D3177" s="30" t="str">
        <f>IFERROR(VLOOKUP(C3177,소속부서!$A$2:$B$20,2,FALSE), "")</f>
        <v/>
      </c>
    </row>
    <row r="3178" spans="3:4" x14ac:dyDescent="0.3">
      <c r="C3178" s="35">
        <f t="shared" si="49"/>
        <v>0</v>
      </c>
      <c r="D3178" s="30" t="str">
        <f>IFERROR(VLOOKUP(C3178,소속부서!$A$2:$B$20,2,FALSE), "")</f>
        <v/>
      </c>
    </row>
    <row r="3179" spans="3:4" x14ac:dyDescent="0.3">
      <c r="C3179" s="35">
        <f t="shared" si="49"/>
        <v>0</v>
      </c>
      <c r="D3179" s="30" t="str">
        <f>IFERROR(VLOOKUP(C3179,소속부서!$A$2:$B$20,2,FALSE), "")</f>
        <v/>
      </c>
    </row>
    <row r="3180" spans="3:4" x14ac:dyDescent="0.3">
      <c r="C3180" s="35">
        <f t="shared" si="49"/>
        <v>0</v>
      </c>
      <c r="D3180" s="30" t="str">
        <f>IFERROR(VLOOKUP(C3180,소속부서!$A$2:$B$20,2,FALSE), "")</f>
        <v/>
      </c>
    </row>
    <row r="3181" spans="3:4" x14ac:dyDescent="0.3">
      <c r="C3181" s="35">
        <f t="shared" si="49"/>
        <v>0</v>
      </c>
      <c r="D3181" s="30" t="str">
        <f>IFERROR(VLOOKUP(C3181,소속부서!$A$2:$B$20,2,FALSE), "")</f>
        <v/>
      </c>
    </row>
    <row r="3182" spans="3:4" x14ac:dyDescent="0.3">
      <c r="C3182" s="35">
        <f t="shared" si="49"/>
        <v>0</v>
      </c>
      <c r="D3182" s="30" t="str">
        <f>IFERROR(VLOOKUP(C3182,소속부서!$A$2:$B$20,2,FALSE), "")</f>
        <v/>
      </c>
    </row>
    <row r="3183" spans="3:4" x14ac:dyDescent="0.3">
      <c r="C3183" s="35">
        <f t="shared" si="49"/>
        <v>0</v>
      </c>
      <c r="D3183" s="30" t="str">
        <f>IFERROR(VLOOKUP(C3183,소속부서!$A$2:$B$20,2,FALSE), "")</f>
        <v/>
      </c>
    </row>
    <row r="3184" spans="3:4" x14ac:dyDescent="0.3">
      <c r="C3184" s="35">
        <f t="shared" si="49"/>
        <v>0</v>
      </c>
      <c r="D3184" s="30" t="str">
        <f>IFERROR(VLOOKUP(C3184,소속부서!$A$2:$B$20,2,FALSE), "")</f>
        <v/>
      </c>
    </row>
    <row r="3185" spans="3:4" x14ac:dyDescent="0.3">
      <c r="C3185" s="35">
        <f t="shared" si="49"/>
        <v>0</v>
      </c>
      <c r="D3185" s="30" t="str">
        <f>IFERROR(VLOOKUP(C3185,소속부서!$A$2:$B$20,2,FALSE), "")</f>
        <v/>
      </c>
    </row>
    <row r="3186" spans="3:4" x14ac:dyDescent="0.3">
      <c r="C3186" s="35">
        <f t="shared" si="49"/>
        <v>0</v>
      </c>
      <c r="D3186" s="30" t="str">
        <f>IFERROR(VLOOKUP(C3186,소속부서!$A$2:$B$20,2,FALSE), "")</f>
        <v/>
      </c>
    </row>
    <row r="3187" spans="3:4" x14ac:dyDescent="0.3">
      <c r="C3187" s="35">
        <f t="shared" si="49"/>
        <v>0</v>
      </c>
      <c r="D3187" s="30" t="str">
        <f>IFERROR(VLOOKUP(C3187,소속부서!$A$2:$B$20,2,FALSE), "")</f>
        <v/>
      </c>
    </row>
    <row r="3188" spans="3:4" x14ac:dyDescent="0.3">
      <c r="C3188" s="35">
        <f t="shared" si="49"/>
        <v>0</v>
      </c>
      <c r="D3188" s="30" t="str">
        <f>IFERROR(VLOOKUP(C3188,소속부서!$A$2:$B$20,2,FALSE), "")</f>
        <v/>
      </c>
    </row>
    <row r="3189" spans="3:4" x14ac:dyDescent="0.3">
      <c r="C3189" s="35">
        <f t="shared" si="49"/>
        <v>0</v>
      </c>
      <c r="D3189" s="30" t="str">
        <f>IFERROR(VLOOKUP(C3189,소속부서!$A$2:$B$20,2,FALSE), "")</f>
        <v/>
      </c>
    </row>
    <row r="3190" spans="3:4" x14ac:dyDescent="0.3">
      <c r="C3190" s="35">
        <f t="shared" si="49"/>
        <v>0</v>
      </c>
      <c r="D3190" s="30" t="str">
        <f>IFERROR(VLOOKUP(C3190,소속부서!$A$2:$B$20,2,FALSE), "")</f>
        <v/>
      </c>
    </row>
    <row r="3191" spans="3:4" x14ac:dyDescent="0.3">
      <c r="C3191" s="35">
        <f t="shared" si="49"/>
        <v>0</v>
      </c>
      <c r="D3191" s="30" t="str">
        <f>IFERROR(VLOOKUP(C3191,소속부서!$A$2:$B$20,2,FALSE), "")</f>
        <v/>
      </c>
    </row>
    <row r="3192" spans="3:4" x14ac:dyDescent="0.3">
      <c r="C3192" s="35">
        <f t="shared" si="49"/>
        <v>0</v>
      </c>
      <c r="D3192" s="30" t="str">
        <f>IFERROR(VLOOKUP(C3192,소속부서!$A$2:$B$20,2,FALSE), "")</f>
        <v/>
      </c>
    </row>
    <row r="3193" spans="3:4" x14ac:dyDescent="0.3">
      <c r="C3193" s="35">
        <f t="shared" si="49"/>
        <v>0</v>
      </c>
      <c r="D3193" s="30" t="str">
        <f>IFERROR(VLOOKUP(C3193,소속부서!$A$2:$B$20,2,FALSE), "")</f>
        <v/>
      </c>
    </row>
    <row r="3194" spans="3:4" x14ac:dyDescent="0.3">
      <c r="C3194" s="35">
        <f t="shared" si="49"/>
        <v>0</v>
      </c>
      <c r="D3194" s="30" t="str">
        <f>IFERROR(VLOOKUP(C3194,소속부서!$A$2:$B$20,2,FALSE), "")</f>
        <v/>
      </c>
    </row>
    <row r="3195" spans="3:4" x14ac:dyDescent="0.3">
      <c r="C3195" s="35">
        <f t="shared" si="49"/>
        <v>0</v>
      </c>
      <c r="D3195" s="30" t="str">
        <f>IFERROR(VLOOKUP(C3195,소속부서!$A$2:$B$20,2,FALSE), "")</f>
        <v/>
      </c>
    </row>
    <row r="3196" spans="3:4" x14ac:dyDescent="0.3">
      <c r="C3196" s="35">
        <f t="shared" si="49"/>
        <v>0</v>
      </c>
      <c r="D3196" s="30" t="str">
        <f>IFERROR(VLOOKUP(C3196,소속부서!$A$2:$B$20,2,FALSE), "")</f>
        <v/>
      </c>
    </row>
    <row r="3197" spans="3:4" x14ac:dyDescent="0.3">
      <c r="C3197" s="35">
        <f t="shared" si="49"/>
        <v>0</v>
      </c>
      <c r="D3197" s="30" t="str">
        <f>IFERROR(VLOOKUP(C3197,소속부서!$A$2:$B$20,2,FALSE), "")</f>
        <v/>
      </c>
    </row>
    <row r="3198" spans="3:4" x14ac:dyDescent="0.3">
      <c r="C3198" s="35">
        <f t="shared" si="49"/>
        <v>0</v>
      </c>
      <c r="D3198" s="30" t="str">
        <f>IFERROR(VLOOKUP(C3198,소속부서!$A$2:$B$20,2,FALSE), "")</f>
        <v/>
      </c>
    </row>
    <row r="3199" spans="3:4" x14ac:dyDescent="0.3">
      <c r="C3199" s="35">
        <f t="shared" si="49"/>
        <v>0</v>
      </c>
      <c r="D3199" s="30" t="str">
        <f>IFERROR(VLOOKUP(C3199,소속부서!$A$2:$B$20,2,FALSE), "")</f>
        <v/>
      </c>
    </row>
    <row r="3200" spans="3:4" x14ac:dyDescent="0.3">
      <c r="C3200" s="35">
        <f t="shared" si="49"/>
        <v>0</v>
      </c>
      <c r="D3200" s="30" t="str">
        <f>IFERROR(VLOOKUP(C3200,소속부서!$A$2:$B$20,2,FALSE), "")</f>
        <v/>
      </c>
    </row>
    <row r="3201" spans="3:4" x14ac:dyDescent="0.3">
      <c r="C3201" s="35">
        <f t="shared" ref="C3201:C3264" si="50">E3201</f>
        <v>0</v>
      </c>
      <c r="D3201" s="30" t="str">
        <f>IFERROR(VLOOKUP(C3201,소속부서!$A$2:$B$20,2,FALSE), "")</f>
        <v/>
      </c>
    </row>
    <row r="3202" spans="3:4" x14ac:dyDescent="0.3">
      <c r="C3202" s="35">
        <f t="shared" si="50"/>
        <v>0</v>
      </c>
      <c r="D3202" s="30" t="str">
        <f>IFERROR(VLOOKUP(C3202,소속부서!$A$2:$B$20,2,FALSE), "")</f>
        <v/>
      </c>
    </row>
    <row r="3203" spans="3:4" x14ac:dyDescent="0.3">
      <c r="C3203" s="35">
        <f t="shared" si="50"/>
        <v>0</v>
      </c>
      <c r="D3203" s="30" t="str">
        <f>IFERROR(VLOOKUP(C3203,소속부서!$A$2:$B$20,2,FALSE), "")</f>
        <v/>
      </c>
    </row>
    <row r="3204" spans="3:4" x14ac:dyDescent="0.3">
      <c r="C3204" s="35">
        <f t="shared" si="50"/>
        <v>0</v>
      </c>
      <c r="D3204" s="30" t="str">
        <f>IFERROR(VLOOKUP(C3204,소속부서!$A$2:$B$20,2,FALSE), "")</f>
        <v/>
      </c>
    </row>
    <row r="3205" spans="3:4" x14ac:dyDescent="0.3">
      <c r="C3205" s="35">
        <f t="shared" si="50"/>
        <v>0</v>
      </c>
      <c r="D3205" s="30" t="str">
        <f>IFERROR(VLOOKUP(C3205,소속부서!$A$2:$B$20,2,FALSE), "")</f>
        <v/>
      </c>
    </row>
    <row r="3206" spans="3:4" x14ac:dyDescent="0.3">
      <c r="C3206" s="35">
        <f t="shared" si="50"/>
        <v>0</v>
      </c>
      <c r="D3206" s="30" t="str">
        <f>IFERROR(VLOOKUP(C3206,소속부서!$A$2:$B$20,2,FALSE), "")</f>
        <v/>
      </c>
    </row>
    <row r="3207" spans="3:4" x14ac:dyDescent="0.3">
      <c r="C3207" s="35">
        <f t="shared" si="50"/>
        <v>0</v>
      </c>
      <c r="D3207" s="30" t="str">
        <f>IFERROR(VLOOKUP(C3207,소속부서!$A$2:$B$20,2,FALSE), "")</f>
        <v/>
      </c>
    </row>
    <row r="3208" spans="3:4" x14ac:dyDescent="0.3">
      <c r="C3208" s="35">
        <f t="shared" si="50"/>
        <v>0</v>
      </c>
      <c r="D3208" s="30" t="str">
        <f>IFERROR(VLOOKUP(C3208,소속부서!$A$2:$B$20,2,FALSE), "")</f>
        <v/>
      </c>
    </row>
    <row r="3209" spans="3:4" x14ac:dyDescent="0.3">
      <c r="C3209" s="35">
        <f t="shared" si="50"/>
        <v>0</v>
      </c>
      <c r="D3209" s="30" t="str">
        <f>IFERROR(VLOOKUP(C3209,소속부서!$A$2:$B$20,2,FALSE), "")</f>
        <v/>
      </c>
    </row>
    <row r="3210" spans="3:4" x14ac:dyDescent="0.3">
      <c r="C3210" s="35">
        <f t="shared" si="50"/>
        <v>0</v>
      </c>
      <c r="D3210" s="30" t="str">
        <f>IFERROR(VLOOKUP(C3210,소속부서!$A$2:$B$20,2,FALSE), "")</f>
        <v/>
      </c>
    </row>
    <row r="3211" spans="3:4" x14ac:dyDescent="0.3">
      <c r="C3211" s="35">
        <f t="shared" si="50"/>
        <v>0</v>
      </c>
      <c r="D3211" s="30" t="str">
        <f>IFERROR(VLOOKUP(C3211,소속부서!$A$2:$B$20,2,FALSE), "")</f>
        <v/>
      </c>
    </row>
    <row r="3212" spans="3:4" x14ac:dyDescent="0.3">
      <c r="C3212" s="35">
        <f t="shared" si="50"/>
        <v>0</v>
      </c>
      <c r="D3212" s="30" t="str">
        <f>IFERROR(VLOOKUP(C3212,소속부서!$A$2:$B$20,2,FALSE), "")</f>
        <v/>
      </c>
    </row>
    <row r="3213" spans="3:4" x14ac:dyDescent="0.3">
      <c r="C3213" s="35">
        <f t="shared" si="50"/>
        <v>0</v>
      </c>
      <c r="D3213" s="30" t="str">
        <f>IFERROR(VLOOKUP(C3213,소속부서!$A$2:$B$20,2,FALSE), "")</f>
        <v/>
      </c>
    </row>
    <row r="3214" spans="3:4" x14ac:dyDescent="0.3">
      <c r="C3214" s="35">
        <f t="shared" si="50"/>
        <v>0</v>
      </c>
      <c r="D3214" s="30" t="str">
        <f>IFERROR(VLOOKUP(C3214,소속부서!$A$2:$B$20,2,FALSE), "")</f>
        <v/>
      </c>
    </row>
    <row r="3215" spans="3:4" x14ac:dyDescent="0.3">
      <c r="C3215" s="35">
        <f t="shared" si="50"/>
        <v>0</v>
      </c>
      <c r="D3215" s="30" t="str">
        <f>IFERROR(VLOOKUP(C3215,소속부서!$A$2:$B$20,2,FALSE), "")</f>
        <v/>
      </c>
    </row>
    <row r="3216" spans="3:4" x14ac:dyDescent="0.3">
      <c r="C3216" s="35">
        <f t="shared" si="50"/>
        <v>0</v>
      </c>
      <c r="D3216" s="30" t="str">
        <f>IFERROR(VLOOKUP(C3216,소속부서!$A$2:$B$20,2,FALSE), "")</f>
        <v/>
      </c>
    </row>
    <row r="3217" spans="3:4" x14ac:dyDescent="0.3">
      <c r="C3217" s="35">
        <f t="shared" si="50"/>
        <v>0</v>
      </c>
      <c r="D3217" s="30" t="str">
        <f>IFERROR(VLOOKUP(C3217,소속부서!$A$2:$B$20,2,FALSE), "")</f>
        <v/>
      </c>
    </row>
    <row r="3218" spans="3:4" x14ac:dyDescent="0.3">
      <c r="C3218" s="35">
        <f t="shared" si="50"/>
        <v>0</v>
      </c>
      <c r="D3218" s="30" t="str">
        <f>IFERROR(VLOOKUP(C3218,소속부서!$A$2:$B$20,2,FALSE), "")</f>
        <v/>
      </c>
    </row>
    <row r="3219" spans="3:4" x14ac:dyDescent="0.3">
      <c r="C3219" s="35">
        <f t="shared" si="50"/>
        <v>0</v>
      </c>
      <c r="D3219" s="30" t="str">
        <f>IFERROR(VLOOKUP(C3219,소속부서!$A$2:$B$20,2,FALSE), "")</f>
        <v/>
      </c>
    </row>
    <row r="3220" spans="3:4" x14ac:dyDescent="0.3">
      <c r="C3220" s="35">
        <f t="shared" si="50"/>
        <v>0</v>
      </c>
      <c r="D3220" s="30" t="str">
        <f>IFERROR(VLOOKUP(C3220,소속부서!$A$2:$B$20,2,FALSE), "")</f>
        <v/>
      </c>
    </row>
    <row r="3221" spans="3:4" x14ac:dyDescent="0.3">
      <c r="C3221" s="35">
        <f t="shared" si="50"/>
        <v>0</v>
      </c>
      <c r="D3221" s="30" t="str">
        <f>IFERROR(VLOOKUP(C3221,소속부서!$A$2:$B$20,2,FALSE), "")</f>
        <v/>
      </c>
    </row>
    <row r="3222" spans="3:4" x14ac:dyDescent="0.3">
      <c r="C3222" s="35">
        <f t="shared" si="50"/>
        <v>0</v>
      </c>
      <c r="D3222" s="30" t="str">
        <f>IFERROR(VLOOKUP(C3222,소속부서!$A$2:$B$20,2,FALSE), "")</f>
        <v/>
      </c>
    </row>
    <row r="3223" spans="3:4" x14ac:dyDescent="0.3">
      <c r="C3223" s="35">
        <f t="shared" si="50"/>
        <v>0</v>
      </c>
      <c r="D3223" s="30" t="str">
        <f>IFERROR(VLOOKUP(C3223,소속부서!$A$2:$B$20,2,FALSE), "")</f>
        <v/>
      </c>
    </row>
    <row r="3224" spans="3:4" x14ac:dyDescent="0.3">
      <c r="C3224" s="35">
        <f t="shared" si="50"/>
        <v>0</v>
      </c>
      <c r="D3224" s="30" t="str">
        <f>IFERROR(VLOOKUP(C3224,소속부서!$A$2:$B$20,2,FALSE), "")</f>
        <v/>
      </c>
    </row>
    <row r="3225" spans="3:4" x14ac:dyDescent="0.3">
      <c r="C3225" s="35">
        <f t="shared" si="50"/>
        <v>0</v>
      </c>
      <c r="D3225" s="30" t="str">
        <f>IFERROR(VLOOKUP(C3225,소속부서!$A$2:$B$20,2,FALSE), "")</f>
        <v/>
      </c>
    </row>
    <row r="3226" spans="3:4" x14ac:dyDescent="0.3">
      <c r="C3226" s="35">
        <f t="shared" si="50"/>
        <v>0</v>
      </c>
      <c r="D3226" s="30" t="str">
        <f>IFERROR(VLOOKUP(C3226,소속부서!$A$2:$B$20,2,FALSE), "")</f>
        <v/>
      </c>
    </row>
    <row r="3227" spans="3:4" x14ac:dyDescent="0.3">
      <c r="C3227" s="35">
        <f t="shared" si="50"/>
        <v>0</v>
      </c>
      <c r="D3227" s="30" t="str">
        <f>IFERROR(VLOOKUP(C3227,소속부서!$A$2:$B$20,2,FALSE), "")</f>
        <v/>
      </c>
    </row>
    <row r="3228" spans="3:4" x14ac:dyDescent="0.3">
      <c r="C3228" s="35">
        <f t="shared" si="50"/>
        <v>0</v>
      </c>
      <c r="D3228" s="30" t="str">
        <f>IFERROR(VLOOKUP(C3228,소속부서!$A$2:$B$20,2,FALSE), "")</f>
        <v/>
      </c>
    </row>
    <row r="3229" spans="3:4" x14ac:dyDescent="0.3">
      <c r="C3229" s="35">
        <f t="shared" si="50"/>
        <v>0</v>
      </c>
      <c r="D3229" s="30" t="str">
        <f>IFERROR(VLOOKUP(C3229,소속부서!$A$2:$B$20,2,FALSE), "")</f>
        <v/>
      </c>
    </row>
    <row r="3230" spans="3:4" x14ac:dyDescent="0.3">
      <c r="C3230" s="35">
        <f t="shared" si="50"/>
        <v>0</v>
      </c>
      <c r="D3230" s="30" t="str">
        <f>IFERROR(VLOOKUP(C3230,소속부서!$A$2:$B$20,2,FALSE), "")</f>
        <v/>
      </c>
    </row>
    <row r="3231" spans="3:4" x14ac:dyDescent="0.3">
      <c r="C3231" s="35">
        <f t="shared" si="50"/>
        <v>0</v>
      </c>
      <c r="D3231" s="30" t="str">
        <f>IFERROR(VLOOKUP(C3231,소속부서!$A$2:$B$20,2,FALSE), "")</f>
        <v/>
      </c>
    </row>
    <row r="3232" spans="3:4" x14ac:dyDescent="0.3">
      <c r="C3232" s="35">
        <f t="shared" si="50"/>
        <v>0</v>
      </c>
      <c r="D3232" s="30" t="str">
        <f>IFERROR(VLOOKUP(C3232,소속부서!$A$2:$B$20,2,FALSE), "")</f>
        <v/>
      </c>
    </row>
    <row r="3233" spans="3:4" x14ac:dyDescent="0.3">
      <c r="C3233" s="35">
        <f t="shared" si="50"/>
        <v>0</v>
      </c>
      <c r="D3233" s="30" t="str">
        <f>IFERROR(VLOOKUP(C3233,소속부서!$A$2:$B$20,2,FALSE), "")</f>
        <v/>
      </c>
    </row>
    <row r="3234" spans="3:4" x14ac:dyDescent="0.3">
      <c r="C3234" s="35">
        <f t="shared" si="50"/>
        <v>0</v>
      </c>
      <c r="D3234" s="30" t="str">
        <f>IFERROR(VLOOKUP(C3234,소속부서!$A$2:$B$20,2,FALSE), "")</f>
        <v/>
      </c>
    </row>
    <row r="3235" spans="3:4" x14ac:dyDescent="0.3">
      <c r="C3235" s="35">
        <f t="shared" si="50"/>
        <v>0</v>
      </c>
      <c r="D3235" s="30" t="str">
        <f>IFERROR(VLOOKUP(C3235,소속부서!$A$2:$B$20,2,FALSE), "")</f>
        <v/>
      </c>
    </row>
    <row r="3236" spans="3:4" x14ac:dyDescent="0.3">
      <c r="C3236" s="35">
        <f t="shared" si="50"/>
        <v>0</v>
      </c>
      <c r="D3236" s="30" t="str">
        <f>IFERROR(VLOOKUP(C3236,소속부서!$A$2:$B$20,2,FALSE), "")</f>
        <v/>
      </c>
    </row>
    <row r="3237" spans="3:4" x14ac:dyDescent="0.3">
      <c r="C3237" s="35">
        <f t="shared" si="50"/>
        <v>0</v>
      </c>
      <c r="D3237" s="30" t="str">
        <f>IFERROR(VLOOKUP(C3237,소속부서!$A$2:$B$20,2,FALSE), "")</f>
        <v/>
      </c>
    </row>
    <row r="3238" spans="3:4" x14ac:dyDescent="0.3">
      <c r="C3238" s="35">
        <f t="shared" si="50"/>
        <v>0</v>
      </c>
      <c r="D3238" s="30" t="str">
        <f>IFERROR(VLOOKUP(C3238,소속부서!$A$2:$B$20,2,FALSE), "")</f>
        <v/>
      </c>
    </row>
    <row r="3239" spans="3:4" x14ac:dyDescent="0.3">
      <c r="C3239" s="35">
        <f t="shared" si="50"/>
        <v>0</v>
      </c>
      <c r="D3239" s="30" t="str">
        <f>IFERROR(VLOOKUP(C3239,소속부서!$A$2:$B$20,2,FALSE), "")</f>
        <v/>
      </c>
    </row>
    <row r="3240" spans="3:4" x14ac:dyDescent="0.3">
      <c r="C3240" s="35">
        <f t="shared" si="50"/>
        <v>0</v>
      </c>
      <c r="D3240" s="30" t="str">
        <f>IFERROR(VLOOKUP(C3240,소속부서!$A$2:$B$20,2,FALSE), "")</f>
        <v/>
      </c>
    </row>
    <row r="3241" spans="3:4" x14ac:dyDescent="0.3">
      <c r="C3241" s="35">
        <f t="shared" si="50"/>
        <v>0</v>
      </c>
      <c r="D3241" s="30" t="str">
        <f>IFERROR(VLOOKUP(C3241,소속부서!$A$2:$B$20,2,FALSE), "")</f>
        <v/>
      </c>
    </row>
    <row r="3242" spans="3:4" x14ac:dyDescent="0.3">
      <c r="C3242" s="35">
        <f t="shared" si="50"/>
        <v>0</v>
      </c>
      <c r="D3242" s="30" t="str">
        <f>IFERROR(VLOOKUP(C3242,소속부서!$A$2:$B$20,2,FALSE), "")</f>
        <v/>
      </c>
    </row>
    <row r="3243" spans="3:4" x14ac:dyDescent="0.3">
      <c r="C3243" s="35">
        <f t="shared" si="50"/>
        <v>0</v>
      </c>
      <c r="D3243" s="30" t="str">
        <f>IFERROR(VLOOKUP(C3243,소속부서!$A$2:$B$20,2,FALSE), "")</f>
        <v/>
      </c>
    </row>
    <row r="3244" spans="3:4" x14ac:dyDescent="0.3">
      <c r="C3244" s="35">
        <f t="shared" si="50"/>
        <v>0</v>
      </c>
      <c r="D3244" s="30" t="str">
        <f>IFERROR(VLOOKUP(C3244,소속부서!$A$2:$B$20,2,FALSE), "")</f>
        <v/>
      </c>
    </row>
    <row r="3245" spans="3:4" x14ac:dyDescent="0.3">
      <c r="C3245" s="35">
        <f t="shared" si="50"/>
        <v>0</v>
      </c>
      <c r="D3245" s="30" t="str">
        <f>IFERROR(VLOOKUP(C3245,소속부서!$A$2:$B$20,2,FALSE), "")</f>
        <v/>
      </c>
    </row>
    <row r="3246" spans="3:4" x14ac:dyDescent="0.3">
      <c r="C3246" s="35">
        <f t="shared" si="50"/>
        <v>0</v>
      </c>
      <c r="D3246" s="30" t="str">
        <f>IFERROR(VLOOKUP(C3246,소속부서!$A$2:$B$20,2,FALSE), "")</f>
        <v/>
      </c>
    </row>
    <row r="3247" spans="3:4" x14ac:dyDescent="0.3">
      <c r="C3247" s="35">
        <f t="shared" si="50"/>
        <v>0</v>
      </c>
      <c r="D3247" s="30" t="str">
        <f>IFERROR(VLOOKUP(C3247,소속부서!$A$2:$B$20,2,FALSE), "")</f>
        <v/>
      </c>
    </row>
    <row r="3248" spans="3:4" x14ac:dyDescent="0.3">
      <c r="C3248" s="35">
        <f t="shared" si="50"/>
        <v>0</v>
      </c>
      <c r="D3248" s="30" t="str">
        <f>IFERROR(VLOOKUP(C3248,소속부서!$A$2:$B$20,2,FALSE), "")</f>
        <v/>
      </c>
    </row>
    <row r="3249" spans="3:4" x14ac:dyDescent="0.3">
      <c r="C3249" s="35">
        <f t="shared" si="50"/>
        <v>0</v>
      </c>
      <c r="D3249" s="30" t="str">
        <f>IFERROR(VLOOKUP(C3249,소속부서!$A$2:$B$20,2,FALSE), "")</f>
        <v/>
      </c>
    </row>
    <row r="3250" spans="3:4" x14ac:dyDescent="0.3">
      <c r="C3250" s="35">
        <f t="shared" si="50"/>
        <v>0</v>
      </c>
      <c r="D3250" s="30" t="str">
        <f>IFERROR(VLOOKUP(C3250,소속부서!$A$2:$B$20,2,FALSE), "")</f>
        <v/>
      </c>
    </row>
    <row r="3251" spans="3:4" x14ac:dyDescent="0.3">
      <c r="C3251" s="35">
        <f t="shared" si="50"/>
        <v>0</v>
      </c>
      <c r="D3251" s="30" t="str">
        <f>IFERROR(VLOOKUP(C3251,소속부서!$A$2:$B$20,2,FALSE), "")</f>
        <v/>
      </c>
    </row>
    <row r="3252" spans="3:4" x14ac:dyDescent="0.3">
      <c r="C3252" s="35">
        <f t="shared" si="50"/>
        <v>0</v>
      </c>
      <c r="D3252" s="30" t="str">
        <f>IFERROR(VLOOKUP(C3252,소속부서!$A$2:$B$20,2,FALSE), "")</f>
        <v/>
      </c>
    </row>
    <row r="3253" spans="3:4" x14ac:dyDescent="0.3">
      <c r="C3253" s="35">
        <f t="shared" si="50"/>
        <v>0</v>
      </c>
      <c r="D3253" s="30" t="str">
        <f>IFERROR(VLOOKUP(C3253,소속부서!$A$2:$B$20,2,FALSE), "")</f>
        <v/>
      </c>
    </row>
    <row r="3254" spans="3:4" x14ac:dyDescent="0.3">
      <c r="C3254" s="35">
        <f t="shared" si="50"/>
        <v>0</v>
      </c>
      <c r="D3254" s="30" t="str">
        <f>IFERROR(VLOOKUP(C3254,소속부서!$A$2:$B$20,2,FALSE), "")</f>
        <v/>
      </c>
    </row>
    <row r="3255" spans="3:4" x14ac:dyDescent="0.3">
      <c r="C3255" s="35">
        <f t="shared" si="50"/>
        <v>0</v>
      </c>
      <c r="D3255" s="30" t="str">
        <f>IFERROR(VLOOKUP(C3255,소속부서!$A$2:$B$20,2,FALSE), "")</f>
        <v/>
      </c>
    </row>
    <row r="3256" spans="3:4" x14ac:dyDescent="0.3">
      <c r="C3256" s="35">
        <f t="shared" si="50"/>
        <v>0</v>
      </c>
      <c r="D3256" s="30" t="str">
        <f>IFERROR(VLOOKUP(C3256,소속부서!$A$2:$B$20,2,FALSE), "")</f>
        <v/>
      </c>
    </row>
    <row r="3257" spans="3:4" x14ac:dyDescent="0.3">
      <c r="C3257" s="35">
        <f t="shared" si="50"/>
        <v>0</v>
      </c>
      <c r="D3257" s="30" t="str">
        <f>IFERROR(VLOOKUP(C3257,소속부서!$A$2:$B$20,2,FALSE), "")</f>
        <v/>
      </c>
    </row>
    <row r="3258" spans="3:4" x14ac:dyDescent="0.3">
      <c r="C3258" s="35">
        <f t="shared" si="50"/>
        <v>0</v>
      </c>
      <c r="D3258" s="30" t="str">
        <f>IFERROR(VLOOKUP(C3258,소속부서!$A$2:$B$20,2,FALSE), "")</f>
        <v/>
      </c>
    </row>
    <row r="3259" spans="3:4" x14ac:dyDescent="0.3">
      <c r="C3259" s="35">
        <f t="shared" si="50"/>
        <v>0</v>
      </c>
      <c r="D3259" s="30" t="str">
        <f>IFERROR(VLOOKUP(C3259,소속부서!$A$2:$B$20,2,FALSE), "")</f>
        <v/>
      </c>
    </row>
    <row r="3260" spans="3:4" x14ac:dyDescent="0.3">
      <c r="C3260" s="35">
        <f t="shared" si="50"/>
        <v>0</v>
      </c>
      <c r="D3260" s="30" t="str">
        <f>IFERROR(VLOOKUP(C3260,소속부서!$A$2:$B$20,2,FALSE), "")</f>
        <v/>
      </c>
    </row>
    <row r="3261" spans="3:4" x14ac:dyDescent="0.3">
      <c r="C3261" s="35">
        <f t="shared" si="50"/>
        <v>0</v>
      </c>
      <c r="D3261" s="30" t="str">
        <f>IFERROR(VLOOKUP(C3261,소속부서!$A$2:$B$20,2,FALSE), "")</f>
        <v/>
      </c>
    </row>
    <row r="3262" spans="3:4" x14ac:dyDescent="0.3">
      <c r="C3262" s="35">
        <f t="shared" si="50"/>
        <v>0</v>
      </c>
      <c r="D3262" s="30" t="str">
        <f>IFERROR(VLOOKUP(C3262,소속부서!$A$2:$B$20,2,FALSE), "")</f>
        <v/>
      </c>
    </row>
    <row r="3263" spans="3:4" x14ac:dyDescent="0.3">
      <c r="C3263" s="35">
        <f t="shared" si="50"/>
        <v>0</v>
      </c>
      <c r="D3263" s="30" t="str">
        <f>IFERROR(VLOOKUP(C3263,소속부서!$A$2:$B$20,2,FALSE), "")</f>
        <v/>
      </c>
    </row>
    <row r="3264" spans="3:4" x14ac:dyDescent="0.3">
      <c r="C3264" s="35">
        <f t="shared" si="50"/>
        <v>0</v>
      </c>
      <c r="D3264" s="30" t="str">
        <f>IFERROR(VLOOKUP(C3264,소속부서!$A$2:$B$20,2,FALSE), "")</f>
        <v/>
      </c>
    </row>
    <row r="3265" spans="3:4" x14ac:dyDescent="0.3">
      <c r="C3265" s="35">
        <f t="shared" ref="C3265:C3328" si="51">E3265</f>
        <v>0</v>
      </c>
      <c r="D3265" s="30" t="str">
        <f>IFERROR(VLOOKUP(C3265,소속부서!$A$2:$B$20,2,FALSE), "")</f>
        <v/>
      </c>
    </row>
    <row r="3266" spans="3:4" x14ac:dyDescent="0.3">
      <c r="C3266" s="35">
        <f t="shared" si="51"/>
        <v>0</v>
      </c>
      <c r="D3266" s="30" t="str">
        <f>IFERROR(VLOOKUP(C3266,소속부서!$A$2:$B$20,2,FALSE), "")</f>
        <v/>
      </c>
    </row>
    <row r="3267" spans="3:4" x14ac:dyDescent="0.3">
      <c r="C3267" s="35">
        <f t="shared" si="51"/>
        <v>0</v>
      </c>
      <c r="D3267" s="30" t="str">
        <f>IFERROR(VLOOKUP(C3267,소속부서!$A$2:$B$20,2,FALSE), "")</f>
        <v/>
      </c>
    </row>
    <row r="3268" spans="3:4" x14ac:dyDescent="0.3">
      <c r="C3268" s="35">
        <f t="shared" si="51"/>
        <v>0</v>
      </c>
      <c r="D3268" s="30" t="str">
        <f>IFERROR(VLOOKUP(C3268,소속부서!$A$2:$B$20,2,FALSE), "")</f>
        <v/>
      </c>
    </row>
    <row r="3269" spans="3:4" x14ac:dyDescent="0.3">
      <c r="C3269" s="35">
        <f t="shared" si="51"/>
        <v>0</v>
      </c>
      <c r="D3269" s="30" t="str">
        <f>IFERROR(VLOOKUP(C3269,소속부서!$A$2:$B$20,2,FALSE), "")</f>
        <v/>
      </c>
    </row>
    <row r="3270" spans="3:4" x14ac:dyDescent="0.3">
      <c r="C3270" s="35">
        <f t="shared" si="51"/>
        <v>0</v>
      </c>
      <c r="D3270" s="30" t="str">
        <f>IFERROR(VLOOKUP(C3270,소속부서!$A$2:$B$20,2,FALSE), "")</f>
        <v/>
      </c>
    </row>
    <row r="3271" spans="3:4" x14ac:dyDescent="0.3">
      <c r="C3271" s="35">
        <f t="shared" si="51"/>
        <v>0</v>
      </c>
      <c r="D3271" s="30" t="str">
        <f>IFERROR(VLOOKUP(C3271,소속부서!$A$2:$B$20,2,FALSE), "")</f>
        <v/>
      </c>
    </row>
    <row r="3272" spans="3:4" x14ac:dyDescent="0.3">
      <c r="C3272" s="35">
        <f t="shared" si="51"/>
        <v>0</v>
      </c>
      <c r="D3272" s="30" t="str">
        <f>IFERROR(VLOOKUP(C3272,소속부서!$A$2:$B$20,2,FALSE), "")</f>
        <v/>
      </c>
    </row>
    <row r="3273" spans="3:4" x14ac:dyDescent="0.3">
      <c r="C3273" s="35">
        <f t="shared" si="51"/>
        <v>0</v>
      </c>
      <c r="D3273" s="30" t="str">
        <f>IFERROR(VLOOKUP(C3273,소속부서!$A$2:$B$20,2,FALSE), "")</f>
        <v/>
      </c>
    </row>
    <row r="3274" spans="3:4" x14ac:dyDescent="0.3">
      <c r="C3274" s="35">
        <f t="shared" si="51"/>
        <v>0</v>
      </c>
      <c r="D3274" s="30" t="str">
        <f>IFERROR(VLOOKUP(C3274,소속부서!$A$2:$B$20,2,FALSE), "")</f>
        <v/>
      </c>
    </row>
    <row r="3275" spans="3:4" x14ac:dyDescent="0.3">
      <c r="C3275" s="35">
        <f t="shared" si="51"/>
        <v>0</v>
      </c>
      <c r="D3275" s="30" t="str">
        <f>IFERROR(VLOOKUP(C3275,소속부서!$A$2:$B$20,2,FALSE), "")</f>
        <v/>
      </c>
    </row>
    <row r="3276" spans="3:4" x14ac:dyDescent="0.3">
      <c r="C3276" s="35">
        <f t="shared" si="51"/>
        <v>0</v>
      </c>
      <c r="D3276" s="30" t="str">
        <f>IFERROR(VLOOKUP(C3276,소속부서!$A$2:$B$20,2,FALSE), "")</f>
        <v/>
      </c>
    </row>
    <row r="3277" spans="3:4" x14ac:dyDescent="0.3">
      <c r="C3277" s="35">
        <f t="shared" si="51"/>
        <v>0</v>
      </c>
      <c r="D3277" s="30" t="str">
        <f>IFERROR(VLOOKUP(C3277,소속부서!$A$2:$B$20,2,FALSE), "")</f>
        <v/>
      </c>
    </row>
    <row r="3278" spans="3:4" x14ac:dyDescent="0.3">
      <c r="C3278" s="35">
        <f t="shared" si="51"/>
        <v>0</v>
      </c>
      <c r="D3278" s="30" t="str">
        <f>IFERROR(VLOOKUP(C3278,소속부서!$A$2:$B$20,2,FALSE), "")</f>
        <v/>
      </c>
    </row>
    <row r="3279" spans="3:4" x14ac:dyDescent="0.3">
      <c r="C3279" s="35">
        <f t="shared" si="51"/>
        <v>0</v>
      </c>
      <c r="D3279" s="30" t="str">
        <f>IFERROR(VLOOKUP(C3279,소속부서!$A$2:$B$20,2,FALSE), "")</f>
        <v/>
      </c>
    </row>
    <row r="3280" spans="3:4" x14ac:dyDescent="0.3">
      <c r="C3280" s="35">
        <f t="shared" si="51"/>
        <v>0</v>
      </c>
      <c r="D3280" s="30" t="str">
        <f>IFERROR(VLOOKUP(C3280,소속부서!$A$2:$B$20,2,FALSE), "")</f>
        <v/>
      </c>
    </row>
    <row r="3281" spans="3:4" x14ac:dyDescent="0.3">
      <c r="C3281" s="35">
        <f t="shared" si="51"/>
        <v>0</v>
      </c>
      <c r="D3281" s="30" t="str">
        <f>IFERROR(VLOOKUP(C3281,소속부서!$A$2:$B$20,2,FALSE), "")</f>
        <v/>
      </c>
    </row>
    <row r="3282" spans="3:4" x14ac:dyDescent="0.3">
      <c r="C3282" s="35">
        <f t="shared" si="51"/>
        <v>0</v>
      </c>
      <c r="D3282" s="30" t="str">
        <f>IFERROR(VLOOKUP(C3282,소속부서!$A$2:$B$20,2,FALSE), "")</f>
        <v/>
      </c>
    </row>
    <row r="3283" spans="3:4" x14ac:dyDescent="0.3">
      <c r="C3283" s="35">
        <f t="shared" si="51"/>
        <v>0</v>
      </c>
      <c r="D3283" s="30" t="str">
        <f>IFERROR(VLOOKUP(C3283,소속부서!$A$2:$B$20,2,FALSE), "")</f>
        <v/>
      </c>
    </row>
    <row r="3284" spans="3:4" x14ac:dyDescent="0.3">
      <c r="C3284" s="35">
        <f t="shared" si="51"/>
        <v>0</v>
      </c>
      <c r="D3284" s="30" t="str">
        <f>IFERROR(VLOOKUP(C3284,소속부서!$A$2:$B$20,2,FALSE), "")</f>
        <v/>
      </c>
    </row>
    <row r="3285" spans="3:4" x14ac:dyDescent="0.3">
      <c r="C3285" s="35">
        <f t="shared" si="51"/>
        <v>0</v>
      </c>
      <c r="D3285" s="30" t="str">
        <f>IFERROR(VLOOKUP(C3285,소속부서!$A$2:$B$20,2,FALSE), "")</f>
        <v/>
      </c>
    </row>
    <row r="3286" spans="3:4" x14ac:dyDescent="0.3">
      <c r="C3286" s="35">
        <f t="shared" si="51"/>
        <v>0</v>
      </c>
      <c r="D3286" s="30" t="str">
        <f>IFERROR(VLOOKUP(C3286,소속부서!$A$2:$B$20,2,FALSE), "")</f>
        <v/>
      </c>
    </row>
    <row r="3287" spans="3:4" x14ac:dyDescent="0.3">
      <c r="C3287" s="35">
        <f t="shared" si="51"/>
        <v>0</v>
      </c>
      <c r="D3287" s="30" t="str">
        <f>IFERROR(VLOOKUP(C3287,소속부서!$A$2:$B$20,2,FALSE), "")</f>
        <v/>
      </c>
    </row>
    <row r="3288" spans="3:4" x14ac:dyDescent="0.3">
      <c r="C3288" s="35">
        <f t="shared" si="51"/>
        <v>0</v>
      </c>
      <c r="D3288" s="30" t="str">
        <f>IFERROR(VLOOKUP(C3288,소속부서!$A$2:$B$20,2,FALSE), "")</f>
        <v/>
      </c>
    </row>
    <row r="3289" spans="3:4" x14ac:dyDescent="0.3">
      <c r="C3289" s="35">
        <f t="shared" si="51"/>
        <v>0</v>
      </c>
      <c r="D3289" s="30" t="str">
        <f>IFERROR(VLOOKUP(C3289,소속부서!$A$2:$B$20,2,FALSE), "")</f>
        <v/>
      </c>
    </row>
    <row r="3290" spans="3:4" x14ac:dyDescent="0.3">
      <c r="C3290" s="35">
        <f t="shared" si="51"/>
        <v>0</v>
      </c>
      <c r="D3290" s="30" t="str">
        <f>IFERROR(VLOOKUP(C3290,소속부서!$A$2:$B$20,2,FALSE), "")</f>
        <v/>
      </c>
    </row>
    <row r="3291" spans="3:4" x14ac:dyDescent="0.3">
      <c r="C3291" s="35">
        <f t="shared" si="51"/>
        <v>0</v>
      </c>
      <c r="D3291" s="30" t="str">
        <f>IFERROR(VLOOKUP(C3291,소속부서!$A$2:$B$20,2,FALSE), "")</f>
        <v/>
      </c>
    </row>
    <row r="3292" spans="3:4" x14ac:dyDescent="0.3">
      <c r="C3292" s="35">
        <f t="shared" si="51"/>
        <v>0</v>
      </c>
      <c r="D3292" s="30" t="str">
        <f>IFERROR(VLOOKUP(C3292,소속부서!$A$2:$B$20,2,FALSE), "")</f>
        <v/>
      </c>
    </row>
    <row r="3293" spans="3:4" x14ac:dyDescent="0.3">
      <c r="C3293" s="35">
        <f t="shared" si="51"/>
        <v>0</v>
      </c>
      <c r="D3293" s="30" t="str">
        <f>IFERROR(VLOOKUP(C3293,소속부서!$A$2:$B$20,2,FALSE), "")</f>
        <v/>
      </c>
    </row>
    <row r="3294" spans="3:4" x14ac:dyDescent="0.3">
      <c r="C3294" s="35">
        <f t="shared" si="51"/>
        <v>0</v>
      </c>
      <c r="D3294" s="30" t="str">
        <f>IFERROR(VLOOKUP(C3294,소속부서!$A$2:$B$20,2,FALSE), "")</f>
        <v/>
      </c>
    </row>
    <row r="3295" spans="3:4" x14ac:dyDescent="0.3">
      <c r="C3295" s="35">
        <f t="shared" si="51"/>
        <v>0</v>
      </c>
      <c r="D3295" s="30" t="str">
        <f>IFERROR(VLOOKUP(C3295,소속부서!$A$2:$B$20,2,FALSE), "")</f>
        <v/>
      </c>
    </row>
    <row r="3296" spans="3:4" x14ac:dyDescent="0.3">
      <c r="C3296" s="35">
        <f t="shared" si="51"/>
        <v>0</v>
      </c>
      <c r="D3296" s="30" t="str">
        <f>IFERROR(VLOOKUP(C3296,소속부서!$A$2:$B$20,2,FALSE), "")</f>
        <v/>
      </c>
    </row>
    <row r="3297" spans="3:4" x14ac:dyDescent="0.3">
      <c r="C3297" s="35">
        <f t="shared" si="51"/>
        <v>0</v>
      </c>
      <c r="D3297" s="30" t="str">
        <f>IFERROR(VLOOKUP(C3297,소속부서!$A$2:$B$20,2,FALSE), "")</f>
        <v/>
      </c>
    </row>
    <row r="3298" spans="3:4" x14ac:dyDescent="0.3">
      <c r="C3298" s="35">
        <f t="shared" si="51"/>
        <v>0</v>
      </c>
      <c r="D3298" s="30" t="str">
        <f>IFERROR(VLOOKUP(C3298,소속부서!$A$2:$B$20,2,FALSE), "")</f>
        <v/>
      </c>
    </row>
    <row r="3299" spans="3:4" x14ac:dyDescent="0.3">
      <c r="C3299" s="35">
        <f t="shared" si="51"/>
        <v>0</v>
      </c>
      <c r="D3299" s="30" t="str">
        <f>IFERROR(VLOOKUP(C3299,소속부서!$A$2:$B$20,2,FALSE), "")</f>
        <v/>
      </c>
    </row>
    <row r="3300" spans="3:4" x14ac:dyDescent="0.3">
      <c r="C3300" s="35">
        <f t="shared" si="51"/>
        <v>0</v>
      </c>
      <c r="D3300" s="30" t="str">
        <f>IFERROR(VLOOKUP(C3300,소속부서!$A$2:$B$20,2,FALSE), "")</f>
        <v/>
      </c>
    </row>
    <row r="3301" spans="3:4" x14ac:dyDescent="0.3">
      <c r="C3301" s="35">
        <f t="shared" si="51"/>
        <v>0</v>
      </c>
      <c r="D3301" s="30" t="str">
        <f>IFERROR(VLOOKUP(C3301,소속부서!$A$2:$B$20,2,FALSE), "")</f>
        <v/>
      </c>
    </row>
    <row r="3302" spans="3:4" x14ac:dyDescent="0.3">
      <c r="C3302" s="35">
        <f t="shared" si="51"/>
        <v>0</v>
      </c>
      <c r="D3302" s="30" t="str">
        <f>IFERROR(VLOOKUP(C3302,소속부서!$A$2:$B$20,2,FALSE), "")</f>
        <v/>
      </c>
    </row>
    <row r="3303" spans="3:4" x14ac:dyDescent="0.3">
      <c r="C3303" s="35">
        <f t="shared" si="51"/>
        <v>0</v>
      </c>
      <c r="D3303" s="30" t="str">
        <f>IFERROR(VLOOKUP(C3303,소속부서!$A$2:$B$20,2,FALSE), "")</f>
        <v/>
      </c>
    </row>
    <row r="3304" spans="3:4" x14ac:dyDescent="0.3">
      <c r="C3304" s="35">
        <f t="shared" si="51"/>
        <v>0</v>
      </c>
      <c r="D3304" s="30" t="str">
        <f>IFERROR(VLOOKUP(C3304,소속부서!$A$2:$B$20,2,FALSE), "")</f>
        <v/>
      </c>
    </row>
    <row r="3305" spans="3:4" x14ac:dyDescent="0.3">
      <c r="C3305" s="35">
        <f t="shared" si="51"/>
        <v>0</v>
      </c>
      <c r="D3305" s="30" t="str">
        <f>IFERROR(VLOOKUP(C3305,소속부서!$A$2:$B$20,2,FALSE), "")</f>
        <v/>
      </c>
    </row>
    <row r="3306" spans="3:4" x14ac:dyDescent="0.3">
      <c r="C3306" s="35">
        <f t="shared" si="51"/>
        <v>0</v>
      </c>
      <c r="D3306" s="30" t="str">
        <f>IFERROR(VLOOKUP(C3306,소속부서!$A$2:$B$20,2,FALSE), "")</f>
        <v/>
      </c>
    </row>
    <row r="3307" spans="3:4" x14ac:dyDescent="0.3">
      <c r="C3307" s="35">
        <f t="shared" si="51"/>
        <v>0</v>
      </c>
      <c r="D3307" s="30" t="str">
        <f>IFERROR(VLOOKUP(C3307,소속부서!$A$2:$B$20,2,FALSE), "")</f>
        <v/>
      </c>
    </row>
    <row r="3308" spans="3:4" x14ac:dyDescent="0.3">
      <c r="C3308" s="35">
        <f t="shared" si="51"/>
        <v>0</v>
      </c>
      <c r="D3308" s="30" t="str">
        <f>IFERROR(VLOOKUP(C3308,소속부서!$A$2:$B$20,2,FALSE), "")</f>
        <v/>
      </c>
    </row>
    <row r="3309" spans="3:4" x14ac:dyDescent="0.3">
      <c r="C3309" s="35">
        <f t="shared" si="51"/>
        <v>0</v>
      </c>
      <c r="D3309" s="30" t="str">
        <f>IFERROR(VLOOKUP(C3309,소속부서!$A$2:$B$20,2,FALSE), "")</f>
        <v/>
      </c>
    </row>
    <row r="3310" spans="3:4" x14ac:dyDescent="0.3">
      <c r="C3310" s="35">
        <f t="shared" si="51"/>
        <v>0</v>
      </c>
      <c r="D3310" s="30" t="str">
        <f>IFERROR(VLOOKUP(C3310,소속부서!$A$2:$B$20,2,FALSE), "")</f>
        <v/>
      </c>
    </row>
    <row r="3311" spans="3:4" x14ac:dyDescent="0.3">
      <c r="C3311" s="35">
        <f t="shared" si="51"/>
        <v>0</v>
      </c>
      <c r="D3311" s="30" t="str">
        <f>IFERROR(VLOOKUP(C3311,소속부서!$A$2:$B$20,2,FALSE), "")</f>
        <v/>
      </c>
    </row>
    <row r="3312" spans="3:4" x14ac:dyDescent="0.3">
      <c r="C3312" s="35">
        <f t="shared" si="51"/>
        <v>0</v>
      </c>
      <c r="D3312" s="30" t="str">
        <f>IFERROR(VLOOKUP(C3312,소속부서!$A$2:$B$20,2,FALSE), "")</f>
        <v/>
      </c>
    </row>
    <row r="3313" spans="3:4" x14ac:dyDescent="0.3">
      <c r="C3313" s="35">
        <f t="shared" si="51"/>
        <v>0</v>
      </c>
      <c r="D3313" s="30" t="str">
        <f>IFERROR(VLOOKUP(C3313,소속부서!$A$2:$B$20,2,FALSE), "")</f>
        <v/>
      </c>
    </row>
    <row r="3314" spans="3:4" x14ac:dyDescent="0.3">
      <c r="C3314" s="35">
        <f t="shared" si="51"/>
        <v>0</v>
      </c>
      <c r="D3314" s="30" t="str">
        <f>IFERROR(VLOOKUP(C3314,소속부서!$A$2:$B$20,2,FALSE), "")</f>
        <v/>
      </c>
    </row>
    <row r="3315" spans="3:4" x14ac:dyDescent="0.3">
      <c r="C3315" s="35">
        <f t="shared" si="51"/>
        <v>0</v>
      </c>
      <c r="D3315" s="30" t="str">
        <f>IFERROR(VLOOKUP(C3315,소속부서!$A$2:$B$20,2,FALSE), "")</f>
        <v/>
      </c>
    </row>
    <row r="3316" spans="3:4" x14ac:dyDescent="0.3">
      <c r="C3316" s="35">
        <f t="shared" si="51"/>
        <v>0</v>
      </c>
      <c r="D3316" s="30" t="str">
        <f>IFERROR(VLOOKUP(C3316,소속부서!$A$2:$B$20,2,FALSE), "")</f>
        <v/>
      </c>
    </row>
    <row r="3317" spans="3:4" x14ac:dyDescent="0.3">
      <c r="C3317" s="35">
        <f t="shared" si="51"/>
        <v>0</v>
      </c>
      <c r="D3317" s="30" t="str">
        <f>IFERROR(VLOOKUP(C3317,소속부서!$A$2:$B$20,2,FALSE), "")</f>
        <v/>
      </c>
    </row>
    <row r="3318" spans="3:4" x14ac:dyDescent="0.3">
      <c r="C3318" s="35">
        <f t="shared" si="51"/>
        <v>0</v>
      </c>
      <c r="D3318" s="30" t="str">
        <f>IFERROR(VLOOKUP(C3318,소속부서!$A$2:$B$20,2,FALSE), "")</f>
        <v/>
      </c>
    </row>
    <row r="3319" spans="3:4" x14ac:dyDescent="0.3">
      <c r="C3319" s="35">
        <f t="shared" si="51"/>
        <v>0</v>
      </c>
      <c r="D3319" s="30" t="str">
        <f>IFERROR(VLOOKUP(C3319,소속부서!$A$2:$B$20,2,FALSE), "")</f>
        <v/>
      </c>
    </row>
    <row r="3320" spans="3:4" x14ac:dyDescent="0.3">
      <c r="C3320" s="35">
        <f t="shared" si="51"/>
        <v>0</v>
      </c>
      <c r="D3320" s="30" t="str">
        <f>IFERROR(VLOOKUP(C3320,소속부서!$A$2:$B$20,2,FALSE), "")</f>
        <v/>
      </c>
    </row>
    <row r="3321" spans="3:4" x14ac:dyDescent="0.3">
      <c r="C3321" s="35">
        <f t="shared" si="51"/>
        <v>0</v>
      </c>
      <c r="D3321" s="30" t="str">
        <f>IFERROR(VLOOKUP(C3321,소속부서!$A$2:$B$20,2,FALSE), "")</f>
        <v/>
      </c>
    </row>
    <row r="3322" spans="3:4" x14ac:dyDescent="0.3">
      <c r="C3322" s="35">
        <f t="shared" si="51"/>
        <v>0</v>
      </c>
      <c r="D3322" s="30" t="str">
        <f>IFERROR(VLOOKUP(C3322,소속부서!$A$2:$B$20,2,FALSE), "")</f>
        <v/>
      </c>
    </row>
    <row r="3323" spans="3:4" x14ac:dyDescent="0.3">
      <c r="C3323" s="35">
        <f t="shared" si="51"/>
        <v>0</v>
      </c>
      <c r="D3323" s="30" t="str">
        <f>IFERROR(VLOOKUP(C3323,소속부서!$A$2:$B$20,2,FALSE), "")</f>
        <v/>
      </c>
    </row>
    <row r="3324" spans="3:4" x14ac:dyDescent="0.3">
      <c r="C3324" s="35">
        <f t="shared" si="51"/>
        <v>0</v>
      </c>
      <c r="D3324" s="30" t="str">
        <f>IFERROR(VLOOKUP(C3324,소속부서!$A$2:$B$20,2,FALSE), "")</f>
        <v/>
      </c>
    </row>
    <row r="3325" spans="3:4" x14ac:dyDescent="0.3">
      <c r="C3325" s="35">
        <f t="shared" si="51"/>
        <v>0</v>
      </c>
      <c r="D3325" s="30" t="str">
        <f>IFERROR(VLOOKUP(C3325,소속부서!$A$2:$B$20,2,FALSE), "")</f>
        <v/>
      </c>
    </row>
    <row r="3326" spans="3:4" x14ac:dyDescent="0.3">
      <c r="C3326" s="35">
        <f t="shared" si="51"/>
        <v>0</v>
      </c>
      <c r="D3326" s="30" t="str">
        <f>IFERROR(VLOOKUP(C3326,소속부서!$A$2:$B$20,2,FALSE), "")</f>
        <v/>
      </c>
    </row>
    <row r="3327" spans="3:4" x14ac:dyDescent="0.3">
      <c r="C3327" s="35">
        <f t="shared" si="51"/>
        <v>0</v>
      </c>
      <c r="D3327" s="30" t="str">
        <f>IFERROR(VLOOKUP(C3327,소속부서!$A$2:$B$20,2,FALSE), "")</f>
        <v/>
      </c>
    </row>
    <row r="3328" spans="3:4" x14ac:dyDescent="0.3">
      <c r="C3328" s="35">
        <f t="shared" si="51"/>
        <v>0</v>
      </c>
      <c r="D3328" s="30" t="str">
        <f>IFERROR(VLOOKUP(C3328,소속부서!$A$2:$B$20,2,FALSE), "")</f>
        <v/>
      </c>
    </row>
    <row r="3329" spans="3:4" x14ac:dyDescent="0.3">
      <c r="C3329" s="35">
        <f t="shared" ref="C3329:C3392" si="52">E3329</f>
        <v>0</v>
      </c>
      <c r="D3329" s="30" t="str">
        <f>IFERROR(VLOOKUP(C3329,소속부서!$A$2:$B$20,2,FALSE), "")</f>
        <v/>
      </c>
    </row>
    <row r="3330" spans="3:4" x14ac:dyDescent="0.3">
      <c r="C3330" s="35">
        <f t="shared" si="52"/>
        <v>0</v>
      </c>
      <c r="D3330" s="30" t="str">
        <f>IFERROR(VLOOKUP(C3330,소속부서!$A$2:$B$20,2,FALSE), "")</f>
        <v/>
      </c>
    </row>
    <row r="3331" spans="3:4" x14ac:dyDescent="0.3">
      <c r="C3331" s="35">
        <f t="shared" si="52"/>
        <v>0</v>
      </c>
      <c r="D3331" s="30" t="str">
        <f>IFERROR(VLOOKUP(C3331,소속부서!$A$2:$B$20,2,FALSE), "")</f>
        <v/>
      </c>
    </row>
    <row r="3332" spans="3:4" x14ac:dyDescent="0.3">
      <c r="C3332" s="35">
        <f t="shared" si="52"/>
        <v>0</v>
      </c>
      <c r="D3332" s="30" t="str">
        <f>IFERROR(VLOOKUP(C3332,소속부서!$A$2:$B$20,2,FALSE), "")</f>
        <v/>
      </c>
    </row>
    <row r="3333" spans="3:4" x14ac:dyDescent="0.3">
      <c r="C3333" s="35">
        <f t="shared" si="52"/>
        <v>0</v>
      </c>
      <c r="D3333" s="30" t="str">
        <f>IFERROR(VLOOKUP(C3333,소속부서!$A$2:$B$20,2,FALSE), "")</f>
        <v/>
      </c>
    </row>
    <row r="3334" spans="3:4" x14ac:dyDescent="0.3">
      <c r="C3334" s="35">
        <f t="shared" si="52"/>
        <v>0</v>
      </c>
      <c r="D3334" s="30" t="str">
        <f>IFERROR(VLOOKUP(C3334,소속부서!$A$2:$B$20,2,FALSE), "")</f>
        <v/>
      </c>
    </row>
    <row r="3335" spans="3:4" x14ac:dyDescent="0.3">
      <c r="C3335" s="35">
        <f t="shared" si="52"/>
        <v>0</v>
      </c>
      <c r="D3335" s="30" t="str">
        <f>IFERROR(VLOOKUP(C3335,소속부서!$A$2:$B$20,2,FALSE), "")</f>
        <v/>
      </c>
    </row>
    <row r="3336" spans="3:4" x14ac:dyDescent="0.3">
      <c r="C3336" s="35">
        <f t="shared" si="52"/>
        <v>0</v>
      </c>
      <c r="D3336" s="30" t="str">
        <f>IFERROR(VLOOKUP(C3336,소속부서!$A$2:$B$20,2,FALSE), "")</f>
        <v/>
      </c>
    </row>
    <row r="3337" spans="3:4" x14ac:dyDescent="0.3">
      <c r="C3337" s="35">
        <f t="shared" si="52"/>
        <v>0</v>
      </c>
      <c r="D3337" s="30" t="str">
        <f>IFERROR(VLOOKUP(C3337,소속부서!$A$2:$B$20,2,FALSE), "")</f>
        <v/>
      </c>
    </row>
    <row r="3338" spans="3:4" x14ac:dyDescent="0.3">
      <c r="C3338" s="35">
        <f t="shared" si="52"/>
        <v>0</v>
      </c>
      <c r="D3338" s="30" t="str">
        <f>IFERROR(VLOOKUP(C3338,소속부서!$A$2:$B$20,2,FALSE), "")</f>
        <v/>
      </c>
    </row>
    <row r="3339" spans="3:4" x14ac:dyDescent="0.3">
      <c r="C3339" s="35">
        <f t="shared" si="52"/>
        <v>0</v>
      </c>
      <c r="D3339" s="30" t="str">
        <f>IFERROR(VLOOKUP(C3339,소속부서!$A$2:$B$20,2,FALSE), "")</f>
        <v/>
      </c>
    </row>
    <row r="3340" spans="3:4" x14ac:dyDescent="0.3">
      <c r="C3340" s="35">
        <f t="shared" si="52"/>
        <v>0</v>
      </c>
      <c r="D3340" s="30" t="str">
        <f>IFERROR(VLOOKUP(C3340,소속부서!$A$2:$B$20,2,FALSE), "")</f>
        <v/>
      </c>
    </row>
    <row r="3341" spans="3:4" x14ac:dyDescent="0.3">
      <c r="C3341" s="35">
        <f t="shared" si="52"/>
        <v>0</v>
      </c>
      <c r="D3341" s="30" t="str">
        <f>IFERROR(VLOOKUP(C3341,소속부서!$A$2:$B$20,2,FALSE), "")</f>
        <v/>
      </c>
    </row>
    <row r="3342" spans="3:4" x14ac:dyDescent="0.3">
      <c r="C3342" s="35">
        <f t="shared" si="52"/>
        <v>0</v>
      </c>
      <c r="D3342" s="30" t="str">
        <f>IFERROR(VLOOKUP(C3342,소속부서!$A$2:$B$20,2,FALSE), "")</f>
        <v/>
      </c>
    </row>
    <row r="3343" spans="3:4" x14ac:dyDescent="0.3">
      <c r="C3343" s="35">
        <f t="shared" si="52"/>
        <v>0</v>
      </c>
      <c r="D3343" s="30" t="str">
        <f>IFERROR(VLOOKUP(C3343,소속부서!$A$2:$B$20,2,FALSE), "")</f>
        <v/>
      </c>
    </row>
    <row r="3344" spans="3:4" x14ac:dyDescent="0.3">
      <c r="C3344" s="35">
        <f t="shared" si="52"/>
        <v>0</v>
      </c>
      <c r="D3344" s="30" t="str">
        <f>IFERROR(VLOOKUP(C3344,소속부서!$A$2:$B$20,2,FALSE), "")</f>
        <v/>
      </c>
    </row>
    <row r="3345" spans="3:4" x14ac:dyDescent="0.3">
      <c r="C3345" s="35">
        <f t="shared" si="52"/>
        <v>0</v>
      </c>
      <c r="D3345" s="30" t="str">
        <f>IFERROR(VLOOKUP(C3345,소속부서!$A$2:$B$20,2,FALSE), "")</f>
        <v/>
      </c>
    </row>
    <row r="3346" spans="3:4" x14ac:dyDescent="0.3">
      <c r="C3346" s="35">
        <f t="shared" si="52"/>
        <v>0</v>
      </c>
      <c r="D3346" s="30" t="str">
        <f>IFERROR(VLOOKUP(C3346,소속부서!$A$2:$B$20,2,FALSE), "")</f>
        <v/>
      </c>
    </row>
    <row r="3347" spans="3:4" x14ac:dyDescent="0.3">
      <c r="C3347" s="35">
        <f t="shared" si="52"/>
        <v>0</v>
      </c>
      <c r="D3347" s="30" t="str">
        <f>IFERROR(VLOOKUP(C3347,소속부서!$A$2:$B$20,2,FALSE), "")</f>
        <v/>
      </c>
    </row>
    <row r="3348" spans="3:4" x14ac:dyDescent="0.3">
      <c r="C3348" s="35">
        <f t="shared" si="52"/>
        <v>0</v>
      </c>
      <c r="D3348" s="30" t="str">
        <f>IFERROR(VLOOKUP(C3348,소속부서!$A$2:$B$20,2,FALSE), "")</f>
        <v/>
      </c>
    </row>
    <row r="3349" spans="3:4" x14ac:dyDescent="0.3">
      <c r="C3349" s="35">
        <f t="shared" si="52"/>
        <v>0</v>
      </c>
      <c r="D3349" s="30" t="str">
        <f>IFERROR(VLOOKUP(C3349,소속부서!$A$2:$B$20,2,FALSE), "")</f>
        <v/>
      </c>
    </row>
    <row r="3350" spans="3:4" x14ac:dyDescent="0.3">
      <c r="C3350" s="35">
        <f t="shared" si="52"/>
        <v>0</v>
      </c>
      <c r="D3350" s="30" t="str">
        <f>IFERROR(VLOOKUP(C3350,소속부서!$A$2:$B$20,2,FALSE), "")</f>
        <v/>
      </c>
    </row>
    <row r="3351" spans="3:4" x14ac:dyDescent="0.3">
      <c r="C3351" s="35">
        <f t="shared" si="52"/>
        <v>0</v>
      </c>
      <c r="D3351" s="30" t="str">
        <f>IFERROR(VLOOKUP(C3351,소속부서!$A$2:$B$20,2,FALSE), "")</f>
        <v/>
      </c>
    </row>
    <row r="3352" spans="3:4" x14ac:dyDescent="0.3">
      <c r="C3352" s="35">
        <f t="shared" si="52"/>
        <v>0</v>
      </c>
      <c r="D3352" s="30" t="str">
        <f>IFERROR(VLOOKUP(C3352,소속부서!$A$2:$B$20,2,FALSE), "")</f>
        <v/>
      </c>
    </row>
    <row r="3353" spans="3:4" x14ac:dyDescent="0.3">
      <c r="C3353" s="35">
        <f t="shared" si="52"/>
        <v>0</v>
      </c>
      <c r="D3353" s="30" t="str">
        <f>IFERROR(VLOOKUP(C3353,소속부서!$A$2:$B$20,2,FALSE), "")</f>
        <v/>
      </c>
    </row>
    <row r="3354" spans="3:4" x14ac:dyDescent="0.3">
      <c r="C3354" s="35">
        <f t="shared" si="52"/>
        <v>0</v>
      </c>
      <c r="D3354" s="30" t="str">
        <f>IFERROR(VLOOKUP(C3354,소속부서!$A$2:$B$20,2,FALSE), "")</f>
        <v/>
      </c>
    </row>
    <row r="3355" spans="3:4" x14ac:dyDescent="0.3">
      <c r="C3355" s="35">
        <f t="shared" si="52"/>
        <v>0</v>
      </c>
      <c r="D3355" s="30" t="str">
        <f>IFERROR(VLOOKUP(C3355,소속부서!$A$2:$B$20,2,FALSE), "")</f>
        <v/>
      </c>
    </row>
    <row r="3356" spans="3:4" x14ac:dyDescent="0.3">
      <c r="C3356" s="35">
        <f t="shared" si="52"/>
        <v>0</v>
      </c>
      <c r="D3356" s="30" t="str">
        <f>IFERROR(VLOOKUP(C3356,소속부서!$A$2:$B$20,2,FALSE), "")</f>
        <v/>
      </c>
    </row>
    <row r="3357" spans="3:4" x14ac:dyDescent="0.3">
      <c r="C3357" s="35">
        <f t="shared" si="52"/>
        <v>0</v>
      </c>
      <c r="D3357" s="30" t="str">
        <f>IFERROR(VLOOKUP(C3357,소속부서!$A$2:$B$20,2,FALSE), "")</f>
        <v/>
      </c>
    </row>
    <row r="3358" spans="3:4" x14ac:dyDescent="0.3">
      <c r="C3358" s="35">
        <f t="shared" si="52"/>
        <v>0</v>
      </c>
      <c r="D3358" s="30" t="str">
        <f>IFERROR(VLOOKUP(C3358,소속부서!$A$2:$B$20,2,FALSE), "")</f>
        <v/>
      </c>
    </row>
    <row r="3359" spans="3:4" x14ac:dyDescent="0.3">
      <c r="C3359" s="35">
        <f t="shared" si="52"/>
        <v>0</v>
      </c>
      <c r="D3359" s="30" t="str">
        <f>IFERROR(VLOOKUP(C3359,소속부서!$A$2:$B$20,2,FALSE), "")</f>
        <v/>
      </c>
    </row>
    <row r="3360" spans="3:4" x14ac:dyDescent="0.3">
      <c r="C3360" s="35">
        <f t="shared" si="52"/>
        <v>0</v>
      </c>
      <c r="D3360" s="30" t="str">
        <f>IFERROR(VLOOKUP(C3360,소속부서!$A$2:$B$20,2,FALSE), "")</f>
        <v/>
      </c>
    </row>
    <row r="3361" spans="3:4" x14ac:dyDescent="0.3">
      <c r="C3361" s="35">
        <f t="shared" si="52"/>
        <v>0</v>
      </c>
      <c r="D3361" s="30" t="str">
        <f>IFERROR(VLOOKUP(C3361,소속부서!$A$2:$B$20,2,FALSE), "")</f>
        <v/>
      </c>
    </row>
    <row r="3362" spans="3:4" x14ac:dyDescent="0.3">
      <c r="C3362" s="35">
        <f t="shared" si="52"/>
        <v>0</v>
      </c>
      <c r="D3362" s="30" t="str">
        <f>IFERROR(VLOOKUP(C3362,소속부서!$A$2:$B$20,2,FALSE), "")</f>
        <v/>
      </c>
    </row>
    <row r="3363" spans="3:4" x14ac:dyDescent="0.3">
      <c r="C3363" s="35">
        <f t="shared" si="52"/>
        <v>0</v>
      </c>
      <c r="D3363" s="30" t="str">
        <f>IFERROR(VLOOKUP(C3363,소속부서!$A$2:$B$20,2,FALSE), "")</f>
        <v/>
      </c>
    </row>
    <row r="3364" spans="3:4" x14ac:dyDescent="0.3">
      <c r="C3364" s="35">
        <f t="shared" si="52"/>
        <v>0</v>
      </c>
      <c r="D3364" s="30" t="str">
        <f>IFERROR(VLOOKUP(C3364,소속부서!$A$2:$B$20,2,FALSE), "")</f>
        <v/>
      </c>
    </row>
    <row r="3365" spans="3:4" x14ac:dyDescent="0.3">
      <c r="C3365" s="35">
        <f t="shared" si="52"/>
        <v>0</v>
      </c>
      <c r="D3365" s="30" t="str">
        <f>IFERROR(VLOOKUP(C3365,소속부서!$A$2:$B$20,2,FALSE), "")</f>
        <v/>
      </c>
    </row>
    <row r="3366" spans="3:4" x14ac:dyDescent="0.3">
      <c r="C3366" s="35">
        <f t="shared" si="52"/>
        <v>0</v>
      </c>
      <c r="D3366" s="30" t="str">
        <f>IFERROR(VLOOKUP(C3366,소속부서!$A$2:$B$20,2,FALSE), "")</f>
        <v/>
      </c>
    </row>
    <row r="3367" spans="3:4" x14ac:dyDescent="0.3">
      <c r="C3367" s="35">
        <f t="shared" si="52"/>
        <v>0</v>
      </c>
      <c r="D3367" s="30" t="str">
        <f>IFERROR(VLOOKUP(C3367,소속부서!$A$2:$B$20,2,FALSE), "")</f>
        <v/>
      </c>
    </row>
    <row r="3368" spans="3:4" x14ac:dyDescent="0.3">
      <c r="C3368" s="35">
        <f t="shared" si="52"/>
        <v>0</v>
      </c>
      <c r="D3368" s="30" t="str">
        <f>IFERROR(VLOOKUP(C3368,소속부서!$A$2:$B$20,2,FALSE), "")</f>
        <v/>
      </c>
    </row>
    <row r="3369" spans="3:4" x14ac:dyDescent="0.3">
      <c r="C3369" s="35">
        <f t="shared" si="52"/>
        <v>0</v>
      </c>
      <c r="D3369" s="30" t="str">
        <f>IFERROR(VLOOKUP(C3369,소속부서!$A$2:$B$20,2,FALSE), "")</f>
        <v/>
      </c>
    </row>
    <row r="3370" spans="3:4" x14ac:dyDescent="0.3">
      <c r="C3370" s="35">
        <f t="shared" si="52"/>
        <v>0</v>
      </c>
      <c r="D3370" s="30" t="str">
        <f>IFERROR(VLOOKUP(C3370,소속부서!$A$2:$B$20,2,FALSE), "")</f>
        <v/>
      </c>
    </row>
    <row r="3371" spans="3:4" x14ac:dyDescent="0.3">
      <c r="C3371" s="35">
        <f t="shared" si="52"/>
        <v>0</v>
      </c>
      <c r="D3371" s="30" t="str">
        <f>IFERROR(VLOOKUP(C3371,소속부서!$A$2:$B$20,2,FALSE), "")</f>
        <v/>
      </c>
    </row>
    <row r="3372" spans="3:4" x14ac:dyDescent="0.3">
      <c r="C3372" s="35">
        <f t="shared" si="52"/>
        <v>0</v>
      </c>
      <c r="D3372" s="30" t="str">
        <f>IFERROR(VLOOKUP(C3372,소속부서!$A$2:$B$20,2,FALSE), "")</f>
        <v/>
      </c>
    </row>
    <row r="3373" spans="3:4" x14ac:dyDescent="0.3">
      <c r="C3373" s="35">
        <f t="shared" si="52"/>
        <v>0</v>
      </c>
      <c r="D3373" s="30" t="str">
        <f>IFERROR(VLOOKUP(C3373,소속부서!$A$2:$B$20,2,FALSE), "")</f>
        <v/>
      </c>
    </row>
    <row r="3374" spans="3:4" x14ac:dyDescent="0.3">
      <c r="C3374" s="35">
        <f t="shared" si="52"/>
        <v>0</v>
      </c>
      <c r="D3374" s="30" t="str">
        <f>IFERROR(VLOOKUP(C3374,소속부서!$A$2:$B$20,2,FALSE), "")</f>
        <v/>
      </c>
    </row>
    <row r="3375" spans="3:4" x14ac:dyDescent="0.3">
      <c r="C3375" s="35">
        <f t="shared" si="52"/>
        <v>0</v>
      </c>
      <c r="D3375" s="30" t="str">
        <f>IFERROR(VLOOKUP(C3375,소속부서!$A$2:$B$20,2,FALSE), "")</f>
        <v/>
      </c>
    </row>
    <row r="3376" spans="3:4" x14ac:dyDescent="0.3">
      <c r="C3376" s="35">
        <f t="shared" si="52"/>
        <v>0</v>
      </c>
      <c r="D3376" s="30" t="str">
        <f>IFERROR(VLOOKUP(C3376,소속부서!$A$2:$B$20,2,FALSE), "")</f>
        <v/>
      </c>
    </row>
    <row r="3377" spans="3:4" x14ac:dyDescent="0.3">
      <c r="C3377" s="35">
        <f t="shared" si="52"/>
        <v>0</v>
      </c>
      <c r="D3377" s="30" t="str">
        <f>IFERROR(VLOOKUP(C3377,소속부서!$A$2:$B$20,2,FALSE), "")</f>
        <v/>
      </c>
    </row>
    <row r="3378" spans="3:4" x14ac:dyDescent="0.3">
      <c r="C3378" s="35">
        <f t="shared" si="52"/>
        <v>0</v>
      </c>
      <c r="D3378" s="30" t="str">
        <f>IFERROR(VLOOKUP(C3378,소속부서!$A$2:$B$20,2,FALSE), "")</f>
        <v/>
      </c>
    </row>
    <row r="3379" spans="3:4" x14ac:dyDescent="0.3">
      <c r="C3379" s="35">
        <f t="shared" si="52"/>
        <v>0</v>
      </c>
      <c r="D3379" s="30" t="str">
        <f>IFERROR(VLOOKUP(C3379,소속부서!$A$2:$B$20,2,FALSE), "")</f>
        <v/>
      </c>
    </row>
    <row r="3380" spans="3:4" x14ac:dyDescent="0.3">
      <c r="C3380" s="35">
        <f t="shared" si="52"/>
        <v>0</v>
      </c>
      <c r="D3380" s="30" t="str">
        <f>IFERROR(VLOOKUP(C3380,소속부서!$A$2:$B$20,2,FALSE), "")</f>
        <v/>
      </c>
    </row>
    <row r="3381" spans="3:4" x14ac:dyDescent="0.3">
      <c r="C3381" s="35">
        <f t="shared" si="52"/>
        <v>0</v>
      </c>
      <c r="D3381" s="30" t="str">
        <f>IFERROR(VLOOKUP(C3381,소속부서!$A$2:$B$20,2,FALSE), "")</f>
        <v/>
      </c>
    </row>
    <row r="3382" spans="3:4" x14ac:dyDescent="0.3">
      <c r="C3382" s="35">
        <f t="shared" si="52"/>
        <v>0</v>
      </c>
      <c r="D3382" s="30" t="str">
        <f>IFERROR(VLOOKUP(C3382,소속부서!$A$2:$B$20,2,FALSE), "")</f>
        <v/>
      </c>
    </row>
    <row r="3383" spans="3:4" x14ac:dyDescent="0.3">
      <c r="C3383" s="35">
        <f t="shared" si="52"/>
        <v>0</v>
      </c>
      <c r="D3383" s="30" t="str">
        <f>IFERROR(VLOOKUP(C3383,소속부서!$A$2:$B$20,2,FALSE), "")</f>
        <v/>
      </c>
    </row>
    <row r="3384" spans="3:4" x14ac:dyDescent="0.3">
      <c r="C3384" s="35">
        <f t="shared" si="52"/>
        <v>0</v>
      </c>
      <c r="D3384" s="30" t="str">
        <f>IFERROR(VLOOKUP(C3384,소속부서!$A$2:$B$20,2,FALSE), "")</f>
        <v/>
      </c>
    </row>
    <row r="3385" spans="3:4" x14ac:dyDescent="0.3">
      <c r="C3385" s="35">
        <f t="shared" si="52"/>
        <v>0</v>
      </c>
      <c r="D3385" s="30" t="str">
        <f>IFERROR(VLOOKUP(C3385,소속부서!$A$2:$B$20,2,FALSE), "")</f>
        <v/>
      </c>
    </row>
    <row r="3386" spans="3:4" x14ac:dyDescent="0.3">
      <c r="C3386" s="35">
        <f t="shared" si="52"/>
        <v>0</v>
      </c>
      <c r="D3386" s="30" t="str">
        <f>IFERROR(VLOOKUP(C3386,소속부서!$A$2:$B$20,2,FALSE), "")</f>
        <v/>
      </c>
    </row>
    <row r="3387" spans="3:4" x14ac:dyDescent="0.3">
      <c r="C3387" s="35">
        <f t="shared" si="52"/>
        <v>0</v>
      </c>
      <c r="D3387" s="30" t="str">
        <f>IFERROR(VLOOKUP(C3387,소속부서!$A$2:$B$20,2,FALSE), "")</f>
        <v/>
      </c>
    </row>
    <row r="3388" spans="3:4" x14ac:dyDescent="0.3">
      <c r="C3388" s="35">
        <f t="shared" si="52"/>
        <v>0</v>
      </c>
      <c r="D3388" s="30" t="str">
        <f>IFERROR(VLOOKUP(C3388,소속부서!$A$2:$B$20,2,FALSE), "")</f>
        <v/>
      </c>
    </row>
    <row r="3389" spans="3:4" x14ac:dyDescent="0.3">
      <c r="C3389" s="35">
        <f t="shared" si="52"/>
        <v>0</v>
      </c>
      <c r="D3389" s="30" t="str">
        <f>IFERROR(VLOOKUP(C3389,소속부서!$A$2:$B$20,2,FALSE), "")</f>
        <v/>
      </c>
    </row>
    <row r="3390" spans="3:4" x14ac:dyDescent="0.3">
      <c r="C3390" s="35">
        <f t="shared" si="52"/>
        <v>0</v>
      </c>
      <c r="D3390" s="30" t="str">
        <f>IFERROR(VLOOKUP(C3390,소속부서!$A$2:$B$20,2,FALSE), "")</f>
        <v/>
      </c>
    </row>
    <row r="3391" spans="3:4" x14ac:dyDescent="0.3">
      <c r="C3391" s="35">
        <f t="shared" si="52"/>
        <v>0</v>
      </c>
      <c r="D3391" s="30" t="str">
        <f>IFERROR(VLOOKUP(C3391,소속부서!$A$2:$B$20,2,FALSE), "")</f>
        <v/>
      </c>
    </row>
    <row r="3392" spans="3:4" x14ac:dyDescent="0.3">
      <c r="C3392" s="35">
        <f t="shared" si="52"/>
        <v>0</v>
      </c>
      <c r="D3392" s="30" t="str">
        <f>IFERROR(VLOOKUP(C3392,소속부서!$A$2:$B$20,2,FALSE), "")</f>
        <v/>
      </c>
    </row>
    <row r="3393" spans="3:4" x14ac:dyDescent="0.3">
      <c r="C3393" s="35">
        <f t="shared" ref="C3393:C3456" si="53">E3393</f>
        <v>0</v>
      </c>
      <c r="D3393" s="30" t="str">
        <f>IFERROR(VLOOKUP(C3393,소속부서!$A$2:$B$20,2,FALSE), "")</f>
        <v/>
      </c>
    </row>
    <row r="3394" spans="3:4" x14ac:dyDescent="0.3">
      <c r="C3394" s="35">
        <f t="shared" si="53"/>
        <v>0</v>
      </c>
      <c r="D3394" s="30" t="str">
        <f>IFERROR(VLOOKUP(C3394,소속부서!$A$2:$B$20,2,FALSE), "")</f>
        <v/>
      </c>
    </row>
    <row r="3395" spans="3:4" x14ac:dyDescent="0.3">
      <c r="C3395" s="35">
        <f t="shared" si="53"/>
        <v>0</v>
      </c>
      <c r="D3395" s="30" t="str">
        <f>IFERROR(VLOOKUP(C3395,소속부서!$A$2:$B$20,2,FALSE), "")</f>
        <v/>
      </c>
    </row>
    <row r="3396" spans="3:4" x14ac:dyDescent="0.3">
      <c r="C3396" s="35">
        <f t="shared" si="53"/>
        <v>0</v>
      </c>
      <c r="D3396" s="30" t="str">
        <f>IFERROR(VLOOKUP(C3396,소속부서!$A$2:$B$20,2,FALSE), "")</f>
        <v/>
      </c>
    </row>
    <row r="3397" spans="3:4" x14ac:dyDescent="0.3">
      <c r="C3397" s="35">
        <f t="shared" si="53"/>
        <v>0</v>
      </c>
      <c r="D3397" s="30" t="str">
        <f>IFERROR(VLOOKUP(C3397,소속부서!$A$2:$B$20,2,FALSE), "")</f>
        <v/>
      </c>
    </row>
    <row r="3398" spans="3:4" x14ac:dyDescent="0.3">
      <c r="C3398" s="35">
        <f t="shared" si="53"/>
        <v>0</v>
      </c>
      <c r="D3398" s="30" t="str">
        <f>IFERROR(VLOOKUP(C3398,소속부서!$A$2:$B$20,2,FALSE), "")</f>
        <v/>
      </c>
    </row>
    <row r="3399" spans="3:4" x14ac:dyDescent="0.3">
      <c r="C3399" s="35">
        <f t="shared" si="53"/>
        <v>0</v>
      </c>
      <c r="D3399" s="30" t="str">
        <f>IFERROR(VLOOKUP(C3399,소속부서!$A$2:$B$20,2,FALSE), "")</f>
        <v/>
      </c>
    </row>
    <row r="3400" spans="3:4" x14ac:dyDescent="0.3">
      <c r="C3400" s="35">
        <f t="shared" si="53"/>
        <v>0</v>
      </c>
      <c r="D3400" s="30" t="str">
        <f>IFERROR(VLOOKUP(C3400,소속부서!$A$2:$B$20,2,FALSE), "")</f>
        <v/>
      </c>
    </row>
    <row r="3401" spans="3:4" x14ac:dyDescent="0.3">
      <c r="C3401" s="35">
        <f t="shared" si="53"/>
        <v>0</v>
      </c>
      <c r="D3401" s="30" t="str">
        <f>IFERROR(VLOOKUP(C3401,소속부서!$A$2:$B$20,2,FALSE), "")</f>
        <v/>
      </c>
    </row>
    <row r="3402" spans="3:4" x14ac:dyDescent="0.3">
      <c r="C3402" s="35">
        <f t="shared" si="53"/>
        <v>0</v>
      </c>
      <c r="D3402" s="30" t="str">
        <f>IFERROR(VLOOKUP(C3402,소속부서!$A$2:$B$20,2,FALSE), "")</f>
        <v/>
      </c>
    </row>
    <row r="3403" spans="3:4" x14ac:dyDescent="0.3">
      <c r="C3403" s="35">
        <f t="shared" si="53"/>
        <v>0</v>
      </c>
      <c r="D3403" s="30" t="str">
        <f>IFERROR(VLOOKUP(C3403,소속부서!$A$2:$B$20,2,FALSE), "")</f>
        <v/>
      </c>
    </row>
    <row r="3404" spans="3:4" x14ac:dyDescent="0.3">
      <c r="C3404" s="35">
        <f t="shared" si="53"/>
        <v>0</v>
      </c>
      <c r="D3404" s="30" t="str">
        <f>IFERROR(VLOOKUP(C3404,소속부서!$A$2:$B$20,2,FALSE), "")</f>
        <v/>
      </c>
    </row>
    <row r="3405" spans="3:4" x14ac:dyDescent="0.3">
      <c r="C3405" s="35">
        <f t="shared" si="53"/>
        <v>0</v>
      </c>
      <c r="D3405" s="30" t="str">
        <f>IFERROR(VLOOKUP(C3405,소속부서!$A$2:$B$20,2,FALSE), "")</f>
        <v/>
      </c>
    </row>
    <row r="3406" spans="3:4" x14ac:dyDescent="0.3">
      <c r="C3406" s="35">
        <f t="shared" si="53"/>
        <v>0</v>
      </c>
      <c r="D3406" s="30" t="str">
        <f>IFERROR(VLOOKUP(C3406,소속부서!$A$2:$B$20,2,FALSE), "")</f>
        <v/>
      </c>
    </row>
    <row r="3407" spans="3:4" x14ac:dyDescent="0.3">
      <c r="C3407" s="35">
        <f t="shared" si="53"/>
        <v>0</v>
      </c>
      <c r="D3407" s="30" t="str">
        <f>IFERROR(VLOOKUP(C3407,소속부서!$A$2:$B$20,2,FALSE), "")</f>
        <v/>
      </c>
    </row>
    <row r="3408" spans="3:4" x14ac:dyDescent="0.3">
      <c r="C3408" s="35">
        <f t="shared" si="53"/>
        <v>0</v>
      </c>
      <c r="D3408" s="30" t="str">
        <f>IFERROR(VLOOKUP(C3408,소속부서!$A$2:$B$20,2,FALSE), "")</f>
        <v/>
      </c>
    </row>
    <row r="3409" spans="3:4" x14ac:dyDescent="0.3">
      <c r="C3409" s="35">
        <f t="shared" si="53"/>
        <v>0</v>
      </c>
      <c r="D3409" s="30" t="str">
        <f>IFERROR(VLOOKUP(C3409,소속부서!$A$2:$B$20,2,FALSE), "")</f>
        <v/>
      </c>
    </row>
    <row r="3410" spans="3:4" x14ac:dyDescent="0.3">
      <c r="C3410" s="35">
        <f t="shared" si="53"/>
        <v>0</v>
      </c>
      <c r="D3410" s="30" t="str">
        <f>IFERROR(VLOOKUP(C3410,소속부서!$A$2:$B$20,2,FALSE), "")</f>
        <v/>
      </c>
    </row>
    <row r="3411" spans="3:4" x14ac:dyDescent="0.3">
      <c r="C3411" s="35">
        <f t="shared" si="53"/>
        <v>0</v>
      </c>
      <c r="D3411" s="30" t="str">
        <f>IFERROR(VLOOKUP(C3411,소속부서!$A$2:$B$20,2,FALSE), "")</f>
        <v/>
      </c>
    </row>
    <row r="3412" spans="3:4" x14ac:dyDescent="0.3">
      <c r="C3412" s="35">
        <f t="shared" si="53"/>
        <v>0</v>
      </c>
      <c r="D3412" s="30" t="str">
        <f>IFERROR(VLOOKUP(C3412,소속부서!$A$2:$B$20,2,FALSE), "")</f>
        <v/>
      </c>
    </row>
    <row r="3413" spans="3:4" x14ac:dyDescent="0.3">
      <c r="C3413" s="35">
        <f t="shared" si="53"/>
        <v>0</v>
      </c>
      <c r="D3413" s="30" t="str">
        <f>IFERROR(VLOOKUP(C3413,소속부서!$A$2:$B$20,2,FALSE), "")</f>
        <v/>
      </c>
    </row>
    <row r="3414" spans="3:4" x14ac:dyDescent="0.3">
      <c r="C3414" s="35">
        <f t="shared" si="53"/>
        <v>0</v>
      </c>
      <c r="D3414" s="30" t="str">
        <f>IFERROR(VLOOKUP(C3414,소속부서!$A$2:$B$20,2,FALSE), "")</f>
        <v/>
      </c>
    </row>
    <row r="3415" spans="3:4" x14ac:dyDescent="0.3">
      <c r="C3415" s="35">
        <f t="shared" si="53"/>
        <v>0</v>
      </c>
      <c r="D3415" s="30" t="str">
        <f>IFERROR(VLOOKUP(C3415,소속부서!$A$2:$B$20,2,FALSE), "")</f>
        <v/>
      </c>
    </row>
    <row r="3416" spans="3:4" x14ac:dyDescent="0.3">
      <c r="C3416" s="35">
        <f t="shared" si="53"/>
        <v>0</v>
      </c>
      <c r="D3416" s="30" t="str">
        <f>IFERROR(VLOOKUP(C3416,소속부서!$A$2:$B$20,2,FALSE), "")</f>
        <v/>
      </c>
    </row>
    <row r="3417" spans="3:4" x14ac:dyDescent="0.3">
      <c r="C3417" s="35">
        <f t="shared" si="53"/>
        <v>0</v>
      </c>
      <c r="D3417" s="30" t="str">
        <f>IFERROR(VLOOKUP(C3417,소속부서!$A$2:$B$20,2,FALSE), "")</f>
        <v/>
      </c>
    </row>
    <row r="3418" spans="3:4" x14ac:dyDescent="0.3">
      <c r="C3418" s="35">
        <f t="shared" si="53"/>
        <v>0</v>
      </c>
      <c r="D3418" s="30" t="str">
        <f>IFERROR(VLOOKUP(C3418,소속부서!$A$2:$B$20,2,FALSE), "")</f>
        <v/>
      </c>
    </row>
    <row r="3419" spans="3:4" x14ac:dyDescent="0.3">
      <c r="C3419" s="35">
        <f t="shared" si="53"/>
        <v>0</v>
      </c>
      <c r="D3419" s="30" t="str">
        <f>IFERROR(VLOOKUP(C3419,소속부서!$A$2:$B$20,2,FALSE), "")</f>
        <v/>
      </c>
    </row>
    <row r="3420" spans="3:4" x14ac:dyDescent="0.3">
      <c r="C3420" s="35">
        <f t="shared" si="53"/>
        <v>0</v>
      </c>
      <c r="D3420" s="30" t="str">
        <f>IFERROR(VLOOKUP(C3420,소속부서!$A$2:$B$20,2,FALSE), "")</f>
        <v/>
      </c>
    </row>
    <row r="3421" spans="3:4" x14ac:dyDescent="0.3">
      <c r="C3421" s="35">
        <f t="shared" si="53"/>
        <v>0</v>
      </c>
      <c r="D3421" s="30" t="str">
        <f>IFERROR(VLOOKUP(C3421,소속부서!$A$2:$B$20,2,FALSE), "")</f>
        <v/>
      </c>
    </row>
    <row r="3422" spans="3:4" x14ac:dyDescent="0.3">
      <c r="C3422" s="35">
        <f t="shared" si="53"/>
        <v>0</v>
      </c>
      <c r="D3422" s="30" t="str">
        <f>IFERROR(VLOOKUP(C3422,소속부서!$A$2:$B$20,2,FALSE), "")</f>
        <v/>
      </c>
    </row>
    <row r="3423" spans="3:4" x14ac:dyDescent="0.3">
      <c r="C3423" s="35">
        <f t="shared" si="53"/>
        <v>0</v>
      </c>
      <c r="D3423" s="30" t="str">
        <f>IFERROR(VLOOKUP(C3423,소속부서!$A$2:$B$20,2,FALSE), "")</f>
        <v/>
      </c>
    </row>
    <row r="3424" spans="3:4" x14ac:dyDescent="0.3">
      <c r="C3424" s="35">
        <f t="shared" si="53"/>
        <v>0</v>
      </c>
      <c r="D3424" s="30" t="str">
        <f>IFERROR(VLOOKUP(C3424,소속부서!$A$2:$B$20,2,FALSE), "")</f>
        <v/>
      </c>
    </row>
    <row r="3425" spans="3:4" x14ac:dyDescent="0.3">
      <c r="C3425" s="35">
        <f t="shared" si="53"/>
        <v>0</v>
      </c>
      <c r="D3425" s="30" t="str">
        <f>IFERROR(VLOOKUP(C3425,소속부서!$A$2:$B$20,2,FALSE), "")</f>
        <v/>
      </c>
    </row>
    <row r="3426" spans="3:4" x14ac:dyDescent="0.3">
      <c r="C3426" s="35">
        <f t="shared" si="53"/>
        <v>0</v>
      </c>
      <c r="D3426" s="30" t="str">
        <f>IFERROR(VLOOKUP(C3426,소속부서!$A$2:$B$20,2,FALSE), "")</f>
        <v/>
      </c>
    </row>
    <row r="3427" spans="3:4" x14ac:dyDescent="0.3">
      <c r="C3427" s="35">
        <f t="shared" si="53"/>
        <v>0</v>
      </c>
      <c r="D3427" s="30" t="str">
        <f>IFERROR(VLOOKUP(C3427,소속부서!$A$2:$B$20,2,FALSE), "")</f>
        <v/>
      </c>
    </row>
    <row r="3428" spans="3:4" x14ac:dyDescent="0.3">
      <c r="C3428" s="35">
        <f t="shared" si="53"/>
        <v>0</v>
      </c>
      <c r="D3428" s="30" t="str">
        <f>IFERROR(VLOOKUP(C3428,소속부서!$A$2:$B$20,2,FALSE), "")</f>
        <v/>
      </c>
    </row>
    <row r="3429" spans="3:4" x14ac:dyDescent="0.3">
      <c r="C3429" s="35">
        <f t="shared" si="53"/>
        <v>0</v>
      </c>
      <c r="D3429" s="30" t="str">
        <f>IFERROR(VLOOKUP(C3429,소속부서!$A$2:$B$20,2,FALSE), "")</f>
        <v/>
      </c>
    </row>
    <row r="3430" spans="3:4" x14ac:dyDescent="0.3">
      <c r="C3430" s="35">
        <f t="shared" si="53"/>
        <v>0</v>
      </c>
      <c r="D3430" s="30" t="str">
        <f>IFERROR(VLOOKUP(C3430,소속부서!$A$2:$B$20,2,FALSE), "")</f>
        <v/>
      </c>
    </row>
    <row r="3431" spans="3:4" x14ac:dyDescent="0.3">
      <c r="C3431" s="35">
        <f t="shared" si="53"/>
        <v>0</v>
      </c>
      <c r="D3431" s="30" t="str">
        <f>IFERROR(VLOOKUP(C3431,소속부서!$A$2:$B$20,2,FALSE), "")</f>
        <v/>
      </c>
    </row>
    <row r="3432" spans="3:4" x14ac:dyDescent="0.3">
      <c r="C3432" s="35">
        <f t="shared" si="53"/>
        <v>0</v>
      </c>
      <c r="D3432" s="30" t="str">
        <f>IFERROR(VLOOKUP(C3432,소속부서!$A$2:$B$20,2,FALSE), "")</f>
        <v/>
      </c>
    </row>
    <row r="3433" spans="3:4" x14ac:dyDescent="0.3">
      <c r="C3433" s="35">
        <f t="shared" si="53"/>
        <v>0</v>
      </c>
      <c r="D3433" s="30" t="str">
        <f>IFERROR(VLOOKUP(C3433,소속부서!$A$2:$B$20,2,FALSE), "")</f>
        <v/>
      </c>
    </row>
    <row r="3434" spans="3:4" x14ac:dyDescent="0.3">
      <c r="C3434" s="35">
        <f t="shared" si="53"/>
        <v>0</v>
      </c>
      <c r="D3434" s="30" t="str">
        <f>IFERROR(VLOOKUP(C3434,소속부서!$A$2:$B$20,2,FALSE), "")</f>
        <v/>
      </c>
    </row>
    <row r="3435" spans="3:4" x14ac:dyDescent="0.3">
      <c r="C3435" s="35">
        <f t="shared" si="53"/>
        <v>0</v>
      </c>
      <c r="D3435" s="30" t="str">
        <f>IFERROR(VLOOKUP(C3435,소속부서!$A$2:$B$20,2,FALSE), "")</f>
        <v/>
      </c>
    </row>
    <row r="3436" spans="3:4" x14ac:dyDescent="0.3">
      <c r="C3436" s="35">
        <f t="shared" si="53"/>
        <v>0</v>
      </c>
      <c r="D3436" s="30" t="str">
        <f>IFERROR(VLOOKUP(C3436,소속부서!$A$2:$B$20,2,FALSE), "")</f>
        <v/>
      </c>
    </row>
    <row r="3437" spans="3:4" x14ac:dyDescent="0.3">
      <c r="C3437" s="35">
        <f t="shared" si="53"/>
        <v>0</v>
      </c>
      <c r="D3437" s="30" t="str">
        <f>IFERROR(VLOOKUP(C3437,소속부서!$A$2:$B$20,2,FALSE), "")</f>
        <v/>
      </c>
    </row>
    <row r="3438" spans="3:4" x14ac:dyDescent="0.3">
      <c r="C3438" s="35">
        <f t="shared" si="53"/>
        <v>0</v>
      </c>
      <c r="D3438" s="30" t="str">
        <f>IFERROR(VLOOKUP(C3438,소속부서!$A$2:$B$20,2,FALSE), "")</f>
        <v/>
      </c>
    </row>
    <row r="3439" spans="3:4" x14ac:dyDescent="0.3">
      <c r="C3439" s="35">
        <f t="shared" si="53"/>
        <v>0</v>
      </c>
      <c r="D3439" s="30" t="str">
        <f>IFERROR(VLOOKUP(C3439,소속부서!$A$2:$B$20,2,FALSE), "")</f>
        <v/>
      </c>
    </row>
    <row r="3440" spans="3:4" x14ac:dyDescent="0.3">
      <c r="C3440" s="35">
        <f t="shared" si="53"/>
        <v>0</v>
      </c>
      <c r="D3440" s="30" t="str">
        <f>IFERROR(VLOOKUP(C3440,소속부서!$A$2:$B$20,2,FALSE), "")</f>
        <v/>
      </c>
    </row>
    <row r="3441" spans="3:4" x14ac:dyDescent="0.3">
      <c r="C3441" s="35">
        <f t="shared" si="53"/>
        <v>0</v>
      </c>
      <c r="D3441" s="30" t="str">
        <f>IFERROR(VLOOKUP(C3441,소속부서!$A$2:$B$20,2,FALSE), "")</f>
        <v/>
      </c>
    </row>
    <row r="3442" spans="3:4" x14ac:dyDescent="0.3">
      <c r="C3442" s="35">
        <f t="shared" si="53"/>
        <v>0</v>
      </c>
      <c r="D3442" s="30" t="str">
        <f>IFERROR(VLOOKUP(C3442,소속부서!$A$2:$B$20,2,FALSE), "")</f>
        <v/>
      </c>
    </row>
    <row r="3443" spans="3:4" x14ac:dyDescent="0.3">
      <c r="C3443" s="35">
        <f t="shared" si="53"/>
        <v>0</v>
      </c>
      <c r="D3443" s="30" t="str">
        <f>IFERROR(VLOOKUP(C3443,소속부서!$A$2:$B$20,2,FALSE), "")</f>
        <v/>
      </c>
    </row>
    <row r="3444" spans="3:4" x14ac:dyDescent="0.3">
      <c r="C3444" s="35">
        <f t="shared" si="53"/>
        <v>0</v>
      </c>
      <c r="D3444" s="30" t="str">
        <f>IFERROR(VLOOKUP(C3444,소속부서!$A$2:$B$20,2,FALSE), "")</f>
        <v/>
      </c>
    </row>
    <row r="3445" spans="3:4" x14ac:dyDescent="0.3">
      <c r="C3445" s="35">
        <f t="shared" si="53"/>
        <v>0</v>
      </c>
      <c r="D3445" s="30" t="str">
        <f>IFERROR(VLOOKUP(C3445,소속부서!$A$2:$B$20,2,FALSE), "")</f>
        <v/>
      </c>
    </row>
    <row r="3446" spans="3:4" x14ac:dyDescent="0.3">
      <c r="C3446" s="35">
        <f t="shared" si="53"/>
        <v>0</v>
      </c>
      <c r="D3446" s="30" t="str">
        <f>IFERROR(VLOOKUP(C3446,소속부서!$A$2:$B$20,2,FALSE), "")</f>
        <v/>
      </c>
    </row>
    <row r="3447" spans="3:4" x14ac:dyDescent="0.3">
      <c r="C3447" s="35">
        <f t="shared" si="53"/>
        <v>0</v>
      </c>
      <c r="D3447" s="30" t="str">
        <f>IFERROR(VLOOKUP(C3447,소속부서!$A$2:$B$20,2,FALSE), "")</f>
        <v/>
      </c>
    </row>
    <row r="3448" spans="3:4" x14ac:dyDescent="0.3">
      <c r="C3448" s="35">
        <f t="shared" si="53"/>
        <v>0</v>
      </c>
      <c r="D3448" s="30" t="str">
        <f>IFERROR(VLOOKUP(C3448,소속부서!$A$2:$B$20,2,FALSE), "")</f>
        <v/>
      </c>
    </row>
    <row r="3449" spans="3:4" x14ac:dyDescent="0.3">
      <c r="C3449" s="35">
        <f t="shared" si="53"/>
        <v>0</v>
      </c>
      <c r="D3449" s="30" t="str">
        <f>IFERROR(VLOOKUP(C3449,소속부서!$A$2:$B$20,2,FALSE), "")</f>
        <v/>
      </c>
    </row>
    <row r="3450" spans="3:4" x14ac:dyDescent="0.3">
      <c r="C3450" s="35">
        <f t="shared" si="53"/>
        <v>0</v>
      </c>
      <c r="D3450" s="30" t="str">
        <f>IFERROR(VLOOKUP(C3450,소속부서!$A$2:$B$20,2,FALSE), "")</f>
        <v/>
      </c>
    </row>
    <row r="3451" spans="3:4" x14ac:dyDescent="0.3">
      <c r="C3451" s="35">
        <f t="shared" si="53"/>
        <v>0</v>
      </c>
      <c r="D3451" s="30" t="str">
        <f>IFERROR(VLOOKUP(C3451,소속부서!$A$2:$B$20,2,FALSE), "")</f>
        <v/>
      </c>
    </row>
    <row r="3452" spans="3:4" x14ac:dyDescent="0.3">
      <c r="C3452" s="35">
        <f t="shared" si="53"/>
        <v>0</v>
      </c>
      <c r="D3452" s="30" t="str">
        <f>IFERROR(VLOOKUP(C3452,소속부서!$A$2:$B$20,2,FALSE), "")</f>
        <v/>
      </c>
    </row>
    <row r="3453" spans="3:4" x14ac:dyDescent="0.3">
      <c r="C3453" s="35">
        <f t="shared" si="53"/>
        <v>0</v>
      </c>
      <c r="D3453" s="30" t="str">
        <f>IFERROR(VLOOKUP(C3453,소속부서!$A$2:$B$20,2,FALSE), "")</f>
        <v/>
      </c>
    </row>
    <row r="3454" spans="3:4" x14ac:dyDescent="0.3">
      <c r="C3454" s="35">
        <f t="shared" si="53"/>
        <v>0</v>
      </c>
      <c r="D3454" s="30" t="str">
        <f>IFERROR(VLOOKUP(C3454,소속부서!$A$2:$B$20,2,FALSE), "")</f>
        <v/>
      </c>
    </row>
    <row r="3455" spans="3:4" x14ac:dyDescent="0.3">
      <c r="C3455" s="35">
        <f t="shared" si="53"/>
        <v>0</v>
      </c>
      <c r="D3455" s="30" t="str">
        <f>IFERROR(VLOOKUP(C3455,소속부서!$A$2:$B$20,2,FALSE), "")</f>
        <v/>
      </c>
    </row>
    <row r="3456" spans="3:4" x14ac:dyDescent="0.3">
      <c r="C3456" s="35">
        <f t="shared" si="53"/>
        <v>0</v>
      </c>
      <c r="D3456" s="30" t="str">
        <f>IFERROR(VLOOKUP(C3456,소속부서!$A$2:$B$20,2,FALSE), "")</f>
        <v/>
      </c>
    </row>
    <row r="3457" spans="3:4" x14ac:dyDescent="0.3">
      <c r="C3457" s="35">
        <f t="shared" ref="C3457:C3520" si="54">E3457</f>
        <v>0</v>
      </c>
      <c r="D3457" s="30" t="str">
        <f>IFERROR(VLOOKUP(C3457,소속부서!$A$2:$B$20,2,FALSE), "")</f>
        <v/>
      </c>
    </row>
    <row r="3458" spans="3:4" x14ac:dyDescent="0.3">
      <c r="C3458" s="35">
        <f t="shared" si="54"/>
        <v>0</v>
      </c>
      <c r="D3458" s="30" t="str">
        <f>IFERROR(VLOOKUP(C3458,소속부서!$A$2:$B$20,2,FALSE), "")</f>
        <v/>
      </c>
    </row>
    <row r="3459" spans="3:4" x14ac:dyDescent="0.3">
      <c r="C3459" s="35">
        <f t="shared" si="54"/>
        <v>0</v>
      </c>
      <c r="D3459" s="30" t="str">
        <f>IFERROR(VLOOKUP(C3459,소속부서!$A$2:$B$20,2,FALSE), "")</f>
        <v/>
      </c>
    </row>
    <row r="3460" spans="3:4" x14ac:dyDescent="0.3">
      <c r="C3460" s="35">
        <f t="shared" si="54"/>
        <v>0</v>
      </c>
      <c r="D3460" s="30" t="str">
        <f>IFERROR(VLOOKUP(C3460,소속부서!$A$2:$B$20,2,FALSE), "")</f>
        <v/>
      </c>
    </row>
    <row r="3461" spans="3:4" x14ac:dyDescent="0.3">
      <c r="C3461" s="35">
        <f t="shared" si="54"/>
        <v>0</v>
      </c>
      <c r="D3461" s="30" t="str">
        <f>IFERROR(VLOOKUP(C3461,소속부서!$A$2:$B$20,2,FALSE), "")</f>
        <v/>
      </c>
    </row>
    <row r="3462" spans="3:4" x14ac:dyDescent="0.3">
      <c r="C3462" s="35">
        <f t="shared" si="54"/>
        <v>0</v>
      </c>
      <c r="D3462" s="30" t="str">
        <f>IFERROR(VLOOKUP(C3462,소속부서!$A$2:$B$20,2,FALSE), "")</f>
        <v/>
      </c>
    </row>
    <row r="3463" spans="3:4" x14ac:dyDescent="0.3">
      <c r="C3463" s="35">
        <f t="shared" si="54"/>
        <v>0</v>
      </c>
      <c r="D3463" s="30" t="str">
        <f>IFERROR(VLOOKUP(C3463,소속부서!$A$2:$B$20,2,FALSE), "")</f>
        <v/>
      </c>
    </row>
    <row r="3464" spans="3:4" x14ac:dyDescent="0.3">
      <c r="C3464" s="35">
        <f t="shared" si="54"/>
        <v>0</v>
      </c>
      <c r="D3464" s="30" t="str">
        <f>IFERROR(VLOOKUP(C3464,소속부서!$A$2:$B$20,2,FALSE), "")</f>
        <v/>
      </c>
    </row>
    <row r="3465" spans="3:4" x14ac:dyDescent="0.3">
      <c r="C3465" s="35">
        <f t="shared" si="54"/>
        <v>0</v>
      </c>
      <c r="D3465" s="30" t="str">
        <f>IFERROR(VLOOKUP(C3465,소속부서!$A$2:$B$20,2,FALSE), "")</f>
        <v/>
      </c>
    </row>
    <row r="3466" spans="3:4" x14ac:dyDescent="0.3">
      <c r="C3466" s="35">
        <f t="shared" si="54"/>
        <v>0</v>
      </c>
      <c r="D3466" s="30" t="str">
        <f>IFERROR(VLOOKUP(C3466,소속부서!$A$2:$B$20,2,FALSE), "")</f>
        <v/>
      </c>
    </row>
    <row r="3467" spans="3:4" x14ac:dyDescent="0.3">
      <c r="C3467" s="35">
        <f t="shared" si="54"/>
        <v>0</v>
      </c>
      <c r="D3467" s="30" t="str">
        <f>IFERROR(VLOOKUP(C3467,소속부서!$A$2:$B$20,2,FALSE), "")</f>
        <v/>
      </c>
    </row>
    <row r="3468" spans="3:4" x14ac:dyDescent="0.3">
      <c r="C3468" s="35">
        <f t="shared" si="54"/>
        <v>0</v>
      </c>
      <c r="D3468" s="30" t="str">
        <f>IFERROR(VLOOKUP(C3468,소속부서!$A$2:$B$20,2,FALSE), "")</f>
        <v/>
      </c>
    </row>
    <row r="3469" spans="3:4" x14ac:dyDescent="0.3">
      <c r="C3469" s="35">
        <f t="shared" si="54"/>
        <v>0</v>
      </c>
      <c r="D3469" s="30" t="str">
        <f>IFERROR(VLOOKUP(C3469,소속부서!$A$2:$B$20,2,FALSE), "")</f>
        <v/>
      </c>
    </row>
    <row r="3470" spans="3:4" x14ac:dyDescent="0.3">
      <c r="C3470" s="35">
        <f t="shared" si="54"/>
        <v>0</v>
      </c>
      <c r="D3470" s="30" t="str">
        <f>IFERROR(VLOOKUP(C3470,소속부서!$A$2:$B$20,2,FALSE), "")</f>
        <v/>
      </c>
    </row>
    <row r="3471" spans="3:4" x14ac:dyDescent="0.3">
      <c r="C3471" s="35">
        <f t="shared" si="54"/>
        <v>0</v>
      </c>
      <c r="D3471" s="30" t="str">
        <f>IFERROR(VLOOKUP(C3471,소속부서!$A$2:$B$20,2,FALSE), "")</f>
        <v/>
      </c>
    </row>
    <row r="3472" spans="3:4" x14ac:dyDescent="0.3">
      <c r="C3472" s="35">
        <f t="shared" si="54"/>
        <v>0</v>
      </c>
      <c r="D3472" s="30" t="str">
        <f>IFERROR(VLOOKUP(C3472,소속부서!$A$2:$B$20,2,FALSE), "")</f>
        <v/>
      </c>
    </row>
    <row r="3473" spans="3:4" x14ac:dyDescent="0.3">
      <c r="C3473" s="35">
        <f t="shared" si="54"/>
        <v>0</v>
      </c>
      <c r="D3473" s="30" t="str">
        <f>IFERROR(VLOOKUP(C3473,소속부서!$A$2:$B$20,2,FALSE), "")</f>
        <v/>
      </c>
    </row>
    <row r="3474" spans="3:4" x14ac:dyDescent="0.3">
      <c r="C3474" s="35">
        <f t="shared" si="54"/>
        <v>0</v>
      </c>
      <c r="D3474" s="30" t="str">
        <f>IFERROR(VLOOKUP(C3474,소속부서!$A$2:$B$20,2,FALSE), "")</f>
        <v/>
      </c>
    </row>
    <row r="3475" spans="3:4" x14ac:dyDescent="0.3">
      <c r="C3475" s="35">
        <f t="shared" si="54"/>
        <v>0</v>
      </c>
      <c r="D3475" s="30" t="str">
        <f>IFERROR(VLOOKUP(C3475,소속부서!$A$2:$B$20,2,FALSE), "")</f>
        <v/>
      </c>
    </row>
    <row r="3476" spans="3:4" x14ac:dyDescent="0.3">
      <c r="C3476" s="35">
        <f t="shared" si="54"/>
        <v>0</v>
      </c>
      <c r="D3476" s="30" t="str">
        <f>IFERROR(VLOOKUP(C3476,소속부서!$A$2:$B$20,2,FALSE), "")</f>
        <v/>
      </c>
    </row>
    <row r="3477" spans="3:4" x14ac:dyDescent="0.3">
      <c r="C3477" s="35">
        <f t="shared" si="54"/>
        <v>0</v>
      </c>
      <c r="D3477" s="30" t="str">
        <f>IFERROR(VLOOKUP(C3477,소속부서!$A$2:$B$20,2,FALSE), "")</f>
        <v/>
      </c>
    </row>
    <row r="3478" spans="3:4" x14ac:dyDescent="0.3">
      <c r="C3478" s="35">
        <f t="shared" si="54"/>
        <v>0</v>
      </c>
      <c r="D3478" s="30" t="str">
        <f>IFERROR(VLOOKUP(C3478,소속부서!$A$2:$B$20,2,FALSE), "")</f>
        <v/>
      </c>
    </row>
    <row r="3479" spans="3:4" x14ac:dyDescent="0.3">
      <c r="C3479" s="35">
        <f t="shared" si="54"/>
        <v>0</v>
      </c>
      <c r="D3479" s="30" t="str">
        <f>IFERROR(VLOOKUP(C3479,소속부서!$A$2:$B$20,2,FALSE), "")</f>
        <v/>
      </c>
    </row>
    <row r="3480" spans="3:4" x14ac:dyDescent="0.3">
      <c r="C3480" s="35">
        <f t="shared" si="54"/>
        <v>0</v>
      </c>
      <c r="D3480" s="30" t="str">
        <f>IFERROR(VLOOKUP(C3480,소속부서!$A$2:$B$20,2,FALSE), "")</f>
        <v/>
      </c>
    </row>
    <row r="3481" spans="3:4" x14ac:dyDescent="0.3">
      <c r="C3481" s="35">
        <f t="shared" si="54"/>
        <v>0</v>
      </c>
      <c r="D3481" s="30" t="str">
        <f>IFERROR(VLOOKUP(C3481,소속부서!$A$2:$B$20,2,FALSE), "")</f>
        <v/>
      </c>
    </row>
    <row r="3482" spans="3:4" x14ac:dyDescent="0.3">
      <c r="C3482" s="35">
        <f t="shared" si="54"/>
        <v>0</v>
      </c>
      <c r="D3482" s="30" t="str">
        <f>IFERROR(VLOOKUP(C3482,소속부서!$A$2:$B$20,2,FALSE), "")</f>
        <v/>
      </c>
    </row>
    <row r="3483" spans="3:4" x14ac:dyDescent="0.3">
      <c r="C3483" s="35">
        <f t="shared" si="54"/>
        <v>0</v>
      </c>
      <c r="D3483" s="30" t="str">
        <f>IFERROR(VLOOKUP(C3483,소속부서!$A$2:$B$20,2,FALSE), "")</f>
        <v/>
      </c>
    </row>
    <row r="3484" spans="3:4" x14ac:dyDescent="0.3">
      <c r="C3484" s="35">
        <f t="shared" si="54"/>
        <v>0</v>
      </c>
      <c r="D3484" s="30" t="str">
        <f>IFERROR(VLOOKUP(C3484,소속부서!$A$2:$B$20,2,FALSE), "")</f>
        <v/>
      </c>
    </row>
    <row r="3485" spans="3:4" x14ac:dyDescent="0.3">
      <c r="C3485" s="35">
        <f t="shared" si="54"/>
        <v>0</v>
      </c>
      <c r="D3485" s="30" t="str">
        <f>IFERROR(VLOOKUP(C3485,소속부서!$A$2:$B$20,2,FALSE), "")</f>
        <v/>
      </c>
    </row>
    <row r="3486" spans="3:4" x14ac:dyDescent="0.3">
      <c r="C3486" s="35">
        <f t="shared" si="54"/>
        <v>0</v>
      </c>
      <c r="D3486" s="30" t="str">
        <f>IFERROR(VLOOKUP(C3486,소속부서!$A$2:$B$20,2,FALSE), "")</f>
        <v/>
      </c>
    </row>
    <row r="3487" spans="3:4" x14ac:dyDescent="0.3">
      <c r="C3487" s="35">
        <f t="shared" si="54"/>
        <v>0</v>
      </c>
      <c r="D3487" s="30" t="str">
        <f>IFERROR(VLOOKUP(C3487,소속부서!$A$2:$B$20,2,FALSE), "")</f>
        <v/>
      </c>
    </row>
    <row r="3488" spans="3:4" x14ac:dyDescent="0.3">
      <c r="C3488" s="35">
        <f t="shared" si="54"/>
        <v>0</v>
      </c>
      <c r="D3488" s="30" t="str">
        <f>IFERROR(VLOOKUP(C3488,소속부서!$A$2:$B$20,2,FALSE), "")</f>
        <v/>
      </c>
    </row>
    <row r="3489" spans="3:4" x14ac:dyDescent="0.3">
      <c r="C3489" s="35">
        <f t="shared" si="54"/>
        <v>0</v>
      </c>
      <c r="D3489" s="30" t="str">
        <f>IFERROR(VLOOKUP(C3489,소속부서!$A$2:$B$20,2,FALSE), "")</f>
        <v/>
      </c>
    </row>
    <row r="3490" spans="3:4" x14ac:dyDescent="0.3">
      <c r="C3490" s="35">
        <f t="shared" si="54"/>
        <v>0</v>
      </c>
      <c r="D3490" s="30" t="str">
        <f>IFERROR(VLOOKUP(C3490,소속부서!$A$2:$B$20,2,FALSE), "")</f>
        <v/>
      </c>
    </row>
    <row r="3491" spans="3:4" x14ac:dyDescent="0.3">
      <c r="C3491" s="35">
        <f t="shared" si="54"/>
        <v>0</v>
      </c>
      <c r="D3491" s="30" t="str">
        <f>IFERROR(VLOOKUP(C3491,소속부서!$A$2:$B$20,2,FALSE), "")</f>
        <v/>
      </c>
    </row>
    <row r="3492" spans="3:4" x14ac:dyDescent="0.3">
      <c r="C3492" s="35">
        <f t="shared" si="54"/>
        <v>0</v>
      </c>
      <c r="D3492" s="30" t="str">
        <f>IFERROR(VLOOKUP(C3492,소속부서!$A$2:$B$20,2,FALSE), "")</f>
        <v/>
      </c>
    </row>
    <row r="3493" spans="3:4" x14ac:dyDescent="0.3">
      <c r="C3493" s="35">
        <f t="shared" si="54"/>
        <v>0</v>
      </c>
      <c r="D3493" s="30" t="str">
        <f>IFERROR(VLOOKUP(C3493,소속부서!$A$2:$B$20,2,FALSE), "")</f>
        <v/>
      </c>
    </row>
    <row r="3494" spans="3:4" x14ac:dyDescent="0.3">
      <c r="C3494" s="35">
        <f t="shared" si="54"/>
        <v>0</v>
      </c>
      <c r="D3494" s="30" t="str">
        <f>IFERROR(VLOOKUP(C3494,소속부서!$A$2:$B$20,2,FALSE), "")</f>
        <v/>
      </c>
    </row>
    <row r="3495" spans="3:4" x14ac:dyDescent="0.3">
      <c r="C3495" s="35">
        <f t="shared" si="54"/>
        <v>0</v>
      </c>
      <c r="D3495" s="30" t="str">
        <f>IFERROR(VLOOKUP(C3495,소속부서!$A$2:$B$20,2,FALSE), "")</f>
        <v/>
      </c>
    </row>
    <row r="3496" spans="3:4" x14ac:dyDescent="0.3">
      <c r="C3496" s="35">
        <f t="shared" si="54"/>
        <v>0</v>
      </c>
      <c r="D3496" s="30" t="str">
        <f>IFERROR(VLOOKUP(C3496,소속부서!$A$2:$B$20,2,FALSE), "")</f>
        <v/>
      </c>
    </row>
    <row r="3497" spans="3:4" x14ac:dyDescent="0.3">
      <c r="C3497" s="35">
        <f t="shared" si="54"/>
        <v>0</v>
      </c>
      <c r="D3497" s="30" t="str">
        <f>IFERROR(VLOOKUP(C3497,소속부서!$A$2:$B$20,2,FALSE), "")</f>
        <v/>
      </c>
    </row>
    <row r="3498" spans="3:4" x14ac:dyDescent="0.3">
      <c r="C3498" s="35">
        <f t="shared" si="54"/>
        <v>0</v>
      </c>
      <c r="D3498" s="30" t="str">
        <f>IFERROR(VLOOKUP(C3498,소속부서!$A$2:$B$20,2,FALSE), "")</f>
        <v/>
      </c>
    </row>
    <row r="3499" spans="3:4" x14ac:dyDescent="0.3">
      <c r="C3499" s="35">
        <f t="shared" si="54"/>
        <v>0</v>
      </c>
      <c r="D3499" s="30" t="str">
        <f>IFERROR(VLOOKUP(C3499,소속부서!$A$2:$B$20,2,FALSE), "")</f>
        <v/>
      </c>
    </row>
    <row r="3500" spans="3:4" x14ac:dyDescent="0.3">
      <c r="C3500" s="35">
        <f t="shared" si="54"/>
        <v>0</v>
      </c>
      <c r="D3500" s="30" t="str">
        <f>IFERROR(VLOOKUP(C3500,소속부서!$A$2:$B$20,2,FALSE), "")</f>
        <v/>
      </c>
    </row>
    <row r="3501" spans="3:4" x14ac:dyDescent="0.3">
      <c r="C3501" s="35">
        <f t="shared" si="54"/>
        <v>0</v>
      </c>
      <c r="D3501" s="30" t="str">
        <f>IFERROR(VLOOKUP(C3501,소속부서!$A$2:$B$20,2,FALSE), "")</f>
        <v/>
      </c>
    </row>
    <row r="3502" spans="3:4" x14ac:dyDescent="0.3">
      <c r="C3502" s="35">
        <f t="shared" si="54"/>
        <v>0</v>
      </c>
      <c r="D3502" s="30" t="str">
        <f>IFERROR(VLOOKUP(C3502,소속부서!$A$2:$B$20,2,FALSE), "")</f>
        <v/>
      </c>
    </row>
    <row r="3503" spans="3:4" x14ac:dyDescent="0.3">
      <c r="C3503" s="35">
        <f t="shared" si="54"/>
        <v>0</v>
      </c>
      <c r="D3503" s="30" t="str">
        <f>IFERROR(VLOOKUP(C3503,소속부서!$A$2:$B$20,2,FALSE), "")</f>
        <v/>
      </c>
    </row>
    <row r="3504" spans="3:4" x14ac:dyDescent="0.3">
      <c r="C3504" s="35">
        <f t="shared" si="54"/>
        <v>0</v>
      </c>
      <c r="D3504" s="30" t="str">
        <f>IFERROR(VLOOKUP(C3504,소속부서!$A$2:$B$20,2,FALSE), "")</f>
        <v/>
      </c>
    </row>
    <row r="3505" spans="3:4" x14ac:dyDescent="0.3">
      <c r="C3505" s="35">
        <f t="shared" si="54"/>
        <v>0</v>
      </c>
      <c r="D3505" s="30" t="str">
        <f>IFERROR(VLOOKUP(C3505,소속부서!$A$2:$B$20,2,FALSE), "")</f>
        <v/>
      </c>
    </row>
    <row r="3506" spans="3:4" x14ac:dyDescent="0.3">
      <c r="C3506" s="35">
        <f t="shared" si="54"/>
        <v>0</v>
      </c>
      <c r="D3506" s="30" t="str">
        <f>IFERROR(VLOOKUP(C3506,소속부서!$A$2:$B$20,2,FALSE), "")</f>
        <v/>
      </c>
    </row>
    <row r="3507" spans="3:4" x14ac:dyDescent="0.3">
      <c r="C3507" s="35">
        <f t="shared" si="54"/>
        <v>0</v>
      </c>
      <c r="D3507" s="30" t="str">
        <f>IFERROR(VLOOKUP(C3507,소속부서!$A$2:$B$20,2,FALSE), "")</f>
        <v/>
      </c>
    </row>
    <row r="3508" spans="3:4" x14ac:dyDescent="0.3">
      <c r="C3508" s="35">
        <f t="shared" si="54"/>
        <v>0</v>
      </c>
      <c r="D3508" s="30" t="str">
        <f>IFERROR(VLOOKUP(C3508,소속부서!$A$2:$B$20,2,FALSE), "")</f>
        <v/>
      </c>
    </row>
    <row r="3509" spans="3:4" x14ac:dyDescent="0.3">
      <c r="C3509" s="35">
        <f t="shared" si="54"/>
        <v>0</v>
      </c>
      <c r="D3509" s="30" t="str">
        <f>IFERROR(VLOOKUP(C3509,소속부서!$A$2:$B$20,2,FALSE), "")</f>
        <v/>
      </c>
    </row>
    <row r="3510" spans="3:4" x14ac:dyDescent="0.3">
      <c r="C3510" s="35">
        <f t="shared" si="54"/>
        <v>0</v>
      </c>
      <c r="D3510" s="30" t="str">
        <f>IFERROR(VLOOKUP(C3510,소속부서!$A$2:$B$20,2,FALSE), "")</f>
        <v/>
      </c>
    </row>
    <row r="3511" spans="3:4" x14ac:dyDescent="0.3">
      <c r="C3511" s="35">
        <f t="shared" si="54"/>
        <v>0</v>
      </c>
      <c r="D3511" s="30" t="str">
        <f>IFERROR(VLOOKUP(C3511,소속부서!$A$2:$B$20,2,FALSE), "")</f>
        <v/>
      </c>
    </row>
    <row r="3512" spans="3:4" x14ac:dyDescent="0.3">
      <c r="C3512" s="35">
        <f t="shared" si="54"/>
        <v>0</v>
      </c>
      <c r="D3512" s="30" t="str">
        <f>IFERROR(VLOOKUP(C3512,소속부서!$A$2:$B$20,2,FALSE), "")</f>
        <v/>
      </c>
    </row>
    <row r="3513" spans="3:4" x14ac:dyDescent="0.3">
      <c r="C3513" s="35">
        <f t="shared" si="54"/>
        <v>0</v>
      </c>
      <c r="D3513" s="30" t="str">
        <f>IFERROR(VLOOKUP(C3513,소속부서!$A$2:$B$20,2,FALSE), "")</f>
        <v/>
      </c>
    </row>
    <row r="3514" spans="3:4" x14ac:dyDescent="0.3">
      <c r="C3514" s="35">
        <f t="shared" si="54"/>
        <v>0</v>
      </c>
      <c r="D3514" s="30" t="str">
        <f>IFERROR(VLOOKUP(C3514,소속부서!$A$2:$B$20,2,FALSE), "")</f>
        <v/>
      </c>
    </row>
    <row r="3515" spans="3:4" x14ac:dyDescent="0.3">
      <c r="C3515" s="35">
        <f t="shared" si="54"/>
        <v>0</v>
      </c>
      <c r="D3515" s="30" t="str">
        <f>IFERROR(VLOOKUP(C3515,소속부서!$A$2:$B$20,2,FALSE), "")</f>
        <v/>
      </c>
    </row>
    <row r="3516" spans="3:4" x14ac:dyDescent="0.3">
      <c r="C3516" s="35">
        <f t="shared" si="54"/>
        <v>0</v>
      </c>
      <c r="D3516" s="30" t="str">
        <f>IFERROR(VLOOKUP(C3516,소속부서!$A$2:$B$20,2,FALSE), "")</f>
        <v/>
      </c>
    </row>
    <row r="3517" spans="3:4" x14ac:dyDescent="0.3">
      <c r="C3517" s="35">
        <f t="shared" si="54"/>
        <v>0</v>
      </c>
      <c r="D3517" s="30" t="str">
        <f>IFERROR(VLOOKUP(C3517,소속부서!$A$2:$B$20,2,FALSE), "")</f>
        <v/>
      </c>
    </row>
    <row r="3518" spans="3:4" x14ac:dyDescent="0.3">
      <c r="C3518" s="35">
        <f t="shared" si="54"/>
        <v>0</v>
      </c>
      <c r="D3518" s="30" t="str">
        <f>IFERROR(VLOOKUP(C3518,소속부서!$A$2:$B$20,2,FALSE), "")</f>
        <v/>
      </c>
    </row>
    <row r="3519" spans="3:4" x14ac:dyDescent="0.3">
      <c r="C3519" s="35">
        <f t="shared" si="54"/>
        <v>0</v>
      </c>
      <c r="D3519" s="30" t="str">
        <f>IFERROR(VLOOKUP(C3519,소속부서!$A$2:$B$20,2,FALSE), "")</f>
        <v/>
      </c>
    </row>
    <row r="3520" spans="3:4" x14ac:dyDescent="0.3">
      <c r="C3520" s="35">
        <f t="shared" si="54"/>
        <v>0</v>
      </c>
      <c r="D3520" s="30" t="str">
        <f>IFERROR(VLOOKUP(C3520,소속부서!$A$2:$B$20,2,FALSE), "")</f>
        <v/>
      </c>
    </row>
    <row r="3521" spans="3:4" x14ac:dyDescent="0.3">
      <c r="C3521" s="35">
        <f t="shared" ref="C3521:C3584" si="55">E3521</f>
        <v>0</v>
      </c>
      <c r="D3521" s="30" t="str">
        <f>IFERROR(VLOOKUP(C3521,소속부서!$A$2:$B$20,2,FALSE), "")</f>
        <v/>
      </c>
    </row>
    <row r="3522" spans="3:4" x14ac:dyDescent="0.3">
      <c r="C3522" s="35">
        <f t="shared" si="55"/>
        <v>0</v>
      </c>
      <c r="D3522" s="30" t="str">
        <f>IFERROR(VLOOKUP(C3522,소속부서!$A$2:$B$20,2,FALSE), "")</f>
        <v/>
      </c>
    </row>
    <row r="3523" spans="3:4" x14ac:dyDescent="0.3">
      <c r="C3523" s="35">
        <f t="shared" si="55"/>
        <v>0</v>
      </c>
      <c r="D3523" s="30" t="str">
        <f>IFERROR(VLOOKUP(C3523,소속부서!$A$2:$B$20,2,FALSE), "")</f>
        <v/>
      </c>
    </row>
    <row r="3524" spans="3:4" x14ac:dyDescent="0.3">
      <c r="C3524" s="35">
        <f t="shared" si="55"/>
        <v>0</v>
      </c>
      <c r="D3524" s="30" t="str">
        <f>IFERROR(VLOOKUP(C3524,소속부서!$A$2:$B$20,2,FALSE), "")</f>
        <v/>
      </c>
    </row>
    <row r="3525" spans="3:4" x14ac:dyDescent="0.3">
      <c r="C3525" s="35">
        <f t="shared" si="55"/>
        <v>0</v>
      </c>
      <c r="D3525" s="30" t="str">
        <f>IFERROR(VLOOKUP(C3525,소속부서!$A$2:$B$20,2,FALSE), "")</f>
        <v/>
      </c>
    </row>
    <row r="3526" spans="3:4" x14ac:dyDescent="0.3">
      <c r="C3526" s="35">
        <f t="shared" si="55"/>
        <v>0</v>
      </c>
      <c r="D3526" s="30" t="str">
        <f>IFERROR(VLOOKUP(C3526,소속부서!$A$2:$B$20,2,FALSE), "")</f>
        <v/>
      </c>
    </row>
    <row r="3527" spans="3:4" x14ac:dyDescent="0.3">
      <c r="C3527" s="35">
        <f t="shared" si="55"/>
        <v>0</v>
      </c>
      <c r="D3527" s="30" t="str">
        <f>IFERROR(VLOOKUP(C3527,소속부서!$A$2:$B$20,2,FALSE), "")</f>
        <v/>
      </c>
    </row>
    <row r="3528" spans="3:4" x14ac:dyDescent="0.3">
      <c r="C3528" s="35">
        <f t="shared" si="55"/>
        <v>0</v>
      </c>
      <c r="D3528" s="30" t="str">
        <f>IFERROR(VLOOKUP(C3528,소속부서!$A$2:$B$20,2,FALSE), "")</f>
        <v/>
      </c>
    </row>
    <row r="3529" spans="3:4" x14ac:dyDescent="0.3">
      <c r="C3529" s="35">
        <f t="shared" si="55"/>
        <v>0</v>
      </c>
      <c r="D3529" s="30" t="str">
        <f>IFERROR(VLOOKUP(C3529,소속부서!$A$2:$B$20,2,FALSE), "")</f>
        <v/>
      </c>
    </row>
    <row r="3530" spans="3:4" x14ac:dyDescent="0.3">
      <c r="C3530" s="35">
        <f t="shared" si="55"/>
        <v>0</v>
      </c>
      <c r="D3530" s="30" t="str">
        <f>IFERROR(VLOOKUP(C3530,소속부서!$A$2:$B$20,2,FALSE), "")</f>
        <v/>
      </c>
    </row>
    <row r="3531" spans="3:4" x14ac:dyDescent="0.3">
      <c r="C3531" s="35">
        <f t="shared" si="55"/>
        <v>0</v>
      </c>
      <c r="D3531" s="30" t="str">
        <f>IFERROR(VLOOKUP(C3531,소속부서!$A$2:$B$20,2,FALSE), "")</f>
        <v/>
      </c>
    </row>
    <row r="3532" spans="3:4" x14ac:dyDescent="0.3">
      <c r="C3532" s="35">
        <f t="shared" si="55"/>
        <v>0</v>
      </c>
      <c r="D3532" s="30" t="str">
        <f>IFERROR(VLOOKUP(C3532,소속부서!$A$2:$B$20,2,FALSE), "")</f>
        <v/>
      </c>
    </row>
    <row r="3533" spans="3:4" x14ac:dyDescent="0.3">
      <c r="C3533" s="35">
        <f t="shared" si="55"/>
        <v>0</v>
      </c>
      <c r="D3533" s="30" t="str">
        <f>IFERROR(VLOOKUP(C3533,소속부서!$A$2:$B$20,2,FALSE), "")</f>
        <v/>
      </c>
    </row>
    <row r="3534" spans="3:4" x14ac:dyDescent="0.3">
      <c r="C3534" s="35">
        <f t="shared" si="55"/>
        <v>0</v>
      </c>
      <c r="D3534" s="30" t="str">
        <f>IFERROR(VLOOKUP(C3534,소속부서!$A$2:$B$20,2,FALSE), "")</f>
        <v/>
      </c>
    </row>
    <row r="3535" spans="3:4" x14ac:dyDescent="0.3">
      <c r="C3535" s="35">
        <f t="shared" si="55"/>
        <v>0</v>
      </c>
      <c r="D3535" s="30" t="str">
        <f>IFERROR(VLOOKUP(C3535,소속부서!$A$2:$B$20,2,FALSE), "")</f>
        <v/>
      </c>
    </row>
    <row r="3536" spans="3:4" x14ac:dyDescent="0.3">
      <c r="C3536" s="35">
        <f t="shared" si="55"/>
        <v>0</v>
      </c>
      <c r="D3536" s="30" t="str">
        <f>IFERROR(VLOOKUP(C3536,소속부서!$A$2:$B$20,2,FALSE), "")</f>
        <v/>
      </c>
    </row>
    <row r="3537" spans="3:4" x14ac:dyDescent="0.3">
      <c r="C3537" s="35">
        <f t="shared" si="55"/>
        <v>0</v>
      </c>
      <c r="D3537" s="30" t="str">
        <f>IFERROR(VLOOKUP(C3537,소속부서!$A$2:$B$20,2,FALSE), "")</f>
        <v/>
      </c>
    </row>
    <row r="3538" spans="3:4" x14ac:dyDescent="0.3">
      <c r="C3538" s="35">
        <f t="shared" si="55"/>
        <v>0</v>
      </c>
      <c r="D3538" s="30" t="str">
        <f>IFERROR(VLOOKUP(C3538,소속부서!$A$2:$B$20,2,FALSE), "")</f>
        <v/>
      </c>
    </row>
    <row r="3539" spans="3:4" x14ac:dyDescent="0.3">
      <c r="C3539" s="35">
        <f t="shared" si="55"/>
        <v>0</v>
      </c>
      <c r="D3539" s="30" t="str">
        <f>IFERROR(VLOOKUP(C3539,소속부서!$A$2:$B$20,2,FALSE), "")</f>
        <v/>
      </c>
    </row>
    <row r="3540" spans="3:4" x14ac:dyDescent="0.3">
      <c r="C3540" s="35">
        <f t="shared" si="55"/>
        <v>0</v>
      </c>
      <c r="D3540" s="30" t="str">
        <f>IFERROR(VLOOKUP(C3540,소속부서!$A$2:$B$20,2,FALSE), "")</f>
        <v/>
      </c>
    </row>
    <row r="3541" spans="3:4" x14ac:dyDescent="0.3">
      <c r="C3541" s="35">
        <f t="shared" si="55"/>
        <v>0</v>
      </c>
      <c r="D3541" s="30" t="str">
        <f>IFERROR(VLOOKUP(C3541,소속부서!$A$2:$B$20,2,FALSE), "")</f>
        <v/>
      </c>
    </row>
    <row r="3542" spans="3:4" x14ac:dyDescent="0.3">
      <c r="C3542" s="35">
        <f t="shared" si="55"/>
        <v>0</v>
      </c>
      <c r="D3542" s="30" t="str">
        <f>IFERROR(VLOOKUP(C3542,소속부서!$A$2:$B$20,2,FALSE), "")</f>
        <v/>
      </c>
    </row>
    <row r="3543" spans="3:4" x14ac:dyDescent="0.3">
      <c r="C3543" s="35">
        <f t="shared" si="55"/>
        <v>0</v>
      </c>
      <c r="D3543" s="30" t="str">
        <f>IFERROR(VLOOKUP(C3543,소속부서!$A$2:$B$20,2,FALSE), "")</f>
        <v/>
      </c>
    </row>
    <row r="3544" spans="3:4" x14ac:dyDescent="0.3">
      <c r="C3544" s="35">
        <f t="shared" si="55"/>
        <v>0</v>
      </c>
      <c r="D3544" s="30" t="str">
        <f>IFERROR(VLOOKUP(C3544,소속부서!$A$2:$B$20,2,FALSE), "")</f>
        <v/>
      </c>
    </row>
    <row r="3545" spans="3:4" x14ac:dyDescent="0.3">
      <c r="C3545" s="35">
        <f t="shared" si="55"/>
        <v>0</v>
      </c>
      <c r="D3545" s="30" t="str">
        <f>IFERROR(VLOOKUP(C3545,소속부서!$A$2:$B$20,2,FALSE), "")</f>
        <v/>
      </c>
    </row>
    <row r="3546" spans="3:4" x14ac:dyDescent="0.3">
      <c r="C3546" s="35">
        <f t="shared" si="55"/>
        <v>0</v>
      </c>
      <c r="D3546" s="30" t="str">
        <f>IFERROR(VLOOKUP(C3546,소속부서!$A$2:$B$20,2,FALSE), "")</f>
        <v/>
      </c>
    </row>
    <row r="3547" spans="3:4" x14ac:dyDescent="0.3">
      <c r="C3547" s="35">
        <f t="shared" si="55"/>
        <v>0</v>
      </c>
      <c r="D3547" s="30" t="str">
        <f>IFERROR(VLOOKUP(C3547,소속부서!$A$2:$B$20,2,FALSE), "")</f>
        <v/>
      </c>
    </row>
    <row r="3548" spans="3:4" x14ac:dyDescent="0.3">
      <c r="C3548" s="35">
        <f t="shared" si="55"/>
        <v>0</v>
      </c>
      <c r="D3548" s="30" t="str">
        <f>IFERROR(VLOOKUP(C3548,소속부서!$A$2:$B$20,2,FALSE), "")</f>
        <v/>
      </c>
    </row>
    <row r="3549" spans="3:4" x14ac:dyDescent="0.3">
      <c r="C3549" s="35">
        <f t="shared" si="55"/>
        <v>0</v>
      </c>
      <c r="D3549" s="30" t="str">
        <f>IFERROR(VLOOKUP(C3549,소속부서!$A$2:$B$20,2,FALSE), "")</f>
        <v/>
      </c>
    </row>
    <row r="3550" spans="3:4" x14ac:dyDescent="0.3">
      <c r="C3550" s="35">
        <f t="shared" si="55"/>
        <v>0</v>
      </c>
      <c r="D3550" s="30" t="str">
        <f>IFERROR(VLOOKUP(C3550,소속부서!$A$2:$B$20,2,FALSE), "")</f>
        <v/>
      </c>
    </row>
    <row r="3551" spans="3:4" x14ac:dyDescent="0.3">
      <c r="C3551" s="35">
        <f t="shared" si="55"/>
        <v>0</v>
      </c>
      <c r="D3551" s="30" t="str">
        <f>IFERROR(VLOOKUP(C3551,소속부서!$A$2:$B$20,2,FALSE), "")</f>
        <v/>
      </c>
    </row>
    <row r="3552" spans="3:4" x14ac:dyDescent="0.3">
      <c r="C3552" s="35">
        <f t="shared" si="55"/>
        <v>0</v>
      </c>
      <c r="D3552" s="30" t="str">
        <f>IFERROR(VLOOKUP(C3552,소속부서!$A$2:$B$20,2,FALSE), "")</f>
        <v/>
      </c>
    </row>
    <row r="3553" spans="3:4" x14ac:dyDescent="0.3">
      <c r="C3553" s="35">
        <f t="shared" si="55"/>
        <v>0</v>
      </c>
      <c r="D3553" s="30" t="str">
        <f>IFERROR(VLOOKUP(C3553,소속부서!$A$2:$B$20,2,FALSE), "")</f>
        <v/>
      </c>
    </row>
    <row r="3554" spans="3:4" x14ac:dyDescent="0.3">
      <c r="C3554" s="35">
        <f t="shared" si="55"/>
        <v>0</v>
      </c>
      <c r="D3554" s="30" t="str">
        <f>IFERROR(VLOOKUP(C3554,소속부서!$A$2:$B$20,2,FALSE), "")</f>
        <v/>
      </c>
    </row>
    <row r="3555" spans="3:4" x14ac:dyDescent="0.3">
      <c r="C3555" s="35">
        <f t="shared" si="55"/>
        <v>0</v>
      </c>
      <c r="D3555" s="30" t="str">
        <f>IFERROR(VLOOKUP(C3555,소속부서!$A$2:$B$20,2,FALSE), "")</f>
        <v/>
      </c>
    </row>
    <row r="3556" spans="3:4" x14ac:dyDescent="0.3">
      <c r="C3556" s="35">
        <f t="shared" si="55"/>
        <v>0</v>
      </c>
      <c r="D3556" s="30" t="str">
        <f>IFERROR(VLOOKUP(C3556,소속부서!$A$2:$B$20,2,FALSE), "")</f>
        <v/>
      </c>
    </row>
    <row r="3557" spans="3:4" x14ac:dyDescent="0.3">
      <c r="C3557" s="35">
        <f t="shared" si="55"/>
        <v>0</v>
      </c>
      <c r="D3557" s="30" t="str">
        <f>IFERROR(VLOOKUP(C3557,소속부서!$A$2:$B$20,2,FALSE), "")</f>
        <v/>
      </c>
    </row>
    <row r="3558" spans="3:4" x14ac:dyDescent="0.3">
      <c r="C3558" s="35">
        <f t="shared" si="55"/>
        <v>0</v>
      </c>
      <c r="D3558" s="30" t="str">
        <f>IFERROR(VLOOKUP(C3558,소속부서!$A$2:$B$20,2,FALSE), "")</f>
        <v/>
      </c>
    </row>
    <row r="3559" spans="3:4" x14ac:dyDescent="0.3">
      <c r="C3559" s="35">
        <f t="shared" si="55"/>
        <v>0</v>
      </c>
      <c r="D3559" s="30" t="str">
        <f>IFERROR(VLOOKUP(C3559,소속부서!$A$2:$B$20,2,FALSE), "")</f>
        <v/>
      </c>
    </row>
    <row r="3560" spans="3:4" x14ac:dyDescent="0.3">
      <c r="C3560" s="35">
        <f t="shared" si="55"/>
        <v>0</v>
      </c>
      <c r="D3560" s="30" t="str">
        <f>IFERROR(VLOOKUP(C3560,소속부서!$A$2:$B$20,2,FALSE), "")</f>
        <v/>
      </c>
    </row>
    <row r="3561" spans="3:4" x14ac:dyDescent="0.3">
      <c r="C3561" s="35">
        <f t="shared" si="55"/>
        <v>0</v>
      </c>
      <c r="D3561" s="30" t="str">
        <f>IFERROR(VLOOKUP(C3561,소속부서!$A$2:$B$20,2,FALSE), "")</f>
        <v/>
      </c>
    </row>
    <row r="3562" spans="3:4" x14ac:dyDescent="0.3">
      <c r="C3562" s="35">
        <f t="shared" si="55"/>
        <v>0</v>
      </c>
      <c r="D3562" s="30" t="str">
        <f>IFERROR(VLOOKUP(C3562,소속부서!$A$2:$B$20,2,FALSE), "")</f>
        <v/>
      </c>
    </row>
    <row r="3563" spans="3:4" x14ac:dyDescent="0.3">
      <c r="C3563" s="35">
        <f t="shared" si="55"/>
        <v>0</v>
      </c>
      <c r="D3563" s="30" t="str">
        <f>IFERROR(VLOOKUP(C3563,소속부서!$A$2:$B$20,2,FALSE), "")</f>
        <v/>
      </c>
    </row>
    <row r="3564" spans="3:4" x14ac:dyDescent="0.3">
      <c r="C3564" s="35">
        <f t="shared" si="55"/>
        <v>0</v>
      </c>
      <c r="D3564" s="30" t="str">
        <f>IFERROR(VLOOKUP(C3564,소속부서!$A$2:$B$20,2,FALSE), "")</f>
        <v/>
      </c>
    </row>
    <row r="3565" spans="3:4" x14ac:dyDescent="0.3">
      <c r="C3565" s="35">
        <f t="shared" si="55"/>
        <v>0</v>
      </c>
      <c r="D3565" s="30" t="str">
        <f>IFERROR(VLOOKUP(C3565,소속부서!$A$2:$B$20,2,FALSE), "")</f>
        <v/>
      </c>
    </row>
    <row r="3566" spans="3:4" x14ac:dyDescent="0.3">
      <c r="C3566" s="35">
        <f t="shared" si="55"/>
        <v>0</v>
      </c>
      <c r="D3566" s="30" t="str">
        <f>IFERROR(VLOOKUP(C3566,소속부서!$A$2:$B$20,2,FALSE), "")</f>
        <v/>
      </c>
    </row>
    <row r="3567" spans="3:4" x14ac:dyDescent="0.3">
      <c r="C3567" s="35">
        <f t="shared" si="55"/>
        <v>0</v>
      </c>
      <c r="D3567" s="30" t="str">
        <f>IFERROR(VLOOKUP(C3567,소속부서!$A$2:$B$20,2,FALSE), "")</f>
        <v/>
      </c>
    </row>
    <row r="3568" spans="3:4" x14ac:dyDescent="0.3">
      <c r="C3568" s="35">
        <f t="shared" si="55"/>
        <v>0</v>
      </c>
      <c r="D3568" s="30" t="str">
        <f>IFERROR(VLOOKUP(C3568,소속부서!$A$2:$B$20,2,FALSE), "")</f>
        <v/>
      </c>
    </row>
    <row r="3569" spans="3:4" x14ac:dyDescent="0.3">
      <c r="C3569" s="35">
        <f t="shared" si="55"/>
        <v>0</v>
      </c>
      <c r="D3569" s="30" t="str">
        <f>IFERROR(VLOOKUP(C3569,소속부서!$A$2:$B$20,2,FALSE), "")</f>
        <v/>
      </c>
    </row>
    <row r="3570" spans="3:4" x14ac:dyDescent="0.3">
      <c r="C3570" s="35">
        <f t="shared" si="55"/>
        <v>0</v>
      </c>
      <c r="D3570" s="30" t="str">
        <f>IFERROR(VLOOKUP(C3570,소속부서!$A$2:$B$20,2,FALSE), "")</f>
        <v/>
      </c>
    </row>
    <row r="3571" spans="3:4" x14ac:dyDescent="0.3">
      <c r="C3571" s="35">
        <f t="shared" si="55"/>
        <v>0</v>
      </c>
      <c r="D3571" s="30" t="str">
        <f>IFERROR(VLOOKUP(C3571,소속부서!$A$2:$B$20,2,FALSE), "")</f>
        <v/>
      </c>
    </row>
    <row r="3572" spans="3:4" x14ac:dyDescent="0.3">
      <c r="C3572" s="35">
        <f t="shared" si="55"/>
        <v>0</v>
      </c>
      <c r="D3572" s="30" t="str">
        <f>IFERROR(VLOOKUP(C3572,소속부서!$A$2:$B$20,2,FALSE), "")</f>
        <v/>
      </c>
    </row>
    <row r="3573" spans="3:4" x14ac:dyDescent="0.3">
      <c r="C3573" s="35">
        <f t="shared" si="55"/>
        <v>0</v>
      </c>
      <c r="D3573" s="30" t="str">
        <f>IFERROR(VLOOKUP(C3573,소속부서!$A$2:$B$20,2,FALSE), "")</f>
        <v/>
      </c>
    </row>
    <row r="3574" spans="3:4" x14ac:dyDescent="0.3">
      <c r="C3574" s="35">
        <f t="shared" si="55"/>
        <v>0</v>
      </c>
      <c r="D3574" s="30" t="str">
        <f>IFERROR(VLOOKUP(C3574,소속부서!$A$2:$B$20,2,FALSE), "")</f>
        <v/>
      </c>
    </row>
    <row r="3575" spans="3:4" x14ac:dyDescent="0.3">
      <c r="C3575" s="35">
        <f t="shared" si="55"/>
        <v>0</v>
      </c>
      <c r="D3575" s="30" t="str">
        <f>IFERROR(VLOOKUP(C3575,소속부서!$A$2:$B$20,2,FALSE), "")</f>
        <v/>
      </c>
    </row>
    <row r="3576" spans="3:4" x14ac:dyDescent="0.3">
      <c r="C3576" s="35">
        <f t="shared" si="55"/>
        <v>0</v>
      </c>
      <c r="D3576" s="30" t="str">
        <f>IFERROR(VLOOKUP(C3576,소속부서!$A$2:$B$20,2,FALSE), "")</f>
        <v/>
      </c>
    </row>
    <row r="3577" spans="3:4" x14ac:dyDescent="0.3">
      <c r="C3577" s="35">
        <f t="shared" si="55"/>
        <v>0</v>
      </c>
      <c r="D3577" s="30" t="str">
        <f>IFERROR(VLOOKUP(C3577,소속부서!$A$2:$B$20,2,FALSE), "")</f>
        <v/>
      </c>
    </row>
    <row r="3578" spans="3:4" x14ac:dyDescent="0.3">
      <c r="C3578" s="35">
        <f t="shared" si="55"/>
        <v>0</v>
      </c>
      <c r="D3578" s="30" t="str">
        <f>IFERROR(VLOOKUP(C3578,소속부서!$A$2:$B$20,2,FALSE), "")</f>
        <v/>
      </c>
    </row>
    <row r="3579" spans="3:4" x14ac:dyDescent="0.3">
      <c r="C3579" s="35">
        <f t="shared" si="55"/>
        <v>0</v>
      </c>
      <c r="D3579" s="30" t="str">
        <f>IFERROR(VLOOKUP(C3579,소속부서!$A$2:$B$20,2,FALSE), "")</f>
        <v/>
      </c>
    </row>
    <row r="3580" spans="3:4" x14ac:dyDescent="0.3">
      <c r="C3580" s="35">
        <f t="shared" si="55"/>
        <v>0</v>
      </c>
      <c r="D3580" s="30" t="str">
        <f>IFERROR(VLOOKUP(C3580,소속부서!$A$2:$B$20,2,FALSE), "")</f>
        <v/>
      </c>
    </row>
    <row r="3581" spans="3:4" x14ac:dyDescent="0.3">
      <c r="C3581" s="35">
        <f t="shared" si="55"/>
        <v>0</v>
      </c>
      <c r="D3581" s="30" t="str">
        <f>IFERROR(VLOOKUP(C3581,소속부서!$A$2:$B$20,2,FALSE), "")</f>
        <v/>
      </c>
    </row>
    <row r="3582" spans="3:4" x14ac:dyDescent="0.3">
      <c r="C3582" s="35">
        <f t="shared" si="55"/>
        <v>0</v>
      </c>
      <c r="D3582" s="30" t="str">
        <f>IFERROR(VLOOKUP(C3582,소속부서!$A$2:$B$20,2,FALSE), "")</f>
        <v/>
      </c>
    </row>
    <row r="3583" spans="3:4" x14ac:dyDescent="0.3">
      <c r="C3583" s="35">
        <f t="shared" si="55"/>
        <v>0</v>
      </c>
      <c r="D3583" s="30" t="str">
        <f>IFERROR(VLOOKUP(C3583,소속부서!$A$2:$B$20,2,FALSE), "")</f>
        <v/>
      </c>
    </row>
    <row r="3584" spans="3:4" x14ac:dyDescent="0.3">
      <c r="C3584" s="35">
        <f t="shared" si="55"/>
        <v>0</v>
      </c>
      <c r="D3584" s="30" t="str">
        <f>IFERROR(VLOOKUP(C3584,소속부서!$A$2:$B$20,2,FALSE), "")</f>
        <v/>
      </c>
    </row>
    <row r="3585" spans="3:4" x14ac:dyDescent="0.3">
      <c r="C3585" s="35">
        <f t="shared" ref="C3585:C3648" si="56">E3585</f>
        <v>0</v>
      </c>
      <c r="D3585" s="30" t="str">
        <f>IFERROR(VLOOKUP(C3585,소속부서!$A$2:$B$20,2,FALSE), "")</f>
        <v/>
      </c>
    </row>
    <row r="3586" spans="3:4" x14ac:dyDescent="0.3">
      <c r="C3586" s="35">
        <f t="shared" si="56"/>
        <v>0</v>
      </c>
      <c r="D3586" s="30" t="str">
        <f>IFERROR(VLOOKUP(C3586,소속부서!$A$2:$B$20,2,FALSE), "")</f>
        <v/>
      </c>
    </row>
    <row r="3587" spans="3:4" x14ac:dyDescent="0.3">
      <c r="C3587" s="35">
        <f t="shared" si="56"/>
        <v>0</v>
      </c>
      <c r="D3587" s="30" t="str">
        <f>IFERROR(VLOOKUP(C3587,소속부서!$A$2:$B$20,2,FALSE), "")</f>
        <v/>
      </c>
    </row>
    <row r="3588" spans="3:4" x14ac:dyDescent="0.3">
      <c r="C3588" s="35">
        <f t="shared" si="56"/>
        <v>0</v>
      </c>
      <c r="D3588" s="30" t="str">
        <f>IFERROR(VLOOKUP(C3588,소속부서!$A$2:$B$20,2,FALSE), "")</f>
        <v/>
      </c>
    </row>
    <row r="3589" spans="3:4" x14ac:dyDescent="0.3">
      <c r="C3589" s="35">
        <f t="shared" si="56"/>
        <v>0</v>
      </c>
      <c r="D3589" s="30" t="str">
        <f>IFERROR(VLOOKUP(C3589,소속부서!$A$2:$B$20,2,FALSE), "")</f>
        <v/>
      </c>
    </row>
    <row r="3590" spans="3:4" x14ac:dyDescent="0.3">
      <c r="C3590" s="35">
        <f t="shared" si="56"/>
        <v>0</v>
      </c>
      <c r="D3590" s="30" t="str">
        <f>IFERROR(VLOOKUP(C3590,소속부서!$A$2:$B$20,2,FALSE), "")</f>
        <v/>
      </c>
    </row>
    <row r="3591" spans="3:4" x14ac:dyDescent="0.3">
      <c r="C3591" s="35">
        <f t="shared" si="56"/>
        <v>0</v>
      </c>
      <c r="D3591" s="30" t="str">
        <f>IFERROR(VLOOKUP(C3591,소속부서!$A$2:$B$20,2,FALSE), "")</f>
        <v/>
      </c>
    </row>
    <row r="3592" spans="3:4" x14ac:dyDescent="0.3">
      <c r="C3592" s="35">
        <f t="shared" si="56"/>
        <v>0</v>
      </c>
      <c r="D3592" s="30" t="str">
        <f>IFERROR(VLOOKUP(C3592,소속부서!$A$2:$B$20,2,FALSE), "")</f>
        <v/>
      </c>
    </row>
    <row r="3593" spans="3:4" x14ac:dyDescent="0.3">
      <c r="C3593" s="35">
        <f t="shared" si="56"/>
        <v>0</v>
      </c>
      <c r="D3593" s="30" t="str">
        <f>IFERROR(VLOOKUP(C3593,소속부서!$A$2:$B$20,2,FALSE), "")</f>
        <v/>
      </c>
    </row>
    <row r="3594" spans="3:4" x14ac:dyDescent="0.3">
      <c r="C3594" s="35">
        <f t="shared" si="56"/>
        <v>0</v>
      </c>
      <c r="D3594" s="30" t="str">
        <f>IFERROR(VLOOKUP(C3594,소속부서!$A$2:$B$20,2,FALSE), "")</f>
        <v/>
      </c>
    </row>
    <row r="3595" spans="3:4" x14ac:dyDescent="0.3">
      <c r="C3595" s="35">
        <f t="shared" si="56"/>
        <v>0</v>
      </c>
      <c r="D3595" s="30" t="str">
        <f>IFERROR(VLOOKUP(C3595,소속부서!$A$2:$B$20,2,FALSE), "")</f>
        <v/>
      </c>
    </row>
    <row r="3596" spans="3:4" x14ac:dyDescent="0.3">
      <c r="C3596" s="35">
        <f t="shared" si="56"/>
        <v>0</v>
      </c>
      <c r="D3596" s="30" t="str">
        <f>IFERROR(VLOOKUP(C3596,소속부서!$A$2:$B$20,2,FALSE), "")</f>
        <v/>
      </c>
    </row>
    <row r="3597" spans="3:4" x14ac:dyDescent="0.3">
      <c r="C3597" s="35">
        <f t="shared" si="56"/>
        <v>0</v>
      </c>
      <c r="D3597" s="30" t="str">
        <f>IFERROR(VLOOKUP(C3597,소속부서!$A$2:$B$20,2,FALSE), "")</f>
        <v/>
      </c>
    </row>
    <row r="3598" spans="3:4" x14ac:dyDescent="0.3">
      <c r="C3598" s="35">
        <f t="shared" si="56"/>
        <v>0</v>
      </c>
      <c r="D3598" s="30" t="str">
        <f>IFERROR(VLOOKUP(C3598,소속부서!$A$2:$B$20,2,FALSE), "")</f>
        <v/>
      </c>
    </row>
    <row r="3599" spans="3:4" x14ac:dyDescent="0.3">
      <c r="C3599" s="35">
        <f t="shared" si="56"/>
        <v>0</v>
      </c>
      <c r="D3599" s="30" t="str">
        <f>IFERROR(VLOOKUP(C3599,소속부서!$A$2:$B$20,2,FALSE), "")</f>
        <v/>
      </c>
    </row>
    <row r="3600" spans="3:4" x14ac:dyDescent="0.3">
      <c r="C3600" s="35">
        <f t="shared" si="56"/>
        <v>0</v>
      </c>
      <c r="D3600" s="30" t="str">
        <f>IFERROR(VLOOKUP(C3600,소속부서!$A$2:$B$20,2,FALSE), "")</f>
        <v/>
      </c>
    </row>
    <row r="3601" spans="3:4" x14ac:dyDescent="0.3">
      <c r="C3601" s="35">
        <f t="shared" si="56"/>
        <v>0</v>
      </c>
      <c r="D3601" s="30" t="str">
        <f>IFERROR(VLOOKUP(C3601,소속부서!$A$2:$B$20,2,FALSE), "")</f>
        <v/>
      </c>
    </row>
    <row r="3602" spans="3:4" x14ac:dyDescent="0.3">
      <c r="C3602" s="35">
        <f t="shared" si="56"/>
        <v>0</v>
      </c>
      <c r="D3602" s="30" t="str">
        <f>IFERROR(VLOOKUP(C3602,소속부서!$A$2:$B$20,2,FALSE), "")</f>
        <v/>
      </c>
    </row>
    <row r="3603" spans="3:4" x14ac:dyDescent="0.3">
      <c r="C3603" s="35">
        <f t="shared" si="56"/>
        <v>0</v>
      </c>
      <c r="D3603" s="30" t="str">
        <f>IFERROR(VLOOKUP(C3603,소속부서!$A$2:$B$20,2,FALSE), "")</f>
        <v/>
      </c>
    </row>
    <row r="3604" spans="3:4" x14ac:dyDescent="0.3">
      <c r="C3604" s="35">
        <f t="shared" si="56"/>
        <v>0</v>
      </c>
      <c r="D3604" s="30" t="str">
        <f>IFERROR(VLOOKUP(C3604,소속부서!$A$2:$B$20,2,FALSE), "")</f>
        <v/>
      </c>
    </row>
    <row r="3605" spans="3:4" x14ac:dyDescent="0.3">
      <c r="C3605" s="35">
        <f t="shared" si="56"/>
        <v>0</v>
      </c>
      <c r="D3605" s="30" t="str">
        <f>IFERROR(VLOOKUP(C3605,소속부서!$A$2:$B$20,2,FALSE), "")</f>
        <v/>
      </c>
    </row>
    <row r="3606" spans="3:4" x14ac:dyDescent="0.3">
      <c r="C3606" s="35">
        <f t="shared" si="56"/>
        <v>0</v>
      </c>
      <c r="D3606" s="30" t="str">
        <f>IFERROR(VLOOKUP(C3606,소속부서!$A$2:$B$20,2,FALSE), "")</f>
        <v/>
      </c>
    </row>
    <row r="3607" spans="3:4" x14ac:dyDescent="0.3">
      <c r="C3607" s="35">
        <f t="shared" si="56"/>
        <v>0</v>
      </c>
      <c r="D3607" s="30" t="str">
        <f>IFERROR(VLOOKUP(C3607,소속부서!$A$2:$B$20,2,FALSE), "")</f>
        <v/>
      </c>
    </row>
    <row r="3608" spans="3:4" x14ac:dyDescent="0.3">
      <c r="C3608" s="35">
        <f t="shared" si="56"/>
        <v>0</v>
      </c>
      <c r="D3608" s="30" t="str">
        <f>IFERROR(VLOOKUP(C3608,소속부서!$A$2:$B$20,2,FALSE), "")</f>
        <v/>
      </c>
    </row>
    <row r="3609" spans="3:4" x14ac:dyDescent="0.3">
      <c r="C3609" s="35">
        <f t="shared" si="56"/>
        <v>0</v>
      </c>
      <c r="D3609" s="30" t="str">
        <f>IFERROR(VLOOKUP(C3609,소속부서!$A$2:$B$20,2,FALSE), "")</f>
        <v/>
      </c>
    </row>
    <row r="3610" spans="3:4" x14ac:dyDescent="0.3">
      <c r="C3610" s="35">
        <f t="shared" si="56"/>
        <v>0</v>
      </c>
      <c r="D3610" s="30" t="str">
        <f>IFERROR(VLOOKUP(C3610,소속부서!$A$2:$B$20,2,FALSE), "")</f>
        <v/>
      </c>
    </row>
    <row r="3611" spans="3:4" x14ac:dyDescent="0.3">
      <c r="C3611" s="35">
        <f t="shared" si="56"/>
        <v>0</v>
      </c>
      <c r="D3611" s="30" t="str">
        <f>IFERROR(VLOOKUP(C3611,소속부서!$A$2:$B$20,2,FALSE), "")</f>
        <v/>
      </c>
    </row>
    <row r="3612" spans="3:4" x14ac:dyDescent="0.3">
      <c r="C3612" s="35">
        <f t="shared" si="56"/>
        <v>0</v>
      </c>
      <c r="D3612" s="30" t="str">
        <f>IFERROR(VLOOKUP(C3612,소속부서!$A$2:$B$20,2,FALSE), "")</f>
        <v/>
      </c>
    </row>
    <row r="3613" spans="3:4" x14ac:dyDescent="0.3">
      <c r="C3613" s="35">
        <f t="shared" si="56"/>
        <v>0</v>
      </c>
      <c r="D3613" s="30" t="str">
        <f>IFERROR(VLOOKUP(C3613,소속부서!$A$2:$B$20,2,FALSE), "")</f>
        <v/>
      </c>
    </row>
    <row r="3614" spans="3:4" x14ac:dyDescent="0.3">
      <c r="C3614" s="35">
        <f t="shared" si="56"/>
        <v>0</v>
      </c>
      <c r="D3614" s="30" t="str">
        <f>IFERROR(VLOOKUP(C3614,소속부서!$A$2:$B$20,2,FALSE), "")</f>
        <v/>
      </c>
    </row>
    <row r="3615" spans="3:4" x14ac:dyDescent="0.3">
      <c r="C3615" s="35">
        <f t="shared" si="56"/>
        <v>0</v>
      </c>
      <c r="D3615" s="30" t="str">
        <f>IFERROR(VLOOKUP(C3615,소속부서!$A$2:$B$20,2,FALSE), "")</f>
        <v/>
      </c>
    </row>
    <row r="3616" spans="3:4" x14ac:dyDescent="0.3">
      <c r="C3616" s="35">
        <f t="shared" si="56"/>
        <v>0</v>
      </c>
      <c r="D3616" s="30" t="str">
        <f>IFERROR(VLOOKUP(C3616,소속부서!$A$2:$B$20,2,FALSE), "")</f>
        <v/>
      </c>
    </row>
    <row r="3617" spans="3:4" x14ac:dyDescent="0.3">
      <c r="C3617" s="35">
        <f t="shared" si="56"/>
        <v>0</v>
      </c>
      <c r="D3617" s="30" t="str">
        <f>IFERROR(VLOOKUP(C3617,소속부서!$A$2:$B$20,2,FALSE), "")</f>
        <v/>
      </c>
    </row>
    <row r="3618" spans="3:4" x14ac:dyDescent="0.3">
      <c r="C3618" s="35">
        <f t="shared" si="56"/>
        <v>0</v>
      </c>
      <c r="D3618" s="30" t="str">
        <f>IFERROR(VLOOKUP(C3618,소속부서!$A$2:$B$20,2,FALSE), "")</f>
        <v/>
      </c>
    </row>
    <row r="3619" spans="3:4" x14ac:dyDescent="0.3">
      <c r="C3619" s="35">
        <f t="shared" si="56"/>
        <v>0</v>
      </c>
      <c r="D3619" s="30" t="str">
        <f>IFERROR(VLOOKUP(C3619,소속부서!$A$2:$B$20,2,FALSE), "")</f>
        <v/>
      </c>
    </row>
    <row r="3620" spans="3:4" x14ac:dyDescent="0.3">
      <c r="C3620" s="35">
        <f t="shared" si="56"/>
        <v>0</v>
      </c>
      <c r="D3620" s="30" t="str">
        <f>IFERROR(VLOOKUP(C3620,소속부서!$A$2:$B$20,2,FALSE), "")</f>
        <v/>
      </c>
    </row>
    <row r="3621" spans="3:4" x14ac:dyDescent="0.3">
      <c r="C3621" s="35">
        <f t="shared" si="56"/>
        <v>0</v>
      </c>
      <c r="D3621" s="30" t="str">
        <f>IFERROR(VLOOKUP(C3621,소속부서!$A$2:$B$20,2,FALSE), "")</f>
        <v/>
      </c>
    </row>
    <row r="3622" spans="3:4" x14ac:dyDescent="0.3">
      <c r="C3622" s="35">
        <f t="shared" si="56"/>
        <v>0</v>
      </c>
      <c r="D3622" s="30" t="str">
        <f>IFERROR(VLOOKUP(C3622,소속부서!$A$2:$B$20,2,FALSE), "")</f>
        <v/>
      </c>
    </row>
    <row r="3623" spans="3:4" x14ac:dyDescent="0.3">
      <c r="C3623" s="35">
        <f t="shared" si="56"/>
        <v>0</v>
      </c>
      <c r="D3623" s="30" t="str">
        <f>IFERROR(VLOOKUP(C3623,소속부서!$A$2:$B$20,2,FALSE), "")</f>
        <v/>
      </c>
    </row>
    <row r="3624" spans="3:4" x14ac:dyDescent="0.3">
      <c r="C3624" s="35">
        <f t="shared" si="56"/>
        <v>0</v>
      </c>
      <c r="D3624" s="30" t="str">
        <f>IFERROR(VLOOKUP(C3624,소속부서!$A$2:$B$20,2,FALSE), "")</f>
        <v/>
      </c>
    </row>
    <row r="3625" spans="3:4" x14ac:dyDescent="0.3">
      <c r="C3625" s="35">
        <f t="shared" si="56"/>
        <v>0</v>
      </c>
      <c r="D3625" s="30" t="str">
        <f>IFERROR(VLOOKUP(C3625,소속부서!$A$2:$B$20,2,FALSE), "")</f>
        <v/>
      </c>
    </row>
    <row r="3626" spans="3:4" x14ac:dyDescent="0.3">
      <c r="C3626" s="35">
        <f t="shared" si="56"/>
        <v>0</v>
      </c>
      <c r="D3626" s="30" t="str">
        <f>IFERROR(VLOOKUP(C3626,소속부서!$A$2:$B$20,2,FALSE), "")</f>
        <v/>
      </c>
    </row>
    <row r="3627" spans="3:4" x14ac:dyDescent="0.3">
      <c r="C3627" s="35">
        <f t="shared" si="56"/>
        <v>0</v>
      </c>
      <c r="D3627" s="30" t="str">
        <f>IFERROR(VLOOKUP(C3627,소속부서!$A$2:$B$20,2,FALSE), "")</f>
        <v/>
      </c>
    </row>
    <row r="3628" spans="3:4" x14ac:dyDescent="0.3">
      <c r="C3628" s="35">
        <f t="shared" si="56"/>
        <v>0</v>
      </c>
      <c r="D3628" s="30" t="str">
        <f>IFERROR(VLOOKUP(C3628,소속부서!$A$2:$B$20,2,FALSE), "")</f>
        <v/>
      </c>
    </row>
    <row r="3629" spans="3:4" x14ac:dyDescent="0.3">
      <c r="C3629" s="35">
        <f t="shared" si="56"/>
        <v>0</v>
      </c>
      <c r="D3629" s="30" t="str">
        <f>IFERROR(VLOOKUP(C3629,소속부서!$A$2:$B$20,2,FALSE), "")</f>
        <v/>
      </c>
    </row>
    <row r="3630" spans="3:4" x14ac:dyDescent="0.3">
      <c r="C3630" s="35">
        <f t="shared" si="56"/>
        <v>0</v>
      </c>
      <c r="D3630" s="30" t="str">
        <f>IFERROR(VLOOKUP(C3630,소속부서!$A$2:$B$20,2,FALSE), "")</f>
        <v/>
      </c>
    </row>
    <row r="3631" spans="3:4" x14ac:dyDescent="0.3">
      <c r="C3631" s="35">
        <f t="shared" si="56"/>
        <v>0</v>
      </c>
      <c r="D3631" s="30" t="str">
        <f>IFERROR(VLOOKUP(C3631,소속부서!$A$2:$B$20,2,FALSE), "")</f>
        <v/>
      </c>
    </row>
    <row r="3632" spans="3:4" x14ac:dyDescent="0.3">
      <c r="C3632" s="35">
        <f t="shared" si="56"/>
        <v>0</v>
      </c>
      <c r="D3632" s="30" t="str">
        <f>IFERROR(VLOOKUP(C3632,소속부서!$A$2:$B$20,2,FALSE), "")</f>
        <v/>
      </c>
    </row>
    <row r="3633" spans="3:4" x14ac:dyDescent="0.3">
      <c r="C3633" s="35">
        <f t="shared" si="56"/>
        <v>0</v>
      </c>
      <c r="D3633" s="30" t="str">
        <f>IFERROR(VLOOKUP(C3633,소속부서!$A$2:$B$20,2,FALSE), "")</f>
        <v/>
      </c>
    </row>
    <row r="3634" spans="3:4" x14ac:dyDescent="0.3">
      <c r="C3634" s="35">
        <f t="shared" si="56"/>
        <v>0</v>
      </c>
      <c r="D3634" s="30" t="str">
        <f>IFERROR(VLOOKUP(C3634,소속부서!$A$2:$B$20,2,FALSE), "")</f>
        <v/>
      </c>
    </row>
    <row r="3635" spans="3:4" x14ac:dyDescent="0.3">
      <c r="C3635" s="35">
        <f t="shared" si="56"/>
        <v>0</v>
      </c>
      <c r="D3635" s="30" t="str">
        <f>IFERROR(VLOOKUP(C3635,소속부서!$A$2:$B$20,2,FALSE), "")</f>
        <v/>
      </c>
    </row>
    <row r="3636" spans="3:4" x14ac:dyDescent="0.3">
      <c r="C3636" s="35">
        <f t="shared" si="56"/>
        <v>0</v>
      </c>
      <c r="D3636" s="30" t="str">
        <f>IFERROR(VLOOKUP(C3636,소속부서!$A$2:$B$20,2,FALSE), "")</f>
        <v/>
      </c>
    </row>
    <row r="3637" spans="3:4" x14ac:dyDescent="0.3">
      <c r="C3637" s="35">
        <f t="shared" si="56"/>
        <v>0</v>
      </c>
      <c r="D3637" s="30" t="str">
        <f>IFERROR(VLOOKUP(C3637,소속부서!$A$2:$B$20,2,FALSE), "")</f>
        <v/>
      </c>
    </row>
    <row r="3638" spans="3:4" x14ac:dyDescent="0.3">
      <c r="C3638" s="35">
        <f t="shared" si="56"/>
        <v>0</v>
      </c>
      <c r="D3638" s="30" t="str">
        <f>IFERROR(VLOOKUP(C3638,소속부서!$A$2:$B$20,2,FALSE), "")</f>
        <v/>
      </c>
    </row>
    <row r="3639" spans="3:4" x14ac:dyDescent="0.3">
      <c r="C3639" s="35">
        <f t="shared" si="56"/>
        <v>0</v>
      </c>
      <c r="D3639" s="30" t="str">
        <f>IFERROR(VLOOKUP(C3639,소속부서!$A$2:$B$20,2,FALSE), "")</f>
        <v/>
      </c>
    </row>
    <row r="3640" spans="3:4" x14ac:dyDescent="0.3">
      <c r="C3640" s="35">
        <f t="shared" si="56"/>
        <v>0</v>
      </c>
      <c r="D3640" s="30" t="str">
        <f>IFERROR(VLOOKUP(C3640,소속부서!$A$2:$B$20,2,FALSE), "")</f>
        <v/>
      </c>
    </row>
    <row r="3641" spans="3:4" x14ac:dyDescent="0.3">
      <c r="C3641" s="35">
        <f t="shared" si="56"/>
        <v>0</v>
      </c>
      <c r="D3641" s="30" t="str">
        <f>IFERROR(VLOOKUP(C3641,소속부서!$A$2:$B$20,2,FALSE), "")</f>
        <v/>
      </c>
    </row>
    <row r="3642" spans="3:4" x14ac:dyDescent="0.3">
      <c r="C3642" s="35">
        <f t="shared" si="56"/>
        <v>0</v>
      </c>
      <c r="D3642" s="30" t="str">
        <f>IFERROR(VLOOKUP(C3642,소속부서!$A$2:$B$20,2,FALSE), "")</f>
        <v/>
      </c>
    </row>
    <row r="3643" spans="3:4" x14ac:dyDescent="0.3">
      <c r="C3643" s="35">
        <f t="shared" si="56"/>
        <v>0</v>
      </c>
      <c r="D3643" s="30" t="str">
        <f>IFERROR(VLOOKUP(C3643,소속부서!$A$2:$B$20,2,FALSE), "")</f>
        <v/>
      </c>
    </row>
    <row r="3644" spans="3:4" x14ac:dyDescent="0.3">
      <c r="C3644" s="35">
        <f t="shared" si="56"/>
        <v>0</v>
      </c>
      <c r="D3644" s="30" t="str">
        <f>IFERROR(VLOOKUP(C3644,소속부서!$A$2:$B$20,2,FALSE), "")</f>
        <v/>
      </c>
    </row>
    <row r="3645" spans="3:4" x14ac:dyDescent="0.3">
      <c r="C3645" s="35">
        <f t="shared" si="56"/>
        <v>0</v>
      </c>
      <c r="D3645" s="30" t="str">
        <f>IFERROR(VLOOKUP(C3645,소속부서!$A$2:$B$20,2,FALSE), "")</f>
        <v/>
      </c>
    </row>
    <row r="3646" spans="3:4" x14ac:dyDescent="0.3">
      <c r="C3646" s="35">
        <f t="shared" si="56"/>
        <v>0</v>
      </c>
      <c r="D3646" s="30" t="str">
        <f>IFERROR(VLOOKUP(C3646,소속부서!$A$2:$B$20,2,FALSE), "")</f>
        <v/>
      </c>
    </row>
    <row r="3647" spans="3:4" x14ac:dyDescent="0.3">
      <c r="C3647" s="35">
        <f t="shared" si="56"/>
        <v>0</v>
      </c>
      <c r="D3647" s="30" t="str">
        <f>IFERROR(VLOOKUP(C3647,소속부서!$A$2:$B$20,2,FALSE), "")</f>
        <v/>
      </c>
    </row>
    <row r="3648" spans="3:4" x14ac:dyDescent="0.3">
      <c r="C3648" s="35">
        <f t="shared" si="56"/>
        <v>0</v>
      </c>
      <c r="D3648" s="30" t="str">
        <f>IFERROR(VLOOKUP(C3648,소속부서!$A$2:$B$20,2,FALSE), "")</f>
        <v/>
      </c>
    </row>
    <row r="3649" spans="3:4" x14ac:dyDescent="0.3">
      <c r="C3649" s="35">
        <f t="shared" ref="C3649:C3712" si="57">E3649</f>
        <v>0</v>
      </c>
      <c r="D3649" s="30" t="str">
        <f>IFERROR(VLOOKUP(C3649,소속부서!$A$2:$B$20,2,FALSE), "")</f>
        <v/>
      </c>
    </row>
    <row r="3650" spans="3:4" x14ac:dyDescent="0.3">
      <c r="C3650" s="35">
        <f t="shared" si="57"/>
        <v>0</v>
      </c>
      <c r="D3650" s="30" t="str">
        <f>IFERROR(VLOOKUP(C3650,소속부서!$A$2:$B$20,2,FALSE), "")</f>
        <v/>
      </c>
    </row>
    <row r="3651" spans="3:4" x14ac:dyDescent="0.3">
      <c r="C3651" s="35">
        <f t="shared" si="57"/>
        <v>0</v>
      </c>
      <c r="D3651" s="30" t="str">
        <f>IFERROR(VLOOKUP(C3651,소속부서!$A$2:$B$20,2,FALSE), "")</f>
        <v/>
      </c>
    </row>
    <row r="3652" spans="3:4" x14ac:dyDescent="0.3">
      <c r="C3652" s="35">
        <f t="shared" si="57"/>
        <v>0</v>
      </c>
      <c r="D3652" s="30" t="str">
        <f>IFERROR(VLOOKUP(C3652,소속부서!$A$2:$B$20,2,FALSE), "")</f>
        <v/>
      </c>
    </row>
    <row r="3653" spans="3:4" x14ac:dyDescent="0.3">
      <c r="C3653" s="35">
        <f t="shared" si="57"/>
        <v>0</v>
      </c>
      <c r="D3653" s="30" t="str">
        <f>IFERROR(VLOOKUP(C3653,소속부서!$A$2:$B$20,2,FALSE), "")</f>
        <v/>
      </c>
    </row>
    <row r="3654" spans="3:4" x14ac:dyDescent="0.3">
      <c r="C3654" s="35">
        <f t="shared" si="57"/>
        <v>0</v>
      </c>
      <c r="D3654" s="30" t="str">
        <f>IFERROR(VLOOKUP(C3654,소속부서!$A$2:$B$20,2,FALSE), "")</f>
        <v/>
      </c>
    </row>
    <row r="3655" spans="3:4" x14ac:dyDescent="0.3">
      <c r="C3655" s="35">
        <f t="shared" si="57"/>
        <v>0</v>
      </c>
      <c r="D3655" s="30" t="str">
        <f>IFERROR(VLOOKUP(C3655,소속부서!$A$2:$B$20,2,FALSE), "")</f>
        <v/>
      </c>
    </row>
    <row r="3656" spans="3:4" x14ac:dyDescent="0.3">
      <c r="C3656" s="35">
        <f t="shared" si="57"/>
        <v>0</v>
      </c>
      <c r="D3656" s="30" t="str">
        <f>IFERROR(VLOOKUP(C3656,소속부서!$A$2:$B$20,2,FALSE), "")</f>
        <v/>
      </c>
    </row>
    <row r="3657" spans="3:4" x14ac:dyDescent="0.3">
      <c r="C3657" s="35">
        <f t="shared" si="57"/>
        <v>0</v>
      </c>
      <c r="D3657" s="30" t="str">
        <f>IFERROR(VLOOKUP(C3657,소속부서!$A$2:$B$20,2,FALSE), "")</f>
        <v/>
      </c>
    </row>
    <row r="3658" spans="3:4" x14ac:dyDescent="0.3">
      <c r="C3658" s="35">
        <f t="shared" si="57"/>
        <v>0</v>
      </c>
      <c r="D3658" s="30" t="str">
        <f>IFERROR(VLOOKUP(C3658,소속부서!$A$2:$B$20,2,FALSE), "")</f>
        <v/>
      </c>
    </row>
    <row r="3659" spans="3:4" x14ac:dyDescent="0.3">
      <c r="C3659" s="35">
        <f t="shared" si="57"/>
        <v>0</v>
      </c>
      <c r="D3659" s="30" t="str">
        <f>IFERROR(VLOOKUP(C3659,소속부서!$A$2:$B$20,2,FALSE), "")</f>
        <v/>
      </c>
    </row>
    <row r="3660" spans="3:4" x14ac:dyDescent="0.3">
      <c r="C3660" s="35">
        <f t="shared" si="57"/>
        <v>0</v>
      </c>
      <c r="D3660" s="30" t="str">
        <f>IFERROR(VLOOKUP(C3660,소속부서!$A$2:$B$20,2,FALSE), "")</f>
        <v/>
      </c>
    </row>
    <row r="3661" spans="3:4" x14ac:dyDescent="0.3">
      <c r="C3661" s="35">
        <f t="shared" si="57"/>
        <v>0</v>
      </c>
      <c r="D3661" s="30" t="str">
        <f>IFERROR(VLOOKUP(C3661,소속부서!$A$2:$B$20,2,FALSE), "")</f>
        <v/>
      </c>
    </row>
    <row r="3662" spans="3:4" x14ac:dyDescent="0.3">
      <c r="C3662" s="35">
        <f t="shared" si="57"/>
        <v>0</v>
      </c>
      <c r="D3662" s="30" t="str">
        <f>IFERROR(VLOOKUP(C3662,소속부서!$A$2:$B$20,2,FALSE), "")</f>
        <v/>
      </c>
    </row>
    <row r="3663" spans="3:4" x14ac:dyDescent="0.3">
      <c r="C3663" s="35">
        <f t="shared" si="57"/>
        <v>0</v>
      </c>
      <c r="D3663" s="30" t="str">
        <f>IFERROR(VLOOKUP(C3663,소속부서!$A$2:$B$20,2,FALSE), "")</f>
        <v/>
      </c>
    </row>
    <row r="3664" spans="3:4" x14ac:dyDescent="0.3">
      <c r="C3664" s="35">
        <f t="shared" si="57"/>
        <v>0</v>
      </c>
      <c r="D3664" s="30" t="str">
        <f>IFERROR(VLOOKUP(C3664,소속부서!$A$2:$B$20,2,FALSE), "")</f>
        <v/>
      </c>
    </row>
    <row r="3665" spans="3:4" x14ac:dyDescent="0.3">
      <c r="C3665" s="35">
        <f t="shared" si="57"/>
        <v>0</v>
      </c>
      <c r="D3665" s="30" t="str">
        <f>IFERROR(VLOOKUP(C3665,소속부서!$A$2:$B$20,2,FALSE), "")</f>
        <v/>
      </c>
    </row>
    <row r="3666" spans="3:4" x14ac:dyDescent="0.3">
      <c r="C3666" s="35">
        <f t="shared" si="57"/>
        <v>0</v>
      </c>
      <c r="D3666" s="30" t="str">
        <f>IFERROR(VLOOKUP(C3666,소속부서!$A$2:$B$20,2,FALSE), "")</f>
        <v/>
      </c>
    </row>
    <row r="3667" spans="3:4" x14ac:dyDescent="0.3">
      <c r="C3667" s="35">
        <f t="shared" si="57"/>
        <v>0</v>
      </c>
      <c r="D3667" s="30" t="str">
        <f>IFERROR(VLOOKUP(C3667,소속부서!$A$2:$B$20,2,FALSE), "")</f>
        <v/>
      </c>
    </row>
    <row r="3668" spans="3:4" x14ac:dyDescent="0.3">
      <c r="C3668" s="35">
        <f t="shared" si="57"/>
        <v>0</v>
      </c>
      <c r="D3668" s="30" t="str">
        <f>IFERROR(VLOOKUP(C3668,소속부서!$A$2:$B$20,2,FALSE), "")</f>
        <v/>
      </c>
    </row>
    <row r="3669" spans="3:4" x14ac:dyDescent="0.3">
      <c r="C3669" s="35">
        <f t="shared" si="57"/>
        <v>0</v>
      </c>
      <c r="D3669" s="30" t="str">
        <f>IFERROR(VLOOKUP(C3669,소속부서!$A$2:$B$20,2,FALSE), "")</f>
        <v/>
      </c>
    </row>
    <row r="3670" spans="3:4" x14ac:dyDescent="0.3">
      <c r="C3670" s="35">
        <f t="shared" si="57"/>
        <v>0</v>
      </c>
      <c r="D3670" s="30" t="str">
        <f>IFERROR(VLOOKUP(C3670,소속부서!$A$2:$B$20,2,FALSE), "")</f>
        <v/>
      </c>
    </row>
    <row r="3671" spans="3:4" x14ac:dyDescent="0.3">
      <c r="C3671" s="35">
        <f t="shared" si="57"/>
        <v>0</v>
      </c>
      <c r="D3671" s="30" t="str">
        <f>IFERROR(VLOOKUP(C3671,소속부서!$A$2:$B$20,2,FALSE), "")</f>
        <v/>
      </c>
    </row>
    <row r="3672" spans="3:4" x14ac:dyDescent="0.3">
      <c r="C3672" s="35">
        <f t="shared" si="57"/>
        <v>0</v>
      </c>
      <c r="D3672" s="30" t="str">
        <f>IFERROR(VLOOKUP(C3672,소속부서!$A$2:$B$20,2,FALSE), "")</f>
        <v/>
      </c>
    </row>
    <row r="3673" spans="3:4" x14ac:dyDescent="0.3">
      <c r="C3673" s="35">
        <f t="shared" si="57"/>
        <v>0</v>
      </c>
      <c r="D3673" s="30" t="str">
        <f>IFERROR(VLOOKUP(C3673,소속부서!$A$2:$B$20,2,FALSE), "")</f>
        <v/>
      </c>
    </row>
    <row r="3674" spans="3:4" x14ac:dyDescent="0.3">
      <c r="C3674" s="35">
        <f t="shared" si="57"/>
        <v>0</v>
      </c>
      <c r="D3674" s="30" t="str">
        <f>IFERROR(VLOOKUP(C3674,소속부서!$A$2:$B$20,2,FALSE), "")</f>
        <v/>
      </c>
    </row>
    <row r="3675" spans="3:4" x14ac:dyDescent="0.3">
      <c r="C3675" s="35">
        <f t="shared" si="57"/>
        <v>0</v>
      </c>
      <c r="D3675" s="30" t="str">
        <f>IFERROR(VLOOKUP(C3675,소속부서!$A$2:$B$20,2,FALSE), "")</f>
        <v/>
      </c>
    </row>
    <row r="3676" spans="3:4" x14ac:dyDescent="0.3">
      <c r="C3676" s="35">
        <f t="shared" si="57"/>
        <v>0</v>
      </c>
      <c r="D3676" s="30" t="str">
        <f>IFERROR(VLOOKUP(C3676,소속부서!$A$2:$B$20,2,FALSE), "")</f>
        <v/>
      </c>
    </row>
    <row r="3677" spans="3:4" x14ac:dyDescent="0.3">
      <c r="C3677" s="35">
        <f t="shared" si="57"/>
        <v>0</v>
      </c>
      <c r="D3677" s="30" t="str">
        <f>IFERROR(VLOOKUP(C3677,소속부서!$A$2:$B$20,2,FALSE), "")</f>
        <v/>
      </c>
    </row>
    <row r="3678" spans="3:4" x14ac:dyDescent="0.3">
      <c r="C3678" s="35">
        <f t="shared" si="57"/>
        <v>0</v>
      </c>
      <c r="D3678" s="30" t="str">
        <f>IFERROR(VLOOKUP(C3678,소속부서!$A$2:$B$20,2,FALSE), "")</f>
        <v/>
      </c>
    </row>
    <row r="3679" spans="3:4" x14ac:dyDescent="0.3">
      <c r="C3679" s="35">
        <f t="shared" si="57"/>
        <v>0</v>
      </c>
      <c r="D3679" s="30" t="str">
        <f>IFERROR(VLOOKUP(C3679,소속부서!$A$2:$B$20,2,FALSE), "")</f>
        <v/>
      </c>
    </row>
    <row r="3680" spans="3:4" x14ac:dyDescent="0.3">
      <c r="C3680" s="35">
        <f t="shared" si="57"/>
        <v>0</v>
      </c>
      <c r="D3680" s="30" t="str">
        <f>IFERROR(VLOOKUP(C3680,소속부서!$A$2:$B$20,2,FALSE), "")</f>
        <v/>
      </c>
    </row>
    <row r="3681" spans="3:4" x14ac:dyDescent="0.3">
      <c r="C3681" s="35">
        <f t="shared" si="57"/>
        <v>0</v>
      </c>
      <c r="D3681" s="30" t="str">
        <f>IFERROR(VLOOKUP(C3681,소속부서!$A$2:$B$20,2,FALSE), "")</f>
        <v/>
      </c>
    </row>
    <row r="3682" spans="3:4" x14ac:dyDescent="0.3">
      <c r="C3682" s="35">
        <f t="shared" si="57"/>
        <v>0</v>
      </c>
      <c r="D3682" s="30" t="str">
        <f>IFERROR(VLOOKUP(C3682,소속부서!$A$2:$B$20,2,FALSE), "")</f>
        <v/>
      </c>
    </row>
    <row r="3683" spans="3:4" x14ac:dyDescent="0.3">
      <c r="C3683" s="35">
        <f t="shared" si="57"/>
        <v>0</v>
      </c>
      <c r="D3683" s="30" t="str">
        <f>IFERROR(VLOOKUP(C3683,소속부서!$A$2:$B$20,2,FALSE), "")</f>
        <v/>
      </c>
    </row>
    <row r="3684" spans="3:4" x14ac:dyDescent="0.3">
      <c r="C3684" s="35">
        <f t="shared" si="57"/>
        <v>0</v>
      </c>
      <c r="D3684" s="30" t="str">
        <f>IFERROR(VLOOKUP(C3684,소속부서!$A$2:$B$20,2,FALSE), "")</f>
        <v/>
      </c>
    </row>
    <row r="3685" spans="3:4" x14ac:dyDescent="0.3">
      <c r="C3685" s="35">
        <f t="shared" si="57"/>
        <v>0</v>
      </c>
      <c r="D3685" s="30" t="str">
        <f>IFERROR(VLOOKUP(C3685,소속부서!$A$2:$B$20,2,FALSE), "")</f>
        <v/>
      </c>
    </row>
    <row r="3686" spans="3:4" x14ac:dyDescent="0.3">
      <c r="C3686" s="35">
        <f t="shared" si="57"/>
        <v>0</v>
      </c>
      <c r="D3686" s="30" t="str">
        <f>IFERROR(VLOOKUP(C3686,소속부서!$A$2:$B$20,2,FALSE), "")</f>
        <v/>
      </c>
    </row>
    <row r="3687" spans="3:4" x14ac:dyDescent="0.3">
      <c r="C3687" s="35">
        <f t="shared" si="57"/>
        <v>0</v>
      </c>
      <c r="D3687" s="30" t="str">
        <f>IFERROR(VLOOKUP(C3687,소속부서!$A$2:$B$20,2,FALSE), "")</f>
        <v/>
      </c>
    </row>
    <row r="3688" spans="3:4" x14ac:dyDescent="0.3">
      <c r="C3688" s="35">
        <f t="shared" si="57"/>
        <v>0</v>
      </c>
      <c r="D3688" s="30" t="str">
        <f>IFERROR(VLOOKUP(C3688,소속부서!$A$2:$B$20,2,FALSE), "")</f>
        <v/>
      </c>
    </row>
    <row r="3689" spans="3:4" x14ac:dyDescent="0.3">
      <c r="C3689" s="35">
        <f t="shared" si="57"/>
        <v>0</v>
      </c>
      <c r="D3689" s="30" t="str">
        <f>IFERROR(VLOOKUP(C3689,소속부서!$A$2:$B$20,2,FALSE), "")</f>
        <v/>
      </c>
    </row>
    <row r="3690" spans="3:4" x14ac:dyDescent="0.3">
      <c r="C3690" s="35">
        <f t="shared" si="57"/>
        <v>0</v>
      </c>
      <c r="D3690" s="30" t="str">
        <f>IFERROR(VLOOKUP(C3690,소속부서!$A$2:$B$20,2,FALSE), "")</f>
        <v/>
      </c>
    </row>
    <row r="3691" spans="3:4" x14ac:dyDescent="0.3">
      <c r="C3691" s="35">
        <f t="shared" si="57"/>
        <v>0</v>
      </c>
      <c r="D3691" s="30" t="str">
        <f>IFERROR(VLOOKUP(C3691,소속부서!$A$2:$B$20,2,FALSE), "")</f>
        <v/>
      </c>
    </row>
    <row r="3692" spans="3:4" x14ac:dyDescent="0.3">
      <c r="C3692" s="35">
        <f t="shared" si="57"/>
        <v>0</v>
      </c>
      <c r="D3692" s="30" t="str">
        <f>IFERROR(VLOOKUP(C3692,소속부서!$A$2:$B$20,2,FALSE), "")</f>
        <v/>
      </c>
    </row>
    <row r="3693" spans="3:4" x14ac:dyDescent="0.3">
      <c r="C3693" s="35">
        <f t="shared" si="57"/>
        <v>0</v>
      </c>
      <c r="D3693" s="30" t="str">
        <f>IFERROR(VLOOKUP(C3693,소속부서!$A$2:$B$20,2,FALSE), "")</f>
        <v/>
      </c>
    </row>
    <row r="3694" spans="3:4" x14ac:dyDescent="0.3">
      <c r="C3694" s="35">
        <f t="shared" si="57"/>
        <v>0</v>
      </c>
      <c r="D3694" s="30" t="str">
        <f>IFERROR(VLOOKUP(C3694,소속부서!$A$2:$B$20,2,FALSE), "")</f>
        <v/>
      </c>
    </row>
    <row r="3695" spans="3:4" x14ac:dyDescent="0.3">
      <c r="C3695" s="35">
        <f t="shared" si="57"/>
        <v>0</v>
      </c>
      <c r="D3695" s="30" t="str">
        <f>IFERROR(VLOOKUP(C3695,소속부서!$A$2:$B$20,2,FALSE), "")</f>
        <v/>
      </c>
    </row>
    <row r="3696" spans="3:4" x14ac:dyDescent="0.3">
      <c r="C3696" s="35">
        <f t="shared" si="57"/>
        <v>0</v>
      </c>
      <c r="D3696" s="30" t="str">
        <f>IFERROR(VLOOKUP(C3696,소속부서!$A$2:$B$20,2,FALSE), "")</f>
        <v/>
      </c>
    </row>
    <row r="3697" spans="3:4" x14ac:dyDescent="0.3">
      <c r="C3697" s="35">
        <f t="shared" si="57"/>
        <v>0</v>
      </c>
      <c r="D3697" s="30" t="str">
        <f>IFERROR(VLOOKUP(C3697,소속부서!$A$2:$B$20,2,FALSE), "")</f>
        <v/>
      </c>
    </row>
    <row r="3698" spans="3:4" x14ac:dyDescent="0.3">
      <c r="C3698" s="35">
        <f t="shared" si="57"/>
        <v>0</v>
      </c>
      <c r="D3698" s="30" t="str">
        <f>IFERROR(VLOOKUP(C3698,소속부서!$A$2:$B$20,2,FALSE), "")</f>
        <v/>
      </c>
    </row>
    <row r="3699" spans="3:4" x14ac:dyDescent="0.3">
      <c r="C3699" s="35">
        <f t="shared" si="57"/>
        <v>0</v>
      </c>
      <c r="D3699" s="30" t="str">
        <f>IFERROR(VLOOKUP(C3699,소속부서!$A$2:$B$20,2,FALSE), "")</f>
        <v/>
      </c>
    </row>
    <row r="3700" spans="3:4" x14ac:dyDescent="0.3">
      <c r="C3700" s="35">
        <f t="shared" si="57"/>
        <v>0</v>
      </c>
      <c r="D3700" s="30" t="str">
        <f>IFERROR(VLOOKUP(C3700,소속부서!$A$2:$B$20,2,FALSE), "")</f>
        <v/>
      </c>
    </row>
    <row r="3701" spans="3:4" x14ac:dyDescent="0.3">
      <c r="C3701" s="35">
        <f t="shared" si="57"/>
        <v>0</v>
      </c>
      <c r="D3701" s="30" t="str">
        <f>IFERROR(VLOOKUP(C3701,소속부서!$A$2:$B$20,2,FALSE), "")</f>
        <v/>
      </c>
    </row>
    <row r="3702" spans="3:4" x14ac:dyDescent="0.3">
      <c r="C3702" s="35">
        <f t="shared" si="57"/>
        <v>0</v>
      </c>
      <c r="D3702" s="30" t="str">
        <f>IFERROR(VLOOKUP(C3702,소속부서!$A$2:$B$20,2,FALSE), "")</f>
        <v/>
      </c>
    </row>
    <row r="3703" spans="3:4" x14ac:dyDescent="0.3">
      <c r="C3703" s="35">
        <f t="shared" si="57"/>
        <v>0</v>
      </c>
      <c r="D3703" s="30" t="str">
        <f>IFERROR(VLOOKUP(C3703,소속부서!$A$2:$B$20,2,FALSE), "")</f>
        <v/>
      </c>
    </row>
    <row r="3704" spans="3:4" x14ac:dyDescent="0.3">
      <c r="C3704" s="35">
        <f t="shared" si="57"/>
        <v>0</v>
      </c>
      <c r="D3704" s="30" t="str">
        <f>IFERROR(VLOOKUP(C3704,소속부서!$A$2:$B$20,2,FALSE), "")</f>
        <v/>
      </c>
    </row>
    <row r="3705" spans="3:4" x14ac:dyDescent="0.3">
      <c r="C3705" s="35">
        <f t="shared" si="57"/>
        <v>0</v>
      </c>
      <c r="D3705" s="30" t="str">
        <f>IFERROR(VLOOKUP(C3705,소속부서!$A$2:$B$20,2,FALSE), "")</f>
        <v/>
      </c>
    </row>
    <row r="3706" spans="3:4" x14ac:dyDescent="0.3">
      <c r="C3706" s="35">
        <f t="shared" si="57"/>
        <v>0</v>
      </c>
      <c r="D3706" s="30" t="str">
        <f>IFERROR(VLOOKUP(C3706,소속부서!$A$2:$B$20,2,FALSE), "")</f>
        <v/>
      </c>
    </row>
    <row r="3707" spans="3:4" x14ac:dyDescent="0.3">
      <c r="C3707" s="35">
        <f t="shared" si="57"/>
        <v>0</v>
      </c>
      <c r="D3707" s="30" t="str">
        <f>IFERROR(VLOOKUP(C3707,소속부서!$A$2:$B$20,2,FALSE), "")</f>
        <v/>
      </c>
    </row>
    <row r="3708" spans="3:4" x14ac:dyDescent="0.3">
      <c r="C3708" s="35">
        <f t="shared" si="57"/>
        <v>0</v>
      </c>
      <c r="D3708" s="30" t="str">
        <f>IFERROR(VLOOKUP(C3708,소속부서!$A$2:$B$20,2,FALSE), "")</f>
        <v/>
      </c>
    </row>
    <row r="3709" spans="3:4" x14ac:dyDescent="0.3">
      <c r="C3709" s="35">
        <f t="shared" si="57"/>
        <v>0</v>
      </c>
      <c r="D3709" s="30" t="str">
        <f>IFERROR(VLOOKUP(C3709,소속부서!$A$2:$B$20,2,FALSE), "")</f>
        <v/>
      </c>
    </row>
    <row r="3710" spans="3:4" x14ac:dyDescent="0.3">
      <c r="C3710" s="35">
        <f t="shared" si="57"/>
        <v>0</v>
      </c>
      <c r="D3710" s="30" t="str">
        <f>IFERROR(VLOOKUP(C3710,소속부서!$A$2:$B$20,2,FALSE), "")</f>
        <v/>
      </c>
    </row>
    <row r="3711" spans="3:4" x14ac:dyDescent="0.3">
      <c r="C3711" s="35">
        <f t="shared" si="57"/>
        <v>0</v>
      </c>
      <c r="D3711" s="30" t="str">
        <f>IFERROR(VLOOKUP(C3711,소속부서!$A$2:$B$20,2,FALSE), "")</f>
        <v/>
      </c>
    </row>
    <row r="3712" spans="3:4" x14ac:dyDescent="0.3">
      <c r="C3712" s="35">
        <f t="shared" si="57"/>
        <v>0</v>
      </c>
      <c r="D3712" s="30" t="str">
        <f>IFERROR(VLOOKUP(C3712,소속부서!$A$2:$B$20,2,FALSE), "")</f>
        <v/>
      </c>
    </row>
    <row r="3713" spans="3:4" x14ac:dyDescent="0.3">
      <c r="C3713" s="35">
        <f t="shared" ref="C3713:C3776" si="58">E3713</f>
        <v>0</v>
      </c>
      <c r="D3713" s="30" t="str">
        <f>IFERROR(VLOOKUP(C3713,소속부서!$A$2:$B$20,2,FALSE), "")</f>
        <v/>
      </c>
    </row>
    <row r="3714" spans="3:4" x14ac:dyDescent="0.3">
      <c r="C3714" s="35">
        <f t="shared" si="58"/>
        <v>0</v>
      </c>
      <c r="D3714" s="30" t="str">
        <f>IFERROR(VLOOKUP(C3714,소속부서!$A$2:$B$20,2,FALSE), "")</f>
        <v/>
      </c>
    </row>
    <row r="3715" spans="3:4" x14ac:dyDescent="0.3">
      <c r="C3715" s="35">
        <f t="shared" si="58"/>
        <v>0</v>
      </c>
      <c r="D3715" s="30" t="str">
        <f>IFERROR(VLOOKUP(C3715,소속부서!$A$2:$B$20,2,FALSE), "")</f>
        <v/>
      </c>
    </row>
    <row r="3716" spans="3:4" x14ac:dyDescent="0.3">
      <c r="C3716" s="35">
        <f t="shared" si="58"/>
        <v>0</v>
      </c>
      <c r="D3716" s="30" t="str">
        <f>IFERROR(VLOOKUP(C3716,소속부서!$A$2:$B$20,2,FALSE), "")</f>
        <v/>
      </c>
    </row>
    <row r="3717" spans="3:4" x14ac:dyDescent="0.3">
      <c r="C3717" s="35">
        <f t="shared" si="58"/>
        <v>0</v>
      </c>
      <c r="D3717" s="30" t="str">
        <f>IFERROR(VLOOKUP(C3717,소속부서!$A$2:$B$20,2,FALSE), "")</f>
        <v/>
      </c>
    </row>
    <row r="3718" spans="3:4" x14ac:dyDescent="0.3">
      <c r="C3718" s="35">
        <f t="shared" si="58"/>
        <v>0</v>
      </c>
      <c r="D3718" s="30" t="str">
        <f>IFERROR(VLOOKUP(C3718,소속부서!$A$2:$B$20,2,FALSE), "")</f>
        <v/>
      </c>
    </row>
    <row r="3719" spans="3:4" x14ac:dyDescent="0.3">
      <c r="C3719" s="35">
        <f t="shared" si="58"/>
        <v>0</v>
      </c>
      <c r="D3719" s="30" t="str">
        <f>IFERROR(VLOOKUP(C3719,소속부서!$A$2:$B$20,2,FALSE), "")</f>
        <v/>
      </c>
    </row>
    <row r="3720" spans="3:4" x14ac:dyDescent="0.3">
      <c r="C3720" s="35">
        <f t="shared" si="58"/>
        <v>0</v>
      </c>
      <c r="D3720" s="30" t="str">
        <f>IFERROR(VLOOKUP(C3720,소속부서!$A$2:$B$20,2,FALSE), "")</f>
        <v/>
      </c>
    </row>
    <row r="3721" spans="3:4" x14ac:dyDescent="0.3">
      <c r="C3721" s="35">
        <f t="shared" si="58"/>
        <v>0</v>
      </c>
      <c r="D3721" s="30" t="str">
        <f>IFERROR(VLOOKUP(C3721,소속부서!$A$2:$B$20,2,FALSE), "")</f>
        <v/>
      </c>
    </row>
    <row r="3722" spans="3:4" x14ac:dyDescent="0.3">
      <c r="C3722" s="35">
        <f t="shared" si="58"/>
        <v>0</v>
      </c>
      <c r="D3722" s="30" t="str">
        <f>IFERROR(VLOOKUP(C3722,소속부서!$A$2:$B$20,2,FALSE), "")</f>
        <v/>
      </c>
    </row>
    <row r="3723" spans="3:4" x14ac:dyDescent="0.3">
      <c r="C3723" s="35">
        <f t="shared" si="58"/>
        <v>0</v>
      </c>
      <c r="D3723" s="30" t="str">
        <f>IFERROR(VLOOKUP(C3723,소속부서!$A$2:$B$20,2,FALSE), "")</f>
        <v/>
      </c>
    </row>
    <row r="3724" spans="3:4" x14ac:dyDescent="0.3">
      <c r="C3724" s="35">
        <f t="shared" si="58"/>
        <v>0</v>
      </c>
      <c r="D3724" s="30" t="str">
        <f>IFERROR(VLOOKUP(C3724,소속부서!$A$2:$B$20,2,FALSE), "")</f>
        <v/>
      </c>
    </row>
    <row r="3725" spans="3:4" x14ac:dyDescent="0.3">
      <c r="C3725" s="35">
        <f t="shared" si="58"/>
        <v>0</v>
      </c>
      <c r="D3725" s="30" t="str">
        <f>IFERROR(VLOOKUP(C3725,소속부서!$A$2:$B$20,2,FALSE), "")</f>
        <v/>
      </c>
    </row>
    <row r="3726" spans="3:4" x14ac:dyDescent="0.3">
      <c r="C3726" s="35">
        <f t="shared" si="58"/>
        <v>0</v>
      </c>
      <c r="D3726" s="30" t="str">
        <f>IFERROR(VLOOKUP(C3726,소속부서!$A$2:$B$20,2,FALSE), "")</f>
        <v/>
      </c>
    </row>
    <row r="3727" spans="3:4" x14ac:dyDescent="0.3">
      <c r="C3727" s="35">
        <f t="shared" si="58"/>
        <v>0</v>
      </c>
      <c r="D3727" s="30" t="str">
        <f>IFERROR(VLOOKUP(C3727,소속부서!$A$2:$B$20,2,FALSE), "")</f>
        <v/>
      </c>
    </row>
    <row r="3728" spans="3:4" x14ac:dyDescent="0.3">
      <c r="C3728" s="35">
        <f t="shared" si="58"/>
        <v>0</v>
      </c>
      <c r="D3728" s="30" t="str">
        <f>IFERROR(VLOOKUP(C3728,소속부서!$A$2:$B$20,2,FALSE), "")</f>
        <v/>
      </c>
    </row>
    <row r="3729" spans="3:4" x14ac:dyDescent="0.3">
      <c r="C3729" s="35">
        <f t="shared" si="58"/>
        <v>0</v>
      </c>
      <c r="D3729" s="30" t="str">
        <f>IFERROR(VLOOKUP(C3729,소속부서!$A$2:$B$20,2,FALSE), "")</f>
        <v/>
      </c>
    </row>
    <row r="3730" spans="3:4" x14ac:dyDescent="0.3">
      <c r="C3730" s="35">
        <f t="shared" si="58"/>
        <v>0</v>
      </c>
      <c r="D3730" s="30" t="str">
        <f>IFERROR(VLOOKUP(C3730,소속부서!$A$2:$B$20,2,FALSE), "")</f>
        <v/>
      </c>
    </row>
    <row r="3731" spans="3:4" x14ac:dyDescent="0.3">
      <c r="C3731" s="35">
        <f t="shared" si="58"/>
        <v>0</v>
      </c>
      <c r="D3731" s="30" t="str">
        <f>IFERROR(VLOOKUP(C3731,소속부서!$A$2:$B$20,2,FALSE), "")</f>
        <v/>
      </c>
    </row>
    <row r="3732" spans="3:4" x14ac:dyDescent="0.3">
      <c r="C3732" s="35">
        <f t="shared" si="58"/>
        <v>0</v>
      </c>
      <c r="D3732" s="30" t="str">
        <f>IFERROR(VLOOKUP(C3732,소속부서!$A$2:$B$20,2,FALSE), "")</f>
        <v/>
      </c>
    </row>
    <row r="3733" spans="3:4" x14ac:dyDescent="0.3">
      <c r="C3733" s="35">
        <f t="shared" si="58"/>
        <v>0</v>
      </c>
      <c r="D3733" s="30" t="str">
        <f>IFERROR(VLOOKUP(C3733,소속부서!$A$2:$B$20,2,FALSE), "")</f>
        <v/>
      </c>
    </row>
    <row r="3734" spans="3:4" x14ac:dyDescent="0.3">
      <c r="C3734" s="35">
        <f t="shared" si="58"/>
        <v>0</v>
      </c>
      <c r="D3734" s="30" t="str">
        <f>IFERROR(VLOOKUP(C3734,소속부서!$A$2:$B$20,2,FALSE), "")</f>
        <v/>
      </c>
    </row>
    <row r="3735" spans="3:4" x14ac:dyDescent="0.3">
      <c r="C3735" s="35">
        <f t="shared" si="58"/>
        <v>0</v>
      </c>
      <c r="D3735" s="30" t="str">
        <f>IFERROR(VLOOKUP(C3735,소속부서!$A$2:$B$20,2,FALSE), "")</f>
        <v/>
      </c>
    </row>
    <row r="3736" spans="3:4" x14ac:dyDescent="0.3">
      <c r="C3736" s="35">
        <f t="shared" si="58"/>
        <v>0</v>
      </c>
      <c r="D3736" s="30" t="str">
        <f>IFERROR(VLOOKUP(C3736,소속부서!$A$2:$B$20,2,FALSE), "")</f>
        <v/>
      </c>
    </row>
    <row r="3737" spans="3:4" x14ac:dyDescent="0.3">
      <c r="C3737" s="35">
        <f t="shared" si="58"/>
        <v>0</v>
      </c>
      <c r="D3737" s="30" t="str">
        <f>IFERROR(VLOOKUP(C3737,소속부서!$A$2:$B$20,2,FALSE), "")</f>
        <v/>
      </c>
    </row>
    <row r="3738" spans="3:4" x14ac:dyDescent="0.3">
      <c r="C3738" s="35">
        <f t="shared" si="58"/>
        <v>0</v>
      </c>
      <c r="D3738" s="30" t="str">
        <f>IFERROR(VLOOKUP(C3738,소속부서!$A$2:$B$20,2,FALSE), "")</f>
        <v/>
      </c>
    </row>
    <row r="3739" spans="3:4" x14ac:dyDescent="0.3">
      <c r="C3739" s="35">
        <f t="shared" si="58"/>
        <v>0</v>
      </c>
      <c r="D3739" s="30" t="str">
        <f>IFERROR(VLOOKUP(C3739,소속부서!$A$2:$B$20,2,FALSE), "")</f>
        <v/>
      </c>
    </row>
    <row r="3740" spans="3:4" x14ac:dyDescent="0.3">
      <c r="C3740" s="35">
        <f t="shared" si="58"/>
        <v>0</v>
      </c>
      <c r="D3740" s="30" t="str">
        <f>IFERROR(VLOOKUP(C3740,소속부서!$A$2:$B$20,2,FALSE), "")</f>
        <v/>
      </c>
    </row>
    <row r="3741" spans="3:4" x14ac:dyDescent="0.3">
      <c r="C3741" s="35">
        <f t="shared" si="58"/>
        <v>0</v>
      </c>
      <c r="D3741" s="30" t="str">
        <f>IFERROR(VLOOKUP(C3741,소속부서!$A$2:$B$20,2,FALSE), "")</f>
        <v/>
      </c>
    </row>
    <row r="3742" spans="3:4" x14ac:dyDescent="0.3">
      <c r="C3742" s="35">
        <f t="shared" si="58"/>
        <v>0</v>
      </c>
      <c r="D3742" s="30" t="str">
        <f>IFERROR(VLOOKUP(C3742,소속부서!$A$2:$B$20,2,FALSE), "")</f>
        <v/>
      </c>
    </row>
    <row r="3743" spans="3:4" x14ac:dyDescent="0.3">
      <c r="C3743" s="35">
        <f t="shared" si="58"/>
        <v>0</v>
      </c>
      <c r="D3743" s="30" t="str">
        <f>IFERROR(VLOOKUP(C3743,소속부서!$A$2:$B$20,2,FALSE), "")</f>
        <v/>
      </c>
    </row>
    <row r="3744" spans="3:4" x14ac:dyDescent="0.3">
      <c r="C3744" s="35">
        <f t="shared" si="58"/>
        <v>0</v>
      </c>
      <c r="D3744" s="30" t="str">
        <f>IFERROR(VLOOKUP(C3744,소속부서!$A$2:$B$20,2,FALSE), "")</f>
        <v/>
      </c>
    </row>
    <row r="3745" spans="3:4" x14ac:dyDescent="0.3">
      <c r="C3745" s="35">
        <f t="shared" si="58"/>
        <v>0</v>
      </c>
      <c r="D3745" s="30" t="str">
        <f>IFERROR(VLOOKUP(C3745,소속부서!$A$2:$B$20,2,FALSE), "")</f>
        <v/>
      </c>
    </row>
    <row r="3746" spans="3:4" x14ac:dyDescent="0.3">
      <c r="C3746" s="35">
        <f t="shared" si="58"/>
        <v>0</v>
      </c>
      <c r="D3746" s="30" t="str">
        <f>IFERROR(VLOOKUP(C3746,소속부서!$A$2:$B$20,2,FALSE), "")</f>
        <v/>
      </c>
    </row>
    <row r="3747" spans="3:4" x14ac:dyDescent="0.3">
      <c r="C3747" s="35">
        <f t="shared" si="58"/>
        <v>0</v>
      </c>
      <c r="D3747" s="30" t="str">
        <f>IFERROR(VLOOKUP(C3747,소속부서!$A$2:$B$20,2,FALSE), "")</f>
        <v/>
      </c>
    </row>
    <row r="3748" spans="3:4" x14ac:dyDescent="0.3">
      <c r="C3748" s="35">
        <f t="shared" si="58"/>
        <v>0</v>
      </c>
      <c r="D3748" s="30" t="str">
        <f>IFERROR(VLOOKUP(C3748,소속부서!$A$2:$B$20,2,FALSE), "")</f>
        <v/>
      </c>
    </row>
    <row r="3749" spans="3:4" x14ac:dyDescent="0.3">
      <c r="C3749" s="35">
        <f t="shared" si="58"/>
        <v>0</v>
      </c>
      <c r="D3749" s="30" t="str">
        <f>IFERROR(VLOOKUP(C3749,소속부서!$A$2:$B$20,2,FALSE), "")</f>
        <v/>
      </c>
    </row>
    <row r="3750" spans="3:4" x14ac:dyDescent="0.3">
      <c r="C3750" s="35">
        <f t="shared" si="58"/>
        <v>0</v>
      </c>
      <c r="D3750" s="30" t="str">
        <f>IFERROR(VLOOKUP(C3750,소속부서!$A$2:$B$20,2,FALSE), "")</f>
        <v/>
      </c>
    </row>
    <row r="3751" spans="3:4" x14ac:dyDescent="0.3">
      <c r="C3751" s="35">
        <f t="shared" si="58"/>
        <v>0</v>
      </c>
      <c r="D3751" s="30" t="str">
        <f>IFERROR(VLOOKUP(C3751,소속부서!$A$2:$B$20,2,FALSE), "")</f>
        <v/>
      </c>
    </row>
    <row r="3752" spans="3:4" x14ac:dyDescent="0.3">
      <c r="C3752" s="35">
        <f t="shared" si="58"/>
        <v>0</v>
      </c>
      <c r="D3752" s="30" t="str">
        <f>IFERROR(VLOOKUP(C3752,소속부서!$A$2:$B$20,2,FALSE), "")</f>
        <v/>
      </c>
    </row>
    <row r="3753" spans="3:4" x14ac:dyDescent="0.3">
      <c r="C3753" s="35">
        <f t="shared" si="58"/>
        <v>0</v>
      </c>
      <c r="D3753" s="30" t="str">
        <f>IFERROR(VLOOKUP(C3753,소속부서!$A$2:$B$20,2,FALSE), "")</f>
        <v/>
      </c>
    </row>
    <row r="3754" spans="3:4" x14ac:dyDescent="0.3">
      <c r="C3754" s="35">
        <f t="shared" si="58"/>
        <v>0</v>
      </c>
      <c r="D3754" s="30" t="str">
        <f>IFERROR(VLOOKUP(C3754,소속부서!$A$2:$B$20,2,FALSE), "")</f>
        <v/>
      </c>
    </row>
    <row r="3755" spans="3:4" x14ac:dyDescent="0.3">
      <c r="C3755" s="35">
        <f t="shared" si="58"/>
        <v>0</v>
      </c>
      <c r="D3755" s="30" t="str">
        <f>IFERROR(VLOOKUP(C3755,소속부서!$A$2:$B$20,2,FALSE), "")</f>
        <v/>
      </c>
    </row>
    <row r="3756" spans="3:4" x14ac:dyDescent="0.3">
      <c r="C3756" s="35">
        <f t="shared" si="58"/>
        <v>0</v>
      </c>
      <c r="D3756" s="30" t="str">
        <f>IFERROR(VLOOKUP(C3756,소속부서!$A$2:$B$20,2,FALSE), "")</f>
        <v/>
      </c>
    </row>
    <row r="3757" spans="3:4" x14ac:dyDescent="0.3">
      <c r="C3757" s="35">
        <f t="shared" si="58"/>
        <v>0</v>
      </c>
      <c r="D3757" s="30" t="str">
        <f>IFERROR(VLOOKUP(C3757,소속부서!$A$2:$B$20,2,FALSE), "")</f>
        <v/>
      </c>
    </row>
    <row r="3758" spans="3:4" x14ac:dyDescent="0.3">
      <c r="C3758" s="35">
        <f t="shared" si="58"/>
        <v>0</v>
      </c>
      <c r="D3758" s="30" t="str">
        <f>IFERROR(VLOOKUP(C3758,소속부서!$A$2:$B$20,2,FALSE), "")</f>
        <v/>
      </c>
    </row>
    <row r="3759" spans="3:4" x14ac:dyDescent="0.3">
      <c r="C3759" s="35">
        <f t="shared" si="58"/>
        <v>0</v>
      </c>
      <c r="D3759" s="30" t="str">
        <f>IFERROR(VLOOKUP(C3759,소속부서!$A$2:$B$20,2,FALSE), "")</f>
        <v/>
      </c>
    </row>
    <row r="3760" spans="3:4" x14ac:dyDescent="0.3">
      <c r="C3760" s="35">
        <f t="shared" si="58"/>
        <v>0</v>
      </c>
      <c r="D3760" s="30" t="str">
        <f>IFERROR(VLOOKUP(C3760,소속부서!$A$2:$B$20,2,FALSE), "")</f>
        <v/>
      </c>
    </row>
    <row r="3761" spans="3:4" x14ac:dyDescent="0.3">
      <c r="C3761" s="35">
        <f t="shared" si="58"/>
        <v>0</v>
      </c>
      <c r="D3761" s="30" t="str">
        <f>IFERROR(VLOOKUP(C3761,소속부서!$A$2:$B$20,2,FALSE), "")</f>
        <v/>
      </c>
    </row>
    <row r="3762" spans="3:4" x14ac:dyDescent="0.3">
      <c r="C3762" s="35">
        <f t="shared" si="58"/>
        <v>0</v>
      </c>
      <c r="D3762" s="30" t="str">
        <f>IFERROR(VLOOKUP(C3762,소속부서!$A$2:$B$20,2,FALSE), "")</f>
        <v/>
      </c>
    </row>
    <row r="3763" spans="3:4" x14ac:dyDescent="0.3">
      <c r="C3763" s="35">
        <f t="shared" si="58"/>
        <v>0</v>
      </c>
      <c r="D3763" s="30" t="str">
        <f>IFERROR(VLOOKUP(C3763,소속부서!$A$2:$B$20,2,FALSE), "")</f>
        <v/>
      </c>
    </row>
    <row r="3764" spans="3:4" x14ac:dyDescent="0.3">
      <c r="C3764" s="35">
        <f t="shared" si="58"/>
        <v>0</v>
      </c>
      <c r="D3764" s="30" t="str">
        <f>IFERROR(VLOOKUP(C3764,소속부서!$A$2:$B$20,2,FALSE), "")</f>
        <v/>
      </c>
    </row>
    <row r="3765" spans="3:4" x14ac:dyDescent="0.3">
      <c r="C3765" s="35">
        <f t="shared" si="58"/>
        <v>0</v>
      </c>
      <c r="D3765" s="30" t="str">
        <f>IFERROR(VLOOKUP(C3765,소속부서!$A$2:$B$20,2,FALSE), "")</f>
        <v/>
      </c>
    </row>
    <row r="3766" spans="3:4" x14ac:dyDescent="0.3">
      <c r="C3766" s="35">
        <f t="shared" si="58"/>
        <v>0</v>
      </c>
      <c r="D3766" s="30" t="str">
        <f>IFERROR(VLOOKUP(C3766,소속부서!$A$2:$B$20,2,FALSE), "")</f>
        <v/>
      </c>
    </row>
    <row r="3767" spans="3:4" x14ac:dyDescent="0.3">
      <c r="C3767" s="35">
        <f t="shared" si="58"/>
        <v>0</v>
      </c>
      <c r="D3767" s="30" t="str">
        <f>IFERROR(VLOOKUP(C3767,소속부서!$A$2:$B$20,2,FALSE), "")</f>
        <v/>
      </c>
    </row>
    <row r="3768" spans="3:4" x14ac:dyDescent="0.3">
      <c r="C3768" s="35">
        <f t="shared" si="58"/>
        <v>0</v>
      </c>
      <c r="D3768" s="30" t="str">
        <f>IFERROR(VLOOKUP(C3768,소속부서!$A$2:$B$20,2,FALSE), "")</f>
        <v/>
      </c>
    </row>
    <row r="3769" spans="3:4" x14ac:dyDescent="0.3">
      <c r="C3769" s="35">
        <f t="shared" si="58"/>
        <v>0</v>
      </c>
      <c r="D3769" s="30" t="str">
        <f>IFERROR(VLOOKUP(C3769,소속부서!$A$2:$B$20,2,FALSE), "")</f>
        <v/>
      </c>
    </row>
    <row r="3770" spans="3:4" x14ac:dyDescent="0.3">
      <c r="C3770" s="35">
        <f t="shared" si="58"/>
        <v>0</v>
      </c>
      <c r="D3770" s="30" t="str">
        <f>IFERROR(VLOOKUP(C3770,소속부서!$A$2:$B$20,2,FALSE), "")</f>
        <v/>
      </c>
    </row>
    <row r="3771" spans="3:4" x14ac:dyDescent="0.3">
      <c r="C3771" s="35">
        <f t="shared" si="58"/>
        <v>0</v>
      </c>
      <c r="D3771" s="30" t="str">
        <f>IFERROR(VLOOKUP(C3771,소속부서!$A$2:$B$20,2,FALSE), "")</f>
        <v/>
      </c>
    </row>
    <row r="3772" spans="3:4" x14ac:dyDescent="0.3">
      <c r="C3772" s="35">
        <f t="shared" si="58"/>
        <v>0</v>
      </c>
      <c r="D3772" s="30" t="str">
        <f>IFERROR(VLOOKUP(C3772,소속부서!$A$2:$B$20,2,FALSE), "")</f>
        <v/>
      </c>
    </row>
    <row r="3773" spans="3:4" x14ac:dyDescent="0.3">
      <c r="C3773" s="35">
        <f t="shared" si="58"/>
        <v>0</v>
      </c>
      <c r="D3773" s="30" t="str">
        <f>IFERROR(VLOOKUP(C3773,소속부서!$A$2:$B$20,2,FALSE), "")</f>
        <v/>
      </c>
    </row>
    <row r="3774" spans="3:4" x14ac:dyDescent="0.3">
      <c r="C3774" s="35">
        <f t="shared" si="58"/>
        <v>0</v>
      </c>
      <c r="D3774" s="30" t="str">
        <f>IFERROR(VLOOKUP(C3774,소속부서!$A$2:$B$20,2,FALSE), "")</f>
        <v/>
      </c>
    </row>
    <row r="3775" spans="3:4" x14ac:dyDescent="0.3">
      <c r="C3775" s="35">
        <f t="shared" si="58"/>
        <v>0</v>
      </c>
      <c r="D3775" s="30" t="str">
        <f>IFERROR(VLOOKUP(C3775,소속부서!$A$2:$B$20,2,FALSE), "")</f>
        <v/>
      </c>
    </row>
    <row r="3776" spans="3:4" x14ac:dyDescent="0.3">
      <c r="C3776" s="35">
        <f t="shared" si="58"/>
        <v>0</v>
      </c>
      <c r="D3776" s="30" t="str">
        <f>IFERROR(VLOOKUP(C3776,소속부서!$A$2:$B$20,2,FALSE), "")</f>
        <v/>
      </c>
    </row>
    <row r="3777" spans="3:4" x14ac:dyDescent="0.3">
      <c r="C3777" s="35">
        <f t="shared" ref="C3777:C3840" si="59">E3777</f>
        <v>0</v>
      </c>
      <c r="D3777" s="30" t="str">
        <f>IFERROR(VLOOKUP(C3777,소속부서!$A$2:$B$20,2,FALSE), "")</f>
        <v/>
      </c>
    </row>
    <row r="3778" spans="3:4" x14ac:dyDescent="0.3">
      <c r="C3778" s="35">
        <f t="shared" si="59"/>
        <v>0</v>
      </c>
      <c r="D3778" s="30" t="str">
        <f>IFERROR(VLOOKUP(C3778,소속부서!$A$2:$B$20,2,FALSE), "")</f>
        <v/>
      </c>
    </row>
    <row r="3779" spans="3:4" x14ac:dyDescent="0.3">
      <c r="C3779" s="35">
        <f t="shared" si="59"/>
        <v>0</v>
      </c>
      <c r="D3779" s="30" t="str">
        <f>IFERROR(VLOOKUP(C3779,소속부서!$A$2:$B$20,2,FALSE), "")</f>
        <v/>
      </c>
    </row>
    <row r="3780" spans="3:4" x14ac:dyDescent="0.3">
      <c r="C3780" s="35">
        <f t="shared" si="59"/>
        <v>0</v>
      </c>
      <c r="D3780" s="30" t="str">
        <f>IFERROR(VLOOKUP(C3780,소속부서!$A$2:$B$20,2,FALSE), "")</f>
        <v/>
      </c>
    </row>
    <row r="3781" spans="3:4" x14ac:dyDescent="0.3">
      <c r="C3781" s="35">
        <f t="shared" si="59"/>
        <v>0</v>
      </c>
      <c r="D3781" s="30" t="str">
        <f>IFERROR(VLOOKUP(C3781,소속부서!$A$2:$B$20,2,FALSE), "")</f>
        <v/>
      </c>
    </row>
    <row r="3782" spans="3:4" x14ac:dyDescent="0.3">
      <c r="C3782" s="35">
        <f t="shared" si="59"/>
        <v>0</v>
      </c>
      <c r="D3782" s="30" t="str">
        <f>IFERROR(VLOOKUP(C3782,소속부서!$A$2:$B$20,2,FALSE), "")</f>
        <v/>
      </c>
    </row>
    <row r="3783" spans="3:4" x14ac:dyDescent="0.3">
      <c r="C3783" s="35">
        <f t="shared" si="59"/>
        <v>0</v>
      </c>
      <c r="D3783" s="30" t="str">
        <f>IFERROR(VLOOKUP(C3783,소속부서!$A$2:$B$20,2,FALSE), "")</f>
        <v/>
      </c>
    </row>
    <row r="3784" spans="3:4" x14ac:dyDescent="0.3">
      <c r="C3784" s="35">
        <f t="shared" si="59"/>
        <v>0</v>
      </c>
      <c r="D3784" s="30" t="str">
        <f>IFERROR(VLOOKUP(C3784,소속부서!$A$2:$B$20,2,FALSE), "")</f>
        <v/>
      </c>
    </row>
    <row r="3785" spans="3:4" x14ac:dyDescent="0.3">
      <c r="C3785" s="35">
        <f t="shared" si="59"/>
        <v>0</v>
      </c>
      <c r="D3785" s="30" t="str">
        <f>IFERROR(VLOOKUP(C3785,소속부서!$A$2:$B$20,2,FALSE), "")</f>
        <v/>
      </c>
    </row>
    <row r="3786" spans="3:4" x14ac:dyDescent="0.3">
      <c r="C3786" s="35">
        <f t="shared" si="59"/>
        <v>0</v>
      </c>
      <c r="D3786" s="30" t="str">
        <f>IFERROR(VLOOKUP(C3786,소속부서!$A$2:$B$20,2,FALSE), "")</f>
        <v/>
      </c>
    </row>
    <row r="3787" spans="3:4" x14ac:dyDescent="0.3">
      <c r="C3787" s="35">
        <f t="shared" si="59"/>
        <v>0</v>
      </c>
      <c r="D3787" s="30" t="str">
        <f>IFERROR(VLOOKUP(C3787,소속부서!$A$2:$B$20,2,FALSE), "")</f>
        <v/>
      </c>
    </row>
    <row r="3788" spans="3:4" x14ac:dyDescent="0.3">
      <c r="C3788" s="35">
        <f t="shared" si="59"/>
        <v>0</v>
      </c>
      <c r="D3788" s="30" t="str">
        <f>IFERROR(VLOOKUP(C3788,소속부서!$A$2:$B$20,2,FALSE), "")</f>
        <v/>
      </c>
    </row>
    <row r="3789" spans="3:4" x14ac:dyDescent="0.3">
      <c r="C3789" s="35">
        <f t="shared" si="59"/>
        <v>0</v>
      </c>
      <c r="D3789" s="30" t="str">
        <f>IFERROR(VLOOKUP(C3789,소속부서!$A$2:$B$20,2,FALSE), "")</f>
        <v/>
      </c>
    </row>
    <row r="3790" spans="3:4" x14ac:dyDescent="0.3">
      <c r="C3790" s="35">
        <f t="shared" si="59"/>
        <v>0</v>
      </c>
      <c r="D3790" s="30" t="str">
        <f>IFERROR(VLOOKUP(C3790,소속부서!$A$2:$B$20,2,FALSE), "")</f>
        <v/>
      </c>
    </row>
    <row r="3791" spans="3:4" x14ac:dyDescent="0.3">
      <c r="C3791" s="35">
        <f t="shared" si="59"/>
        <v>0</v>
      </c>
      <c r="D3791" s="30" t="str">
        <f>IFERROR(VLOOKUP(C3791,소속부서!$A$2:$B$20,2,FALSE), "")</f>
        <v/>
      </c>
    </row>
    <row r="3792" spans="3:4" x14ac:dyDescent="0.3">
      <c r="C3792" s="35">
        <f t="shared" si="59"/>
        <v>0</v>
      </c>
      <c r="D3792" s="30" t="str">
        <f>IFERROR(VLOOKUP(C3792,소속부서!$A$2:$B$20,2,FALSE), "")</f>
        <v/>
      </c>
    </row>
    <row r="3793" spans="3:4" x14ac:dyDescent="0.3">
      <c r="C3793" s="35">
        <f t="shared" si="59"/>
        <v>0</v>
      </c>
      <c r="D3793" s="30" t="str">
        <f>IFERROR(VLOOKUP(C3793,소속부서!$A$2:$B$20,2,FALSE), "")</f>
        <v/>
      </c>
    </row>
    <row r="3794" spans="3:4" x14ac:dyDescent="0.3">
      <c r="C3794" s="35">
        <f t="shared" si="59"/>
        <v>0</v>
      </c>
      <c r="D3794" s="30" t="str">
        <f>IFERROR(VLOOKUP(C3794,소속부서!$A$2:$B$20,2,FALSE), "")</f>
        <v/>
      </c>
    </row>
    <row r="3795" spans="3:4" x14ac:dyDescent="0.3">
      <c r="C3795" s="35">
        <f t="shared" si="59"/>
        <v>0</v>
      </c>
      <c r="D3795" s="30" t="str">
        <f>IFERROR(VLOOKUP(C3795,소속부서!$A$2:$B$20,2,FALSE), "")</f>
        <v/>
      </c>
    </row>
    <row r="3796" spans="3:4" x14ac:dyDescent="0.3">
      <c r="C3796" s="35">
        <f t="shared" si="59"/>
        <v>0</v>
      </c>
      <c r="D3796" s="30" t="str">
        <f>IFERROR(VLOOKUP(C3796,소속부서!$A$2:$B$20,2,FALSE), "")</f>
        <v/>
      </c>
    </row>
    <row r="3797" spans="3:4" x14ac:dyDescent="0.3">
      <c r="C3797" s="35">
        <f t="shared" si="59"/>
        <v>0</v>
      </c>
      <c r="D3797" s="30" t="str">
        <f>IFERROR(VLOOKUP(C3797,소속부서!$A$2:$B$20,2,FALSE), "")</f>
        <v/>
      </c>
    </row>
    <row r="3798" spans="3:4" x14ac:dyDescent="0.3">
      <c r="C3798" s="35">
        <f t="shared" si="59"/>
        <v>0</v>
      </c>
      <c r="D3798" s="30" t="str">
        <f>IFERROR(VLOOKUP(C3798,소속부서!$A$2:$B$20,2,FALSE), "")</f>
        <v/>
      </c>
    </row>
    <row r="3799" spans="3:4" x14ac:dyDescent="0.3">
      <c r="C3799" s="35">
        <f t="shared" si="59"/>
        <v>0</v>
      </c>
      <c r="D3799" s="30" t="str">
        <f>IFERROR(VLOOKUP(C3799,소속부서!$A$2:$B$20,2,FALSE), "")</f>
        <v/>
      </c>
    </row>
    <row r="3800" spans="3:4" x14ac:dyDescent="0.3">
      <c r="C3800" s="35">
        <f t="shared" si="59"/>
        <v>0</v>
      </c>
      <c r="D3800" s="30" t="str">
        <f>IFERROR(VLOOKUP(C3800,소속부서!$A$2:$B$20,2,FALSE), "")</f>
        <v/>
      </c>
    </row>
    <row r="3801" spans="3:4" x14ac:dyDescent="0.3">
      <c r="C3801" s="35">
        <f t="shared" si="59"/>
        <v>0</v>
      </c>
      <c r="D3801" s="30" t="str">
        <f>IFERROR(VLOOKUP(C3801,소속부서!$A$2:$B$20,2,FALSE), "")</f>
        <v/>
      </c>
    </row>
    <row r="3802" spans="3:4" x14ac:dyDescent="0.3">
      <c r="C3802" s="35">
        <f t="shared" si="59"/>
        <v>0</v>
      </c>
      <c r="D3802" s="30" t="str">
        <f>IFERROR(VLOOKUP(C3802,소속부서!$A$2:$B$20,2,FALSE), "")</f>
        <v/>
      </c>
    </row>
    <row r="3803" spans="3:4" x14ac:dyDescent="0.3">
      <c r="C3803" s="35">
        <f t="shared" si="59"/>
        <v>0</v>
      </c>
      <c r="D3803" s="30" t="str">
        <f>IFERROR(VLOOKUP(C3803,소속부서!$A$2:$B$20,2,FALSE), "")</f>
        <v/>
      </c>
    </row>
    <row r="3804" spans="3:4" x14ac:dyDescent="0.3">
      <c r="C3804" s="35">
        <f t="shared" si="59"/>
        <v>0</v>
      </c>
      <c r="D3804" s="30" t="str">
        <f>IFERROR(VLOOKUP(C3804,소속부서!$A$2:$B$20,2,FALSE), "")</f>
        <v/>
      </c>
    </row>
    <row r="3805" spans="3:4" x14ac:dyDescent="0.3">
      <c r="C3805" s="35">
        <f t="shared" si="59"/>
        <v>0</v>
      </c>
      <c r="D3805" s="30" t="str">
        <f>IFERROR(VLOOKUP(C3805,소속부서!$A$2:$B$20,2,FALSE), "")</f>
        <v/>
      </c>
    </row>
    <row r="3806" spans="3:4" x14ac:dyDescent="0.3">
      <c r="C3806" s="35">
        <f t="shared" si="59"/>
        <v>0</v>
      </c>
      <c r="D3806" s="30" t="str">
        <f>IFERROR(VLOOKUP(C3806,소속부서!$A$2:$B$20,2,FALSE), "")</f>
        <v/>
      </c>
    </row>
    <row r="3807" spans="3:4" x14ac:dyDescent="0.3">
      <c r="C3807" s="35">
        <f t="shared" si="59"/>
        <v>0</v>
      </c>
      <c r="D3807" s="30" t="str">
        <f>IFERROR(VLOOKUP(C3807,소속부서!$A$2:$B$20,2,FALSE), "")</f>
        <v/>
      </c>
    </row>
    <row r="3808" spans="3:4" x14ac:dyDescent="0.3">
      <c r="C3808" s="35">
        <f t="shared" si="59"/>
        <v>0</v>
      </c>
      <c r="D3808" s="30" t="str">
        <f>IFERROR(VLOOKUP(C3808,소속부서!$A$2:$B$20,2,FALSE), "")</f>
        <v/>
      </c>
    </row>
    <row r="3809" spans="3:4" x14ac:dyDescent="0.3">
      <c r="C3809" s="35">
        <f t="shared" si="59"/>
        <v>0</v>
      </c>
      <c r="D3809" s="30" t="str">
        <f>IFERROR(VLOOKUP(C3809,소속부서!$A$2:$B$20,2,FALSE), "")</f>
        <v/>
      </c>
    </row>
    <row r="3810" spans="3:4" x14ac:dyDescent="0.3">
      <c r="C3810" s="35">
        <f t="shared" si="59"/>
        <v>0</v>
      </c>
      <c r="D3810" s="30" t="str">
        <f>IFERROR(VLOOKUP(C3810,소속부서!$A$2:$B$20,2,FALSE), "")</f>
        <v/>
      </c>
    </row>
    <row r="3811" spans="3:4" x14ac:dyDescent="0.3">
      <c r="C3811" s="35">
        <f t="shared" si="59"/>
        <v>0</v>
      </c>
      <c r="D3811" s="30" t="str">
        <f>IFERROR(VLOOKUP(C3811,소속부서!$A$2:$B$20,2,FALSE), "")</f>
        <v/>
      </c>
    </row>
    <row r="3812" spans="3:4" x14ac:dyDescent="0.3">
      <c r="C3812" s="35">
        <f t="shared" si="59"/>
        <v>0</v>
      </c>
      <c r="D3812" s="30" t="str">
        <f>IFERROR(VLOOKUP(C3812,소속부서!$A$2:$B$20,2,FALSE), "")</f>
        <v/>
      </c>
    </row>
    <row r="3813" spans="3:4" x14ac:dyDescent="0.3">
      <c r="C3813" s="35">
        <f t="shared" si="59"/>
        <v>0</v>
      </c>
      <c r="D3813" s="30" t="str">
        <f>IFERROR(VLOOKUP(C3813,소속부서!$A$2:$B$20,2,FALSE), "")</f>
        <v/>
      </c>
    </row>
    <row r="3814" spans="3:4" x14ac:dyDescent="0.3">
      <c r="C3814" s="35">
        <f t="shared" si="59"/>
        <v>0</v>
      </c>
      <c r="D3814" s="30" t="str">
        <f>IFERROR(VLOOKUP(C3814,소속부서!$A$2:$B$20,2,FALSE), "")</f>
        <v/>
      </c>
    </row>
    <row r="3815" spans="3:4" x14ac:dyDescent="0.3">
      <c r="C3815" s="35">
        <f t="shared" si="59"/>
        <v>0</v>
      </c>
      <c r="D3815" s="30" t="str">
        <f>IFERROR(VLOOKUP(C3815,소속부서!$A$2:$B$20,2,FALSE), "")</f>
        <v/>
      </c>
    </row>
    <row r="3816" spans="3:4" x14ac:dyDescent="0.3">
      <c r="C3816" s="35">
        <f t="shared" si="59"/>
        <v>0</v>
      </c>
      <c r="D3816" s="30" t="str">
        <f>IFERROR(VLOOKUP(C3816,소속부서!$A$2:$B$20,2,FALSE), "")</f>
        <v/>
      </c>
    </row>
    <row r="3817" spans="3:4" x14ac:dyDescent="0.3">
      <c r="C3817" s="35">
        <f t="shared" si="59"/>
        <v>0</v>
      </c>
      <c r="D3817" s="30" t="str">
        <f>IFERROR(VLOOKUP(C3817,소속부서!$A$2:$B$20,2,FALSE), "")</f>
        <v/>
      </c>
    </row>
    <row r="3818" spans="3:4" x14ac:dyDescent="0.3">
      <c r="C3818" s="35">
        <f t="shared" si="59"/>
        <v>0</v>
      </c>
      <c r="D3818" s="30" t="str">
        <f>IFERROR(VLOOKUP(C3818,소속부서!$A$2:$B$20,2,FALSE), "")</f>
        <v/>
      </c>
    </row>
    <row r="3819" spans="3:4" x14ac:dyDescent="0.3">
      <c r="C3819" s="35">
        <f t="shared" si="59"/>
        <v>0</v>
      </c>
      <c r="D3819" s="30" t="str">
        <f>IFERROR(VLOOKUP(C3819,소속부서!$A$2:$B$20,2,FALSE), "")</f>
        <v/>
      </c>
    </row>
    <row r="3820" spans="3:4" x14ac:dyDescent="0.3">
      <c r="C3820" s="35">
        <f t="shared" si="59"/>
        <v>0</v>
      </c>
      <c r="D3820" s="30" t="str">
        <f>IFERROR(VLOOKUP(C3820,소속부서!$A$2:$B$20,2,FALSE), "")</f>
        <v/>
      </c>
    </row>
    <row r="3821" spans="3:4" x14ac:dyDescent="0.3">
      <c r="C3821" s="35">
        <f t="shared" si="59"/>
        <v>0</v>
      </c>
      <c r="D3821" s="30" t="str">
        <f>IFERROR(VLOOKUP(C3821,소속부서!$A$2:$B$20,2,FALSE), "")</f>
        <v/>
      </c>
    </row>
    <row r="3822" spans="3:4" x14ac:dyDescent="0.3">
      <c r="C3822" s="35">
        <f t="shared" si="59"/>
        <v>0</v>
      </c>
      <c r="D3822" s="30" t="str">
        <f>IFERROR(VLOOKUP(C3822,소속부서!$A$2:$B$20,2,FALSE), "")</f>
        <v/>
      </c>
    </row>
    <row r="3823" spans="3:4" x14ac:dyDescent="0.3">
      <c r="C3823" s="35">
        <f t="shared" si="59"/>
        <v>0</v>
      </c>
      <c r="D3823" s="30" t="str">
        <f>IFERROR(VLOOKUP(C3823,소속부서!$A$2:$B$20,2,FALSE), "")</f>
        <v/>
      </c>
    </row>
    <row r="3824" spans="3:4" x14ac:dyDescent="0.3">
      <c r="C3824" s="35">
        <f t="shared" si="59"/>
        <v>0</v>
      </c>
      <c r="D3824" s="30" t="str">
        <f>IFERROR(VLOOKUP(C3824,소속부서!$A$2:$B$20,2,FALSE), "")</f>
        <v/>
      </c>
    </row>
    <row r="3825" spans="3:4" x14ac:dyDescent="0.3">
      <c r="C3825" s="35">
        <f t="shared" si="59"/>
        <v>0</v>
      </c>
      <c r="D3825" s="30" t="str">
        <f>IFERROR(VLOOKUP(C3825,소속부서!$A$2:$B$20,2,FALSE), "")</f>
        <v/>
      </c>
    </row>
    <row r="3826" spans="3:4" x14ac:dyDescent="0.3">
      <c r="C3826" s="35">
        <f t="shared" si="59"/>
        <v>0</v>
      </c>
      <c r="D3826" s="30" t="str">
        <f>IFERROR(VLOOKUP(C3826,소속부서!$A$2:$B$20,2,FALSE), "")</f>
        <v/>
      </c>
    </row>
    <row r="3827" spans="3:4" x14ac:dyDescent="0.3">
      <c r="C3827" s="35">
        <f t="shared" si="59"/>
        <v>0</v>
      </c>
      <c r="D3827" s="30" t="str">
        <f>IFERROR(VLOOKUP(C3827,소속부서!$A$2:$B$20,2,FALSE), "")</f>
        <v/>
      </c>
    </row>
    <row r="3828" spans="3:4" x14ac:dyDescent="0.3">
      <c r="C3828" s="35">
        <f t="shared" si="59"/>
        <v>0</v>
      </c>
      <c r="D3828" s="30" t="str">
        <f>IFERROR(VLOOKUP(C3828,소속부서!$A$2:$B$20,2,FALSE), "")</f>
        <v/>
      </c>
    </row>
    <row r="3829" spans="3:4" x14ac:dyDescent="0.3">
      <c r="C3829" s="35">
        <f t="shared" si="59"/>
        <v>0</v>
      </c>
      <c r="D3829" s="30" t="str">
        <f>IFERROR(VLOOKUP(C3829,소속부서!$A$2:$B$20,2,FALSE), "")</f>
        <v/>
      </c>
    </row>
    <row r="3830" spans="3:4" x14ac:dyDescent="0.3">
      <c r="C3830" s="35">
        <f t="shared" si="59"/>
        <v>0</v>
      </c>
      <c r="D3830" s="30" t="str">
        <f>IFERROR(VLOOKUP(C3830,소속부서!$A$2:$B$20,2,FALSE), "")</f>
        <v/>
      </c>
    </row>
    <row r="3831" spans="3:4" x14ac:dyDescent="0.3">
      <c r="C3831" s="35">
        <f t="shared" si="59"/>
        <v>0</v>
      </c>
      <c r="D3831" s="30" t="str">
        <f>IFERROR(VLOOKUP(C3831,소속부서!$A$2:$B$20,2,FALSE), "")</f>
        <v/>
      </c>
    </row>
    <row r="3832" spans="3:4" x14ac:dyDescent="0.3">
      <c r="C3832" s="35">
        <f t="shared" si="59"/>
        <v>0</v>
      </c>
      <c r="D3832" s="30" t="str">
        <f>IFERROR(VLOOKUP(C3832,소속부서!$A$2:$B$20,2,FALSE), "")</f>
        <v/>
      </c>
    </row>
    <row r="3833" spans="3:4" x14ac:dyDescent="0.3">
      <c r="C3833" s="35">
        <f t="shared" si="59"/>
        <v>0</v>
      </c>
      <c r="D3833" s="30" t="str">
        <f>IFERROR(VLOOKUP(C3833,소속부서!$A$2:$B$20,2,FALSE), "")</f>
        <v/>
      </c>
    </row>
    <row r="3834" spans="3:4" x14ac:dyDescent="0.3">
      <c r="C3834" s="35">
        <f t="shared" si="59"/>
        <v>0</v>
      </c>
      <c r="D3834" s="30" t="str">
        <f>IFERROR(VLOOKUP(C3834,소속부서!$A$2:$B$20,2,FALSE), "")</f>
        <v/>
      </c>
    </row>
    <row r="3835" spans="3:4" x14ac:dyDescent="0.3">
      <c r="C3835" s="35">
        <f t="shared" si="59"/>
        <v>0</v>
      </c>
      <c r="D3835" s="30" t="str">
        <f>IFERROR(VLOOKUP(C3835,소속부서!$A$2:$B$20,2,FALSE), "")</f>
        <v/>
      </c>
    </row>
    <row r="3836" spans="3:4" x14ac:dyDescent="0.3">
      <c r="C3836" s="35">
        <f t="shared" si="59"/>
        <v>0</v>
      </c>
      <c r="D3836" s="30" t="str">
        <f>IFERROR(VLOOKUP(C3836,소속부서!$A$2:$B$20,2,FALSE), "")</f>
        <v/>
      </c>
    </row>
    <row r="3837" spans="3:4" x14ac:dyDescent="0.3">
      <c r="C3837" s="35">
        <f t="shared" si="59"/>
        <v>0</v>
      </c>
      <c r="D3837" s="30" t="str">
        <f>IFERROR(VLOOKUP(C3837,소속부서!$A$2:$B$20,2,FALSE), "")</f>
        <v/>
      </c>
    </row>
    <row r="3838" spans="3:4" x14ac:dyDescent="0.3">
      <c r="C3838" s="35">
        <f t="shared" si="59"/>
        <v>0</v>
      </c>
      <c r="D3838" s="30" t="str">
        <f>IFERROR(VLOOKUP(C3838,소속부서!$A$2:$B$20,2,FALSE), "")</f>
        <v/>
      </c>
    </row>
    <row r="3839" spans="3:4" x14ac:dyDescent="0.3">
      <c r="C3839" s="35">
        <f t="shared" si="59"/>
        <v>0</v>
      </c>
      <c r="D3839" s="30" t="str">
        <f>IFERROR(VLOOKUP(C3839,소속부서!$A$2:$B$20,2,FALSE), "")</f>
        <v/>
      </c>
    </row>
    <row r="3840" spans="3:4" x14ac:dyDescent="0.3">
      <c r="C3840" s="35">
        <f t="shared" si="59"/>
        <v>0</v>
      </c>
      <c r="D3840" s="30" t="str">
        <f>IFERROR(VLOOKUP(C3840,소속부서!$A$2:$B$20,2,FALSE), "")</f>
        <v/>
      </c>
    </row>
    <row r="3841" spans="3:4" x14ac:dyDescent="0.3">
      <c r="C3841" s="35">
        <f t="shared" ref="C3841:C3904" si="60">E3841</f>
        <v>0</v>
      </c>
      <c r="D3841" s="30" t="str">
        <f>IFERROR(VLOOKUP(C3841,소속부서!$A$2:$B$20,2,FALSE), "")</f>
        <v/>
      </c>
    </row>
    <row r="3842" spans="3:4" x14ac:dyDescent="0.3">
      <c r="C3842" s="35">
        <f t="shared" si="60"/>
        <v>0</v>
      </c>
      <c r="D3842" s="30" t="str">
        <f>IFERROR(VLOOKUP(C3842,소속부서!$A$2:$B$20,2,FALSE), "")</f>
        <v/>
      </c>
    </row>
    <row r="3843" spans="3:4" x14ac:dyDescent="0.3">
      <c r="C3843" s="35">
        <f t="shared" si="60"/>
        <v>0</v>
      </c>
      <c r="D3843" s="30" t="str">
        <f>IFERROR(VLOOKUP(C3843,소속부서!$A$2:$B$20,2,FALSE), "")</f>
        <v/>
      </c>
    </row>
    <row r="3844" spans="3:4" x14ac:dyDescent="0.3">
      <c r="C3844" s="35">
        <f t="shared" si="60"/>
        <v>0</v>
      </c>
      <c r="D3844" s="30" t="str">
        <f>IFERROR(VLOOKUP(C3844,소속부서!$A$2:$B$20,2,FALSE), "")</f>
        <v/>
      </c>
    </row>
    <row r="3845" spans="3:4" x14ac:dyDescent="0.3">
      <c r="C3845" s="35">
        <f t="shared" si="60"/>
        <v>0</v>
      </c>
      <c r="D3845" s="30" t="str">
        <f>IFERROR(VLOOKUP(C3845,소속부서!$A$2:$B$20,2,FALSE), "")</f>
        <v/>
      </c>
    </row>
    <row r="3846" spans="3:4" x14ac:dyDescent="0.3">
      <c r="C3846" s="35">
        <f t="shared" si="60"/>
        <v>0</v>
      </c>
      <c r="D3846" s="30" t="str">
        <f>IFERROR(VLOOKUP(C3846,소속부서!$A$2:$B$20,2,FALSE), "")</f>
        <v/>
      </c>
    </row>
    <row r="3847" spans="3:4" x14ac:dyDescent="0.3">
      <c r="C3847" s="35">
        <f t="shared" si="60"/>
        <v>0</v>
      </c>
      <c r="D3847" s="30" t="str">
        <f>IFERROR(VLOOKUP(C3847,소속부서!$A$2:$B$20,2,FALSE), "")</f>
        <v/>
      </c>
    </row>
    <row r="3848" spans="3:4" x14ac:dyDescent="0.3">
      <c r="C3848" s="35">
        <f t="shared" si="60"/>
        <v>0</v>
      </c>
      <c r="D3848" s="30" t="str">
        <f>IFERROR(VLOOKUP(C3848,소속부서!$A$2:$B$20,2,FALSE), "")</f>
        <v/>
      </c>
    </row>
    <row r="3849" spans="3:4" x14ac:dyDescent="0.3">
      <c r="C3849" s="35">
        <f t="shared" si="60"/>
        <v>0</v>
      </c>
      <c r="D3849" s="30" t="str">
        <f>IFERROR(VLOOKUP(C3849,소속부서!$A$2:$B$20,2,FALSE), "")</f>
        <v/>
      </c>
    </row>
    <row r="3850" spans="3:4" x14ac:dyDescent="0.3">
      <c r="C3850" s="35">
        <f t="shared" si="60"/>
        <v>0</v>
      </c>
      <c r="D3850" s="30" t="str">
        <f>IFERROR(VLOOKUP(C3850,소속부서!$A$2:$B$20,2,FALSE), "")</f>
        <v/>
      </c>
    </row>
    <row r="3851" spans="3:4" x14ac:dyDescent="0.3">
      <c r="C3851" s="35">
        <f t="shared" si="60"/>
        <v>0</v>
      </c>
      <c r="D3851" s="30" t="str">
        <f>IFERROR(VLOOKUP(C3851,소속부서!$A$2:$B$20,2,FALSE), "")</f>
        <v/>
      </c>
    </row>
    <row r="3852" spans="3:4" x14ac:dyDescent="0.3">
      <c r="C3852" s="35">
        <f t="shared" si="60"/>
        <v>0</v>
      </c>
      <c r="D3852" s="30" t="str">
        <f>IFERROR(VLOOKUP(C3852,소속부서!$A$2:$B$20,2,FALSE), "")</f>
        <v/>
      </c>
    </row>
    <row r="3853" spans="3:4" x14ac:dyDescent="0.3">
      <c r="C3853" s="35">
        <f t="shared" si="60"/>
        <v>0</v>
      </c>
      <c r="D3853" s="30" t="str">
        <f>IFERROR(VLOOKUP(C3853,소속부서!$A$2:$B$20,2,FALSE), "")</f>
        <v/>
      </c>
    </row>
    <row r="3854" spans="3:4" x14ac:dyDescent="0.3">
      <c r="C3854" s="35">
        <f t="shared" si="60"/>
        <v>0</v>
      </c>
      <c r="D3854" s="30" t="str">
        <f>IFERROR(VLOOKUP(C3854,소속부서!$A$2:$B$20,2,FALSE), "")</f>
        <v/>
      </c>
    </row>
    <row r="3855" spans="3:4" x14ac:dyDescent="0.3">
      <c r="C3855" s="35">
        <f t="shared" si="60"/>
        <v>0</v>
      </c>
      <c r="D3855" s="30" t="str">
        <f>IFERROR(VLOOKUP(C3855,소속부서!$A$2:$B$20,2,FALSE), "")</f>
        <v/>
      </c>
    </row>
    <row r="3856" spans="3:4" x14ac:dyDescent="0.3">
      <c r="C3856" s="35">
        <f t="shared" si="60"/>
        <v>0</v>
      </c>
      <c r="D3856" s="30" t="str">
        <f>IFERROR(VLOOKUP(C3856,소속부서!$A$2:$B$20,2,FALSE), "")</f>
        <v/>
      </c>
    </row>
    <row r="3857" spans="3:4" x14ac:dyDescent="0.3">
      <c r="C3857" s="35">
        <f t="shared" si="60"/>
        <v>0</v>
      </c>
      <c r="D3857" s="30" t="str">
        <f>IFERROR(VLOOKUP(C3857,소속부서!$A$2:$B$20,2,FALSE), "")</f>
        <v/>
      </c>
    </row>
    <row r="3858" spans="3:4" x14ac:dyDescent="0.3">
      <c r="C3858" s="35">
        <f t="shared" si="60"/>
        <v>0</v>
      </c>
      <c r="D3858" s="30" t="str">
        <f>IFERROR(VLOOKUP(C3858,소속부서!$A$2:$B$20,2,FALSE), "")</f>
        <v/>
      </c>
    </row>
    <row r="3859" spans="3:4" x14ac:dyDescent="0.3">
      <c r="C3859" s="35">
        <f t="shared" si="60"/>
        <v>0</v>
      </c>
      <c r="D3859" s="30" t="str">
        <f>IFERROR(VLOOKUP(C3859,소속부서!$A$2:$B$20,2,FALSE), "")</f>
        <v/>
      </c>
    </row>
    <row r="3860" spans="3:4" x14ac:dyDescent="0.3">
      <c r="C3860" s="35">
        <f t="shared" si="60"/>
        <v>0</v>
      </c>
      <c r="D3860" s="30" t="str">
        <f>IFERROR(VLOOKUP(C3860,소속부서!$A$2:$B$20,2,FALSE), "")</f>
        <v/>
      </c>
    </row>
    <row r="3861" spans="3:4" x14ac:dyDescent="0.3">
      <c r="C3861" s="35">
        <f t="shared" si="60"/>
        <v>0</v>
      </c>
      <c r="D3861" s="30" t="str">
        <f>IFERROR(VLOOKUP(C3861,소속부서!$A$2:$B$20,2,FALSE), "")</f>
        <v/>
      </c>
    </row>
    <row r="3862" spans="3:4" x14ac:dyDescent="0.3">
      <c r="C3862" s="35">
        <f t="shared" si="60"/>
        <v>0</v>
      </c>
      <c r="D3862" s="30" t="str">
        <f>IFERROR(VLOOKUP(C3862,소속부서!$A$2:$B$20,2,FALSE), "")</f>
        <v/>
      </c>
    </row>
    <row r="3863" spans="3:4" x14ac:dyDescent="0.3">
      <c r="C3863" s="35">
        <f t="shared" si="60"/>
        <v>0</v>
      </c>
      <c r="D3863" s="30" t="str">
        <f>IFERROR(VLOOKUP(C3863,소속부서!$A$2:$B$20,2,FALSE), "")</f>
        <v/>
      </c>
    </row>
    <row r="3864" spans="3:4" x14ac:dyDescent="0.3">
      <c r="C3864" s="35">
        <f t="shared" si="60"/>
        <v>0</v>
      </c>
      <c r="D3864" s="30" t="str">
        <f>IFERROR(VLOOKUP(C3864,소속부서!$A$2:$B$20,2,FALSE), "")</f>
        <v/>
      </c>
    </row>
    <row r="3865" spans="3:4" x14ac:dyDescent="0.3">
      <c r="C3865" s="35">
        <f t="shared" si="60"/>
        <v>0</v>
      </c>
      <c r="D3865" s="30" t="str">
        <f>IFERROR(VLOOKUP(C3865,소속부서!$A$2:$B$20,2,FALSE), "")</f>
        <v/>
      </c>
    </row>
    <row r="3866" spans="3:4" x14ac:dyDescent="0.3">
      <c r="C3866" s="35">
        <f t="shared" si="60"/>
        <v>0</v>
      </c>
      <c r="D3866" s="30" t="str">
        <f>IFERROR(VLOOKUP(C3866,소속부서!$A$2:$B$20,2,FALSE), "")</f>
        <v/>
      </c>
    </row>
    <row r="3867" spans="3:4" x14ac:dyDescent="0.3">
      <c r="C3867" s="35">
        <f t="shared" si="60"/>
        <v>0</v>
      </c>
      <c r="D3867" s="30" t="str">
        <f>IFERROR(VLOOKUP(C3867,소속부서!$A$2:$B$20,2,FALSE), "")</f>
        <v/>
      </c>
    </row>
    <row r="3868" spans="3:4" x14ac:dyDescent="0.3">
      <c r="C3868" s="35">
        <f t="shared" si="60"/>
        <v>0</v>
      </c>
      <c r="D3868" s="30" t="str">
        <f>IFERROR(VLOOKUP(C3868,소속부서!$A$2:$B$20,2,FALSE), "")</f>
        <v/>
      </c>
    </row>
    <row r="3869" spans="3:4" x14ac:dyDescent="0.3">
      <c r="C3869" s="35">
        <f t="shared" si="60"/>
        <v>0</v>
      </c>
      <c r="D3869" s="30" t="str">
        <f>IFERROR(VLOOKUP(C3869,소속부서!$A$2:$B$20,2,FALSE), "")</f>
        <v/>
      </c>
    </row>
    <row r="3870" spans="3:4" x14ac:dyDescent="0.3">
      <c r="C3870" s="35">
        <f t="shared" si="60"/>
        <v>0</v>
      </c>
      <c r="D3870" s="30" t="str">
        <f>IFERROR(VLOOKUP(C3870,소속부서!$A$2:$B$20,2,FALSE), "")</f>
        <v/>
      </c>
    </row>
    <row r="3871" spans="3:4" x14ac:dyDescent="0.3">
      <c r="C3871" s="35">
        <f t="shared" si="60"/>
        <v>0</v>
      </c>
      <c r="D3871" s="30" t="str">
        <f>IFERROR(VLOOKUP(C3871,소속부서!$A$2:$B$20,2,FALSE), "")</f>
        <v/>
      </c>
    </row>
    <row r="3872" spans="3:4" x14ac:dyDescent="0.3">
      <c r="C3872" s="35">
        <f t="shared" si="60"/>
        <v>0</v>
      </c>
      <c r="D3872" s="30" t="str">
        <f>IFERROR(VLOOKUP(C3872,소속부서!$A$2:$B$20,2,FALSE), "")</f>
        <v/>
      </c>
    </row>
    <row r="3873" spans="3:4" x14ac:dyDescent="0.3">
      <c r="C3873" s="35">
        <f t="shared" si="60"/>
        <v>0</v>
      </c>
      <c r="D3873" s="30" t="str">
        <f>IFERROR(VLOOKUP(C3873,소속부서!$A$2:$B$20,2,FALSE), "")</f>
        <v/>
      </c>
    </row>
    <row r="3874" spans="3:4" x14ac:dyDescent="0.3">
      <c r="C3874" s="35">
        <f t="shared" si="60"/>
        <v>0</v>
      </c>
      <c r="D3874" s="30" t="str">
        <f>IFERROR(VLOOKUP(C3874,소속부서!$A$2:$B$20,2,FALSE), "")</f>
        <v/>
      </c>
    </row>
    <row r="3875" spans="3:4" x14ac:dyDescent="0.3">
      <c r="C3875" s="35">
        <f t="shared" si="60"/>
        <v>0</v>
      </c>
      <c r="D3875" s="30" t="str">
        <f>IFERROR(VLOOKUP(C3875,소속부서!$A$2:$B$20,2,FALSE), "")</f>
        <v/>
      </c>
    </row>
    <row r="3876" spans="3:4" x14ac:dyDescent="0.3">
      <c r="C3876" s="35">
        <f t="shared" si="60"/>
        <v>0</v>
      </c>
      <c r="D3876" s="30" t="str">
        <f>IFERROR(VLOOKUP(C3876,소속부서!$A$2:$B$20,2,FALSE), "")</f>
        <v/>
      </c>
    </row>
    <row r="3877" spans="3:4" x14ac:dyDescent="0.3">
      <c r="C3877" s="35">
        <f t="shared" si="60"/>
        <v>0</v>
      </c>
      <c r="D3877" s="30" t="str">
        <f>IFERROR(VLOOKUP(C3877,소속부서!$A$2:$B$20,2,FALSE), "")</f>
        <v/>
      </c>
    </row>
    <row r="3878" spans="3:4" x14ac:dyDescent="0.3">
      <c r="C3878" s="35">
        <f t="shared" si="60"/>
        <v>0</v>
      </c>
      <c r="D3878" s="30" t="str">
        <f>IFERROR(VLOOKUP(C3878,소속부서!$A$2:$B$20,2,FALSE), "")</f>
        <v/>
      </c>
    </row>
    <row r="3879" spans="3:4" x14ac:dyDescent="0.3">
      <c r="C3879" s="35">
        <f t="shared" si="60"/>
        <v>0</v>
      </c>
      <c r="D3879" s="30" t="str">
        <f>IFERROR(VLOOKUP(C3879,소속부서!$A$2:$B$20,2,FALSE), "")</f>
        <v/>
      </c>
    </row>
    <row r="3880" spans="3:4" x14ac:dyDescent="0.3">
      <c r="C3880" s="35">
        <f t="shared" si="60"/>
        <v>0</v>
      </c>
      <c r="D3880" s="30" t="str">
        <f>IFERROR(VLOOKUP(C3880,소속부서!$A$2:$B$20,2,FALSE), "")</f>
        <v/>
      </c>
    </row>
    <row r="3881" spans="3:4" x14ac:dyDescent="0.3">
      <c r="C3881" s="35">
        <f t="shared" si="60"/>
        <v>0</v>
      </c>
      <c r="D3881" s="30" t="str">
        <f>IFERROR(VLOOKUP(C3881,소속부서!$A$2:$B$20,2,FALSE), "")</f>
        <v/>
      </c>
    </row>
    <row r="3882" spans="3:4" x14ac:dyDescent="0.3">
      <c r="C3882" s="35">
        <f t="shared" si="60"/>
        <v>0</v>
      </c>
      <c r="D3882" s="30" t="str">
        <f>IFERROR(VLOOKUP(C3882,소속부서!$A$2:$B$20,2,FALSE), "")</f>
        <v/>
      </c>
    </row>
    <row r="3883" spans="3:4" x14ac:dyDescent="0.3">
      <c r="C3883" s="35">
        <f t="shared" si="60"/>
        <v>0</v>
      </c>
      <c r="D3883" s="30" t="str">
        <f>IFERROR(VLOOKUP(C3883,소속부서!$A$2:$B$20,2,FALSE), "")</f>
        <v/>
      </c>
    </row>
    <row r="3884" spans="3:4" x14ac:dyDescent="0.3">
      <c r="C3884" s="35">
        <f t="shared" si="60"/>
        <v>0</v>
      </c>
      <c r="D3884" s="30" t="str">
        <f>IFERROR(VLOOKUP(C3884,소속부서!$A$2:$B$20,2,FALSE), "")</f>
        <v/>
      </c>
    </row>
    <row r="3885" spans="3:4" x14ac:dyDescent="0.3">
      <c r="C3885" s="35">
        <f t="shared" si="60"/>
        <v>0</v>
      </c>
      <c r="D3885" s="30" t="str">
        <f>IFERROR(VLOOKUP(C3885,소속부서!$A$2:$B$20,2,FALSE), "")</f>
        <v/>
      </c>
    </row>
    <row r="3886" spans="3:4" x14ac:dyDescent="0.3">
      <c r="C3886" s="35">
        <f t="shared" si="60"/>
        <v>0</v>
      </c>
      <c r="D3886" s="30" t="str">
        <f>IFERROR(VLOOKUP(C3886,소속부서!$A$2:$B$20,2,FALSE), "")</f>
        <v/>
      </c>
    </row>
    <row r="3887" spans="3:4" x14ac:dyDescent="0.3">
      <c r="C3887" s="35">
        <f t="shared" si="60"/>
        <v>0</v>
      </c>
      <c r="D3887" s="30" t="str">
        <f>IFERROR(VLOOKUP(C3887,소속부서!$A$2:$B$20,2,FALSE), "")</f>
        <v/>
      </c>
    </row>
    <row r="3888" spans="3:4" x14ac:dyDescent="0.3">
      <c r="C3888" s="35">
        <f t="shared" si="60"/>
        <v>0</v>
      </c>
      <c r="D3888" s="30" t="str">
        <f>IFERROR(VLOOKUP(C3888,소속부서!$A$2:$B$20,2,FALSE), "")</f>
        <v/>
      </c>
    </row>
    <row r="3889" spans="3:4" x14ac:dyDescent="0.3">
      <c r="C3889" s="35">
        <f t="shared" si="60"/>
        <v>0</v>
      </c>
      <c r="D3889" s="30" t="str">
        <f>IFERROR(VLOOKUP(C3889,소속부서!$A$2:$B$20,2,FALSE), "")</f>
        <v/>
      </c>
    </row>
    <row r="3890" spans="3:4" x14ac:dyDescent="0.3">
      <c r="C3890" s="35">
        <f t="shared" si="60"/>
        <v>0</v>
      </c>
      <c r="D3890" s="30" t="str">
        <f>IFERROR(VLOOKUP(C3890,소속부서!$A$2:$B$20,2,FALSE), "")</f>
        <v/>
      </c>
    </row>
    <row r="3891" spans="3:4" x14ac:dyDescent="0.3">
      <c r="C3891" s="35">
        <f t="shared" si="60"/>
        <v>0</v>
      </c>
      <c r="D3891" s="30" t="str">
        <f>IFERROR(VLOOKUP(C3891,소속부서!$A$2:$B$20,2,FALSE), "")</f>
        <v/>
      </c>
    </row>
    <row r="3892" spans="3:4" x14ac:dyDescent="0.3">
      <c r="C3892" s="35">
        <f t="shared" si="60"/>
        <v>0</v>
      </c>
      <c r="D3892" s="30" t="str">
        <f>IFERROR(VLOOKUP(C3892,소속부서!$A$2:$B$20,2,FALSE), "")</f>
        <v/>
      </c>
    </row>
    <row r="3893" spans="3:4" x14ac:dyDescent="0.3">
      <c r="C3893" s="35">
        <f t="shared" si="60"/>
        <v>0</v>
      </c>
      <c r="D3893" s="30" t="str">
        <f>IFERROR(VLOOKUP(C3893,소속부서!$A$2:$B$20,2,FALSE), "")</f>
        <v/>
      </c>
    </row>
    <row r="3894" spans="3:4" x14ac:dyDescent="0.3">
      <c r="C3894" s="35">
        <f t="shared" si="60"/>
        <v>0</v>
      </c>
      <c r="D3894" s="30" t="str">
        <f>IFERROR(VLOOKUP(C3894,소속부서!$A$2:$B$20,2,FALSE), "")</f>
        <v/>
      </c>
    </row>
    <row r="3895" spans="3:4" x14ac:dyDescent="0.3">
      <c r="C3895" s="35">
        <f t="shared" si="60"/>
        <v>0</v>
      </c>
      <c r="D3895" s="30" t="str">
        <f>IFERROR(VLOOKUP(C3895,소속부서!$A$2:$B$20,2,FALSE), "")</f>
        <v/>
      </c>
    </row>
    <row r="3896" spans="3:4" x14ac:dyDescent="0.3">
      <c r="C3896" s="35">
        <f t="shared" si="60"/>
        <v>0</v>
      </c>
      <c r="D3896" s="30" t="str">
        <f>IFERROR(VLOOKUP(C3896,소속부서!$A$2:$B$20,2,FALSE), "")</f>
        <v/>
      </c>
    </row>
    <row r="3897" spans="3:4" x14ac:dyDescent="0.3">
      <c r="C3897" s="35">
        <f t="shared" si="60"/>
        <v>0</v>
      </c>
      <c r="D3897" s="30" t="str">
        <f>IFERROR(VLOOKUP(C3897,소속부서!$A$2:$B$20,2,FALSE), "")</f>
        <v/>
      </c>
    </row>
    <row r="3898" spans="3:4" x14ac:dyDescent="0.3">
      <c r="C3898" s="35">
        <f t="shared" si="60"/>
        <v>0</v>
      </c>
      <c r="D3898" s="30" t="str">
        <f>IFERROR(VLOOKUP(C3898,소속부서!$A$2:$B$20,2,FALSE), "")</f>
        <v/>
      </c>
    </row>
    <row r="3899" spans="3:4" x14ac:dyDescent="0.3">
      <c r="C3899" s="35">
        <f t="shared" si="60"/>
        <v>0</v>
      </c>
      <c r="D3899" s="30" t="str">
        <f>IFERROR(VLOOKUP(C3899,소속부서!$A$2:$B$20,2,FALSE), "")</f>
        <v/>
      </c>
    </row>
    <row r="3900" spans="3:4" x14ac:dyDescent="0.3">
      <c r="C3900" s="35">
        <f t="shared" si="60"/>
        <v>0</v>
      </c>
      <c r="D3900" s="30" t="str">
        <f>IFERROR(VLOOKUP(C3900,소속부서!$A$2:$B$20,2,FALSE), "")</f>
        <v/>
      </c>
    </row>
    <row r="3901" spans="3:4" x14ac:dyDescent="0.3">
      <c r="C3901" s="35">
        <f t="shared" si="60"/>
        <v>0</v>
      </c>
      <c r="D3901" s="30" t="str">
        <f>IFERROR(VLOOKUP(C3901,소속부서!$A$2:$B$20,2,FALSE), "")</f>
        <v/>
      </c>
    </row>
    <row r="3902" spans="3:4" x14ac:dyDescent="0.3">
      <c r="C3902" s="35">
        <f t="shared" si="60"/>
        <v>0</v>
      </c>
      <c r="D3902" s="30" t="str">
        <f>IFERROR(VLOOKUP(C3902,소속부서!$A$2:$B$20,2,FALSE), "")</f>
        <v/>
      </c>
    </row>
    <row r="3903" spans="3:4" x14ac:dyDescent="0.3">
      <c r="C3903" s="35">
        <f t="shared" si="60"/>
        <v>0</v>
      </c>
      <c r="D3903" s="30" t="str">
        <f>IFERROR(VLOOKUP(C3903,소속부서!$A$2:$B$20,2,FALSE), "")</f>
        <v/>
      </c>
    </row>
    <row r="3904" spans="3:4" x14ac:dyDescent="0.3">
      <c r="C3904" s="35">
        <f t="shared" si="60"/>
        <v>0</v>
      </c>
      <c r="D3904" s="30" t="str">
        <f>IFERROR(VLOOKUP(C3904,소속부서!$A$2:$B$20,2,FALSE), "")</f>
        <v/>
      </c>
    </row>
    <row r="3905" spans="3:4" x14ac:dyDescent="0.3">
      <c r="C3905" s="35">
        <f t="shared" ref="C3905:C3968" si="61">E3905</f>
        <v>0</v>
      </c>
      <c r="D3905" s="30" t="str">
        <f>IFERROR(VLOOKUP(C3905,소속부서!$A$2:$B$20,2,FALSE), "")</f>
        <v/>
      </c>
    </row>
    <row r="3906" spans="3:4" x14ac:dyDescent="0.3">
      <c r="C3906" s="35">
        <f t="shared" si="61"/>
        <v>0</v>
      </c>
      <c r="D3906" s="30" t="str">
        <f>IFERROR(VLOOKUP(C3906,소속부서!$A$2:$B$20,2,FALSE), "")</f>
        <v/>
      </c>
    </row>
    <row r="3907" spans="3:4" x14ac:dyDescent="0.3">
      <c r="C3907" s="35">
        <f t="shared" si="61"/>
        <v>0</v>
      </c>
      <c r="D3907" s="30" t="str">
        <f>IFERROR(VLOOKUP(C3907,소속부서!$A$2:$B$20,2,FALSE), "")</f>
        <v/>
      </c>
    </row>
    <row r="3908" spans="3:4" x14ac:dyDescent="0.3">
      <c r="C3908" s="35">
        <f t="shared" si="61"/>
        <v>0</v>
      </c>
      <c r="D3908" s="30" t="str">
        <f>IFERROR(VLOOKUP(C3908,소속부서!$A$2:$B$20,2,FALSE), "")</f>
        <v/>
      </c>
    </row>
    <row r="3909" spans="3:4" x14ac:dyDescent="0.3">
      <c r="C3909" s="35">
        <f t="shared" si="61"/>
        <v>0</v>
      </c>
      <c r="D3909" s="30" t="str">
        <f>IFERROR(VLOOKUP(C3909,소속부서!$A$2:$B$20,2,FALSE), "")</f>
        <v/>
      </c>
    </row>
    <row r="3910" spans="3:4" x14ac:dyDescent="0.3">
      <c r="C3910" s="35">
        <f t="shared" si="61"/>
        <v>0</v>
      </c>
      <c r="D3910" s="30" t="str">
        <f>IFERROR(VLOOKUP(C3910,소속부서!$A$2:$B$20,2,FALSE), "")</f>
        <v/>
      </c>
    </row>
    <row r="3911" spans="3:4" x14ac:dyDescent="0.3">
      <c r="C3911" s="35">
        <f t="shared" si="61"/>
        <v>0</v>
      </c>
      <c r="D3911" s="30" t="str">
        <f>IFERROR(VLOOKUP(C3911,소속부서!$A$2:$B$20,2,FALSE), "")</f>
        <v/>
      </c>
    </row>
    <row r="3912" spans="3:4" x14ac:dyDescent="0.3">
      <c r="C3912" s="35">
        <f t="shared" si="61"/>
        <v>0</v>
      </c>
      <c r="D3912" s="30" t="str">
        <f>IFERROR(VLOOKUP(C3912,소속부서!$A$2:$B$20,2,FALSE), "")</f>
        <v/>
      </c>
    </row>
    <row r="3913" spans="3:4" x14ac:dyDescent="0.3">
      <c r="C3913" s="35">
        <f t="shared" si="61"/>
        <v>0</v>
      </c>
      <c r="D3913" s="30" t="str">
        <f>IFERROR(VLOOKUP(C3913,소속부서!$A$2:$B$20,2,FALSE), "")</f>
        <v/>
      </c>
    </row>
    <row r="3914" spans="3:4" x14ac:dyDescent="0.3">
      <c r="C3914" s="35">
        <f t="shared" si="61"/>
        <v>0</v>
      </c>
      <c r="D3914" s="30" t="str">
        <f>IFERROR(VLOOKUP(C3914,소속부서!$A$2:$B$20,2,FALSE), "")</f>
        <v/>
      </c>
    </row>
    <row r="3915" spans="3:4" x14ac:dyDescent="0.3">
      <c r="C3915" s="35">
        <f t="shared" si="61"/>
        <v>0</v>
      </c>
      <c r="D3915" s="30" t="str">
        <f>IFERROR(VLOOKUP(C3915,소속부서!$A$2:$B$20,2,FALSE), "")</f>
        <v/>
      </c>
    </row>
    <row r="3916" spans="3:4" x14ac:dyDescent="0.3">
      <c r="C3916" s="35">
        <f t="shared" si="61"/>
        <v>0</v>
      </c>
      <c r="D3916" s="30" t="str">
        <f>IFERROR(VLOOKUP(C3916,소속부서!$A$2:$B$20,2,FALSE), "")</f>
        <v/>
      </c>
    </row>
    <row r="3917" spans="3:4" x14ac:dyDescent="0.3">
      <c r="C3917" s="35">
        <f t="shared" si="61"/>
        <v>0</v>
      </c>
      <c r="D3917" s="30" t="str">
        <f>IFERROR(VLOOKUP(C3917,소속부서!$A$2:$B$20,2,FALSE), "")</f>
        <v/>
      </c>
    </row>
    <row r="3918" spans="3:4" x14ac:dyDescent="0.3">
      <c r="C3918" s="35">
        <f t="shared" si="61"/>
        <v>0</v>
      </c>
      <c r="D3918" s="30" t="str">
        <f>IFERROR(VLOOKUP(C3918,소속부서!$A$2:$B$20,2,FALSE), "")</f>
        <v/>
      </c>
    </row>
    <row r="3919" spans="3:4" x14ac:dyDescent="0.3">
      <c r="C3919" s="35">
        <f t="shared" si="61"/>
        <v>0</v>
      </c>
      <c r="D3919" s="30" t="str">
        <f>IFERROR(VLOOKUP(C3919,소속부서!$A$2:$B$20,2,FALSE), "")</f>
        <v/>
      </c>
    </row>
    <row r="3920" spans="3:4" x14ac:dyDescent="0.3">
      <c r="C3920" s="35">
        <f t="shared" si="61"/>
        <v>0</v>
      </c>
      <c r="D3920" s="30" t="str">
        <f>IFERROR(VLOOKUP(C3920,소속부서!$A$2:$B$20,2,FALSE), "")</f>
        <v/>
      </c>
    </row>
    <row r="3921" spans="3:4" x14ac:dyDescent="0.3">
      <c r="C3921" s="35">
        <f t="shared" si="61"/>
        <v>0</v>
      </c>
      <c r="D3921" s="30" t="str">
        <f>IFERROR(VLOOKUP(C3921,소속부서!$A$2:$B$20,2,FALSE), "")</f>
        <v/>
      </c>
    </row>
    <row r="3922" spans="3:4" x14ac:dyDescent="0.3">
      <c r="C3922" s="35">
        <f t="shared" si="61"/>
        <v>0</v>
      </c>
      <c r="D3922" s="30" t="str">
        <f>IFERROR(VLOOKUP(C3922,소속부서!$A$2:$B$20,2,FALSE), "")</f>
        <v/>
      </c>
    </row>
    <row r="3923" spans="3:4" x14ac:dyDescent="0.3">
      <c r="C3923" s="35">
        <f t="shared" si="61"/>
        <v>0</v>
      </c>
      <c r="D3923" s="30" t="str">
        <f>IFERROR(VLOOKUP(C3923,소속부서!$A$2:$B$20,2,FALSE), "")</f>
        <v/>
      </c>
    </row>
    <row r="3924" spans="3:4" x14ac:dyDescent="0.3">
      <c r="C3924" s="35">
        <f t="shared" si="61"/>
        <v>0</v>
      </c>
      <c r="D3924" s="30" t="str">
        <f>IFERROR(VLOOKUP(C3924,소속부서!$A$2:$B$20,2,FALSE), "")</f>
        <v/>
      </c>
    </row>
    <row r="3925" spans="3:4" x14ac:dyDescent="0.3">
      <c r="C3925" s="35">
        <f t="shared" si="61"/>
        <v>0</v>
      </c>
      <c r="D3925" s="30" t="str">
        <f>IFERROR(VLOOKUP(C3925,소속부서!$A$2:$B$20,2,FALSE), "")</f>
        <v/>
      </c>
    </row>
    <row r="3926" spans="3:4" x14ac:dyDescent="0.3">
      <c r="C3926" s="35">
        <f t="shared" si="61"/>
        <v>0</v>
      </c>
      <c r="D3926" s="30" t="str">
        <f>IFERROR(VLOOKUP(C3926,소속부서!$A$2:$B$20,2,FALSE), "")</f>
        <v/>
      </c>
    </row>
    <row r="3927" spans="3:4" x14ac:dyDescent="0.3">
      <c r="C3927" s="35">
        <f t="shared" si="61"/>
        <v>0</v>
      </c>
      <c r="D3927" s="30" t="str">
        <f>IFERROR(VLOOKUP(C3927,소속부서!$A$2:$B$20,2,FALSE), "")</f>
        <v/>
      </c>
    </row>
    <row r="3928" spans="3:4" x14ac:dyDescent="0.3">
      <c r="C3928" s="35">
        <f t="shared" si="61"/>
        <v>0</v>
      </c>
      <c r="D3928" s="30" t="str">
        <f>IFERROR(VLOOKUP(C3928,소속부서!$A$2:$B$20,2,FALSE), "")</f>
        <v/>
      </c>
    </row>
    <row r="3929" spans="3:4" x14ac:dyDescent="0.3">
      <c r="C3929" s="35">
        <f t="shared" si="61"/>
        <v>0</v>
      </c>
      <c r="D3929" s="30" t="str">
        <f>IFERROR(VLOOKUP(C3929,소속부서!$A$2:$B$20,2,FALSE), "")</f>
        <v/>
      </c>
    </row>
    <row r="3930" spans="3:4" x14ac:dyDescent="0.3">
      <c r="C3930" s="35">
        <f t="shared" si="61"/>
        <v>0</v>
      </c>
      <c r="D3930" s="30" t="str">
        <f>IFERROR(VLOOKUP(C3930,소속부서!$A$2:$B$20,2,FALSE), "")</f>
        <v/>
      </c>
    </row>
    <row r="3931" spans="3:4" x14ac:dyDescent="0.3">
      <c r="C3931" s="35">
        <f t="shared" si="61"/>
        <v>0</v>
      </c>
      <c r="D3931" s="30" t="str">
        <f>IFERROR(VLOOKUP(C3931,소속부서!$A$2:$B$20,2,FALSE), "")</f>
        <v/>
      </c>
    </row>
    <row r="3932" spans="3:4" x14ac:dyDescent="0.3">
      <c r="C3932" s="35">
        <f t="shared" si="61"/>
        <v>0</v>
      </c>
      <c r="D3932" s="30" t="str">
        <f>IFERROR(VLOOKUP(C3932,소속부서!$A$2:$B$20,2,FALSE), "")</f>
        <v/>
      </c>
    </row>
    <row r="3933" spans="3:4" x14ac:dyDescent="0.3">
      <c r="C3933" s="35">
        <f t="shared" si="61"/>
        <v>0</v>
      </c>
      <c r="D3933" s="30" t="str">
        <f>IFERROR(VLOOKUP(C3933,소속부서!$A$2:$B$20,2,FALSE), "")</f>
        <v/>
      </c>
    </row>
    <row r="3934" spans="3:4" x14ac:dyDescent="0.3">
      <c r="C3934" s="35">
        <f t="shared" si="61"/>
        <v>0</v>
      </c>
      <c r="D3934" s="30" t="str">
        <f>IFERROR(VLOOKUP(C3934,소속부서!$A$2:$B$20,2,FALSE), "")</f>
        <v/>
      </c>
    </row>
    <row r="3935" spans="3:4" x14ac:dyDescent="0.3">
      <c r="C3935" s="35">
        <f t="shared" si="61"/>
        <v>0</v>
      </c>
      <c r="D3935" s="30" t="str">
        <f>IFERROR(VLOOKUP(C3935,소속부서!$A$2:$B$20,2,FALSE), "")</f>
        <v/>
      </c>
    </row>
    <row r="3936" spans="3:4" x14ac:dyDescent="0.3">
      <c r="C3936" s="35">
        <f t="shared" si="61"/>
        <v>0</v>
      </c>
      <c r="D3936" s="30" t="str">
        <f>IFERROR(VLOOKUP(C3936,소속부서!$A$2:$B$20,2,FALSE), "")</f>
        <v/>
      </c>
    </row>
    <row r="3937" spans="3:4" x14ac:dyDescent="0.3">
      <c r="C3937" s="35">
        <f t="shared" si="61"/>
        <v>0</v>
      </c>
      <c r="D3937" s="30" t="str">
        <f>IFERROR(VLOOKUP(C3937,소속부서!$A$2:$B$20,2,FALSE), "")</f>
        <v/>
      </c>
    </row>
    <row r="3938" spans="3:4" x14ac:dyDescent="0.3">
      <c r="C3938" s="35">
        <f t="shared" si="61"/>
        <v>0</v>
      </c>
      <c r="D3938" s="30" t="str">
        <f>IFERROR(VLOOKUP(C3938,소속부서!$A$2:$B$20,2,FALSE), "")</f>
        <v/>
      </c>
    </row>
    <row r="3939" spans="3:4" x14ac:dyDescent="0.3">
      <c r="C3939" s="35">
        <f t="shared" si="61"/>
        <v>0</v>
      </c>
      <c r="D3939" s="30" t="str">
        <f>IFERROR(VLOOKUP(C3939,소속부서!$A$2:$B$20,2,FALSE), "")</f>
        <v/>
      </c>
    </row>
    <row r="3940" spans="3:4" x14ac:dyDescent="0.3">
      <c r="C3940" s="35">
        <f t="shared" si="61"/>
        <v>0</v>
      </c>
      <c r="D3940" s="30" t="str">
        <f>IFERROR(VLOOKUP(C3940,소속부서!$A$2:$B$20,2,FALSE), "")</f>
        <v/>
      </c>
    </row>
    <row r="3941" spans="3:4" x14ac:dyDescent="0.3">
      <c r="C3941" s="35">
        <f t="shared" si="61"/>
        <v>0</v>
      </c>
      <c r="D3941" s="30" t="str">
        <f>IFERROR(VLOOKUP(C3941,소속부서!$A$2:$B$20,2,FALSE), "")</f>
        <v/>
      </c>
    </row>
    <row r="3942" spans="3:4" x14ac:dyDescent="0.3">
      <c r="C3942" s="35">
        <f t="shared" si="61"/>
        <v>0</v>
      </c>
      <c r="D3942" s="30" t="str">
        <f>IFERROR(VLOOKUP(C3942,소속부서!$A$2:$B$20,2,FALSE), "")</f>
        <v/>
      </c>
    </row>
    <row r="3943" spans="3:4" x14ac:dyDescent="0.3">
      <c r="C3943" s="35">
        <f t="shared" si="61"/>
        <v>0</v>
      </c>
      <c r="D3943" s="30" t="str">
        <f>IFERROR(VLOOKUP(C3943,소속부서!$A$2:$B$20,2,FALSE), "")</f>
        <v/>
      </c>
    </row>
    <row r="3944" spans="3:4" x14ac:dyDescent="0.3">
      <c r="C3944" s="35">
        <f t="shared" si="61"/>
        <v>0</v>
      </c>
      <c r="D3944" s="30" t="str">
        <f>IFERROR(VLOOKUP(C3944,소속부서!$A$2:$B$20,2,FALSE), "")</f>
        <v/>
      </c>
    </row>
    <row r="3945" spans="3:4" x14ac:dyDescent="0.3">
      <c r="C3945" s="35">
        <f t="shared" si="61"/>
        <v>0</v>
      </c>
      <c r="D3945" s="30" t="str">
        <f>IFERROR(VLOOKUP(C3945,소속부서!$A$2:$B$20,2,FALSE), "")</f>
        <v/>
      </c>
    </row>
    <row r="3946" spans="3:4" x14ac:dyDescent="0.3">
      <c r="C3946" s="35">
        <f t="shared" si="61"/>
        <v>0</v>
      </c>
      <c r="D3946" s="30" t="str">
        <f>IFERROR(VLOOKUP(C3946,소속부서!$A$2:$B$20,2,FALSE), "")</f>
        <v/>
      </c>
    </row>
    <row r="3947" spans="3:4" x14ac:dyDescent="0.3">
      <c r="C3947" s="35">
        <f t="shared" si="61"/>
        <v>0</v>
      </c>
      <c r="D3947" s="30" t="str">
        <f>IFERROR(VLOOKUP(C3947,소속부서!$A$2:$B$20,2,FALSE), "")</f>
        <v/>
      </c>
    </row>
    <row r="3948" spans="3:4" x14ac:dyDescent="0.3">
      <c r="C3948" s="35">
        <f t="shared" si="61"/>
        <v>0</v>
      </c>
      <c r="D3948" s="30" t="str">
        <f>IFERROR(VLOOKUP(C3948,소속부서!$A$2:$B$20,2,FALSE), "")</f>
        <v/>
      </c>
    </row>
    <row r="3949" spans="3:4" x14ac:dyDescent="0.3">
      <c r="C3949" s="35">
        <f t="shared" si="61"/>
        <v>0</v>
      </c>
      <c r="D3949" s="30" t="str">
        <f>IFERROR(VLOOKUP(C3949,소속부서!$A$2:$B$20,2,FALSE), "")</f>
        <v/>
      </c>
    </row>
    <row r="3950" spans="3:4" x14ac:dyDescent="0.3">
      <c r="C3950" s="35">
        <f t="shared" si="61"/>
        <v>0</v>
      </c>
      <c r="D3950" s="30" t="str">
        <f>IFERROR(VLOOKUP(C3950,소속부서!$A$2:$B$20,2,FALSE), "")</f>
        <v/>
      </c>
    </row>
    <row r="3951" spans="3:4" x14ac:dyDescent="0.3">
      <c r="C3951" s="35">
        <f t="shared" si="61"/>
        <v>0</v>
      </c>
      <c r="D3951" s="30" t="str">
        <f>IFERROR(VLOOKUP(C3951,소속부서!$A$2:$B$20,2,FALSE), "")</f>
        <v/>
      </c>
    </row>
    <row r="3952" spans="3:4" x14ac:dyDescent="0.3">
      <c r="C3952" s="35">
        <f t="shared" si="61"/>
        <v>0</v>
      </c>
      <c r="D3952" s="30" t="str">
        <f>IFERROR(VLOOKUP(C3952,소속부서!$A$2:$B$20,2,FALSE), "")</f>
        <v/>
      </c>
    </row>
    <row r="3953" spans="3:4" x14ac:dyDescent="0.3">
      <c r="C3953" s="35">
        <f t="shared" si="61"/>
        <v>0</v>
      </c>
      <c r="D3953" s="30" t="str">
        <f>IFERROR(VLOOKUP(C3953,소속부서!$A$2:$B$20,2,FALSE), "")</f>
        <v/>
      </c>
    </row>
    <row r="3954" spans="3:4" x14ac:dyDescent="0.3">
      <c r="C3954" s="35">
        <f t="shared" si="61"/>
        <v>0</v>
      </c>
      <c r="D3954" s="30" t="str">
        <f>IFERROR(VLOOKUP(C3954,소속부서!$A$2:$B$20,2,FALSE), "")</f>
        <v/>
      </c>
    </row>
    <row r="3955" spans="3:4" x14ac:dyDescent="0.3">
      <c r="C3955" s="35">
        <f t="shared" si="61"/>
        <v>0</v>
      </c>
      <c r="D3955" s="30" t="str">
        <f>IFERROR(VLOOKUP(C3955,소속부서!$A$2:$B$20,2,FALSE), "")</f>
        <v/>
      </c>
    </row>
    <row r="3956" spans="3:4" x14ac:dyDescent="0.3">
      <c r="C3956" s="35">
        <f t="shared" si="61"/>
        <v>0</v>
      </c>
      <c r="D3956" s="30" t="str">
        <f>IFERROR(VLOOKUP(C3956,소속부서!$A$2:$B$20,2,FALSE), "")</f>
        <v/>
      </c>
    </row>
    <row r="3957" spans="3:4" x14ac:dyDescent="0.3">
      <c r="C3957" s="35">
        <f t="shared" si="61"/>
        <v>0</v>
      </c>
      <c r="D3957" s="30" t="str">
        <f>IFERROR(VLOOKUP(C3957,소속부서!$A$2:$B$20,2,FALSE), "")</f>
        <v/>
      </c>
    </row>
    <row r="3958" spans="3:4" x14ac:dyDescent="0.3">
      <c r="C3958" s="35">
        <f t="shared" si="61"/>
        <v>0</v>
      </c>
      <c r="D3958" s="30" t="str">
        <f>IFERROR(VLOOKUP(C3958,소속부서!$A$2:$B$20,2,FALSE), "")</f>
        <v/>
      </c>
    </row>
    <row r="3959" spans="3:4" x14ac:dyDescent="0.3">
      <c r="C3959" s="35">
        <f t="shared" si="61"/>
        <v>0</v>
      </c>
      <c r="D3959" s="30" t="str">
        <f>IFERROR(VLOOKUP(C3959,소속부서!$A$2:$B$20,2,FALSE), "")</f>
        <v/>
      </c>
    </row>
    <row r="3960" spans="3:4" x14ac:dyDescent="0.3">
      <c r="C3960" s="35">
        <f t="shared" si="61"/>
        <v>0</v>
      </c>
      <c r="D3960" s="30" t="str">
        <f>IFERROR(VLOOKUP(C3960,소속부서!$A$2:$B$20,2,FALSE), "")</f>
        <v/>
      </c>
    </row>
    <row r="3961" spans="3:4" x14ac:dyDescent="0.3">
      <c r="C3961" s="35">
        <f t="shared" si="61"/>
        <v>0</v>
      </c>
      <c r="D3961" s="30" t="str">
        <f>IFERROR(VLOOKUP(C3961,소속부서!$A$2:$B$20,2,FALSE), "")</f>
        <v/>
      </c>
    </row>
    <row r="3962" spans="3:4" x14ac:dyDescent="0.3">
      <c r="C3962" s="35">
        <f t="shared" si="61"/>
        <v>0</v>
      </c>
      <c r="D3962" s="30" t="str">
        <f>IFERROR(VLOOKUP(C3962,소속부서!$A$2:$B$20,2,FALSE), "")</f>
        <v/>
      </c>
    </row>
    <row r="3963" spans="3:4" x14ac:dyDescent="0.3">
      <c r="C3963" s="35">
        <f t="shared" si="61"/>
        <v>0</v>
      </c>
      <c r="D3963" s="30" t="str">
        <f>IFERROR(VLOOKUP(C3963,소속부서!$A$2:$B$20,2,FALSE), "")</f>
        <v/>
      </c>
    </row>
    <row r="3964" spans="3:4" x14ac:dyDescent="0.3">
      <c r="C3964" s="35">
        <f t="shared" si="61"/>
        <v>0</v>
      </c>
      <c r="D3964" s="30" t="str">
        <f>IFERROR(VLOOKUP(C3964,소속부서!$A$2:$B$20,2,FALSE), "")</f>
        <v/>
      </c>
    </row>
    <row r="3965" spans="3:4" x14ac:dyDescent="0.3">
      <c r="C3965" s="35">
        <f t="shared" si="61"/>
        <v>0</v>
      </c>
      <c r="D3965" s="30" t="str">
        <f>IFERROR(VLOOKUP(C3965,소속부서!$A$2:$B$20,2,FALSE), "")</f>
        <v/>
      </c>
    </row>
    <row r="3966" spans="3:4" x14ac:dyDescent="0.3">
      <c r="C3966" s="35">
        <f t="shared" si="61"/>
        <v>0</v>
      </c>
      <c r="D3966" s="30" t="str">
        <f>IFERROR(VLOOKUP(C3966,소속부서!$A$2:$B$20,2,FALSE), "")</f>
        <v/>
      </c>
    </row>
    <row r="3967" spans="3:4" x14ac:dyDescent="0.3">
      <c r="C3967" s="35">
        <f t="shared" si="61"/>
        <v>0</v>
      </c>
      <c r="D3967" s="30" t="str">
        <f>IFERROR(VLOOKUP(C3967,소속부서!$A$2:$B$20,2,FALSE), "")</f>
        <v/>
      </c>
    </row>
    <row r="3968" spans="3:4" x14ac:dyDescent="0.3">
      <c r="C3968" s="35">
        <f t="shared" si="61"/>
        <v>0</v>
      </c>
      <c r="D3968" s="30" t="str">
        <f>IFERROR(VLOOKUP(C3968,소속부서!$A$2:$B$20,2,FALSE), "")</f>
        <v/>
      </c>
    </row>
    <row r="3969" spans="3:4" x14ac:dyDescent="0.3">
      <c r="C3969" s="35">
        <f t="shared" ref="C3969:C4032" si="62">E3969</f>
        <v>0</v>
      </c>
      <c r="D3969" s="30" t="str">
        <f>IFERROR(VLOOKUP(C3969,소속부서!$A$2:$B$20,2,FALSE), "")</f>
        <v/>
      </c>
    </row>
    <row r="3970" spans="3:4" x14ac:dyDescent="0.3">
      <c r="C3970" s="35">
        <f t="shared" si="62"/>
        <v>0</v>
      </c>
      <c r="D3970" s="30" t="str">
        <f>IFERROR(VLOOKUP(C3970,소속부서!$A$2:$B$20,2,FALSE), "")</f>
        <v/>
      </c>
    </row>
    <row r="3971" spans="3:4" x14ac:dyDescent="0.3">
      <c r="C3971" s="35">
        <f t="shared" si="62"/>
        <v>0</v>
      </c>
      <c r="D3971" s="30" t="str">
        <f>IFERROR(VLOOKUP(C3971,소속부서!$A$2:$B$20,2,FALSE), "")</f>
        <v/>
      </c>
    </row>
    <row r="3972" spans="3:4" x14ac:dyDescent="0.3">
      <c r="C3972" s="35">
        <f t="shared" si="62"/>
        <v>0</v>
      </c>
      <c r="D3972" s="30" t="str">
        <f>IFERROR(VLOOKUP(C3972,소속부서!$A$2:$B$20,2,FALSE), "")</f>
        <v/>
      </c>
    </row>
    <row r="3973" spans="3:4" x14ac:dyDescent="0.3">
      <c r="C3973" s="35">
        <f t="shared" si="62"/>
        <v>0</v>
      </c>
      <c r="D3973" s="30" t="str">
        <f>IFERROR(VLOOKUP(C3973,소속부서!$A$2:$B$20,2,FALSE), "")</f>
        <v/>
      </c>
    </row>
    <row r="3974" spans="3:4" x14ac:dyDescent="0.3">
      <c r="C3974" s="35">
        <f t="shared" si="62"/>
        <v>0</v>
      </c>
      <c r="D3974" s="30" t="str">
        <f>IFERROR(VLOOKUP(C3974,소속부서!$A$2:$B$20,2,FALSE), "")</f>
        <v/>
      </c>
    </row>
    <row r="3975" spans="3:4" x14ac:dyDescent="0.3">
      <c r="C3975" s="35">
        <f t="shared" si="62"/>
        <v>0</v>
      </c>
      <c r="D3975" s="30" t="str">
        <f>IFERROR(VLOOKUP(C3975,소속부서!$A$2:$B$20,2,FALSE), "")</f>
        <v/>
      </c>
    </row>
    <row r="3976" spans="3:4" x14ac:dyDescent="0.3">
      <c r="C3976" s="35">
        <f t="shared" si="62"/>
        <v>0</v>
      </c>
      <c r="D3976" s="30" t="str">
        <f>IFERROR(VLOOKUP(C3976,소속부서!$A$2:$B$20,2,FALSE), "")</f>
        <v/>
      </c>
    </row>
    <row r="3977" spans="3:4" x14ac:dyDescent="0.3">
      <c r="C3977" s="35">
        <f t="shared" si="62"/>
        <v>0</v>
      </c>
      <c r="D3977" s="30" t="str">
        <f>IFERROR(VLOOKUP(C3977,소속부서!$A$2:$B$20,2,FALSE), "")</f>
        <v/>
      </c>
    </row>
    <row r="3978" spans="3:4" x14ac:dyDescent="0.3">
      <c r="C3978" s="35">
        <f t="shared" si="62"/>
        <v>0</v>
      </c>
      <c r="D3978" s="30" t="str">
        <f>IFERROR(VLOOKUP(C3978,소속부서!$A$2:$B$20,2,FALSE), "")</f>
        <v/>
      </c>
    </row>
    <row r="3979" spans="3:4" x14ac:dyDescent="0.3">
      <c r="C3979" s="35">
        <f t="shared" si="62"/>
        <v>0</v>
      </c>
      <c r="D3979" s="30" t="str">
        <f>IFERROR(VLOOKUP(C3979,소속부서!$A$2:$B$20,2,FALSE), "")</f>
        <v/>
      </c>
    </row>
    <row r="3980" spans="3:4" x14ac:dyDescent="0.3">
      <c r="C3980" s="35">
        <f t="shared" si="62"/>
        <v>0</v>
      </c>
      <c r="D3980" s="30" t="str">
        <f>IFERROR(VLOOKUP(C3980,소속부서!$A$2:$B$20,2,FALSE), "")</f>
        <v/>
      </c>
    </row>
    <row r="3981" spans="3:4" x14ac:dyDescent="0.3">
      <c r="C3981" s="35">
        <f t="shared" si="62"/>
        <v>0</v>
      </c>
      <c r="D3981" s="30" t="str">
        <f>IFERROR(VLOOKUP(C3981,소속부서!$A$2:$B$20,2,FALSE), "")</f>
        <v/>
      </c>
    </row>
    <row r="3982" spans="3:4" x14ac:dyDescent="0.3">
      <c r="C3982" s="35">
        <f t="shared" si="62"/>
        <v>0</v>
      </c>
      <c r="D3982" s="30" t="str">
        <f>IFERROR(VLOOKUP(C3982,소속부서!$A$2:$B$20,2,FALSE), "")</f>
        <v/>
      </c>
    </row>
    <row r="3983" spans="3:4" x14ac:dyDescent="0.3">
      <c r="C3983" s="35">
        <f t="shared" si="62"/>
        <v>0</v>
      </c>
      <c r="D3983" s="30" t="str">
        <f>IFERROR(VLOOKUP(C3983,소속부서!$A$2:$B$20,2,FALSE), "")</f>
        <v/>
      </c>
    </row>
    <row r="3984" spans="3:4" x14ac:dyDescent="0.3">
      <c r="C3984" s="35">
        <f t="shared" si="62"/>
        <v>0</v>
      </c>
      <c r="D3984" s="30" t="str">
        <f>IFERROR(VLOOKUP(C3984,소속부서!$A$2:$B$20,2,FALSE), "")</f>
        <v/>
      </c>
    </row>
    <row r="3985" spans="3:4" x14ac:dyDescent="0.3">
      <c r="C3985" s="35">
        <f t="shared" si="62"/>
        <v>0</v>
      </c>
      <c r="D3985" s="30" t="str">
        <f>IFERROR(VLOOKUP(C3985,소속부서!$A$2:$B$20,2,FALSE), "")</f>
        <v/>
      </c>
    </row>
    <row r="3986" spans="3:4" x14ac:dyDescent="0.3">
      <c r="C3986" s="35">
        <f t="shared" si="62"/>
        <v>0</v>
      </c>
      <c r="D3986" s="30" t="str">
        <f>IFERROR(VLOOKUP(C3986,소속부서!$A$2:$B$20,2,FALSE), "")</f>
        <v/>
      </c>
    </row>
    <row r="3987" spans="3:4" x14ac:dyDescent="0.3">
      <c r="C3987" s="35">
        <f t="shared" si="62"/>
        <v>0</v>
      </c>
      <c r="D3987" s="30" t="str">
        <f>IFERROR(VLOOKUP(C3987,소속부서!$A$2:$B$20,2,FALSE), "")</f>
        <v/>
      </c>
    </row>
    <row r="3988" spans="3:4" x14ac:dyDescent="0.3">
      <c r="C3988" s="35">
        <f t="shared" si="62"/>
        <v>0</v>
      </c>
      <c r="D3988" s="30" t="str">
        <f>IFERROR(VLOOKUP(C3988,소속부서!$A$2:$B$20,2,FALSE), "")</f>
        <v/>
      </c>
    </row>
    <row r="3989" spans="3:4" x14ac:dyDescent="0.3">
      <c r="C3989" s="35">
        <f t="shared" si="62"/>
        <v>0</v>
      </c>
      <c r="D3989" s="30" t="str">
        <f>IFERROR(VLOOKUP(C3989,소속부서!$A$2:$B$20,2,FALSE), "")</f>
        <v/>
      </c>
    </row>
    <row r="3990" spans="3:4" x14ac:dyDescent="0.3">
      <c r="C3990" s="35">
        <f t="shared" si="62"/>
        <v>0</v>
      </c>
      <c r="D3990" s="30" t="str">
        <f>IFERROR(VLOOKUP(C3990,소속부서!$A$2:$B$20,2,FALSE), "")</f>
        <v/>
      </c>
    </row>
    <row r="3991" spans="3:4" x14ac:dyDescent="0.3">
      <c r="C3991" s="35">
        <f t="shared" si="62"/>
        <v>0</v>
      </c>
      <c r="D3991" s="30" t="str">
        <f>IFERROR(VLOOKUP(C3991,소속부서!$A$2:$B$20,2,FALSE), "")</f>
        <v/>
      </c>
    </row>
    <row r="3992" spans="3:4" x14ac:dyDescent="0.3">
      <c r="C3992" s="35">
        <f t="shared" si="62"/>
        <v>0</v>
      </c>
      <c r="D3992" s="30" t="str">
        <f>IFERROR(VLOOKUP(C3992,소속부서!$A$2:$B$20,2,FALSE), "")</f>
        <v/>
      </c>
    </row>
    <row r="3993" spans="3:4" x14ac:dyDescent="0.3">
      <c r="C3993" s="35">
        <f t="shared" si="62"/>
        <v>0</v>
      </c>
      <c r="D3993" s="30" t="str">
        <f>IFERROR(VLOOKUP(C3993,소속부서!$A$2:$B$20,2,FALSE), "")</f>
        <v/>
      </c>
    </row>
    <row r="3994" spans="3:4" x14ac:dyDescent="0.3">
      <c r="C3994" s="35">
        <f t="shared" si="62"/>
        <v>0</v>
      </c>
      <c r="D3994" s="30" t="str">
        <f>IFERROR(VLOOKUP(C3994,소속부서!$A$2:$B$20,2,FALSE), "")</f>
        <v/>
      </c>
    </row>
    <row r="3995" spans="3:4" x14ac:dyDescent="0.3">
      <c r="C3995" s="35">
        <f t="shared" si="62"/>
        <v>0</v>
      </c>
      <c r="D3995" s="30" t="str">
        <f>IFERROR(VLOOKUP(C3995,소속부서!$A$2:$B$20,2,FALSE), "")</f>
        <v/>
      </c>
    </row>
    <row r="3996" spans="3:4" x14ac:dyDescent="0.3">
      <c r="C3996" s="35">
        <f t="shared" si="62"/>
        <v>0</v>
      </c>
      <c r="D3996" s="30" t="str">
        <f>IFERROR(VLOOKUP(C3996,소속부서!$A$2:$B$20,2,FALSE), "")</f>
        <v/>
      </c>
    </row>
    <row r="3997" spans="3:4" x14ac:dyDescent="0.3">
      <c r="C3997" s="35">
        <f t="shared" si="62"/>
        <v>0</v>
      </c>
      <c r="D3997" s="30" t="str">
        <f>IFERROR(VLOOKUP(C3997,소속부서!$A$2:$B$20,2,FALSE), "")</f>
        <v/>
      </c>
    </row>
    <row r="3998" spans="3:4" x14ac:dyDescent="0.3">
      <c r="C3998" s="35">
        <f t="shared" si="62"/>
        <v>0</v>
      </c>
      <c r="D3998" s="30" t="str">
        <f>IFERROR(VLOOKUP(C3998,소속부서!$A$2:$B$20,2,FALSE), "")</f>
        <v/>
      </c>
    </row>
    <row r="3999" spans="3:4" x14ac:dyDescent="0.3">
      <c r="C3999" s="35">
        <f t="shared" si="62"/>
        <v>0</v>
      </c>
      <c r="D3999" s="30" t="str">
        <f>IFERROR(VLOOKUP(C3999,소속부서!$A$2:$B$20,2,FALSE), "")</f>
        <v/>
      </c>
    </row>
    <row r="4000" spans="3:4" x14ac:dyDescent="0.3">
      <c r="C4000" s="35">
        <f t="shared" si="62"/>
        <v>0</v>
      </c>
      <c r="D4000" s="30" t="str">
        <f>IFERROR(VLOOKUP(C4000,소속부서!$A$2:$B$20,2,FALSE), "")</f>
        <v/>
      </c>
    </row>
    <row r="4001" spans="3:4" x14ac:dyDescent="0.3">
      <c r="C4001" s="35">
        <f t="shared" si="62"/>
        <v>0</v>
      </c>
      <c r="D4001" s="30" t="str">
        <f>IFERROR(VLOOKUP(C4001,소속부서!$A$2:$B$20,2,FALSE), "")</f>
        <v/>
      </c>
    </row>
    <row r="4002" spans="3:4" x14ac:dyDescent="0.3">
      <c r="C4002" s="35">
        <f t="shared" si="62"/>
        <v>0</v>
      </c>
      <c r="D4002" s="30" t="str">
        <f>IFERROR(VLOOKUP(C4002,소속부서!$A$2:$B$20,2,FALSE), "")</f>
        <v/>
      </c>
    </row>
    <row r="4003" spans="3:4" x14ac:dyDescent="0.3">
      <c r="C4003" s="35">
        <f t="shared" si="62"/>
        <v>0</v>
      </c>
      <c r="D4003" s="30" t="str">
        <f>IFERROR(VLOOKUP(C4003,소속부서!$A$2:$B$20,2,FALSE), "")</f>
        <v/>
      </c>
    </row>
    <row r="4004" spans="3:4" x14ac:dyDescent="0.3">
      <c r="C4004" s="35">
        <f t="shared" si="62"/>
        <v>0</v>
      </c>
      <c r="D4004" s="30" t="str">
        <f>IFERROR(VLOOKUP(C4004,소속부서!$A$2:$B$20,2,FALSE), "")</f>
        <v/>
      </c>
    </row>
    <row r="4005" spans="3:4" x14ac:dyDescent="0.3">
      <c r="C4005" s="35">
        <f t="shared" si="62"/>
        <v>0</v>
      </c>
      <c r="D4005" s="30" t="str">
        <f>IFERROR(VLOOKUP(C4005,소속부서!$A$2:$B$20,2,FALSE), "")</f>
        <v/>
      </c>
    </row>
    <row r="4006" spans="3:4" x14ac:dyDescent="0.3">
      <c r="C4006" s="35">
        <f t="shared" si="62"/>
        <v>0</v>
      </c>
      <c r="D4006" s="30" t="str">
        <f>IFERROR(VLOOKUP(C4006,소속부서!$A$2:$B$20,2,FALSE), "")</f>
        <v/>
      </c>
    </row>
    <row r="4007" spans="3:4" x14ac:dyDescent="0.3">
      <c r="C4007" s="35">
        <f t="shared" si="62"/>
        <v>0</v>
      </c>
      <c r="D4007" s="30" t="str">
        <f>IFERROR(VLOOKUP(C4007,소속부서!$A$2:$B$20,2,FALSE), "")</f>
        <v/>
      </c>
    </row>
    <row r="4008" spans="3:4" x14ac:dyDescent="0.3">
      <c r="C4008" s="35">
        <f t="shared" si="62"/>
        <v>0</v>
      </c>
      <c r="D4008" s="30" t="str">
        <f>IFERROR(VLOOKUP(C4008,소속부서!$A$2:$B$20,2,FALSE), "")</f>
        <v/>
      </c>
    </row>
    <row r="4009" spans="3:4" x14ac:dyDescent="0.3">
      <c r="C4009" s="35">
        <f t="shared" si="62"/>
        <v>0</v>
      </c>
      <c r="D4009" s="30" t="str">
        <f>IFERROR(VLOOKUP(C4009,소속부서!$A$2:$B$20,2,FALSE), "")</f>
        <v/>
      </c>
    </row>
    <row r="4010" spans="3:4" x14ac:dyDescent="0.3">
      <c r="C4010" s="35">
        <f t="shared" si="62"/>
        <v>0</v>
      </c>
      <c r="D4010" s="30" t="str">
        <f>IFERROR(VLOOKUP(C4010,소속부서!$A$2:$B$20,2,FALSE), "")</f>
        <v/>
      </c>
    </row>
    <row r="4011" spans="3:4" x14ac:dyDescent="0.3">
      <c r="C4011" s="35">
        <f t="shared" si="62"/>
        <v>0</v>
      </c>
      <c r="D4011" s="30" t="str">
        <f>IFERROR(VLOOKUP(C4011,소속부서!$A$2:$B$20,2,FALSE), "")</f>
        <v/>
      </c>
    </row>
    <row r="4012" spans="3:4" x14ac:dyDescent="0.3">
      <c r="C4012" s="35">
        <f t="shared" si="62"/>
        <v>0</v>
      </c>
      <c r="D4012" s="30" t="str">
        <f>IFERROR(VLOOKUP(C4012,소속부서!$A$2:$B$20,2,FALSE), "")</f>
        <v/>
      </c>
    </row>
    <row r="4013" spans="3:4" x14ac:dyDescent="0.3">
      <c r="C4013" s="35">
        <f t="shared" si="62"/>
        <v>0</v>
      </c>
      <c r="D4013" s="30" t="str">
        <f>IFERROR(VLOOKUP(C4013,소속부서!$A$2:$B$20,2,FALSE), "")</f>
        <v/>
      </c>
    </row>
    <row r="4014" spans="3:4" x14ac:dyDescent="0.3">
      <c r="C4014" s="35">
        <f t="shared" si="62"/>
        <v>0</v>
      </c>
      <c r="D4014" s="30" t="str">
        <f>IFERROR(VLOOKUP(C4014,소속부서!$A$2:$B$20,2,FALSE), "")</f>
        <v/>
      </c>
    </row>
    <row r="4015" spans="3:4" x14ac:dyDescent="0.3">
      <c r="C4015" s="35">
        <f t="shared" si="62"/>
        <v>0</v>
      </c>
      <c r="D4015" s="30" t="str">
        <f>IFERROR(VLOOKUP(C4015,소속부서!$A$2:$B$20,2,FALSE), "")</f>
        <v/>
      </c>
    </row>
    <row r="4016" spans="3:4" x14ac:dyDescent="0.3">
      <c r="C4016" s="35">
        <f t="shared" si="62"/>
        <v>0</v>
      </c>
      <c r="D4016" s="30" t="str">
        <f>IFERROR(VLOOKUP(C4016,소속부서!$A$2:$B$20,2,FALSE), "")</f>
        <v/>
      </c>
    </row>
    <row r="4017" spans="3:4" x14ac:dyDescent="0.3">
      <c r="C4017" s="35">
        <f t="shared" si="62"/>
        <v>0</v>
      </c>
      <c r="D4017" s="30" t="str">
        <f>IFERROR(VLOOKUP(C4017,소속부서!$A$2:$B$20,2,FALSE), "")</f>
        <v/>
      </c>
    </row>
    <row r="4018" spans="3:4" x14ac:dyDescent="0.3">
      <c r="C4018" s="35">
        <f t="shared" si="62"/>
        <v>0</v>
      </c>
      <c r="D4018" s="30" t="str">
        <f>IFERROR(VLOOKUP(C4018,소속부서!$A$2:$B$20,2,FALSE), "")</f>
        <v/>
      </c>
    </row>
    <row r="4019" spans="3:4" x14ac:dyDescent="0.3">
      <c r="C4019" s="35">
        <f t="shared" si="62"/>
        <v>0</v>
      </c>
      <c r="D4019" s="30" t="str">
        <f>IFERROR(VLOOKUP(C4019,소속부서!$A$2:$B$20,2,FALSE), "")</f>
        <v/>
      </c>
    </row>
    <row r="4020" spans="3:4" x14ac:dyDescent="0.3">
      <c r="C4020" s="35">
        <f t="shared" si="62"/>
        <v>0</v>
      </c>
      <c r="D4020" s="30" t="str">
        <f>IFERROR(VLOOKUP(C4020,소속부서!$A$2:$B$20,2,FALSE), "")</f>
        <v/>
      </c>
    </row>
    <row r="4021" spans="3:4" x14ac:dyDescent="0.3">
      <c r="C4021" s="35">
        <f t="shared" si="62"/>
        <v>0</v>
      </c>
      <c r="D4021" s="30" t="str">
        <f>IFERROR(VLOOKUP(C4021,소속부서!$A$2:$B$20,2,FALSE), "")</f>
        <v/>
      </c>
    </row>
    <row r="4022" spans="3:4" x14ac:dyDescent="0.3">
      <c r="C4022" s="35">
        <f t="shared" si="62"/>
        <v>0</v>
      </c>
      <c r="D4022" s="30" t="str">
        <f>IFERROR(VLOOKUP(C4022,소속부서!$A$2:$B$20,2,FALSE), "")</f>
        <v/>
      </c>
    </row>
    <row r="4023" spans="3:4" x14ac:dyDescent="0.3">
      <c r="C4023" s="35">
        <f t="shared" si="62"/>
        <v>0</v>
      </c>
      <c r="D4023" s="30" t="str">
        <f>IFERROR(VLOOKUP(C4023,소속부서!$A$2:$B$20,2,FALSE), "")</f>
        <v/>
      </c>
    </row>
    <row r="4024" spans="3:4" x14ac:dyDescent="0.3">
      <c r="C4024" s="35">
        <f t="shared" si="62"/>
        <v>0</v>
      </c>
      <c r="D4024" s="30" t="str">
        <f>IFERROR(VLOOKUP(C4024,소속부서!$A$2:$B$20,2,FALSE), "")</f>
        <v/>
      </c>
    </row>
    <row r="4025" spans="3:4" x14ac:dyDescent="0.3">
      <c r="C4025" s="35">
        <f t="shared" si="62"/>
        <v>0</v>
      </c>
      <c r="D4025" s="30" t="str">
        <f>IFERROR(VLOOKUP(C4025,소속부서!$A$2:$B$20,2,FALSE), "")</f>
        <v/>
      </c>
    </row>
    <row r="4026" spans="3:4" x14ac:dyDescent="0.3">
      <c r="C4026" s="35">
        <f t="shared" si="62"/>
        <v>0</v>
      </c>
      <c r="D4026" s="30" t="str">
        <f>IFERROR(VLOOKUP(C4026,소속부서!$A$2:$B$20,2,FALSE), "")</f>
        <v/>
      </c>
    </row>
    <row r="4027" spans="3:4" x14ac:dyDescent="0.3">
      <c r="C4027" s="35">
        <f t="shared" si="62"/>
        <v>0</v>
      </c>
      <c r="D4027" s="30" t="str">
        <f>IFERROR(VLOOKUP(C4027,소속부서!$A$2:$B$20,2,FALSE), "")</f>
        <v/>
      </c>
    </row>
    <row r="4028" spans="3:4" x14ac:dyDescent="0.3">
      <c r="C4028" s="35">
        <f t="shared" si="62"/>
        <v>0</v>
      </c>
      <c r="D4028" s="30" t="str">
        <f>IFERROR(VLOOKUP(C4028,소속부서!$A$2:$B$20,2,FALSE), "")</f>
        <v/>
      </c>
    </row>
    <row r="4029" spans="3:4" x14ac:dyDescent="0.3">
      <c r="C4029" s="35">
        <f t="shared" si="62"/>
        <v>0</v>
      </c>
      <c r="D4029" s="30" t="str">
        <f>IFERROR(VLOOKUP(C4029,소속부서!$A$2:$B$20,2,FALSE), "")</f>
        <v/>
      </c>
    </row>
    <row r="4030" spans="3:4" x14ac:dyDescent="0.3">
      <c r="C4030" s="35">
        <f t="shared" si="62"/>
        <v>0</v>
      </c>
      <c r="D4030" s="30" t="str">
        <f>IFERROR(VLOOKUP(C4030,소속부서!$A$2:$B$20,2,FALSE), "")</f>
        <v/>
      </c>
    </row>
    <row r="4031" spans="3:4" x14ac:dyDescent="0.3">
      <c r="C4031" s="35">
        <f t="shared" si="62"/>
        <v>0</v>
      </c>
      <c r="D4031" s="30" t="str">
        <f>IFERROR(VLOOKUP(C4031,소속부서!$A$2:$B$20,2,FALSE), "")</f>
        <v/>
      </c>
    </row>
    <row r="4032" spans="3:4" x14ac:dyDescent="0.3">
      <c r="C4032" s="35">
        <f t="shared" si="62"/>
        <v>0</v>
      </c>
      <c r="D4032" s="30" t="str">
        <f>IFERROR(VLOOKUP(C4032,소속부서!$A$2:$B$20,2,FALSE), "")</f>
        <v/>
      </c>
    </row>
    <row r="4033" spans="3:4" x14ac:dyDescent="0.3">
      <c r="C4033" s="35">
        <f t="shared" ref="C4033:C4096" si="63">E4033</f>
        <v>0</v>
      </c>
      <c r="D4033" s="30" t="str">
        <f>IFERROR(VLOOKUP(C4033,소속부서!$A$2:$B$20,2,FALSE), "")</f>
        <v/>
      </c>
    </row>
    <row r="4034" spans="3:4" x14ac:dyDescent="0.3">
      <c r="C4034" s="35">
        <f t="shared" si="63"/>
        <v>0</v>
      </c>
      <c r="D4034" s="30" t="str">
        <f>IFERROR(VLOOKUP(C4034,소속부서!$A$2:$B$20,2,FALSE), "")</f>
        <v/>
      </c>
    </row>
    <row r="4035" spans="3:4" x14ac:dyDescent="0.3">
      <c r="C4035" s="35">
        <f t="shared" si="63"/>
        <v>0</v>
      </c>
      <c r="D4035" s="30" t="str">
        <f>IFERROR(VLOOKUP(C4035,소속부서!$A$2:$B$20,2,FALSE), "")</f>
        <v/>
      </c>
    </row>
    <row r="4036" spans="3:4" x14ac:dyDescent="0.3">
      <c r="C4036" s="35">
        <f t="shared" si="63"/>
        <v>0</v>
      </c>
      <c r="D4036" s="30" t="str">
        <f>IFERROR(VLOOKUP(C4036,소속부서!$A$2:$B$20,2,FALSE), "")</f>
        <v/>
      </c>
    </row>
    <row r="4037" spans="3:4" x14ac:dyDescent="0.3">
      <c r="C4037" s="35">
        <f t="shared" si="63"/>
        <v>0</v>
      </c>
      <c r="D4037" s="30" t="str">
        <f>IFERROR(VLOOKUP(C4037,소속부서!$A$2:$B$20,2,FALSE), "")</f>
        <v/>
      </c>
    </row>
    <row r="4038" spans="3:4" x14ac:dyDescent="0.3">
      <c r="C4038" s="35">
        <f t="shared" si="63"/>
        <v>0</v>
      </c>
      <c r="D4038" s="30" t="str">
        <f>IFERROR(VLOOKUP(C4038,소속부서!$A$2:$B$20,2,FALSE), "")</f>
        <v/>
      </c>
    </row>
    <row r="4039" spans="3:4" x14ac:dyDescent="0.3">
      <c r="C4039" s="35">
        <f t="shared" si="63"/>
        <v>0</v>
      </c>
      <c r="D4039" s="30" t="str">
        <f>IFERROR(VLOOKUP(C4039,소속부서!$A$2:$B$20,2,FALSE), "")</f>
        <v/>
      </c>
    </row>
    <row r="4040" spans="3:4" x14ac:dyDescent="0.3">
      <c r="C4040" s="35">
        <f t="shared" si="63"/>
        <v>0</v>
      </c>
      <c r="D4040" s="30" t="str">
        <f>IFERROR(VLOOKUP(C4040,소속부서!$A$2:$B$20,2,FALSE), "")</f>
        <v/>
      </c>
    </row>
    <row r="4041" spans="3:4" x14ac:dyDescent="0.3">
      <c r="C4041" s="35">
        <f t="shared" si="63"/>
        <v>0</v>
      </c>
      <c r="D4041" s="30" t="str">
        <f>IFERROR(VLOOKUP(C4041,소속부서!$A$2:$B$20,2,FALSE), "")</f>
        <v/>
      </c>
    </row>
    <row r="4042" spans="3:4" x14ac:dyDescent="0.3">
      <c r="C4042" s="35">
        <f t="shared" si="63"/>
        <v>0</v>
      </c>
      <c r="D4042" s="30" t="str">
        <f>IFERROR(VLOOKUP(C4042,소속부서!$A$2:$B$20,2,FALSE), "")</f>
        <v/>
      </c>
    </row>
    <row r="4043" spans="3:4" x14ac:dyDescent="0.3">
      <c r="C4043" s="35">
        <f t="shared" si="63"/>
        <v>0</v>
      </c>
      <c r="D4043" s="30" t="str">
        <f>IFERROR(VLOOKUP(C4043,소속부서!$A$2:$B$20,2,FALSE), "")</f>
        <v/>
      </c>
    </row>
    <row r="4044" spans="3:4" x14ac:dyDescent="0.3">
      <c r="C4044" s="35">
        <f t="shared" si="63"/>
        <v>0</v>
      </c>
      <c r="D4044" s="30" t="str">
        <f>IFERROR(VLOOKUP(C4044,소속부서!$A$2:$B$20,2,FALSE), "")</f>
        <v/>
      </c>
    </row>
    <row r="4045" spans="3:4" x14ac:dyDescent="0.3">
      <c r="C4045" s="35">
        <f t="shared" si="63"/>
        <v>0</v>
      </c>
      <c r="D4045" s="30" t="str">
        <f>IFERROR(VLOOKUP(C4045,소속부서!$A$2:$B$20,2,FALSE), "")</f>
        <v/>
      </c>
    </row>
    <row r="4046" spans="3:4" x14ac:dyDescent="0.3">
      <c r="C4046" s="35">
        <f t="shared" si="63"/>
        <v>0</v>
      </c>
      <c r="D4046" s="30" t="str">
        <f>IFERROR(VLOOKUP(C4046,소속부서!$A$2:$B$20,2,FALSE), "")</f>
        <v/>
      </c>
    </row>
    <row r="4047" spans="3:4" x14ac:dyDescent="0.3">
      <c r="C4047" s="35">
        <f t="shared" si="63"/>
        <v>0</v>
      </c>
      <c r="D4047" s="30" t="str">
        <f>IFERROR(VLOOKUP(C4047,소속부서!$A$2:$B$20,2,FALSE), "")</f>
        <v/>
      </c>
    </row>
    <row r="4048" spans="3:4" x14ac:dyDescent="0.3">
      <c r="C4048" s="35">
        <f t="shared" si="63"/>
        <v>0</v>
      </c>
      <c r="D4048" s="30" t="str">
        <f>IFERROR(VLOOKUP(C4048,소속부서!$A$2:$B$20,2,FALSE), "")</f>
        <v/>
      </c>
    </row>
    <row r="4049" spans="3:4" x14ac:dyDescent="0.3">
      <c r="C4049" s="35">
        <f t="shared" si="63"/>
        <v>0</v>
      </c>
      <c r="D4049" s="30" t="str">
        <f>IFERROR(VLOOKUP(C4049,소속부서!$A$2:$B$20,2,FALSE), "")</f>
        <v/>
      </c>
    </row>
    <row r="4050" spans="3:4" x14ac:dyDescent="0.3">
      <c r="C4050" s="35">
        <f t="shared" si="63"/>
        <v>0</v>
      </c>
      <c r="D4050" s="30" t="str">
        <f>IFERROR(VLOOKUP(C4050,소속부서!$A$2:$B$20,2,FALSE), "")</f>
        <v/>
      </c>
    </row>
    <row r="4051" spans="3:4" x14ac:dyDescent="0.3">
      <c r="C4051" s="35">
        <f t="shared" si="63"/>
        <v>0</v>
      </c>
      <c r="D4051" s="30" t="str">
        <f>IFERROR(VLOOKUP(C4051,소속부서!$A$2:$B$20,2,FALSE), "")</f>
        <v/>
      </c>
    </row>
    <row r="4052" spans="3:4" x14ac:dyDescent="0.3">
      <c r="C4052" s="35">
        <f t="shared" si="63"/>
        <v>0</v>
      </c>
      <c r="D4052" s="30" t="str">
        <f>IFERROR(VLOOKUP(C4052,소속부서!$A$2:$B$20,2,FALSE), "")</f>
        <v/>
      </c>
    </row>
    <row r="4053" spans="3:4" x14ac:dyDescent="0.3">
      <c r="C4053" s="35">
        <f t="shared" si="63"/>
        <v>0</v>
      </c>
      <c r="D4053" s="30" t="str">
        <f>IFERROR(VLOOKUP(C4053,소속부서!$A$2:$B$20,2,FALSE), "")</f>
        <v/>
      </c>
    </row>
    <row r="4054" spans="3:4" x14ac:dyDescent="0.3">
      <c r="C4054" s="35">
        <f t="shared" si="63"/>
        <v>0</v>
      </c>
      <c r="D4054" s="30" t="str">
        <f>IFERROR(VLOOKUP(C4054,소속부서!$A$2:$B$20,2,FALSE), "")</f>
        <v/>
      </c>
    </row>
    <row r="4055" spans="3:4" x14ac:dyDescent="0.3">
      <c r="C4055" s="35">
        <f t="shared" si="63"/>
        <v>0</v>
      </c>
      <c r="D4055" s="30" t="str">
        <f>IFERROR(VLOOKUP(C4055,소속부서!$A$2:$B$20,2,FALSE), "")</f>
        <v/>
      </c>
    </row>
    <row r="4056" spans="3:4" x14ac:dyDescent="0.3">
      <c r="C4056" s="35">
        <f t="shared" si="63"/>
        <v>0</v>
      </c>
      <c r="D4056" s="30" t="str">
        <f>IFERROR(VLOOKUP(C4056,소속부서!$A$2:$B$20,2,FALSE), "")</f>
        <v/>
      </c>
    </row>
    <row r="4057" spans="3:4" x14ac:dyDescent="0.3">
      <c r="C4057" s="35">
        <f t="shared" si="63"/>
        <v>0</v>
      </c>
      <c r="D4057" s="30" t="str">
        <f>IFERROR(VLOOKUP(C4057,소속부서!$A$2:$B$20,2,FALSE), "")</f>
        <v/>
      </c>
    </row>
    <row r="4058" spans="3:4" x14ac:dyDescent="0.3">
      <c r="C4058" s="35">
        <f t="shared" si="63"/>
        <v>0</v>
      </c>
      <c r="D4058" s="30" t="str">
        <f>IFERROR(VLOOKUP(C4058,소속부서!$A$2:$B$20,2,FALSE), "")</f>
        <v/>
      </c>
    </row>
    <row r="4059" spans="3:4" x14ac:dyDescent="0.3">
      <c r="C4059" s="35">
        <f t="shared" si="63"/>
        <v>0</v>
      </c>
      <c r="D4059" s="30" t="str">
        <f>IFERROR(VLOOKUP(C4059,소속부서!$A$2:$B$20,2,FALSE), "")</f>
        <v/>
      </c>
    </row>
    <row r="4060" spans="3:4" x14ac:dyDescent="0.3">
      <c r="C4060" s="35">
        <f t="shared" si="63"/>
        <v>0</v>
      </c>
      <c r="D4060" s="30" t="str">
        <f>IFERROR(VLOOKUP(C4060,소속부서!$A$2:$B$20,2,FALSE), "")</f>
        <v/>
      </c>
    </row>
    <row r="4061" spans="3:4" x14ac:dyDescent="0.3">
      <c r="C4061" s="35">
        <f t="shared" si="63"/>
        <v>0</v>
      </c>
      <c r="D4061" s="30" t="str">
        <f>IFERROR(VLOOKUP(C4061,소속부서!$A$2:$B$20,2,FALSE), "")</f>
        <v/>
      </c>
    </row>
    <row r="4062" spans="3:4" x14ac:dyDescent="0.3">
      <c r="C4062" s="35">
        <f t="shared" si="63"/>
        <v>0</v>
      </c>
      <c r="D4062" s="30" t="str">
        <f>IFERROR(VLOOKUP(C4062,소속부서!$A$2:$B$20,2,FALSE), "")</f>
        <v/>
      </c>
    </row>
    <row r="4063" spans="3:4" x14ac:dyDescent="0.3">
      <c r="C4063" s="35">
        <f t="shared" si="63"/>
        <v>0</v>
      </c>
      <c r="D4063" s="30" t="str">
        <f>IFERROR(VLOOKUP(C4063,소속부서!$A$2:$B$20,2,FALSE), "")</f>
        <v/>
      </c>
    </row>
    <row r="4064" spans="3:4" x14ac:dyDescent="0.3">
      <c r="C4064" s="35">
        <f t="shared" si="63"/>
        <v>0</v>
      </c>
      <c r="D4064" s="30" t="str">
        <f>IFERROR(VLOOKUP(C4064,소속부서!$A$2:$B$20,2,FALSE), "")</f>
        <v/>
      </c>
    </row>
    <row r="4065" spans="3:4" x14ac:dyDescent="0.3">
      <c r="C4065" s="35">
        <f t="shared" si="63"/>
        <v>0</v>
      </c>
      <c r="D4065" s="30" t="str">
        <f>IFERROR(VLOOKUP(C4065,소속부서!$A$2:$B$20,2,FALSE), "")</f>
        <v/>
      </c>
    </row>
    <row r="4066" spans="3:4" x14ac:dyDescent="0.3">
      <c r="C4066" s="35">
        <f t="shared" si="63"/>
        <v>0</v>
      </c>
      <c r="D4066" s="30" t="str">
        <f>IFERROR(VLOOKUP(C4066,소속부서!$A$2:$B$20,2,FALSE), "")</f>
        <v/>
      </c>
    </row>
    <row r="4067" spans="3:4" x14ac:dyDescent="0.3">
      <c r="C4067" s="35">
        <f t="shared" si="63"/>
        <v>0</v>
      </c>
      <c r="D4067" s="30" t="str">
        <f>IFERROR(VLOOKUP(C4067,소속부서!$A$2:$B$20,2,FALSE), "")</f>
        <v/>
      </c>
    </row>
    <row r="4068" spans="3:4" x14ac:dyDescent="0.3">
      <c r="C4068" s="35">
        <f t="shared" si="63"/>
        <v>0</v>
      </c>
      <c r="D4068" s="30" t="str">
        <f>IFERROR(VLOOKUP(C4068,소속부서!$A$2:$B$20,2,FALSE), "")</f>
        <v/>
      </c>
    </row>
    <row r="4069" spans="3:4" x14ac:dyDescent="0.3">
      <c r="C4069" s="35">
        <f t="shared" si="63"/>
        <v>0</v>
      </c>
      <c r="D4069" s="30" t="str">
        <f>IFERROR(VLOOKUP(C4069,소속부서!$A$2:$B$20,2,FALSE), "")</f>
        <v/>
      </c>
    </row>
    <row r="4070" spans="3:4" x14ac:dyDescent="0.3">
      <c r="C4070" s="35">
        <f t="shared" si="63"/>
        <v>0</v>
      </c>
      <c r="D4070" s="30" t="str">
        <f>IFERROR(VLOOKUP(C4070,소속부서!$A$2:$B$20,2,FALSE), "")</f>
        <v/>
      </c>
    </row>
    <row r="4071" spans="3:4" x14ac:dyDescent="0.3">
      <c r="C4071" s="35">
        <f t="shared" si="63"/>
        <v>0</v>
      </c>
      <c r="D4071" s="30" t="str">
        <f>IFERROR(VLOOKUP(C4071,소속부서!$A$2:$B$20,2,FALSE), "")</f>
        <v/>
      </c>
    </row>
    <row r="4072" spans="3:4" x14ac:dyDescent="0.3">
      <c r="C4072" s="35">
        <f t="shared" si="63"/>
        <v>0</v>
      </c>
      <c r="D4072" s="30" t="str">
        <f>IFERROR(VLOOKUP(C4072,소속부서!$A$2:$B$20,2,FALSE), "")</f>
        <v/>
      </c>
    </row>
    <row r="4073" spans="3:4" x14ac:dyDescent="0.3">
      <c r="C4073" s="35">
        <f t="shared" si="63"/>
        <v>0</v>
      </c>
      <c r="D4073" s="30" t="str">
        <f>IFERROR(VLOOKUP(C4073,소속부서!$A$2:$B$20,2,FALSE), "")</f>
        <v/>
      </c>
    </row>
    <row r="4074" spans="3:4" x14ac:dyDescent="0.3">
      <c r="C4074" s="35">
        <f t="shared" si="63"/>
        <v>0</v>
      </c>
      <c r="D4074" s="30" t="str">
        <f>IFERROR(VLOOKUP(C4074,소속부서!$A$2:$B$20,2,FALSE), "")</f>
        <v/>
      </c>
    </row>
    <row r="4075" spans="3:4" x14ac:dyDescent="0.3">
      <c r="C4075" s="35">
        <f t="shared" si="63"/>
        <v>0</v>
      </c>
      <c r="D4075" s="30" t="str">
        <f>IFERROR(VLOOKUP(C4075,소속부서!$A$2:$B$20,2,FALSE), "")</f>
        <v/>
      </c>
    </row>
    <row r="4076" spans="3:4" x14ac:dyDescent="0.3">
      <c r="C4076" s="35">
        <f t="shared" si="63"/>
        <v>0</v>
      </c>
      <c r="D4076" s="30" t="str">
        <f>IFERROR(VLOOKUP(C4076,소속부서!$A$2:$B$20,2,FALSE), "")</f>
        <v/>
      </c>
    </row>
    <row r="4077" spans="3:4" x14ac:dyDescent="0.3">
      <c r="C4077" s="35">
        <f t="shared" si="63"/>
        <v>0</v>
      </c>
      <c r="D4077" s="30" t="str">
        <f>IFERROR(VLOOKUP(C4077,소속부서!$A$2:$B$20,2,FALSE), "")</f>
        <v/>
      </c>
    </row>
    <row r="4078" spans="3:4" x14ac:dyDescent="0.3">
      <c r="C4078" s="35">
        <f t="shared" si="63"/>
        <v>0</v>
      </c>
      <c r="D4078" s="30" t="str">
        <f>IFERROR(VLOOKUP(C4078,소속부서!$A$2:$B$20,2,FALSE), "")</f>
        <v/>
      </c>
    </row>
    <row r="4079" spans="3:4" x14ac:dyDescent="0.3">
      <c r="C4079" s="35">
        <f t="shared" si="63"/>
        <v>0</v>
      </c>
      <c r="D4079" s="30" t="str">
        <f>IFERROR(VLOOKUP(C4079,소속부서!$A$2:$B$20,2,FALSE), "")</f>
        <v/>
      </c>
    </row>
    <row r="4080" spans="3:4" x14ac:dyDescent="0.3">
      <c r="C4080" s="35">
        <f t="shared" si="63"/>
        <v>0</v>
      </c>
      <c r="D4080" s="30" t="str">
        <f>IFERROR(VLOOKUP(C4080,소속부서!$A$2:$B$20,2,FALSE), "")</f>
        <v/>
      </c>
    </row>
    <row r="4081" spans="3:4" x14ac:dyDescent="0.3">
      <c r="C4081" s="35">
        <f t="shared" si="63"/>
        <v>0</v>
      </c>
      <c r="D4081" s="30" t="str">
        <f>IFERROR(VLOOKUP(C4081,소속부서!$A$2:$B$20,2,FALSE), "")</f>
        <v/>
      </c>
    </row>
    <row r="4082" spans="3:4" x14ac:dyDescent="0.3">
      <c r="C4082" s="35">
        <f t="shared" si="63"/>
        <v>0</v>
      </c>
      <c r="D4082" s="30" t="str">
        <f>IFERROR(VLOOKUP(C4082,소속부서!$A$2:$B$20,2,FALSE), "")</f>
        <v/>
      </c>
    </row>
    <row r="4083" spans="3:4" x14ac:dyDescent="0.3">
      <c r="C4083" s="35">
        <f t="shared" si="63"/>
        <v>0</v>
      </c>
      <c r="D4083" s="30" t="str">
        <f>IFERROR(VLOOKUP(C4083,소속부서!$A$2:$B$20,2,FALSE), "")</f>
        <v/>
      </c>
    </row>
    <row r="4084" spans="3:4" x14ac:dyDescent="0.3">
      <c r="C4084" s="35">
        <f t="shared" si="63"/>
        <v>0</v>
      </c>
      <c r="D4084" s="30" t="str">
        <f>IFERROR(VLOOKUP(C4084,소속부서!$A$2:$B$20,2,FALSE), "")</f>
        <v/>
      </c>
    </row>
    <row r="4085" spans="3:4" x14ac:dyDescent="0.3">
      <c r="C4085" s="35">
        <f t="shared" si="63"/>
        <v>0</v>
      </c>
      <c r="D4085" s="30" t="str">
        <f>IFERROR(VLOOKUP(C4085,소속부서!$A$2:$B$20,2,FALSE), "")</f>
        <v/>
      </c>
    </row>
    <row r="4086" spans="3:4" x14ac:dyDescent="0.3">
      <c r="C4086" s="35">
        <f t="shared" si="63"/>
        <v>0</v>
      </c>
      <c r="D4086" s="30" t="str">
        <f>IFERROR(VLOOKUP(C4086,소속부서!$A$2:$B$20,2,FALSE), "")</f>
        <v/>
      </c>
    </row>
    <row r="4087" spans="3:4" x14ac:dyDescent="0.3">
      <c r="C4087" s="35">
        <f t="shared" si="63"/>
        <v>0</v>
      </c>
      <c r="D4087" s="30" t="str">
        <f>IFERROR(VLOOKUP(C4087,소속부서!$A$2:$B$20,2,FALSE), "")</f>
        <v/>
      </c>
    </row>
    <row r="4088" spans="3:4" x14ac:dyDescent="0.3">
      <c r="C4088" s="35">
        <f t="shared" si="63"/>
        <v>0</v>
      </c>
      <c r="D4088" s="30" t="str">
        <f>IFERROR(VLOOKUP(C4088,소속부서!$A$2:$B$20,2,FALSE), "")</f>
        <v/>
      </c>
    </row>
    <row r="4089" spans="3:4" x14ac:dyDescent="0.3">
      <c r="C4089" s="35">
        <f t="shared" si="63"/>
        <v>0</v>
      </c>
      <c r="D4089" s="30" t="str">
        <f>IFERROR(VLOOKUP(C4089,소속부서!$A$2:$B$20,2,FALSE), "")</f>
        <v/>
      </c>
    </row>
    <row r="4090" spans="3:4" x14ac:dyDescent="0.3">
      <c r="C4090" s="35">
        <f t="shared" si="63"/>
        <v>0</v>
      </c>
      <c r="D4090" s="30" t="str">
        <f>IFERROR(VLOOKUP(C4090,소속부서!$A$2:$B$20,2,FALSE), "")</f>
        <v/>
      </c>
    </row>
    <row r="4091" spans="3:4" x14ac:dyDescent="0.3">
      <c r="C4091" s="35">
        <f t="shared" si="63"/>
        <v>0</v>
      </c>
      <c r="D4091" s="30" t="str">
        <f>IFERROR(VLOOKUP(C4091,소속부서!$A$2:$B$20,2,FALSE), "")</f>
        <v/>
      </c>
    </row>
    <row r="4092" spans="3:4" x14ac:dyDescent="0.3">
      <c r="C4092" s="35">
        <f t="shared" si="63"/>
        <v>0</v>
      </c>
      <c r="D4092" s="30" t="str">
        <f>IFERROR(VLOOKUP(C4092,소속부서!$A$2:$B$20,2,FALSE), "")</f>
        <v/>
      </c>
    </row>
    <row r="4093" spans="3:4" x14ac:dyDescent="0.3">
      <c r="C4093" s="35">
        <f t="shared" si="63"/>
        <v>0</v>
      </c>
      <c r="D4093" s="30" t="str">
        <f>IFERROR(VLOOKUP(C4093,소속부서!$A$2:$B$20,2,FALSE), "")</f>
        <v/>
      </c>
    </row>
    <row r="4094" spans="3:4" x14ac:dyDescent="0.3">
      <c r="C4094" s="35">
        <f t="shared" si="63"/>
        <v>0</v>
      </c>
      <c r="D4094" s="30" t="str">
        <f>IFERROR(VLOOKUP(C4094,소속부서!$A$2:$B$20,2,FALSE), "")</f>
        <v/>
      </c>
    </row>
    <row r="4095" spans="3:4" x14ac:dyDescent="0.3">
      <c r="C4095" s="35">
        <f t="shared" si="63"/>
        <v>0</v>
      </c>
      <c r="D4095" s="30" t="str">
        <f>IFERROR(VLOOKUP(C4095,소속부서!$A$2:$B$20,2,FALSE), "")</f>
        <v/>
      </c>
    </row>
    <row r="4096" spans="3:4" x14ac:dyDescent="0.3">
      <c r="C4096" s="35">
        <f t="shared" si="63"/>
        <v>0</v>
      </c>
      <c r="D4096" s="30" t="str">
        <f>IFERROR(VLOOKUP(C4096,소속부서!$A$2:$B$20,2,FALSE), "")</f>
        <v/>
      </c>
    </row>
    <row r="4097" spans="3:4" x14ac:dyDescent="0.3">
      <c r="C4097" s="35">
        <f t="shared" ref="C4097:C4160" si="64">E4097</f>
        <v>0</v>
      </c>
      <c r="D4097" s="30" t="str">
        <f>IFERROR(VLOOKUP(C4097,소속부서!$A$2:$B$20,2,FALSE), "")</f>
        <v/>
      </c>
    </row>
    <row r="4098" spans="3:4" x14ac:dyDescent="0.3">
      <c r="C4098" s="35">
        <f t="shared" si="64"/>
        <v>0</v>
      </c>
      <c r="D4098" s="30" t="str">
        <f>IFERROR(VLOOKUP(C4098,소속부서!$A$2:$B$20,2,FALSE), "")</f>
        <v/>
      </c>
    </row>
    <row r="4099" spans="3:4" x14ac:dyDescent="0.3">
      <c r="C4099" s="35">
        <f t="shared" si="64"/>
        <v>0</v>
      </c>
      <c r="D4099" s="30" t="str">
        <f>IFERROR(VLOOKUP(C4099,소속부서!$A$2:$B$20,2,FALSE), "")</f>
        <v/>
      </c>
    </row>
    <row r="4100" spans="3:4" x14ac:dyDescent="0.3">
      <c r="C4100" s="35">
        <f t="shared" si="64"/>
        <v>0</v>
      </c>
      <c r="D4100" s="30" t="str">
        <f>IFERROR(VLOOKUP(C4100,소속부서!$A$2:$B$20,2,FALSE), "")</f>
        <v/>
      </c>
    </row>
    <row r="4101" spans="3:4" x14ac:dyDescent="0.3">
      <c r="C4101" s="35">
        <f t="shared" si="64"/>
        <v>0</v>
      </c>
      <c r="D4101" s="30" t="str">
        <f>IFERROR(VLOOKUP(C4101,소속부서!$A$2:$B$20,2,FALSE), "")</f>
        <v/>
      </c>
    </row>
    <row r="4102" spans="3:4" x14ac:dyDescent="0.3">
      <c r="C4102" s="35">
        <f t="shared" si="64"/>
        <v>0</v>
      </c>
      <c r="D4102" s="30" t="str">
        <f>IFERROR(VLOOKUP(C4102,소속부서!$A$2:$B$20,2,FALSE), "")</f>
        <v/>
      </c>
    </row>
    <row r="4103" spans="3:4" x14ac:dyDescent="0.3">
      <c r="C4103" s="35">
        <f t="shared" si="64"/>
        <v>0</v>
      </c>
      <c r="D4103" s="30" t="str">
        <f>IFERROR(VLOOKUP(C4103,소속부서!$A$2:$B$20,2,FALSE), "")</f>
        <v/>
      </c>
    </row>
    <row r="4104" spans="3:4" x14ac:dyDescent="0.3">
      <c r="C4104" s="35">
        <f t="shared" si="64"/>
        <v>0</v>
      </c>
      <c r="D4104" s="30" t="str">
        <f>IFERROR(VLOOKUP(C4104,소속부서!$A$2:$B$20,2,FALSE), "")</f>
        <v/>
      </c>
    </row>
    <row r="4105" spans="3:4" x14ac:dyDescent="0.3">
      <c r="C4105" s="35">
        <f t="shared" si="64"/>
        <v>0</v>
      </c>
      <c r="D4105" s="30" t="str">
        <f>IFERROR(VLOOKUP(C4105,소속부서!$A$2:$B$20,2,FALSE), "")</f>
        <v/>
      </c>
    </row>
    <row r="4106" spans="3:4" x14ac:dyDescent="0.3">
      <c r="C4106" s="35">
        <f t="shared" si="64"/>
        <v>0</v>
      </c>
      <c r="D4106" s="30" t="str">
        <f>IFERROR(VLOOKUP(C4106,소속부서!$A$2:$B$20,2,FALSE), "")</f>
        <v/>
      </c>
    </row>
    <row r="4107" spans="3:4" x14ac:dyDescent="0.3">
      <c r="C4107" s="35">
        <f t="shared" si="64"/>
        <v>0</v>
      </c>
      <c r="D4107" s="30" t="str">
        <f>IFERROR(VLOOKUP(C4107,소속부서!$A$2:$B$20,2,FALSE), "")</f>
        <v/>
      </c>
    </row>
    <row r="4108" spans="3:4" x14ac:dyDescent="0.3">
      <c r="C4108" s="35">
        <f t="shared" si="64"/>
        <v>0</v>
      </c>
      <c r="D4108" s="30" t="str">
        <f>IFERROR(VLOOKUP(C4108,소속부서!$A$2:$B$20,2,FALSE), "")</f>
        <v/>
      </c>
    </row>
    <row r="4109" spans="3:4" x14ac:dyDescent="0.3">
      <c r="C4109" s="35">
        <f t="shared" si="64"/>
        <v>0</v>
      </c>
      <c r="D4109" s="30" t="str">
        <f>IFERROR(VLOOKUP(C4109,소속부서!$A$2:$B$20,2,FALSE), "")</f>
        <v/>
      </c>
    </row>
    <row r="4110" spans="3:4" x14ac:dyDescent="0.3">
      <c r="C4110" s="35">
        <f t="shared" si="64"/>
        <v>0</v>
      </c>
      <c r="D4110" s="30" t="str">
        <f>IFERROR(VLOOKUP(C4110,소속부서!$A$2:$B$20,2,FALSE), "")</f>
        <v/>
      </c>
    </row>
    <row r="4111" spans="3:4" x14ac:dyDescent="0.3">
      <c r="C4111" s="35">
        <f t="shared" si="64"/>
        <v>0</v>
      </c>
      <c r="D4111" s="30" t="str">
        <f>IFERROR(VLOOKUP(C4111,소속부서!$A$2:$B$20,2,FALSE), "")</f>
        <v/>
      </c>
    </row>
    <row r="4112" spans="3:4" x14ac:dyDescent="0.3">
      <c r="C4112" s="35">
        <f t="shared" si="64"/>
        <v>0</v>
      </c>
      <c r="D4112" s="30" t="str">
        <f>IFERROR(VLOOKUP(C4112,소속부서!$A$2:$B$20,2,FALSE), "")</f>
        <v/>
      </c>
    </row>
    <row r="4113" spans="3:4" x14ac:dyDescent="0.3">
      <c r="C4113" s="35">
        <f t="shared" si="64"/>
        <v>0</v>
      </c>
      <c r="D4113" s="30" t="str">
        <f>IFERROR(VLOOKUP(C4113,소속부서!$A$2:$B$20,2,FALSE), "")</f>
        <v/>
      </c>
    </row>
    <row r="4114" spans="3:4" x14ac:dyDescent="0.3">
      <c r="C4114" s="35">
        <f t="shared" si="64"/>
        <v>0</v>
      </c>
      <c r="D4114" s="30" t="str">
        <f>IFERROR(VLOOKUP(C4114,소속부서!$A$2:$B$20,2,FALSE), "")</f>
        <v/>
      </c>
    </row>
    <row r="4115" spans="3:4" x14ac:dyDescent="0.3">
      <c r="C4115" s="35">
        <f t="shared" si="64"/>
        <v>0</v>
      </c>
      <c r="D4115" s="30" t="str">
        <f>IFERROR(VLOOKUP(C4115,소속부서!$A$2:$B$20,2,FALSE), "")</f>
        <v/>
      </c>
    </row>
    <row r="4116" spans="3:4" x14ac:dyDescent="0.3">
      <c r="C4116" s="35">
        <f t="shared" si="64"/>
        <v>0</v>
      </c>
      <c r="D4116" s="30" t="str">
        <f>IFERROR(VLOOKUP(C4116,소속부서!$A$2:$B$20,2,FALSE), "")</f>
        <v/>
      </c>
    </row>
    <row r="4117" spans="3:4" x14ac:dyDescent="0.3">
      <c r="C4117" s="35">
        <f t="shared" si="64"/>
        <v>0</v>
      </c>
      <c r="D4117" s="30" t="str">
        <f>IFERROR(VLOOKUP(C4117,소속부서!$A$2:$B$20,2,FALSE), "")</f>
        <v/>
      </c>
    </row>
    <row r="4118" spans="3:4" x14ac:dyDescent="0.3">
      <c r="C4118" s="35">
        <f t="shared" si="64"/>
        <v>0</v>
      </c>
      <c r="D4118" s="30" t="str">
        <f>IFERROR(VLOOKUP(C4118,소속부서!$A$2:$B$20,2,FALSE), "")</f>
        <v/>
      </c>
    </row>
    <row r="4119" spans="3:4" x14ac:dyDescent="0.3">
      <c r="C4119" s="35">
        <f t="shared" si="64"/>
        <v>0</v>
      </c>
      <c r="D4119" s="30" t="str">
        <f>IFERROR(VLOOKUP(C4119,소속부서!$A$2:$B$20,2,FALSE), "")</f>
        <v/>
      </c>
    </row>
    <row r="4120" spans="3:4" x14ac:dyDescent="0.3">
      <c r="C4120" s="35">
        <f t="shared" si="64"/>
        <v>0</v>
      </c>
      <c r="D4120" s="30" t="str">
        <f>IFERROR(VLOOKUP(C4120,소속부서!$A$2:$B$20,2,FALSE), "")</f>
        <v/>
      </c>
    </row>
    <row r="4121" spans="3:4" x14ac:dyDescent="0.3">
      <c r="C4121" s="35">
        <f t="shared" si="64"/>
        <v>0</v>
      </c>
      <c r="D4121" s="30" t="str">
        <f>IFERROR(VLOOKUP(C4121,소속부서!$A$2:$B$20,2,FALSE), "")</f>
        <v/>
      </c>
    </row>
    <row r="4122" spans="3:4" x14ac:dyDescent="0.3">
      <c r="C4122" s="35">
        <f t="shared" si="64"/>
        <v>0</v>
      </c>
      <c r="D4122" s="30" t="str">
        <f>IFERROR(VLOOKUP(C4122,소속부서!$A$2:$B$20,2,FALSE), "")</f>
        <v/>
      </c>
    </row>
    <row r="4123" spans="3:4" x14ac:dyDescent="0.3">
      <c r="C4123" s="35">
        <f t="shared" si="64"/>
        <v>0</v>
      </c>
      <c r="D4123" s="30" t="str">
        <f>IFERROR(VLOOKUP(C4123,소속부서!$A$2:$B$20,2,FALSE), "")</f>
        <v/>
      </c>
    </row>
    <row r="4124" spans="3:4" x14ac:dyDescent="0.3">
      <c r="C4124" s="35">
        <f t="shared" si="64"/>
        <v>0</v>
      </c>
      <c r="D4124" s="30" t="str">
        <f>IFERROR(VLOOKUP(C4124,소속부서!$A$2:$B$20,2,FALSE), "")</f>
        <v/>
      </c>
    </row>
    <row r="4125" spans="3:4" x14ac:dyDescent="0.3">
      <c r="C4125" s="35">
        <f t="shared" si="64"/>
        <v>0</v>
      </c>
      <c r="D4125" s="30" t="str">
        <f>IFERROR(VLOOKUP(C4125,소속부서!$A$2:$B$20,2,FALSE), "")</f>
        <v/>
      </c>
    </row>
    <row r="4126" spans="3:4" x14ac:dyDescent="0.3">
      <c r="C4126" s="35">
        <f t="shared" si="64"/>
        <v>0</v>
      </c>
      <c r="D4126" s="30" t="str">
        <f>IFERROR(VLOOKUP(C4126,소속부서!$A$2:$B$20,2,FALSE), "")</f>
        <v/>
      </c>
    </row>
    <row r="4127" spans="3:4" x14ac:dyDescent="0.3">
      <c r="C4127" s="35">
        <f t="shared" si="64"/>
        <v>0</v>
      </c>
      <c r="D4127" s="30" t="str">
        <f>IFERROR(VLOOKUP(C4127,소속부서!$A$2:$B$20,2,FALSE), "")</f>
        <v/>
      </c>
    </row>
    <row r="4128" spans="3:4" x14ac:dyDescent="0.3">
      <c r="C4128" s="35">
        <f t="shared" si="64"/>
        <v>0</v>
      </c>
      <c r="D4128" s="30" t="str">
        <f>IFERROR(VLOOKUP(C4128,소속부서!$A$2:$B$20,2,FALSE), "")</f>
        <v/>
      </c>
    </row>
    <row r="4129" spans="3:4" x14ac:dyDescent="0.3">
      <c r="C4129" s="35">
        <f t="shared" si="64"/>
        <v>0</v>
      </c>
      <c r="D4129" s="30" t="str">
        <f>IFERROR(VLOOKUP(C4129,소속부서!$A$2:$B$20,2,FALSE), "")</f>
        <v/>
      </c>
    </row>
    <row r="4130" spans="3:4" x14ac:dyDescent="0.3">
      <c r="C4130" s="35">
        <f t="shared" si="64"/>
        <v>0</v>
      </c>
      <c r="D4130" s="30" t="str">
        <f>IFERROR(VLOOKUP(C4130,소속부서!$A$2:$B$20,2,FALSE), "")</f>
        <v/>
      </c>
    </row>
    <row r="4131" spans="3:4" x14ac:dyDescent="0.3">
      <c r="C4131" s="35">
        <f t="shared" si="64"/>
        <v>0</v>
      </c>
      <c r="D4131" s="30" t="str">
        <f>IFERROR(VLOOKUP(C4131,소속부서!$A$2:$B$20,2,FALSE), "")</f>
        <v/>
      </c>
    </row>
    <row r="4132" spans="3:4" x14ac:dyDescent="0.3">
      <c r="C4132" s="35">
        <f t="shared" si="64"/>
        <v>0</v>
      </c>
      <c r="D4132" s="30" t="str">
        <f>IFERROR(VLOOKUP(C4132,소속부서!$A$2:$B$20,2,FALSE), "")</f>
        <v/>
      </c>
    </row>
    <row r="4133" spans="3:4" x14ac:dyDescent="0.3">
      <c r="C4133" s="35">
        <f t="shared" si="64"/>
        <v>0</v>
      </c>
      <c r="D4133" s="30" t="str">
        <f>IFERROR(VLOOKUP(C4133,소속부서!$A$2:$B$20,2,FALSE), "")</f>
        <v/>
      </c>
    </row>
    <row r="4134" spans="3:4" x14ac:dyDescent="0.3">
      <c r="C4134" s="35">
        <f t="shared" si="64"/>
        <v>0</v>
      </c>
      <c r="D4134" s="30" t="str">
        <f>IFERROR(VLOOKUP(C4134,소속부서!$A$2:$B$20,2,FALSE), "")</f>
        <v/>
      </c>
    </row>
    <row r="4135" spans="3:4" x14ac:dyDescent="0.3">
      <c r="C4135" s="35">
        <f t="shared" si="64"/>
        <v>0</v>
      </c>
      <c r="D4135" s="30" t="str">
        <f>IFERROR(VLOOKUP(C4135,소속부서!$A$2:$B$20,2,FALSE), "")</f>
        <v/>
      </c>
    </row>
    <row r="4136" spans="3:4" x14ac:dyDescent="0.3">
      <c r="C4136" s="35">
        <f t="shared" si="64"/>
        <v>0</v>
      </c>
      <c r="D4136" s="30" t="str">
        <f>IFERROR(VLOOKUP(C4136,소속부서!$A$2:$B$20,2,FALSE), "")</f>
        <v/>
      </c>
    </row>
    <row r="4137" spans="3:4" x14ac:dyDescent="0.3">
      <c r="C4137" s="35">
        <f t="shared" si="64"/>
        <v>0</v>
      </c>
      <c r="D4137" s="30" t="str">
        <f>IFERROR(VLOOKUP(C4137,소속부서!$A$2:$B$20,2,FALSE), "")</f>
        <v/>
      </c>
    </row>
    <row r="4138" spans="3:4" x14ac:dyDescent="0.3">
      <c r="C4138" s="35">
        <f t="shared" si="64"/>
        <v>0</v>
      </c>
      <c r="D4138" s="30" t="str">
        <f>IFERROR(VLOOKUP(C4138,소속부서!$A$2:$B$20,2,FALSE), "")</f>
        <v/>
      </c>
    </row>
    <row r="4139" spans="3:4" x14ac:dyDescent="0.3">
      <c r="C4139" s="35">
        <f t="shared" si="64"/>
        <v>0</v>
      </c>
      <c r="D4139" s="30" t="str">
        <f>IFERROR(VLOOKUP(C4139,소속부서!$A$2:$B$20,2,FALSE), "")</f>
        <v/>
      </c>
    </row>
    <row r="4140" spans="3:4" x14ac:dyDescent="0.3">
      <c r="C4140" s="35">
        <f t="shared" si="64"/>
        <v>0</v>
      </c>
      <c r="D4140" s="30" t="str">
        <f>IFERROR(VLOOKUP(C4140,소속부서!$A$2:$B$20,2,FALSE), "")</f>
        <v/>
      </c>
    </row>
    <row r="4141" spans="3:4" x14ac:dyDescent="0.3">
      <c r="C4141" s="35">
        <f t="shared" si="64"/>
        <v>0</v>
      </c>
      <c r="D4141" s="30" t="str">
        <f>IFERROR(VLOOKUP(C4141,소속부서!$A$2:$B$20,2,FALSE), "")</f>
        <v/>
      </c>
    </row>
    <row r="4142" spans="3:4" x14ac:dyDescent="0.3">
      <c r="C4142" s="35">
        <f t="shared" si="64"/>
        <v>0</v>
      </c>
      <c r="D4142" s="30" t="str">
        <f>IFERROR(VLOOKUP(C4142,소속부서!$A$2:$B$20,2,FALSE), "")</f>
        <v/>
      </c>
    </row>
    <row r="4143" spans="3:4" x14ac:dyDescent="0.3">
      <c r="C4143" s="35">
        <f t="shared" si="64"/>
        <v>0</v>
      </c>
      <c r="D4143" s="30" t="str">
        <f>IFERROR(VLOOKUP(C4143,소속부서!$A$2:$B$20,2,FALSE), "")</f>
        <v/>
      </c>
    </row>
    <row r="4144" spans="3:4" x14ac:dyDescent="0.3">
      <c r="C4144" s="35">
        <f t="shared" si="64"/>
        <v>0</v>
      </c>
      <c r="D4144" s="30" t="str">
        <f>IFERROR(VLOOKUP(C4144,소속부서!$A$2:$B$20,2,FALSE), "")</f>
        <v/>
      </c>
    </row>
    <row r="4145" spans="3:4" x14ac:dyDescent="0.3">
      <c r="C4145" s="35">
        <f t="shared" si="64"/>
        <v>0</v>
      </c>
      <c r="D4145" s="30" t="str">
        <f>IFERROR(VLOOKUP(C4145,소속부서!$A$2:$B$20,2,FALSE), "")</f>
        <v/>
      </c>
    </row>
    <row r="4146" spans="3:4" x14ac:dyDescent="0.3">
      <c r="C4146" s="35">
        <f t="shared" si="64"/>
        <v>0</v>
      </c>
      <c r="D4146" s="30" t="str">
        <f>IFERROR(VLOOKUP(C4146,소속부서!$A$2:$B$20,2,FALSE), "")</f>
        <v/>
      </c>
    </row>
    <row r="4147" spans="3:4" x14ac:dyDescent="0.3">
      <c r="C4147" s="35">
        <f t="shared" si="64"/>
        <v>0</v>
      </c>
      <c r="D4147" s="30" t="str">
        <f>IFERROR(VLOOKUP(C4147,소속부서!$A$2:$B$20,2,FALSE), "")</f>
        <v/>
      </c>
    </row>
    <row r="4148" spans="3:4" x14ac:dyDescent="0.3">
      <c r="C4148" s="35">
        <f t="shared" si="64"/>
        <v>0</v>
      </c>
      <c r="D4148" s="30" t="str">
        <f>IFERROR(VLOOKUP(C4148,소속부서!$A$2:$B$20,2,FALSE), "")</f>
        <v/>
      </c>
    </row>
    <row r="4149" spans="3:4" x14ac:dyDescent="0.3">
      <c r="C4149" s="35">
        <f t="shared" si="64"/>
        <v>0</v>
      </c>
      <c r="D4149" s="30" t="str">
        <f>IFERROR(VLOOKUP(C4149,소속부서!$A$2:$B$20,2,FALSE), "")</f>
        <v/>
      </c>
    </row>
    <row r="4150" spans="3:4" x14ac:dyDescent="0.3">
      <c r="C4150" s="35">
        <f t="shared" si="64"/>
        <v>0</v>
      </c>
      <c r="D4150" s="30" t="str">
        <f>IFERROR(VLOOKUP(C4150,소속부서!$A$2:$B$20,2,FALSE), "")</f>
        <v/>
      </c>
    </row>
    <row r="4151" spans="3:4" x14ac:dyDescent="0.3">
      <c r="C4151" s="35">
        <f t="shared" si="64"/>
        <v>0</v>
      </c>
      <c r="D4151" s="30" t="str">
        <f>IFERROR(VLOOKUP(C4151,소속부서!$A$2:$B$20,2,FALSE), "")</f>
        <v/>
      </c>
    </row>
    <row r="4152" spans="3:4" x14ac:dyDescent="0.3">
      <c r="C4152" s="35">
        <f t="shared" si="64"/>
        <v>0</v>
      </c>
      <c r="D4152" s="30" t="str">
        <f>IFERROR(VLOOKUP(C4152,소속부서!$A$2:$B$20,2,FALSE), "")</f>
        <v/>
      </c>
    </row>
    <row r="4153" spans="3:4" x14ac:dyDescent="0.3">
      <c r="C4153" s="35">
        <f t="shared" si="64"/>
        <v>0</v>
      </c>
      <c r="D4153" s="30" t="str">
        <f>IFERROR(VLOOKUP(C4153,소속부서!$A$2:$B$20,2,FALSE), "")</f>
        <v/>
      </c>
    </row>
    <row r="4154" spans="3:4" x14ac:dyDescent="0.3">
      <c r="C4154" s="35">
        <f t="shared" si="64"/>
        <v>0</v>
      </c>
      <c r="D4154" s="30" t="str">
        <f>IFERROR(VLOOKUP(C4154,소속부서!$A$2:$B$20,2,FALSE), "")</f>
        <v/>
      </c>
    </row>
    <row r="4155" spans="3:4" x14ac:dyDescent="0.3">
      <c r="C4155" s="35">
        <f t="shared" si="64"/>
        <v>0</v>
      </c>
      <c r="D4155" s="30" t="str">
        <f>IFERROR(VLOOKUP(C4155,소속부서!$A$2:$B$20,2,FALSE), "")</f>
        <v/>
      </c>
    </row>
    <row r="4156" spans="3:4" x14ac:dyDescent="0.3">
      <c r="C4156" s="35">
        <f t="shared" si="64"/>
        <v>0</v>
      </c>
      <c r="D4156" s="30" t="str">
        <f>IFERROR(VLOOKUP(C4156,소속부서!$A$2:$B$20,2,FALSE), "")</f>
        <v/>
      </c>
    </row>
    <row r="4157" spans="3:4" x14ac:dyDescent="0.3">
      <c r="C4157" s="35">
        <f t="shared" si="64"/>
        <v>0</v>
      </c>
      <c r="D4157" s="30" t="str">
        <f>IFERROR(VLOOKUP(C4157,소속부서!$A$2:$B$20,2,FALSE), "")</f>
        <v/>
      </c>
    </row>
    <row r="4158" spans="3:4" x14ac:dyDescent="0.3">
      <c r="C4158" s="35">
        <f t="shared" si="64"/>
        <v>0</v>
      </c>
      <c r="D4158" s="30" t="str">
        <f>IFERROR(VLOOKUP(C4158,소속부서!$A$2:$B$20,2,FALSE), "")</f>
        <v/>
      </c>
    </row>
    <row r="4159" spans="3:4" x14ac:dyDescent="0.3">
      <c r="C4159" s="35">
        <f t="shared" si="64"/>
        <v>0</v>
      </c>
      <c r="D4159" s="30" t="str">
        <f>IFERROR(VLOOKUP(C4159,소속부서!$A$2:$B$20,2,FALSE), "")</f>
        <v/>
      </c>
    </row>
    <row r="4160" spans="3:4" x14ac:dyDescent="0.3">
      <c r="C4160" s="35">
        <f t="shared" si="64"/>
        <v>0</v>
      </c>
      <c r="D4160" s="30" t="str">
        <f>IFERROR(VLOOKUP(C4160,소속부서!$A$2:$B$20,2,FALSE), "")</f>
        <v/>
      </c>
    </row>
    <row r="4161" spans="3:4" x14ac:dyDescent="0.3">
      <c r="C4161" s="35">
        <f t="shared" ref="C4161:C4224" si="65">E4161</f>
        <v>0</v>
      </c>
      <c r="D4161" s="30" t="str">
        <f>IFERROR(VLOOKUP(C4161,소속부서!$A$2:$B$20,2,FALSE), "")</f>
        <v/>
      </c>
    </row>
    <row r="4162" spans="3:4" x14ac:dyDescent="0.3">
      <c r="C4162" s="35">
        <f t="shared" si="65"/>
        <v>0</v>
      </c>
      <c r="D4162" s="30" t="str">
        <f>IFERROR(VLOOKUP(C4162,소속부서!$A$2:$B$20,2,FALSE), "")</f>
        <v/>
      </c>
    </row>
    <row r="4163" spans="3:4" x14ac:dyDescent="0.3">
      <c r="C4163" s="35">
        <f t="shared" si="65"/>
        <v>0</v>
      </c>
      <c r="D4163" s="30" t="str">
        <f>IFERROR(VLOOKUP(C4163,소속부서!$A$2:$B$20,2,FALSE), "")</f>
        <v/>
      </c>
    </row>
    <row r="4164" spans="3:4" x14ac:dyDescent="0.3">
      <c r="C4164" s="35">
        <f t="shared" si="65"/>
        <v>0</v>
      </c>
      <c r="D4164" s="30" t="str">
        <f>IFERROR(VLOOKUP(C4164,소속부서!$A$2:$B$20,2,FALSE), "")</f>
        <v/>
      </c>
    </row>
    <row r="4165" spans="3:4" x14ac:dyDescent="0.3">
      <c r="C4165" s="35">
        <f t="shared" si="65"/>
        <v>0</v>
      </c>
      <c r="D4165" s="30" t="str">
        <f>IFERROR(VLOOKUP(C4165,소속부서!$A$2:$B$20,2,FALSE), "")</f>
        <v/>
      </c>
    </row>
    <row r="4166" spans="3:4" x14ac:dyDescent="0.3">
      <c r="C4166" s="35">
        <f t="shared" si="65"/>
        <v>0</v>
      </c>
      <c r="D4166" s="30" t="str">
        <f>IFERROR(VLOOKUP(C4166,소속부서!$A$2:$B$20,2,FALSE), "")</f>
        <v/>
      </c>
    </row>
    <row r="4167" spans="3:4" x14ac:dyDescent="0.3">
      <c r="C4167" s="35">
        <f t="shared" si="65"/>
        <v>0</v>
      </c>
      <c r="D4167" s="30" t="str">
        <f>IFERROR(VLOOKUP(C4167,소속부서!$A$2:$B$20,2,FALSE), "")</f>
        <v/>
      </c>
    </row>
    <row r="4168" spans="3:4" x14ac:dyDescent="0.3">
      <c r="C4168" s="35">
        <f t="shared" si="65"/>
        <v>0</v>
      </c>
      <c r="D4168" s="30" t="str">
        <f>IFERROR(VLOOKUP(C4168,소속부서!$A$2:$B$20,2,FALSE), "")</f>
        <v/>
      </c>
    </row>
    <row r="4169" spans="3:4" x14ac:dyDescent="0.3">
      <c r="C4169" s="35">
        <f t="shared" si="65"/>
        <v>0</v>
      </c>
      <c r="D4169" s="30" t="str">
        <f>IFERROR(VLOOKUP(C4169,소속부서!$A$2:$B$20,2,FALSE), "")</f>
        <v/>
      </c>
    </row>
    <row r="4170" spans="3:4" x14ac:dyDescent="0.3">
      <c r="C4170" s="35">
        <f t="shared" si="65"/>
        <v>0</v>
      </c>
      <c r="D4170" s="30" t="str">
        <f>IFERROR(VLOOKUP(C4170,소속부서!$A$2:$B$20,2,FALSE), "")</f>
        <v/>
      </c>
    </row>
    <row r="4171" spans="3:4" x14ac:dyDescent="0.3">
      <c r="C4171" s="35">
        <f t="shared" si="65"/>
        <v>0</v>
      </c>
      <c r="D4171" s="30" t="str">
        <f>IFERROR(VLOOKUP(C4171,소속부서!$A$2:$B$20,2,FALSE), "")</f>
        <v/>
      </c>
    </row>
    <row r="4172" spans="3:4" x14ac:dyDescent="0.3">
      <c r="C4172" s="35">
        <f t="shared" si="65"/>
        <v>0</v>
      </c>
      <c r="D4172" s="30" t="str">
        <f>IFERROR(VLOOKUP(C4172,소속부서!$A$2:$B$20,2,FALSE), "")</f>
        <v/>
      </c>
    </row>
    <row r="4173" spans="3:4" x14ac:dyDescent="0.3">
      <c r="C4173" s="35">
        <f t="shared" si="65"/>
        <v>0</v>
      </c>
      <c r="D4173" s="30" t="str">
        <f>IFERROR(VLOOKUP(C4173,소속부서!$A$2:$B$20,2,FALSE), "")</f>
        <v/>
      </c>
    </row>
    <row r="4174" spans="3:4" x14ac:dyDescent="0.3">
      <c r="C4174" s="35">
        <f t="shared" si="65"/>
        <v>0</v>
      </c>
      <c r="D4174" s="30" t="str">
        <f>IFERROR(VLOOKUP(C4174,소속부서!$A$2:$B$20,2,FALSE), "")</f>
        <v/>
      </c>
    </row>
    <row r="4175" spans="3:4" x14ac:dyDescent="0.3">
      <c r="C4175" s="35">
        <f t="shared" si="65"/>
        <v>0</v>
      </c>
      <c r="D4175" s="30" t="str">
        <f>IFERROR(VLOOKUP(C4175,소속부서!$A$2:$B$20,2,FALSE), "")</f>
        <v/>
      </c>
    </row>
    <row r="4176" spans="3:4" x14ac:dyDescent="0.3">
      <c r="C4176" s="35">
        <f t="shared" si="65"/>
        <v>0</v>
      </c>
      <c r="D4176" s="30" t="str">
        <f>IFERROR(VLOOKUP(C4176,소속부서!$A$2:$B$20,2,FALSE), "")</f>
        <v/>
      </c>
    </row>
    <row r="4177" spans="3:4" x14ac:dyDescent="0.3">
      <c r="C4177" s="35">
        <f t="shared" si="65"/>
        <v>0</v>
      </c>
      <c r="D4177" s="30" t="str">
        <f>IFERROR(VLOOKUP(C4177,소속부서!$A$2:$B$20,2,FALSE), "")</f>
        <v/>
      </c>
    </row>
    <row r="4178" spans="3:4" x14ac:dyDescent="0.3">
      <c r="C4178" s="35">
        <f t="shared" si="65"/>
        <v>0</v>
      </c>
      <c r="D4178" s="30" t="str">
        <f>IFERROR(VLOOKUP(C4178,소속부서!$A$2:$B$20,2,FALSE), "")</f>
        <v/>
      </c>
    </row>
    <row r="4179" spans="3:4" x14ac:dyDescent="0.3">
      <c r="C4179" s="35">
        <f t="shared" si="65"/>
        <v>0</v>
      </c>
      <c r="D4179" s="30" t="str">
        <f>IFERROR(VLOOKUP(C4179,소속부서!$A$2:$B$20,2,FALSE), "")</f>
        <v/>
      </c>
    </row>
    <row r="4180" spans="3:4" x14ac:dyDescent="0.3">
      <c r="C4180" s="35">
        <f t="shared" si="65"/>
        <v>0</v>
      </c>
      <c r="D4180" s="30" t="str">
        <f>IFERROR(VLOOKUP(C4180,소속부서!$A$2:$B$20,2,FALSE), "")</f>
        <v/>
      </c>
    </row>
    <row r="4181" spans="3:4" x14ac:dyDescent="0.3">
      <c r="C4181" s="35">
        <f t="shared" si="65"/>
        <v>0</v>
      </c>
      <c r="D4181" s="30" t="str">
        <f>IFERROR(VLOOKUP(C4181,소속부서!$A$2:$B$20,2,FALSE), "")</f>
        <v/>
      </c>
    </row>
    <row r="4182" spans="3:4" x14ac:dyDescent="0.3">
      <c r="C4182" s="35">
        <f t="shared" si="65"/>
        <v>0</v>
      </c>
      <c r="D4182" s="30" t="str">
        <f>IFERROR(VLOOKUP(C4182,소속부서!$A$2:$B$20,2,FALSE), "")</f>
        <v/>
      </c>
    </row>
    <row r="4183" spans="3:4" x14ac:dyDescent="0.3">
      <c r="C4183" s="35">
        <f t="shared" si="65"/>
        <v>0</v>
      </c>
      <c r="D4183" s="30" t="str">
        <f>IFERROR(VLOOKUP(C4183,소속부서!$A$2:$B$20,2,FALSE), "")</f>
        <v/>
      </c>
    </row>
    <row r="4184" spans="3:4" x14ac:dyDescent="0.3">
      <c r="C4184" s="35">
        <f t="shared" si="65"/>
        <v>0</v>
      </c>
      <c r="D4184" s="30" t="str">
        <f>IFERROR(VLOOKUP(C4184,소속부서!$A$2:$B$20,2,FALSE), "")</f>
        <v/>
      </c>
    </row>
    <row r="4185" spans="3:4" x14ac:dyDescent="0.3">
      <c r="C4185" s="35">
        <f t="shared" si="65"/>
        <v>0</v>
      </c>
      <c r="D4185" s="30" t="str">
        <f>IFERROR(VLOOKUP(C4185,소속부서!$A$2:$B$20,2,FALSE), "")</f>
        <v/>
      </c>
    </row>
    <row r="4186" spans="3:4" x14ac:dyDescent="0.3">
      <c r="C4186" s="35">
        <f t="shared" si="65"/>
        <v>0</v>
      </c>
      <c r="D4186" s="30" t="str">
        <f>IFERROR(VLOOKUP(C4186,소속부서!$A$2:$B$20,2,FALSE), "")</f>
        <v/>
      </c>
    </row>
    <row r="4187" spans="3:4" x14ac:dyDescent="0.3">
      <c r="C4187" s="35">
        <f t="shared" si="65"/>
        <v>0</v>
      </c>
      <c r="D4187" s="30" t="str">
        <f>IFERROR(VLOOKUP(C4187,소속부서!$A$2:$B$20,2,FALSE), "")</f>
        <v/>
      </c>
    </row>
    <row r="4188" spans="3:4" x14ac:dyDescent="0.3">
      <c r="C4188" s="35">
        <f t="shared" si="65"/>
        <v>0</v>
      </c>
      <c r="D4188" s="30" t="str">
        <f>IFERROR(VLOOKUP(C4188,소속부서!$A$2:$B$20,2,FALSE), "")</f>
        <v/>
      </c>
    </row>
    <row r="4189" spans="3:4" x14ac:dyDescent="0.3">
      <c r="C4189" s="35">
        <f t="shared" si="65"/>
        <v>0</v>
      </c>
      <c r="D4189" s="30" t="str">
        <f>IFERROR(VLOOKUP(C4189,소속부서!$A$2:$B$20,2,FALSE), "")</f>
        <v/>
      </c>
    </row>
    <row r="4190" spans="3:4" x14ac:dyDescent="0.3">
      <c r="C4190" s="35">
        <f t="shared" si="65"/>
        <v>0</v>
      </c>
      <c r="D4190" s="30" t="str">
        <f>IFERROR(VLOOKUP(C4190,소속부서!$A$2:$B$20,2,FALSE), "")</f>
        <v/>
      </c>
    </row>
    <row r="4191" spans="3:4" x14ac:dyDescent="0.3">
      <c r="C4191" s="35">
        <f t="shared" si="65"/>
        <v>0</v>
      </c>
      <c r="D4191" s="30" t="str">
        <f>IFERROR(VLOOKUP(C4191,소속부서!$A$2:$B$20,2,FALSE), "")</f>
        <v/>
      </c>
    </row>
    <row r="4192" spans="3:4" x14ac:dyDescent="0.3">
      <c r="C4192" s="35">
        <f t="shared" si="65"/>
        <v>0</v>
      </c>
      <c r="D4192" s="30" t="str">
        <f>IFERROR(VLOOKUP(C4192,소속부서!$A$2:$B$20,2,FALSE), "")</f>
        <v/>
      </c>
    </row>
    <row r="4193" spans="3:4" x14ac:dyDescent="0.3">
      <c r="C4193" s="35">
        <f t="shared" si="65"/>
        <v>0</v>
      </c>
      <c r="D4193" s="30" t="str">
        <f>IFERROR(VLOOKUP(C4193,소속부서!$A$2:$B$20,2,FALSE), "")</f>
        <v/>
      </c>
    </row>
    <row r="4194" spans="3:4" x14ac:dyDescent="0.3">
      <c r="C4194" s="35">
        <f t="shared" si="65"/>
        <v>0</v>
      </c>
      <c r="D4194" s="30" t="str">
        <f>IFERROR(VLOOKUP(C4194,소속부서!$A$2:$B$20,2,FALSE), "")</f>
        <v/>
      </c>
    </row>
    <row r="4195" spans="3:4" x14ac:dyDescent="0.3">
      <c r="C4195" s="35">
        <f t="shared" si="65"/>
        <v>0</v>
      </c>
      <c r="D4195" s="30" t="str">
        <f>IFERROR(VLOOKUP(C4195,소속부서!$A$2:$B$20,2,FALSE), "")</f>
        <v/>
      </c>
    </row>
    <row r="4196" spans="3:4" x14ac:dyDescent="0.3">
      <c r="C4196" s="35">
        <f t="shared" si="65"/>
        <v>0</v>
      </c>
      <c r="D4196" s="30" t="str">
        <f>IFERROR(VLOOKUP(C4196,소속부서!$A$2:$B$20,2,FALSE), "")</f>
        <v/>
      </c>
    </row>
    <row r="4197" spans="3:4" x14ac:dyDescent="0.3">
      <c r="C4197" s="35">
        <f t="shared" si="65"/>
        <v>0</v>
      </c>
      <c r="D4197" s="30" t="str">
        <f>IFERROR(VLOOKUP(C4197,소속부서!$A$2:$B$20,2,FALSE), "")</f>
        <v/>
      </c>
    </row>
    <row r="4198" spans="3:4" x14ac:dyDescent="0.3">
      <c r="C4198" s="35">
        <f t="shared" si="65"/>
        <v>0</v>
      </c>
      <c r="D4198" s="30" t="str">
        <f>IFERROR(VLOOKUP(C4198,소속부서!$A$2:$B$20,2,FALSE), "")</f>
        <v/>
      </c>
    </row>
    <row r="4199" spans="3:4" x14ac:dyDescent="0.3">
      <c r="C4199" s="35">
        <f t="shared" si="65"/>
        <v>0</v>
      </c>
      <c r="D4199" s="30" t="str">
        <f>IFERROR(VLOOKUP(C4199,소속부서!$A$2:$B$20,2,FALSE), "")</f>
        <v/>
      </c>
    </row>
    <row r="4200" spans="3:4" x14ac:dyDescent="0.3">
      <c r="C4200" s="35">
        <f t="shared" si="65"/>
        <v>0</v>
      </c>
      <c r="D4200" s="30" t="str">
        <f>IFERROR(VLOOKUP(C4200,소속부서!$A$2:$B$20,2,FALSE), "")</f>
        <v/>
      </c>
    </row>
    <row r="4201" spans="3:4" x14ac:dyDescent="0.3">
      <c r="C4201" s="35">
        <f t="shared" si="65"/>
        <v>0</v>
      </c>
      <c r="D4201" s="30" t="str">
        <f>IFERROR(VLOOKUP(C4201,소속부서!$A$2:$B$20,2,FALSE), "")</f>
        <v/>
      </c>
    </row>
    <row r="4202" spans="3:4" x14ac:dyDescent="0.3">
      <c r="C4202" s="35">
        <f t="shared" si="65"/>
        <v>0</v>
      </c>
      <c r="D4202" s="30" t="str">
        <f>IFERROR(VLOOKUP(C4202,소속부서!$A$2:$B$20,2,FALSE), "")</f>
        <v/>
      </c>
    </row>
    <row r="4203" spans="3:4" x14ac:dyDescent="0.3">
      <c r="C4203" s="35">
        <f t="shared" si="65"/>
        <v>0</v>
      </c>
      <c r="D4203" s="30" t="str">
        <f>IFERROR(VLOOKUP(C4203,소속부서!$A$2:$B$20,2,FALSE), "")</f>
        <v/>
      </c>
    </row>
    <row r="4204" spans="3:4" x14ac:dyDescent="0.3">
      <c r="C4204" s="35">
        <f t="shared" si="65"/>
        <v>0</v>
      </c>
      <c r="D4204" s="30" t="str">
        <f>IFERROR(VLOOKUP(C4204,소속부서!$A$2:$B$20,2,FALSE), "")</f>
        <v/>
      </c>
    </row>
    <row r="4205" spans="3:4" x14ac:dyDescent="0.3">
      <c r="C4205" s="35">
        <f t="shared" si="65"/>
        <v>0</v>
      </c>
      <c r="D4205" s="30" t="str">
        <f>IFERROR(VLOOKUP(C4205,소속부서!$A$2:$B$20,2,FALSE), "")</f>
        <v/>
      </c>
    </row>
    <row r="4206" spans="3:4" x14ac:dyDescent="0.3">
      <c r="C4206" s="35">
        <f t="shared" si="65"/>
        <v>0</v>
      </c>
      <c r="D4206" s="30" t="str">
        <f>IFERROR(VLOOKUP(C4206,소속부서!$A$2:$B$20,2,FALSE), "")</f>
        <v/>
      </c>
    </row>
    <row r="4207" spans="3:4" x14ac:dyDescent="0.3">
      <c r="C4207" s="35">
        <f t="shared" si="65"/>
        <v>0</v>
      </c>
      <c r="D4207" s="30" t="str">
        <f>IFERROR(VLOOKUP(C4207,소속부서!$A$2:$B$20,2,FALSE), "")</f>
        <v/>
      </c>
    </row>
    <row r="4208" spans="3:4" x14ac:dyDescent="0.3">
      <c r="C4208" s="35">
        <f t="shared" si="65"/>
        <v>0</v>
      </c>
      <c r="D4208" s="30" t="str">
        <f>IFERROR(VLOOKUP(C4208,소속부서!$A$2:$B$20,2,FALSE), "")</f>
        <v/>
      </c>
    </row>
    <row r="4209" spans="3:4" x14ac:dyDescent="0.3">
      <c r="C4209" s="35">
        <f t="shared" si="65"/>
        <v>0</v>
      </c>
      <c r="D4209" s="30" t="str">
        <f>IFERROR(VLOOKUP(C4209,소속부서!$A$2:$B$20,2,FALSE), "")</f>
        <v/>
      </c>
    </row>
    <row r="4210" spans="3:4" x14ac:dyDescent="0.3">
      <c r="C4210" s="35">
        <f t="shared" si="65"/>
        <v>0</v>
      </c>
      <c r="D4210" s="30" t="str">
        <f>IFERROR(VLOOKUP(C4210,소속부서!$A$2:$B$20,2,FALSE), "")</f>
        <v/>
      </c>
    </row>
    <row r="4211" spans="3:4" x14ac:dyDescent="0.3">
      <c r="C4211" s="35">
        <f t="shared" si="65"/>
        <v>0</v>
      </c>
      <c r="D4211" s="30" t="str">
        <f>IFERROR(VLOOKUP(C4211,소속부서!$A$2:$B$20,2,FALSE), "")</f>
        <v/>
      </c>
    </row>
    <row r="4212" spans="3:4" x14ac:dyDescent="0.3">
      <c r="C4212" s="35">
        <f t="shared" si="65"/>
        <v>0</v>
      </c>
      <c r="D4212" s="30" t="str">
        <f>IFERROR(VLOOKUP(C4212,소속부서!$A$2:$B$20,2,FALSE), "")</f>
        <v/>
      </c>
    </row>
    <row r="4213" spans="3:4" x14ac:dyDescent="0.3">
      <c r="C4213" s="35">
        <f t="shared" si="65"/>
        <v>0</v>
      </c>
      <c r="D4213" s="30" t="str">
        <f>IFERROR(VLOOKUP(C4213,소속부서!$A$2:$B$20,2,FALSE), "")</f>
        <v/>
      </c>
    </row>
    <row r="4214" spans="3:4" x14ac:dyDescent="0.3">
      <c r="C4214" s="35">
        <f t="shared" si="65"/>
        <v>0</v>
      </c>
      <c r="D4214" s="30" t="str">
        <f>IFERROR(VLOOKUP(C4214,소속부서!$A$2:$B$20,2,FALSE), "")</f>
        <v/>
      </c>
    </row>
    <row r="4215" spans="3:4" x14ac:dyDescent="0.3">
      <c r="C4215" s="35">
        <f t="shared" si="65"/>
        <v>0</v>
      </c>
      <c r="D4215" s="30" t="str">
        <f>IFERROR(VLOOKUP(C4215,소속부서!$A$2:$B$20,2,FALSE), "")</f>
        <v/>
      </c>
    </row>
    <row r="4216" spans="3:4" x14ac:dyDescent="0.3">
      <c r="C4216" s="35">
        <f t="shared" si="65"/>
        <v>0</v>
      </c>
      <c r="D4216" s="30" t="str">
        <f>IFERROR(VLOOKUP(C4216,소속부서!$A$2:$B$20,2,FALSE), "")</f>
        <v/>
      </c>
    </row>
    <row r="4217" spans="3:4" x14ac:dyDescent="0.3">
      <c r="C4217" s="35">
        <f t="shared" si="65"/>
        <v>0</v>
      </c>
      <c r="D4217" s="30" t="str">
        <f>IFERROR(VLOOKUP(C4217,소속부서!$A$2:$B$20,2,FALSE), "")</f>
        <v/>
      </c>
    </row>
    <row r="4218" spans="3:4" x14ac:dyDescent="0.3">
      <c r="C4218" s="35">
        <f t="shared" si="65"/>
        <v>0</v>
      </c>
      <c r="D4218" s="30" t="str">
        <f>IFERROR(VLOOKUP(C4218,소속부서!$A$2:$B$20,2,FALSE), "")</f>
        <v/>
      </c>
    </row>
    <row r="4219" spans="3:4" x14ac:dyDescent="0.3">
      <c r="C4219" s="35">
        <f t="shared" si="65"/>
        <v>0</v>
      </c>
      <c r="D4219" s="30" t="str">
        <f>IFERROR(VLOOKUP(C4219,소속부서!$A$2:$B$20,2,FALSE), "")</f>
        <v/>
      </c>
    </row>
    <row r="4220" spans="3:4" x14ac:dyDescent="0.3">
      <c r="C4220" s="35">
        <f t="shared" si="65"/>
        <v>0</v>
      </c>
      <c r="D4220" s="30" t="str">
        <f>IFERROR(VLOOKUP(C4220,소속부서!$A$2:$B$20,2,FALSE), "")</f>
        <v/>
      </c>
    </row>
    <row r="4221" spans="3:4" x14ac:dyDescent="0.3">
      <c r="C4221" s="35">
        <f t="shared" si="65"/>
        <v>0</v>
      </c>
      <c r="D4221" s="30" t="str">
        <f>IFERROR(VLOOKUP(C4221,소속부서!$A$2:$B$20,2,FALSE), "")</f>
        <v/>
      </c>
    </row>
    <row r="4222" spans="3:4" x14ac:dyDescent="0.3">
      <c r="C4222" s="35">
        <f t="shared" si="65"/>
        <v>0</v>
      </c>
      <c r="D4222" s="30" t="str">
        <f>IFERROR(VLOOKUP(C4222,소속부서!$A$2:$B$20,2,FALSE), "")</f>
        <v/>
      </c>
    </row>
    <row r="4223" spans="3:4" x14ac:dyDescent="0.3">
      <c r="C4223" s="35">
        <f t="shared" si="65"/>
        <v>0</v>
      </c>
      <c r="D4223" s="30" t="str">
        <f>IFERROR(VLOOKUP(C4223,소속부서!$A$2:$B$20,2,FALSE), "")</f>
        <v/>
      </c>
    </row>
    <row r="4224" spans="3:4" x14ac:dyDescent="0.3">
      <c r="C4224" s="35">
        <f t="shared" si="65"/>
        <v>0</v>
      </c>
      <c r="D4224" s="30" t="str">
        <f>IFERROR(VLOOKUP(C4224,소속부서!$A$2:$B$20,2,FALSE), "")</f>
        <v/>
      </c>
    </row>
    <row r="4225" spans="3:4" x14ac:dyDescent="0.3">
      <c r="C4225" s="35">
        <f t="shared" ref="C4225:C4288" si="66">E4225</f>
        <v>0</v>
      </c>
      <c r="D4225" s="30" t="str">
        <f>IFERROR(VLOOKUP(C4225,소속부서!$A$2:$B$20,2,FALSE), "")</f>
        <v/>
      </c>
    </row>
    <row r="4226" spans="3:4" x14ac:dyDescent="0.3">
      <c r="C4226" s="35">
        <f t="shared" si="66"/>
        <v>0</v>
      </c>
      <c r="D4226" s="30" t="str">
        <f>IFERROR(VLOOKUP(C4226,소속부서!$A$2:$B$20,2,FALSE), "")</f>
        <v/>
      </c>
    </row>
    <row r="4227" spans="3:4" x14ac:dyDescent="0.3">
      <c r="C4227" s="35">
        <f t="shared" si="66"/>
        <v>0</v>
      </c>
      <c r="D4227" s="30" t="str">
        <f>IFERROR(VLOOKUP(C4227,소속부서!$A$2:$B$20,2,FALSE), "")</f>
        <v/>
      </c>
    </row>
    <row r="4228" spans="3:4" x14ac:dyDescent="0.3">
      <c r="C4228" s="35">
        <f t="shared" si="66"/>
        <v>0</v>
      </c>
      <c r="D4228" s="30" t="str">
        <f>IFERROR(VLOOKUP(C4228,소속부서!$A$2:$B$20,2,FALSE), "")</f>
        <v/>
      </c>
    </row>
    <row r="4229" spans="3:4" x14ac:dyDescent="0.3">
      <c r="C4229" s="35">
        <f t="shared" si="66"/>
        <v>0</v>
      </c>
      <c r="D4229" s="30" t="str">
        <f>IFERROR(VLOOKUP(C4229,소속부서!$A$2:$B$20,2,FALSE), "")</f>
        <v/>
      </c>
    </row>
    <row r="4230" spans="3:4" x14ac:dyDescent="0.3">
      <c r="C4230" s="35">
        <f t="shared" si="66"/>
        <v>0</v>
      </c>
      <c r="D4230" s="30" t="str">
        <f>IFERROR(VLOOKUP(C4230,소속부서!$A$2:$B$20,2,FALSE), "")</f>
        <v/>
      </c>
    </row>
    <row r="4231" spans="3:4" x14ac:dyDescent="0.3">
      <c r="C4231" s="35">
        <f t="shared" si="66"/>
        <v>0</v>
      </c>
      <c r="D4231" s="30" t="str">
        <f>IFERROR(VLOOKUP(C4231,소속부서!$A$2:$B$20,2,FALSE), "")</f>
        <v/>
      </c>
    </row>
    <row r="4232" spans="3:4" x14ac:dyDescent="0.3">
      <c r="C4232" s="35">
        <f t="shared" si="66"/>
        <v>0</v>
      </c>
      <c r="D4232" s="30" t="str">
        <f>IFERROR(VLOOKUP(C4232,소속부서!$A$2:$B$20,2,FALSE), "")</f>
        <v/>
      </c>
    </row>
    <row r="4233" spans="3:4" x14ac:dyDescent="0.3">
      <c r="C4233" s="35">
        <f t="shared" si="66"/>
        <v>0</v>
      </c>
      <c r="D4233" s="30" t="str">
        <f>IFERROR(VLOOKUP(C4233,소속부서!$A$2:$B$20,2,FALSE), "")</f>
        <v/>
      </c>
    </row>
    <row r="4234" spans="3:4" x14ac:dyDescent="0.3">
      <c r="C4234" s="35">
        <f t="shared" si="66"/>
        <v>0</v>
      </c>
      <c r="D4234" s="30" t="str">
        <f>IFERROR(VLOOKUP(C4234,소속부서!$A$2:$B$20,2,FALSE), "")</f>
        <v/>
      </c>
    </row>
    <row r="4235" spans="3:4" x14ac:dyDescent="0.3">
      <c r="C4235" s="35">
        <f t="shared" si="66"/>
        <v>0</v>
      </c>
      <c r="D4235" s="30" t="str">
        <f>IFERROR(VLOOKUP(C4235,소속부서!$A$2:$B$20,2,FALSE), "")</f>
        <v/>
      </c>
    </row>
    <row r="4236" spans="3:4" x14ac:dyDescent="0.3">
      <c r="C4236" s="35">
        <f t="shared" si="66"/>
        <v>0</v>
      </c>
      <c r="D4236" s="30" t="str">
        <f>IFERROR(VLOOKUP(C4236,소속부서!$A$2:$B$20,2,FALSE), "")</f>
        <v/>
      </c>
    </row>
    <row r="4237" spans="3:4" x14ac:dyDescent="0.3">
      <c r="C4237" s="35">
        <f t="shared" si="66"/>
        <v>0</v>
      </c>
      <c r="D4237" s="30" t="str">
        <f>IFERROR(VLOOKUP(C4237,소속부서!$A$2:$B$20,2,FALSE), "")</f>
        <v/>
      </c>
    </row>
    <row r="4238" spans="3:4" x14ac:dyDescent="0.3">
      <c r="C4238" s="35">
        <f t="shared" si="66"/>
        <v>0</v>
      </c>
      <c r="D4238" s="30" t="str">
        <f>IFERROR(VLOOKUP(C4238,소속부서!$A$2:$B$20,2,FALSE), "")</f>
        <v/>
      </c>
    </row>
    <row r="4239" spans="3:4" x14ac:dyDescent="0.3">
      <c r="C4239" s="35">
        <f t="shared" si="66"/>
        <v>0</v>
      </c>
      <c r="D4239" s="30" t="str">
        <f>IFERROR(VLOOKUP(C4239,소속부서!$A$2:$B$20,2,FALSE), "")</f>
        <v/>
      </c>
    </row>
    <row r="4240" spans="3:4" x14ac:dyDescent="0.3">
      <c r="C4240" s="35">
        <f t="shared" si="66"/>
        <v>0</v>
      </c>
      <c r="D4240" s="30" t="str">
        <f>IFERROR(VLOOKUP(C4240,소속부서!$A$2:$B$20,2,FALSE), "")</f>
        <v/>
      </c>
    </row>
    <row r="4241" spans="3:4" x14ac:dyDescent="0.3">
      <c r="C4241" s="35">
        <f t="shared" si="66"/>
        <v>0</v>
      </c>
      <c r="D4241" s="30" t="str">
        <f>IFERROR(VLOOKUP(C4241,소속부서!$A$2:$B$20,2,FALSE), "")</f>
        <v/>
      </c>
    </row>
    <row r="4242" spans="3:4" x14ac:dyDescent="0.3">
      <c r="C4242" s="35">
        <f t="shared" si="66"/>
        <v>0</v>
      </c>
      <c r="D4242" s="30" t="str">
        <f>IFERROR(VLOOKUP(C4242,소속부서!$A$2:$B$20,2,FALSE), "")</f>
        <v/>
      </c>
    </row>
    <row r="4243" spans="3:4" x14ac:dyDescent="0.3">
      <c r="C4243" s="35">
        <f t="shared" si="66"/>
        <v>0</v>
      </c>
      <c r="D4243" s="30" t="str">
        <f>IFERROR(VLOOKUP(C4243,소속부서!$A$2:$B$20,2,FALSE), "")</f>
        <v/>
      </c>
    </row>
    <row r="4244" spans="3:4" x14ac:dyDescent="0.3">
      <c r="C4244" s="35">
        <f t="shared" si="66"/>
        <v>0</v>
      </c>
      <c r="D4244" s="30" t="str">
        <f>IFERROR(VLOOKUP(C4244,소속부서!$A$2:$B$20,2,FALSE), "")</f>
        <v/>
      </c>
    </row>
    <row r="4245" spans="3:4" x14ac:dyDescent="0.3">
      <c r="C4245" s="35">
        <f t="shared" si="66"/>
        <v>0</v>
      </c>
      <c r="D4245" s="30" t="str">
        <f>IFERROR(VLOOKUP(C4245,소속부서!$A$2:$B$20,2,FALSE), "")</f>
        <v/>
      </c>
    </row>
    <row r="4246" spans="3:4" x14ac:dyDescent="0.3">
      <c r="C4246" s="35">
        <f t="shared" si="66"/>
        <v>0</v>
      </c>
      <c r="D4246" s="30" t="str">
        <f>IFERROR(VLOOKUP(C4246,소속부서!$A$2:$B$20,2,FALSE), "")</f>
        <v/>
      </c>
    </row>
    <row r="4247" spans="3:4" x14ac:dyDescent="0.3">
      <c r="C4247" s="35">
        <f t="shared" si="66"/>
        <v>0</v>
      </c>
      <c r="D4247" s="30" t="str">
        <f>IFERROR(VLOOKUP(C4247,소속부서!$A$2:$B$20,2,FALSE), "")</f>
        <v/>
      </c>
    </row>
    <row r="4248" spans="3:4" x14ac:dyDescent="0.3">
      <c r="C4248" s="35">
        <f t="shared" si="66"/>
        <v>0</v>
      </c>
      <c r="D4248" s="30" t="str">
        <f>IFERROR(VLOOKUP(C4248,소속부서!$A$2:$B$20,2,FALSE), "")</f>
        <v/>
      </c>
    </row>
    <row r="4249" spans="3:4" x14ac:dyDescent="0.3">
      <c r="C4249" s="35">
        <f t="shared" si="66"/>
        <v>0</v>
      </c>
      <c r="D4249" s="30" t="str">
        <f>IFERROR(VLOOKUP(C4249,소속부서!$A$2:$B$20,2,FALSE), "")</f>
        <v/>
      </c>
    </row>
    <row r="4250" spans="3:4" x14ac:dyDescent="0.3">
      <c r="C4250" s="35">
        <f t="shared" si="66"/>
        <v>0</v>
      </c>
      <c r="D4250" s="30" t="str">
        <f>IFERROR(VLOOKUP(C4250,소속부서!$A$2:$B$20,2,FALSE), "")</f>
        <v/>
      </c>
    </row>
    <row r="4251" spans="3:4" x14ac:dyDescent="0.3">
      <c r="C4251" s="35">
        <f t="shared" si="66"/>
        <v>0</v>
      </c>
      <c r="D4251" s="30" t="str">
        <f>IFERROR(VLOOKUP(C4251,소속부서!$A$2:$B$20,2,FALSE), "")</f>
        <v/>
      </c>
    </row>
    <row r="4252" spans="3:4" x14ac:dyDescent="0.3">
      <c r="C4252" s="35">
        <f t="shared" si="66"/>
        <v>0</v>
      </c>
      <c r="D4252" s="30" t="str">
        <f>IFERROR(VLOOKUP(C4252,소속부서!$A$2:$B$20,2,FALSE), "")</f>
        <v/>
      </c>
    </row>
    <row r="4253" spans="3:4" x14ac:dyDescent="0.3">
      <c r="C4253" s="35">
        <f t="shared" si="66"/>
        <v>0</v>
      </c>
      <c r="D4253" s="30" t="str">
        <f>IFERROR(VLOOKUP(C4253,소속부서!$A$2:$B$20,2,FALSE), "")</f>
        <v/>
      </c>
    </row>
    <row r="4254" spans="3:4" x14ac:dyDescent="0.3">
      <c r="C4254" s="35">
        <f t="shared" si="66"/>
        <v>0</v>
      </c>
      <c r="D4254" s="30" t="str">
        <f>IFERROR(VLOOKUP(C4254,소속부서!$A$2:$B$20,2,FALSE), "")</f>
        <v/>
      </c>
    </row>
    <row r="4255" spans="3:4" x14ac:dyDescent="0.3">
      <c r="C4255" s="35">
        <f t="shared" si="66"/>
        <v>0</v>
      </c>
      <c r="D4255" s="30" t="str">
        <f>IFERROR(VLOOKUP(C4255,소속부서!$A$2:$B$20,2,FALSE), "")</f>
        <v/>
      </c>
    </row>
    <row r="4256" spans="3:4" x14ac:dyDescent="0.3">
      <c r="C4256" s="35">
        <f t="shared" si="66"/>
        <v>0</v>
      </c>
      <c r="D4256" s="30" t="str">
        <f>IFERROR(VLOOKUP(C4256,소속부서!$A$2:$B$20,2,FALSE), "")</f>
        <v/>
      </c>
    </row>
    <row r="4257" spans="3:4" x14ac:dyDescent="0.3">
      <c r="C4257" s="35">
        <f t="shared" si="66"/>
        <v>0</v>
      </c>
      <c r="D4257" s="30" t="str">
        <f>IFERROR(VLOOKUP(C4257,소속부서!$A$2:$B$20,2,FALSE), "")</f>
        <v/>
      </c>
    </row>
    <row r="4258" spans="3:4" x14ac:dyDescent="0.3">
      <c r="C4258" s="35">
        <f t="shared" si="66"/>
        <v>0</v>
      </c>
      <c r="D4258" s="30" t="str">
        <f>IFERROR(VLOOKUP(C4258,소속부서!$A$2:$B$20,2,FALSE), "")</f>
        <v/>
      </c>
    </row>
    <row r="4259" spans="3:4" x14ac:dyDescent="0.3">
      <c r="C4259" s="35">
        <f t="shared" si="66"/>
        <v>0</v>
      </c>
      <c r="D4259" s="30" t="str">
        <f>IFERROR(VLOOKUP(C4259,소속부서!$A$2:$B$20,2,FALSE), "")</f>
        <v/>
      </c>
    </row>
    <row r="4260" spans="3:4" x14ac:dyDescent="0.3">
      <c r="C4260" s="35">
        <f t="shared" si="66"/>
        <v>0</v>
      </c>
      <c r="D4260" s="30" t="str">
        <f>IFERROR(VLOOKUP(C4260,소속부서!$A$2:$B$20,2,FALSE), "")</f>
        <v/>
      </c>
    </row>
    <row r="4261" spans="3:4" x14ac:dyDescent="0.3">
      <c r="C4261" s="35">
        <f t="shared" si="66"/>
        <v>0</v>
      </c>
      <c r="D4261" s="30" t="str">
        <f>IFERROR(VLOOKUP(C4261,소속부서!$A$2:$B$20,2,FALSE), "")</f>
        <v/>
      </c>
    </row>
    <row r="4262" spans="3:4" x14ac:dyDescent="0.3">
      <c r="C4262" s="35">
        <f t="shared" si="66"/>
        <v>0</v>
      </c>
      <c r="D4262" s="30" t="str">
        <f>IFERROR(VLOOKUP(C4262,소속부서!$A$2:$B$20,2,FALSE), "")</f>
        <v/>
      </c>
    </row>
    <row r="4263" spans="3:4" x14ac:dyDescent="0.3">
      <c r="C4263" s="35">
        <f t="shared" si="66"/>
        <v>0</v>
      </c>
      <c r="D4263" s="30" t="str">
        <f>IFERROR(VLOOKUP(C4263,소속부서!$A$2:$B$20,2,FALSE), "")</f>
        <v/>
      </c>
    </row>
    <row r="4264" spans="3:4" x14ac:dyDescent="0.3">
      <c r="C4264" s="35">
        <f t="shared" si="66"/>
        <v>0</v>
      </c>
      <c r="D4264" s="30" t="str">
        <f>IFERROR(VLOOKUP(C4264,소속부서!$A$2:$B$20,2,FALSE), "")</f>
        <v/>
      </c>
    </row>
    <row r="4265" spans="3:4" x14ac:dyDescent="0.3">
      <c r="C4265" s="35">
        <f t="shared" si="66"/>
        <v>0</v>
      </c>
      <c r="D4265" s="30" t="str">
        <f>IFERROR(VLOOKUP(C4265,소속부서!$A$2:$B$20,2,FALSE), "")</f>
        <v/>
      </c>
    </row>
    <row r="4266" spans="3:4" x14ac:dyDescent="0.3">
      <c r="C4266" s="35">
        <f t="shared" si="66"/>
        <v>0</v>
      </c>
      <c r="D4266" s="30" t="str">
        <f>IFERROR(VLOOKUP(C4266,소속부서!$A$2:$B$20,2,FALSE), "")</f>
        <v/>
      </c>
    </row>
    <row r="4267" spans="3:4" x14ac:dyDescent="0.3">
      <c r="C4267" s="35">
        <f t="shared" si="66"/>
        <v>0</v>
      </c>
      <c r="D4267" s="30" t="str">
        <f>IFERROR(VLOOKUP(C4267,소속부서!$A$2:$B$20,2,FALSE), "")</f>
        <v/>
      </c>
    </row>
    <row r="4268" spans="3:4" x14ac:dyDescent="0.3">
      <c r="C4268" s="35">
        <f t="shared" si="66"/>
        <v>0</v>
      </c>
      <c r="D4268" s="30" t="str">
        <f>IFERROR(VLOOKUP(C4268,소속부서!$A$2:$B$20,2,FALSE), "")</f>
        <v/>
      </c>
    </row>
    <row r="4269" spans="3:4" x14ac:dyDescent="0.3">
      <c r="C4269" s="35">
        <f t="shared" si="66"/>
        <v>0</v>
      </c>
      <c r="D4269" s="30" t="str">
        <f>IFERROR(VLOOKUP(C4269,소속부서!$A$2:$B$20,2,FALSE), "")</f>
        <v/>
      </c>
    </row>
    <row r="4270" spans="3:4" x14ac:dyDescent="0.3">
      <c r="C4270" s="35">
        <f t="shared" si="66"/>
        <v>0</v>
      </c>
      <c r="D4270" s="30" t="str">
        <f>IFERROR(VLOOKUP(C4270,소속부서!$A$2:$B$20,2,FALSE), "")</f>
        <v/>
      </c>
    </row>
    <row r="4271" spans="3:4" x14ac:dyDescent="0.3">
      <c r="C4271" s="35">
        <f t="shared" si="66"/>
        <v>0</v>
      </c>
      <c r="D4271" s="30" t="str">
        <f>IFERROR(VLOOKUP(C4271,소속부서!$A$2:$B$20,2,FALSE), "")</f>
        <v/>
      </c>
    </row>
    <row r="4272" spans="3:4" x14ac:dyDescent="0.3">
      <c r="C4272" s="35">
        <f t="shared" si="66"/>
        <v>0</v>
      </c>
      <c r="D4272" s="30" t="str">
        <f>IFERROR(VLOOKUP(C4272,소속부서!$A$2:$B$20,2,FALSE), "")</f>
        <v/>
      </c>
    </row>
    <row r="4273" spans="3:4" x14ac:dyDescent="0.3">
      <c r="C4273" s="35">
        <f t="shared" si="66"/>
        <v>0</v>
      </c>
      <c r="D4273" s="30" t="str">
        <f>IFERROR(VLOOKUP(C4273,소속부서!$A$2:$B$20,2,FALSE), "")</f>
        <v/>
      </c>
    </row>
    <row r="4274" spans="3:4" x14ac:dyDescent="0.3">
      <c r="C4274" s="35">
        <f t="shared" si="66"/>
        <v>0</v>
      </c>
      <c r="D4274" s="30" t="str">
        <f>IFERROR(VLOOKUP(C4274,소속부서!$A$2:$B$20,2,FALSE), "")</f>
        <v/>
      </c>
    </row>
    <row r="4275" spans="3:4" x14ac:dyDescent="0.3">
      <c r="C4275" s="35">
        <f t="shared" si="66"/>
        <v>0</v>
      </c>
      <c r="D4275" s="30" t="str">
        <f>IFERROR(VLOOKUP(C4275,소속부서!$A$2:$B$20,2,FALSE), "")</f>
        <v/>
      </c>
    </row>
    <row r="4276" spans="3:4" x14ac:dyDescent="0.3">
      <c r="C4276" s="35">
        <f t="shared" si="66"/>
        <v>0</v>
      </c>
      <c r="D4276" s="30" t="str">
        <f>IFERROR(VLOOKUP(C4276,소속부서!$A$2:$B$20,2,FALSE), "")</f>
        <v/>
      </c>
    </row>
    <row r="4277" spans="3:4" x14ac:dyDescent="0.3">
      <c r="C4277" s="35">
        <f t="shared" si="66"/>
        <v>0</v>
      </c>
      <c r="D4277" s="30" t="str">
        <f>IFERROR(VLOOKUP(C4277,소속부서!$A$2:$B$20,2,FALSE), "")</f>
        <v/>
      </c>
    </row>
    <row r="4278" spans="3:4" x14ac:dyDescent="0.3">
      <c r="C4278" s="35">
        <f t="shared" si="66"/>
        <v>0</v>
      </c>
      <c r="D4278" s="30" t="str">
        <f>IFERROR(VLOOKUP(C4278,소속부서!$A$2:$B$20,2,FALSE), "")</f>
        <v/>
      </c>
    </row>
    <row r="4279" spans="3:4" x14ac:dyDescent="0.3">
      <c r="C4279" s="35">
        <f t="shared" si="66"/>
        <v>0</v>
      </c>
      <c r="D4279" s="30" t="str">
        <f>IFERROR(VLOOKUP(C4279,소속부서!$A$2:$B$20,2,FALSE), "")</f>
        <v/>
      </c>
    </row>
    <row r="4280" spans="3:4" x14ac:dyDescent="0.3">
      <c r="C4280" s="35">
        <f t="shared" si="66"/>
        <v>0</v>
      </c>
      <c r="D4280" s="30" t="str">
        <f>IFERROR(VLOOKUP(C4280,소속부서!$A$2:$B$20,2,FALSE), "")</f>
        <v/>
      </c>
    </row>
    <row r="4281" spans="3:4" x14ac:dyDescent="0.3">
      <c r="C4281" s="35">
        <f t="shared" si="66"/>
        <v>0</v>
      </c>
      <c r="D4281" s="30" t="str">
        <f>IFERROR(VLOOKUP(C4281,소속부서!$A$2:$B$20,2,FALSE), "")</f>
        <v/>
      </c>
    </row>
    <row r="4282" spans="3:4" x14ac:dyDescent="0.3">
      <c r="C4282" s="35">
        <f t="shared" si="66"/>
        <v>0</v>
      </c>
      <c r="D4282" s="30" t="str">
        <f>IFERROR(VLOOKUP(C4282,소속부서!$A$2:$B$20,2,FALSE), "")</f>
        <v/>
      </c>
    </row>
    <row r="4283" spans="3:4" x14ac:dyDescent="0.3">
      <c r="C4283" s="35">
        <f t="shared" si="66"/>
        <v>0</v>
      </c>
      <c r="D4283" s="30" t="str">
        <f>IFERROR(VLOOKUP(C4283,소속부서!$A$2:$B$20,2,FALSE), "")</f>
        <v/>
      </c>
    </row>
    <row r="4284" spans="3:4" x14ac:dyDescent="0.3">
      <c r="C4284" s="35">
        <f t="shared" si="66"/>
        <v>0</v>
      </c>
      <c r="D4284" s="30" t="str">
        <f>IFERROR(VLOOKUP(C4284,소속부서!$A$2:$B$20,2,FALSE), "")</f>
        <v/>
      </c>
    </row>
    <row r="4285" spans="3:4" x14ac:dyDescent="0.3">
      <c r="C4285" s="35">
        <f t="shared" si="66"/>
        <v>0</v>
      </c>
      <c r="D4285" s="30" t="str">
        <f>IFERROR(VLOOKUP(C4285,소속부서!$A$2:$B$20,2,FALSE), "")</f>
        <v/>
      </c>
    </row>
    <row r="4286" spans="3:4" x14ac:dyDescent="0.3">
      <c r="C4286" s="35">
        <f t="shared" si="66"/>
        <v>0</v>
      </c>
      <c r="D4286" s="30" t="str">
        <f>IFERROR(VLOOKUP(C4286,소속부서!$A$2:$B$20,2,FALSE), "")</f>
        <v/>
      </c>
    </row>
    <row r="4287" spans="3:4" x14ac:dyDescent="0.3">
      <c r="C4287" s="35">
        <f t="shared" si="66"/>
        <v>0</v>
      </c>
      <c r="D4287" s="30" t="str">
        <f>IFERROR(VLOOKUP(C4287,소속부서!$A$2:$B$20,2,FALSE), "")</f>
        <v/>
      </c>
    </row>
    <row r="4288" spans="3:4" x14ac:dyDescent="0.3">
      <c r="C4288" s="35">
        <f t="shared" si="66"/>
        <v>0</v>
      </c>
      <c r="D4288" s="30" t="str">
        <f>IFERROR(VLOOKUP(C4288,소속부서!$A$2:$B$20,2,FALSE), "")</f>
        <v/>
      </c>
    </row>
    <row r="4289" spans="3:4" x14ac:dyDescent="0.3">
      <c r="C4289" s="35">
        <f t="shared" ref="C4289:C4352" si="67">E4289</f>
        <v>0</v>
      </c>
      <c r="D4289" s="30" t="str">
        <f>IFERROR(VLOOKUP(C4289,소속부서!$A$2:$B$20,2,FALSE), "")</f>
        <v/>
      </c>
    </row>
    <row r="4290" spans="3:4" x14ac:dyDescent="0.3">
      <c r="C4290" s="35">
        <f t="shared" si="67"/>
        <v>0</v>
      </c>
      <c r="D4290" s="30" t="str">
        <f>IFERROR(VLOOKUP(C4290,소속부서!$A$2:$B$20,2,FALSE), "")</f>
        <v/>
      </c>
    </row>
    <row r="4291" spans="3:4" x14ac:dyDescent="0.3">
      <c r="C4291" s="35">
        <f t="shared" si="67"/>
        <v>0</v>
      </c>
      <c r="D4291" s="30" t="str">
        <f>IFERROR(VLOOKUP(C4291,소속부서!$A$2:$B$20,2,FALSE), "")</f>
        <v/>
      </c>
    </row>
    <row r="4292" spans="3:4" x14ac:dyDescent="0.3">
      <c r="C4292" s="35">
        <f t="shared" si="67"/>
        <v>0</v>
      </c>
      <c r="D4292" s="30" t="str">
        <f>IFERROR(VLOOKUP(C4292,소속부서!$A$2:$B$20,2,FALSE), "")</f>
        <v/>
      </c>
    </row>
    <row r="4293" spans="3:4" x14ac:dyDescent="0.3">
      <c r="C4293" s="35">
        <f t="shared" si="67"/>
        <v>0</v>
      </c>
      <c r="D4293" s="30" t="str">
        <f>IFERROR(VLOOKUP(C4293,소속부서!$A$2:$B$20,2,FALSE), "")</f>
        <v/>
      </c>
    </row>
    <row r="4294" spans="3:4" x14ac:dyDescent="0.3">
      <c r="C4294" s="35">
        <f t="shared" si="67"/>
        <v>0</v>
      </c>
      <c r="D4294" s="30" t="str">
        <f>IFERROR(VLOOKUP(C4294,소속부서!$A$2:$B$20,2,FALSE), "")</f>
        <v/>
      </c>
    </row>
    <row r="4295" spans="3:4" x14ac:dyDescent="0.3">
      <c r="C4295" s="35">
        <f t="shared" si="67"/>
        <v>0</v>
      </c>
      <c r="D4295" s="30" t="str">
        <f>IFERROR(VLOOKUP(C4295,소속부서!$A$2:$B$20,2,FALSE), "")</f>
        <v/>
      </c>
    </row>
    <row r="4296" spans="3:4" x14ac:dyDescent="0.3">
      <c r="C4296" s="35">
        <f t="shared" si="67"/>
        <v>0</v>
      </c>
      <c r="D4296" s="30" t="str">
        <f>IFERROR(VLOOKUP(C4296,소속부서!$A$2:$B$20,2,FALSE), "")</f>
        <v/>
      </c>
    </row>
    <row r="4297" spans="3:4" x14ac:dyDescent="0.3">
      <c r="C4297" s="35">
        <f t="shared" si="67"/>
        <v>0</v>
      </c>
      <c r="D4297" s="30" t="str">
        <f>IFERROR(VLOOKUP(C4297,소속부서!$A$2:$B$20,2,FALSE), "")</f>
        <v/>
      </c>
    </row>
    <row r="4298" spans="3:4" x14ac:dyDescent="0.3">
      <c r="C4298" s="35">
        <f t="shared" si="67"/>
        <v>0</v>
      </c>
      <c r="D4298" s="30" t="str">
        <f>IFERROR(VLOOKUP(C4298,소속부서!$A$2:$B$20,2,FALSE), "")</f>
        <v/>
      </c>
    </row>
    <row r="4299" spans="3:4" x14ac:dyDescent="0.3">
      <c r="C4299" s="35">
        <f t="shared" si="67"/>
        <v>0</v>
      </c>
      <c r="D4299" s="30" t="str">
        <f>IFERROR(VLOOKUP(C4299,소속부서!$A$2:$B$20,2,FALSE), "")</f>
        <v/>
      </c>
    </row>
    <row r="4300" spans="3:4" x14ac:dyDescent="0.3">
      <c r="C4300" s="35">
        <f t="shared" si="67"/>
        <v>0</v>
      </c>
      <c r="D4300" s="30" t="str">
        <f>IFERROR(VLOOKUP(C4300,소속부서!$A$2:$B$20,2,FALSE), "")</f>
        <v/>
      </c>
    </row>
    <row r="4301" spans="3:4" x14ac:dyDescent="0.3">
      <c r="C4301" s="35">
        <f t="shared" si="67"/>
        <v>0</v>
      </c>
      <c r="D4301" s="30" t="str">
        <f>IFERROR(VLOOKUP(C4301,소속부서!$A$2:$B$20,2,FALSE), "")</f>
        <v/>
      </c>
    </row>
    <row r="4302" spans="3:4" x14ac:dyDescent="0.3">
      <c r="C4302" s="35">
        <f t="shared" si="67"/>
        <v>0</v>
      </c>
      <c r="D4302" s="30" t="str">
        <f>IFERROR(VLOOKUP(C4302,소속부서!$A$2:$B$20,2,FALSE), "")</f>
        <v/>
      </c>
    </row>
    <row r="4303" spans="3:4" x14ac:dyDescent="0.3">
      <c r="C4303" s="35">
        <f t="shared" si="67"/>
        <v>0</v>
      </c>
      <c r="D4303" s="30" t="str">
        <f>IFERROR(VLOOKUP(C4303,소속부서!$A$2:$B$20,2,FALSE), "")</f>
        <v/>
      </c>
    </row>
    <row r="4304" spans="3:4" x14ac:dyDescent="0.3">
      <c r="C4304" s="35">
        <f t="shared" si="67"/>
        <v>0</v>
      </c>
      <c r="D4304" s="30" t="str">
        <f>IFERROR(VLOOKUP(C4304,소속부서!$A$2:$B$20,2,FALSE), "")</f>
        <v/>
      </c>
    </row>
    <row r="4305" spans="3:4" x14ac:dyDescent="0.3">
      <c r="C4305" s="35">
        <f t="shared" si="67"/>
        <v>0</v>
      </c>
      <c r="D4305" s="30" t="str">
        <f>IFERROR(VLOOKUP(C4305,소속부서!$A$2:$B$20,2,FALSE), "")</f>
        <v/>
      </c>
    </row>
    <row r="4306" spans="3:4" x14ac:dyDescent="0.3">
      <c r="C4306" s="35">
        <f t="shared" si="67"/>
        <v>0</v>
      </c>
      <c r="D4306" s="30" t="str">
        <f>IFERROR(VLOOKUP(C4306,소속부서!$A$2:$B$20,2,FALSE), "")</f>
        <v/>
      </c>
    </row>
    <row r="4307" spans="3:4" x14ac:dyDescent="0.3">
      <c r="C4307" s="35">
        <f t="shared" si="67"/>
        <v>0</v>
      </c>
      <c r="D4307" s="30" t="str">
        <f>IFERROR(VLOOKUP(C4307,소속부서!$A$2:$B$20,2,FALSE), "")</f>
        <v/>
      </c>
    </row>
    <row r="4308" spans="3:4" x14ac:dyDescent="0.3">
      <c r="C4308" s="35">
        <f t="shared" si="67"/>
        <v>0</v>
      </c>
      <c r="D4308" s="30" t="str">
        <f>IFERROR(VLOOKUP(C4308,소속부서!$A$2:$B$20,2,FALSE), "")</f>
        <v/>
      </c>
    </row>
    <row r="4309" spans="3:4" x14ac:dyDescent="0.3">
      <c r="C4309" s="35">
        <f t="shared" si="67"/>
        <v>0</v>
      </c>
      <c r="D4309" s="30" t="str">
        <f>IFERROR(VLOOKUP(C4309,소속부서!$A$2:$B$20,2,FALSE), "")</f>
        <v/>
      </c>
    </row>
    <row r="4310" spans="3:4" x14ac:dyDescent="0.3">
      <c r="C4310" s="35">
        <f t="shared" si="67"/>
        <v>0</v>
      </c>
      <c r="D4310" s="30" t="str">
        <f>IFERROR(VLOOKUP(C4310,소속부서!$A$2:$B$20,2,FALSE), "")</f>
        <v/>
      </c>
    </row>
    <row r="4311" spans="3:4" x14ac:dyDescent="0.3">
      <c r="C4311" s="35">
        <f t="shared" si="67"/>
        <v>0</v>
      </c>
      <c r="D4311" s="30" t="str">
        <f>IFERROR(VLOOKUP(C4311,소속부서!$A$2:$B$20,2,FALSE), "")</f>
        <v/>
      </c>
    </row>
    <row r="4312" spans="3:4" x14ac:dyDescent="0.3">
      <c r="C4312" s="35">
        <f t="shared" si="67"/>
        <v>0</v>
      </c>
      <c r="D4312" s="30" t="str">
        <f>IFERROR(VLOOKUP(C4312,소속부서!$A$2:$B$20,2,FALSE), "")</f>
        <v/>
      </c>
    </row>
    <row r="4313" spans="3:4" x14ac:dyDescent="0.3">
      <c r="C4313" s="35">
        <f t="shared" si="67"/>
        <v>0</v>
      </c>
      <c r="D4313" s="30" t="str">
        <f>IFERROR(VLOOKUP(C4313,소속부서!$A$2:$B$20,2,FALSE), "")</f>
        <v/>
      </c>
    </row>
    <row r="4314" spans="3:4" x14ac:dyDescent="0.3">
      <c r="C4314" s="35">
        <f t="shared" si="67"/>
        <v>0</v>
      </c>
      <c r="D4314" s="30" t="str">
        <f>IFERROR(VLOOKUP(C4314,소속부서!$A$2:$B$20,2,FALSE), "")</f>
        <v/>
      </c>
    </row>
    <row r="4315" spans="3:4" x14ac:dyDescent="0.3">
      <c r="C4315" s="35">
        <f t="shared" si="67"/>
        <v>0</v>
      </c>
      <c r="D4315" s="30" t="str">
        <f>IFERROR(VLOOKUP(C4315,소속부서!$A$2:$B$20,2,FALSE), "")</f>
        <v/>
      </c>
    </row>
    <row r="4316" spans="3:4" x14ac:dyDescent="0.3">
      <c r="C4316" s="35">
        <f t="shared" si="67"/>
        <v>0</v>
      </c>
      <c r="D4316" s="30" t="str">
        <f>IFERROR(VLOOKUP(C4316,소속부서!$A$2:$B$20,2,FALSE), "")</f>
        <v/>
      </c>
    </row>
    <row r="4317" spans="3:4" x14ac:dyDescent="0.3">
      <c r="C4317" s="35">
        <f t="shared" si="67"/>
        <v>0</v>
      </c>
      <c r="D4317" s="30" t="str">
        <f>IFERROR(VLOOKUP(C4317,소속부서!$A$2:$B$20,2,FALSE), "")</f>
        <v/>
      </c>
    </row>
    <row r="4318" spans="3:4" x14ac:dyDescent="0.3">
      <c r="C4318" s="35">
        <f t="shared" si="67"/>
        <v>0</v>
      </c>
      <c r="D4318" s="30" t="str">
        <f>IFERROR(VLOOKUP(C4318,소속부서!$A$2:$B$20,2,FALSE), "")</f>
        <v/>
      </c>
    </row>
    <row r="4319" spans="3:4" x14ac:dyDescent="0.3">
      <c r="C4319" s="35">
        <f t="shared" si="67"/>
        <v>0</v>
      </c>
      <c r="D4319" s="30" t="str">
        <f>IFERROR(VLOOKUP(C4319,소속부서!$A$2:$B$20,2,FALSE), "")</f>
        <v/>
      </c>
    </row>
    <row r="4320" spans="3:4" x14ac:dyDescent="0.3">
      <c r="C4320" s="35">
        <f t="shared" si="67"/>
        <v>0</v>
      </c>
      <c r="D4320" s="30" t="str">
        <f>IFERROR(VLOOKUP(C4320,소속부서!$A$2:$B$20,2,FALSE), "")</f>
        <v/>
      </c>
    </row>
    <row r="4321" spans="3:4" x14ac:dyDescent="0.3">
      <c r="C4321" s="35">
        <f t="shared" si="67"/>
        <v>0</v>
      </c>
      <c r="D4321" s="30" t="str">
        <f>IFERROR(VLOOKUP(C4321,소속부서!$A$2:$B$20,2,FALSE), "")</f>
        <v/>
      </c>
    </row>
    <row r="4322" spans="3:4" x14ac:dyDescent="0.3">
      <c r="C4322" s="35">
        <f t="shared" si="67"/>
        <v>0</v>
      </c>
      <c r="D4322" s="30" t="str">
        <f>IFERROR(VLOOKUP(C4322,소속부서!$A$2:$B$20,2,FALSE), "")</f>
        <v/>
      </c>
    </row>
    <row r="4323" spans="3:4" x14ac:dyDescent="0.3">
      <c r="C4323" s="35">
        <f t="shared" si="67"/>
        <v>0</v>
      </c>
      <c r="D4323" s="30" t="str">
        <f>IFERROR(VLOOKUP(C4323,소속부서!$A$2:$B$20,2,FALSE), "")</f>
        <v/>
      </c>
    </row>
    <row r="4324" spans="3:4" x14ac:dyDescent="0.3">
      <c r="C4324" s="35">
        <f t="shared" si="67"/>
        <v>0</v>
      </c>
      <c r="D4324" s="30" t="str">
        <f>IFERROR(VLOOKUP(C4324,소속부서!$A$2:$B$20,2,FALSE), "")</f>
        <v/>
      </c>
    </row>
    <row r="4325" spans="3:4" x14ac:dyDescent="0.3">
      <c r="C4325" s="35">
        <f t="shared" si="67"/>
        <v>0</v>
      </c>
      <c r="D4325" s="30" t="str">
        <f>IFERROR(VLOOKUP(C4325,소속부서!$A$2:$B$20,2,FALSE), "")</f>
        <v/>
      </c>
    </row>
    <row r="4326" spans="3:4" x14ac:dyDescent="0.3">
      <c r="C4326" s="35">
        <f t="shared" si="67"/>
        <v>0</v>
      </c>
      <c r="D4326" s="30" t="str">
        <f>IFERROR(VLOOKUP(C4326,소속부서!$A$2:$B$20,2,FALSE), "")</f>
        <v/>
      </c>
    </row>
    <row r="4327" spans="3:4" x14ac:dyDescent="0.3">
      <c r="C4327" s="35">
        <f t="shared" si="67"/>
        <v>0</v>
      </c>
      <c r="D4327" s="30" t="str">
        <f>IFERROR(VLOOKUP(C4327,소속부서!$A$2:$B$20,2,FALSE), "")</f>
        <v/>
      </c>
    </row>
    <row r="4328" spans="3:4" x14ac:dyDescent="0.3">
      <c r="C4328" s="35">
        <f t="shared" si="67"/>
        <v>0</v>
      </c>
      <c r="D4328" s="30" t="str">
        <f>IFERROR(VLOOKUP(C4328,소속부서!$A$2:$B$20,2,FALSE), "")</f>
        <v/>
      </c>
    </row>
    <row r="4329" spans="3:4" x14ac:dyDescent="0.3">
      <c r="C4329" s="35">
        <f t="shared" si="67"/>
        <v>0</v>
      </c>
      <c r="D4329" s="30" t="str">
        <f>IFERROR(VLOOKUP(C4329,소속부서!$A$2:$B$20,2,FALSE), "")</f>
        <v/>
      </c>
    </row>
    <row r="4330" spans="3:4" x14ac:dyDescent="0.3">
      <c r="C4330" s="35">
        <f t="shared" si="67"/>
        <v>0</v>
      </c>
      <c r="D4330" s="30" t="str">
        <f>IFERROR(VLOOKUP(C4330,소속부서!$A$2:$B$20,2,FALSE), "")</f>
        <v/>
      </c>
    </row>
    <row r="4331" spans="3:4" x14ac:dyDescent="0.3">
      <c r="C4331" s="35">
        <f t="shared" si="67"/>
        <v>0</v>
      </c>
      <c r="D4331" s="30" t="str">
        <f>IFERROR(VLOOKUP(C4331,소속부서!$A$2:$B$20,2,FALSE), "")</f>
        <v/>
      </c>
    </row>
    <row r="4332" spans="3:4" x14ac:dyDescent="0.3">
      <c r="C4332" s="35">
        <f t="shared" si="67"/>
        <v>0</v>
      </c>
      <c r="D4332" s="30" t="str">
        <f>IFERROR(VLOOKUP(C4332,소속부서!$A$2:$B$20,2,FALSE), "")</f>
        <v/>
      </c>
    </row>
    <row r="4333" spans="3:4" x14ac:dyDescent="0.3">
      <c r="C4333" s="35">
        <f t="shared" si="67"/>
        <v>0</v>
      </c>
      <c r="D4333" s="30" t="str">
        <f>IFERROR(VLOOKUP(C4333,소속부서!$A$2:$B$20,2,FALSE), "")</f>
        <v/>
      </c>
    </row>
    <row r="4334" spans="3:4" x14ac:dyDescent="0.3">
      <c r="C4334" s="35">
        <f t="shared" si="67"/>
        <v>0</v>
      </c>
      <c r="D4334" s="30" t="str">
        <f>IFERROR(VLOOKUP(C4334,소속부서!$A$2:$B$20,2,FALSE), "")</f>
        <v/>
      </c>
    </row>
    <row r="4335" spans="3:4" x14ac:dyDescent="0.3">
      <c r="C4335" s="35">
        <f t="shared" si="67"/>
        <v>0</v>
      </c>
      <c r="D4335" s="30" t="str">
        <f>IFERROR(VLOOKUP(C4335,소속부서!$A$2:$B$20,2,FALSE), "")</f>
        <v/>
      </c>
    </row>
    <row r="4336" spans="3:4" x14ac:dyDescent="0.3">
      <c r="C4336" s="35">
        <f t="shared" si="67"/>
        <v>0</v>
      </c>
      <c r="D4336" s="30" t="str">
        <f>IFERROR(VLOOKUP(C4336,소속부서!$A$2:$B$20,2,FALSE), "")</f>
        <v/>
      </c>
    </row>
    <row r="4337" spans="3:4" x14ac:dyDescent="0.3">
      <c r="C4337" s="35">
        <f t="shared" si="67"/>
        <v>0</v>
      </c>
      <c r="D4337" s="30" t="str">
        <f>IFERROR(VLOOKUP(C4337,소속부서!$A$2:$B$20,2,FALSE), "")</f>
        <v/>
      </c>
    </row>
    <row r="4338" spans="3:4" x14ac:dyDescent="0.3">
      <c r="C4338" s="35">
        <f t="shared" si="67"/>
        <v>0</v>
      </c>
      <c r="D4338" s="30" t="str">
        <f>IFERROR(VLOOKUP(C4338,소속부서!$A$2:$B$20,2,FALSE), "")</f>
        <v/>
      </c>
    </row>
    <row r="4339" spans="3:4" x14ac:dyDescent="0.3">
      <c r="C4339" s="35">
        <f t="shared" si="67"/>
        <v>0</v>
      </c>
      <c r="D4339" s="30" t="str">
        <f>IFERROR(VLOOKUP(C4339,소속부서!$A$2:$B$20,2,FALSE), "")</f>
        <v/>
      </c>
    </row>
    <row r="4340" spans="3:4" x14ac:dyDescent="0.3">
      <c r="C4340" s="35">
        <f t="shared" si="67"/>
        <v>0</v>
      </c>
      <c r="D4340" s="30" t="str">
        <f>IFERROR(VLOOKUP(C4340,소속부서!$A$2:$B$20,2,FALSE), "")</f>
        <v/>
      </c>
    </row>
    <row r="4341" spans="3:4" x14ac:dyDescent="0.3">
      <c r="C4341" s="35">
        <f t="shared" si="67"/>
        <v>0</v>
      </c>
      <c r="D4341" s="30" t="str">
        <f>IFERROR(VLOOKUP(C4341,소속부서!$A$2:$B$20,2,FALSE), "")</f>
        <v/>
      </c>
    </row>
    <row r="4342" spans="3:4" x14ac:dyDescent="0.3">
      <c r="C4342" s="35">
        <f t="shared" si="67"/>
        <v>0</v>
      </c>
      <c r="D4342" s="30" t="str">
        <f>IFERROR(VLOOKUP(C4342,소속부서!$A$2:$B$20,2,FALSE), "")</f>
        <v/>
      </c>
    </row>
    <row r="4343" spans="3:4" x14ac:dyDescent="0.3">
      <c r="C4343" s="35">
        <f t="shared" si="67"/>
        <v>0</v>
      </c>
      <c r="D4343" s="30" t="str">
        <f>IFERROR(VLOOKUP(C4343,소속부서!$A$2:$B$20,2,FALSE), "")</f>
        <v/>
      </c>
    </row>
    <row r="4344" spans="3:4" x14ac:dyDescent="0.3">
      <c r="C4344" s="35">
        <f t="shared" si="67"/>
        <v>0</v>
      </c>
      <c r="D4344" s="30" t="str">
        <f>IFERROR(VLOOKUP(C4344,소속부서!$A$2:$B$20,2,FALSE), "")</f>
        <v/>
      </c>
    </row>
    <row r="4345" spans="3:4" x14ac:dyDescent="0.3">
      <c r="C4345" s="35">
        <f t="shared" si="67"/>
        <v>0</v>
      </c>
      <c r="D4345" s="30" t="str">
        <f>IFERROR(VLOOKUP(C4345,소속부서!$A$2:$B$20,2,FALSE), "")</f>
        <v/>
      </c>
    </row>
    <row r="4346" spans="3:4" x14ac:dyDescent="0.3">
      <c r="C4346" s="35">
        <f t="shared" si="67"/>
        <v>0</v>
      </c>
      <c r="D4346" s="30" t="str">
        <f>IFERROR(VLOOKUP(C4346,소속부서!$A$2:$B$20,2,FALSE), "")</f>
        <v/>
      </c>
    </row>
    <row r="4347" spans="3:4" x14ac:dyDescent="0.3">
      <c r="C4347" s="35">
        <f t="shared" si="67"/>
        <v>0</v>
      </c>
      <c r="D4347" s="30" t="str">
        <f>IFERROR(VLOOKUP(C4347,소속부서!$A$2:$B$20,2,FALSE), "")</f>
        <v/>
      </c>
    </row>
    <row r="4348" spans="3:4" x14ac:dyDescent="0.3">
      <c r="C4348" s="35">
        <f t="shared" si="67"/>
        <v>0</v>
      </c>
      <c r="D4348" s="30" t="str">
        <f>IFERROR(VLOOKUP(C4348,소속부서!$A$2:$B$20,2,FALSE), "")</f>
        <v/>
      </c>
    </row>
    <row r="4349" spans="3:4" x14ac:dyDescent="0.3">
      <c r="C4349" s="35">
        <f t="shared" si="67"/>
        <v>0</v>
      </c>
      <c r="D4349" s="30" t="str">
        <f>IFERROR(VLOOKUP(C4349,소속부서!$A$2:$B$20,2,FALSE), "")</f>
        <v/>
      </c>
    </row>
    <row r="4350" spans="3:4" x14ac:dyDescent="0.3">
      <c r="C4350" s="35">
        <f t="shared" si="67"/>
        <v>0</v>
      </c>
      <c r="D4350" s="30" t="str">
        <f>IFERROR(VLOOKUP(C4350,소속부서!$A$2:$B$20,2,FALSE), "")</f>
        <v/>
      </c>
    </row>
    <row r="4351" spans="3:4" x14ac:dyDescent="0.3">
      <c r="C4351" s="35">
        <f t="shared" si="67"/>
        <v>0</v>
      </c>
      <c r="D4351" s="30" t="str">
        <f>IFERROR(VLOOKUP(C4351,소속부서!$A$2:$B$20,2,FALSE), "")</f>
        <v/>
      </c>
    </row>
    <row r="4352" spans="3:4" x14ac:dyDescent="0.3">
      <c r="C4352" s="35">
        <f t="shared" si="67"/>
        <v>0</v>
      </c>
      <c r="D4352" s="30" t="str">
        <f>IFERROR(VLOOKUP(C4352,소속부서!$A$2:$B$20,2,FALSE), "")</f>
        <v/>
      </c>
    </row>
    <row r="4353" spans="3:4" x14ac:dyDescent="0.3">
      <c r="C4353" s="35">
        <f t="shared" ref="C4353:C4416" si="68">E4353</f>
        <v>0</v>
      </c>
      <c r="D4353" s="30" t="str">
        <f>IFERROR(VLOOKUP(C4353,소속부서!$A$2:$B$20,2,FALSE), "")</f>
        <v/>
      </c>
    </row>
    <row r="4354" spans="3:4" x14ac:dyDescent="0.3">
      <c r="C4354" s="35">
        <f t="shared" si="68"/>
        <v>0</v>
      </c>
      <c r="D4354" s="30" t="str">
        <f>IFERROR(VLOOKUP(C4354,소속부서!$A$2:$B$20,2,FALSE), "")</f>
        <v/>
      </c>
    </row>
    <row r="4355" spans="3:4" x14ac:dyDescent="0.3">
      <c r="C4355" s="35">
        <f t="shared" si="68"/>
        <v>0</v>
      </c>
      <c r="D4355" s="30" t="str">
        <f>IFERROR(VLOOKUP(C4355,소속부서!$A$2:$B$20,2,FALSE), "")</f>
        <v/>
      </c>
    </row>
    <row r="4356" spans="3:4" x14ac:dyDescent="0.3">
      <c r="C4356" s="35">
        <f t="shared" si="68"/>
        <v>0</v>
      </c>
      <c r="D4356" s="30" t="str">
        <f>IFERROR(VLOOKUP(C4356,소속부서!$A$2:$B$20,2,FALSE), "")</f>
        <v/>
      </c>
    </row>
    <row r="4357" spans="3:4" x14ac:dyDescent="0.3">
      <c r="C4357" s="35">
        <f t="shared" si="68"/>
        <v>0</v>
      </c>
      <c r="D4357" s="30" t="str">
        <f>IFERROR(VLOOKUP(C4357,소속부서!$A$2:$B$20,2,FALSE), "")</f>
        <v/>
      </c>
    </row>
    <row r="4358" spans="3:4" x14ac:dyDescent="0.3">
      <c r="C4358" s="35">
        <f t="shared" si="68"/>
        <v>0</v>
      </c>
      <c r="D4358" s="30" t="str">
        <f>IFERROR(VLOOKUP(C4358,소속부서!$A$2:$B$20,2,FALSE), "")</f>
        <v/>
      </c>
    </row>
    <row r="4359" spans="3:4" x14ac:dyDescent="0.3">
      <c r="C4359" s="35">
        <f t="shared" si="68"/>
        <v>0</v>
      </c>
      <c r="D4359" s="30" t="str">
        <f>IFERROR(VLOOKUP(C4359,소속부서!$A$2:$B$20,2,FALSE), "")</f>
        <v/>
      </c>
    </row>
    <row r="4360" spans="3:4" x14ac:dyDescent="0.3">
      <c r="C4360" s="35">
        <f t="shared" si="68"/>
        <v>0</v>
      </c>
      <c r="D4360" s="30" t="str">
        <f>IFERROR(VLOOKUP(C4360,소속부서!$A$2:$B$20,2,FALSE), "")</f>
        <v/>
      </c>
    </row>
    <row r="4361" spans="3:4" x14ac:dyDescent="0.3">
      <c r="C4361" s="35">
        <f t="shared" si="68"/>
        <v>0</v>
      </c>
      <c r="D4361" s="30" t="str">
        <f>IFERROR(VLOOKUP(C4361,소속부서!$A$2:$B$20,2,FALSE), "")</f>
        <v/>
      </c>
    </row>
    <row r="4362" spans="3:4" x14ac:dyDescent="0.3">
      <c r="C4362" s="35">
        <f t="shared" si="68"/>
        <v>0</v>
      </c>
      <c r="D4362" s="30" t="str">
        <f>IFERROR(VLOOKUP(C4362,소속부서!$A$2:$B$20,2,FALSE), "")</f>
        <v/>
      </c>
    </row>
    <row r="4363" spans="3:4" x14ac:dyDescent="0.3">
      <c r="C4363" s="35">
        <f t="shared" si="68"/>
        <v>0</v>
      </c>
      <c r="D4363" s="30" t="str">
        <f>IFERROR(VLOOKUP(C4363,소속부서!$A$2:$B$20,2,FALSE), "")</f>
        <v/>
      </c>
    </row>
    <row r="4364" spans="3:4" x14ac:dyDescent="0.3">
      <c r="C4364" s="35">
        <f t="shared" si="68"/>
        <v>0</v>
      </c>
      <c r="D4364" s="30" t="str">
        <f>IFERROR(VLOOKUP(C4364,소속부서!$A$2:$B$20,2,FALSE), "")</f>
        <v/>
      </c>
    </row>
    <row r="4365" spans="3:4" x14ac:dyDescent="0.3">
      <c r="C4365" s="35">
        <f t="shared" si="68"/>
        <v>0</v>
      </c>
      <c r="D4365" s="30" t="str">
        <f>IFERROR(VLOOKUP(C4365,소속부서!$A$2:$B$20,2,FALSE), "")</f>
        <v/>
      </c>
    </row>
    <row r="4366" spans="3:4" x14ac:dyDescent="0.3">
      <c r="C4366" s="35">
        <f t="shared" si="68"/>
        <v>0</v>
      </c>
      <c r="D4366" s="30" t="str">
        <f>IFERROR(VLOOKUP(C4366,소속부서!$A$2:$B$20,2,FALSE), "")</f>
        <v/>
      </c>
    </row>
    <row r="4367" spans="3:4" x14ac:dyDescent="0.3">
      <c r="C4367" s="35">
        <f t="shared" si="68"/>
        <v>0</v>
      </c>
      <c r="D4367" s="30" t="str">
        <f>IFERROR(VLOOKUP(C4367,소속부서!$A$2:$B$20,2,FALSE), "")</f>
        <v/>
      </c>
    </row>
    <row r="4368" spans="3:4" x14ac:dyDescent="0.3">
      <c r="C4368" s="35">
        <f t="shared" si="68"/>
        <v>0</v>
      </c>
      <c r="D4368" s="30" t="str">
        <f>IFERROR(VLOOKUP(C4368,소속부서!$A$2:$B$20,2,FALSE), "")</f>
        <v/>
      </c>
    </row>
    <row r="4369" spans="3:4" x14ac:dyDescent="0.3">
      <c r="C4369" s="35">
        <f t="shared" si="68"/>
        <v>0</v>
      </c>
      <c r="D4369" s="30" t="str">
        <f>IFERROR(VLOOKUP(C4369,소속부서!$A$2:$B$20,2,FALSE), "")</f>
        <v/>
      </c>
    </row>
    <row r="4370" spans="3:4" x14ac:dyDescent="0.3">
      <c r="C4370" s="35">
        <f t="shared" si="68"/>
        <v>0</v>
      </c>
      <c r="D4370" s="30" t="str">
        <f>IFERROR(VLOOKUP(C4370,소속부서!$A$2:$B$20,2,FALSE), "")</f>
        <v/>
      </c>
    </row>
    <row r="4371" spans="3:4" x14ac:dyDescent="0.3">
      <c r="C4371" s="35">
        <f t="shared" si="68"/>
        <v>0</v>
      </c>
      <c r="D4371" s="30" t="str">
        <f>IFERROR(VLOOKUP(C4371,소속부서!$A$2:$B$20,2,FALSE), "")</f>
        <v/>
      </c>
    </row>
    <row r="4372" spans="3:4" x14ac:dyDescent="0.3">
      <c r="C4372" s="35">
        <f t="shared" si="68"/>
        <v>0</v>
      </c>
      <c r="D4372" s="30" t="str">
        <f>IFERROR(VLOOKUP(C4372,소속부서!$A$2:$B$20,2,FALSE), "")</f>
        <v/>
      </c>
    </row>
    <row r="4373" spans="3:4" x14ac:dyDescent="0.3">
      <c r="C4373" s="35">
        <f t="shared" si="68"/>
        <v>0</v>
      </c>
      <c r="D4373" s="30" t="str">
        <f>IFERROR(VLOOKUP(C4373,소속부서!$A$2:$B$20,2,FALSE), "")</f>
        <v/>
      </c>
    </row>
    <row r="4374" spans="3:4" x14ac:dyDescent="0.3">
      <c r="C4374" s="35">
        <f t="shared" si="68"/>
        <v>0</v>
      </c>
      <c r="D4374" s="30" t="str">
        <f>IFERROR(VLOOKUP(C4374,소속부서!$A$2:$B$20,2,FALSE), "")</f>
        <v/>
      </c>
    </row>
    <row r="4375" spans="3:4" x14ac:dyDescent="0.3">
      <c r="C4375" s="35">
        <f t="shared" si="68"/>
        <v>0</v>
      </c>
      <c r="D4375" s="30" t="str">
        <f>IFERROR(VLOOKUP(C4375,소속부서!$A$2:$B$20,2,FALSE), "")</f>
        <v/>
      </c>
    </row>
    <row r="4376" spans="3:4" x14ac:dyDescent="0.3">
      <c r="C4376" s="35">
        <f t="shared" si="68"/>
        <v>0</v>
      </c>
      <c r="D4376" s="30" t="str">
        <f>IFERROR(VLOOKUP(C4376,소속부서!$A$2:$B$20,2,FALSE), "")</f>
        <v/>
      </c>
    </row>
    <row r="4377" spans="3:4" x14ac:dyDescent="0.3">
      <c r="C4377" s="35">
        <f t="shared" si="68"/>
        <v>0</v>
      </c>
      <c r="D4377" s="30" t="str">
        <f>IFERROR(VLOOKUP(C4377,소속부서!$A$2:$B$20,2,FALSE), "")</f>
        <v/>
      </c>
    </row>
    <row r="4378" spans="3:4" x14ac:dyDescent="0.3">
      <c r="C4378" s="35">
        <f t="shared" si="68"/>
        <v>0</v>
      </c>
      <c r="D4378" s="30" t="str">
        <f>IFERROR(VLOOKUP(C4378,소속부서!$A$2:$B$20,2,FALSE), "")</f>
        <v/>
      </c>
    </row>
    <row r="4379" spans="3:4" x14ac:dyDescent="0.3">
      <c r="C4379" s="35">
        <f t="shared" si="68"/>
        <v>0</v>
      </c>
      <c r="D4379" s="30" t="str">
        <f>IFERROR(VLOOKUP(C4379,소속부서!$A$2:$B$20,2,FALSE), "")</f>
        <v/>
      </c>
    </row>
    <row r="4380" spans="3:4" x14ac:dyDescent="0.3">
      <c r="C4380" s="35">
        <f t="shared" si="68"/>
        <v>0</v>
      </c>
      <c r="D4380" s="30" t="str">
        <f>IFERROR(VLOOKUP(C4380,소속부서!$A$2:$B$20,2,FALSE), "")</f>
        <v/>
      </c>
    </row>
    <row r="4381" spans="3:4" x14ac:dyDescent="0.3">
      <c r="C4381" s="35">
        <f t="shared" si="68"/>
        <v>0</v>
      </c>
      <c r="D4381" s="30" t="str">
        <f>IFERROR(VLOOKUP(C4381,소속부서!$A$2:$B$20,2,FALSE), "")</f>
        <v/>
      </c>
    </row>
    <row r="4382" spans="3:4" x14ac:dyDescent="0.3">
      <c r="C4382" s="35">
        <f t="shared" si="68"/>
        <v>0</v>
      </c>
      <c r="D4382" s="30" t="str">
        <f>IFERROR(VLOOKUP(C4382,소속부서!$A$2:$B$20,2,FALSE), "")</f>
        <v/>
      </c>
    </row>
    <row r="4383" spans="3:4" x14ac:dyDescent="0.3">
      <c r="C4383" s="35">
        <f t="shared" si="68"/>
        <v>0</v>
      </c>
      <c r="D4383" s="30" t="str">
        <f>IFERROR(VLOOKUP(C4383,소속부서!$A$2:$B$20,2,FALSE), "")</f>
        <v/>
      </c>
    </row>
    <row r="4384" spans="3:4" x14ac:dyDescent="0.3">
      <c r="C4384" s="35">
        <f t="shared" si="68"/>
        <v>0</v>
      </c>
      <c r="D4384" s="30" t="str">
        <f>IFERROR(VLOOKUP(C4384,소속부서!$A$2:$B$20,2,FALSE), "")</f>
        <v/>
      </c>
    </row>
    <row r="4385" spans="3:4" x14ac:dyDescent="0.3">
      <c r="C4385" s="35">
        <f t="shared" si="68"/>
        <v>0</v>
      </c>
      <c r="D4385" s="30" t="str">
        <f>IFERROR(VLOOKUP(C4385,소속부서!$A$2:$B$20,2,FALSE), "")</f>
        <v/>
      </c>
    </row>
    <row r="4386" spans="3:4" x14ac:dyDescent="0.3">
      <c r="C4386" s="35">
        <f t="shared" si="68"/>
        <v>0</v>
      </c>
      <c r="D4386" s="30" t="str">
        <f>IFERROR(VLOOKUP(C4386,소속부서!$A$2:$B$20,2,FALSE), "")</f>
        <v/>
      </c>
    </row>
    <row r="4387" spans="3:4" x14ac:dyDescent="0.3">
      <c r="C4387" s="35">
        <f t="shared" si="68"/>
        <v>0</v>
      </c>
      <c r="D4387" s="30" t="str">
        <f>IFERROR(VLOOKUP(C4387,소속부서!$A$2:$B$20,2,FALSE), "")</f>
        <v/>
      </c>
    </row>
    <row r="4388" spans="3:4" x14ac:dyDescent="0.3">
      <c r="C4388" s="35">
        <f t="shared" si="68"/>
        <v>0</v>
      </c>
      <c r="D4388" s="30" t="str">
        <f>IFERROR(VLOOKUP(C4388,소속부서!$A$2:$B$20,2,FALSE), "")</f>
        <v/>
      </c>
    </row>
    <row r="4389" spans="3:4" x14ac:dyDescent="0.3">
      <c r="C4389" s="35">
        <f t="shared" si="68"/>
        <v>0</v>
      </c>
      <c r="D4389" s="30" t="str">
        <f>IFERROR(VLOOKUP(C4389,소속부서!$A$2:$B$20,2,FALSE), "")</f>
        <v/>
      </c>
    </row>
    <row r="4390" spans="3:4" x14ac:dyDescent="0.3">
      <c r="C4390" s="35">
        <f t="shared" si="68"/>
        <v>0</v>
      </c>
      <c r="D4390" s="30" t="str">
        <f>IFERROR(VLOOKUP(C4390,소속부서!$A$2:$B$20,2,FALSE), "")</f>
        <v/>
      </c>
    </row>
    <row r="4391" spans="3:4" x14ac:dyDescent="0.3">
      <c r="C4391" s="35">
        <f t="shared" si="68"/>
        <v>0</v>
      </c>
      <c r="D4391" s="30" t="str">
        <f>IFERROR(VLOOKUP(C4391,소속부서!$A$2:$B$20,2,FALSE), "")</f>
        <v/>
      </c>
    </row>
    <row r="4392" spans="3:4" x14ac:dyDescent="0.3">
      <c r="C4392" s="35">
        <f t="shared" si="68"/>
        <v>0</v>
      </c>
      <c r="D4392" s="30" t="str">
        <f>IFERROR(VLOOKUP(C4392,소속부서!$A$2:$B$20,2,FALSE), "")</f>
        <v/>
      </c>
    </row>
    <row r="4393" spans="3:4" x14ac:dyDescent="0.3">
      <c r="C4393" s="35">
        <f t="shared" si="68"/>
        <v>0</v>
      </c>
      <c r="D4393" s="30" t="str">
        <f>IFERROR(VLOOKUP(C4393,소속부서!$A$2:$B$20,2,FALSE), "")</f>
        <v/>
      </c>
    </row>
    <row r="4394" spans="3:4" x14ac:dyDescent="0.3">
      <c r="C4394" s="35">
        <f t="shared" si="68"/>
        <v>0</v>
      </c>
      <c r="D4394" s="30" t="str">
        <f>IFERROR(VLOOKUP(C4394,소속부서!$A$2:$B$20,2,FALSE), "")</f>
        <v/>
      </c>
    </row>
    <row r="4395" spans="3:4" x14ac:dyDescent="0.3">
      <c r="C4395" s="35">
        <f t="shared" si="68"/>
        <v>0</v>
      </c>
      <c r="D4395" s="30" t="str">
        <f>IFERROR(VLOOKUP(C4395,소속부서!$A$2:$B$20,2,FALSE), "")</f>
        <v/>
      </c>
    </row>
    <row r="4396" spans="3:4" x14ac:dyDescent="0.3">
      <c r="C4396" s="35">
        <f t="shared" si="68"/>
        <v>0</v>
      </c>
      <c r="D4396" s="30" t="str">
        <f>IFERROR(VLOOKUP(C4396,소속부서!$A$2:$B$20,2,FALSE), "")</f>
        <v/>
      </c>
    </row>
    <row r="4397" spans="3:4" x14ac:dyDescent="0.3">
      <c r="C4397" s="35">
        <f t="shared" si="68"/>
        <v>0</v>
      </c>
      <c r="D4397" s="30" t="str">
        <f>IFERROR(VLOOKUP(C4397,소속부서!$A$2:$B$20,2,FALSE), "")</f>
        <v/>
      </c>
    </row>
    <row r="4398" spans="3:4" x14ac:dyDescent="0.3">
      <c r="C4398" s="35">
        <f t="shared" si="68"/>
        <v>0</v>
      </c>
      <c r="D4398" s="30" t="str">
        <f>IFERROR(VLOOKUP(C4398,소속부서!$A$2:$B$20,2,FALSE), "")</f>
        <v/>
      </c>
    </row>
    <row r="4399" spans="3:4" x14ac:dyDescent="0.3">
      <c r="C4399" s="35">
        <f t="shared" si="68"/>
        <v>0</v>
      </c>
      <c r="D4399" s="30" t="str">
        <f>IFERROR(VLOOKUP(C4399,소속부서!$A$2:$B$20,2,FALSE), "")</f>
        <v/>
      </c>
    </row>
    <row r="4400" spans="3:4" x14ac:dyDescent="0.3">
      <c r="C4400" s="35">
        <f t="shared" si="68"/>
        <v>0</v>
      </c>
      <c r="D4400" s="30" t="str">
        <f>IFERROR(VLOOKUP(C4400,소속부서!$A$2:$B$20,2,FALSE), "")</f>
        <v/>
      </c>
    </row>
    <row r="4401" spans="3:4" x14ac:dyDescent="0.3">
      <c r="C4401" s="35">
        <f t="shared" si="68"/>
        <v>0</v>
      </c>
      <c r="D4401" s="30" t="str">
        <f>IFERROR(VLOOKUP(C4401,소속부서!$A$2:$B$20,2,FALSE), "")</f>
        <v/>
      </c>
    </row>
    <row r="4402" spans="3:4" x14ac:dyDescent="0.3">
      <c r="C4402" s="35">
        <f t="shared" si="68"/>
        <v>0</v>
      </c>
      <c r="D4402" s="30" t="str">
        <f>IFERROR(VLOOKUP(C4402,소속부서!$A$2:$B$20,2,FALSE), "")</f>
        <v/>
      </c>
    </row>
    <row r="4403" spans="3:4" x14ac:dyDescent="0.3">
      <c r="C4403" s="35">
        <f t="shared" si="68"/>
        <v>0</v>
      </c>
      <c r="D4403" s="30" t="str">
        <f>IFERROR(VLOOKUP(C4403,소속부서!$A$2:$B$20,2,FALSE), "")</f>
        <v/>
      </c>
    </row>
    <row r="4404" spans="3:4" x14ac:dyDescent="0.3">
      <c r="C4404" s="35">
        <f t="shared" si="68"/>
        <v>0</v>
      </c>
      <c r="D4404" s="30" t="str">
        <f>IFERROR(VLOOKUP(C4404,소속부서!$A$2:$B$20,2,FALSE), "")</f>
        <v/>
      </c>
    </row>
    <row r="4405" spans="3:4" x14ac:dyDescent="0.3">
      <c r="C4405" s="35">
        <f t="shared" si="68"/>
        <v>0</v>
      </c>
      <c r="D4405" s="30" t="str">
        <f>IFERROR(VLOOKUP(C4405,소속부서!$A$2:$B$20,2,FALSE), "")</f>
        <v/>
      </c>
    </row>
    <row r="4406" spans="3:4" x14ac:dyDescent="0.3">
      <c r="C4406" s="35">
        <f t="shared" si="68"/>
        <v>0</v>
      </c>
      <c r="D4406" s="30" t="str">
        <f>IFERROR(VLOOKUP(C4406,소속부서!$A$2:$B$20,2,FALSE), "")</f>
        <v/>
      </c>
    </row>
    <row r="4407" spans="3:4" x14ac:dyDescent="0.3">
      <c r="C4407" s="35">
        <f t="shared" si="68"/>
        <v>0</v>
      </c>
      <c r="D4407" s="30" t="str">
        <f>IFERROR(VLOOKUP(C4407,소속부서!$A$2:$B$20,2,FALSE), "")</f>
        <v/>
      </c>
    </row>
    <row r="4408" spans="3:4" x14ac:dyDescent="0.3">
      <c r="C4408" s="35">
        <f t="shared" si="68"/>
        <v>0</v>
      </c>
      <c r="D4408" s="30" t="str">
        <f>IFERROR(VLOOKUP(C4408,소속부서!$A$2:$B$20,2,FALSE), "")</f>
        <v/>
      </c>
    </row>
    <row r="4409" spans="3:4" x14ac:dyDescent="0.3">
      <c r="C4409" s="35">
        <f t="shared" si="68"/>
        <v>0</v>
      </c>
      <c r="D4409" s="30" t="str">
        <f>IFERROR(VLOOKUP(C4409,소속부서!$A$2:$B$20,2,FALSE), "")</f>
        <v/>
      </c>
    </row>
    <row r="4410" spans="3:4" x14ac:dyDescent="0.3">
      <c r="C4410" s="35">
        <f t="shared" si="68"/>
        <v>0</v>
      </c>
      <c r="D4410" s="30" t="str">
        <f>IFERROR(VLOOKUP(C4410,소속부서!$A$2:$B$20,2,FALSE), "")</f>
        <v/>
      </c>
    </row>
    <row r="4411" spans="3:4" x14ac:dyDescent="0.3">
      <c r="C4411" s="35">
        <f t="shared" si="68"/>
        <v>0</v>
      </c>
      <c r="D4411" s="30" t="str">
        <f>IFERROR(VLOOKUP(C4411,소속부서!$A$2:$B$20,2,FALSE), "")</f>
        <v/>
      </c>
    </row>
    <row r="4412" spans="3:4" x14ac:dyDescent="0.3">
      <c r="C4412" s="35">
        <f t="shared" si="68"/>
        <v>0</v>
      </c>
      <c r="D4412" s="30" t="str">
        <f>IFERROR(VLOOKUP(C4412,소속부서!$A$2:$B$20,2,FALSE), "")</f>
        <v/>
      </c>
    </row>
    <row r="4413" spans="3:4" x14ac:dyDescent="0.3">
      <c r="C4413" s="35">
        <f t="shared" si="68"/>
        <v>0</v>
      </c>
      <c r="D4413" s="30" t="str">
        <f>IFERROR(VLOOKUP(C4413,소속부서!$A$2:$B$20,2,FALSE), "")</f>
        <v/>
      </c>
    </row>
    <row r="4414" spans="3:4" x14ac:dyDescent="0.3">
      <c r="C4414" s="35">
        <f t="shared" si="68"/>
        <v>0</v>
      </c>
      <c r="D4414" s="30" t="str">
        <f>IFERROR(VLOOKUP(C4414,소속부서!$A$2:$B$20,2,FALSE), "")</f>
        <v/>
      </c>
    </row>
    <row r="4415" spans="3:4" x14ac:dyDescent="0.3">
      <c r="C4415" s="35">
        <f t="shared" si="68"/>
        <v>0</v>
      </c>
      <c r="D4415" s="30" t="str">
        <f>IFERROR(VLOOKUP(C4415,소속부서!$A$2:$B$20,2,FALSE), "")</f>
        <v/>
      </c>
    </row>
    <row r="4416" spans="3:4" x14ac:dyDescent="0.3">
      <c r="C4416" s="35">
        <f t="shared" si="68"/>
        <v>0</v>
      </c>
      <c r="D4416" s="30" t="str">
        <f>IFERROR(VLOOKUP(C4416,소속부서!$A$2:$B$20,2,FALSE), "")</f>
        <v/>
      </c>
    </row>
    <row r="4417" spans="3:4" x14ac:dyDescent="0.3">
      <c r="C4417" s="35">
        <f t="shared" ref="C4417:C4480" si="69">E4417</f>
        <v>0</v>
      </c>
      <c r="D4417" s="30" t="str">
        <f>IFERROR(VLOOKUP(C4417,소속부서!$A$2:$B$20,2,FALSE), "")</f>
        <v/>
      </c>
    </row>
    <row r="4418" spans="3:4" x14ac:dyDescent="0.3">
      <c r="C4418" s="35">
        <f t="shared" si="69"/>
        <v>0</v>
      </c>
      <c r="D4418" s="30" t="str">
        <f>IFERROR(VLOOKUP(C4418,소속부서!$A$2:$B$20,2,FALSE), "")</f>
        <v/>
      </c>
    </row>
    <row r="4419" spans="3:4" x14ac:dyDescent="0.3">
      <c r="C4419" s="35">
        <f t="shared" si="69"/>
        <v>0</v>
      </c>
      <c r="D4419" s="30" t="str">
        <f>IFERROR(VLOOKUP(C4419,소속부서!$A$2:$B$20,2,FALSE), "")</f>
        <v/>
      </c>
    </row>
    <row r="4420" spans="3:4" x14ac:dyDescent="0.3">
      <c r="C4420" s="35">
        <f t="shared" si="69"/>
        <v>0</v>
      </c>
      <c r="D4420" s="30" t="str">
        <f>IFERROR(VLOOKUP(C4420,소속부서!$A$2:$B$20,2,FALSE), "")</f>
        <v/>
      </c>
    </row>
    <row r="4421" spans="3:4" x14ac:dyDescent="0.3">
      <c r="C4421" s="35">
        <f t="shared" si="69"/>
        <v>0</v>
      </c>
      <c r="D4421" s="30" t="str">
        <f>IFERROR(VLOOKUP(C4421,소속부서!$A$2:$B$20,2,FALSE), "")</f>
        <v/>
      </c>
    </row>
    <row r="4422" spans="3:4" x14ac:dyDescent="0.3">
      <c r="C4422" s="35">
        <f t="shared" si="69"/>
        <v>0</v>
      </c>
      <c r="D4422" s="30" t="str">
        <f>IFERROR(VLOOKUP(C4422,소속부서!$A$2:$B$20,2,FALSE), "")</f>
        <v/>
      </c>
    </row>
    <row r="4423" spans="3:4" x14ac:dyDescent="0.3">
      <c r="C4423" s="35">
        <f t="shared" si="69"/>
        <v>0</v>
      </c>
      <c r="D4423" s="30" t="str">
        <f>IFERROR(VLOOKUP(C4423,소속부서!$A$2:$B$20,2,FALSE), "")</f>
        <v/>
      </c>
    </row>
    <row r="4424" spans="3:4" x14ac:dyDescent="0.3">
      <c r="C4424" s="35">
        <f t="shared" si="69"/>
        <v>0</v>
      </c>
      <c r="D4424" s="30" t="str">
        <f>IFERROR(VLOOKUP(C4424,소속부서!$A$2:$B$20,2,FALSE), "")</f>
        <v/>
      </c>
    </row>
    <row r="4425" spans="3:4" x14ac:dyDescent="0.3">
      <c r="C4425" s="35">
        <f t="shared" si="69"/>
        <v>0</v>
      </c>
      <c r="D4425" s="30" t="str">
        <f>IFERROR(VLOOKUP(C4425,소속부서!$A$2:$B$20,2,FALSE), "")</f>
        <v/>
      </c>
    </row>
    <row r="4426" spans="3:4" x14ac:dyDescent="0.3">
      <c r="C4426" s="35">
        <f t="shared" si="69"/>
        <v>0</v>
      </c>
      <c r="D4426" s="30" t="str">
        <f>IFERROR(VLOOKUP(C4426,소속부서!$A$2:$B$20,2,FALSE), "")</f>
        <v/>
      </c>
    </row>
    <row r="4427" spans="3:4" x14ac:dyDescent="0.3">
      <c r="C4427" s="35">
        <f t="shared" si="69"/>
        <v>0</v>
      </c>
      <c r="D4427" s="30" t="str">
        <f>IFERROR(VLOOKUP(C4427,소속부서!$A$2:$B$20,2,FALSE), "")</f>
        <v/>
      </c>
    </row>
    <row r="4428" spans="3:4" x14ac:dyDescent="0.3">
      <c r="C4428" s="35">
        <f t="shared" si="69"/>
        <v>0</v>
      </c>
      <c r="D4428" s="30" t="str">
        <f>IFERROR(VLOOKUP(C4428,소속부서!$A$2:$B$20,2,FALSE), "")</f>
        <v/>
      </c>
    </row>
    <row r="4429" spans="3:4" x14ac:dyDescent="0.3">
      <c r="C4429" s="35">
        <f t="shared" si="69"/>
        <v>0</v>
      </c>
      <c r="D4429" s="30" t="str">
        <f>IFERROR(VLOOKUP(C4429,소속부서!$A$2:$B$20,2,FALSE), "")</f>
        <v/>
      </c>
    </row>
    <row r="4430" spans="3:4" x14ac:dyDescent="0.3">
      <c r="C4430" s="35">
        <f t="shared" si="69"/>
        <v>0</v>
      </c>
      <c r="D4430" s="30" t="str">
        <f>IFERROR(VLOOKUP(C4430,소속부서!$A$2:$B$20,2,FALSE), "")</f>
        <v/>
      </c>
    </row>
    <row r="4431" spans="3:4" x14ac:dyDescent="0.3">
      <c r="C4431" s="35">
        <f t="shared" si="69"/>
        <v>0</v>
      </c>
      <c r="D4431" s="30" t="str">
        <f>IFERROR(VLOOKUP(C4431,소속부서!$A$2:$B$20,2,FALSE), "")</f>
        <v/>
      </c>
    </row>
    <row r="4432" spans="3:4" x14ac:dyDescent="0.3">
      <c r="C4432" s="35">
        <f t="shared" si="69"/>
        <v>0</v>
      </c>
      <c r="D4432" s="30" t="str">
        <f>IFERROR(VLOOKUP(C4432,소속부서!$A$2:$B$20,2,FALSE), "")</f>
        <v/>
      </c>
    </row>
    <row r="4433" spans="3:4" x14ac:dyDescent="0.3">
      <c r="C4433" s="35">
        <f t="shared" si="69"/>
        <v>0</v>
      </c>
      <c r="D4433" s="30" t="str">
        <f>IFERROR(VLOOKUP(C4433,소속부서!$A$2:$B$20,2,FALSE), "")</f>
        <v/>
      </c>
    </row>
    <row r="4434" spans="3:4" x14ac:dyDescent="0.3">
      <c r="C4434" s="35">
        <f t="shared" si="69"/>
        <v>0</v>
      </c>
      <c r="D4434" s="30" t="str">
        <f>IFERROR(VLOOKUP(C4434,소속부서!$A$2:$B$20,2,FALSE), "")</f>
        <v/>
      </c>
    </row>
    <row r="4435" spans="3:4" x14ac:dyDescent="0.3">
      <c r="C4435" s="35">
        <f t="shared" si="69"/>
        <v>0</v>
      </c>
      <c r="D4435" s="30" t="str">
        <f>IFERROR(VLOOKUP(C4435,소속부서!$A$2:$B$20,2,FALSE), "")</f>
        <v/>
      </c>
    </row>
    <row r="4436" spans="3:4" x14ac:dyDescent="0.3">
      <c r="C4436" s="35">
        <f t="shared" si="69"/>
        <v>0</v>
      </c>
      <c r="D4436" s="30" t="str">
        <f>IFERROR(VLOOKUP(C4436,소속부서!$A$2:$B$20,2,FALSE), "")</f>
        <v/>
      </c>
    </row>
    <row r="4437" spans="3:4" x14ac:dyDescent="0.3">
      <c r="C4437" s="35">
        <f t="shared" si="69"/>
        <v>0</v>
      </c>
      <c r="D4437" s="30" t="str">
        <f>IFERROR(VLOOKUP(C4437,소속부서!$A$2:$B$20,2,FALSE), "")</f>
        <v/>
      </c>
    </row>
    <row r="4438" spans="3:4" x14ac:dyDescent="0.3">
      <c r="C4438" s="35">
        <f t="shared" si="69"/>
        <v>0</v>
      </c>
      <c r="D4438" s="30" t="str">
        <f>IFERROR(VLOOKUP(C4438,소속부서!$A$2:$B$20,2,FALSE), "")</f>
        <v/>
      </c>
    </row>
    <row r="4439" spans="3:4" x14ac:dyDescent="0.3">
      <c r="C4439" s="35">
        <f t="shared" si="69"/>
        <v>0</v>
      </c>
      <c r="D4439" s="30" t="str">
        <f>IFERROR(VLOOKUP(C4439,소속부서!$A$2:$B$20,2,FALSE), "")</f>
        <v/>
      </c>
    </row>
    <row r="4440" spans="3:4" x14ac:dyDescent="0.3">
      <c r="C4440" s="35">
        <f t="shared" si="69"/>
        <v>0</v>
      </c>
      <c r="D4440" s="30" t="str">
        <f>IFERROR(VLOOKUP(C4440,소속부서!$A$2:$B$20,2,FALSE), "")</f>
        <v/>
      </c>
    </row>
    <row r="4441" spans="3:4" x14ac:dyDescent="0.3">
      <c r="C4441" s="35">
        <f t="shared" si="69"/>
        <v>0</v>
      </c>
      <c r="D4441" s="30" t="str">
        <f>IFERROR(VLOOKUP(C4441,소속부서!$A$2:$B$20,2,FALSE), "")</f>
        <v/>
      </c>
    </row>
    <row r="4442" spans="3:4" x14ac:dyDescent="0.3">
      <c r="C4442" s="35">
        <f t="shared" si="69"/>
        <v>0</v>
      </c>
      <c r="D4442" s="30" t="str">
        <f>IFERROR(VLOOKUP(C4442,소속부서!$A$2:$B$20,2,FALSE), "")</f>
        <v/>
      </c>
    </row>
    <row r="4443" spans="3:4" x14ac:dyDescent="0.3">
      <c r="C4443" s="35">
        <f t="shared" si="69"/>
        <v>0</v>
      </c>
      <c r="D4443" s="30" t="str">
        <f>IFERROR(VLOOKUP(C4443,소속부서!$A$2:$B$20,2,FALSE), "")</f>
        <v/>
      </c>
    </row>
    <row r="4444" spans="3:4" x14ac:dyDescent="0.3">
      <c r="C4444" s="35">
        <f t="shared" si="69"/>
        <v>0</v>
      </c>
      <c r="D4444" s="30" t="str">
        <f>IFERROR(VLOOKUP(C4444,소속부서!$A$2:$B$20,2,FALSE), "")</f>
        <v/>
      </c>
    </row>
    <row r="4445" spans="3:4" x14ac:dyDescent="0.3">
      <c r="C4445" s="35">
        <f t="shared" si="69"/>
        <v>0</v>
      </c>
      <c r="D4445" s="30" t="str">
        <f>IFERROR(VLOOKUP(C4445,소속부서!$A$2:$B$20,2,FALSE), "")</f>
        <v/>
      </c>
    </row>
    <row r="4446" spans="3:4" x14ac:dyDescent="0.3">
      <c r="C4446" s="35">
        <f t="shared" si="69"/>
        <v>0</v>
      </c>
      <c r="D4446" s="30" t="str">
        <f>IFERROR(VLOOKUP(C4446,소속부서!$A$2:$B$20,2,FALSE), "")</f>
        <v/>
      </c>
    </row>
    <row r="4447" spans="3:4" x14ac:dyDescent="0.3">
      <c r="C4447" s="35">
        <f t="shared" si="69"/>
        <v>0</v>
      </c>
      <c r="D4447" s="30" t="str">
        <f>IFERROR(VLOOKUP(C4447,소속부서!$A$2:$B$20,2,FALSE), "")</f>
        <v/>
      </c>
    </row>
    <row r="4448" spans="3:4" x14ac:dyDescent="0.3">
      <c r="C4448" s="35">
        <f t="shared" si="69"/>
        <v>0</v>
      </c>
      <c r="D4448" s="30" t="str">
        <f>IFERROR(VLOOKUP(C4448,소속부서!$A$2:$B$20,2,FALSE), "")</f>
        <v/>
      </c>
    </row>
    <row r="4449" spans="3:4" x14ac:dyDescent="0.3">
      <c r="C4449" s="35">
        <f t="shared" si="69"/>
        <v>0</v>
      </c>
      <c r="D4449" s="30" t="str">
        <f>IFERROR(VLOOKUP(C4449,소속부서!$A$2:$B$20,2,FALSE), "")</f>
        <v/>
      </c>
    </row>
    <row r="4450" spans="3:4" x14ac:dyDescent="0.3">
      <c r="C4450" s="35">
        <f t="shared" si="69"/>
        <v>0</v>
      </c>
      <c r="D4450" s="30" t="str">
        <f>IFERROR(VLOOKUP(C4450,소속부서!$A$2:$B$20,2,FALSE), "")</f>
        <v/>
      </c>
    </row>
    <row r="4451" spans="3:4" x14ac:dyDescent="0.3">
      <c r="C4451" s="35">
        <f t="shared" si="69"/>
        <v>0</v>
      </c>
      <c r="D4451" s="30" t="str">
        <f>IFERROR(VLOOKUP(C4451,소속부서!$A$2:$B$20,2,FALSE), "")</f>
        <v/>
      </c>
    </row>
    <row r="4452" spans="3:4" x14ac:dyDescent="0.3">
      <c r="C4452" s="35">
        <f t="shared" si="69"/>
        <v>0</v>
      </c>
      <c r="D4452" s="30" t="str">
        <f>IFERROR(VLOOKUP(C4452,소속부서!$A$2:$B$20,2,FALSE), "")</f>
        <v/>
      </c>
    </row>
    <row r="4453" spans="3:4" x14ac:dyDescent="0.3">
      <c r="C4453" s="35">
        <f t="shared" si="69"/>
        <v>0</v>
      </c>
      <c r="D4453" s="30" t="str">
        <f>IFERROR(VLOOKUP(C4453,소속부서!$A$2:$B$20,2,FALSE), "")</f>
        <v/>
      </c>
    </row>
    <row r="4454" spans="3:4" x14ac:dyDescent="0.3">
      <c r="C4454" s="35">
        <f t="shared" si="69"/>
        <v>0</v>
      </c>
      <c r="D4454" s="30" t="str">
        <f>IFERROR(VLOOKUP(C4454,소속부서!$A$2:$B$20,2,FALSE), "")</f>
        <v/>
      </c>
    </row>
    <row r="4455" spans="3:4" x14ac:dyDescent="0.3">
      <c r="C4455" s="35">
        <f t="shared" si="69"/>
        <v>0</v>
      </c>
      <c r="D4455" s="30" t="str">
        <f>IFERROR(VLOOKUP(C4455,소속부서!$A$2:$B$20,2,FALSE), "")</f>
        <v/>
      </c>
    </row>
    <row r="4456" spans="3:4" x14ac:dyDescent="0.3">
      <c r="C4456" s="35">
        <f t="shared" si="69"/>
        <v>0</v>
      </c>
      <c r="D4456" s="30" t="str">
        <f>IFERROR(VLOOKUP(C4456,소속부서!$A$2:$B$20,2,FALSE), "")</f>
        <v/>
      </c>
    </row>
    <row r="4457" spans="3:4" x14ac:dyDescent="0.3">
      <c r="C4457" s="35">
        <f t="shared" si="69"/>
        <v>0</v>
      </c>
      <c r="D4457" s="30" t="str">
        <f>IFERROR(VLOOKUP(C4457,소속부서!$A$2:$B$20,2,FALSE), "")</f>
        <v/>
      </c>
    </row>
    <row r="4458" spans="3:4" x14ac:dyDescent="0.3">
      <c r="C4458" s="35">
        <f t="shared" si="69"/>
        <v>0</v>
      </c>
      <c r="D4458" s="30" t="str">
        <f>IFERROR(VLOOKUP(C4458,소속부서!$A$2:$B$20,2,FALSE), "")</f>
        <v/>
      </c>
    </row>
    <row r="4459" spans="3:4" x14ac:dyDescent="0.3">
      <c r="C4459" s="35">
        <f t="shared" si="69"/>
        <v>0</v>
      </c>
      <c r="D4459" s="30" t="str">
        <f>IFERROR(VLOOKUP(C4459,소속부서!$A$2:$B$20,2,FALSE), "")</f>
        <v/>
      </c>
    </row>
    <row r="4460" spans="3:4" x14ac:dyDescent="0.3">
      <c r="C4460" s="35">
        <f t="shared" si="69"/>
        <v>0</v>
      </c>
      <c r="D4460" s="30" t="str">
        <f>IFERROR(VLOOKUP(C4460,소속부서!$A$2:$B$20,2,FALSE), "")</f>
        <v/>
      </c>
    </row>
    <row r="4461" spans="3:4" x14ac:dyDescent="0.3">
      <c r="C4461" s="35">
        <f t="shared" si="69"/>
        <v>0</v>
      </c>
      <c r="D4461" s="30" t="str">
        <f>IFERROR(VLOOKUP(C4461,소속부서!$A$2:$B$20,2,FALSE), "")</f>
        <v/>
      </c>
    </row>
    <row r="4462" spans="3:4" x14ac:dyDescent="0.3">
      <c r="C4462" s="35">
        <f t="shared" si="69"/>
        <v>0</v>
      </c>
      <c r="D4462" s="30" t="str">
        <f>IFERROR(VLOOKUP(C4462,소속부서!$A$2:$B$20,2,FALSE), "")</f>
        <v/>
      </c>
    </row>
    <row r="4463" spans="3:4" x14ac:dyDescent="0.3">
      <c r="C4463" s="35">
        <f t="shared" si="69"/>
        <v>0</v>
      </c>
      <c r="D4463" s="30" t="str">
        <f>IFERROR(VLOOKUP(C4463,소속부서!$A$2:$B$20,2,FALSE), "")</f>
        <v/>
      </c>
    </row>
    <row r="4464" spans="3:4" x14ac:dyDescent="0.3">
      <c r="C4464" s="35">
        <f t="shared" si="69"/>
        <v>0</v>
      </c>
      <c r="D4464" s="30" t="str">
        <f>IFERROR(VLOOKUP(C4464,소속부서!$A$2:$B$20,2,FALSE), "")</f>
        <v/>
      </c>
    </row>
    <row r="4465" spans="3:4" x14ac:dyDescent="0.3">
      <c r="C4465" s="35">
        <f t="shared" si="69"/>
        <v>0</v>
      </c>
      <c r="D4465" s="30" t="str">
        <f>IFERROR(VLOOKUP(C4465,소속부서!$A$2:$B$20,2,FALSE), "")</f>
        <v/>
      </c>
    </row>
    <row r="4466" spans="3:4" x14ac:dyDescent="0.3">
      <c r="C4466" s="35">
        <f t="shared" si="69"/>
        <v>0</v>
      </c>
      <c r="D4466" s="30" t="str">
        <f>IFERROR(VLOOKUP(C4466,소속부서!$A$2:$B$20,2,FALSE), "")</f>
        <v/>
      </c>
    </row>
    <row r="4467" spans="3:4" x14ac:dyDescent="0.3">
      <c r="C4467" s="35">
        <f t="shared" si="69"/>
        <v>0</v>
      </c>
      <c r="D4467" s="30" t="str">
        <f>IFERROR(VLOOKUP(C4467,소속부서!$A$2:$B$20,2,FALSE), "")</f>
        <v/>
      </c>
    </row>
    <row r="4468" spans="3:4" x14ac:dyDescent="0.3">
      <c r="C4468" s="35">
        <f t="shared" si="69"/>
        <v>0</v>
      </c>
      <c r="D4468" s="30" t="str">
        <f>IFERROR(VLOOKUP(C4468,소속부서!$A$2:$B$20,2,FALSE), "")</f>
        <v/>
      </c>
    </row>
    <row r="4469" spans="3:4" x14ac:dyDescent="0.3">
      <c r="C4469" s="35">
        <f t="shared" si="69"/>
        <v>0</v>
      </c>
      <c r="D4469" s="30" t="str">
        <f>IFERROR(VLOOKUP(C4469,소속부서!$A$2:$B$20,2,FALSE), "")</f>
        <v/>
      </c>
    </row>
    <row r="4470" spans="3:4" x14ac:dyDescent="0.3">
      <c r="C4470" s="35">
        <f t="shared" si="69"/>
        <v>0</v>
      </c>
      <c r="D4470" s="30" t="str">
        <f>IFERROR(VLOOKUP(C4470,소속부서!$A$2:$B$20,2,FALSE), "")</f>
        <v/>
      </c>
    </row>
    <row r="4471" spans="3:4" x14ac:dyDescent="0.3">
      <c r="C4471" s="35">
        <f t="shared" si="69"/>
        <v>0</v>
      </c>
      <c r="D4471" s="30" t="str">
        <f>IFERROR(VLOOKUP(C4471,소속부서!$A$2:$B$20,2,FALSE), "")</f>
        <v/>
      </c>
    </row>
    <row r="4472" spans="3:4" x14ac:dyDescent="0.3">
      <c r="C4472" s="35">
        <f t="shared" si="69"/>
        <v>0</v>
      </c>
      <c r="D4472" s="30" t="str">
        <f>IFERROR(VLOOKUP(C4472,소속부서!$A$2:$B$20,2,FALSE), "")</f>
        <v/>
      </c>
    </row>
    <row r="4473" spans="3:4" x14ac:dyDescent="0.3">
      <c r="C4473" s="35">
        <f t="shared" si="69"/>
        <v>0</v>
      </c>
      <c r="D4473" s="30" t="str">
        <f>IFERROR(VLOOKUP(C4473,소속부서!$A$2:$B$20,2,FALSE), "")</f>
        <v/>
      </c>
    </row>
    <row r="4474" spans="3:4" x14ac:dyDescent="0.3">
      <c r="C4474" s="35">
        <f t="shared" si="69"/>
        <v>0</v>
      </c>
      <c r="D4474" s="30" t="str">
        <f>IFERROR(VLOOKUP(C4474,소속부서!$A$2:$B$20,2,FALSE), "")</f>
        <v/>
      </c>
    </row>
    <row r="4475" spans="3:4" x14ac:dyDescent="0.3">
      <c r="C4475" s="35">
        <f t="shared" si="69"/>
        <v>0</v>
      </c>
      <c r="D4475" s="30" t="str">
        <f>IFERROR(VLOOKUP(C4475,소속부서!$A$2:$B$20,2,FALSE), "")</f>
        <v/>
      </c>
    </row>
    <row r="4476" spans="3:4" x14ac:dyDescent="0.3">
      <c r="C4476" s="35">
        <f t="shared" si="69"/>
        <v>0</v>
      </c>
      <c r="D4476" s="30" t="str">
        <f>IFERROR(VLOOKUP(C4476,소속부서!$A$2:$B$20,2,FALSE), "")</f>
        <v/>
      </c>
    </row>
    <row r="4477" spans="3:4" x14ac:dyDescent="0.3">
      <c r="C4477" s="35">
        <f t="shared" si="69"/>
        <v>0</v>
      </c>
      <c r="D4477" s="30" t="str">
        <f>IFERROR(VLOOKUP(C4477,소속부서!$A$2:$B$20,2,FALSE), "")</f>
        <v/>
      </c>
    </row>
    <row r="4478" spans="3:4" x14ac:dyDescent="0.3">
      <c r="C4478" s="35">
        <f t="shared" si="69"/>
        <v>0</v>
      </c>
      <c r="D4478" s="30" t="str">
        <f>IFERROR(VLOOKUP(C4478,소속부서!$A$2:$B$20,2,FALSE), "")</f>
        <v/>
      </c>
    </row>
    <row r="4479" spans="3:4" x14ac:dyDescent="0.3">
      <c r="C4479" s="35">
        <f t="shared" si="69"/>
        <v>0</v>
      </c>
      <c r="D4479" s="30" t="str">
        <f>IFERROR(VLOOKUP(C4479,소속부서!$A$2:$B$20,2,FALSE), "")</f>
        <v/>
      </c>
    </row>
    <row r="4480" spans="3:4" x14ac:dyDescent="0.3">
      <c r="C4480" s="35">
        <f t="shared" si="69"/>
        <v>0</v>
      </c>
      <c r="D4480" s="30" t="str">
        <f>IFERROR(VLOOKUP(C4480,소속부서!$A$2:$B$20,2,FALSE), "")</f>
        <v/>
      </c>
    </row>
    <row r="4481" spans="3:4" x14ac:dyDescent="0.3">
      <c r="C4481" s="35">
        <f t="shared" ref="C4481:C4544" si="70">E4481</f>
        <v>0</v>
      </c>
      <c r="D4481" s="30" t="str">
        <f>IFERROR(VLOOKUP(C4481,소속부서!$A$2:$B$20,2,FALSE), "")</f>
        <v/>
      </c>
    </row>
    <row r="4482" spans="3:4" x14ac:dyDescent="0.3">
      <c r="C4482" s="35">
        <f t="shared" si="70"/>
        <v>0</v>
      </c>
      <c r="D4482" s="30" t="str">
        <f>IFERROR(VLOOKUP(C4482,소속부서!$A$2:$B$20,2,FALSE), "")</f>
        <v/>
      </c>
    </row>
    <row r="4483" spans="3:4" x14ac:dyDescent="0.3">
      <c r="C4483" s="35">
        <f t="shared" si="70"/>
        <v>0</v>
      </c>
      <c r="D4483" s="30" t="str">
        <f>IFERROR(VLOOKUP(C4483,소속부서!$A$2:$B$20,2,FALSE), "")</f>
        <v/>
      </c>
    </row>
    <row r="4484" spans="3:4" x14ac:dyDescent="0.3">
      <c r="C4484" s="35">
        <f t="shared" si="70"/>
        <v>0</v>
      </c>
      <c r="D4484" s="30" t="str">
        <f>IFERROR(VLOOKUP(C4484,소속부서!$A$2:$B$20,2,FALSE), "")</f>
        <v/>
      </c>
    </row>
    <row r="4485" spans="3:4" x14ac:dyDescent="0.3">
      <c r="C4485" s="35">
        <f t="shared" si="70"/>
        <v>0</v>
      </c>
      <c r="D4485" s="30" t="str">
        <f>IFERROR(VLOOKUP(C4485,소속부서!$A$2:$B$20,2,FALSE), "")</f>
        <v/>
      </c>
    </row>
    <row r="4486" spans="3:4" x14ac:dyDescent="0.3">
      <c r="C4486" s="35">
        <f t="shared" si="70"/>
        <v>0</v>
      </c>
      <c r="D4486" s="30" t="str">
        <f>IFERROR(VLOOKUP(C4486,소속부서!$A$2:$B$20,2,FALSE), "")</f>
        <v/>
      </c>
    </row>
    <row r="4487" spans="3:4" x14ac:dyDescent="0.3">
      <c r="C4487" s="35">
        <f t="shared" si="70"/>
        <v>0</v>
      </c>
      <c r="D4487" s="30" t="str">
        <f>IFERROR(VLOOKUP(C4487,소속부서!$A$2:$B$20,2,FALSE), "")</f>
        <v/>
      </c>
    </row>
    <row r="4488" spans="3:4" x14ac:dyDescent="0.3">
      <c r="C4488" s="35">
        <f t="shared" si="70"/>
        <v>0</v>
      </c>
      <c r="D4488" s="30" t="str">
        <f>IFERROR(VLOOKUP(C4488,소속부서!$A$2:$B$20,2,FALSE), "")</f>
        <v/>
      </c>
    </row>
    <row r="4489" spans="3:4" x14ac:dyDescent="0.3">
      <c r="C4489" s="35">
        <f t="shared" si="70"/>
        <v>0</v>
      </c>
      <c r="D4489" s="30" t="str">
        <f>IFERROR(VLOOKUP(C4489,소속부서!$A$2:$B$20,2,FALSE), "")</f>
        <v/>
      </c>
    </row>
    <row r="4490" spans="3:4" x14ac:dyDescent="0.3">
      <c r="C4490" s="35">
        <f t="shared" si="70"/>
        <v>0</v>
      </c>
      <c r="D4490" s="30" t="str">
        <f>IFERROR(VLOOKUP(C4490,소속부서!$A$2:$B$20,2,FALSE), "")</f>
        <v/>
      </c>
    </row>
    <row r="4491" spans="3:4" x14ac:dyDescent="0.3">
      <c r="C4491" s="35">
        <f t="shared" si="70"/>
        <v>0</v>
      </c>
      <c r="D4491" s="30" t="str">
        <f>IFERROR(VLOOKUP(C4491,소속부서!$A$2:$B$20,2,FALSE), "")</f>
        <v/>
      </c>
    </row>
    <row r="4492" spans="3:4" x14ac:dyDescent="0.3">
      <c r="C4492" s="35">
        <f t="shared" si="70"/>
        <v>0</v>
      </c>
      <c r="D4492" s="30" t="str">
        <f>IFERROR(VLOOKUP(C4492,소속부서!$A$2:$B$20,2,FALSE), "")</f>
        <v/>
      </c>
    </row>
    <row r="4493" spans="3:4" x14ac:dyDescent="0.3">
      <c r="C4493" s="35">
        <f t="shared" si="70"/>
        <v>0</v>
      </c>
      <c r="D4493" s="30" t="str">
        <f>IFERROR(VLOOKUP(C4493,소속부서!$A$2:$B$20,2,FALSE), "")</f>
        <v/>
      </c>
    </row>
    <row r="4494" spans="3:4" x14ac:dyDescent="0.3">
      <c r="C4494" s="35">
        <f t="shared" si="70"/>
        <v>0</v>
      </c>
      <c r="D4494" s="30" t="str">
        <f>IFERROR(VLOOKUP(C4494,소속부서!$A$2:$B$20,2,FALSE), "")</f>
        <v/>
      </c>
    </row>
    <row r="4495" spans="3:4" x14ac:dyDescent="0.3">
      <c r="C4495" s="35">
        <f t="shared" si="70"/>
        <v>0</v>
      </c>
      <c r="D4495" s="30" t="str">
        <f>IFERROR(VLOOKUP(C4495,소속부서!$A$2:$B$20,2,FALSE), "")</f>
        <v/>
      </c>
    </row>
    <row r="4496" spans="3:4" x14ac:dyDescent="0.3">
      <c r="C4496" s="35">
        <f t="shared" si="70"/>
        <v>0</v>
      </c>
      <c r="D4496" s="30" t="str">
        <f>IFERROR(VLOOKUP(C4496,소속부서!$A$2:$B$20,2,FALSE), "")</f>
        <v/>
      </c>
    </row>
    <row r="4497" spans="3:4" x14ac:dyDescent="0.3">
      <c r="C4497" s="35">
        <f t="shared" si="70"/>
        <v>0</v>
      </c>
      <c r="D4497" s="30" t="str">
        <f>IFERROR(VLOOKUP(C4497,소속부서!$A$2:$B$20,2,FALSE), "")</f>
        <v/>
      </c>
    </row>
    <row r="4498" spans="3:4" x14ac:dyDescent="0.3">
      <c r="C4498" s="35">
        <f t="shared" si="70"/>
        <v>0</v>
      </c>
      <c r="D4498" s="30" t="str">
        <f>IFERROR(VLOOKUP(C4498,소속부서!$A$2:$B$20,2,FALSE), "")</f>
        <v/>
      </c>
    </row>
    <row r="4499" spans="3:4" x14ac:dyDescent="0.3">
      <c r="C4499" s="35">
        <f t="shared" si="70"/>
        <v>0</v>
      </c>
      <c r="D4499" s="30" t="str">
        <f>IFERROR(VLOOKUP(C4499,소속부서!$A$2:$B$20,2,FALSE), "")</f>
        <v/>
      </c>
    </row>
    <row r="4500" spans="3:4" x14ac:dyDescent="0.3">
      <c r="C4500" s="35">
        <f t="shared" si="70"/>
        <v>0</v>
      </c>
      <c r="D4500" s="30" t="str">
        <f>IFERROR(VLOOKUP(C4500,소속부서!$A$2:$B$20,2,FALSE), "")</f>
        <v/>
      </c>
    </row>
    <row r="4501" spans="3:4" x14ac:dyDescent="0.3">
      <c r="C4501" s="35">
        <f t="shared" si="70"/>
        <v>0</v>
      </c>
      <c r="D4501" s="30" t="str">
        <f>IFERROR(VLOOKUP(C4501,소속부서!$A$2:$B$20,2,FALSE), "")</f>
        <v/>
      </c>
    </row>
    <row r="4502" spans="3:4" x14ac:dyDescent="0.3">
      <c r="C4502" s="35">
        <f t="shared" si="70"/>
        <v>0</v>
      </c>
      <c r="D4502" s="30" t="str">
        <f>IFERROR(VLOOKUP(C4502,소속부서!$A$2:$B$20,2,FALSE), "")</f>
        <v/>
      </c>
    </row>
    <row r="4503" spans="3:4" x14ac:dyDescent="0.3">
      <c r="C4503" s="35">
        <f t="shared" si="70"/>
        <v>0</v>
      </c>
      <c r="D4503" s="30" t="str">
        <f>IFERROR(VLOOKUP(C4503,소속부서!$A$2:$B$20,2,FALSE), "")</f>
        <v/>
      </c>
    </row>
    <row r="4504" spans="3:4" x14ac:dyDescent="0.3">
      <c r="C4504" s="35">
        <f t="shared" si="70"/>
        <v>0</v>
      </c>
      <c r="D4504" s="30" t="str">
        <f>IFERROR(VLOOKUP(C4504,소속부서!$A$2:$B$20,2,FALSE), "")</f>
        <v/>
      </c>
    </row>
    <row r="4505" spans="3:4" x14ac:dyDescent="0.3">
      <c r="C4505" s="35">
        <f t="shared" si="70"/>
        <v>0</v>
      </c>
      <c r="D4505" s="30" t="str">
        <f>IFERROR(VLOOKUP(C4505,소속부서!$A$2:$B$20,2,FALSE), "")</f>
        <v/>
      </c>
    </row>
    <row r="4506" spans="3:4" x14ac:dyDescent="0.3">
      <c r="C4506" s="35">
        <f t="shared" si="70"/>
        <v>0</v>
      </c>
      <c r="D4506" s="30" t="str">
        <f>IFERROR(VLOOKUP(C4506,소속부서!$A$2:$B$20,2,FALSE), "")</f>
        <v/>
      </c>
    </row>
    <row r="4507" spans="3:4" x14ac:dyDescent="0.3">
      <c r="C4507" s="35">
        <f t="shared" si="70"/>
        <v>0</v>
      </c>
      <c r="D4507" s="30" t="str">
        <f>IFERROR(VLOOKUP(C4507,소속부서!$A$2:$B$20,2,FALSE), "")</f>
        <v/>
      </c>
    </row>
    <row r="4508" spans="3:4" x14ac:dyDescent="0.3">
      <c r="C4508" s="35">
        <f t="shared" si="70"/>
        <v>0</v>
      </c>
      <c r="D4508" s="30" t="str">
        <f>IFERROR(VLOOKUP(C4508,소속부서!$A$2:$B$20,2,FALSE), "")</f>
        <v/>
      </c>
    </row>
    <row r="4509" spans="3:4" x14ac:dyDescent="0.3">
      <c r="C4509" s="35">
        <f t="shared" si="70"/>
        <v>0</v>
      </c>
      <c r="D4509" s="30" t="str">
        <f>IFERROR(VLOOKUP(C4509,소속부서!$A$2:$B$20,2,FALSE), "")</f>
        <v/>
      </c>
    </row>
    <row r="4510" spans="3:4" x14ac:dyDescent="0.3">
      <c r="C4510" s="35">
        <f t="shared" si="70"/>
        <v>0</v>
      </c>
      <c r="D4510" s="30" t="str">
        <f>IFERROR(VLOOKUP(C4510,소속부서!$A$2:$B$20,2,FALSE), "")</f>
        <v/>
      </c>
    </row>
    <row r="4511" spans="3:4" x14ac:dyDescent="0.3">
      <c r="C4511" s="35">
        <f t="shared" si="70"/>
        <v>0</v>
      </c>
      <c r="D4511" s="30" t="str">
        <f>IFERROR(VLOOKUP(C4511,소속부서!$A$2:$B$20,2,FALSE), "")</f>
        <v/>
      </c>
    </row>
    <row r="4512" spans="3:4" x14ac:dyDescent="0.3">
      <c r="C4512" s="35">
        <f t="shared" si="70"/>
        <v>0</v>
      </c>
      <c r="D4512" s="30" t="str">
        <f>IFERROR(VLOOKUP(C4512,소속부서!$A$2:$B$20,2,FALSE), "")</f>
        <v/>
      </c>
    </row>
    <row r="4513" spans="3:4" x14ac:dyDescent="0.3">
      <c r="C4513" s="35">
        <f t="shared" si="70"/>
        <v>0</v>
      </c>
      <c r="D4513" s="30" t="str">
        <f>IFERROR(VLOOKUP(C4513,소속부서!$A$2:$B$20,2,FALSE), "")</f>
        <v/>
      </c>
    </row>
    <row r="4514" spans="3:4" x14ac:dyDescent="0.3">
      <c r="C4514" s="35">
        <f t="shared" si="70"/>
        <v>0</v>
      </c>
      <c r="D4514" s="30" t="str">
        <f>IFERROR(VLOOKUP(C4514,소속부서!$A$2:$B$20,2,FALSE), "")</f>
        <v/>
      </c>
    </row>
    <row r="4515" spans="3:4" x14ac:dyDescent="0.3">
      <c r="C4515" s="35">
        <f t="shared" si="70"/>
        <v>0</v>
      </c>
      <c r="D4515" s="30" t="str">
        <f>IFERROR(VLOOKUP(C4515,소속부서!$A$2:$B$20,2,FALSE), "")</f>
        <v/>
      </c>
    </row>
    <row r="4516" spans="3:4" x14ac:dyDescent="0.3">
      <c r="C4516" s="35">
        <f t="shared" si="70"/>
        <v>0</v>
      </c>
      <c r="D4516" s="30" t="str">
        <f>IFERROR(VLOOKUP(C4516,소속부서!$A$2:$B$20,2,FALSE), "")</f>
        <v/>
      </c>
    </row>
    <row r="4517" spans="3:4" x14ac:dyDescent="0.3">
      <c r="C4517" s="35">
        <f t="shared" si="70"/>
        <v>0</v>
      </c>
      <c r="D4517" s="30" t="str">
        <f>IFERROR(VLOOKUP(C4517,소속부서!$A$2:$B$20,2,FALSE), "")</f>
        <v/>
      </c>
    </row>
    <row r="4518" spans="3:4" x14ac:dyDescent="0.3">
      <c r="C4518" s="35">
        <f t="shared" si="70"/>
        <v>0</v>
      </c>
      <c r="D4518" s="30" t="str">
        <f>IFERROR(VLOOKUP(C4518,소속부서!$A$2:$B$20,2,FALSE), "")</f>
        <v/>
      </c>
    </row>
    <row r="4519" spans="3:4" x14ac:dyDescent="0.3">
      <c r="C4519" s="35">
        <f t="shared" si="70"/>
        <v>0</v>
      </c>
      <c r="D4519" s="30" t="str">
        <f>IFERROR(VLOOKUP(C4519,소속부서!$A$2:$B$20,2,FALSE), "")</f>
        <v/>
      </c>
    </row>
    <row r="4520" spans="3:4" x14ac:dyDescent="0.3">
      <c r="C4520" s="35">
        <f t="shared" si="70"/>
        <v>0</v>
      </c>
      <c r="D4520" s="30" t="str">
        <f>IFERROR(VLOOKUP(C4520,소속부서!$A$2:$B$20,2,FALSE), "")</f>
        <v/>
      </c>
    </row>
    <row r="4521" spans="3:4" x14ac:dyDescent="0.3">
      <c r="C4521" s="35">
        <f t="shared" si="70"/>
        <v>0</v>
      </c>
      <c r="D4521" s="30" t="str">
        <f>IFERROR(VLOOKUP(C4521,소속부서!$A$2:$B$20,2,FALSE), "")</f>
        <v/>
      </c>
    </row>
    <row r="4522" spans="3:4" x14ac:dyDescent="0.3">
      <c r="C4522" s="35">
        <f t="shared" si="70"/>
        <v>0</v>
      </c>
      <c r="D4522" s="30" t="str">
        <f>IFERROR(VLOOKUP(C4522,소속부서!$A$2:$B$20,2,FALSE), "")</f>
        <v/>
      </c>
    </row>
    <row r="4523" spans="3:4" x14ac:dyDescent="0.3">
      <c r="C4523" s="35">
        <f t="shared" si="70"/>
        <v>0</v>
      </c>
      <c r="D4523" s="30" t="str">
        <f>IFERROR(VLOOKUP(C4523,소속부서!$A$2:$B$20,2,FALSE), "")</f>
        <v/>
      </c>
    </row>
    <row r="4524" spans="3:4" x14ac:dyDescent="0.3">
      <c r="C4524" s="35">
        <f t="shared" si="70"/>
        <v>0</v>
      </c>
      <c r="D4524" s="30" t="str">
        <f>IFERROR(VLOOKUP(C4524,소속부서!$A$2:$B$20,2,FALSE), "")</f>
        <v/>
      </c>
    </row>
    <row r="4525" spans="3:4" x14ac:dyDescent="0.3">
      <c r="C4525" s="35">
        <f t="shared" si="70"/>
        <v>0</v>
      </c>
      <c r="D4525" s="30" t="str">
        <f>IFERROR(VLOOKUP(C4525,소속부서!$A$2:$B$20,2,FALSE), "")</f>
        <v/>
      </c>
    </row>
    <row r="4526" spans="3:4" x14ac:dyDescent="0.3">
      <c r="C4526" s="35">
        <f t="shared" si="70"/>
        <v>0</v>
      </c>
      <c r="D4526" s="30" t="str">
        <f>IFERROR(VLOOKUP(C4526,소속부서!$A$2:$B$20,2,FALSE), "")</f>
        <v/>
      </c>
    </row>
    <row r="4527" spans="3:4" x14ac:dyDescent="0.3">
      <c r="C4527" s="35">
        <f t="shared" si="70"/>
        <v>0</v>
      </c>
      <c r="D4527" s="30" t="str">
        <f>IFERROR(VLOOKUP(C4527,소속부서!$A$2:$B$20,2,FALSE), "")</f>
        <v/>
      </c>
    </row>
    <row r="4528" spans="3:4" x14ac:dyDescent="0.3">
      <c r="C4528" s="35">
        <f t="shared" si="70"/>
        <v>0</v>
      </c>
      <c r="D4528" s="30" t="str">
        <f>IFERROR(VLOOKUP(C4528,소속부서!$A$2:$B$20,2,FALSE), "")</f>
        <v/>
      </c>
    </row>
    <row r="4529" spans="3:4" x14ac:dyDescent="0.3">
      <c r="C4529" s="35">
        <f t="shared" si="70"/>
        <v>0</v>
      </c>
      <c r="D4529" s="30" t="str">
        <f>IFERROR(VLOOKUP(C4529,소속부서!$A$2:$B$20,2,FALSE), "")</f>
        <v/>
      </c>
    </row>
    <row r="4530" spans="3:4" x14ac:dyDescent="0.3">
      <c r="C4530" s="35">
        <f t="shared" si="70"/>
        <v>0</v>
      </c>
      <c r="D4530" s="30" t="str">
        <f>IFERROR(VLOOKUP(C4530,소속부서!$A$2:$B$20,2,FALSE), "")</f>
        <v/>
      </c>
    </row>
    <row r="4531" spans="3:4" x14ac:dyDescent="0.3">
      <c r="C4531" s="35">
        <f t="shared" si="70"/>
        <v>0</v>
      </c>
      <c r="D4531" s="30" t="str">
        <f>IFERROR(VLOOKUP(C4531,소속부서!$A$2:$B$20,2,FALSE), "")</f>
        <v/>
      </c>
    </row>
    <row r="4532" spans="3:4" x14ac:dyDescent="0.3">
      <c r="C4532" s="35">
        <f t="shared" si="70"/>
        <v>0</v>
      </c>
      <c r="D4532" s="30" t="str">
        <f>IFERROR(VLOOKUP(C4532,소속부서!$A$2:$B$20,2,FALSE), "")</f>
        <v/>
      </c>
    </row>
    <row r="4533" spans="3:4" x14ac:dyDescent="0.3">
      <c r="C4533" s="35">
        <f t="shared" si="70"/>
        <v>0</v>
      </c>
      <c r="D4533" s="30" t="str">
        <f>IFERROR(VLOOKUP(C4533,소속부서!$A$2:$B$20,2,FALSE), "")</f>
        <v/>
      </c>
    </row>
    <row r="4534" spans="3:4" x14ac:dyDescent="0.3">
      <c r="C4534" s="35">
        <f t="shared" si="70"/>
        <v>0</v>
      </c>
      <c r="D4534" s="30" t="str">
        <f>IFERROR(VLOOKUP(C4534,소속부서!$A$2:$B$20,2,FALSE), "")</f>
        <v/>
      </c>
    </row>
    <row r="4535" spans="3:4" x14ac:dyDescent="0.3">
      <c r="C4535" s="35">
        <f t="shared" si="70"/>
        <v>0</v>
      </c>
      <c r="D4535" s="30" t="str">
        <f>IFERROR(VLOOKUP(C4535,소속부서!$A$2:$B$20,2,FALSE), "")</f>
        <v/>
      </c>
    </row>
    <row r="4536" spans="3:4" x14ac:dyDescent="0.3">
      <c r="C4536" s="35">
        <f t="shared" si="70"/>
        <v>0</v>
      </c>
      <c r="D4536" s="30" t="str">
        <f>IFERROR(VLOOKUP(C4536,소속부서!$A$2:$B$20,2,FALSE), "")</f>
        <v/>
      </c>
    </row>
    <row r="4537" spans="3:4" x14ac:dyDescent="0.3">
      <c r="C4537" s="35">
        <f t="shared" si="70"/>
        <v>0</v>
      </c>
      <c r="D4537" s="30" t="str">
        <f>IFERROR(VLOOKUP(C4537,소속부서!$A$2:$B$20,2,FALSE), "")</f>
        <v/>
      </c>
    </row>
    <row r="4538" spans="3:4" x14ac:dyDescent="0.3">
      <c r="C4538" s="35">
        <f t="shared" si="70"/>
        <v>0</v>
      </c>
      <c r="D4538" s="30" t="str">
        <f>IFERROR(VLOOKUP(C4538,소속부서!$A$2:$B$20,2,FALSE), "")</f>
        <v/>
      </c>
    </row>
    <row r="4539" spans="3:4" x14ac:dyDescent="0.3">
      <c r="C4539" s="35">
        <f t="shared" si="70"/>
        <v>0</v>
      </c>
      <c r="D4539" s="30" t="str">
        <f>IFERROR(VLOOKUP(C4539,소속부서!$A$2:$B$20,2,FALSE), "")</f>
        <v/>
      </c>
    </row>
    <row r="4540" spans="3:4" x14ac:dyDescent="0.3">
      <c r="C4540" s="35">
        <f t="shared" si="70"/>
        <v>0</v>
      </c>
      <c r="D4540" s="30" t="str">
        <f>IFERROR(VLOOKUP(C4540,소속부서!$A$2:$B$20,2,FALSE), "")</f>
        <v/>
      </c>
    </row>
    <row r="4541" spans="3:4" x14ac:dyDescent="0.3">
      <c r="C4541" s="35">
        <f t="shared" si="70"/>
        <v>0</v>
      </c>
      <c r="D4541" s="30" t="str">
        <f>IFERROR(VLOOKUP(C4541,소속부서!$A$2:$B$20,2,FALSE), "")</f>
        <v/>
      </c>
    </row>
    <row r="4542" spans="3:4" x14ac:dyDescent="0.3">
      <c r="C4542" s="35">
        <f t="shared" si="70"/>
        <v>0</v>
      </c>
      <c r="D4542" s="30" t="str">
        <f>IFERROR(VLOOKUP(C4542,소속부서!$A$2:$B$20,2,FALSE), "")</f>
        <v/>
      </c>
    </row>
    <row r="4543" spans="3:4" x14ac:dyDescent="0.3">
      <c r="C4543" s="35">
        <f t="shared" si="70"/>
        <v>0</v>
      </c>
      <c r="D4543" s="30" t="str">
        <f>IFERROR(VLOOKUP(C4543,소속부서!$A$2:$B$20,2,FALSE), "")</f>
        <v/>
      </c>
    </row>
    <row r="4544" spans="3:4" x14ac:dyDescent="0.3">
      <c r="C4544" s="35">
        <f t="shared" si="70"/>
        <v>0</v>
      </c>
      <c r="D4544" s="30" t="str">
        <f>IFERROR(VLOOKUP(C4544,소속부서!$A$2:$B$20,2,FALSE), "")</f>
        <v/>
      </c>
    </row>
    <row r="4545" spans="3:4" x14ac:dyDescent="0.3">
      <c r="C4545" s="35">
        <f t="shared" ref="C4545:C4608" si="71">E4545</f>
        <v>0</v>
      </c>
      <c r="D4545" s="30" t="str">
        <f>IFERROR(VLOOKUP(C4545,소속부서!$A$2:$B$20,2,FALSE), "")</f>
        <v/>
      </c>
    </row>
    <row r="4546" spans="3:4" x14ac:dyDescent="0.3">
      <c r="C4546" s="35">
        <f t="shared" si="71"/>
        <v>0</v>
      </c>
      <c r="D4546" s="30" t="str">
        <f>IFERROR(VLOOKUP(C4546,소속부서!$A$2:$B$20,2,FALSE), "")</f>
        <v/>
      </c>
    </row>
    <row r="4547" spans="3:4" x14ac:dyDescent="0.3">
      <c r="C4547" s="35">
        <f t="shared" si="71"/>
        <v>0</v>
      </c>
      <c r="D4547" s="30" t="str">
        <f>IFERROR(VLOOKUP(C4547,소속부서!$A$2:$B$20,2,FALSE), "")</f>
        <v/>
      </c>
    </row>
    <row r="4548" spans="3:4" x14ac:dyDescent="0.3">
      <c r="C4548" s="35">
        <f t="shared" si="71"/>
        <v>0</v>
      </c>
      <c r="D4548" s="30" t="str">
        <f>IFERROR(VLOOKUP(C4548,소속부서!$A$2:$B$20,2,FALSE), "")</f>
        <v/>
      </c>
    </row>
    <row r="4549" spans="3:4" x14ac:dyDescent="0.3">
      <c r="C4549" s="35">
        <f t="shared" si="71"/>
        <v>0</v>
      </c>
      <c r="D4549" s="30" t="str">
        <f>IFERROR(VLOOKUP(C4549,소속부서!$A$2:$B$20,2,FALSE), "")</f>
        <v/>
      </c>
    </row>
    <row r="4550" spans="3:4" x14ac:dyDescent="0.3">
      <c r="C4550" s="35">
        <f t="shared" si="71"/>
        <v>0</v>
      </c>
      <c r="D4550" s="30" t="str">
        <f>IFERROR(VLOOKUP(C4550,소속부서!$A$2:$B$20,2,FALSE), "")</f>
        <v/>
      </c>
    </row>
    <row r="4551" spans="3:4" x14ac:dyDescent="0.3">
      <c r="C4551" s="35">
        <f t="shared" si="71"/>
        <v>0</v>
      </c>
      <c r="D4551" s="30" t="str">
        <f>IFERROR(VLOOKUP(C4551,소속부서!$A$2:$B$20,2,FALSE), "")</f>
        <v/>
      </c>
    </row>
    <row r="4552" spans="3:4" x14ac:dyDescent="0.3">
      <c r="C4552" s="35">
        <f t="shared" si="71"/>
        <v>0</v>
      </c>
      <c r="D4552" s="30" t="str">
        <f>IFERROR(VLOOKUP(C4552,소속부서!$A$2:$B$20,2,FALSE), "")</f>
        <v/>
      </c>
    </row>
    <row r="4553" spans="3:4" x14ac:dyDescent="0.3">
      <c r="C4553" s="35">
        <f t="shared" si="71"/>
        <v>0</v>
      </c>
      <c r="D4553" s="30" t="str">
        <f>IFERROR(VLOOKUP(C4553,소속부서!$A$2:$B$20,2,FALSE), "")</f>
        <v/>
      </c>
    </row>
    <row r="4554" spans="3:4" x14ac:dyDescent="0.3">
      <c r="C4554" s="35">
        <f t="shared" si="71"/>
        <v>0</v>
      </c>
      <c r="D4554" s="30" t="str">
        <f>IFERROR(VLOOKUP(C4554,소속부서!$A$2:$B$20,2,FALSE), "")</f>
        <v/>
      </c>
    </row>
    <row r="4555" spans="3:4" x14ac:dyDescent="0.3">
      <c r="C4555" s="35">
        <f t="shared" si="71"/>
        <v>0</v>
      </c>
      <c r="D4555" s="30" t="str">
        <f>IFERROR(VLOOKUP(C4555,소속부서!$A$2:$B$20,2,FALSE), "")</f>
        <v/>
      </c>
    </row>
    <row r="4556" spans="3:4" x14ac:dyDescent="0.3">
      <c r="C4556" s="35">
        <f t="shared" si="71"/>
        <v>0</v>
      </c>
      <c r="D4556" s="30" t="str">
        <f>IFERROR(VLOOKUP(C4556,소속부서!$A$2:$B$20,2,FALSE), "")</f>
        <v/>
      </c>
    </row>
    <row r="4557" spans="3:4" x14ac:dyDescent="0.3">
      <c r="C4557" s="35">
        <f t="shared" si="71"/>
        <v>0</v>
      </c>
      <c r="D4557" s="30" t="str">
        <f>IFERROR(VLOOKUP(C4557,소속부서!$A$2:$B$20,2,FALSE), "")</f>
        <v/>
      </c>
    </row>
    <row r="4558" spans="3:4" x14ac:dyDescent="0.3">
      <c r="C4558" s="35">
        <f t="shared" si="71"/>
        <v>0</v>
      </c>
      <c r="D4558" s="30" t="str">
        <f>IFERROR(VLOOKUP(C4558,소속부서!$A$2:$B$20,2,FALSE), "")</f>
        <v/>
      </c>
    </row>
    <row r="4559" spans="3:4" x14ac:dyDescent="0.3">
      <c r="C4559" s="35">
        <f t="shared" si="71"/>
        <v>0</v>
      </c>
      <c r="D4559" s="30" t="str">
        <f>IFERROR(VLOOKUP(C4559,소속부서!$A$2:$B$20,2,FALSE), "")</f>
        <v/>
      </c>
    </row>
    <row r="4560" spans="3:4" x14ac:dyDescent="0.3">
      <c r="C4560" s="35">
        <f t="shared" si="71"/>
        <v>0</v>
      </c>
      <c r="D4560" s="30" t="str">
        <f>IFERROR(VLOOKUP(C4560,소속부서!$A$2:$B$20,2,FALSE), "")</f>
        <v/>
      </c>
    </row>
    <row r="4561" spans="3:4" x14ac:dyDescent="0.3">
      <c r="C4561" s="35">
        <f t="shared" si="71"/>
        <v>0</v>
      </c>
      <c r="D4561" s="30" t="str">
        <f>IFERROR(VLOOKUP(C4561,소속부서!$A$2:$B$20,2,FALSE), "")</f>
        <v/>
      </c>
    </row>
    <row r="4562" spans="3:4" x14ac:dyDescent="0.3">
      <c r="C4562" s="35">
        <f t="shared" si="71"/>
        <v>0</v>
      </c>
      <c r="D4562" s="30" t="str">
        <f>IFERROR(VLOOKUP(C4562,소속부서!$A$2:$B$20,2,FALSE), "")</f>
        <v/>
      </c>
    </row>
    <row r="4563" spans="3:4" x14ac:dyDescent="0.3">
      <c r="C4563" s="35">
        <f t="shared" si="71"/>
        <v>0</v>
      </c>
      <c r="D4563" s="30" t="str">
        <f>IFERROR(VLOOKUP(C4563,소속부서!$A$2:$B$20,2,FALSE), "")</f>
        <v/>
      </c>
    </row>
    <row r="4564" spans="3:4" x14ac:dyDescent="0.3">
      <c r="C4564" s="35">
        <f t="shared" si="71"/>
        <v>0</v>
      </c>
      <c r="D4564" s="30" t="str">
        <f>IFERROR(VLOOKUP(C4564,소속부서!$A$2:$B$20,2,FALSE), "")</f>
        <v/>
      </c>
    </row>
    <row r="4565" spans="3:4" x14ac:dyDescent="0.3">
      <c r="C4565" s="35">
        <f t="shared" si="71"/>
        <v>0</v>
      </c>
      <c r="D4565" s="30" t="str">
        <f>IFERROR(VLOOKUP(C4565,소속부서!$A$2:$B$20,2,FALSE), "")</f>
        <v/>
      </c>
    </row>
    <row r="4566" spans="3:4" x14ac:dyDescent="0.3">
      <c r="C4566" s="35">
        <f t="shared" si="71"/>
        <v>0</v>
      </c>
      <c r="D4566" s="30" t="str">
        <f>IFERROR(VLOOKUP(C4566,소속부서!$A$2:$B$20,2,FALSE), "")</f>
        <v/>
      </c>
    </row>
    <row r="4567" spans="3:4" x14ac:dyDescent="0.3">
      <c r="C4567" s="35">
        <f t="shared" si="71"/>
        <v>0</v>
      </c>
      <c r="D4567" s="30" t="str">
        <f>IFERROR(VLOOKUP(C4567,소속부서!$A$2:$B$20,2,FALSE), "")</f>
        <v/>
      </c>
    </row>
    <row r="4568" spans="3:4" x14ac:dyDescent="0.3">
      <c r="C4568" s="35">
        <f t="shared" si="71"/>
        <v>0</v>
      </c>
      <c r="D4568" s="30" t="str">
        <f>IFERROR(VLOOKUP(C4568,소속부서!$A$2:$B$20,2,FALSE), "")</f>
        <v/>
      </c>
    </row>
    <row r="4569" spans="3:4" x14ac:dyDescent="0.3">
      <c r="C4569" s="35">
        <f t="shared" si="71"/>
        <v>0</v>
      </c>
      <c r="D4569" s="30" t="str">
        <f>IFERROR(VLOOKUP(C4569,소속부서!$A$2:$B$20,2,FALSE), "")</f>
        <v/>
      </c>
    </row>
    <row r="4570" spans="3:4" x14ac:dyDescent="0.3">
      <c r="C4570" s="35">
        <f t="shared" si="71"/>
        <v>0</v>
      </c>
      <c r="D4570" s="30" t="str">
        <f>IFERROR(VLOOKUP(C4570,소속부서!$A$2:$B$20,2,FALSE), "")</f>
        <v/>
      </c>
    </row>
    <row r="4571" spans="3:4" x14ac:dyDescent="0.3">
      <c r="C4571" s="35">
        <f t="shared" si="71"/>
        <v>0</v>
      </c>
      <c r="D4571" s="30" t="str">
        <f>IFERROR(VLOOKUP(C4571,소속부서!$A$2:$B$20,2,FALSE), "")</f>
        <v/>
      </c>
    </row>
    <row r="4572" spans="3:4" x14ac:dyDescent="0.3">
      <c r="C4572" s="35">
        <f t="shared" si="71"/>
        <v>0</v>
      </c>
      <c r="D4572" s="30" t="str">
        <f>IFERROR(VLOOKUP(C4572,소속부서!$A$2:$B$20,2,FALSE), "")</f>
        <v/>
      </c>
    </row>
    <row r="4573" spans="3:4" x14ac:dyDescent="0.3">
      <c r="C4573" s="35">
        <f t="shared" si="71"/>
        <v>0</v>
      </c>
      <c r="D4573" s="30" t="str">
        <f>IFERROR(VLOOKUP(C4573,소속부서!$A$2:$B$20,2,FALSE), "")</f>
        <v/>
      </c>
    </row>
    <row r="4574" spans="3:4" x14ac:dyDescent="0.3">
      <c r="C4574" s="35">
        <f t="shared" si="71"/>
        <v>0</v>
      </c>
      <c r="D4574" s="30" t="str">
        <f>IFERROR(VLOOKUP(C4574,소속부서!$A$2:$B$20,2,FALSE), "")</f>
        <v/>
      </c>
    </row>
    <row r="4575" spans="3:4" x14ac:dyDescent="0.3">
      <c r="C4575" s="35">
        <f t="shared" si="71"/>
        <v>0</v>
      </c>
      <c r="D4575" s="30" t="str">
        <f>IFERROR(VLOOKUP(C4575,소속부서!$A$2:$B$20,2,FALSE), "")</f>
        <v/>
      </c>
    </row>
    <row r="4576" spans="3:4" x14ac:dyDescent="0.3">
      <c r="C4576" s="35">
        <f t="shared" si="71"/>
        <v>0</v>
      </c>
      <c r="D4576" s="30" t="str">
        <f>IFERROR(VLOOKUP(C4576,소속부서!$A$2:$B$20,2,FALSE), "")</f>
        <v/>
      </c>
    </row>
    <row r="4577" spans="3:4" x14ac:dyDescent="0.3">
      <c r="C4577" s="35">
        <f t="shared" si="71"/>
        <v>0</v>
      </c>
      <c r="D4577" s="30" t="str">
        <f>IFERROR(VLOOKUP(C4577,소속부서!$A$2:$B$20,2,FALSE), "")</f>
        <v/>
      </c>
    </row>
    <row r="4578" spans="3:4" x14ac:dyDescent="0.3">
      <c r="C4578" s="35">
        <f t="shared" si="71"/>
        <v>0</v>
      </c>
      <c r="D4578" s="30" t="str">
        <f>IFERROR(VLOOKUP(C4578,소속부서!$A$2:$B$20,2,FALSE), "")</f>
        <v/>
      </c>
    </row>
    <row r="4579" spans="3:4" x14ac:dyDescent="0.3">
      <c r="C4579" s="35">
        <f t="shared" si="71"/>
        <v>0</v>
      </c>
      <c r="D4579" s="30" t="str">
        <f>IFERROR(VLOOKUP(C4579,소속부서!$A$2:$B$20,2,FALSE), "")</f>
        <v/>
      </c>
    </row>
    <row r="4580" spans="3:4" x14ac:dyDescent="0.3">
      <c r="C4580" s="35">
        <f t="shared" si="71"/>
        <v>0</v>
      </c>
      <c r="D4580" s="30" t="str">
        <f>IFERROR(VLOOKUP(C4580,소속부서!$A$2:$B$20,2,FALSE), "")</f>
        <v/>
      </c>
    </row>
    <row r="4581" spans="3:4" x14ac:dyDescent="0.3">
      <c r="C4581" s="35">
        <f t="shared" si="71"/>
        <v>0</v>
      </c>
      <c r="D4581" s="30" t="str">
        <f>IFERROR(VLOOKUP(C4581,소속부서!$A$2:$B$20,2,FALSE), "")</f>
        <v/>
      </c>
    </row>
    <row r="4582" spans="3:4" x14ac:dyDescent="0.3">
      <c r="C4582" s="35">
        <f t="shared" si="71"/>
        <v>0</v>
      </c>
      <c r="D4582" s="30" t="str">
        <f>IFERROR(VLOOKUP(C4582,소속부서!$A$2:$B$20,2,FALSE), "")</f>
        <v/>
      </c>
    </row>
    <row r="4583" spans="3:4" x14ac:dyDescent="0.3">
      <c r="C4583" s="35">
        <f t="shared" si="71"/>
        <v>0</v>
      </c>
      <c r="D4583" s="30" t="str">
        <f>IFERROR(VLOOKUP(C4583,소속부서!$A$2:$B$20,2,FALSE), "")</f>
        <v/>
      </c>
    </row>
    <row r="4584" spans="3:4" x14ac:dyDescent="0.3">
      <c r="C4584" s="35">
        <f t="shared" si="71"/>
        <v>0</v>
      </c>
      <c r="D4584" s="30" t="str">
        <f>IFERROR(VLOOKUP(C4584,소속부서!$A$2:$B$20,2,FALSE), "")</f>
        <v/>
      </c>
    </row>
    <row r="4585" spans="3:4" x14ac:dyDescent="0.3">
      <c r="C4585" s="35">
        <f t="shared" si="71"/>
        <v>0</v>
      </c>
      <c r="D4585" s="30" t="str">
        <f>IFERROR(VLOOKUP(C4585,소속부서!$A$2:$B$20,2,FALSE), "")</f>
        <v/>
      </c>
    </row>
    <row r="4586" spans="3:4" x14ac:dyDescent="0.3">
      <c r="C4586" s="35">
        <f t="shared" si="71"/>
        <v>0</v>
      </c>
      <c r="D4586" s="30" t="str">
        <f>IFERROR(VLOOKUP(C4586,소속부서!$A$2:$B$20,2,FALSE), "")</f>
        <v/>
      </c>
    </row>
    <row r="4587" spans="3:4" x14ac:dyDescent="0.3">
      <c r="C4587" s="35">
        <f t="shared" si="71"/>
        <v>0</v>
      </c>
      <c r="D4587" s="30" t="str">
        <f>IFERROR(VLOOKUP(C4587,소속부서!$A$2:$B$20,2,FALSE), "")</f>
        <v/>
      </c>
    </row>
    <row r="4588" spans="3:4" x14ac:dyDescent="0.3">
      <c r="C4588" s="35">
        <f t="shared" si="71"/>
        <v>0</v>
      </c>
      <c r="D4588" s="30" t="str">
        <f>IFERROR(VLOOKUP(C4588,소속부서!$A$2:$B$20,2,FALSE), "")</f>
        <v/>
      </c>
    </row>
    <row r="4589" spans="3:4" x14ac:dyDescent="0.3">
      <c r="C4589" s="35">
        <f t="shared" si="71"/>
        <v>0</v>
      </c>
      <c r="D4589" s="30" t="str">
        <f>IFERROR(VLOOKUP(C4589,소속부서!$A$2:$B$20,2,FALSE), "")</f>
        <v/>
      </c>
    </row>
    <row r="4590" spans="3:4" x14ac:dyDescent="0.3">
      <c r="C4590" s="35">
        <f t="shared" si="71"/>
        <v>0</v>
      </c>
      <c r="D4590" s="30" t="str">
        <f>IFERROR(VLOOKUP(C4590,소속부서!$A$2:$B$20,2,FALSE), "")</f>
        <v/>
      </c>
    </row>
    <row r="4591" spans="3:4" x14ac:dyDescent="0.3">
      <c r="C4591" s="35">
        <f t="shared" si="71"/>
        <v>0</v>
      </c>
      <c r="D4591" s="30" t="str">
        <f>IFERROR(VLOOKUP(C4591,소속부서!$A$2:$B$20,2,FALSE), "")</f>
        <v/>
      </c>
    </row>
    <row r="4592" spans="3:4" x14ac:dyDescent="0.3">
      <c r="C4592" s="35">
        <f t="shared" si="71"/>
        <v>0</v>
      </c>
      <c r="D4592" s="30" t="str">
        <f>IFERROR(VLOOKUP(C4592,소속부서!$A$2:$B$20,2,FALSE), "")</f>
        <v/>
      </c>
    </row>
    <row r="4593" spans="3:4" x14ac:dyDescent="0.3">
      <c r="C4593" s="35">
        <f t="shared" si="71"/>
        <v>0</v>
      </c>
      <c r="D4593" s="30" t="str">
        <f>IFERROR(VLOOKUP(C4593,소속부서!$A$2:$B$20,2,FALSE), "")</f>
        <v/>
      </c>
    </row>
    <row r="4594" spans="3:4" x14ac:dyDescent="0.3">
      <c r="C4594" s="35">
        <f t="shared" si="71"/>
        <v>0</v>
      </c>
      <c r="D4594" s="30" t="str">
        <f>IFERROR(VLOOKUP(C4594,소속부서!$A$2:$B$20,2,FALSE), "")</f>
        <v/>
      </c>
    </row>
    <row r="4595" spans="3:4" x14ac:dyDescent="0.3">
      <c r="C4595" s="35">
        <f t="shared" si="71"/>
        <v>0</v>
      </c>
      <c r="D4595" s="30" t="str">
        <f>IFERROR(VLOOKUP(C4595,소속부서!$A$2:$B$20,2,FALSE), "")</f>
        <v/>
      </c>
    </row>
    <row r="4596" spans="3:4" x14ac:dyDescent="0.3">
      <c r="C4596" s="35">
        <f t="shared" si="71"/>
        <v>0</v>
      </c>
      <c r="D4596" s="30" t="str">
        <f>IFERROR(VLOOKUP(C4596,소속부서!$A$2:$B$20,2,FALSE), "")</f>
        <v/>
      </c>
    </row>
    <row r="4597" spans="3:4" x14ac:dyDescent="0.3">
      <c r="C4597" s="35">
        <f t="shared" si="71"/>
        <v>0</v>
      </c>
      <c r="D4597" s="30" t="str">
        <f>IFERROR(VLOOKUP(C4597,소속부서!$A$2:$B$20,2,FALSE), "")</f>
        <v/>
      </c>
    </row>
    <row r="4598" spans="3:4" x14ac:dyDescent="0.3">
      <c r="C4598" s="35">
        <f t="shared" si="71"/>
        <v>0</v>
      </c>
      <c r="D4598" s="30" t="str">
        <f>IFERROR(VLOOKUP(C4598,소속부서!$A$2:$B$20,2,FALSE), "")</f>
        <v/>
      </c>
    </row>
    <row r="4599" spans="3:4" x14ac:dyDescent="0.3">
      <c r="C4599" s="35">
        <f t="shared" si="71"/>
        <v>0</v>
      </c>
      <c r="D4599" s="30" t="str">
        <f>IFERROR(VLOOKUP(C4599,소속부서!$A$2:$B$20,2,FALSE), "")</f>
        <v/>
      </c>
    </row>
    <row r="4600" spans="3:4" x14ac:dyDescent="0.3">
      <c r="C4600" s="35">
        <f t="shared" si="71"/>
        <v>0</v>
      </c>
      <c r="D4600" s="30" t="str">
        <f>IFERROR(VLOOKUP(C4600,소속부서!$A$2:$B$20,2,FALSE), "")</f>
        <v/>
      </c>
    </row>
    <row r="4601" spans="3:4" x14ac:dyDescent="0.3">
      <c r="C4601" s="35">
        <f t="shared" si="71"/>
        <v>0</v>
      </c>
      <c r="D4601" s="30" t="str">
        <f>IFERROR(VLOOKUP(C4601,소속부서!$A$2:$B$20,2,FALSE), "")</f>
        <v/>
      </c>
    </row>
    <row r="4602" spans="3:4" x14ac:dyDescent="0.3">
      <c r="C4602" s="35">
        <f t="shared" si="71"/>
        <v>0</v>
      </c>
      <c r="D4602" s="30" t="str">
        <f>IFERROR(VLOOKUP(C4602,소속부서!$A$2:$B$20,2,FALSE), "")</f>
        <v/>
      </c>
    </row>
    <row r="4603" spans="3:4" x14ac:dyDescent="0.3">
      <c r="C4603" s="35">
        <f t="shared" si="71"/>
        <v>0</v>
      </c>
      <c r="D4603" s="30" t="str">
        <f>IFERROR(VLOOKUP(C4603,소속부서!$A$2:$B$20,2,FALSE), "")</f>
        <v/>
      </c>
    </row>
    <row r="4604" spans="3:4" x14ac:dyDescent="0.3">
      <c r="C4604" s="35">
        <f t="shared" si="71"/>
        <v>0</v>
      </c>
      <c r="D4604" s="30" t="str">
        <f>IFERROR(VLOOKUP(C4604,소속부서!$A$2:$B$20,2,FALSE), "")</f>
        <v/>
      </c>
    </row>
    <row r="4605" spans="3:4" x14ac:dyDescent="0.3">
      <c r="C4605" s="35">
        <f t="shared" si="71"/>
        <v>0</v>
      </c>
      <c r="D4605" s="30" t="str">
        <f>IFERROR(VLOOKUP(C4605,소속부서!$A$2:$B$20,2,FALSE), "")</f>
        <v/>
      </c>
    </row>
    <row r="4606" spans="3:4" x14ac:dyDescent="0.3">
      <c r="C4606" s="35">
        <f t="shared" si="71"/>
        <v>0</v>
      </c>
      <c r="D4606" s="30" t="str">
        <f>IFERROR(VLOOKUP(C4606,소속부서!$A$2:$B$20,2,FALSE), "")</f>
        <v/>
      </c>
    </row>
    <row r="4607" spans="3:4" x14ac:dyDescent="0.3">
      <c r="C4607" s="35">
        <f t="shared" si="71"/>
        <v>0</v>
      </c>
      <c r="D4607" s="30" t="str">
        <f>IFERROR(VLOOKUP(C4607,소속부서!$A$2:$B$20,2,FALSE), "")</f>
        <v/>
      </c>
    </row>
    <row r="4608" spans="3:4" x14ac:dyDescent="0.3">
      <c r="C4608" s="35">
        <f t="shared" si="71"/>
        <v>0</v>
      </c>
      <c r="D4608" s="30" t="str">
        <f>IFERROR(VLOOKUP(C4608,소속부서!$A$2:$B$20,2,FALSE), "")</f>
        <v/>
      </c>
    </row>
    <row r="4609" spans="3:4" x14ac:dyDescent="0.3">
      <c r="C4609" s="35">
        <f t="shared" ref="C4609:C4672" si="72">E4609</f>
        <v>0</v>
      </c>
      <c r="D4609" s="30" t="str">
        <f>IFERROR(VLOOKUP(C4609,소속부서!$A$2:$B$20,2,FALSE), "")</f>
        <v/>
      </c>
    </row>
    <row r="4610" spans="3:4" x14ac:dyDescent="0.3">
      <c r="C4610" s="35">
        <f t="shared" si="72"/>
        <v>0</v>
      </c>
      <c r="D4610" s="30" t="str">
        <f>IFERROR(VLOOKUP(C4610,소속부서!$A$2:$B$20,2,FALSE), "")</f>
        <v/>
      </c>
    </row>
    <row r="4611" spans="3:4" x14ac:dyDescent="0.3">
      <c r="C4611" s="35">
        <f t="shared" si="72"/>
        <v>0</v>
      </c>
      <c r="D4611" s="30" t="str">
        <f>IFERROR(VLOOKUP(C4611,소속부서!$A$2:$B$20,2,FALSE), "")</f>
        <v/>
      </c>
    </row>
    <row r="4612" spans="3:4" x14ac:dyDescent="0.3">
      <c r="C4612" s="35">
        <f t="shared" si="72"/>
        <v>0</v>
      </c>
      <c r="D4612" s="30" t="str">
        <f>IFERROR(VLOOKUP(C4612,소속부서!$A$2:$B$20,2,FALSE), "")</f>
        <v/>
      </c>
    </row>
    <row r="4613" spans="3:4" x14ac:dyDescent="0.3">
      <c r="C4613" s="35">
        <f t="shared" si="72"/>
        <v>0</v>
      </c>
      <c r="D4613" s="30" t="str">
        <f>IFERROR(VLOOKUP(C4613,소속부서!$A$2:$B$20,2,FALSE), "")</f>
        <v/>
      </c>
    </row>
    <row r="4614" spans="3:4" x14ac:dyDescent="0.3">
      <c r="C4614" s="35">
        <f t="shared" si="72"/>
        <v>0</v>
      </c>
      <c r="D4614" s="30" t="str">
        <f>IFERROR(VLOOKUP(C4614,소속부서!$A$2:$B$20,2,FALSE), "")</f>
        <v/>
      </c>
    </row>
    <row r="4615" spans="3:4" x14ac:dyDescent="0.3">
      <c r="C4615" s="35">
        <f t="shared" si="72"/>
        <v>0</v>
      </c>
      <c r="D4615" s="30" t="str">
        <f>IFERROR(VLOOKUP(C4615,소속부서!$A$2:$B$20,2,FALSE), "")</f>
        <v/>
      </c>
    </row>
    <row r="4616" spans="3:4" x14ac:dyDescent="0.3">
      <c r="C4616" s="35">
        <f t="shared" si="72"/>
        <v>0</v>
      </c>
      <c r="D4616" s="30" t="str">
        <f>IFERROR(VLOOKUP(C4616,소속부서!$A$2:$B$20,2,FALSE), "")</f>
        <v/>
      </c>
    </row>
    <row r="4617" spans="3:4" x14ac:dyDescent="0.3">
      <c r="C4617" s="35">
        <f t="shared" si="72"/>
        <v>0</v>
      </c>
      <c r="D4617" s="30" t="str">
        <f>IFERROR(VLOOKUP(C4617,소속부서!$A$2:$B$20,2,FALSE), "")</f>
        <v/>
      </c>
    </row>
    <row r="4618" spans="3:4" x14ac:dyDescent="0.3">
      <c r="C4618" s="35">
        <f t="shared" si="72"/>
        <v>0</v>
      </c>
      <c r="D4618" s="30" t="str">
        <f>IFERROR(VLOOKUP(C4618,소속부서!$A$2:$B$20,2,FALSE), "")</f>
        <v/>
      </c>
    </row>
    <row r="4619" spans="3:4" x14ac:dyDescent="0.3">
      <c r="C4619" s="35">
        <f t="shared" si="72"/>
        <v>0</v>
      </c>
      <c r="D4619" s="30" t="str">
        <f>IFERROR(VLOOKUP(C4619,소속부서!$A$2:$B$20,2,FALSE), "")</f>
        <v/>
      </c>
    </row>
    <row r="4620" spans="3:4" x14ac:dyDescent="0.3">
      <c r="C4620" s="35">
        <f t="shared" si="72"/>
        <v>0</v>
      </c>
      <c r="D4620" s="30" t="str">
        <f>IFERROR(VLOOKUP(C4620,소속부서!$A$2:$B$20,2,FALSE), "")</f>
        <v/>
      </c>
    </row>
    <row r="4621" spans="3:4" x14ac:dyDescent="0.3">
      <c r="C4621" s="35">
        <f t="shared" si="72"/>
        <v>0</v>
      </c>
      <c r="D4621" s="30" t="str">
        <f>IFERROR(VLOOKUP(C4621,소속부서!$A$2:$B$20,2,FALSE), "")</f>
        <v/>
      </c>
    </row>
    <row r="4622" spans="3:4" x14ac:dyDescent="0.3">
      <c r="C4622" s="35">
        <f t="shared" si="72"/>
        <v>0</v>
      </c>
      <c r="D4622" s="30" t="str">
        <f>IFERROR(VLOOKUP(C4622,소속부서!$A$2:$B$20,2,FALSE), "")</f>
        <v/>
      </c>
    </row>
    <row r="4623" spans="3:4" x14ac:dyDescent="0.3">
      <c r="C4623" s="35">
        <f t="shared" si="72"/>
        <v>0</v>
      </c>
      <c r="D4623" s="30" t="str">
        <f>IFERROR(VLOOKUP(C4623,소속부서!$A$2:$B$20,2,FALSE), "")</f>
        <v/>
      </c>
    </row>
    <row r="4624" spans="3:4" x14ac:dyDescent="0.3">
      <c r="C4624" s="35">
        <f t="shared" si="72"/>
        <v>0</v>
      </c>
      <c r="D4624" s="30" t="str">
        <f>IFERROR(VLOOKUP(C4624,소속부서!$A$2:$B$20,2,FALSE), "")</f>
        <v/>
      </c>
    </row>
    <row r="4625" spans="3:4" x14ac:dyDescent="0.3">
      <c r="C4625" s="35">
        <f t="shared" si="72"/>
        <v>0</v>
      </c>
      <c r="D4625" s="30" t="str">
        <f>IFERROR(VLOOKUP(C4625,소속부서!$A$2:$B$20,2,FALSE), "")</f>
        <v/>
      </c>
    </row>
    <row r="4626" spans="3:4" x14ac:dyDescent="0.3">
      <c r="C4626" s="35">
        <f t="shared" si="72"/>
        <v>0</v>
      </c>
      <c r="D4626" s="30" t="str">
        <f>IFERROR(VLOOKUP(C4626,소속부서!$A$2:$B$20,2,FALSE), "")</f>
        <v/>
      </c>
    </row>
    <row r="4627" spans="3:4" x14ac:dyDescent="0.3">
      <c r="C4627" s="35">
        <f t="shared" si="72"/>
        <v>0</v>
      </c>
      <c r="D4627" s="30" t="str">
        <f>IFERROR(VLOOKUP(C4627,소속부서!$A$2:$B$20,2,FALSE), "")</f>
        <v/>
      </c>
    </row>
    <row r="4628" spans="3:4" x14ac:dyDescent="0.3">
      <c r="C4628" s="35">
        <f t="shared" si="72"/>
        <v>0</v>
      </c>
      <c r="D4628" s="30" t="str">
        <f>IFERROR(VLOOKUP(C4628,소속부서!$A$2:$B$20,2,FALSE), "")</f>
        <v/>
      </c>
    </row>
    <row r="4629" spans="3:4" x14ac:dyDescent="0.3">
      <c r="C4629" s="35">
        <f t="shared" si="72"/>
        <v>0</v>
      </c>
      <c r="D4629" s="30" t="str">
        <f>IFERROR(VLOOKUP(C4629,소속부서!$A$2:$B$20,2,FALSE), "")</f>
        <v/>
      </c>
    </row>
    <row r="4630" spans="3:4" x14ac:dyDescent="0.3">
      <c r="C4630" s="35">
        <f t="shared" si="72"/>
        <v>0</v>
      </c>
      <c r="D4630" s="30" t="str">
        <f>IFERROR(VLOOKUP(C4630,소속부서!$A$2:$B$20,2,FALSE), "")</f>
        <v/>
      </c>
    </row>
    <row r="4631" spans="3:4" x14ac:dyDescent="0.3">
      <c r="C4631" s="35">
        <f t="shared" si="72"/>
        <v>0</v>
      </c>
      <c r="D4631" s="30" t="str">
        <f>IFERROR(VLOOKUP(C4631,소속부서!$A$2:$B$20,2,FALSE), "")</f>
        <v/>
      </c>
    </row>
    <row r="4632" spans="3:4" x14ac:dyDescent="0.3">
      <c r="C4632" s="35">
        <f t="shared" si="72"/>
        <v>0</v>
      </c>
      <c r="D4632" s="30" t="str">
        <f>IFERROR(VLOOKUP(C4632,소속부서!$A$2:$B$20,2,FALSE), "")</f>
        <v/>
      </c>
    </row>
    <row r="4633" spans="3:4" x14ac:dyDescent="0.3">
      <c r="C4633" s="35">
        <f t="shared" si="72"/>
        <v>0</v>
      </c>
      <c r="D4633" s="30" t="str">
        <f>IFERROR(VLOOKUP(C4633,소속부서!$A$2:$B$20,2,FALSE), "")</f>
        <v/>
      </c>
    </row>
    <row r="4634" spans="3:4" x14ac:dyDescent="0.3">
      <c r="C4634" s="35">
        <f t="shared" si="72"/>
        <v>0</v>
      </c>
      <c r="D4634" s="30" t="str">
        <f>IFERROR(VLOOKUP(C4634,소속부서!$A$2:$B$20,2,FALSE), "")</f>
        <v/>
      </c>
    </row>
    <row r="4635" spans="3:4" x14ac:dyDescent="0.3">
      <c r="C4635" s="35">
        <f t="shared" si="72"/>
        <v>0</v>
      </c>
      <c r="D4635" s="30" t="str">
        <f>IFERROR(VLOOKUP(C4635,소속부서!$A$2:$B$20,2,FALSE), "")</f>
        <v/>
      </c>
    </row>
    <row r="4636" spans="3:4" x14ac:dyDescent="0.3">
      <c r="C4636" s="35">
        <f t="shared" si="72"/>
        <v>0</v>
      </c>
      <c r="D4636" s="30" t="str">
        <f>IFERROR(VLOOKUP(C4636,소속부서!$A$2:$B$20,2,FALSE), "")</f>
        <v/>
      </c>
    </row>
    <row r="4637" spans="3:4" x14ac:dyDescent="0.3">
      <c r="C4637" s="35">
        <f t="shared" si="72"/>
        <v>0</v>
      </c>
      <c r="D4637" s="30" t="str">
        <f>IFERROR(VLOOKUP(C4637,소속부서!$A$2:$B$20,2,FALSE), "")</f>
        <v/>
      </c>
    </row>
    <row r="4638" spans="3:4" x14ac:dyDescent="0.3">
      <c r="C4638" s="35">
        <f t="shared" si="72"/>
        <v>0</v>
      </c>
      <c r="D4638" s="30" t="str">
        <f>IFERROR(VLOOKUP(C4638,소속부서!$A$2:$B$20,2,FALSE), "")</f>
        <v/>
      </c>
    </row>
    <row r="4639" spans="3:4" x14ac:dyDescent="0.3">
      <c r="C4639" s="35">
        <f t="shared" si="72"/>
        <v>0</v>
      </c>
      <c r="D4639" s="30" t="str">
        <f>IFERROR(VLOOKUP(C4639,소속부서!$A$2:$B$20,2,FALSE), "")</f>
        <v/>
      </c>
    </row>
    <row r="4640" spans="3:4" x14ac:dyDescent="0.3">
      <c r="C4640" s="35">
        <f t="shared" si="72"/>
        <v>0</v>
      </c>
      <c r="D4640" s="30" t="str">
        <f>IFERROR(VLOOKUP(C4640,소속부서!$A$2:$B$20,2,FALSE), "")</f>
        <v/>
      </c>
    </row>
    <row r="4641" spans="3:4" x14ac:dyDescent="0.3">
      <c r="C4641" s="35">
        <f t="shared" si="72"/>
        <v>0</v>
      </c>
      <c r="D4641" s="30" t="str">
        <f>IFERROR(VLOOKUP(C4641,소속부서!$A$2:$B$20,2,FALSE), "")</f>
        <v/>
      </c>
    </row>
    <row r="4642" spans="3:4" x14ac:dyDescent="0.3">
      <c r="C4642" s="35">
        <f t="shared" si="72"/>
        <v>0</v>
      </c>
      <c r="D4642" s="30" t="str">
        <f>IFERROR(VLOOKUP(C4642,소속부서!$A$2:$B$20,2,FALSE), "")</f>
        <v/>
      </c>
    </row>
    <row r="4643" spans="3:4" x14ac:dyDescent="0.3">
      <c r="C4643" s="35">
        <f t="shared" si="72"/>
        <v>0</v>
      </c>
      <c r="D4643" s="30" t="str">
        <f>IFERROR(VLOOKUP(C4643,소속부서!$A$2:$B$20,2,FALSE), "")</f>
        <v/>
      </c>
    </row>
    <row r="4644" spans="3:4" x14ac:dyDescent="0.3">
      <c r="C4644" s="35">
        <f t="shared" si="72"/>
        <v>0</v>
      </c>
      <c r="D4644" s="30" t="str">
        <f>IFERROR(VLOOKUP(C4644,소속부서!$A$2:$B$20,2,FALSE), "")</f>
        <v/>
      </c>
    </row>
    <row r="4645" spans="3:4" x14ac:dyDescent="0.3">
      <c r="C4645" s="35">
        <f t="shared" si="72"/>
        <v>0</v>
      </c>
      <c r="D4645" s="30" t="str">
        <f>IFERROR(VLOOKUP(C4645,소속부서!$A$2:$B$20,2,FALSE), "")</f>
        <v/>
      </c>
    </row>
    <row r="4646" spans="3:4" x14ac:dyDescent="0.3">
      <c r="C4646" s="35">
        <f t="shared" si="72"/>
        <v>0</v>
      </c>
      <c r="D4646" s="30" t="str">
        <f>IFERROR(VLOOKUP(C4646,소속부서!$A$2:$B$20,2,FALSE), "")</f>
        <v/>
      </c>
    </row>
    <row r="4647" spans="3:4" x14ac:dyDescent="0.3">
      <c r="C4647" s="35">
        <f t="shared" si="72"/>
        <v>0</v>
      </c>
      <c r="D4647" s="30" t="str">
        <f>IFERROR(VLOOKUP(C4647,소속부서!$A$2:$B$20,2,FALSE), "")</f>
        <v/>
      </c>
    </row>
    <row r="4648" spans="3:4" x14ac:dyDescent="0.3">
      <c r="C4648" s="35">
        <f t="shared" si="72"/>
        <v>0</v>
      </c>
      <c r="D4648" s="30" t="str">
        <f>IFERROR(VLOOKUP(C4648,소속부서!$A$2:$B$20,2,FALSE), "")</f>
        <v/>
      </c>
    </row>
    <row r="4649" spans="3:4" x14ac:dyDescent="0.3">
      <c r="C4649" s="35">
        <f t="shared" si="72"/>
        <v>0</v>
      </c>
      <c r="D4649" s="30" t="str">
        <f>IFERROR(VLOOKUP(C4649,소속부서!$A$2:$B$20,2,FALSE), "")</f>
        <v/>
      </c>
    </row>
    <row r="4650" spans="3:4" x14ac:dyDescent="0.3">
      <c r="C4650" s="35">
        <f t="shared" si="72"/>
        <v>0</v>
      </c>
      <c r="D4650" s="30" t="str">
        <f>IFERROR(VLOOKUP(C4650,소속부서!$A$2:$B$20,2,FALSE), "")</f>
        <v/>
      </c>
    </row>
    <row r="4651" spans="3:4" x14ac:dyDescent="0.3">
      <c r="C4651" s="35">
        <f t="shared" si="72"/>
        <v>0</v>
      </c>
      <c r="D4651" s="30" t="str">
        <f>IFERROR(VLOOKUP(C4651,소속부서!$A$2:$B$20,2,FALSE), "")</f>
        <v/>
      </c>
    </row>
    <row r="4652" spans="3:4" x14ac:dyDescent="0.3">
      <c r="C4652" s="35">
        <f t="shared" si="72"/>
        <v>0</v>
      </c>
      <c r="D4652" s="30" t="str">
        <f>IFERROR(VLOOKUP(C4652,소속부서!$A$2:$B$20,2,FALSE), "")</f>
        <v/>
      </c>
    </row>
    <row r="4653" spans="3:4" x14ac:dyDescent="0.3">
      <c r="C4653" s="35">
        <f t="shared" si="72"/>
        <v>0</v>
      </c>
      <c r="D4653" s="30" t="str">
        <f>IFERROR(VLOOKUP(C4653,소속부서!$A$2:$B$20,2,FALSE), "")</f>
        <v/>
      </c>
    </row>
    <row r="4654" spans="3:4" x14ac:dyDescent="0.3">
      <c r="C4654" s="35">
        <f t="shared" si="72"/>
        <v>0</v>
      </c>
      <c r="D4654" s="30" t="str">
        <f>IFERROR(VLOOKUP(C4654,소속부서!$A$2:$B$20,2,FALSE), "")</f>
        <v/>
      </c>
    </row>
    <row r="4655" spans="3:4" x14ac:dyDescent="0.3">
      <c r="C4655" s="35">
        <f t="shared" si="72"/>
        <v>0</v>
      </c>
      <c r="D4655" s="30" t="str">
        <f>IFERROR(VLOOKUP(C4655,소속부서!$A$2:$B$20,2,FALSE), "")</f>
        <v/>
      </c>
    </row>
    <row r="4656" spans="3:4" x14ac:dyDescent="0.3">
      <c r="C4656" s="35">
        <f t="shared" si="72"/>
        <v>0</v>
      </c>
      <c r="D4656" s="30" t="str">
        <f>IFERROR(VLOOKUP(C4656,소속부서!$A$2:$B$20,2,FALSE), "")</f>
        <v/>
      </c>
    </row>
    <row r="4657" spans="3:4" x14ac:dyDescent="0.3">
      <c r="C4657" s="35">
        <f t="shared" si="72"/>
        <v>0</v>
      </c>
      <c r="D4657" s="30" t="str">
        <f>IFERROR(VLOOKUP(C4657,소속부서!$A$2:$B$20,2,FALSE), "")</f>
        <v/>
      </c>
    </row>
    <row r="4658" spans="3:4" x14ac:dyDescent="0.3">
      <c r="C4658" s="35">
        <f t="shared" si="72"/>
        <v>0</v>
      </c>
      <c r="D4658" s="30" t="str">
        <f>IFERROR(VLOOKUP(C4658,소속부서!$A$2:$B$20,2,FALSE), "")</f>
        <v/>
      </c>
    </row>
    <row r="4659" spans="3:4" x14ac:dyDescent="0.3">
      <c r="C4659" s="35">
        <f t="shared" si="72"/>
        <v>0</v>
      </c>
      <c r="D4659" s="30" t="str">
        <f>IFERROR(VLOOKUP(C4659,소속부서!$A$2:$B$20,2,FALSE), "")</f>
        <v/>
      </c>
    </row>
    <row r="4660" spans="3:4" x14ac:dyDescent="0.3">
      <c r="C4660" s="35">
        <f t="shared" si="72"/>
        <v>0</v>
      </c>
      <c r="D4660" s="30" t="str">
        <f>IFERROR(VLOOKUP(C4660,소속부서!$A$2:$B$20,2,FALSE), "")</f>
        <v/>
      </c>
    </row>
    <row r="4661" spans="3:4" x14ac:dyDescent="0.3">
      <c r="C4661" s="35">
        <f t="shared" si="72"/>
        <v>0</v>
      </c>
      <c r="D4661" s="30" t="str">
        <f>IFERROR(VLOOKUP(C4661,소속부서!$A$2:$B$20,2,FALSE), "")</f>
        <v/>
      </c>
    </row>
    <row r="4662" spans="3:4" x14ac:dyDescent="0.3">
      <c r="C4662" s="35">
        <f t="shared" si="72"/>
        <v>0</v>
      </c>
      <c r="D4662" s="30" t="str">
        <f>IFERROR(VLOOKUP(C4662,소속부서!$A$2:$B$20,2,FALSE), "")</f>
        <v/>
      </c>
    </row>
    <row r="4663" spans="3:4" x14ac:dyDescent="0.3">
      <c r="C4663" s="35">
        <f t="shared" si="72"/>
        <v>0</v>
      </c>
      <c r="D4663" s="30" t="str">
        <f>IFERROR(VLOOKUP(C4663,소속부서!$A$2:$B$20,2,FALSE), "")</f>
        <v/>
      </c>
    </row>
    <row r="4664" spans="3:4" x14ac:dyDescent="0.3">
      <c r="C4664" s="35">
        <f t="shared" si="72"/>
        <v>0</v>
      </c>
      <c r="D4664" s="30" t="str">
        <f>IFERROR(VLOOKUP(C4664,소속부서!$A$2:$B$20,2,FALSE), "")</f>
        <v/>
      </c>
    </row>
    <row r="4665" spans="3:4" x14ac:dyDescent="0.3">
      <c r="C4665" s="35">
        <f t="shared" si="72"/>
        <v>0</v>
      </c>
      <c r="D4665" s="30" t="str">
        <f>IFERROR(VLOOKUP(C4665,소속부서!$A$2:$B$20,2,FALSE), "")</f>
        <v/>
      </c>
    </row>
    <row r="4666" spans="3:4" x14ac:dyDescent="0.3">
      <c r="C4666" s="35">
        <f t="shared" si="72"/>
        <v>0</v>
      </c>
      <c r="D4666" s="30" t="str">
        <f>IFERROR(VLOOKUP(C4666,소속부서!$A$2:$B$20,2,FALSE), "")</f>
        <v/>
      </c>
    </row>
    <row r="4667" spans="3:4" x14ac:dyDescent="0.3">
      <c r="C4667" s="35">
        <f t="shared" si="72"/>
        <v>0</v>
      </c>
      <c r="D4667" s="30" t="str">
        <f>IFERROR(VLOOKUP(C4667,소속부서!$A$2:$B$20,2,FALSE), "")</f>
        <v/>
      </c>
    </row>
    <row r="4668" spans="3:4" x14ac:dyDescent="0.3">
      <c r="C4668" s="35">
        <f t="shared" si="72"/>
        <v>0</v>
      </c>
      <c r="D4668" s="30" t="str">
        <f>IFERROR(VLOOKUP(C4668,소속부서!$A$2:$B$20,2,FALSE), "")</f>
        <v/>
      </c>
    </row>
    <row r="4669" spans="3:4" x14ac:dyDescent="0.3">
      <c r="C4669" s="35">
        <f t="shared" si="72"/>
        <v>0</v>
      </c>
      <c r="D4669" s="30" t="str">
        <f>IFERROR(VLOOKUP(C4669,소속부서!$A$2:$B$20,2,FALSE), "")</f>
        <v/>
      </c>
    </row>
    <row r="4670" spans="3:4" x14ac:dyDescent="0.3">
      <c r="C4670" s="35">
        <f t="shared" si="72"/>
        <v>0</v>
      </c>
      <c r="D4670" s="30" t="str">
        <f>IFERROR(VLOOKUP(C4670,소속부서!$A$2:$B$20,2,FALSE), "")</f>
        <v/>
      </c>
    </row>
    <row r="4671" spans="3:4" x14ac:dyDescent="0.3">
      <c r="C4671" s="35">
        <f t="shared" si="72"/>
        <v>0</v>
      </c>
      <c r="D4671" s="30" t="str">
        <f>IFERROR(VLOOKUP(C4671,소속부서!$A$2:$B$20,2,FALSE), "")</f>
        <v/>
      </c>
    </row>
    <row r="4672" spans="3:4" x14ac:dyDescent="0.3">
      <c r="C4672" s="35">
        <f t="shared" si="72"/>
        <v>0</v>
      </c>
      <c r="D4672" s="30" t="str">
        <f>IFERROR(VLOOKUP(C4672,소속부서!$A$2:$B$20,2,FALSE), "")</f>
        <v/>
      </c>
    </row>
    <row r="4673" spans="3:4" x14ac:dyDescent="0.3">
      <c r="C4673" s="35">
        <f t="shared" ref="C4673:C4736" si="73">E4673</f>
        <v>0</v>
      </c>
      <c r="D4673" s="30" t="str">
        <f>IFERROR(VLOOKUP(C4673,소속부서!$A$2:$B$20,2,FALSE), "")</f>
        <v/>
      </c>
    </row>
    <row r="4674" spans="3:4" x14ac:dyDescent="0.3">
      <c r="C4674" s="35">
        <f t="shared" si="73"/>
        <v>0</v>
      </c>
      <c r="D4674" s="30" t="str">
        <f>IFERROR(VLOOKUP(C4674,소속부서!$A$2:$B$20,2,FALSE), "")</f>
        <v/>
      </c>
    </row>
    <row r="4675" spans="3:4" x14ac:dyDescent="0.3">
      <c r="C4675" s="35">
        <f t="shared" si="73"/>
        <v>0</v>
      </c>
      <c r="D4675" s="30" t="str">
        <f>IFERROR(VLOOKUP(C4675,소속부서!$A$2:$B$20,2,FALSE), "")</f>
        <v/>
      </c>
    </row>
    <row r="4676" spans="3:4" x14ac:dyDescent="0.3">
      <c r="C4676" s="35">
        <f t="shared" si="73"/>
        <v>0</v>
      </c>
      <c r="D4676" s="30" t="str">
        <f>IFERROR(VLOOKUP(C4676,소속부서!$A$2:$B$20,2,FALSE), "")</f>
        <v/>
      </c>
    </row>
    <row r="4677" spans="3:4" x14ac:dyDescent="0.3">
      <c r="C4677" s="35">
        <f t="shared" si="73"/>
        <v>0</v>
      </c>
      <c r="D4677" s="30" t="str">
        <f>IFERROR(VLOOKUP(C4677,소속부서!$A$2:$B$20,2,FALSE), "")</f>
        <v/>
      </c>
    </row>
    <row r="4678" spans="3:4" x14ac:dyDescent="0.3">
      <c r="C4678" s="35">
        <f t="shared" si="73"/>
        <v>0</v>
      </c>
      <c r="D4678" s="30" t="str">
        <f>IFERROR(VLOOKUP(C4678,소속부서!$A$2:$B$20,2,FALSE), "")</f>
        <v/>
      </c>
    </row>
    <row r="4679" spans="3:4" x14ac:dyDescent="0.3">
      <c r="C4679" s="35">
        <f t="shared" si="73"/>
        <v>0</v>
      </c>
      <c r="D4679" s="30" t="str">
        <f>IFERROR(VLOOKUP(C4679,소속부서!$A$2:$B$20,2,FALSE), "")</f>
        <v/>
      </c>
    </row>
    <row r="4680" spans="3:4" x14ac:dyDescent="0.3">
      <c r="C4680" s="35">
        <f t="shared" si="73"/>
        <v>0</v>
      </c>
      <c r="D4680" s="30" t="str">
        <f>IFERROR(VLOOKUP(C4680,소속부서!$A$2:$B$20,2,FALSE), "")</f>
        <v/>
      </c>
    </row>
    <row r="4681" spans="3:4" x14ac:dyDescent="0.3">
      <c r="C4681" s="35">
        <f t="shared" si="73"/>
        <v>0</v>
      </c>
      <c r="D4681" s="30" t="str">
        <f>IFERROR(VLOOKUP(C4681,소속부서!$A$2:$B$20,2,FALSE), "")</f>
        <v/>
      </c>
    </row>
    <row r="4682" spans="3:4" x14ac:dyDescent="0.3">
      <c r="C4682" s="35">
        <f t="shared" si="73"/>
        <v>0</v>
      </c>
      <c r="D4682" s="30" t="str">
        <f>IFERROR(VLOOKUP(C4682,소속부서!$A$2:$B$20,2,FALSE), "")</f>
        <v/>
      </c>
    </row>
    <row r="4683" spans="3:4" x14ac:dyDescent="0.3">
      <c r="C4683" s="35">
        <f t="shared" si="73"/>
        <v>0</v>
      </c>
      <c r="D4683" s="30" t="str">
        <f>IFERROR(VLOOKUP(C4683,소속부서!$A$2:$B$20,2,FALSE), "")</f>
        <v/>
      </c>
    </row>
    <row r="4684" spans="3:4" x14ac:dyDescent="0.3">
      <c r="C4684" s="35">
        <f t="shared" si="73"/>
        <v>0</v>
      </c>
      <c r="D4684" s="30" t="str">
        <f>IFERROR(VLOOKUP(C4684,소속부서!$A$2:$B$20,2,FALSE), "")</f>
        <v/>
      </c>
    </row>
    <row r="4685" spans="3:4" x14ac:dyDescent="0.3">
      <c r="C4685" s="35">
        <f t="shared" si="73"/>
        <v>0</v>
      </c>
      <c r="D4685" s="30" t="str">
        <f>IFERROR(VLOOKUP(C4685,소속부서!$A$2:$B$20,2,FALSE), "")</f>
        <v/>
      </c>
    </row>
    <row r="4686" spans="3:4" x14ac:dyDescent="0.3">
      <c r="C4686" s="35">
        <f t="shared" si="73"/>
        <v>0</v>
      </c>
      <c r="D4686" s="30" t="str">
        <f>IFERROR(VLOOKUP(C4686,소속부서!$A$2:$B$20,2,FALSE), "")</f>
        <v/>
      </c>
    </row>
    <row r="4687" spans="3:4" x14ac:dyDescent="0.3">
      <c r="C4687" s="35">
        <f t="shared" si="73"/>
        <v>0</v>
      </c>
      <c r="D4687" s="30" t="str">
        <f>IFERROR(VLOOKUP(C4687,소속부서!$A$2:$B$20,2,FALSE), "")</f>
        <v/>
      </c>
    </row>
    <row r="4688" spans="3:4" x14ac:dyDescent="0.3">
      <c r="C4688" s="35">
        <f t="shared" si="73"/>
        <v>0</v>
      </c>
      <c r="D4688" s="30" t="str">
        <f>IFERROR(VLOOKUP(C4688,소속부서!$A$2:$B$20,2,FALSE), "")</f>
        <v/>
      </c>
    </row>
    <row r="4689" spans="3:4" x14ac:dyDescent="0.3">
      <c r="C4689" s="35">
        <f t="shared" si="73"/>
        <v>0</v>
      </c>
      <c r="D4689" s="30" t="str">
        <f>IFERROR(VLOOKUP(C4689,소속부서!$A$2:$B$20,2,FALSE), "")</f>
        <v/>
      </c>
    </row>
    <row r="4690" spans="3:4" x14ac:dyDescent="0.3">
      <c r="C4690" s="35">
        <f t="shared" si="73"/>
        <v>0</v>
      </c>
      <c r="D4690" s="30" t="str">
        <f>IFERROR(VLOOKUP(C4690,소속부서!$A$2:$B$20,2,FALSE), "")</f>
        <v/>
      </c>
    </row>
    <row r="4691" spans="3:4" x14ac:dyDescent="0.3">
      <c r="C4691" s="35">
        <f t="shared" si="73"/>
        <v>0</v>
      </c>
      <c r="D4691" s="30" t="str">
        <f>IFERROR(VLOOKUP(C4691,소속부서!$A$2:$B$20,2,FALSE), "")</f>
        <v/>
      </c>
    </row>
    <row r="4692" spans="3:4" x14ac:dyDescent="0.3">
      <c r="C4692" s="35">
        <f t="shared" si="73"/>
        <v>0</v>
      </c>
      <c r="D4692" s="30" t="str">
        <f>IFERROR(VLOOKUP(C4692,소속부서!$A$2:$B$20,2,FALSE), "")</f>
        <v/>
      </c>
    </row>
    <row r="4693" spans="3:4" x14ac:dyDescent="0.3">
      <c r="C4693" s="35">
        <f t="shared" si="73"/>
        <v>0</v>
      </c>
      <c r="D4693" s="30" t="str">
        <f>IFERROR(VLOOKUP(C4693,소속부서!$A$2:$B$20,2,FALSE), "")</f>
        <v/>
      </c>
    </row>
    <row r="4694" spans="3:4" x14ac:dyDescent="0.3">
      <c r="C4694" s="35">
        <f t="shared" si="73"/>
        <v>0</v>
      </c>
      <c r="D4694" s="30" t="str">
        <f>IFERROR(VLOOKUP(C4694,소속부서!$A$2:$B$20,2,FALSE), "")</f>
        <v/>
      </c>
    </row>
    <row r="4695" spans="3:4" x14ac:dyDescent="0.3">
      <c r="C4695" s="35">
        <f t="shared" si="73"/>
        <v>0</v>
      </c>
      <c r="D4695" s="30" t="str">
        <f>IFERROR(VLOOKUP(C4695,소속부서!$A$2:$B$20,2,FALSE), "")</f>
        <v/>
      </c>
    </row>
    <row r="4696" spans="3:4" x14ac:dyDescent="0.3">
      <c r="C4696" s="35">
        <f t="shared" si="73"/>
        <v>0</v>
      </c>
      <c r="D4696" s="30" t="str">
        <f>IFERROR(VLOOKUP(C4696,소속부서!$A$2:$B$20,2,FALSE), "")</f>
        <v/>
      </c>
    </row>
    <row r="4697" spans="3:4" x14ac:dyDescent="0.3">
      <c r="C4697" s="35">
        <f t="shared" si="73"/>
        <v>0</v>
      </c>
      <c r="D4697" s="30" t="str">
        <f>IFERROR(VLOOKUP(C4697,소속부서!$A$2:$B$20,2,FALSE), "")</f>
        <v/>
      </c>
    </row>
    <row r="4698" spans="3:4" x14ac:dyDescent="0.3">
      <c r="C4698" s="35">
        <f t="shared" si="73"/>
        <v>0</v>
      </c>
      <c r="D4698" s="30" t="str">
        <f>IFERROR(VLOOKUP(C4698,소속부서!$A$2:$B$20,2,FALSE), "")</f>
        <v/>
      </c>
    </row>
    <row r="4699" spans="3:4" x14ac:dyDescent="0.3">
      <c r="C4699" s="35">
        <f t="shared" si="73"/>
        <v>0</v>
      </c>
      <c r="D4699" s="30" t="str">
        <f>IFERROR(VLOOKUP(C4699,소속부서!$A$2:$B$20,2,FALSE), "")</f>
        <v/>
      </c>
    </row>
    <row r="4700" spans="3:4" x14ac:dyDescent="0.3">
      <c r="C4700" s="35">
        <f t="shared" si="73"/>
        <v>0</v>
      </c>
      <c r="D4700" s="30" t="str">
        <f>IFERROR(VLOOKUP(C4700,소속부서!$A$2:$B$20,2,FALSE), "")</f>
        <v/>
      </c>
    </row>
    <row r="4701" spans="3:4" x14ac:dyDescent="0.3">
      <c r="C4701" s="35">
        <f t="shared" si="73"/>
        <v>0</v>
      </c>
      <c r="D4701" s="30" t="str">
        <f>IFERROR(VLOOKUP(C4701,소속부서!$A$2:$B$20,2,FALSE), "")</f>
        <v/>
      </c>
    </row>
    <row r="4702" spans="3:4" x14ac:dyDescent="0.3">
      <c r="C4702" s="35">
        <f t="shared" si="73"/>
        <v>0</v>
      </c>
      <c r="D4702" s="30" t="str">
        <f>IFERROR(VLOOKUP(C4702,소속부서!$A$2:$B$20,2,FALSE), "")</f>
        <v/>
      </c>
    </row>
    <row r="4703" spans="3:4" x14ac:dyDescent="0.3">
      <c r="C4703" s="35">
        <f t="shared" si="73"/>
        <v>0</v>
      </c>
      <c r="D4703" s="30" t="str">
        <f>IFERROR(VLOOKUP(C4703,소속부서!$A$2:$B$20,2,FALSE), "")</f>
        <v/>
      </c>
    </row>
    <row r="4704" spans="3:4" x14ac:dyDescent="0.3">
      <c r="C4704" s="35">
        <f t="shared" si="73"/>
        <v>0</v>
      </c>
      <c r="D4704" s="30" t="str">
        <f>IFERROR(VLOOKUP(C4704,소속부서!$A$2:$B$20,2,FALSE), "")</f>
        <v/>
      </c>
    </row>
    <row r="4705" spans="3:4" x14ac:dyDescent="0.3">
      <c r="C4705" s="35">
        <f t="shared" si="73"/>
        <v>0</v>
      </c>
      <c r="D4705" s="30" t="str">
        <f>IFERROR(VLOOKUP(C4705,소속부서!$A$2:$B$20,2,FALSE), "")</f>
        <v/>
      </c>
    </row>
    <row r="4706" spans="3:4" x14ac:dyDescent="0.3">
      <c r="C4706" s="35">
        <f t="shared" si="73"/>
        <v>0</v>
      </c>
      <c r="D4706" s="30" t="str">
        <f>IFERROR(VLOOKUP(C4706,소속부서!$A$2:$B$20,2,FALSE), "")</f>
        <v/>
      </c>
    </row>
    <row r="4707" spans="3:4" x14ac:dyDescent="0.3">
      <c r="C4707" s="35">
        <f t="shared" si="73"/>
        <v>0</v>
      </c>
      <c r="D4707" s="30" t="str">
        <f>IFERROR(VLOOKUP(C4707,소속부서!$A$2:$B$20,2,FALSE), "")</f>
        <v/>
      </c>
    </row>
    <row r="4708" spans="3:4" x14ac:dyDescent="0.3">
      <c r="C4708" s="35">
        <f t="shared" si="73"/>
        <v>0</v>
      </c>
      <c r="D4708" s="30" t="str">
        <f>IFERROR(VLOOKUP(C4708,소속부서!$A$2:$B$20,2,FALSE), "")</f>
        <v/>
      </c>
    </row>
    <row r="4709" spans="3:4" x14ac:dyDescent="0.3">
      <c r="C4709" s="35">
        <f t="shared" si="73"/>
        <v>0</v>
      </c>
      <c r="D4709" s="30" t="str">
        <f>IFERROR(VLOOKUP(C4709,소속부서!$A$2:$B$20,2,FALSE), "")</f>
        <v/>
      </c>
    </row>
    <row r="4710" spans="3:4" x14ac:dyDescent="0.3">
      <c r="C4710" s="35">
        <f t="shared" si="73"/>
        <v>0</v>
      </c>
      <c r="D4710" s="30" t="str">
        <f>IFERROR(VLOOKUP(C4710,소속부서!$A$2:$B$20,2,FALSE), "")</f>
        <v/>
      </c>
    </row>
    <row r="4711" spans="3:4" x14ac:dyDescent="0.3">
      <c r="C4711" s="35">
        <f t="shared" si="73"/>
        <v>0</v>
      </c>
      <c r="D4711" s="30" t="str">
        <f>IFERROR(VLOOKUP(C4711,소속부서!$A$2:$B$20,2,FALSE), "")</f>
        <v/>
      </c>
    </row>
    <row r="4712" spans="3:4" x14ac:dyDescent="0.3">
      <c r="C4712" s="35">
        <f t="shared" si="73"/>
        <v>0</v>
      </c>
      <c r="D4712" s="30" t="str">
        <f>IFERROR(VLOOKUP(C4712,소속부서!$A$2:$B$20,2,FALSE), "")</f>
        <v/>
      </c>
    </row>
    <row r="4713" spans="3:4" x14ac:dyDescent="0.3">
      <c r="C4713" s="35">
        <f t="shared" si="73"/>
        <v>0</v>
      </c>
      <c r="D4713" s="30" t="str">
        <f>IFERROR(VLOOKUP(C4713,소속부서!$A$2:$B$20,2,FALSE), "")</f>
        <v/>
      </c>
    </row>
    <row r="4714" spans="3:4" x14ac:dyDescent="0.3">
      <c r="C4714" s="35">
        <f t="shared" si="73"/>
        <v>0</v>
      </c>
      <c r="D4714" s="30" t="str">
        <f>IFERROR(VLOOKUP(C4714,소속부서!$A$2:$B$20,2,FALSE), "")</f>
        <v/>
      </c>
    </row>
    <row r="4715" spans="3:4" x14ac:dyDescent="0.3">
      <c r="C4715" s="35">
        <f t="shared" si="73"/>
        <v>0</v>
      </c>
      <c r="D4715" s="30" t="str">
        <f>IFERROR(VLOOKUP(C4715,소속부서!$A$2:$B$20,2,FALSE), "")</f>
        <v/>
      </c>
    </row>
    <row r="4716" spans="3:4" x14ac:dyDescent="0.3">
      <c r="C4716" s="35">
        <f t="shared" si="73"/>
        <v>0</v>
      </c>
      <c r="D4716" s="30" t="str">
        <f>IFERROR(VLOOKUP(C4716,소속부서!$A$2:$B$20,2,FALSE), "")</f>
        <v/>
      </c>
    </row>
    <row r="4717" spans="3:4" x14ac:dyDescent="0.3">
      <c r="C4717" s="35">
        <f t="shared" si="73"/>
        <v>0</v>
      </c>
      <c r="D4717" s="30" t="str">
        <f>IFERROR(VLOOKUP(C4717,소속부서!$A$2:$B$20,2,FALSE), "")</f>
        <v/>
      </c>
    </row>
    <row r="4718" spans="3:4" x14ac:dyDescent="0.3">
      <c r="C4718" s="35">
        <f t="shared" si="73"/>
        <v>0</v>
      </c>
      <c r="D4718" s="30" t="str">
        <f>IFERROR(VLOOKUP(C4718,소속부서!$A$2:$B$20,2,FALSE), "")</f>
        <v/>
      </c>
    </row>
    <row r="4719" spans="3:4" x14ac:dyDescent="0.3">
      <c r="C4719" s="35">
        <f t="shared" si="73"/>
        <v>0</v>
      </c>
      <c r="D4719" s="30" t="str">
        <f>IFERROR(VLOOKUP(C4719,소속부서!$A$2:$B$20,2,FALSE), "")</f>
        <v/>
      </c>
    </row>
    <row r="4720" spans="3:4" x14ac:dyDescent="0.3">
      <c r="C4720" s="35">
        <f t="shared" si="73"/>
        <v>0</v>
      </c>
      <c r="D4720" s="30" t="str">
        <f>IFERROR(VLOOKUP(C4720,소속부서!$A$2:$B$20,2,FALSE), "")</f>
        <v/>
      </c>
    </row>
    <row r="4721" spans="3:4" x14ac:dyDescent="0.3">
      <c r="C4721" s="35">
        <f t="shared" si="73"/>
        <v>0</v>
      </c>
      <c r="D4721" s="30" t="str">
        <f>IFERROR(VLOOKUP(C4721,소속부서!$A$2:$B$20,2,FALSE), "")</f>
        <v/>
      </c>
    </row>
    <row r="4722" spans="3:4" x14ac:dyDescent="0.3">
      <c r="C4722" s="35">
        <f t="shared" si="73"/>
        <v>0</v>
      </c>
      <c r="D4722" s="30" t="str">
        <f>IFERROR(VLOOKUP(C4722,소속부서!$A$2:$B$20,2,FALSE), "")</f>
        <v/>
      </c>
    </row>
    <row r="4723" spans="3:4" x14ac:dyDescent="0.3">
      <c r="C4723" s="35">
        <f t="shared" si="73"/>
        <v>0</v>
      </c>
      <c r="D4723" s="30" t="str">
        <f>IFERROR(VLOOKUP(C4723,소속부서!$A$2:$B$20,2,FALSE), "")</f>
        <v/>
      </c>
    </row>
    <row r="4724" spans="3:4" x14ac:dyDescent="0.3">
      <c r="C4724" s="35">
        <f t="shared" si="73"/>
        <v>0</v>
      </c>
      <c r="D4724" s="30" t="str">
        <f>IFERROR(VLOOKUP(C4724,소속부서!$A$2:$B$20,2,FALSE), "")</f>
        <v/>
      </c>
    </row>
    <row r="4725" spans="3:4" x14ac:dyDescent="0.3">
      <c r="C4725" s="35">
        <f t="shared" si="73"/>
        <v>0</v>
      </c>
      <c r="D4725" s="30" t="str">
        <f>IFERROR(VLOOKUP(C4725,소속부서!$A$2:$B$20,2,FALSE), "")</f>
        <v/>
      </c>
    </row>
    <row r="4726" spans="3:4" x14ac:dyDescent="0.3">
      <c r="C4726" s="35">
        <f t="shared" si="73"/>
        <v>0</v>
      </c>
      <c r="D4726" s="30" t="str">
        <f>IFERROR(VLOOKUP(C4726,소속부서!$A$2:$B$20,2,FALSE), "")</f>
        <v/>
      </c>
    </row>
    <row r="4727" spans="3:4" x14ac:dyDescent="0.3">
      <c r="C4727" s="35">
        <f t="shared" si="73"/>
        <v>0</v>
      </c>
      <c r="D4727" s="30" t="str">
        <f>IFERROR(VLOOKUP(C4727,소속부서!$A$2:$B$20,2,FALSE), "")</f>
        <v/>
      </c>
    </row>
    <row r="4728" spans="3:4" x14ac:dyDescent="0.3">
      <c r="C4728" s="35">
        <f t="shared" si="73"/>
        <v>0</v>
      </c>
      <c r="D4728" s="30" t="str">
        <f>IFERROR(VLOOKUP(C4728,소속부서!$A$2:$B$20,2,FALSE), "")</f>
        <v/>
      </c>
    </row>
    <row r="4729" spans="3:4" x14ac:dyDescent="0.3">
      <c r="C4729" s="35">
        <f t="shared" si="73"/>
        <v>0</v>
      </c>
      <c r="D4729" s="30" t="str">
        <f>IFERROR(VLOOKUP(C4729,소속부서!$A$2:$B$20,2,FALSE), "")</f>
        <v/>
      </c>
    </row>
    <row r="4730" spans="3:4" x14ac:dyDescent="0.3">
      <c r="C4730" s="35">
        <f t="shared" si="73"/>
        <v>0</v>
      </c>
      <c r="D4730" s="30" t="str">
        <f>IFERROR(VLOOKUP(C4730,소속부서!$A$2:$B$20,2,FALSE), "")</f>
        <v/>
      </c>
    </row>
    <row r="4731" spans="3:4" x14ac:dyDescent="0.3">
      <c r="C4731" s="35">
        <f t="shared" si="73"/>
        <v>0</v>
      </c>
      <c r="D4731" s="30" t="str">
        <f>IFERROR(VLOOKUP(C4731,소속부서!$A$2:$B$20,2,FALSE), "")</f>
        <v/>
      </c>
    </row>
    <row r="4732" spans="3:4" x14ac:dyDescent="0.3">
      <c r="C4732" s="35">
        <f t="shared" si="73"/>
        <v>0</v>
      </c>
      <c r="D4732" s="30" t="str">
        <f>IFERROR(VLOOKUP(C4732,소속부서!$A$2:$B$20,2,FALSE), "")</f>
        <v/>
      </c>
    </row>
    <row r="4733" spans="3:4" x14ac:dyDescent="0.3">
      <c r="C4733" s="35">
        <f t="shared" si="73"/>
        <v>0</v>
      </c>
      <c r="D4733" s="30" t="str">
        <f>IFERROR(VLOOKUP(C4733,소속부서!$A$2:$B$20,2,FALSE), "")</f>
        <v/>
      </c>
    </row>
    <row r="4734" spans="3:4" x14ac:dyDescent="0.3">
      <c r="C4734" s="35">
        <f t="shared" si="73"/>
        <v>0</v>
      </c>
      <c r="D4734" s="30" t="str">
        <f>IFERROR(VLOOKUP(C4734,소속부서!$A$2:$B$20,2,FALSE), "")</f>
        <v/>
      </c>
    </row>
    <row r="4735" spans="3:4" x14ac:dyDescent="0.3">
      <c r="C4735" s="35">
        <f t="shared" si="73"/>
        <v>0</v>
      </c>
      <c r="D4735" s="30" t="str">
        <f>IFERROR(VLOOKUP(C4735,소속부서!$A$2:$B$20,2,FALSE), "")</f>
        <v/>
      </c>
    </row>
    <row r="4736" spans="3:4" x14ac:dyDescent="0.3">
      <c r="C4736" s="35">
        <f t="shared" si="73"/>
        <v>0</v>
      </c>
      <c r="D4736" s="30" t="str">
        <f>IFERROR(VLOOKUP(C4736,소속부서!$A$2:$B$20,2,FALSE), "")</f>
        <v/>
      </c>
    </row>
    <row r="4737" spans="3:4" x14ac:dyDescent="0.3">
      <c r="C4737" s="35">
        <f t="shared" ref="C4737:C4800" si="74">E4737</f>
        <v>0</v>
      </c>
      <c r="D4737" s="30" t="str">
        <f>IFERROR(VLOOKUP(C4737,소속부서!$A$2:$B$20,2,FALSE), "")</f>
        <v/>
      </c>
    </row>
    <row r="4738" spans="3:4" x14ac:dyDescent="0.3">
      <c r="C4738" s="35">
        <f t="shared" si="74"/>
        <v>0</v>
      </c>
      <c r="D4738" s="30" t="str">
        <f>IFERROR(VLOOKUP(C4738,소속부서!$A$2:$B$20,2,FALSE), "")</f>
        <v/>
      </c>
    </row>
    <row r="4739" spans="3:4" x14ac:dyDescent="0.3">
      <c r="C4739" s="35">
        <f t="shared" si="74"/>
        <v>0</v>
      </c>
      <c r="D4739" s="30" t="str">
        <f>IFERROR(VLOOKUP(C4739,소속부서!$A$2:$B$20,2,FALSE), "")</f>
        <v/>
      </c>
    </row>
    <row r="4740" spans="3:4" x14ac:dyDescent="0.3">
      <c r="C4740" s="35">
        <f t="shared" si="74"/>
        <v>0</v>
      </c>
      <c r="D4740" s="30" t="str">
        <f>IFERROR(VLOOKUP(C4740,소속부서!$A$2:$B$20,2,FALSE), "")</f>
        <v/>
      </c>
    </row>
    <row r="4741" spans="3:4" x14ac:dyDescent="0.3">
      <c r="C4741" s="35">
        <f t="shared" si="74"/>
        <v>0</v>
      </c>
      <c r="D4741" s="30" t="str">
        <f>IFERROR(VLOOKUP(C4741,소속부서!$A$2:$B$20,2,FALSE), "")</f>
        <v/>
      </c>
    </row>
    <row r="4742" spans="3:4" x14ac:dyDescent="0.3">
      <c r="C4742" s="35">
        <f t="shared" si="74"/>
        <v>0</v>
      </c>
      <c r="D4742" s="30" t="str">
        <f>IFERROR(VLOOKUP(C4742,소속부서!$A$2:$B$20,2,FALSE), "")</f>
        <v/>
      </c>
    </row>
    <row r="4743" spans="3:4" x14ac:dyDescent="0.3">
      <c r="C4743" s="35">
        <f t="shared" si="74"/>
        <v>0</v>
      </c>
      <c r="D4743" s="30" t="str">
        <f>IFERROR(VLOOKUP(C4743,소속부서!$A$2:$B$20,2,FALSE), "")</f>
        <v/>
      </c>
    </row>
    <row r="4744" spans="3:4" x14ac:dyDescent="0.3">
      <c r="C4744" s="35">
        <f t="shared" si="74"/>
        <v>0</v>
      </c>
      <c r="D4744" s="30" t="str">
        <f>IFERROR(VLOOKUP(C4744,소속부서!$A$2:$B$20,2,FALSE), "")</f>
        <v/>
      </c>
    </row>
    <row r="4745" spans="3:4" x14ac:dyDescent="0.3">
      <c r="C4745" s="35">
        <f t="shared" si="74"/>
        <v>0</v>
      </c>
      <c r="D4745" s="30" t="str">
        <f>IFERROR(VLOOKUP(C4745,소속부서!$A$2:$B$20,2,FALSE), "")</f>
        <v/>
      </c>
    </row>
    <row r="4746" spans="3:4" x14ac:dyDescent="0.3">
      <c r="C4746" s="35">
        <f t="shared" si="74"/>
        <v>0</v>
      </c>
      <c r="D4746" s="30" t="str">
        <f>IFERROR(VLOOKUP(C4746,소속부서!$A$2:$B$20,2,FALSE), "")</f>
        <v/>
      </c>
    </row>
    <row r="4747" spans="3:4" x14ac:dyDescent="0.3">
      <c r="C4747" s="35">
        <f t="shared" si="74"/>
        <v>0</v>
      </c>
      <c r="D4747" s="30" t="str">
        <f>IFERROR(VLOOKUP(C4747,소속부서!$A$2:$B$20,2,FALSE), "")</f>
        <v/>
      </c>
    </row>
    <row r="4748" spans="3:4" x14ac:dyDescent="0.3">
      <c r="C4748" s="35">
        <f t="shared" si="74"/>
        <v>0</v>
      </c>
      <c r="D4748" s="30" t="str">
        <f>IFERROR(VLOOKUP(C4748,소속부서!$A$2:$B$20,2,FALSE), "")</f>
        <v/>
      </c>
    </row>
    <row r="4749" spans="3:4" x14ac:dyDescent="0.3">
      <c r="C4749" s="35">
        <f t="shared" si="74"/>
        <v>0</v>
      </c>
      <c r="D4749" s="30" t="str">
        <f>IFERROR(VLOOKUP(C4749,소속부서!$A$2:$B$20,2,FALSE), "")</f>
        <v/>
      </c>
    </row>
    <row r="4750" spans="3:4" x14ac:dyDescent="0.3">
      <c r="C4750" s="35">
        <f t="shared" si="74"/>
        <v>0</v>
      </c>
      <c r="D4750" s="30" t="str">
        <f>IFERROR(VLOOKUP(C4750,소속부서!$A$2:$B$20,2,FALSE), "")</f>
        <v/>
      </c>
    </row>
    <row r="4751" spans="3:4" x14ac:dyDescent="0.3">
      <c r="C4751" s="35">
        <f t="shared" si="74"/>
        <v>0</v>
      </c>
      <c r="D4751" s="30" t="str">
        <f>IFERROR(VLOOKUP(C4751,소속부서!$A$2:$B$20,2,FALSE), "")</f>
        <v/>
      </c>
    </row>
    <row r="4752" spans="3:4" x14ac:dyDescent="0.3">
      <c r="C4752" s="35">
        <f t="shared" si="74"/>
        <v>0</v>
      </c>
      <c r="D4752" s="30" t="str">
        <f>IFERROR(VLOOKUP(C4752,소속부서!$A$2:$B$20,2,FALSE), "")</f>
        <v/>
      </c>
    </row>
    <row r="4753" spans="3:4" x14ac:dyDescent="0.3">
      <c r="C4753" s="35">
        <f t="shared" si="74"/>
        <v>0</v>
      </c>
      <c r="D4753" s="30" t="str">
        <f>IFERROR(VLOOKUP(C4753,소속부서!$A$2:$B$20,2,FALSE), "")</f>
        <v/>
      </c>
    </row>
    <row r="4754" spans="3:4" x14ac:dyDescent="0.3">
      <c r="C4754" s="35">
        <f t="shared" si="74"/>
        <v>0</v>
      </c>
      <c r="D4754" s="30" t="str">
        <f>IFERROR(VLOOKUP(C4754,소속부서!$A$2:$B$20,2,FALSE), "")</f>
        <v/>
      </c>
    </row>
    <row r="4755" spans="3:4" x14ac:dyDescent="0.3">
      <c r="C4755" s="35">
        <f t="shared" si="74"/>
        <v>0</v>
      </c>
      <c r="D4755" s="30" t="str">
        <f>IFERROR(VLOOKUP(C4755,소속부서!$A$2:$B$20,2,FALSE), "")</f>
        <v/>
      </c>
    </row>
    <row r="4756" spans="3:4" x14ac:dyDescent="0.3">
      <c r="C4756" s="35">
        <f t="shared" si="74"/>
        <v>0</v>
      </c>
      <c r="D4756" s="30" t="str">
        <f>IFERROR(VLOOKUP(C4756,소속부서!$A$2:$B$20,2,FALSE), "")</f>
        <v/>
      </c>
    </row>
    <row r="4757" spans="3:4" x14ac:dyDescent="0.3">
      <c r="C4757" s="35">
        <f t="shared" si="74"/>
        <v>0</v>
      </c>
      <c r="D4757" s="30" t="str">
        <f>IFERROR(VLOOKUP(C4757,소속부서!$A$2:$B$20,2,FALSE), "")</f>
        <v/>
      </c>
    </row>
    <row r="4758" spans="3:4" x14ac:dyDescent="0.3">
      <c r="C4758" s="35">
        <f t="shared" si="74"/>
        <v>0</v>
      </c>
      <c r="D4758" s="30" t="str">
        <f>IFERROR(VLOOKUP(C4758,소속부서!$A$2:$B$20,2,FALSE), "")</f>
        <v/>
      </c>
    </row>
    <row r="4759" spans="3:4" x14ac:dyDescent="0.3">
      <c r="C4759" s="35">
        <f t="shared" si="74"/>
        <v>0</v>
      </c>
      <c r="D4759" s="30" t="str">
        <f>IFERROR(VLOOKUP(C4759,소속부서!$A$2:$B$20,2,FALSE), "")</f>
        <v/>
      </c>
    </row>
    <row r="4760" spans="3:4" x14ac:dyDescent="0.3">
      <c r="C4760" s="35">
        <f t="shared" si="74"/>
        <v>0</v>
      </c>
      <c r="D4760" s="30" t="str">
        <f>IFERROR(VLOOKUP(C4760,소속부서!$A$2:$B$20,2,FALSE), "")</f>
        <v/>
      </c>
    </row>
    <row r="4761" spans="3:4" x14ac:dyDescent="0.3">
      <c r="C4761" s="35">
        <f t="shared" si="74"/>
        <v>0</v>
      </c>
      <c r="D4761" s="30" t="str">
        <f>IFERROR(VLOOKUP(C4761,소속부서!$A$2:$B$20,2,FALSE), "")</f>
        <v/>
      </c>
    </row>
    <row r="4762" spans="3:4" x14ac:dyDescent="0.3">
      <c r="C4762" s="35">
        <f t="shared" si="74"/>
        <v>0</v>
      </c>
      <c r="D4762" s="30" t="str">
        <f>IFERROR(VLOOKUP(C4762,소속부서!$A$2:$B$20,2,FALSE), "")</f>
        <v/>
      </c>
    </row>
    <row r="4763" spans="3:4" x14ac:dyDescent="0.3">
      <c r="C4763" s="35">
        <f t="shared" si="74"/>
        <v>0</v>
      </c>
      <c r="D4763" s="30" t="str">
        <f>IFERROR(VLOOKUP(C4763,소속부서!$A$2:$B$20,2,FALSE), "")</f>
        <v/>
      </c>
    </row>
    <row r="4764" spans="3:4" x14ac:dyDescent="0.3">
      <c r="C4764" s="35">
        <f t="shared" si="74"/>
        <v>0</v>
      </c>
      <c r="D4764" s="30" t="str">
        <f>IFERROR(VLOOKUP(C4764,소속부서!$A$2:$B$20,2,FALSE), "")</f>
        <v/>
      </c>
    </row>
    <row r="4765" spans="3:4" x14ac:dyDescent="0.3">
      <c r="C4765" s="35">
        <f t="shared" si="74"/>
        <v>0</v>
      </c>
      <c r="D4765" s="30" t="str">
        <f>IFERROR(VLOOKUP(C4765,소속부서!$A$2:$B$20,2,FALSE), "")</f>
        <v/>
      </c>
    </row>
    <row r="4766" spans="3:4" x14ac:dyDescent="0.3">
      <c r="C4766" s="35">
        <f t="shared" si="74"/>
        <v>0</v>
      </c>
      <c r="D4766" s="30" t="str">
        <f>IFERROR(VLOOKUP(C4766,소속부서!$A$2:$B$20,2,FALSE), "")</f>
        <v/>
      </c>
    </row>
    <row r="4767" spans="3:4" x14ac:dyDescent="0.3">
      <c r="C4767" s="35">
        <f t="shared" si="74"/>
        <v>0</v>
      </c>
      <c r="D4767" s="30" t="str">
        <f>IFERROR(VLOOKUP(C4767,소속부서!$A$2:$B$20,2,FALSE), "")</f>
        <v/>
      </c>
    </row>
    <row r="4768" spans="3:4" x14ac:dyDescent="0.3">
      <c r="C4768" s="35">
        <f t="shared" si="74"/>
        <v>0</v>
      </c>
      <c r="D4768" s="30" t="str">
        <f>IFERROR(VLOOKUP(C4768,소속부서!$A$2:$B$20,2,FALSE), "")</f>
        <v/>
      </c>
    </row>
    <row r="4769" spans="3:4" x14ac:dyDescent="0.3">
      <c r="C4769" s="35">
        <f t="shared" si="74"/>
        <v>0</v>
      </c>
      <c r="D4769" s="30" t="str">
        <f>IFERROR(VLOOKUP(C4769,소속부서!$A$2:$B$20,2,FALSE), "")</f>
        <v/>
      </c>
    </row>
    <row r="4770" spans="3:4" x14ac:dyDescent="0.3">
      <c r="C4770" s="35">
        <f t="shared" si="74"/>
        <v>0</v>
      </c>
      <c r="D4770" s="30" t="str">
        <f>IFERROR(VLOOKUP(C4770,소속부서!$A$2:$B$20,2,FALSE), "")</f>
        <v/>
      </c>
    </row>
    <row r="4771" spans="3:4" x14ac:dyDescent="0.3">
      <c r="C4771" s="35">
        <f t="shared" si="74"/>
        <v>0</v>
      </c>
      <c r="D4771" s="30" t="str">
        <f>IFERROR(VLOOKUP(C4771,소속부서!$A$2:$B$20,2,FALSE), "")</f>
        <v/>
      </c>
    </row>
    <row r="4772" spans="3:4" x14ac:dyDescent="0.3">
      <c r="C4772" s="35">
        <f t="shared" si="74"/>
        <v>0</v>
      </c>
      <c r="D4772" s="30" t="str">
        <f>IFERROR(VLOOKUP(C4772,소속부서!$A$2:$B$20,2,FALSE), "")</f>
        <v/>
      </c>
    </row>
    <row r="4773" spans="3:4" x14ac:dyDescent="0.3">
      <c r="C4773" s="35">
        <f t="shared" si="74"/>
        <v>0</v>
      </c>
      <c r="D4773" s="30" t="str">
        <f>IFERROR(VLOOKUP(C4773,소속부서!$A$2:$B$20,2,FALSE), "")</f>
        <v/>
      </c>
    </row>
    <row r="4774" spans="3:4" x14ac:dyDescent="0.3">
      <c r="C4774" s="35">
        <f t="shared" si="74"/>
        <v>0</v>
      </c>
      <c r="D4774" s="30" t="str">
        <f>IFERROR(VLOOKUP(C4774,소속부서!$A$2:$B$20,2,FALSE), "")</f>
        <v/>
      </c>
    </row>
    <row r="4775" spans="3:4" x14ac:dyDescent="0.3">
      <c r="C4775" s="35">
        <f t="shared" si="74"/>
        <v>0</v>
      </c>
      <c r="D4775" s="30" t="str">
        <f>IFERROR(VLOOKUP(C4775,소속부서!$A$2:$B$20,2,FALSE), "")</f>
        <v/>
      </c>
    </row>
    <row r="4776" spans="3:4" x14ac:dyDescent="0.3">
      <c r="C4776" s="35">
        <f t="shared" si="74"/>
        <v>0</v>
      </c>
      <c r="D4776" s="30" t="str">
        <f>IFERROR(VLOOKUP(C4776,소속부서!$A$2:$B$20,2,FALSE), "")</f>
        <v/>
      </c>
    </row>
    <row r="4777" spans="3:4" x14ac:dyDescent="0.3">
      <c r="C4777" s="35">
        <f t="shared" si="74"/>
        <v>0</v>
      </c>
      <c r="D4777" s="30" t="str">
        <f>IFERROR(VLOOKUP(C4777,소속부서!$A$2:$B$20,2,FALSE), "")</f>
        <v/>
      </c>
    </row>
    <row r="4778" spans="3:4" x14ac:dyDescent="0.3">
      <c r="C4778" s="35">
        <f t="shared" si="74"/>
        <v>0</v>
      </c>
      <c r="D4778" s="30" t="str">
        <f>IFERROR(VLOOKUP(C4778,소속부서!$A$2:$B$20,2,FALSE), "")</f>
        <v/>
      </c>
    </row>
    <row r="4779" spans="3:4" x14ac:dyDescent="0.3">
      <c r="C4779" s="35">
        <f t="shared" si="74"/>
        <v>0</v>
      </c>
      <c r="D4779" s="30" t="str">
        <f>IFERROR(VLOOKUP(C4779,소속부서!$A$2:$B$20,2,FALSE), "")</f>
        <v/>
      </c>
    </row>
    <row r="4780" spans="3:4" x14ac:dyDescent="0.3">
      <c r="C4780" s="35">
        <f t="shared" si="74"/>
        <v>0</v>
      </c>
      <c r="D4780" s="30" t="str">
        <f>IFERROR(VLOOKUP(C4780,소속부서!$A$2:$B$20,2,FALSE), "")</f>
        <v/>
      </c>
    </row>
    <row r="4781" spans="3:4" x14ac:dyDescent="0.3">
      <c r="C4781" s="35">
        <f t="shared" si="74"/>
        <v>0</v>
      </c>
      <c r="D4781" s="30" t="str">
        <f>IFERROR(VLOOKUP(C4781,소속부서!$A$2:$B$20,2,FALSE), "")</f>
        <v/>
      </c>
    </row>
    <row r="4782" spans="3:4" x14ac:dyDescent="0.3">
      <c r="C4782" s="35">
        <f t="shared" si="74"/>
        <v>0</v>
      </c>
      <c r="D4782" s="30" t="str">
        <f>IFERROR(VLOOKUP(C4782,소속부서!$A$2:$B$20,2,FALSE), "")</f>
        <v/>
      </c>
    </row>
    <row r="4783" spans="3:4" x14ac:dyDescent="0.3">
      <c r="C4783" s="35">
        <f t="shared" si="74"/>
        <v>0</v>
      </c>
      <c r="D4783" s="30" t="str">
        <f>IFERROR(VLOOKUP(C4783,소속부서!$A$2:$B$20,2,FALSE), "")</f>
        <v/>
      </c>
    </row>
    <row r="4784" spans="3:4" x14ac:dyDescent="0.3">
      <c r="C4784" s="35">
        <f t="shared" si="74"/>
        <v>0</v>
      </c>
      <c r="D4784" s="30" t="str">
        <f>IFERROR(VLOOKUP(C4784,소속부서!$A$2:$B$20,2,FALSE), "")</f>
        <v/>
      </c>
    </row>
    <row r="4785" spans="3:4" x14ac:dyDescent="0.3">
      <c r="C4785" s="35">
        <f t="shared" si="74"/>
        <v>0</v>
      </c>
      <c r="D4785" s="30" t="str">
        <f>IFERROR(VLOOKUP(C4785,소속부서!$A$2:$B$20,2,FALSE), "")</f>
        <v/>
      </c>
    </row>
    <row r="4786" spans="3:4" x14ac:dyDescent="0.3">
      <c r="C4786" s="35">
        <f t="shared" si="74"/>
        <v>0</v>
      </c>
      <c r="D4786" s="30" t="str">
        <f>IFERROR(VLOOKUP(C4786,소속부서!$A$2:$B$20,2,FALSE), "")</f>
        <v/>
      </c>
    </row>
    <row r="4787" spans="3:4" x14ac:dyDescent="0.3">
      <c r="C4787" s="35">
        <f t="shared" si="74"/>
        <v>0</v>
      </c>
      <c r="D4787" s="30" t="str">
        <f>IFERROR(VLOOKUP(C4787,소속부서!$A$2:$B$20,2,FALSE), "")</f>
        <v/>
      </c>
    </row>
    <row r="4788" spans="3:4" x14ac:dyDescent="0.3">
      <c r="C4788" s="35">
        <f t="shared" si="74"/>
        <v>0</v>
      </c>
      <c r="D4788" s="30" t="str">
        <f>IFERROR(VLOOKUP(C4788,소속부서!$A$2:$B$20,2,FALSE), "")</f>
        <v/>
      </c>
    </row>
    <row r="4789" spans="3:4" x14ac:dyDescent="0.3">
      <c r="C4789" s="35">
        <f t="shared" si="74"/>
        <v>0</v>
      </c>
      <c r="D4789" s="30" t="str">
        <f>IFERROR(VLOOKUP(C4789,소속부서!$A$2:$B$20,2,FALSE), "")</f>
        <v/>
      </c>
    </row>
    <row r="4790" spans="3:4" x14ac:dyDescent="0.3">
      <c r="C4790" s="35">
        <f t="shared" si="74"/>
        <v>0</v>
      </c>
      <c r="D4790" s="30" t="str">
        <f>IFERROR(VLOOKUP(C4790,소속부서!$A$2:$B$20,2,FALSE), "")</f>
        <v/>
      </c>
    </row>
    <row r="4791" spans="3:4" x14ac:dyDescent="0.3">
      <c r="C4791" s="35">
        <f t="shared" si="74"/>
        <v>0</v>
      </c>
      <c r="D4791" s="30" t="str">
        <f>IFERROR(VLOOKUP(C4791,소속부서!$A$2:$B$20,2,FALSE), "")</f>
        <v/>
      </c>
    </row>
    <row r="4792" spans="3:4" x14ac:dyDescent="0.3">
      <c r="C4792" s="35">
        <f t="shared" si="74"/>
        <v>0</v>
      </c>
      <c r="D4792" s="30" t="str">
        <f>IFERROR(VLOOKUP(C4792,소속부서!$A$2:$B$20,2,FALSE), "")</f>
        <v/>
      </c>
    </row>
    <row r="4793" spans="3:4" x14ac:dyDescent="0.3">
      <c r="C4793" s="35">
        <f t="shared" si="74"/>
        <v>0</v>
      </c>
      <c r="D4793" s="30" t="str">
        <f>IFERROR(VLOOKUP(C4793,소속부서!$A$2:$B$20,2,FALSE), "")</f>
        <v/>
      </c>
    </row>
    <row r="4794" spans="3:4" x14ac:dyDescent="0.3">
      <c r="C4794" s="35">
        <f t="shared" si="74"/>
        <v>0</v>
      </c>
      <c r="D4794" s="30" t="str">
        <f>IFERROR(VLOOKUP(C4794,소속부서!$A$2:$B$20,2,FALSE), "")</f>
        <v/>
      </c>
    </row>
    <row r="4795" spans="3:4" x14ac:dyDescent="0.3">
      <c r="C4795" s="35">
        <f t="shared" si="74"/>
        <v>0</v>
      </c>
      <c r="D4795" s="30" t="str">
        <f>IFERROR(VLOOKUP(C4795,소속부서!$A$2:$B$20,2,FALSE), "")</f>
        <v/>
      </c>
    </row>
    <row r="4796" spans="3:4" x14ac:dyDescent="0.3">
      <c r="C4796" s="35">
        <f t="shared" si="74"/>
        <v>0</v>
      </c>
      <c r="D4796" s="30" t="str">
        <f>IFERROR(VLOOKUP(C4796,소속부서!$A$2:$B$20,2,FALSE), "")</f>
        <v/>
      </c>
    </row>
    <row r="4797" spans="3:4" x14ac:dyDescent="0.3">
      <c r="C4797" s="35">
        <f t="shared" si="74"/>
        <v>0</v>
      </c>
      <c r="D4797" s="30" t="str">
        <f>IFERROR(VLOOKUP(C4797,소속부서!$A$2:$B$20,2,FALSE), "")</f>
        <v/>
      </c>
    </row>
    <row r="4798" spans="3:4" x14ac:dyDescent="0.3">
      <c r="C4798" s="35">
        <f t="shared" si="74"/>
        <v>0</v>
      </c>
      <c r="D4798" s="30" t="str">
        <f>IFERROR(VLOOKUP(C4798,소속부서!$A$2:$B$20,2,FALSE), "")</f>
        <v/>
      </c>
    </row>
    <row r="4799" spans="3:4" x14ac:dyDescent="0.3">
      <c r="C4799" s="35">
        <f t="shared" si="74"/>
        <v>0</v>
      </c>
      <c r="D4799" s="30" t="str">
        <f>IFERROR(VLOOKUP(C4799,소속부서!$A$2:$B$20,2,FALSE), "")</f>
        <v/>
      </c>
    </row>
    <row r="4800" spans="3:4" x14ac:dyDescent="0.3">
      <c r="C4800" s="35">
        <f t="shared" si="74"/>
        <v>0</v>
      </c>
      <c r="D4800" s="30" t="str">
        <f>IFERROR(VLOOKUP(C4800,소속부서!$A$2:$B$20,2,FALSE), "")</f>
        <v/>
      </c>
    </row>
    <row r="4801" spans="3:4" x14ac:dyDescent="0.3">
      <c r="C4801" s="35">
        <f t="shared" ref="C4801:C4864" si="75">E4801</f>
        <v>0</v>
      </c>
      <c r="D4801" s="30" t="str">
        <f>IFERROR(VLOOKUP(C4801,소속부서!$A$2:$B$20,2,FALSE), "")</f>
        <v/>
      </c>
    </row>
    <row r="4802" spans="3:4" x14ac:dyDescent="0.3">
      <c r="C4802" s="35">
        <f t="shared" si="75"/>
        <v>0</v>
      </c>
      <c r="D4802" s="30" t="str">
        <f>IFERROR(VLOOKUP(C4802,소속부서!$A$2:$B$20,2,FALSE), "")</f>
        <v/>
      </c>
    </row>
    <row r="4803" spans="3:4" x14ac:dyDescent="0.3">
      <c r="C4803" s="35">
        <f t="shared" si="75"/>
        <v>0</v>
      </c>
      <c r="D4803" s="30" t="str">
        <f>IFERROR(VLOOKUP(C4803,소속부서!$A$2:$B$20,2,FALSE), "")</f>
        <v/>
      </c>
    </row>
    <row r="4804" spans="3:4" x14ac:dyDescent="0.3">
      <c r="C4804" s="35">
        <f t="shared" si="75"/>
        <v>0</v>
      </c>
      <c r="D4804" s="30" t="str">
        <f>IFERROR(VLOOKUP(C4804,소속부서!$A$2:$B$20,2,FALSE), "")</f>
        <v/>
      </c>
    </row>
    <row r="4805" spans="3:4" x14ac:dyDescent="0.3">
      <c r="C4805" s="35">
        <f t="shared" si="75"/>
        <v>0</v>
      </c>
      <c r="D4805" s="30" t="str">
        <f>IFERROR(VLOOKUP(C4805,소속부서!$A$2:$B$20,2,FALSE), "")</f>
        <v/>
      </c>
    </row>
    <row r="4806" spans="3:4" x14ac:dyDescent="0.3">
      <c r="C4806" s="35">
        <f t="shared" si="75"/>
        <v>0</v>
      </c>
      <c r="D4806" s="30" t="str">
        <f>IFERROR(VLOOKUP(C4806,소속부서!$A$2:$B$20,2,FALSE), "")</f>
        <v/>
      </c>
    </row>
    <row r="4807" spans="3:4" x14ac:dyDescent="0.3">
      <c r="C4807" s="35">
        <f t="shared" si="75"/>
        <v>0</v>
      </c>
      <c r="D4807" s="30" t="str">
        <f>IFERROR(VLOOKUP(C4807,소속부서!$A$2:$B$20,2,FALSE), "")</f>
        <v/>
      </c>
    </row>
    <row r="4808" spans="3:4" x14ac:dyDescent="0.3">
      <c r="C4808" s="35">
        <f t="shared" si="75"/>
        <v>0</v>
      </c>
      <c r="D4808" s="30" t="str">
        <f>IFERROR(VLOOKUP(C4808,소속부서!$A$2:$B$20,2,FALSE), "")</f>
        <v/>
      </c>
    </row>
    <row r="4809" spans="3:4" x14ac:dyDescent="0.3">
      <c r="C4809" s="35">
        <f t="shared" si="75"/>
        <v>0</v>
      </c>
      <c r="D4809" s="30" t="str">
        <f>IFERROR(VLOOKUP(C4809,소속부서!$A$2:$B$20,2,FALSE), "")</f>
        <v/>
      </c>
    </row>
    <row r="4810" spans="3:4" x14ac:dyDescent="0.3">
      <c r="C4810" s="35">
        <f t="shared" si="75"/>
        <v>0</v>
      </c>
      <c r="D4810" s="30" t="str">
        <f>IFERROR(VLOOKUP(C4810,소속부서!$A$2:$B$20,2,FALSE), "")</f>
        <v/>
      </c>
    </row>
    <row r="4811" spans="3:4" x14ac:dyDescent="0.3">
      <c r="C4811" s="35">
        <f t="shared" si="75"/>
        <v>0</v>
      </c>
      <c r="D4811" s="30" t="str">
        <f>IFERROR(VLOOKUP(C4811,소속부서!$A$2:$B$20,2,FALSE), "")</f>
        <v/>
      </c>
    </row>
    <row r="4812" spans="3:4" x14ac:dyDescent="0.3">
      <c r="C4812" s="35">
        <f t="shared" si="75"/>
        <v>0</v>
      </c>
      <c r="D4812" s="30" t="str">
        <f>IFERROR(VLOOKUP(C4812,소속부서!$A$2:$B$20,2,FALSE), "")</f>
        <v/>
      </c>
    </row>
    <row r="4813" spans="3:4" x14ac:dyDescent="0.3">
      <c r="C4813" s="35">
        <f t="shared" si="75"/>
        <v>0</v>
      </c>
      <c r="D4813" s="30" t="str">
        <f>IFERROR(VLOOKUP(C4813,소속부서!$A$2:$B$20,2,FALSE), "")</f>
        <v/>
      </c>
    </row>
    <row r="4814" spans="3:4" x14ac:dyDescent="0.3">
      <c r="C4814" s="35">
        <f t="shared" si="75"/>
        <v>0</v>
      </c>
      <c r="D4814" s="30" t="str">
        <f>IFERROR(VLOOKUP(C4814,소속부서!$A$2:$B$20,2,FALSE), "")</f>
        <v/>
      </c>
    </row>
    <row r="4815" spans="3:4" x14ac:dyDescent="0.3">
      <c r="C4815" s="35">
        <f t="shared" si="75"/>
        <v>0</v>
      </c>
      <c r="D4815" s="30" t="str">
        <f>IFERROR(VLOOKUP(C4815,소속부서!$A$2:$B$20,2,FALSE), "")</f>
        <v/>
      </c>
    </row>
    <row r="4816" spans="3:4" x14ac:dyDescent="0.3">
      <c r="C4816" s="35">
        <f t="shared" si="75"/>
        <v>0</v>
      </c>
      <c r="D4816" s="30" t="str">
        <f>IFERROR(VLOOKUP(C4816,소속부서!$A$2:$B$20,2,FALSE), "")</f>
        <v/>
      </c>
    </row>
    <row r="4817" spans="3:4" x14ac:dyDescent="0.3">
      <c r="C4817" s="35">
        <f t="shared" si="75"/>
        <v>0</v>
      </c>
      <c r="D4817" s="30" t="str">
        <f>IFERROR(VLOOKUP(C4817,소속부서!$A$2:$B$20,2,FALSE), "")</f>
        <v/>
      </c>
    </row>
    <row r="4818" spans="3:4" x14ac:dyDescent="0.3">
      <c r="C4818" s="35">
        <f t="shared" si="75"/>
        <v>0</v>
      </c>
      <c r="D4818" s="30" t="str">
        <f>IFERROR(VLOOKUP(C4818,소속부서!$A$2:$B$20,2,FALSE), "")</f>
        <v/>
      </c>
    </row>
    <row r="4819" spans="3:4" x14ac:dyDescent="0.3">
      <c r="C4819" s="35">
        <f t="shared" si="75"/>
        <v>0</v>
      </c>
      <c r="D4819" s="30" t="str">
        <f>IFERROR(VLOOKUP(C4819,소속부서!$A$2:$B$20,2,FALSE), "")</f>
        <v/>
      </c>
    </row>
    <row r="4820" spans="3:4" x14ac:dyDescent="0.3">
      <c r="C4820" s="35">
        <f t="shared" si="75"/>
        <v>0</v>
      </c>
      <c r="D4820" s="30" t="str">
        <f>IFERROR(VLOOKUP(C4820,소속부서!$A$2:$B$20,2,FALSE), "")</f>
        <v/>
      </c>
    </row>
    <row r="4821" spans="3:4" x14ac:dyDescent="0.3">
      <c r="C4821" s="35">
        <f t="shared" si="75"/>
        <v>0</v>
      </c>
      <c r="D4821" s="30" t="str">
        <f>IFERROR(VLOOKUP(C4821,소속부서!$A$2:$B$20,2,FALSE), "")</f>
        <v/>
      </c>
    </row>
    <row r="4822" spans="3:4" x14ac:dyDescent="0.3">
      <c r="C4822" s="35">
        <f t="shared" si="75"/>
        <v>0</v>
      </c>
      <c r="D4822" s="30" t="str">
        <f>IFERROR(VLOOKUP(C4822,소속부서!$A$2:$B$20,2,FALSE), "")</f>
        <v/>
      </c>
    </row>
    <row r="4823" spans="3:4" x14ac:dyDescent="0.3">
      <c r="C4823" s="35">
        <f t="shared" si="75"/>
        <v>0</v>
      </c>
      <c r="D4823" s="30" t="str">
        <f>IFERROR(VLOOKUP(C4823,소속부서!$A$2:$B$20,2,FALSE), "")</f>
        <v/>
      </c>
    </row>
    <row r="4824" spans="3:4" x14ac:dyDescent="0.3">
      <c r="C4824" s="35">
        <f t="shared" si="75"/>
        <v>0</v>
      </c>
      <c r="D4824" s="30" t="str">
        <f>IFERROR(VLOOKUP(C4824,소속부서!$A$2:$B$20,2,FALSE), "")</f>
        <v/>
      </c>
    </row>
    <row r="4825" spans="3:4" x14ac:dyDescent="0.3">
      <c r="C4825" s="35">
        <f t="shared" si="75"/>
        <v>0</v>
      </c>
      <c r="D4825" s="30" t="str">
        <f>IFERROR(VLOOKUP(C4825,소속부서!$A$2:$B$20,2,FALSE), "")</f>
        <v/>
      </c>
    </row>
    <row r="4826" spans="3:4" x14ac:dyDescent="0.3">
      <c r="C4826" s="35">
        <f t="shared" si="75"/>
        <v>0</v>
      </c>
      <c r="D4826" s="30" t="str">
        <f>IFERROR(VLOOKUP(C4826,소속부서!$A$2:$B$20,2,FALSE), "")</f>
        <v/>
      </c>
    </row>
    <row r="4827" spans="3:4" x14ac:dyDescent="0.3">
      <c r="C4827" s="35">
        <f t="shared" si="75"/>
        <v>0</v>
      </c>
      <c r="D4827" s="30" t="str">
        <f>IFERROR(VLOOKUP(C4827,소속부서!$A$2:$B$20,2,FALSE), "")</f>
        <v/>
      </c>
    </row>
    <row r="4828" spans="3:4" x14ac:dyDescent="0.3">
      <c r="C4828" s="35">
        <f t="shared" si="75"/>
        <v>0</v>
      </c>
      <c r="D4828" s="30" t="str">
        <f>IFERROR(VLOOKUP(C4828,소속부서!$A$2:$B$20,2,FALSE), "")</f>
        <v/>
      </c>
    </row>
    <row r="4829" spans="3:4" x14ac:dyDescent="0.3">
      <c r="C4829" s="35">
        <f t="shared" si="75"/>
        <v>0</v>
      </c>
      <c r="D4829" s="30" t="str">
        <f>IFERROR(VLOOKUP(C4829,소속부서!$A$2:$B$20,2,FALSE), "")</f>
        <v/>
      </c>
    </row>
    <row r="4830" spans="3:4" x14ac:dyDescent="0.3">
      <c r="C4830" s="35">
        <f t="shared" si="75"/>
        <v>0</v>
      </c>
      <c r="D4830" s="30" t="str">
        <f>IFERROR(VLOOKUP(C4830,소속부서!$A$2:$B$20,2,FALSE), "")</f>
        <v/>
      </c>
    </row>
    <row r="4831" spans="3:4" x14ac:dyDescent="0.3">
      <c r="C4831" s="35">
        <f t="shared" si="75"/>
        <v>0</v>
      </c>
      <c r="D4831" s="30" t="str">
        <f>IFERROR(VLOOKUP(C4831,소속부서!$A$2:$B$20,2,FALSE), "")</f>
        <v/>
      </c>
    </row>
    <row r="4832" spans="3:4" x14ac:dyDescent="0.3">
      <c r="C4832" s="35">
        <f t="shared" si="75"/>
        <v>0</v>
      </c>
      <c r="D4832" s="30" t="str">
        <f>IFERROR(VLOOKUP(C4832,소속부서!$A$2:$B$20,2,FALSE), "")</f>
        <v/>
      </c>
    </row>
    <row r="4833" spans="3:4" x14ac:dyDescent="0.3">
      <c r="C4833" s="35">
        <f t="shared" si="75"/>
        <v>0</v>
      </c>
      <c r="D4833" s="30" t="str">
        <f>IFERROR(VLOOKUP(C4833,소속부서!$A$2:$B$20,2,FALSE), "")</f>
        <v/>
      </c>
    </row>
    <row r="4834" spans="3:4" x14ac:dyDescent="0.3">
      <c r="C4834" s="35">
        <f t="shared" si="75"/>
        <v>0</v>
      </c>
      <c r="D4834" s="30" t="str">
        <f>IFERROR(VLOOKUP(C4834,소속부서!$A$2:$B$20,2,FALSE), "")</f>
        <v/>
      </c>
    </row>
    <row r="4835" spans="3:4" x14ac:dyDescent="0.3">
      <c r="C4835" s="35">
        <f t="shared" si="75"/>
        <v>0</v>
      </c>
      <c r="D4835" s="30" t="str">
        <f>IFERROR(VLOOKUP(C4835,소속부서!$A$2:$B$20,2,FALSE), "")</f>
        <v/>
      </c>
    </row>
    <row r="4836" spans="3:4" x14ac:dyDescent="0.3">
      <c r="C4836" s="35">
        <f t="shared" si="75"/>
        <v>0</v>
      </c>
      <c r="D4836" s="30" t="str">
        <f>IFERROR(VLOOKUP(C4836,소속부서!$A$2:$B$20,2,FALSE), "")</f>
        <v/>
      </c>
    </row>
    <row r="4837" spans="3:4" x14ac:dyDescent="0.3">
      <c r="C4837" s="35">
        <f t="shared" si="75"/>
        <v>0</v>
      </c>
      <c r="D4837" s="30" t="str">
        <f>IFERROR(VLOOKUP(C4837,소속부서!$A$2:$B$20,2,FALSE), "")</f>
        <v/>
      </c>
    </row>
    <row r="4838" spans="3:4" x14ac:dyDescent="0.3">
      <c r="C4838" s="35">
        <f t="shared" si="75"/>
        <v>0</v>
      </c>
      <c r="D4838" s="30" t="str">
        <f>IFERROR(VLOOKUP(C4838,소속부서!$A$2:$B$20,2,FALSE), "")</f>
        <v/>
      </c>
    </row>
    <row r="4839" spans="3:4" x14ac:dyDescent="0.3">
      <c r="C4839" s="35">
        <f t="shared" si="75"/>
        <v>0</v>
      </c>
      <c r="D4839" s="30" t="str">
        <f>IFERROR(VLOOKUP(C4839,소속부서!$A$2:$B$20,2,FALSE), "")</f>
        <v/>
      </c>
    </row>
    <row r="4840" spans="3:4" x14ac:dyDescent="0.3">
      <c r="C4840" s="35">
        <f t="shared" si="75"/>
        <v>0</v>
      </c>
      <c r="D4840" s="30" t="str">
        <f>IFERROR(VLOOKUP(C4840,소속부서!$A$2:$B$20,2,FALSE), "")</f>
        <v/>
      </c>
    </row>
    <row r="4841" spans="3:4" x14ac:dyDescent="0.3">
      <c r="C4841" s="35">
        <f t="shared" si="75"/>
        <v>0</v>
      </c>
      <c r="D4841" s="30" t="str">
        <f>IFERROR(VLOOKUP(C4841,소속부서!$A$2:$B$20,2,FALSE), "")</f>
        <v/>
      </c>
    </row>
    <row r="4842" spans="3:4" x14ac:dyDescent="0.3">
      <c r="C4842" s="35">
        <f t="shared" si="75"/>
        <v>0</v>
      </c>
      <c r="D4842" s="30" t="str">
        <f>IFERROR(VLOOKUP(C4842,소속부서!$A$2:$B$20,2,FALSE), "")</f>
        <v/>
      </c>
    </row>
    <row r="4843" spans="3:4" x14ac:dyDescent="0.3">
      <c r="C4843" s="35">
        <f t="shared" si="75"/>
        <v>0</v>
      </c>
      <c r="D4843" s="30" t="str">
        <f>IFERROR(VLOOKUP(C4843,소속부서!$A$2:$B$20,2,FALSE), "")</f>
        <v/>
      </c>
    </row>
    <row r="4844" spans="3:4" x14ac:dyDescent="0.3">
      <c r="C4844" s="35">
        <f t="shared" si="75"/>
        <v>0</v>
      </c>
      <c r="D4844" s="30" t="str">
        <f>IFERROR(VLOOKUP(C4844,소속부서!$A$2:$B$20,2,FALSE), "")</f>
        <v/>
      </c>
    </row>
    <row r="4845" spans="3:4" x14ac:dyDescent="0.3">
      <c r="C4845" s="35">
        <f t="shared" si="75"/>
        <v>0</v>
      </c>
      <c r="D4845" s="30" t="str">
        <f>IFERROR(VLOOKUP(C4845,소속부서!$A$2:$B$20,2,FALSE), "")</f>
        <v/>
      </c>
    </row>
    <row r="4846" spans="3:4" x14ac:dyDescent="0.3">
      <c r="C4846" s="35">
        <f t="shared" si="75"/>
        <v>0</v>
      </c>
      <c r="D4846" s="30" t="str">
        <f>IFERROR(VLOOKUP(C4846,소속부서!$A$2:$B$20,2,FALSE), "")</f>
        <v/>
      </c>
    </row>
    <row r="4847" spans="3:4" x14ac:dyDescent="0.3">
      <c r="C4847" s="35">
        <f t="shared" si="75"/>
        <v>0</v>
      </c>
      <c r="D4847" s="30" t="str">
        <f>IFERROR(VLOOKUP(C4847,소속부서!$A$2:$B$20,2,FALSE), "")</f>
        <v/>
      </c>
    </row>
    <row r="4848" spans="3:4" x14ac:dyDescent="0.3">
      <c r="C4848" s="35">
        <f t="shared" si="75"/>
        <v>0</v>
      </c>
      <c r="D4848" s="30" t="str">
        <f>IFERROR(VLOOKUP(C4848,소속부서!$A$2:$B$20,2,FALSE), "")</f>
        <v/>
      </c>
    </row>
    <row r="4849" spans="3:4" x14ac:dyDescent="0.3">
      <c r="C4849" s="35">
        <f t="shared" si="75"/>
        <v>0</v>
      </c>
      <c r="D4849" s="30" t="str">
        <f>IFERROR(VLOOKUP(C4849,소속부서!$A$2:$B$20,2,FALSE), "")</f>
        <v/>
      </c>
    </row>
    <row r="4850" spans="3:4" x14ac:dyDescent="0.3">
      <c r="C4850" s="35">
        <f t="shared" si="75"/>
        <v>0</v>
      </c>
      <c r="D4850" s="30" t="str">
        <f>IFERROR(VLOOKUP(C4850,소속부서!$A$2:$B$20,2,FALSE), "")</f>
        <v/>
      </c>
    </row>
    <row r="4851" spans="3:4" x14ac:dyDescent="0.3">
      <c r="C4851" s="35">
        <f t="shared" si="75"/>
        <v>0</v>
      </c>
      <c r="D4851" s="30" t="str">
        <f>IFERROR(VLOOKUP(C4851,소속부서!$A$2:$B$20,2,FALSE), "")</f>
        <v/>
      </c>
    </row>
    <row r="4852" spans="3:4" x14ac:dyDescent="0.3">
      <c r="C4852" s="35">
        <f t="shared" si="75"/>
        <v>0</v>
      </c>
      <c r="D4852" s="30" t="str">
        <f>IFERROR(VLOOKUP(C4852,소속부서!$A$2:$B$20,2,FALSE), "")</f>
        <v/>
      </c>
    </row>
    <row r="4853" spans="3:4" x14ac:dyDescent="0.3">
      <c r="C4853" s="35">
        <f t="shared" si="75"/>
        <v>0</v>
      </c>
      <c r="D4853" s="30" t="str">
        <f>IFERROR(VLOOKUP(C4853,소속부서!$A$2:$B$20,2,FALSE), "")</f>
        <v/>
      </c>
    </row>
    <row r="4854" spans="3:4" x14ac:dyDescent="0.3">
      <c r="C4854" s="35">
        <f t="shared" si="75"/>
        <v>0</v>
      </c>
      <c r="D4854" s="30" t="str">
        <f>IFERROR(VLOOKUP(C4854,소속부서!$A$2:$B$20,2,FALSE), "")</f>
        <v/>
      </c>
    </row>
    <row r="4855" spans="3:4" x14ac:dyDescent="0.3">
      <c r="C4855" s="35">
        <f t="shared" si="75"/>
        <v>0</v>
      </c>
      <c r="D4855" s="30" t="str">
        <f>IFERROR(VLOOKUP(C4855,소속부서!$A$2:$B$20,2,FALSE), "")</f>
        <v/>
      </c>
    </row>
    <row r="4856" spans="3:4" x14ac:dyDescent="0.3">
      <c r="C4856" s="35">
        <f t="shared" si="75"/>
        <v>0</v>
      </c>
      <c r="D4856" s="30" t="str">
        <f>IFERROR(VLOOKUP(C4856,소속부서!$A$2:$B$20,2,FALSE), "")</f>
        <v/>
      </c>
    </row>
    <row r="4857" spans="3:4" x14ac:dyDescent="0.3">
      <c r="C4857" s="35">
        <f t="shared" si="75"/>
        <v>0</v>
      </c>
      <c r="D4857" s="30" t="str">
        <f>IFERROR(VLOOKUP(C4857,소속부서!$A$2:$B$20,2,FALSE), "")</f>
        <v/>
      </c>
    </row>
    <row r="4858" spans="3:4" x14ac:dyDescent="0.3">
      <c r="C4858" s="35">
        <f t="shared" si="75"/>
        <v>0</v>
      </c>
      <c r="D4858" s="30" t="str">
        <f>IFERROR(VLOOKUP(C4858,소속부서!$A$2:$B$20,2,FALSE), "")</f>
        <v/>
      </c>
    </row>
    <row r="4859" spans="3:4" x14ac:dyDescent="0.3">
      <c r="C4859" s="35">
        <f t="shared" si="75"/>
        <v>0</v>
      </c>
      <c r="D4859" s="30" t="str">
        <f>IFERROR(VLOOKUP(C4859,소속부서!$A$2:$B$20,2,FALSE), "")</f>
        <v/>
      </c>
    </row>
    <row r="4860" spans="3:4" x14ac:dyDescent="0.3">
      <c r="C4860" s="35">
        <f t="shared" si="75"/>
        <v>0</v>
      </c>
      <c r="D4860" s="30" t="str">
        <f>IFERROR(VLOOKUP(C4860,소속부서!$A$2:$B$20,2,FALSE), "")</f>
        <v/>
      </c>
    </row>
    <row r="4861" spans="3:4" x14ac:dyDescent="0.3">
      <c r="C4861" s="35">
        <f t="shared" si="75"/>
        <v>0</v>
      </c>
      <c r="D4861" s="30" t="str">
        <f>IFERROR(VLOOKUP(C4861,소속부서!$A$2:$B$20,2,FALSE), "")</f>
        <v/>
      </c>
    </row>
    <row r="4862" spans="3:4" x14ac:dyDescent="0.3">
      <c r="C4862" s="35">
        <f t="shared" si="75"/>
        <v>0</v>
      </c>
      <c r="D4862" s="30" t="str">
        <f>IFERROR(VLOOKUP(C4862,소속부서!$A$2:$B$20,2,FALSE), "")</f>
        <v/>
      </c>
    </row>
    <row r="4863" spans="3:4" x14ac:dyDescent="0.3">
      <c r="C4863" s="35">
        <f t="shared" si="75"/>
        <v>0</v>
      </c>
      <c r="D4863" s="30" t="str">
        <f>IFERROR(VLOOKUP(C4863,소속부서!$A$2:$B$20,2,FALSE), "")</f>
        <v/>
      </c>
    </row>
    <row r="4864" spans="3:4" x14ac:dyDescent="0.3">
      <c r="C4864" s="35">
        <f t="shared" si="75"/>
        <v>0</v>
      </c>
      <c r="D4864" s="30" t="str">
        <f>IFERROR(VLOOKUP(C4864,소속부서!$A$2:$B$20,2,FALSE), "")</f>
        <v/>
      </c>
    </row>
    <row r="4865" spans="3:4" x14ac:dyDescent="0.3">
      <c r="C4865" s="35">
        <f t="shared" ref="C4865:C4928" si="76">E4865</f>
        <v>0</v>
      </c>
      <c r="D4865" s="30" t="str">
        <f>IFERROR(VLOOKUP(C4865,소속부서!$A$2:$B$20,2,FALSE), "")</f>
        <v/>
      </c>
    </row>
    <row r="4866" spans="3:4" x14ac:dyDescent="0.3">
      <c r="C4866" s="35">
        <f t="shared" si="76"/>
        <v>0</v>
      </c>
      <c r="D4866" s="30" t="str">
        <f>IFERROR(VLOOKUP(C4866,소속부서!$A$2:$B$20,2,FALSE), "")</f>
        <v/>
      </c>
    </row>
    <row r="4867" spans="3:4" x14ac:dyDescent="0.3">
      <c r="C4867" s="35">
        <f t="shared" si="76"/>
        <v>0</v>
      </c>
      <c r="D4867" s="30" t="str">
        <f>IFERROR(VLOOKUP(C4867,소속부서!$A$2:$B$20,2,FALSE), "")</f>
        <v/>
      </c>
    </row>
    <row r="4868" spans="3:4" x14ac:dyDescent="0.3">
      <c r="C4868" s="35">
        <f t="shared" si="76"/>
        <v>0</v>
      </c>
      <c r="D4868" s="30" t="str">
        <f>IFERROR(VLOOKUP(C4868,소속부서!$A$2:$B$20,2,FALSE), "")</f>
        <v/>
      </c>
    </row>
    <row r="4869" spans="3:4" x14ac:dyDescent="0.3">
      <c r="C4869" s="35">
        <f t="shared" si="76"/>
        <v>0</v>
      </c>
      <c r="D4869" s="30" t="str">
        <f>IFERROR(VLOOKUP(C4869,소속부서!$A$2:$B$20,2,FALSE), "")</f>
        <v/>
      </c>
    </row>
    <row r="4870" spans="3:4" x14ac:dyDescent="0.3">
      <c r="C4870" s="35">
        <f t="shared" si="76"/>
        <v>0</v>
      </c>
      <c r="D4870" s="30" t="str">
        <f>IFERROR(VLOOKUP(C4870,소속부서!$A$2:$B$20,2,FALSE), "")</f>
        <v/>
      </c>
    </row>
    <row r="4871" spans="3:4" x14ac:dyDescent="0.3">
      <c r="C4871" s="35">
        <f t="shared" si="76"/>
        <v>0</v>
      </c>
      <c r="D4871" s="30" t="str">
        <f>IFERROR(VLOOKUP(C4871,소속부서!$A$2:$B$20,2,FALSE), "")</f>
        <v/>
      </c>
    </row>
    <row r="4872" spans="3:4" x14ac:dyDescent="0.3">
      <c r="C4872" s="35">
        <f t="shared" si="76"/>
        <v>0</v>
      </c>
      <c r="D4872" s="30" t="str">
        <f>IFERROR(VLOOKUP(C4872,소속부서!$A$2:$B$20,2,FALSE), "")</f>
        <v/>
      </c>
    </row>
    <row r="4873" spans="3:4" x14ac:dyDescent="0.3">
      <c r="C4873" s="35">
        <f t="shared" si="76"/>
        <v>0</v>
      </c>
      <c r="D4873" s="30" t="str">
        <f>IFERROR(VLOOKUP(C4873,소속부서!$A$2:$B$20,2,FALSE), "")</f>
        <v/>
      </c>
    </row>
    <row r="4874" spans="3:4" x14ac:dyDescent="0.3">
      <c r="C4874" s="35">
        <f t="shared" si="76"/>
        <v>0</v>
      </c>
      <c r="D4874" s="30" t="str">
        <f>IFERROR(VLOOKUP(C4874,소속부서!$A$2:$B$20,2,FALSE), "")</f>
        <v/>
      </c>
    </row>
    <row r="4875" spans="3:4" x14ac:dyDescent="0.3">
      <c r="C4875" s="35">
        <f t="shared" si="76"/>
        <v>0</v>
      </c>
      <c r="D4875" s="30" t="str">
        <f>IFERROR(VLOOKUP(C4875,소속부서!$A$2:$B$20,2,FALSE), "")</f>
        <v/>
      </c>
    </row>
    <row r="4876" spans="3:4" x14ac:dyDescent="0.3">
      <c r="C4876" s="35">
        <f t="shared" si="76"/>
        <v>0</v>
      </c>
      <c r="D4876" s="30" t="str">
        <f>IFERROR(VLOOKUP(C4876,소속부서!$A$2:$B$20,2,FALSE), "")</f>
        <v/>
      </c>
    </row>
    <row r="4877" spans="3:4" x14ac:dyDescent="0.3">
      <c r="C4877" s="35">
        <f t="shared" si="76"/>
        <v>0</v>
      </c>
      <c r="D4877" s="30" t="str">
        <f>IFERROR(VLOOKUP(C4877,소속부서!$A$2:$B$20,2,FALSE), "")</f>
        <v/>
      </c>
    </row>
    <row r="4878" spans="3:4" x14ac:dyDescent="0.3">
      <c r="C4878" s="35">
        <f t="shared" si="76"/>
        <v>0</v>
      </c>
      <c r="D4878" s="30" t="str">
        <f>IFERROR(VLOOKUP(C4878,소속부서!$A$2:$B$20,2,FALSE), "")</f>
        <v/>
      </c>
    </row>
    <row r="4879" spans="3:4" x14ac:dyDescent="0.3">
      <c r="C4879" s="35">
        <f t="shared" si="76"/>
        <v>0</v>
      </c>
      <c r="D4879" s="30" t="str">
        <f>IFERROR(VLOOKUP(C4879,소속부서!$A$2:$B$20,2,FALSE), "")</f>
        <v/>
      </c>
    </row>
    <row r="4880" spans="3:4" x14ac:dyDescent="0.3">
      <c r="C4880" s="35">
        <f t="shared" si="76"/>
        <v>0</v>
      </c>
      <c r="D4880" s="30" t="str">
        <f>IFERROR(VLOOKUP(C4880,소속부서!$A$2:$B$20,2,FALSE), "")</f>
        <v/>
      </c>
    </row>
    <row r="4881" spans="3:4" x14ac:dyDescent="0.3">
      <c r="C4881" s="35">
        <f t="shared" si="76"/>
        <v>0</v>
      </c>
      <c r="D4881" s="30" t="str">
        <f>IFERROR(VLOOKUP(C4881,소속부서!$A$2:$B$20,2,FALSE), "")</f>
        <v/>
      </c>
    </row>
    <row r="4882" spans="3:4" x14ac:dyDescent="0.3">
      <c r="C4882" s="35">
        <f t="shared" si="76"/>
        <v>0</v>
      </c>
      <c r="D4882" s="30" t="str">
        <f>IFERROR(VLOOKUP(C4882,소속부서!$A$2:$B$20,2,FALSE), "")</f>
        <v/>
      </c>
    </row>
    <row r="4883" spans="3:4" x14ac:dyDescent="0.3">
      <c r="C4883" s="35">
        <f t="shared" si="76"/>
        <v>0</v>
      </c>
      <c r="D4883" s="30" t="str">
        <f>IFERROR(VLOOKUP(C4883,소속부서!$A$2:$B$20,2,FALSE), "")</f>
        <v/>
      </c>
    </row>
    <row r="4884" spans="3:4" x14ac:dyDescent="0.3">
      <c r="C4884" s="35">
        <f t="shared" si="76"/>
        <v>0</v>
      </c>
      <c r="D4884" s="30" t="str">
        <f>IFERROR(VLOOKUP(C4884,소속부서!$A$2:$B$20,2,FALSE), "")</f>
        <v/>
      </c>
    </row>
    <row r="4885" spans="3:4" x14ac:dyDescent="0.3">
      <c r="C4885" s="35">
        <f t="shared" si="76"/>
        <v>0</v>
      </c>
      <c r="D4885" s="30" t="str">
        <f>IFERROR(VLOOKUP(C4885,소속부서!$A$2:$B$20,2,FALSE), "")</f>
        <v/>
      </c>
    </row>
    <row r="4886" spans="3:4" x14ac:dyDescent="0.3">
      <c r="C4886" s="35">
        <f t="shared" si="76"/>
        <v>0</v>
      </c>
      <c r="D4886" s="30" t="str">
        <f>IFERROR(VLOOKUP(C4886,소속부서!$A$2:$B$20,2,FALSE), "")</f>
        <v/>
      </c>
    </row>
    <row r="4887" spans="3:4" x14ac:dyDescent="0.3">
      <c r="C4887" s="35">
        <f t="shared" si="76"/>
        <v>0</v>
      </c>
      <c r="D4887" s="30" t="str">
        <f>IFERROR(VLOOKUP(C4887,소속부서!$A$2:$B$20,2,FALSE), "")</f>
        <v/>
      </c>
    </row>
    <row r="4888" spans="3:4" x14ac:dyDescent="0.3">
      <c r="C4888" s="35">
        <f t="shared" si="76"/>
        <v>0</v>
      </c>
      <c r="D4888" s="30" t="str">
        <f>IFERROR(VLOOKUP(C4888,소속부서!$A$2:$B$20,2,FALSE), "")</f>
        <v/>
      </c>
    </row>
    <row r="4889" spans="3:4" x14ac:dyDescent="0.3">
      <c r="C4889" s="35">
        <f t="shared" si="76"/>
        <v>0</v>
      </c>
      <c r="D4889" s="30" t="str">
        <f>IFERROR(VLOOKUP(C4889,소속부서!$A$2:$B$20,2,FALSE), "")</f>
        <v/>
      </c>
    </row>
    <row r="4890" spans="3:4" x14ac:dyDescent="0.3">
      <c r="C4890" s="35">
        <f t="shared" si="76"/>
        <v>0</v>
      </c>
      <c r="D4890" s="30" t="str">
        <f>IFERROR(VLOOKUP(C4890,소속부서!$A$2:$B$20,2,FALSE), "")</f>
        <v/>
      </c>
    </row>
    <row r="4891" spans="3:4" x14ac:dyDescent="0.3">
      <c r="C4891" s="35">
        <f t="shared" si="76"/>
        <v>0</v>
      </c>
      <c r="D4891" s="30" t="str">
        <f>IFERROR(VLOOKUP(C4891,소속부서!$A$2:$B$20,2,FALSE), "")</f>
        <v/>
      </c>
    </row>
    <row r="4892" spans="3:4" x14ac:dyDescent="0.3">
      <c r="C4892" s="35">
        <f t="shared" si="76"/>
        <v>0</v>
      </c>
      <c r="D4892" s="30" t="str">
        <f>IFERROR(VLOOKUP(C4892,소속부서!$A$2:$B$20,2,FALSE), "")</f>
        <v/>
      </c>
    </row>
    <row r="4893" spans="3:4" x14ac:dyDescent="0.3">
      <c r="C4893" s="35">
        <f t="shared" si="76"/>
        <v>0</v>
      </c>
      <c r="D4893" s="30" t="str">
        <f>IFERROR(VLOOKUP(C4893,소속부서!$A$2:$B$20,2,FALSE), "")</f>
        <v/>
      </c>
    </row>
    <row r="4894" spans="3:4" x14ac:dyDescent="0.3">
      <c r="C4894" s="35">
        <f t="shared" si="76"/>
        <v>0</v>
      </c>
      <c r="D4894" s="30" t="str">
        <f>IFERROR(VLOOKUP(C4894,소속부서!$A$2:$B$20,2,FALSE), "")</f>
        <v/>
      </c>
    </row>
    <row r="4895" spans="3:4" x14ac:dyDescent="0.3">
      <c r="C4895" s="35">
        <f t="shared" si="76"/>
        <v>0</v>
      </c>
      <c r="D4895" s="30" t="str">
        <f>IFERROR(VLOOKUP(C4895,소속부서!$A$2:$B$20,2,FALSE), "")</f>
        <v/>
      </c>
    </row>
    <row r="4896" spans="3:4" x14ac:dyDescent="0.3">
      <c r="C4896" s="35">
        <f t="shared" si="76"/>
        <v>0</v>
      </c>
      <c r="D4896" s="30" t="str">
        <f>IFERROR(VLOOKUP(C4896,소속부서!$A$2:$B$20,2,FALSE), "")</f>
        <v/>
      </c>
    </row>
    <row r="4897" spans="3:4" x14ac:dyDescent="0.3">
      <c r="C4897" s="35">
        <f t="shared" si="76"/>
        <v>0</v>
      </c>
      <c r="D4897" s="30" t="str">
        <f>IFERROR(VLOOKUP(C4897,소속부서!$A$2:$B$20,2,FALSE), "")</f>
        <v/>
      </c>
    </row>
    <row r="4898" spans="3:4" x14ac:dyDescent="0.3">
      <c r="C4898" s="35">
        <f t="shared" si="76"/>
        <v>0</v>
      </c>
      <c r="D4898" s="30" t="str">
        <f>IFERROR(VLOOKUP(C4898,소속부서!$A$2:$B$20,2,FALSE), "")</f>
        <v/>
      </c>
    </row>
    <row r="4899" spans="3:4" x14ac:dyDescent="0.3">
      <c r="C4899" s="35">
        <f t="shared" si="76"/>
        <v>0</v>
      </c>
      <c r="D4899" s="30" t="str">
        <f>IFERROR(VLOOKUP(C4899,소속부서!$A$2:$B$20,2,FALSE), "")</f>
        <v/>
      </c>
    </row>
    <row r="4900" spans="3:4" x14ac:dyDescent="0.3">
      <c r="C4900" s="35">
        <f t="shared" si="76"/>
        <v>0</v>
      </c>
      <c r="D4900" s="30" t="str">
        <f>IFERROR(VLOOKUP(C4900,소속부서!$A$2:$B$20,2,FALSE), "")</f>
        <v/>
      </c>
    </row>
    <row r="4901" spans="3:4" x14ac:dyDescent="0.3">
      <c r="C4901" s="35">
        <f t="shared" si="76"/>
        <v>0</v>
      </c>
      <c r="D4901" s="30" t="str">
        <f>IFERROR(VLOOKUP(C4901,소속부서!$A$2:$B$20,2,FALSE), "")</f>
        <v/>
      </c>
    </row>
    <row r="4902" spans="3:4" x14ac:dyDescent="0.3">
      <c r="C4902" s="35">
        <f t="shared" si="76"/>
        <v>0</v>
      </c>
      <c r="D4902" s="30" t="str">
        <f>IFERROR(VLOOKUP(C4902,소속부서!$A$2:$B$20,2,FALSE), "")</f>
        <v/>
      </c>
    </row>
    <row r="4903" spans="3:4" x14ac:dyDescent="0.3">
      <c r="C4903" s="35">
        <f t="shared" si="76"/>
        <v>0</v>
      </c>
      <c r="D4903" s="30" t="str">
        <f>IFERROR(VLOOKUP(C4903,소속부서!$A$2:$B$20,2,FALSE), "")</f>
        <v/>
      </c>
    </row>
    <row r="4904" spans="3:4" x14ac:dyDescent="0.3">
      <c r="C4904" s="35">
        <f t="shared" si="76"/>
        <v>0</v>
      </c>
      <c r="D4904" s="30" t="str">
        <f>IFERROR(VLOOKUP(C4904,소속부서!$A$2:$B$20,2,FALSE), "")</f>
        <v/>
      </c>
    </row>
    <row r="4905" spans="3:4" x14ac:dyDescent="0.3">
      <c r="C4905" s="35">
        <f t="shared" si="76"/>
        <v>0</v>
      </c>
      <c r="D4905" s="30" t="str">
        <f>IFERROR(VLOOKUP(C4905,소속부서!$A$2:$B$20,2,FALSE), "")</f>
        <v/>
      </c>
    </row>
    <row r="4906" spans="3:4" x14ac:dyDescent="0.3">
      <c r="C4906" s="35">
        <f t="shared" si="76"/>
        <v>0</v>
      </c>
      <c r="D4906" s="30" t="str">
        <f>IFERROR(VLOOKUP(C4906,소속부서!$A$2:$B$20,2,FALSE), "")</f>
        <v/>
      </c>
    </row>
    <row r="4907" spans="3:4" x14ac:dyDescent="0.3">
      <c r="C4907" s="35">
        <f t="shared" si="76"/>
        <v>0</v>
      </c>
      <c r="D4907" s="30" t="str">
        <f>IFERROR(VLOOKUP(C4907,소속부서!$A$2:$B$20,2,FALSE), "")</f>
        <v/>
      </c>
    </row>
    <row r="4908" spans="3:4" x14ac:dyDescent="0.3">
      <c r="C4908" s="35">
        <f t="shared" si="76"/>
        <v>0</v>
      </c>
      <c r="D4908" s="30" t="str">
        <f>IFERROR(VLOOKUP(C4908,소속부서!$A$2:$B$20,2,FALSE), "")</f>
        <v/>
      </c>
    </row>
    <row r="4909" spans="3:4" x14ac:dyDescent="0.3">
      <c r="C4909" s="35">
        <f t="shared" si="76"/>
        <v>0</v>
      </c>
      <c r="D4909" s="30" t="str">
        <f>IFERROR(VLOOKUP(C4909,소속부서!$A$2:$B$20,2,FALSE), "")</f>
        <v/>
      </c>
    </row>
    <row r="4910" spans="3:4" x14ac:dyDescent="0.3">
      <c r="C4910" s="35">
        <f t="shared" si="76"/>
        <v>0</v>
      </c>
      <c r="D4910" s="30" t="str">
        <f>IFERROR(VLOOKUP(C4910,소속부서!$A$2:$B$20,2,FALSE), "")</f>
        <v/>
      </c>
    </row>
    <row r="4911" spans="3:4" x14ac:dyDescent="0.3">
      <c r="C4911" s="35">
        <f t="shared" si="76"/>
        <v>0</v>
      </c>
      <c r="D4911" s="30" t="str">
        <f>IFERROR(VLOOKUP(C4911,소속부서!$A$2:$B$20,2,FALSE), "")</f>
        <v/>
      </c>
    </row>
    <row r="4912" spans="3:4" x14ac:dyDescent="0.3">
      <c r="C4912" s="35">
        <f t="shared" si="76"/>
        <v>0</v>
      </c>
      <c r="D4912" s="30" t="str">
        <f>IFERROR(VLOOKUP(C4912,소속부서!$A$2:$B$20,2,FALSE), "")</f>
        <v/>
      </c>
    </row>
    <row r="4913" spans="3:4" x14ac:dyDescent="0.3">
      <c r="C4913" s="35">
        <f t="shared" si="76"/>
        <v>0</v>
      </c>
      <c r="D4913" s="30" t="str">
        <f>IFERROR(VLOOKUP(C4913,소속부서!$A$2:$B$20,2,FALSE), "")</f>
        <v/>
      </c>
    </row>
    <row r="4914" spans="3:4" x14ac:dyDescent="0.3">
      <c r="C4914" s="35">
        <f t="shared" si="76"/>
        <v>0</v>
      </c>
      <c r="D4914" s="30" t="str">
        <f>IFERROR(VLOOKUP(C4914,소속부서!$A$2:$B$20,2,FALSE), "")</f>
        <v/>
      </c>
    </row>
    <row r="4915" spans="3:4" x14ac:dyDescent="0.3">
      <c r="C4915" s="35">
        <f t="shared" si="76"/>
        <v>0</v>
      </c>
      <c r="D4915" s="30" t="str">
        <f>IFERROR(VLOOKUP(C4915,소속부서!$A$2:$B$20,2,FALSE), "")</f>
        <v/>
      </c>
    </row>
    <row r="4916" spans="3:4" x14ac:dyDescent="0.3">
      <c r="C4916" s="35">
        <f t="shared" si="76"/>
        <v>0</v>
      </c>
      <c r="D4916" s="30" t="str">
        <f>IFERROR(VLOOKUP(C4916,소속부서!$A$2:$B$20,2,FALSE), "")</f>
        <v/>
      </c>
    </row>
    <row r="4917" spans="3:4" x14ac:dyDescent="0.3">
      <c r="C4917" s="35">
        <f t="shared" si="76"/>
        <v>0</v>
      </c>
      <c r="D4917" s="30" t="str">
        <f>IFERROR(VLOOKUP(C4917,소속부서!$A$2:$B$20,2,FALSE), "")</f>
        <v/>
      </c>
    </row>
    <row r="4918" spans="3:4" x14ac:dyDescent="0.3">
      <c r="C4918" s="35">
        <f t="shared" si="76"/>
        <v>0</v>
      </c>
      <c r="D4918" s="30" t="str">
        <f>IFERROR(VLOOKUP(C4918,소속부서!$A$2:$B$20,2,FALSE), "")</f>
        <v/>
      </c>
    </row>
    <row r="4919" spans="3:4" x14ac:dyDescent="0.3">
      <c r="C4919" s="35">
        <f t="shared" si="76"/>
        <v>0</v>
      </c>
      <c r="D4919" s="30" t="str">
        <f>IFERROR(VLOOKUP(C4919,소속부서!$A$2:$B$20,2,FALSE), "")</f>
        <v/>
      </c>
    </row>
    <row r="4920" spans="3:4" x14ac:dyDescent="0.3">
      <c r="C4920" s="35">
        <f t="shared" si="76"/>
        <v>0</v>
      </c>
      <c r="D4920" s="30" t="str">
        <f>IFERROR(VLOOKUP(C4920,소속부서!$A$2:$B$20,2,FALSE), "")</f>
        <v/>
      </c>
    </row>
    <row r="4921" spans="3:4" x14ac:dyDescent="0.3">
      <c r="C4921" s="35">
        <f t="shared" si="76"/>
        <v>0</v>
      </c>
      <c r="D4921" s="30" t="str">
        <f>IFERROR(VLOOKUP(C4921,소속부서!$A$2:$B$20,2,FALSE), "")</f>
        <v/>
      </c>
    </row>
    <row r="4922" spans="3:4" x14ac:dyDescent="0.3">
      <c r="C4922" s="35">
        <f t="shared" si="76"/>
        <v>0</v>
      </c>
      <c r="D4922" s="30" t="str">
        <f>IFERROR(VLOOKUP(C4922,소속부서!$A$2:$B$20,2,FALSE), "")</f>
        <v/>
      </c>
    </row>
    <row r="4923" spans="3:4" x14ac:dyDescent="0.3">
      <c r="C4923" s="35">
        <f t="shared" si="76"/>
        <v>0</v>
      </c>
      <c r="D4923" s="30" t="str">
        <f>IFERROR(VLOOKUP(C4923,소속부서!$A$2:$B$20,2,FALSE), "")</f>
        <v/>
      </c>
    </row>
    <row r="4924" spans="3:4" x14ac:dyDescent="0.3">
      <c r="C4924" s="35">
        <f t="shared" si="76"/>
        <v>0</v>
      </c>
      <c r="D4924" s="30" t="str">
        <f>IFERROR(VLOOKUP(C4924,소속부서!$A$2:$B$20,2,FALSE), "")</f>
        <v/>
      </c>
    </row>
    <row r="4925" spans="3:4" x14ac:dyDescent="0.3">
      <c r="C4925" s="35">
        <f t="shared" si="76"/>
        <v>0</v>
      </c>
      <c r="D4925" s="30" t="str">
        <f>IFERROR(VLOOKUP(C4925,소속부서!$A$2:$B$20,2,FALSE), "")</f>
        <v/>
      </c>
    </row>
    <row r="4926" spans="3:4" x14ac:dyDescent="0.3">
      <c r="C4926" s="35">
        <f t="shared" si="76"/>
        <v>0</v>
      </c>
      <c r="D4926" s="30" t="str">
        <f>IFERROR(VLOOKUP(C4926,소속부서!$A$2:$B$20,2,FALSE), "")</f>
        <v/>
      </c>
    </row>
    <row r="4927" spans="3:4" x14ac:dyDescent="0.3">
      <c r="C4927" s="35">
        <f t="shared" si="76"/>
        <v>0</v>
      </c>
      <c r="D4927" s="30" t="str">
        <f>IFERROR(VLOOKUP(C4927,소속부서!$A$2:$B$20,2,FALSE), "")</f>
        <v/>
      </c>
    </row>
    <row r="4928" spans="3:4" x14ac:dyDescent="0.3">
      <c r="C4928" s="35">
        <f t="shared" si="76"/>
        <v>0</v>
      </c>
      <c r="D4928" s="30" t="str">
        <f>IFERROR(VLOOKUP(C4928,소속부서!$A$2:$B$20,2,FALSE), "")</f>
        <v/>
      </c>
    </row>
    <row r="4929" spans="3:4" x14ac:dyDescent="0.3">
      <c r="C4929" s="35">
        <f t="shared" ref="C4929:C4992" si="77">E4929</f>
        <v>0</v>
      </c>
      <c r="D4929" s="30" t="str">
        <f>IFERROR(VLOOKUP(C4929,소속부서!$A$2:$B$20,2,FALSE), "")</f>
        <v/>
      </c>
    </row>
    <row r="4930" spans="3:4" x14ac:dyDescent="0.3">
      <c r="C4930" s="35">
        <f t="shared" si="77"/>
        <v>0</v>
      </c>
      <c r="D4930" s="30" t="str">
        <f>IFERROR(VLOOKUP(C4930,소속부서!$A$2:$B$20,2,FALSE), "")</f>
        <v/>
      </c>
    </row>
    <row r="4931" spans="3:4" x14ac:dyDescent="0.3">
      <c r="C4931" s="35">
        <f t="shared" si="77"/>
        <v>0</v>
      </c>
      <c r="D4931" s="30" t="str">
        <f>IFERROR(VLOOKUP(C4931,소속부서!$A$2:$B$20,2,FALSE), "")</f>
        <v/>
      </c>
    </row>
    <row r="4932" spans="3:4" x14ac:dyDescent="0.3">
      <c r="C4932" s="35">
        <f t="shared" si="77"/>
        <v>0</v>
      </c>
      <c r="D4932" s="30" t="str">
        <f>IFERROR(VLOOKUP(C4932,소속부서!$A$2:$B$20,2,FALSE), "")</f>
        <v/>
      </c>
    </row>
    <row r="4933" spans="3:4" x14ac:dyDescent="0.3">
      <c r="C4933" s="35">
        <f t="shared" si="77"/>
        <v>0</v>
      </c>
      <c r="D4933" s="30" t="str">
        <f>IFERROR(VLOOKUP(C4933,소속부서!$A$2:$B$20,2,FALSE), "")</f>
        <v/>
      </c>
    </row>
    <row r="4934" spans="3:4" x14ac:dyDescent="0.3">
      <c r="C4934" s="35">
        <f t="shared" si="77"/>
        <v>0</v>
      </c>
      <c r="D4934" s="30" t="str">
        <f>IFERROR(VLOOKUP(C4934,소속부서!$A$2:$B$20,2,FALSE), "")</f>
        <v/>
      </c>
    </row>
    <row r="4935" spans="3:4" x14ac:dyDescent="0.3">
      <c r="C4935" s="35">
        <f t="shared" si="77"/>
        <v>0</v>
      </c>
      <c r="D4935" s="30" t="str">
        <f>IFERROR(VLOOKUP(C4935,소속부서!$A$2:$B$20,2,FALSE), "")</f>
        <v/>
      </c>
    </row>
    <row r="4936" spans="3:4" x14ac:dyDescent="0.3">
      <c r="C4936" s="35">
        <f t="shared" si="77"/>
        <v>0</v>
      </c>
      <c r="D4936" s="30" t="str">
        <f>IFERROR(VLOOKUP(C4936,소속부서!$A$2:$B$20,2,FALSE), "")</f>
        <v/>
      </c>
    </row>
    <row r="4937" spans="3:4" x14ac:dyDescent="0.3">
      <c r="C4937" s="35">
        <f t="shared" si="77"/>
        <v>0</v>
      </c>
      <c r="D4937" s="30" t="str">
        <f>IFERROR(VLOOKUP(C4937,소속부서!$A$2:$B$20,2,FALSE), "")</f>
        <v/>
      </c>
    </row>
    <row r="4938" spans="3:4" x14ac:dyDescent="0.3">
      <c r="C4938" s="35">
        <f t="shared" si="77"/>
        <v>0</v>
      </c>
      <c r="D4938" s="30" t="str">
        <f>IFERROR(VLOOKUP(C4938,소속부서!$A$2:$B$20,2,FALSE), "")</f>
        <v/>
      </c>
    </row>
    <row r="4939" spans="3:4" x14ac:dyDescent="0.3">
      <c r="C4939" s="35">
        <f t="shared" si="77"/>
        <v>0</v>
      </c>
      <c r="D4939" s="30" t="str">
        <f>IFERROR(VLOOKUP(C4939,소속부서!$A$2:$B$20,2,FALSE), "")</f>
        <v/>
      </c>
    </row>
    <row r="4940" spans="3:4" x14ac:dyDescent="0.3">
      <c r="C4940" s="35">
        <f t="shared" si="77"/>
        <v>0</v>
      </c>
      <c r="D4940" s="30" t="str">
        <f>IFERROR(VLOOKUP(C4940,소속부서!$A$2:$B$20,2,FALSE), "")</f>
        <v/>
      </c>
    </row>
    <row r="4941" spans="3:4" x14ac:dyDescent="0.3">
      <c r="C4941" s="35">
        <f t="shared" si="77"/>
        <v>0</v>
      </c>
      <c r="D4941" s="30" t="str">
        <f>IFERROR(VLOOKUP(C4941,소속부서!$A$2:$B$20,2,FALSE), "")</f>
        <v/>
      </c>
    </row>
    <row r="4942" spans="3:4" x14ac:dyDescent="0.3">
      <c r="C4942" s="35">
        <f t="shared" si="77"/>
        <v>0</v>
      </c>
      <c r="D4942" s="30" t="str">
        <f>IFERROR(VLOOKUP(C4942,소속부서!$A$2:$B$20,2,FALSE), "")</f>
        <v/>
      </c>
    </row>
    <row r="4943" spans="3:4" x14ac:dyDescent="0.3">
      <c r="C4943" s="35">
        <f t="shared" si="77"/>
        <v>0</v>
      </c>
      <c r="D4943" s="30" t="str">
        <f>IFERROR(VLOOKUP(C4943,소속부서!$A$2:$B$20,2,FALSE), "")</f>
        <v/>
      </c>
    </row>
    <row r="4944" spans="3:4" x14ac:dyDescent="0.3">
      <c r="C4944" s="35">
        <f t="shared" si="77"/>
        <v>0</v>
      </c>
      <c r="D4944" s="30" t="str">
        <f>IFERROR(VLOOKUP(C4944,소속부서!$A$2:$B$20,2,FALSE), "")</f>
        <v/>
      </c>
    </row>
    <row r="4945" spans="3:4" x14ac:dyDescent="0.3">
      <c r="C4945" s="35">
        <f t="shared" si="77"/>
        <v>0</v>
      </c>
      <c r="D4945" s="30" t="str">
        <f>IFERROR(VLOOKUP(C4945,소속부서!$A$2:$B$20,2,FALSE), "")</f>
        <v/>
      </c>
    </row>
    <row r="4946" spans="3:4" x14ac:dyDescent="0.3">
      <c r="C4946" s="35">
        <f t="shared" si="77"/>
        <v>0</v>
      </c>
      <c r="D4946" s="30" t="str">
        <f>IFERROR(VLOOKUP(C4946,소속부서!$A$2:$B$20,2,FALSE), "")</f>
        <v/>
      </c>
    </row>
    <row r="4947" spans="3:4" x14ac:dyDescent="0.3">
      <c r="C4947" s="35">
        <f t="shared" si="77"/>
        <v>0</v>
      </c>
      <c r="D4947" s="30" t="str">
        <f>IFERROR(VLOOKUP(C4947,소속부서!$A$2:$B$20,2,FALSE), "")</f>
        <v/>
      </c>
    </row>
    <row r="4948" spans="3:4" x14ac:dyDescent="0.3">
      <c r="C4948" s="35">
        <f t="shared" si="77"/>
        <v>0</v>
      </c>
      <c r="D4948" s="30" t="str">
        <f>IFERROR(VLOOKUP(C4948,소속부서!$A$2:$B$20,2,FALSE), "")</f>
        <v/>
      </c>
    </row>
    <row r="4949" spans="3:4" x14ac:dyDescent="0.3">
      <c r="C4949" s="35">
        <f t="shared" si="77"/>
        <v>0</v>
      </c>
      <c r="D4949" s="30" t="str">
        <f>IFERROR(VLOOKUP(C4949,소속부서!$A$2:$B$20,2,FALSE), "")</f>
        <v/>
      </c>
    </row>
    <row r="4950" spans="3:4" x14ac:dyDescent="0.3">
      <c r="C4950" s="35">
        <f t="shared" si="77"/>
        <v>0</v>
      </c>
      <c r="D4950" s="30" t="str">
        <f>IFERROR(VLOOKUP(C4950,소속부서!$A$2:$B$20,2,FALSE), "")</f>
        <v/>
      </c>
    </row>
    <row r="4951" spans="3:4" x14ac:dyDescent="0.3">
      <c r="C4951" s="35">
        <f t="shared" si="77"/>
        <v>0</v>
      </c>
      <c r="D4951" s="30" t="str">
        <f>IFERROR(VLOOKUP(C4951,소속부서!$A$2:$B$20,2,FALSE), "")</f>
        <v/>
      </c>
    </row>
    <row r="4952" spans="3:4" x14ac:dyDescent="0.3">
      <c r="C4952" s="35">
        <f t="shared" si="77"/>
        <v>0</v>
      </c>
      <c r="D4952" s="30" t="str">
        <f>IFERROR(VLOOKUP(C4952,소속부서!$A$2:$B$20,2,FALSE), "")</f>
        <v/>
      </c>
    </row>
    <row r="4953" spans="3:4" x14ac:dyDescent="0.3">
      <c r="C4953" s="35">
        <f t="shared" si="77"/>
        <v>0</v>
      </c>
      <c r="D4953" s="30" t="str">
        <f>IFERROR(VLOOKUP(C4953,소속부서!$A$2:$B$20,2,FALSE), "")</f>
        <v/>
      </c>
    </row>
    <row r="4954" spans="3:4" x14ac:dyDescent="0.3">
      <c r="C4954" s="35">
        <f t="shared" si="77"/>
        <v>0</v>
      </c>
      <c r="D4954" s="30" t="str">
        <f>IFERROR(VLOOKUP(C4954,소속부서!$A$2:$B$20,2,FALSE), "")</f>
        <v/>
      </c>
    </row>
    <row r="4955" spans="3:4" x14ac:dyDescent="0.3">
      <c r="C4955" s="35">
        <f t="shared" si="77"/>
        <v>0</v>
      </c>
      <c r="D4955" s="30" t="str">
        <f>IFERROR(VLOOKUP(C4955,소속부서!$A$2:$B$20,2,FALSE), "")</f>
        <v/>
      </c>
    </row>
    <row r="4956" spans="3:4" x14ac:dyDescent="0.3">
      <c r="C4956" s="35">
        <f t="shared" si="77"/>
        <v>0</v>
      </c>
      <c r="D4956" s="30" t="str">
        <f>IFERROR(VLOOKUP(C4956,소속부서!$A$2:$B$20,2,FALSE), "")</f>
        <v/>
      </c>
    </row>
    <row r="4957" spans="3:4" x14ac:dyDescent="0.3">
      <c r="C4957" s="35">
        <f t="shared" si="77"/>
        <v>0</v>
      </c>
      <c r="D4957" s="30" t="str">
        <f>IFERROR(VLOOKUP(C4957,소속부서!$A$2:$B$20,2,FALSE), "")</f>
        <v/>
      </c>
    </row>
    <row r="4958" spans="3:4" x14ac:dyDescent="0.3">
      <c r="C4958" s="35">
        <f t="shared" si="77"/>
        <v>0</v>
      </c>
      <c r="D4958" s="30" t="str">
        <f>IFERROR(VLOOKUP(C4958,소속부서!$A$2:$B$20,2,FALSE), "")</f>
        <v/>
      </c>
    </row>
    <row r="4959" spans="3:4" x14ac:dyDescent="0.3">
      <c r="C4959" s="35">
        <f t="shared" si="77"/>
        <v>0</v>
      </c>
      <c r="D4959" s="30" t="str">
        <f>IFERROR(VLOOKUP(C4959,소속부서!$A$2:$B$20,2,FALSE), "")</f>
        <v/>
      </c>
    </row>
    <row r="4960" spans="3:4" x14ac:dyDescent="0.3">
      <c r="C4960" s="35">
        <f t="shared" si="77"/>
        <v>0</v>
      </c>
      <c r="D4960" s="30" t="str">
        <f>IFERROR(VLOOKUP(C4960,소속부서!$A$2:$B$20,2,FALSE), "")</f>
        <v/>
      </c>
    </row>
    <row r="4961" spans="3:4" x14ac:dyDescent="0.3">
      <c r="C4961" s="35">
        <f t="shared" si="77"/>
        <v>0</v>
      </c>
      <c r="D4961" s="30" t="str">
        <f>IFERROR(VLOOKUP(C4961,소속부서!$A$2:$B$20,2,FALSE), "")</f>
        <v/>
      </c>
    </row>
    <row r="4962" spans="3:4" x14ac:dyDescent="0.3">
      <c r="C4962" s="35">
        <f t="shared" si="77"/>
        <v>0</v>
      </c>
      <c r="D4962" s="30" t="str">
        <f>IFERROR(VLOOKUP(C4962,소속부서!$A$2:$B$20,2,FALSE), "")</f>
        <v/>
      </c>
    </row>
    <row r="4963" spans="3:4" x14ac:dyDescent="0.3">
      <c r="C4963" s="35">
        <f t="shared" si="77"/>
        <v>0</v>
      </c>
      <c r="D4963" s="30" t="str">
        <f>IFERROR(VLOOKUP(C4963,소속부서!$A$2:$B$20,2,FALSE), "")</f>
        <v/>
      </c>
    </row>
    <row r="4964" spans="3:4" x14ac:dyDescent="0.3">
      <c r="C4964" s="35">
        <f t="shared" si="77"/>
        <v>0</v>
      </c>
      <c r="D4964" s="30" t="str">
        <f>IFERROR(VLOOKUP(C4964,소속부서!$A$2:$B$20,2,FALSE), "")</f>
        <v/>
      </c>
    </row>
    <row r="4965" spans="3:4" x14ac:dyDescent="0.3">
      <c r="C4965" s="35">
        <f t="shared" si="77"/>
        <v>0</v>
      </c>
      <c r="D4965" s="30" t="str">
        <f>IFERROR(VLOOKUP(C4965,소속부서!$A$2:$B$20,2,FALSE), "")</f>
        <v/>
      </c>
    </row>
    <row r="4966" spans="3:4" x14ac:dyDescent="0.3">
      <c r="C4966" s="35">
        <f t="shared" si="77"/>
        <v>0</v>
      </c>
      <c r="D4966" s="30" t="str">
        <f>IFERROR(VLOOKUP(C4966,소속부서!$A$2:$B$20,2,FALSE), "")</f>
        <v/>
      </c>
    </row>
    <row r="4967" spans="3:4" x14ac:dyDescent="0.3">
      <c r="C4967" s="35">
        <f t="shared" si="77"/>
        <v>0</v>
      </c>
      <c r="D4967" s="30" t="str">
        <f>IFERROR(VLOOKUP(C4967,소속부서!$A$2:$B$20,2,FALSE), "")</f>
        <v/>
      </c>
    </row>
    <row r="4968" spans="3:4" x14ac:dyDescent="0.3">
      <c r="C4968" s="35">
        <f t="shared" si="77"/>
        <v>0</v>
      </c>
      <c r="D4968" s="30" t="str">
        <f>IFERROR(VLOOKUP(C4968,소속부서!$A$2:$B$20,2,FALSE), "")</f>
        <v/>
      </c>
    </row>
    <row r="4969" spans="3:4" x14ac:dyDescent="0.3">
      <c r="C4969" s="35">
        <f t="shared" si="77"/>
        <v>0</v>
      </c>
      <c r="D4969" s="30" t="str">
        <f>IFERROR(VLOOKUP(C4969,소속부서!$A$2:$B$20,2,FALSE), "")</f>
        <v/>
      </c>
    </row>
    <row r="4970" spans="3:4" x14ac:dyDescent="0.3">
      <c r="C4970" s="35">
        <f t="shared" si="77"/>
        <v>0</v>
      </c>
      <c r="D4970" s="30" t="str">
        <f>IFERROR(VLOOKUP(C4970,소속부서!$A$2:$B$20,2,FALSE), "")</f>
        <v/>
      </c>
    </row>
    <row r="4971" spans="3:4" x14ac:dyDescent="0.3">
      <c r="C4971" s="35">
        <f t="shared" si="77"/>
        <v>0</v>
      </c>
      <c r="D4971" s="30" t="str">
        <f>IFERROR(VLOOKUP(C4971,소속부서!$A$2:$B$20,2,FALSE), "")</f>
        <v/>
      </c>
    </row>
    <row r="4972" spans="3:4" x14ac:dyDescent="0.3">
      <c r="C4972" s="35">
        <f t="shared" si="77"/>
        <v>0</v>
      </c>
      <c r="D4972" s="30" t="str">
        <f>IFERROR(VLOOKUP(C4972,소속부서!$A$2:$B$20,2,FALSE), "")</f>
        <v/>
      </c>
    </row>
    <row r="4973" spans="3:4" x14ac:dyDescent="0.3">
      <c r="C4973" s="35">
        <f t="shared" si="77"/>
        <v>0</v>
      </c>
      <c r="D4973" s="30" t="str">
        <f>IFERROR(VLOOKUP(C4973,소속부서!$A$2:$B$20,2,FALSE), "")</f>
        <v/>
      </c>
    </row>
    <row r="4974" spans="3:4" x14ac:dyDescent="0.3">
      <c r="C4974" s="35">
        <f t="shared" si="77"/>
        <v>0</v>
      </c>
      <c r="D4974" s="30" t="str">
        <f>IFERROR(VLOOKUP(C4974,소속부서!$A$2:$B$20,2,FALSE), "")</f>
        <v/>
      </c>
    </row>
    <row r="4975" spans="3:4" x14ac:dyDescent="0.3">
      <c r="C4975" s="35">
        <f t="shared" si="77"/>
        <v>0</v>
      </c>
      <c r="D4975" s="30" t="str">
        <f>IFERROR(VLOOKUP(C4975,소속부서!$A$2:$B$20,2,FALSE), "")</f>
        <v/>
      </c>
    </row>
    <row r="4976" spans="3:4" x14ac:dyDescent="0.3">
      <c r="C4976" s="35">
        <f t="shared" si="77"/>
        <v>0</v>
      </c>
      <c r="D4976" s="30" t="str">
        <f>IFERROR(VLOOKUP(C4976,소속부서!$A$2:$B$20,2,FALSE), "")</f>
        <v/>
      </c>
    </row>
    <row r="4977" spans="3:4" x14ac:dyDescent="0.3">
      <c r="C4977" s="35">
        <f t="shared" si="77"/>
        <v>0</v>
      </c>
      <c r="D4977" s="30" t="str">
        <f>IFERROR(VLOOKUP(C4977,소속부서!$A$2:$B$20,2,FALSE), "")</f>
        <v/>
      </c>
    </row>
    <row r="4978" spans="3:4" x14ac:dyDescent="0.3">
      <c r="C4978" s="35">
        <f t="shared" si="77"/>
        <v>0</v>
      </c>
      <c r="D4978" s="30" t="str">
        <f>IFERROR(VLOOKUP(C4978,소속부서!$A$2:$B$20,2,FALSE), "")</f>
        <v/>
      </c>
    </row>
    <row r="4979" spans="3:4" x14ac:dyDescent="0.3">
      <c r="C4979" s="35">
        <f t="shared" si="77"/>
        <v>0</v>
      </c>
      <c r="D4979" s="30" t="str">
        <f>IFERROR(VLOOKUP(C4979,소속부서!$A$2:$B$20,2,FALSE), "")</f>
        <v/>
      </c>
    </row>
    <row r="4980" spans="3:4" x14ac:dyDescent="0.3">
      <c r="C4980" s="35">
        <f t="shared" si="77"/>
        <v>0</v>
      </c>
      <c r="D4980" s="30" t="str">
        <f>IFERROR(VLOOKUP(C4980,소속부서!$A$2:$B$20,2,FALSE), "")</f>
        <v/>
      </c>
    </row>
    <row r="4981" spans="3:4" x14ac:dyDescent="0.3">
      <c r="C4981" s="35">
        <f t="shared" si="77"/>
        <v>0</v>
      </c>
      <c r="D4981" s="30" t="str">
        <f>IFERROR(VLOOKUP(C4981,소속부서!$A$2:$B$20,2,FALSE), "")</f>
        <v/>
      </c>
    </row>
    <row r="4982" spans="3:4" x14ac:dyDescent="0.3">
      <c r="C4982" s="35">
        <f t="shared" si="77"/>
        <v>0</v>
      </c>
      <c r="D4982" s="30" t="str">
        <f>IFERROR(VLOOKUP(C4982,소속부서!$A$2:$B$20,2,FALSE), "")</f>
        <v/>
      </c>
    </row>
    <row r="4983" spans="3:4" x14ac:dyDescent="0.3">
      <c r="C4983" s="35">
        <f t="shared" si="77"/>
        <v>0</v>
      </c>
      <c r="D4983" s="30" t="str">
        <f>IFERROR(VLOOKUP(C4983,소속부서!$A$2:$B$20,2,FALSE), "")</f>
        <v/>
      </c>
    </row>
    <row r="4984" spans="3:4" x14ac:dyDescent="0.3">
      <c r="C4984" s="35">
        <f t="shared" si="77"/>
        <v>0</v>
      </c>
      <c r="D4984" s="30" t="str">
        <f>IFERROR(VLOOKUP(C4984,소속부서!$A$2:$B$20,2,FALSE), "")</f>
        <v/>
      </c>
    </row>
    <row r="4985" spans="3:4" x14ac:dyDescent="0.3">
      <c r="C4985" s="35">
        <f t="shared" si="77"/>
        <v>0</v>
      </c>
      <c r="D4985" s="30" t="str">
        <f>IFERROR(VLOOKUP(C4985,소속부서!$A$2:$B$20,2,FALSE), "")</f>
        <v/>
      </c>
    </row>
    <row r="4986" spans="3:4" x14ac:dyDescent="0.3">
      <c r="C4986" s="35">
        <f t="shared" si="77"/>
        <v>0</v>
      </c>
      <c r="D4986" s="30" t="str">
        <f>IFERROR(VLOOKUP(C4986,소속부서!$A$2:$B$20,2,FALSE), "")</f>
        <v/>
      </c>
    </row>
    <row r="4987" spans="3:4" x14ac:dyDescent="0.3">
      <c r="C4987" s="35">
        <f t="shared" si="77"/>
        <v>0</v>
      </c>
      <c r="D4987" s="30" t="str">
        <f>IFERROR(VLOOKUP(C4987,소속부서!$A$2:$B$20,2,FALSE), "")</f>
        <v/>
      </c>
    </row>
    <row r="4988" spans="3:4" x14ac:dyDescent="0.3">
      <c r="C4988" s="35">
        <f t="shared" si="77"/>
        <v>0</v>
      </c>
      <c r="D4988" s="30" t="str">
        <f>IFERROR(VLOOKUP(C4988,소속부서!$A$2:$B$20,2,FALSE), "")</f>
        <v/>
      </c>
    </row>
    <row r="4989" spans="3:4" x14ac:dyDescent="0.3">
      <c r="C4989" s="35">
        <f t="shared" si="77"/>
        <v>0</v>
      </c>
      <c r="D4989" s="30" t="str">
        <f>IFERROR(VLOOKUP(C4989,소속부서!$A$2:$B$20,2,FALSE), "")</f>
        <v/>
      </c>
    </row>
    <row r="4990" spans="3:4" x14ac:dyDescent="0.3">
      <c r="C4990" s="35">
        <f t="shared" si="77"/>
        <v>0</v>
      </c>
      <c r="D4990" s="30" t="str">
        <f>IFERROR(VLOOKUP(C4990,소속부서!$A$2:$B$20,2,FALSE), "")</f>
        <v/>
      </c>
    </row>
    <row r="4991" spans="3:4" x14ac:dyDescent="0.3">
      <c r="C4991" s="35">
        <f t="shared" si="77"/>
        <v>0</v>
      </c>
      <c r="D4991" s="30" t="str">
        <f>IFERROR(VLOOKUP(C4991,소속부서!$A$2:$B$20,2,FALSE), "")</f>
        <v/>
      </c>
    </row>
    <row r="4992" spans="3:4" x14ac:dyDescent="0.3">
      <c r="C4992" s="35">
        <f t="shared" si="77"/>
        <v>0</v>
      </c>
      <c r="D4992" s="30" t="str">
        <f>IFERROR(VLOOKUP(C4992,소속부서!$A$2:$B$20,2,FALSE), "")</f>
        <v/>
      </c>
    </row>
    <row r="4993" spans="3:4" x14ac:dyDescent="0.3">
      <c r="C4993" s="35">
        <f t="shared" ref="C4993:C5056" si="78">E4993</f>
        <v>0</v>
      </c>
      <c r="D4993" s="30" t="str">
        <f>IFERROR(VLOOKUP(C4993,소속부서!$A$2:$B$20,2,FALSE), "")</f>
        <v/>
      </c>
    </row>
    <row r="4994" spans="3:4" x14ac:dyDescent="0.3">
      <c r="C4994" s="35">
        <f t="shared" si="78"/>
        <v>0</v>
      </c>
      <c r="D4994" s="30" t="str">
        <f>IFERROR(VLOOKUP(C4994,소속부서!$A$2:$B$20,2,FALSE), "")</f>
        <v/>
      </c>
    </row>
    <row r="4995" spans="3:4" x14ac:dyDescent="0.3">
      <c r="C4995" s="35">
        <f t="shared" si="78"/>
        <v>0</v>
      </c>
      <c r="D4995" s="30" t="str">
        <f>IFERROR(VLOOKUP(C4995,소속부서!$A$2:$B$20,2,FALSE), "")</f>
        <v/>
      </c>
    </row>
    <row r="4996" spans="3:4" x14ac:dyDescent="0.3">
      <c r="C4996" s="35">
        <f t="shared" si="78"/>
        <v>0</v>
      </c>
      <c r="D4996" s="30" t="str">
        <f>IFERROR(VLOOKUP(C4996,소속부서!$A$2:$B$20,2,FALSE), "")</f>
        <v/>
      </c>
    </row>
    <row r="4997" spans="3:4" x14ac:dyDescent="0.3">
      <c r="C4997" s="35">
        <f t="shared" si="78"/>
        <v>0</v>
      </c>
      <c r="D4997" s="30" t="str">
        <f>IFERROR(VLOOKUP(C4997,소속부서!$A$2:$B$20,2,FALSE), "")</f>
        <v/>
      </c>
    </row>
    <row r="4998" spans="3:4" x14ac:dyDescent="0.3">
      <c r="C4998" s="35">
        <f t="shared" si="78"/>
        <v>0</v>
      </c>
      <c r="D4998" s="30" t="str">
        <f>IFERROR(VLOOKUP(C4998,소속부서!$A$2:$B$20,2,FALSE), "")</f>
        <v/>
      </c>
    </row>
    <row r="4999" spans="3:4" x14ac:dyDescent="0.3">
      <c r="C4999" s="35">
        <f t="shared" si="78"/>
        <v>0</v>
      </c>
      <c r="D4999" s="30" t="str">
        <f>IFERROR(VLOOKUP(C4999,소속부서!$A$2:$B$20,2,FALSE), "")</f>
        <v/>
      </c>
    </row>
    <row r="5000" spans="3:4" x14ac:dyDescent="0.3">
      <c r="C5000" s="35">
        <f t="shared" si="78"/>
        <v>0</v>
      </c>
      <c r="D5000" s="30" t="str">
        <f>IFERROR(VLOOKUP(C5000,소속부서!$A$2:$B$20,2,FALSE), "")</f>
        <v/>
      </c>
    </row>
    <row r="5001" spans="3:4" x14ac:dyDescent="0.3">
      <c r="C5001" s="35">
        <f t="shared" si="78"/>
        <v>0</v>
      </c>
      <c r="D5001" s="30" t="str">
        <f>IFERROR(VLOOKUP(C5001,소속부서!$A$2:$B$20,2,FALSE), "")</f>
        <v/>
      </c>
    </row>
    <row r="5002" spans="3:4" x14ac:dyDescent="0.3">
      <c r="C5002" s="35">
        <f t="shared" si="78"/>
        <v>0</v>
      </c>
      <c r="D5002" s="30" t="str">
        <f>IFERROR(VLOOKUP(C5002,소속부서!$A$2:$B$20,2,FALSE), "")</f>
        <v/>
      </c>
    </row>
    <row r="5003" spans="3:4" x14ac:dyDescent="0.3">
      <c r="C5003" s="35">
        <f t="shared" si="78"/>
        <v>0</v>
      </c>
      <c r="D5003" s="30" t="str">
        <f>IFERROR(VLOOKUP(C5003,소속부서!$A$2:$B$20,2,FALSE), "")</f>
        <v/>
      </c>
    </row>
    <row r="5004" spans="3:4" x14ac:dyDescent="0.3">
      <c r="C5004" s="35">
        <f t="shared" si="78"/>
        <v>0</v>
      </c>
      <c r="D5004" s="30" t="str">
        <f>IFERROR(VLOOKUP(C5004,소속부서!$A$2:$B$20,2,FALSE), "")</f>
        <v/>
      </c>
    </row>
    <row r="5005" spans="3:4" x14ac:dyDescent="0.3">
      <c r="C5005" s="35">
        <f t="shared" si="78"/>
        <v>0</v>
      </c>
      <c r="D5005" s="30" t="str">
        <f>IFERROR(VLOOKUP(C5005,소속부서!$A$2:$B$20,2,FALSE), "")</f>
        <v/>
      </c>
    </row>
    <row r="5006" spans="3:4" x14ac:dyDescent="0.3">
      <c r="C5006" s="35">
        <f t="shared" si="78"/>
        <v>0</v>
      </c>
      <c r="D5006" s="30" t="str">
        <f>IFERROR(VLOOKUP(C5006,소속부서!$A$2:$B$20,2,FALSE), "")</f>
        <v/>
      </c>
    </row>
    <row r="5007" spans="3:4" x14ac:dyDescent="0.3">
      <c r="C5007" s="35">
        <f t="shared" si="78"/>
        <v>0</v>
      </c>
      <c r="D5007" s="30" t="str">
        <f>IFERROR(VLOOKUP(C5007,소속부서!$A$2:$B$20,2,FALSE), "")</f>
        <v/>
      </c>
    </row>
    <row r="5008" spans="3:4" x14ac:dyDescent="0.3">
      <c r="C5008" s="35">
        <f t="shared" si="78"/>
        <v>0</v>
      </c>
      <c r="D5008" s="30" t="str">
        <f>IFERROR(VLOOKUP(C5008,소속부서!$A$2:$B$20,2,FALSE), "")</f>
        <v/>
      </c>
    </row>
    <row r="5009" spans="3:4" x14ac:dyDescent="0.3">
      <c r="C5009" s="35">
        <f t="shared" si="78"/>
        <v>0</v>
      </c>
      <c r="D5009" s="30" t="str">
        <f>IFERROR(VLOOKUP(C5009,소속부서!$A$2:$B$20,2,FALSE), "")</f>
        <v/>
      </c>
    </row>
    <row r="5010" spans="3:4" x14ac:dyDescent="0.3">
      <c r="C5010" s="35">
        <f t="shared" si="78"/>
        <v>0</v>
      </c>
      <c r="D5010" s="30" t="str">
        <f>IFERROR(VLOOKUP(C5010,소속부서!$A$2:$B$20,2,FALSE), "")</f>
        <v/>
      </c>
    </row>
    <row r="5011" spans="3:4" x14ac:dyDescent="0.3">
      <c r="C5011" s="35">
        <f t="shared" si="78"/>
        <v>0</v>
      </c>
      <c r="D5011" s="30" t="str">
        <f>IFERROR(VLOOKUP(C5011,소속부서!$A$2:$B$20,2,FALSE), "")</f>
        <v/>
      </c>
    </row>
    <row r="5012" spans="3:4" x14ac:dyDescent="0.3">
      <c r="C5012" s="35">
        <f t="shared" si="78"/>
        <v>0</v>
      </c>
      <c r="D5012" s="30" t="str">
        <f>IFERROR(VLOOKUP(C5012,소속부서!$A$2:$B$20,2,FALSE), "")</f>
        <v/>
      </c>
    </row>
    <row r="5013" spans="3:4" x14ac:dyDescent="0.3">
      <c r="C5013" s="35">
        <f t="shared" si="78"/>
        <v>0</v>
      </c>
      <c r="D5013" s="30" t="str">
        <f>IFERROR(VLOOKUP(C5013,소속부서!$A$2:$B$20,2,FALSE), "")</f>
        <v/>
      </c>
    </row>
    <row r="5014" spans="3:4" x14ac:dyDescent="0.3">
      <c r="C5014" s="35">
        <f t="shared" si="78"/>
        <v>0</v>
      </c>
      <c r="D5014" s="30" t="str">
        <f>IFERROR(VLOOKUP(C5014,소속부서!$A$2:$B$20,2,FALSE), "")</f>
        <v/>
      </c>
    </row>
    <row r="5015" spans="3:4" x14ac:dyDescent="0.3">
      <c r="C5015" s="35">
        <f t="shared" si="78"/>
        <v>0</v>
      </c>
      <c r="D5015" s="30" t="str">
        <f>IFERROR(VLOOKUP(C5015,소속부서!$A$2:$B$20,2,FALSE), "")</f>
        <v/>
      </c>
    </row>
    <row r="5016" spans="3:4" x14ac:dyDescent="0.3">
      <c r="C5016" s="35">
        <f t="shared" si="78"/>
        <v>0</v>
      </c>
      <c r="D5016" s="30" t="str">
        <f>IFERROR(VLOOKUP(C5016,소속부서!$A$2:$B$20,2,FALSE), "")</f>
        <v/>
      </c>
    </row>
    <row r="5017" spans="3:4" x14ac:dyDescent="0.3">
      <c r="C5017" s="35">
        <f t="shared" si="78"/>
        <v>0</v>
      </c>
      <c r="D5017" s="30" t="str">
        <f>IFERROR(VLOOKUP(C5017,소속부서!$A$2:$B$20,2,FALSE), "")</f>
        <v/>
      </c>
    </row>
    <row r="5018" spans="3:4" x14ac:dyDescent="0.3">
      <c r="C5018" s="35">
        <f t="shared" si="78"/>
        <v>0</v>
      </c>
      <c r="D5018" s="30" t="str">
        <f>IFERROR(VLOOKUP(C5018,소속부서!$A$2:$B$20,2,FALSE), "")</f>
        <v/>
      </c>
    </row>
    <row r="5019" spans="3:4" x14ac:dyDescent="0.3">
      <c r="C5019" s="35">
        <f t="shared" si="78"/>
        <v>0</v>
      </c>
      <c r="D5019" s="30" t="str">
        <f>IFERROR(VLOOKUP(C5019,소속부서!$A$2:$B$20,2,FALSE), "")</f>
        <v/>
      </c>
    </row>
    <row r="5020" spans="3:4" x14ac:dyDescent="0.3">
      <c r="C5020" s="35">
        <f t="shared" si="78"/>
        <v>0</v>
      </c>
      <c r="D5020" s="30" t="str">
        <f>IFERROR(VLOOKUP(C5020,소속부서!$A$2:$B$20,2,FALSE), "")</f>
        <v/>
      </c>
    </row>
    <row r="5021" spans="3:4" x14ac:dyDescent="0.3">
      <c r="C5021" s="35">
        <f t="shared" si="78"/>
        <v>0</v>
      </c>
      <c r="D5021" s="30" t="str">
        <f>IFERROR(VLOOKUP(C5021,소속부서!$A$2:$B$20,2,FALSE), "")</f>
        <v/>
      </c>
    </row>
    <row r="5022" spans="3:4" x14ac:dyDescent="0.3">
      <c r="C5022" s="35">
        <f t="shared" si="78"/>
        <v>0</v>
      </c>
      <c r="D5022" s="30" t="str">
        <f>IFERROR(VLOOKUP(C5022,소속부서!$A$2:$B$20,2,FALSE), "")</f>
        <v/>
      </c>
    </row>
    <row r="5023" spans="3:4" x14ac:dyDescent="0.3">
      <c r="C5023" s="35">
        <f t="shared" si="78"/>
        <v>0</v>
      </c>
      <c r="D5023" s="30" t="str">
        <f>IFERROR(VLOOKUP(C5023,소속부서!$A$2:$B$20,2,FALSE), "")</f>
        <v/>
      </c>
    </row>
    <row r="5024" spans="3:4" x14ac:dyDescent="0.3">
      <c r="C5024" s="35">
        <f t="shared" si="78"/>
        <v>0</v>
      </c>
      <c r="D5024" s="30" t="str">
        <f>IFERROR(VLOOKUP(C5024,소속부서!$A$2:$B$20,2,FALSE), "")</f>
        <v/>
      </c>
    </row>
    <row r="5025" spans="3:4" x14ac:dyDescent="0.3">
      <c r="C5025" s="35">
        <f t="shared" si="78"/>
        <v>0</v>
      </c>
      <c r="D5025" s="30" t="str">
        <f>IFERROR(VLOOKUP(C5025,소속부서!$A$2:$B$20,2,FALSE), "")</f>
        <v/>
      </c>
    </row>
    <row r="5026" spans="3:4" x14ac:dyDescent="0.3">
      <c r="C5026" s="35">
        <f t="shared" si="78"/>
        <v>0</v>
      </c>
      <c r="D5026" s="30" t="str">
        <f>IFERROR(VLOOKUP(C5026,소속부서!$A$2:$B$20,2,FALSE), "")</f>
        <v/>
      </c>
    </row>
    <row r="5027" spans="3:4" x14ac:dyDescent="0.3">
      <c r="C5027" s="35">
        <f t="shared" si="78"/>
        <v>0</v>
      </c>
      <c r="D5027" s="30" t="str">
        <f>IFERROR(VLOOKUP(C5027,소속부서!$A$2:$B$20,2,FALSE), "")</f>
        <v/>
      </c>
    </row>
    <row r="5028" spans="3:4" x14ac:dyDescent="0.3">
      <c r="C5028" s="35">
        <f t="shared" si="78"/>
        <v>0</v>
      </c>
      <c r="D5028" s="30" t="str">
        <f>IFERROR(VLOOKUP(C5028,소속부서!$A$2:$B$20,2,FALSE), "")</f>
        <v/>
      </c>
    </row>
    <row r="5029" spans="3:4" x14ac:dyDescent="0.3">
      <c r="C5029" s="35">
        <f t="shared" si="78"/>
        <v>0</v>
      </c>
      <c r="D5029" s="30" t="str">
        <f>IFERROR(VLOOKUP(C5029,소속부서!$A$2:$B$20,2,FALSE), "")</f>
        <v/>
      </c>
    </row>
    <row r="5030" spans="3:4" x14ac:dyDescent="0.3">
      <c r="C5030" s="35">
        <f t="shared" si="78"/>
        <v>0</v>
      </c>
      <c r="D5030" s="30" t="str">
        <f>IFERROR(VLOOKUP(C5030,소속부서!$A$2:$B$20,2,FALSE), "")</f>
        <v/>
      </c>
    </row>
    <row r="5031" spans="3:4" x14ac:dyDescent="0.3">
      <c r="C5031" s="35">
        <f t="shared" si="78"/>
        <v>0</v>
      </c>
      <c r="D5031" s="30" t="str">
        <f>IFERROR(VLOOKUP(C5031,소속부서!$A$2:$B$20,2,FALSE), "")</f>
        <v/>
      </c>
    </row>
    <row r="5032" spans="3:4" x14ac:dyDescent="0.3">
      <c r="C5032" s="35">
        <f t="shared" si="78"/>
        <v>0</v>
      </c>
      <c r="D5032" s="30" t="str">
        <f>IFERROR(VLOOKUP(C5032,소속부서!$A$2:$B$20,2,FALSE), "")</f>
        <v/>
      </c>
    </row>
    <row r="5033" spans="3:4" x14ac:dyDescent="0.3">
      <c r="C5033" s="35">
        <f t="shared" si="78"/>
        <v>0</v>
      </c>
      <c r="D5033" s="30" t="str">
        <f>IFERROR(VLOOKUP(C5033,소속부서!$A$2:$B$20,2,FALSE), "")</f>
        <v/>
      </c>
    </row>
    <row r="5034" spans="3:4" x14ac:dyDescent="0.3">
      <c r="C5034" s="35">
        <f t="shared" si="78"/>
        <v>0</v>
      </c>
      <c r="D5034" s="30" t="str">
        <f>IFERROR(VLOOKUP(C5034,소속부서!$A$2:$B$20,2,FALSE), "")</f>
        <v/>
      </c>
    </row>
    <row r="5035" spans="3:4" x14ac:dyDescent="0.3">
      <c r="C5035" s="35">
        <f t="shared" si="78"/>
        <v>0</v>
      </c>
      <c r="D5035" s="30" t="str">
        <f>IFERROR(VLOOKUP(C5035,소속부서!$A$2:$B$20,2,FALSE), "")</f>
        <v/>
      </c>
    </row>
    <row r="5036" spans="3:4" x14ac:dyDescent="0.3">
      <c r="C5036" s="35">
        <f t="shared" si="78"/>
        <v>0</v>
      </c>
      <c r="D5036" s="30" t="str">
        <f>IFERROR(VLOOKUP(C5036,소속부서!$A$2:$B$20,2,FALSE), "")</f>
        <v/>
      </c>
    </row>
    <row r="5037" spans="3:4" x14ac:dyDescent="0.3">
      <c r="C5037" s="35">
        <f t="shared" si="78"/>
        <v>0</v>
      </c>
      <c r="D5037" s="30" t="str">
        <f>IFERROR(VLOOKUP(C5037,소속부서!$A$2:$B$20,2,FALSE), "")</f>
        <v/>
      </c>
    </row>
    <row r="5038" spans="3:4" x14ac:dyDescent="0.3">
      <c r="C5038" s="35">
        <f t="shared" si="78"/>
        <v>0</v>
      </c>
      <c r="D5038" s="30" t="str">
        <f>IFERROR(VLOOKUP(C5038,소속부서!$A$2:$B$20,2,FALSE), "")</f>
        <v/>
      </c>
    </row>
    <row r="5039" spans="3:4" x14ac:dyDescent="0.3">
      <c r="C5039" s="35">
        <f t="shared" si="78"/>
        <v>0</v>
      </c>
      <c r="D5039" s="30" t="str">
        <f>IFERROR(VLOOKUP(C5039,소속부서!$A$2:$B$20,2,FALSE), "")</f>
        <v/>
      </c>
    </row>
    <row r="5040" spans="3:4" x14ac:dyDescent="0.3">
      <c r="C5040" s="35">
        <f t="shared" si="78"/>
        <v>0</v>
      </c>
      <c r="D5040" s="30" t="str">
        <f>IFERROR(VLOOKUP(C5040,소속부서!$A$2:$B$20,2,FALSE), "")</f>
        <v/>
      </c>
    </row>
    <row r="5041" spans="3:4" x14ac:dyDescent="0.3">
      <c r="C5041" s="35">
        <f t="shared" si="78"/>
        <v>0</v>
      </c>
      <c r="D5041" s="30" t="str">
        <f>IFERROR(VLOOKUP(C5041,소속부서!$A$2:$B$20,2,FALSE), "")</f>
        <v/>
      </c>
    </row>
    <row r="5042" spans="3:4" x14ac:dyDescent="0.3">
      <c r="C5042" s="35">
        <f t="shared" si="78"/>
        <v>0</v>
      </c>
      <c r="D5042" s="30" t="str">
        <f>IFERROR(VLOOKUP(C5042,소속부서!$A$2:$B$20,2,FALSE), "")</f>
        <v/>
      </c>
    </row>
    <row r="5043" spans="3:4" x14ac:dyDescent="0.3">
      <c r="C5043" s="35">
        <f t="shared" si="78"/>
        <v>0</v>
      </c>
      <c r="D5043" s="30" t="str">
        <f>IFERROR(VLOOKUP(C5043,소속부서!$A$2:$B$20,2,FALSE), "")</f>
        <v/>
      </c>
    </row>
    <row r="5044" spans="3:4" x14ac:dyDescent="0.3">
      <c r="C5044" s="35">
        <f t="shared" si="78"/>
        <v>0</v>
      </c>
      <c r="D5044" s="30" t="str">
        <f>IFERROR(VLOOKUP(C5044,소속부서!$A$2:$B$20,2,FALSE), "")</f>
        <v/>
      </c>
    </row>
    <row r="5045" spans="3:4" x14ac:dyDescent="0.3">
      <c r="C5045" s="35">
        <f t="shared" si="78"/>
        <v>0</v>
      </c>
      <c r="D5045" s="30" t="str">
        <f>IFERROR(VLOOKUP(C5045,소속부서!$A$2:$B$20,2,FALSE), "")</f>
        <v/>
      </c>
    </row>
    <row r="5046" spans="3:4" x14ac:dyDescent="0.3">
      <c r="C5046" s="35">
        <f t="shared" si="78"/>
        <v>0</v>
      </c>
      <c r="D5046" s="30" t="str">
        <f>IFERROR(VLOOKUP(C5046,소속부서!$A$2:$B$20,2,FALSE), "")</f>
        <v/>
      </c>
    </row>
    <row r="5047" spans="3:4" x14ac:dyDescent="0.3">
      <c r="C5047" s="35">
        <f t="shared" si="78"/>
        <v>0</v>
      </c>
      <c r="D5047" s="30" t="str">
        <f>IFERROR(VLOOKUP(C5047,소속부서!$A$2:$B$20,2,FALSE), "")</f>
        <v/>
      </c>
    </row>
    <row r="5048" spans="3:4" x14ac:dyDescent="0.3">
      <c r="C5048" s="35">
        <f t="shared" si="78"/>
        <v>0</v>
      </c>
      <c r="D5048" s="30" t="str">
        <f>IFERROR(VLOOKUP(C5048,소속부서!$A$2:$B$20,2,FALSE), "")</f>
        <v/>
      </c>
    </row>
    <row r="5049" spans="3:4" x14ac:dyDescent="0.3">
      <c r="C5049" s="35">
        <f t="shared" si="78"/>
        <v>0</v>
      </c>
      <c r="D5049" s="30" t="str">
        <f>IFERROR(VLOOKUP(C5049,소속부서!$A$2:$B$20,2,FALSE), "")</f>
        <v/>
      </c>
    </row>
    <row r="5050" spans="3:4" x14ac:dyDescent="0.3">
      <c r="C5050" s="35">
        <f t="shared" si="78"/>
        <v>0</v>
      </c>
      <c r="D5050" s="30" t="str">
        <f>IFERROR(VLOOKUP(C5050,소속부서!$A$2:$B$20,2,FALSE), "")</f>
        <v/>
      </c>
    </row>
    <row r="5051" spans="3:4" x14ac:dyDescent="0.3">
      <c r="C5051" s="35">
        <f t="shared" si="78"/>
        <v>0</v>
      </c>
      <c r="D5051" s="30" t="str">
        <f>IFERROR(VLOOKUP(C5051,소속부서!$A$2:$B$20,2,FALSE), "")</f>
        <v/>
      </c>
    </row>
    <row r="5052" spans="3:4" x14ac:dyDescent="0.3">
      <c r="C5052" s="35">
        <f t="shared" si="78"/>
        <v>0</v>
      </c>
      <c r="D5052" s="30" t="str">
        <f>IFERROR(VLOOKUP(C5052,소속부서!$A$2:$B$20,2,FALSE), "")</f>
        <v/>
      </c>
    </row>
    <row r="5053" spans="3:4" x14ac:dyDescent="0.3">
      <c r="C5053" s="35">
        <f t="shared" si="78"/>
        <v>0</v>
      </c>
      <c r="D5053" s="30" t="str">
        <f>IFERROR(VLOOKUP(C5053,소속부서!$A$2:$B$20,2,FALSE), "")</f>
        <v/>
      </c>
    </row>
    <row r="5054" spans="3:4" x14ac:dyDescent="0.3">
      <c r="C5054" s="35">
        <f t="shared" si="78"/>
        <v>0</v>
      </c>
      <c r="D5054" s="30" t="str">
        <f>IFERROR(VLOOKUP(C5054,소속부서!$A$2:$B$20,2,FALSE), "")</f>
        <v/>
      </c>
    </row>
    <row r="5055" spans="3:4" x14ac:dyDescent="0.3">
      <c r="C5055" s="35">
        <f t="shared" si="78"/>
        <v>0</v>
      </c>
      <c r="D5055" s="30" t="str">
        <f>IFERROR(VLOOKUP(C5055,소속부서!$A$2:$B$20,2,FALSE), "")</f>
        <v/>
      </c>
    </row>
    <row r="5056" spans="3:4" x14ac:dyDescent="0.3">
      <c r="C5056" s="35">
        <f t="shared" si="78"/>
        <v>0</v>
      </c>
      <c r="D5056" s="30" t="str">
        <f>IFERROR(VLOOKUP(C5056,소속부서!$A$2:$B$20,2,FALSE), "")</f>
        <v/>
      </c>
    </row>
    <row r="5057" spans="3:4" x14ac:dyDescent="0.3">
      <c r="C5057" s="35">
        <f t="shared" ref="C5057:C5120" si="79">E5057</f>
        <v>0</v>
      </c>
      <c r="D5057" s="30" t="str">
        <f>IFERROR(VLOOKUP(C5057,소속부서!$A$2:$B$20,2,FALSE), "")</f>
        <v/>
      </c>
    </row>
    <row r="5058" spans="3:4" x14ac:dyDescent="0.3">
      <c r="C5058" s="35">
        <f t="shared" si="79"/>
        <v>0</v>
      </c>
      <c r="D5058" s="30" t="str">
        <f>IFERROR(VLOOKUP(C5058,소속부서!$A$2:$B$20,2,FALSE), "")</f>
        <v/>
      </c>
    </row>
    <row r="5059" spans="3:4" x14ac:dyDescent="0.3">
      <c r="C5059" s="35">
        <f t="shared" si="79"/>
        <v>0</v>
      </c>
      <c r="D5059" s="30" t="str">
        <f>IFERROR(VLOOKUP(C5059,소속부서!$A$2:$B$20,2,FALSE), "")</f>
        <v/>
      </c>
    </row>
    <row r="5060" spans="3:4" x14ac:dyDescent="0.3">
      <c r="C5060" s="35">
        <f t="shared" si="79"/>
        <v>0</v>
      </c>
      <c r="D5060" s="30" t="str">
        <f>IFERROR(VLOOKUP(C5060,소속부서!$A$2:$B$20,2,FALSE), "")</f>
        <v/>
      </c>
    </row>
    <row r="5061" spans="3:4" x14ac:dyDescent="0.3">
      <c r="C5061" s="35">
        <f t="shared" si="79"/>
        <v>0</v>
      </c>
      <c r="D5061" s="30" t="str">
        <f>IFERROR(VLOOKUP(C5061,소속부서!$A$2:$B$20,2,FALSE), "")</f>
        <v/>
      </c>
    </row>
    <row r="5062" spans="3:4" x14ac:dyDescent="0.3">
      <c r="C5062" s="35">
        <f t="shared" si="79"/>
        <v>0</v>
      </c>
      <c r="D5062" s="30" t="str">
        <f>IFERROR(VLOOKUP(C5062,소속부서!$A$2:$B$20,2,FALSE), "")</f>
        <v/>
      </c>
    </row>
    <row r="5063" spans="3:4" x14ac:dyDescent="0.3">
      <c r="C5063" s="35">
        <f t="shared" si="79"/>
        <v>0</v>
      </c>
      <c r="D5063" s="30" t="str">
        <f>IFERROR(VLOOKUP(C5063,소속부서!$A$2:$B$20,2,FALSE), "")</f>
        <v/>
      </c>
    </row>
    <row r="5064" spans="3:4" x14ac:dyDescent="0.3">
      <c r="C5064" s="35">
        <f t="shared" si="79"/>
        <v>0</v>
      </c>
      <c r="D5064" s="30" t="str">
        <f>IFERROR(VLOOKUP(C5064,소속부서!$A$2:$B$20,2,FALSE), "")</f>
        <v/>
      </c>
    </row>
    <row r="5065" spans="3:4" x14ac:dyDescent="0.3">
      <c r="C5065" s="35">
        <f t="shared" si="79"/>
        <v>0</v>
      </c>
      <c r="D5065" s="30" t="str">
        <f>IFERROR(VLOOKUP(C5065,소속부서!$A$2:$B$20,2,FALSE), "")</f>
        <v/>
      </c>
    </row>
    <row r="5066" spans="3:4" x14ac:dyDescent="0.3">
      <c r="C5066" s="35">
        <f t="shared" si="79"/>
        <v>0</v>
      </c>
      <c r="D5066" s="30" t="str">
        <f>IFERROR(VLOOKUP(C5066,소속부서!$A$2:$B$20,2,FALSE), "")</f>
        <v/>
      </c>
    </row>
    <row r="5067" spans="3:4" x14ac:dyDescent="0.3">
      <c r="C5067" s="35">
        <f t="shared" si="79"/>
        <v>0</v>
      </c>
      <c r="D5067" s="30" t="str">
        <f>IFERROR(VLOOKUP(C5067,소속부서!$A$2:$B$20,2,FALSE), "")</f>
        <v/>
      </c>
    </row>
    <row r="5068" spans="3:4" x14ac:dyDescent="0.3">
      <c r="C5068" s="35">
        <f t="shared" si="79"/>
        <v>0</v>
      </c>
      <c r="D5068" s="30" t="str">
        <f>IFERROR(VLOOKUP(C5068,소속부서!$A$2:$B$20,2,FALSE), "")</f>
        <v/>
      </c>
    </row>
    <row r="5069" spans="3:4" x14ac:dyDescent="0.3">
      <c r="C5069" s="35">
        <f t="shared" si="79"/>
        <v>0</v>
      </c>
      <c r="D5069" s="30" t="str">
        <f>IFERROR(VLOOKUP(C5069,소속부서!$A$2:$B$20,2,FALSE), "")</f>
        <v/>
      </c>
    </row>
    <row r="5070" spans="3:4" x14ac:dyDescent="0.3">
      <c r="C5070" s="35">
        <f t="shared" si="79"/>
        <v>0</v>
      </c>
      <c r="D5070" s="30" t="str">
        <f>IFERROR(VLOOKUP(C5070,소속부서!$A$2:$B$20,2,FALSE), "")</f>
        <v/>
      </c>
    </row>
    <row r="5071" spans="3:4" x14ac:dyDescent="0.3">
      <c r="C5071" s="35">
        <f t="shared" si="79"/>
        <v>0</v>
      </c>
      <c r="D5071" s="30" t="str">
        <f>IFERROR(VLOOKUP(C5071,소속부서!$A$2:$B$20,2,FALSE), "")</f>
        <v/>
      </c>
    </row>
    <row r="5072" spans="3:4" x14ac:dyDescent="0.3">
      <c r="C5072" s="35">
        <f t="shared" si="79"/>
        <v>0</v>
      </c>
      <c r="D5072" s="30" t="str">
        <f>IFERROR(VLOOKUP(C5072,소속부서!$A$2:$B$20,2,FALSE), "")</f>
        <v/>
      </c>
    </row>
    <row r="5073" spans="3:4" x14ac:dyDescent="0.3">
      <c r="C5073" s="35">
        <f t="shared" si="79"/>
        <v>0</v>
      </c>
      <c r="D5073" s="30" t="str">
        <f>IFERROR(VLOOKUP(C5073,소속부서!$A$2:$B$20,2,FALSE), "")</f>
        <v/>
      </c>
    </row>
    <row r="5074" spans="3:4" x14ac:dyDescent="0.3">
      <c r="C5074" s="35">
        <f t="shared" si="79"/>
        <v>0</v>
      </c>
      <c r="D5074" s="30" t="str">
        <f>IFERROR(VLOOKUP(C5074,소속부서!$A$2:$B$20,2,FALSE), "")</f>
        <v/>
      </c>
    </row>
    <row r="5075" spans="3:4" x14ac:dyDescent="0.3">
      <c r="C5075" s="35">
        <f t="shared" si="79"/>
        <v>0</v>
      </c>
      <c r="D5075" s="30" t="str">
        <f>IFERROR(VLOOKUP(C5075,소속부서!$A$2:$B$20,2,FALSE), "")</f>
        <v/>
      </c>
    </row>
    <row r="5076" spans="3:4" x14ac:dyDescent="0.3">
      <c r="C5076" s="35">
        <f t="shared" si="79"/>
        <v>0</v>
      </c>
      <c r="D5076" s="30" t="str">
        <f>IFERROR(VLOOKUP(C5076,소속부서!$A$2:$B$20,2,FALSE), "")</f>
        <v/>
      </c>
    </row>
    <row r="5077" spans="3:4" x14ac:dyDescent="0.3">
      <c r="C5077" s="35">
        <f t="shared" si="79"/>
        <v>0</v>
      </c>
      <c r="D5077" s="30" t="str">
        <f>IFERROR(VLOOKUP(C5077,소속부서!$A$2:$B$20,2,FALSE), "")</f>
        <v/>
      </c>
    </row>
    <row r="5078" spans="3:4" x14ac:dyDescent="0.3">
      <c r="C5078" s="35">
        <f t="shared" si="79"/>
        <v>0</v>
      </c>
      <c r="D5078" s="30" t="str">
        <f>IFERROR(VLOOKUP(C5078,소속부서!$A$2:$B$20,2,FALSE), "")</f>
        <v/>
      </c>
    </row>
    <row r="5079" spans="3:4" x14ac:dyDescent="0.3">
      <c r="C5079" s="35">
        <f t="shared" si="79"/>
        <v>0</v>
      </c>
      <c r="D5079" s="30" t="str">
        <f>IFERROR(VLOOKUP(C5079,소속부서!$A$2:$B$20,2,FALSE), "")</f>
        <v/>
      </c>
    </row>
    <row r="5080" spans="3:4" x14ac:dyDescent="0.3">
      <c r="C5080" s="35">
        <f t="shared" si="79"/>
        <v>0</v>
      </c>
      <c r="D5080" s="30" t="str">
        <f>IFERROR(VLOOKUP(C5080,소속부서!$A$2:$B$20,2,FALSE), "")</f>
        <v/>
      </c>
    </row>
    <row r="5081" spans="3:4" x14ac:dyDescent="0.3">
      <c r="C5081" s="35">
        <f t="shared" si="79"/>
        <v>0</v>
      </c>
      <c r="D5081" s="30" t="str">
        <f>IFERROR(VLOOKUP(C5081,소속부서!$A$2:$B$20,2,FALSE), "")</f>
        <v/>
      </c>
    </row>
    <row r="5082" spans="3:4" x14ac:dyDescent="0.3">
      <c r="C5082" s="35">
        <f t="shared" si="79"/>
        <v>0</v>
      </c>
      <c r="D5082" s="30" t="str">
        <f>IFERROR(VLOOKUP(C5082,소속부서!$A$2:$B$20,2,FALSE), "")</f>
        <v/>
      </c>
    </row>
    <row r="5083" spans="3:4" x14ac:dyDescent="0.3">
      <c r="C5083" s="35">
        <f t="shared" si="79"/>
        <v>0</v>
      </c>
      <c r="D5083" s="30" t="str">
        <f>IFERROR(VLOOKUP(C5083,소속부서!$A$2:$B$20,2,FALSE), "")</f>
        <v/>
      </c>
    </row>
    <row r="5084" spans="3:4" x14ac:dyDescent="0.3">
      <c r="C5084" s="35">
        <f t="shared" si="79"/>
        <v>0</v>
      </c>
      <c r="D5084" s="30" t="str">
        <f>IFERROR(VLOOKUP(C5084,소속부서!$A$2:$B$20,2,FALSE), "")</f>
        <v/>
      </c>
    </row>
    <row r="5085" spans="3:4" x14ac:dyDescent="0.3">
      <c r="C5085" s="35">
        <f t="shared" si="79"/>
        <v>0</v>
      </c>
      <c r="D5085" s="30" t="str">
        <f>IFERROR(VLOOKUP(C5085,소속부서!$A$2:$B$20,2,FALSE), "")</f>
        <v/>
      </c>
    </row>
    <row r="5086" spans="3:4" x14ac:dyDescent="0.3">
      <c r="C5086" s="35">
        <f t="shared" si="79"/>
        <v>0</v>
      </c>
      <c r="D5086" s="30" t="str">
        <f>IFERROR(VLOOKUP(C5086,소속부서!$A$2:$B$20,2,FALSE), "")</f>
        <v/>
      </c>
    </row>
    <row r="5087" spans="3:4" x14ac:dyDescent="0.3">
      <c r="C5087" s="35">
        <f t="shared" si="79"/>
        <v>0</v>
      </c>
      <c r="D5087" s="30" t="str">
        <f>IFERROR(VLOOKUP(C5087,소속부서!$A$2:$B$20,2,FALSE), "")</f>
        <v/>
      </c>
    </row>
    <row r="5088" spans="3:4" x14ac:dyDescent="0.3">
      <c r="C5088" s="35">
        <f t="shared" si="79"/>
        <v>0</v>
      </c>
      <c r="D5088" s="30" t="str">
        <f>IFERROR(VLOOKUP(C5088,소속부서!$A$2:$B$20,2,FALSE), "")</f>
        <v/>
      </c>
    </row>
    <row r="5089" spans="3:4" x14ac:dyDescent="0.3">
      <c r="C5089" s="35">
        <f t="shared" si="79"/>
        <v>0</v>
      </c>
      <c r="D5089" s="30" t="str">
        <f>IFERROR(VLOOKUP(C5089,소속부서!$A$2:$B$20,2,FALSE), "")</f>
        <v/>
      </c>
    </row>
    <row r="5090" spans="3:4" x14ac:dyDescent="0.3">
      <c r="C5090" s="35">
        <f t="shared" si="79"/>
        <v>0</v>
      </c>
      <c r="D5090" s="30" t="str">
        <f>IFERROR(VLOOKUP(C5090,소속부서!$A$2:$B$20,2,FALSE), "")</f>
        <v/>
      </c>
    </row>
    <row r="5091" spans="3:4" x14ac:dyDescent="0.3">
      <c r="C5091" s="35">
        <f t="shared" si="79"/>
        <v>0</v>
      </c>
      <c r="D5091" s="30" t="str">
        <f>IFERROR(VLOOKUP(C5091,소속부서!$A$2:$B$20,2,FALSE), "")</f>
        <v/>
      </c>
    </row>
    <row r="5092" spans="3:4" x14ac:dyDescent="0.3">
      <c r="C5092" s="35">
        <f t="shared" si="79"/>
        <v>0</v>
      </c>
      <c r="D5092" s="30" t="str">
        <f>IFERROR(VLOOKUP(C5092,소속부서!$A$2:$B$20,2,FALSE), "")</f>
        <v/>
      </c>
    </row>
    <row r="5093" spans="3:4" x14ac:dyDescent="0.3">
      <c r="C5093" s="35">
        <f t="shared" si="79"/>
        <v>0</v>
      </c>
      <c r="D5093" s="30" t="str">
        <f>IFERROR(VLOOKUP(C5093,소속부서!$A$2:$B$20,2,FALSE), "")</f>
        <v/>
      </c>
    </row>
    <row r="5094" spans="3:4" x14ac:dyDescent="0.3">
      <c r="C5094" s="35">
        <f t="shared" si="79"/>
        <v>0</v>
      </c>
      <c r="D5094" s="30" t="str">
        <f>IFERROR(VLOOKUP(C5094,소속부서!$A$2:$B$20,2,FALSE), "")</f>
        <v/>
      </c>
    </row>
    <row r="5095" spans="3:4" x14ac:dyDescent="0.3">
      <c r="C5095" s="35">
        <f t="shared" si="79"/>
        <v>0</v>
      </c>
      <c r="D5095" s="30" t="str">
        <f>IFERROR(VLOOKUP(C5095,소속부서!$A$2:$B$20,2,FALSE), "")</f>
        <v/>
      </c>
    </row>
    <row r="5096" spans="3:4" x14ac:dyDescent="0.3">
      <c r="C5096" s="35">
        <f t="shared" si="79"/>
        <v>0</v>
      </c>
      <c r="D5096" s="30" t="str">
        <f>IFERROR(VLOOKUP(C5096,소속부서!$A$2:$B$20,2,FALSE), "")</f>
        <v/>
      </c>
    </row>
    <row r="5097" spans="3:4" x14ac:dyDescent="0.3">
      <c r="C5097" s="35">
        <f t="shared" si="79"/>
        <v>0</v>
      </c>
      <c r="D5097" s="30" t="str">
        <f>IFERROR(VLOOKUP(C5097,소속부서!$A$2:$B$20,2,FALSE), "")</f>
        <v/>
      </c>
    </row>
    <row r="5098" spans="3:4" x14ac:dyDescent="0.3">
      <c r="C5098" s="35">
        <f t="shared" si="79"/>
        <v>0</v>
      </c>
      <c r="D5098" s="30" t="str">
        <f>IFERROR(VLOOKUP(C5098,소속부서!$A$2:$B$20,2,FALSE), "")</f>
        <v/>
      </c>
    </row>
    <row r="5099" spans="3:4" x14ac:dyDescent="0.3">
      <c r="C5099" s="35">
        <f t="shared" si="79"/>
        <v>0</v>
      </c>
      <c r="D5099" s="30" t="str">
        <f>IFERROR(VLOOKUP(C5099,소속부서!$A$2:$B$20,2,FALSE), "")</f>
        <v/>
      </c>
    </row>
    <row r="5100" spans="3:4" x14ac:dyDescent="0.3">
      <c r="C5100" s="35">
        <f t="shared" si="79"/>
        <v>0</v>
      </c>
      <c r="D5100" s="30" t="str">
        <f>IFERROR(VLOOKUP(C5100,소속부서!$A$2:$B$20,2,FALSE), "")</f>
        <v/>
      </c>
    </row>
    <row r="5101" spans="3:4" x14ac:dyDescent="0.3">
      <c r="C5101" s="35">
        <f t="shared" si="79"/>
        <v>0</v>
      </c>
      <c r="D5101" s="30" t="str">
        <f>IFERROR(VLOOKUP(C5101,소속부서!$A$2:$B$20,2,FALSE), "")</f>
        <v/>
      </c>
    </row>
    <row r="5102" spans="3:4" x14ac:dyDescent="0.3">
      <c r="C5102" s="35">
        <f t="shared" si="79"/>
        <v>0</v>
      </c>
      <c r="D5102" s="30" t="str">
        <f>IFERROR(VLOOKUP(C5102,소속부서!$A$2:$B$20,2,FALSE), "")</f>
        <v/>
      </c>
    </row>
    <row r="5103" spans="3:4" x14ac:dyDescent="0.3">
      <c r="C5103" s="35">
        <f t="shared" si="79"/>
        <v>0</v>
      </c>
      <c r="D5103" s="30" t="str">
        <f>IFERROR(VLOOKUP(C5103,소속부서!$A$2:$B$20,2,FALSE), "")</f>
        <v/>
      </c>
    </row>
    <row r="5104" spans="3:4" x14ac:dyDescent="0.3">
      <c r="C5104" s="35">
        <f t="shared" si="79"/>
        <v>0</v>
      </c>
      <c r="D5104" s="30" t="str">
        <f>IFERROR(VLOOKUP(C5104,소속부서!$A$2:$B$20,2,FALSE), "")</f>
        <v/>
      </c>
    </row>
    <row r="5105" spans="3:4" x14ac:dyDescent="0.3">
      <c r="C5105" s="35">
        <f t="shared" si="79"/>
        <v>0</v>
      </c>
      <c r="D5105" s="30" t="str">
        <f>IFERROR(VLOOKUP(C5105,소속부서!$A$2:$B$20,2,FALSE), "")</f>
        <v/>
      </c>
    </row>
    <row r="5106" spans="3:4" x14ac:dyDescent="0.3">
      <c r="C5106" s="35">
        <f t="shared" si="79"/>
        <v>0</v>
      </c>
      <c r="D5106" s="30" t="str">
        <f>IFERROR(VLOOKUP(C5106,소속부서!$A$2:$B$20,2,FALSE), "")</f>
        <v/>
      </c>
    </row>
    <row r="5107" spans="3:4" x14ac:dyDescent="0.3">
      <c r="C5107" s="35">
        <f t="shared" si="79"/>
        <v>0</v>
      </c>
      <c r="D5107" s="30" t="str">
        <f>IFERROR(VLOOKUP(C5107,소속부서!$A$2:$B$20,2,FALSE), "")</f>
        <v/>
      </c>
    </row>
    <row r="5108" spans="3:4" x14ac:dyDescent="0.3">
      <c r="C5108" s="35">
        <f t="shared" si="79"/>
        <v>0</v>
      </c>
      <c r="D5108" s="30" t="str">
        <f>IFERROR(VLOOKUP(C5108,소속부서!$A$2:$B$20,2,FALSE), "")</f>
        <v/>
      </c>
    </row>
    <row r="5109" spans="3:4" x14ac:dyDescent="0.3">
      <c r="C5109" s="35">
        <f t="shared" si="79"/>
        <v>0</v>
      </c>
      <c r="D5109" s="30" t="str">
        <f>IFERROR(VLOOKUP(C5109,소속부서!$A$2:$B$20,2,FALSE), "")</f>
        <v/>
      </c>
    </row>
    <row r="5110" spans="3:4" x14ac:dyDescent="0.3">
      <c r="C5110" s="35">
        <f t="shared" si="79"/>
        <v>0</v>
      </c>
      <c r="D5110" s="30" t="str">
        <f>IFERROR(VLOOKUP(C5110,소속부서!$A$2:$B$20,2,FALSE), "")</f>
        <v/>
      </c>
    </row>
    <row r="5111" spans="3:4" x14ac:dyDescent="0.3">
      <c r="C5111" s="35">
        <f t="shared" si="79"/>
        <v>0</v>
      </c>
      <c r="D5111" s="30" t="str">
        <f>IFERROR(VLOOKUP(C5111,소속부서!$A$2:$B$20,2,FALSE), "")</f>
        <v/>
      </c>
    </row>
    <row r="5112" spans="3:4" x14ac:dyDescent="0.3">
      <c r="C5112" s="35">
        <f t="shared" si="79"/>
        <v>0</v>
      </c>
      <c r="D5112" s="30" t="str">
        <f>IFERROR(VLOOKUP(C5112,소속부서!$A$2:$B$20,2,FALSE), "")</f>
        <v/>
      </c>
    </row>
    <row r="5113" spans="3:4" x14ac:dyDescent="0.3">
      <c r="C5113" s="35">
        <f t="shared" si="79"/>
        <v>0</v>
      </c>
      <c r="D5113" s="30" t="str">
        <f>IFERROR(VLOOKUP(C5113,소속부서!$A$2:$B$20,2,FALSE), "")</f>
        <v/>
      </c>
    </row>
    <row r="5114" spans="3:4" x14ac:dyDescent="0.3">
      <c r="C5114" s="35">
        <f t="shared" si="79"/>
        <v>0</v>
      </c>
      <c r="D5114" s="30" t="str">
        <f>IFERROR(VLOOKUP(C5114,소속부서!$A$2:$B$20,2,FALSE), "")</f>
        <v/>
      </c>
    </row>
    <row r="5115" spans="3:4" x14ac:dyDescent="0.3">
      <c r="C5115" s="35">
        <f t="shared" si="79"/>
        <v>0</v>
      </c>
      <c r="D5115" s="30" t="str">
        <f>IFERROR(VLOOKUP(C5115,소속부서!$A$2:$B$20,2,FALSE), "")</f>
        <v/>
      </c>
    </row>
    <row r="5116" spans="3:4" x14ac:dyDescent="0.3">
      <c r="C5116" s="35">
        <f t="shared" si="79"/>
        <v>0</v>
      </c>
      <c r="D5116" s="30" t="str">
        <f>IFERROR(VLOOKUP(C5116,소속부서!$A$2:$B$20,2,FALSE), "")</f>
        <v/>
      </c>
    </row>
    <row r="5117" spans="3:4" x14ac:dyDescent="0.3">
      <c r="C5117" s="35">
        <f t="shared" si="79"/>
        <v>0</v>
      </c>
      <c r="D5117" s="30" t="str">
        <f>IFERROR(VLOOKUP(C5117,소속부서!$A$2:$B$20,2,FALSE), "")</f>
        <v/>
      </c>
    </row>
    <row r="5118" spans="3:4" x14ac:dyDescent="0.3">
      <c r="C5118" s="35">
        <f t="shared" si="79"/>
        <v>0</v>
      </c>
      <c r="D5118" s="30" t="str">
        <f>IFERROR(VLOOKUP(C5118,소속부서!$A$2:$B$20,2,FALSE), "")</f>
        <v/>
      </c>
    </row>
    <row r="5119" spans="3:4" x14ac:dyDescent="0.3">
      <c r="C5119" s="35">
        <f t="shared" si="79"/>
        <v>0</v>
      </c>
      <c r="D5119" s="30" t="str">
        <f>IFERROR(VLOOKUP(C5119,소속부서!$A$2:$B$20,2,FALSE), "")</f>
        <v/>
      </c>
    </row>
    <row r="5120" spans="3:4" x14ac:dyDescent="0.3">
      <c r="C5120" s="35">
        <f t="shared" si="79"/>
        <v>0</v>
      </c>
      <c r="D5120" s="30" t="str">
        <f>IFERROR(VLOOKUP(C5120,소속부서!$A$2:$B$20,2,FALSE), "")</f>
        <v/>
      </c>
    </row>
    <row r="5121" spans="3:4" x14ac:dyDescent="0.3">
      <c r="C5121" s="35">
        <f t="shared" ref="C5121:C5184" si="80">E5121</f>
        <v>0</v>
      </c>
      <c r="D5121" s="30" t="str">
        <f>IFERROR(VLOOKUP(C5121,소속부서!$A$2:$B$20,2,FALSE), "")</f>
        <v/>
      </c>
    </row>
    <row r="5122" spans="3:4" x14ac:dyDescent="0.3">
      <c r="C5122" s="35">
        <f t="shared" si="80"/>
        <v>0</v>
      </c>
      <c r="D5122" s="30" t="str">
        <f>IFERROR(VLOOKUP(C5122,소속부서!$A$2:$B$20,2,FALSE), "")</f>
        <v/>
      </c>
    </row>
    <row r="5123" spans="3:4" x14ac:dyDescent="0.3">
      <c r="C5123" s="35">
        <f t="shared" si="80"/>
        <v>0</v>
      </c>
      <c r="D5123" s="30" t="str">
        <f>IFERROR(VLOOKUP(C5123,소속부서!$A$2:$B$20,2,FALSE), "")</f>
        <v/>
      </c>
    </row>
    <row r="5124" spans="3:4" x14ac:dyDescent="0.3">
      <c r="C5124" s="35">
        <f t="shared" si="80"/>
        <v>0</v>
      </c>
      <c r="D5124" s="30" t="str">
        <f>IFERROR(VLOOKUP(C5124,소속부서!$A$2:$B$20,2,FALSE), "")</f>
        <v/>
      </c>
    </row>
    <row r="5125" spans="3:4" x14ac:dyDescent="0.3">
      <c r="C5125" s="35">
        <f t="shared" si="80"/>
        <v>0</v>
      </c>
      <c r="D5125" s="30" t="str">
        <f>IFERROR(VLOOKUP(C5125,소속부서!$A$2:$B$20,2,FALSE), "")</f>
        <v/>
      </c>
    </row>
    <row r="5126" spans="3:4" x14ac:dyDescent="0.3">
      <c r="C5126" s="35">
        <f t="shared" si="80"/>
        <v>0</v>
      </c>
      <c r="D5126" s="30" t="str">
        <f>IFERROR(VLOOKUP(C5126,소속부서!$A$2:$B$20,2,FALSE), "")</f>
        <v/>
      </c>
    </row>
    <row r="5127" spans="3:4" x14ac:dyDescent="0.3">
      <c r="C5127" s="35">
        <f t="shared" si="80"/>
        <v>0</v>
      </c>
      <c r="D5127" s="30" t="str">
        <f>IFERROR(VLOOKUP(C5127,소속부서!$A$2:$B$20,2,FALSE), "")</f>
        <v/>
      </c>
    </row>
    <row r="5128" spans="3:4" x14ac:dyDescent="0.3">
      <c r="C5128" s="35">
        <f t="shared" si="80"/>
        <v>0</v>
      </c>
      <c r="D5128" s="30" t="str">
        <f>IFERROR(VLOOKUP(C5128,소속부서!$A$2:$B$20,2,FALSE), "")</f>
        <v/>
      </c>
    </row>
    <row r="5129" spans="3:4" x14ac:dyDescent="0.3">
      <c r="C5129" s="35">
        <f t="shared" si="80"/>
        <v>0</v>
      </c>
      <c r="D5129" s="30" t="str">
        <f>IFERROR(VLOOKUP(C5129,소속부서!$A$2:$B$20,2,FALSE), "")</f>
        <v/>
      </c>
    </row>
    <row r="5130" spans="3:4" x14ac:dyDescent="0.3">
      <c r="C5130" s="35">
        <f t="shared" si="80"/>
        <v>0</v>
      </c>
      <c r="D5130" s="30" t="str">
        <f>IFERROR(VLOOKUP(C5130,소속부서!$A$2:$B$20,2,FALSE), "")</f>
        <v/>
      </c>
    </row>
    <row r="5131" spans="3:4" x14ac:dyDescent="0.3">
      <c r="C5131" s="35">
        <f t="shared" si="80"/>
        <v>0</v>
      </c>
      <c r="D5131" s="30" t="str">
        <f>IFERROR(VLOOKUP(C5131,소속부서!$A$2:$B$20,2,FALSE), "")</f>
        <v/>
      </c>
    </row>
    <row r="5132" spans="3:4" x14ac:dyDescent="0.3">
      <c r="C5132" s="35">
        <f t="shared" si="80"/>
        <v>0</v>
      </c>
      <c r="D5132" s="30" t="str">
        <f>IFERROR(VLOOKUP(C5132,소속부서!$A$2:$B$20,2,FALSE), "")</f>
        <v/>
      </c>
    </row>
    <row r="5133" spans="3:4" x14ac:dyDescent="0.3">
      <c r="C5133" s="35">
        <f t="shared" si="80"/>
        <v>0</v>
      </c>
      <c r="D5133" s="30" t="str">
        <f>IFERROR(VLOOKUP(C5133,소속부서!$A$2:$B$20,2,FALSE), "")</f>
        <v/>
      </c>
    </row>
    <row r="5134" spans="3:4" x14ac:dyDescent="0.3">
      <c r="C5134" s="35">
        <f t="shared" si="80"/>
        <v>0</v>
      </c>
      <c r="D5134" s="30" t="str">
        <f>IFERROR(VLOOKUP(C5134,소속부서!$A$2:$B$20,2,FALSE), "")</f>
        <v/>
      </c>
    </row>
    <row r="5135" spans="3:4" x14ac:dyDescent="0.3">
      <c r="C5135" s="35">
        <f t="shared" si="80"/>
        <v>0</v>
      </c>
      <c r="D5135" s="30" t="str">
        <f>IFERROR(VLOOKUP(C5135,소속부서!$A$2:$B$20,2,FALSE), "")</f>
        <v/>
      </c>
    </row>
    <row r="5136" spans="3:4" x14ac:dyDescent="0.3">
      <c r="C5136" s="35">
        <f t="shared" si="80"/>
        <v>0</v>
      </c>
      <c r="D5136" s="30" t="str">
        <f>IFERROR(VLOOKUP(C5136,소속부서!$A$2:$B$20,2,FALSE), "")</f>
        <v/>
      </c>
    </row>
    <row r="5137" spans="3:4" x14ac:dyDescent="0.3">
      <c r="C5137" s="35">
        <f t="shared" si="80"/>
        <v>0</v>
      </c>
      <c r="D5137" s="30" t="str">
        <f>IFERROR(VLOOKUP(C5137,소속부서!$A$2:$B$20,2,FALSE), "")</f>
        <v/>
      </c>
    </row>
    <row r="5138" spans="3:4" x14ac:dyDescent="0.3">
      <c r="C5138" s="35">
        <f t="shared" si="80"/>
        <v>0</v>
      </c>
      <c r="D5138" s="30" t="str">
        <f>IFERROR(VLOOKUP(C5138,소속부서!$A$2:$B$20,2,FALSE), "")</f>
        <v/>
      </c>
    </row>
    <row r="5139" spans="3:4" x14ac:dyDescent="0.3">
      <c r="C5139" s="35">
        <f t="shared" si="80"/>
        <v>0</v>
      </c>
      <c r="D5139" s="30" t="str">
        <f>IFERROR(VLOOKUP(C5139,소속부서!$A$2:$B$20,2,FALSE), "")</f>
        <v/>
      </c>
    </row>
    <row r="5140" spans="3:4" x14ac:dyDescent="0.3">
      <c r="C5140" s="35">
        <f t="shared" si="80"/>
        <v>0</v>
      </c>
      <c r="D5140" s="30" t="str">
        <f>IFERROR(VLOOKUP(C5140,소속부서!$A$2:$B$20,2,FALSE), "")</f>
        <v/>
      </c>
    </row>
    <row r="5141" spans="3:4" x14ac:dyDescent="0.3">
      <c r="C5141" s="35">
        <f t="shared" si="80"/>
        <v>0</v>
      </c>
      <c r="D5141" s="30" t="str">
        <f>IFERROR(VLOOKUP(C5141,소속부서!$A$2:$B$20,2,FALSE), "")</f>
        <v/>
      </c>
    </row>
    <row r="5142" spans="3:4" x14ac:dyDescent="0.3">
      <c r="C5142" s="35">
        <f t="shared" si="80"/>
        <v>0</v>
      </c>
      <c r="D5142" s="30" t="str">
        <f>IFERROR(VLOOKUP(C5142,소속부서!$A$2:$B$20,2,FALSE), "")</f>
        <v/>
      </c>
    </row>
    <row r="5143" spans="3:4" x14ac:dyDescent="0.3">
      <c r="C5143" s="35">
        <f t="shared" si="80"/>
        <v>0</v>
      </c>
      <c r="D5143" s="30" t="str">
        <f>IFERROR(VLOOKUP(C5143,소속부서!$A$2:$B$20,2,FALSE), "")</f>
        <v/>
      </c>
    </row>
    <row r="5144" spans="3:4" x14ac:dyDescent="0.3">
      <c r="C5144" s="35">
        <f t="shared" si="80"/>
        <v>0</v>
      </c>
      <c r="D5144" s="30" t="str">
        <f>IFERROR(VLOOKUP(C5144,소속부서!$A$2:$B$20,2,FALSE), "")</f>
        <v/>
      </c>
    </row>
    <row r="5145" spans="3:4" x14ac:dyDescent="0.3">
      <c r="C5145" s="35">
        <f t="shared" si="80"/>
        <v>0</v>
      </c>
      <c r="D5145" s="30" t="str">
        <f>IFERROR(VLOOKUP(C5145,소속부서!$A$2:$B$20,2,FALSE), "")</f>
        <v/>
      </c>
    </row>
    <row r="5146" spans="3:4" x14ac:dyDescent="0.3">
      <c r="C5146" s="35">
        <f t="shared" si="80"/>
        <v>0</v>
      </c>
      <c r="D5146" s="30" t="str">
        <f>IFERROR(VLOOKUP(C5146,소속부서!$A$2:$B$20,2,FALSE), "")</f>
        <v/>
      </c>
    </row>
    <row r="5147" spans="3:4" x14ac:dyDescent="0.3">
      <c r="C5147" s="35">
        <f t="shared" si="80"/>
        <v>0</v>
      </c>
      <c r="D5147" s="30" t="str">
        <f>IFERROR(VLOOKUP(C5147,소속부서!$A$2:$B$20,2,FALSE), "")</f>
        <v/>
      </c>
    </row>
    <row r="5148" spans="3:4" x14ac:dyDescent="0.3">
      <c r="C5148" s="35">
        <f t="shared" si="80"/>
        <v>0</v>
      </c>
      <c r="D5148" s="30" t="str">
        <f>IFERROR(VLOOKUP(C5148,소속부서!$A$2:$B$20,2,FALSE), "")</f>
        <v/>
      </c>
    </row>
    <row r="5149" spans="3:4" x14ac:dyDescent="0.3">
      <c r="C5149" s="35">
        <f t="shared" si="80"/>
        <v>0</v>
      </c>
      <c r="D5149" s="30" t="str">
        <f>IFERROR(VLOOKUP(C5149,소속부서!$A$2:$B$20,2,FALSE), "")</f>
        <v/>
      </c>
    </row>
    <row r="5150" spans="3:4" x14ac:dyDescent="0.3">
      <c r="C5150" s="35">
        <f t="shared" si="80"/>
        <v>0</v>
      </c>
      <c r="D5150" s="30" t="str">
        <f>IFERROR(VLOOKUP(C5150,소속부서!$A$2:$B$20,2,FALSE), "")</f>
        <v/>
      </c>
    </row>
    <row r="5151" spans="3:4" x14ac:dyDescent="0.3">
      <c r="C5151" s="35">
        <f t="shared" si="80"/>
        <v>0</v>
      </c>
      <c r="D5151" s="30" t="str">
        <f>IFERROR(VLOOKUP(C5151,소속부서!$A$2:$B$20,2,FALSE), "")</f>
        <v/>
      </c>
    </row>
    <row r="5152" spans="3:4" x14ac:dyDescent="0.3">
      <c r="C5152" s="35">
        <f t="shared" si="80"/>
        <v>0</v>
      </c>
      <c r="D5152" s="30" t="str">
        <f>IFERROR(VLOOKUP(C5152,소속부서!$A$2:$B$20,2,FALSE), "")</f>
        <v/>
      </c>
    </row>
    <row r="5153" spans="3:4" x14ac:dyDescent="0.3">
      <c r="C5153" s="35">
        <f t="shared" si="80"/>
        <v>0</v>
      </c>
      <c r="D5153" s="30" t="str">
        <f>IFERROR(VLOOKUP(C5153,소속부서!$A$2:$B$20,2,FALSE), "")</f>
        <v/>
      </c>
    </row>
    <row r="5154" spans="3:4" x14ac:dyDescent="0.3">
      <c r="C5154" s="35">
        <f t="shared" si="80"/>
        <v>0</v>
      </c>
      <c r="D5154" s="30" t="str">
        <f>IFERROR(VLOOKUP(C5154,소속부서!$A$2:$B$20,2,FALSE), "")</f>
        <v/>
      </c>
    </row>
    <row r="5155" spans="3:4" x14ac:dyDescent="0.3">
      <c r="C5155" s="35">
        <f t="shared" si="80"/>
        <v>0</v>
      </c>
      <c r="D5155" s="30" t="str">
        <f>IFERROR(VLOOKUP(C5155,소속부서!$A$2:$B$20,2,FALSE), "")</f>
        <v/>
      </c>
    </row>
    <row r="5156" spans="3:4" x14ac:dyDescent="0.3">
      <c r="C5156" s="35">
        <f t="shared" si="80"/>
        <v>0</v>
      </c>
      <c r="D5156" s="30" t="str">
        <f>IFERROR(VLOOKUP(C5156,소속부서!$A$2:$B$20,2,FALSE), "")</f>
        <v/>
      </c>
    </row>
    <row r="5157" spans="3:4" x14ac:dyDescent="0.3">
      <c r="C5157" s="35">
        <f t="shared" si="80"/>
        <v>0</v>
      </c>
      <c r="D5157" s="30" t="str">
        <f>IFERROR(VLOOKUP(C5157,소속부서!$A$2:$B$20,2,FALSE), "")</f>
        <v/>
      </c>
    </row>
    <row r="5158" spans="3:4" x14ac:dyDescent="0.3">
      <c r="C5158" s="35">
        <f t="shared" si="80"/>
        <v>0</v>
      </c>
      <c r="D5158" s="30" t="str">
        <f>IFERROR(VLOOKUP(C5158,소속부서!$A$2:$B$20,2,FALSE), "")</f>
        <v/>
      </c>
    </row>
    <row r="5159" spans="3:4" x14ac:dyDescent="0.3">
      <c r="C5159" s="35">
        <f t="shared" si="80"/>
        <v>0</v>
      </c>
      <c r="D5159" s="30" t="str">
        <f>IFERROR(VLOOKUP(C5159,소속부서!$A$2:$B$20,2,FALSE), "")</f>
        <v/>
      </c>
    </row>
    <row r="5160" spans="3:4" x14ac:dyDescent="0.3">
      <c r="C5160" s="35">
        <f t="shared" si="80"/>
        <v>0</v>
      </c>
      <c r="D5160" s="30" t="str">
        <f>IFERROR(VLOOKUP(C5160,소속부서!$A$2:$B$20,2,FALSE), "")</f>
        <v/>
      </c>
    </row>
    <row r="5161" spans="3:4" x14ac:dyDescent="0.3">
      <c r="C5161" s="35">
        <f t="shared" si="80"/>
        <v>0</v>
      </c>
      <c r="D5161" s="30" t="str">
        <f>IFERROR(VLOOKUP(C5161,소속부서!$A$2:$B$20,2,FALSE), "")</f>
        <v/>
      </c>
    </row>
    <row r="5162" spans="3:4" x14ac:dyDescent="0.3">
      <c r="C5162" s="35">
        <f t="shared" si="80"/>
        <v>0</v>
      </c>
      <c r="D5162" s="30" t="str">
        <f>IFERROR(VLOOKUP(C5162,소속부서!$A$2:$B$20,2,FALSE), "")</f>
        <v/>
      </c>
    </row>
    <row r="5163" spans="3:4" x14ac:dyDescent="0.3">
      <c r="C5163" s="35">
        <f t="shared" si="80"/>
        <v>0</v>
      </c>
      <c r="D5163" s="30" t="str">
        <f>IFERROR(VLOOKUP(C5163,소속부서!$A$2:$B$20,2,FALSE), "")</f>
        <v/>
      </c>
    </row>
    <row r="5164" spans="3:4" x14ac:dyDescent="0.3">
      <c r="C5164" s="35">
        <f t="shared" si="80"/>
        <v>0</v>
      </c>
      <c r="D5164" s="30" t="str">
        <f>IFERROR(VLOOKUP(C5164,소속부서!$A$2:$B$20,2,FALSE), "")</f>
        <v/>
      </c>
    </row>
    <row r="5165" spans="3:4" x14ac:dyDescent="0.3">
      <c r="C5165" s="35">
        <f t="shared" si="80"/>
        <v>0</v>
      </c>
      <c r="D5165" s="30" t="str">
        <f>IFERROR(VLOOKUP(C5165,소속부서!$A$2:$B$20,2,FALSE), "")</f>
        <v/>
      </c>
    </row>
    <row r="5166" spans="3:4" x14ac:dyDescent="0.3">
      <c r="C5166" s="35">
        <f t="shared" si="80"/>
        <v>0</v>
      </c>
      <c r="D5166" s="30" t="str">
        <f>IFERROR(VLOOKUP(C5166,소속부서!$A$2:$B$20,2,FALSE), "")</f>
        <v/>
      </c>
    </row>
    <row r="5167" spans="3:4" x14ac:dyDescent="0.3">
      <c r="C5167" s="35">
        <f t="shared" si="80"/>
        <v>0</v>
      </c>
      <c r="D5167" s="30" t="str">
        <f>IFERROR(VLOOKUP(C5167,소속부서!$A$2:$B$20,2,FALSE), "")</f>
        <v/>
      </c>
    </row>
    <row r="5168" spans="3:4" x14ac:dyDescent="0.3">
      <c r="C5168" s="35">
        <f t="shared" si="80"/>
        <v>0</v>
      </c>
      <c r="D5168" s="30" t="str">
        <f>IFERROR(VLOOKUP(C5168,소속부서!$A$2:$B$20,2,FALSE), "")</f>
        <v/>
      </c>
    </row>
    <row r="5169" spans="3:4" x14ac:dyDescent="0.3">
      <c r="C5169" s="35">
        <f t="shared" si="80"/>
        <v>0</v>
      </c>
      <c r="D5169" s="30" t="str">
        <f>IFERROR(VLOOKUP(C5169,소속부서!$A$2:$B$20,2,FALSE), "")</f>
        <v/>
      </c>
    </row>
    <row r="5170" spans="3:4" x14ac:dyDescent="0.3">
      <c r="C5170" s="35">
        <f t="shared" si="80"/>
        <v>0</v>
      </c>
      <c r="D5170" s="30" t="str">
        <f>IFERROR(VLOOKUP(C5170,소속부서!$A$2:$B$20,2,FALSE), "")</f>
        <v/>
      </c>
    </row>
    <row r="5171" spans="3:4" x14ac:dyDescent="0.3">
      <c r="C5171" s="35">
        <f t="shared" si="80"/>
        <v>0</v>
      </c>
      <c r="D5171" s="30" t="str">
        <f>IFERROR(VLOOKUP(C5171,소속부서!$A$2:$B$20,2,FALSE), "")</f>
        <v/>
      </c>
    </row>
    <row r="5172" spans="3:4" x14ac:dyDescent="0.3">
      <c r="C5172" s="35">
        <f t="shared" si="80"/>
        <v>0</v>
      </c>
      <c r="D5172" s="30" t="str">
        <f>IFERROR(VLOOKUP(C5172,소속부서!$A$2:$B$20,2,FALSE), "")</f>
        <v/>
      </c>
    </row>
    <row r="5173" spans="3:4" x14ac:dyDescent="0.3">
      <c r="C5173" s="35">
        <f t="shared" si="80"/>
        <v>0</v>
      </c>
      <c r="D5173" s="30" t="str">
        <f>IFERROR(VLOOKUP(C5173,소속부서!$A$2:$B$20,2,FALSE), "")</f>
        <v/>
      </c>
    </row>
    <row r="5174" spans="3:4" x14ac:dyDescent="0.3">
      <c r="C5174" s="35">
        <f t="shared" si="80"/>
        <v>0</v>
      </c>
      <c r="D5174" s="30" t="str">
        <f>IFERROR(VLOOKUP(C5174,소속부서!$A$2:$B$20,2,FALSE), "")</f>
        <v/>
      </c>
    </row>
    <row r="5175" spans="3:4" x14ac:dyDescent="0.3">
      <c r="C5175" s="35">
        <f t="shared" si="80"/>
        <v>0</v>
      </c>
      <c r="D5175" s="30" t="str">
        <f>IFERROR(VLOOKUP(C5175,소속부서!$A$2:$B$20,2,FALSE), "")</f>
        <v/>
      </c>
    </row>
    <row r="5176" spans="3:4" x14ac:dyDescent="0.3">
      <c r="C5176" s="35">
        <f t="shared" si="80"/>
        <v>0</v>
      </c>
      <c r="D5176" s="30" t="str">
        <f>IFERROR(VLOOKUP(C5176,소속부서!$A$2:$B$20,2,FALSE), "")</f>
        <v/>
      </c>
    </row>
    <row r="5177" spans="3:4" x14ac:dyDescent="0.3">
      <c r="C5177" s="35">
        <f t="shared" si="80"/>
        <v>0</v>
      </c>
      <c r="D5177" s="30" t="str">
        <f>IFERROR(VLOOKUP(C5177,소속부서!$A$2:$B$20,2,FALSE), "")</f>
        <v/>
      </c>
    </row>
    <row r="5178" spans="3:4" x14ac:dyDescent="0.3">
      <c r="C5178" s="35">
        <f t="shared" si="80"/>
        <v>0</v>
      </c>
      <c r="D5178" s="30" t="str">
        <f>IFERROR(VLOOKUP(C5178,소속부서!$A$2:$B$20,2,FALSE), "")</f>
        <v/>
      </c>
    </row>
    <row r="5179" spans="3:4" x14ac:dyDescent="0.3">
      <c r="C5179" s="35">
        <f t="shared" si="80"/>
        <v>0</v>
      </c>
      <c r="D5179" s="30" t="str">
        <f>IFERROR(VLOOKUP(C5179,소속부서!$A$2:$B$20,2,FALSE), "")</f>
        <v/>
      </c>
    </row>
    <row r="5180" spans="3:4" x14ac:dyDescent="0.3">
      <c r="C5180" s="35">
        <f t="shared" si="80"/>
        <v>0</v>
      </c>
      <c r="D5180" s="30" t="str">
        <f>IFERROR(VLOOKUP(C5180,소속부서!$A$2:$B$20,2,FALSE), "")</f>
        <v/>
      </c>
    </row>
    <row r="5181" spans="3:4" x14ac:dyDescent="0.3">
      <c r="C5181" s="35">
        <f t="shared" si="80"/>
        <v>0</v>
      </c>
      <c r="D5181" s="30" t="str">
        <f>IFERROR(VLOOKUP(C5181,소속부서!$A$2:$B$20,2,FALSE), "")</f>
        <v/>
      </c>
    </row>
    <row r="5182" spans="3:4" x14ac:dyDescent="0.3">
      <c r="C5182" s="35">
        <f t="shared" si="80"/>
        <v>0</v>
      </c>
      <c r="D5182" s="30" t="str">
        <f>IFERROR(VLOOKUP(C5182,소속부서!$A$2:$B$20,2,FALSE), "")</f>
        <v/>
      </c>
    </row>
    <row r="5183" spans="3:4" x14ac:dyDescent="0.3">
      <c r="C5183" s="35">
        <f t="shared" si="80"/>
        <v>0</v>
      </c>
      <c r="D5183" s="30" t="str">
        <f>IFERROR(VLOOKUP(C5183,소속부서!$A$2:$B$20,2,FALSE), "")</f>
        <v/>
      </c>
    </row>
    <row r="5184" spans="3:4" x14ac:dyDescent="0.3">
      <c r="C5184" s="35">
        <f t="shared" si="80"/>
        <v>0</v>
      </c>
      <c r="D5184" s="30" t="str">
        <f>IFERROR(VLOOKUP(C5184,소속부서!$A$2:$B$20,2,FALSE), "")</f>
        <v/>
      </c>
    </row>
    <row r="5185" spans="3:4" x14ac:dyDescent="0.3">
      <c r="C5185" s="35">
        <f t="shared" ref="C5185:C5248" si="81">E5185</f>
        <v>0</v>
      </c>
      <c r="D5185" s="30" t="str">
        <f>IFERROR(VLOOKUP(C5185,소속부서!$A$2:$B$20,2,FALSE), "")</f>
        <v/>
      </c>
    </row>
    <row r="5186" spans="3:4" x14ac:dyDescent="0.3">
      <c r="C5186" s="35">
        <f t="shared" si="81"/>
        <v>0</v>
      </c>
      <c r="D5186" s="30" t="str">
        <f>IFERROR(VLOOKUP(C5186,소속부서!$A$2:$B$20,2,FALSE), "")</f>
        <v/>
      </c>
    </row>
    <row r="5187" spans="3:4" x14ac:dyDescent="0.3">
      <c r="C5187" s="35">
        <f t="shared" si="81"/>
        <v>0</v>
      </c>
      <c r="D5187" s="30" t="str">
        <f>IFERROR(VLOOKUP(C5187,소속부서!$A$2:$B$20,2,FALSE), "")</f>
        <v/>
      </c>
    </row>
    <row r="5188" spans="3:4" x14ac:dyDescent="0.3">
      <c r="C5188" s="35">
        <f t="shared" si="81"/>
        <v>0</v>
      </c>
      <c r="D5188" s="30" t="str">
        <f>IFERROR(VLOOKUP(C5188,소속부서!$A$2:$B$20,2,FALSE), "")</f>
        <v/>
      </c>
    </row>
    <row r="5189" spans="3:4" x14ac:dyDescent="0.3">
      <c r="C5189" s="35">
        <f t="shared" si="81"/>
        <v>0</v>
      </c>
      <c r="D5189" s="30" t="str">
        <f>IFERROR(VLOOKUP(C5189,소속부서!$A$2:$B$20,2,FALSE), "")</f>
        <v/>
      </c>
    </row>
    <row r="5190" spans="3:4" x14ac:dyDescent="0.3">
      <c r="C5190" s="35">
        <f t="shared" si="81"/>
        <v>0</v>
      </c>
      <c r="D5190" s="30" t="str">
        <f>IFERROR(VLOOKUP(C5190,소속부서!$A$2:$B$20,2,FALSE), "")</f>
        <v/>
      </c>
    </row>
    <row r="5191" spans="3:4" x14ac:dyDescent="0.3">
      <c r="C5191" s="35">
        <f t="shared" si="81"/>
        <v>0</v>
      </c>
      <c r="D5191" s="30" t="str">
        <f>IFERROR(VLOOKUP(C5191,소속부서!$A$2:$B$20,2,FALSE), "")</f>
        <v/>
      </c>
    </row>
    <row r="5192" spans="3:4" x14ac:dyDescent="0.3">
      <c r="C5192" s="35">
        <f t="shared" si="81"/>
        <v>0</v>
      </c>
      <c r="D5192" s="30" t="str">
        <f>IFERROR(VLOOKUP(C5192,소속부서!$A$2:$B$20,2,FALSE), "")</f>
        <v/>
      </c>
    </row>
    <row r="5193" spans="3:4" x14ac:dyDescent="0.3">
      <c r="C5193" s="35">
        <f t="shared" si="81"/>
        <v>0</v>
      </c>
      <c r="D5193" s="30" t="str">
        <f>IFERROR(VLOOKUP(C5193,소속부서!$A$2:$B$20,2,FALSE), "")</f>
        <v/>
      </c>
    </row>
    <row r="5194" spans="3:4" x14ac:dyDescent="0.3">
      <c r="C5194" s="35">
        <f t="shared" si="81"/>
        <v>0</v>
      </c>
      <c r="D5194" s="30" t="str">
        <f>IFERROR(VLOOKUP(C5194,소속부서!$A$2:$B$20,2,FALSE), "")</f>
        <v/>
      </c>
    </row>
    <row r="5195" spans="3:4" x14ac:dyDescent="0.3">
      <c r="C5195" s="35">
        <f t="shared" si="81"/>
        <v>0</v>
      </c>
      <c r="D5195" s="30" t="str">
        <f>IFERROR(VLOOKUP(C5195,소속부서!$A$2:$B$20,2,FALSE), "")</f>
        <v/>
      </c>
    </row>
    <row r="5196" spans="3:4" x14ac:dyDescent="0.3">
      <c r="C5196" s="35">
        <f t="shared" si="81"/>
        <v>0</v>
      </c>
      <c r="D5196" s="30" t="str">
        <f>IFERROR(VLOOKUP(C5196,소속부서!$A$2:$B$20,2,FALSE), "")</f>
        <v/>
      </c>
    </row>
    <row r="5197" spans="3:4" x14ac:dyDescent="0.3">
      <c r="C5197" s="35">
        <f t="shared" si="81"/>
        <v>0</v>
      </c>
      <c r="D5197" s="30" t="str">
        <f>IFERROR(VLOOKUP(C5197,소속부서!$A$2:$B$20,2,FALSE), "")</f>
        <v/>
      </c>
    </row>
    <row r="5198" spans="3:4" x14ac:dyDescent="0.3">
      <c r="C5198" s="35">
        <f t="shared" si="81"/>
        <v>0</v>
      </c>
      <c r="D5198" s="30" t="str">
        <f>IFERROR(VLOOKUP(C5198,소속부서!$A$2:$B$20,2,FALSE), "")</f>
        <v/>
      </c>
    </row>
    <row r="5199" spans="3:4" x14ac:dyDescent="0.3">
      <c r="C5199" s="35">
        <f t="shared" si="81"/>
        <v>0</v>
      </c>
      <c r="D5199" s="30" t="str">
        <f>IFERROR(VLOOKUP(C5199,소속부서!$A$2:$B$20,2,FALSE), "")</f>
        <v/>
      </c>
    </row>
    <row r="5200" spans="3:4" x14ac:dyDescent="0.3">
      <c r="C5200" s="35">
        <f t="shared" si="81"/>
        <v>0</v>
      </c>
      <c r="D5200" s="30" t="str">
        <f>IFERROR(VLOOKUP(C5200,소속부서!$A$2:$B$20,2,FALSE), "")</f>
        <v/>
      </c>
    </row>
    <row r="5201" spans="3:4" x14ac:dyDescent="0.3">
      <c r="C5201" s="35">
        <f t="shared" si="81"/>
        <v>0</v>
      </c>
      <c r="D5201" s="30" t="str">
        <f>IFERROR(VLOOKUP(C5201,소속부서!$A$2:$B$20,2,FALSE), "")</f>
        <v/>
      </c>
    </row>
    <row r="5202" spans="3:4" x14ac:dyDescent="0.3">
      <c r="C5202" s="35">
        <f t="shared" si="81"/>
        <v>0</v>
      </c>
      <c r="D5202" s="30" t="str">
        <f>IFERROR(VLOOKUP(C5202,소속부서!$A$2:$B$20,2,FALSE), "")</f>
        <v/>
      </c>
    </row>
    <row r="5203" spans="3:4" x14ac:dyDescent="0.3">
      <c r="C5203" s="35">
        <f t="shared" si="81"/>
        <v>0</v>
      </c>
      <c r="D5203" s="30" t="str">
        <f>IFERROR(VLOOKUP(C5203,소속부서!$A$2:$B$20,2,FALSE), "")</f>
        <v/>
      </c>
    </row>
    <row r="5204" spans="3:4" x14ac:dyDescent="0.3">
      <c r="C5204" s="35">
        <f t="shared" si="81"/>
        <v>0</v>
      </c>
      <c r="D5204" s="30" t="str">
        <f>IFERROR(VLOOKUP(C5204,소속부서!$A$2:$B$20,2,FALSE), "")</f>
        <v/>
      </c>
    </row>
    <row r="5205" spans="3:4" x14ac:dyDescent="0.3">
      <c r="C5205" s="35">
        <f t="shared" si="81"/>
        <v>0</v>
      </c>
      <c r="D5205" s="30" t="str">
        <f>IFERROR(VLOOKUP(C5205,소속부서!$A$2:$B$20,2,FALSE), "")</f>
        <v/>
      </c>
    </row>
    <row r="5206" spans="3:4" x14ac:dyDescent="0.3">
      <c r="C5206" s="35">
        <f t="shared" si="81"/>
        <v>0</v>
      </c>
      <c r="D5206" s="30" t="str">
        <f>IFERROR(VLOOKUP(C5206,소속부서!$A$2:$B$20,2,FALSE), "")</f>
        <v/>
      </c>
    </row>
    <row r="5207" spans="3:4" x14ac:dyDescent="0.3">
      <c r="C5207" s="35">
        <f t="shared" si="81"/>
        <v>0</v>
      </c>
      <c r="D5207" s="30" t="str">
        <f>IFERROR(VLOOKUP(C5207,소속부서!$A$2:$B$20,2,FALSE), "")</f>
        <v/>
      </c>
    </row>
    <row r="5208" spans="3:4" x14ac:dyDescent="0.3">
      <c r="C5208" s="35">
        <f t="shared" si="81"/>
        <v>0</v>
      </c>
      <c r="D5208" s="30" t="str">
        <f>IFERROR(VLOOKUP(C5208,소속부서!$A$2:$B$20,2,FALSE), "")</f>
        <v/>
      </c>
    </row>
    <row r="5209" spans="3:4" x14ac:dyDescent="0.3">
      <c r="C5209" s="35">
        <f t="shared" si="81"/>
        <v>0</v>
      </c>
      <c r="D5209" s="30" t="str">
        <f>IFERROR(VLOOKUP(C5209,소속부서!$A$2:$B$20,2,FALSE), "")</f>
        <v/>
      </c>
    </row>
    <row r="5210" spans="3:4" x14ac:dyDescent="0.3">
      <c r="C5210" s="35">
        <f t="shared" si="81"/>
        <v>0</v>
      </c>
      <c r="D5210" s="30" t="str">
        <f>IFERROR(VLOOKUP(C5210,소속부서!$A$2:$B$20,2,FALSE), "")</f>
        <v/>
      </c>
    </row>
    <row r="5211" spans="3:4" x14ac:dyDescent="0.3">
      <c r="C5211" s="35">
        <f t="shared" si="81"/>
        <v>0</v>
      </c>
      <c r="D5211" s="30" t="str">
        <f>IFERROR(VLOOKUP(C5211,소속부서!$A$2:$B$20,2,FALSE), "")</f>
        <v/>
      </c>
    </row>
    <row r="5212" spans="3:4" x14ac:dyDescent="0.3">
      <c r="C5212" s="35">
        <f t="shared" si="81"/>
        <v>0</v>
      </c>
      <c r="D5212" s="30" t="str">
        <f>IFERROR(VLOOKUP(C5212,소속부서!$A$2:$B$20,2,FALSE), "")</f>
        <v/>
      </c>
    </row>
    <row r="5213" spans="3:4" x14ac:dyDescent="0.3">
      <c r="C5213" s="35">
        <f t="shared" si="81"/>
        <v>0</v>
      </c>
      <c r="D5213" s="30" t="str">
        <f>IFERROR(VLOOKUP(C5213,소속부서!$A$2:$B$20,2,FALSE), "")</f>
        <v/>
      </c>
    </row>
    <row r="5214" spans="3:4" x14ac:dyDescent="0.3">
      <c r="C5214" s="35">
        <f t="shared" si="81"/>
        <v>0</v>
      </c>
      <c r="D5214" s="30" t="str">
        <f>IFERROR(VLOOKUP(C5214,소속부서!$A$2:$B$20,2,FALSE), "")</f>
        <v/>
      </c>
    </row>
    <row r="5215" spans="3:4" x14ac:dyDescent="0.3">
      <c r="C5215" s="35">
        <f t="shared" si="81"/>
        <v>0</v>
      </c>
      <c r="D5215" s="30" t="str">
        <f>IFERROR(VLOOKUP(C5215,소속부서!$A$2:$B$20,2,FALSE), "")</f>
        <v/>
      </c>
    </row>
    <row r="5216" spans="3:4" x14ac:dyDescent="0.3">
      <c r="C5216" s="35">
        <f t="shared" si="81"/>
        <v>0</v>
      </c>
      <c r="D5216" s="30" t="str">
        <f>IFERROR(VLOOKUP(C5216,소속부서!$A$2:$B$20,2,FALSE), "")</f>
        <v/>
      </c>
    </row>
    <row r="5217" spans="3:4" x14ac:dyDescent="0.3">
      <c r="C5217" s="35">
        <f t="shared" si="81"/>
        <v>0</v>
      </c>
      <c r="D5217" s="30" t="str">
        <f>IFERROR(VLOOKUP(C5217,소속부서!$A$2:$B$20,2,FALSE), "")</f>
        <v/>
      </c>
    </row>
    <row r="5218" spans="3:4" x14ac:dyDescent="0.3">
      <c r="C5218" s="35">
        <f t="shared" si="81"/>
        <v>0</v>
      </c>
      <c r="D5218" s="30" t="str">
        <f>IFERROR(VLOOKUP(C5218,소속부서!$A$2:$B$20,2,FALSE), "")</f>
        <v/>
      </c>
    </row>
    <row r="5219" spans="3:4" x14ac:dyDescent="0.3">
      <c r="C5219" s="35">
        <f t="shared" si="81"/>
        <v>0</v>
      </c>
      <c r="D5219" s="30" t="str">
        <f>IFERROR(VLOOKUP(C5219,소속부서!$A$2:$B$20,2,FALSE), "")</f>
        <v/>
      </c>
    </row>
    <row r="5220" spans="3:4" x14ac:dyDescent="0.3">
      <c r="C5220" s="35">
        <f t="shared" si="81"/>
        <v>0</v>
      </c>
      <c r="D5220" s="30" t="str">
        <f>IFERROR(VLOOKUP(C5220,소속부서!$A$2:$B$20,2,FALSE), "")</f>
        <v/>
      </c>
    </row>
    <row r="5221" spans="3:4" x14ac:dyDescent="0.3">
      <c r="C5221" s="35">
        <f t="shared" si="81"/>
        <v>0</v>
      </c>
      <c r="D5221" s="30" t="str">
        <f>IFERROR(VLOOKUP(C5221,소속부서!$A$2:$B$20,2,FALSE), "")</f>
        <v/>
      </c>
    </row>
    <row r="5222" spans="3:4" x14ac:dyDescent="0.3">
      <c r="C5222" s="35">
        <f t="shared" si="81"/>
        <v>0</v>
      </c>
      <c r="D5222" s="30" t="str">
        <f>IFERROR(VLOOKUP(C5222,소속부서!$A$2:$B$20,2,FALSE), "")</f>
        <v/>
      </c>
    </row>
    <row r="5223" spans="3:4" x14ac:dyDescent="0.3">
      <c r="C5223" s="35">
        <f t="shared" si="81"/>
        <v>0</v>
      </c>
      <c r="D5223" s="30" t="str">
        <f>IFERROR(VLOOKUP(C5223,소속부서!$A$2:$B$20,2,FALSE), "")</f>
        <v/>
      </c>
    </row>
    <row r="5224" spans="3:4" x14ac:dyDescent="0.3">
      <c r="C5224" s="35">
        <f t="shared" si="81"/>
        <v>0</v>
      </c>
      <c r="D5224" s="30" t="str">
        <f>IFERROR(VLOOKUP(C5224,소속부서!$A$2:$B$20,2,FALSE), "")</f>
        <v/>
      </c>
    </row>
    <row r="5225" spans="3:4" x14ac:dyDescent="0.3">
      <c r="C5225" s="35">
        <f t="shared" si="81"/>
        <v>0</v>
      </c>
      <c r="D5225" s="30" t="str">
        <f>IFERROR(VLOOKUP(C5225,소속부서!$A$2:$B$20,2,FALSE), "")</f>
        <v/>
      </c>
    </row>
    <row r="5226" spans="3:4" x14ac:dyDescent="0.3">
      <c r="C5226" s="35">
        <f t="shared" si="81"/>
        <v>0</v>
      </c>
      <c r="D5226" s="30" t="str">
        <f>IFERROR(VLOOKUP(C5226,소속부서!$A$2:$B$20,2,FALSE), "")</f>
        <v/>
      </c>
    </row>
    <row r="5227" spans="3:4" x14ac:dyDescent="0.3">
      <c r="C5227" s="35">
        <f t="shared" si="81"/>
        <v>0</v>
      </c>
      <c r="D5227" s="30" t="str">
        <f>IFERROR(VLOOKUP(C5227,소속부서!$A$2:$B$20,2,FALSE), "")</f>
        <v/>
      </c>
    </row>
    <row r="5228" spans="3:4" x14ac:dyDescent="0.3">
      <c r="C5228" s="35">
        <f t="shared" si="81"/>
        <v>0</v>
      </c>
      <c r="D5228" s="30" t="str">
        <f>IFERROR(VLOOKUP(C5228,소속부서!$A$2:$B$20,2,FALSE), "")</f>
        <v/>
      </c>
    </row>
    <row r="5229" spans="3:4" x14ac:dyDescent="0.3">
      <c r="C5229" s="35">
        <f t="shared" si="81"/>
        <v>0</v>
      </c>
      <c r="D5229" s="30" t="str">
        <f>IFERROR(VLOOKUP(C5229,소속부서!$A$2:$B$20,2,FALSE), "")</f>
        <v/>
      </c>
    </row>
    <row r="5230" spans="3:4" x14ac:dyDescent="0.3">
      <c r="C5230" s="35">
        <f t="shared" si="81"/>
        <v>0</v>
      </c>
      <c r="D5230" s="30" t="str">
        <f>IFERROR(VLOOKUP(C5230,소속부서!$A$2:$B$20,2,FALSE), "")</f>
        <v/>
      </c>
    </row>
    <row r="5231" spans="3:4" x14ac:dyDescent="0.3">
      <c r="C5231" s="35">
        <f t="shared" si="81"/>
        <v>0</v>
      </c>
      <c r="D5231" s="30" t="str">
        <f>IFERROR(VLOOKUP(C5231,소속부서!$A$2:$B$20,2,FALSE), "")</f>
        <v/>
      </c>
    </row>
    <row r="5232" spans="3:4" x14ac:dyDescent="0.3">
      <c r="C5232" s="35">
        <f t="shared" si="81"/>
        <v>0</v>
      </c>
      <c r="D5232" s="30" t="str">
        <f>IFERROR(VLOOKUP(C5232,소속부서!$A$2:$B$20,2,FALSE), "")</f>
        <v/>
      </c>
    </row>
    <row r="5233" spans="3:4" x14ac:dyDescent="0.3">
      <c r="C5233" s="35">
        <f t="shared" si="81"/>
        <v>0</v>
      </c>
      <c r="D5233" s="30" t="str">
        <f>IFERROR(VLOOKUP(C5233,소속부서!$A$2:$B$20,2,FALSE), "")</f>
        <v/>
      </c>
    </row>
    <row r="5234" spans="3:4" x14ac:dyDescent="0.3">
      <c r="C5234" s="35">
        <f t="shared" si="81"/>
        <v>0</v>
      </c>
      <c r="D5234" s="30" t="str">
        <f>IFERROR(VLOOKUP(C5234,소속부서!$A$2:$B$20,2,FALSE), "")</f>
        <v/>
      </c>
    </row>
    <row r="5235" spans="3:4" x14ac:dyDescent="0.3">
      <c r="C5235" s="35">
        <f t="shared" si="81"/>
        <v>0</v>
      </c>
      <c r="D5235" s="30" t="str">
        <f>IFERROR(VLOOKUP(C5235,소속부서!$A$2:$B$20,2,FALSE), "")</f>
        <v/>
      </c>
    </row>
    <row r="5236" spans="3:4" x14ac:dyDescent="0.3">
      <c r="C5236" s="35">
        <f t="shared" si="81"/>
        <v>0</v>
      </c>
      <c r="D5236" s="30" t="str">
        <f>IFERROR(VLOOKUP(C5236,소속부서!$A$2:$B$20,2,FALSE), "")</f>
        <v/>
      </c>
    </row>
    <row r="5237" spans="3:4" x14ac:dyDescent="0.3">
      <c r="C5237" s="35">
        <f t="shared" si="81"/>
        <v>0</v>
      </c>
      <c r="D5237" s="30" t="str">
        <f>IFERROR(VLOOKUP(C5237,소속부서!$A$2:$B$20,2,FALSE), "")</f>
        <v/>
      </c>
    </row>
    <row r="5238" spans="3:4" x14ac:dyDescent="0.3">
      <c r="C5238" s="35">
        <f t="shared" si="81"/>
        <v>0</v>
      </c>
      <c r="D5238" s="30" t="str">
        <f>IFERROR(VLOOKUP(C5238,소속부서!$A$2:$B$20,2,FALSE), "")</f>
        <v/>
      </c>
    </row>
    <row r="5239" spans="3:4" x14ac:dyDescent="0.3">
      <c r="C5239" s="35">
        <f t="shared" si="81"/>
        <v>0</v>
      </c>
      <c r="D5239" s="30" t="str">
        <f>IFERROR(VLOOKUP(C5239,소속부서!$A$2:$B$20,2,FALSE), "")</f>
        <v/>
      </c>
    </row>
    <row r="5240" spans="3:4" x14ac:dyDescent="0.3">
      <c r="C5240" s="35">
        <f t="shared" si="81"/>
        <v>0</v>
      </c>
      <c r="D5240" s="30" t="str">
        <f>IFERROR(VLOOKUP(C5240,소속부서!$A$2:$B$20,2,FALSE), "")</f>
        <v/>
      </c>
    </row>
    <row r="5241" spans="3:4" x14ac:dyDescent="0.3">
      <c r="C5241" s="35">
        <f t="shared" si="81"/>
        <v>0</v>
      </c>
      <c r="D5241" s="30" t="str">
        <f>IFERROR(VLOOKUP(C5241,소속부서!$A$2:$B$20,2,FALSE), "")</f>
        <v/>
      </c>
    </row>
    <row r="5242" spans="3:4" x14ac:dyDescent="0.3">
      <c r="C5242" s="35">
        <f t="shared" si="81"/>
        <v>0</v>
      </c>
      <c r="D5242" s="30" t="str">
        <f>IFERROR(VLOOKUP(C5242,소속부서!$A$2:$B$20,2,FALSE), "")</f>
        <v/>
      </c>
    </row>
    <row r="5243" spans="3:4" x14ac:dyDescent="0.3">
      <c r="C5243" s="35">
        <f t="shared" si="81"/>
        <v>0</v>
      </c>
      <c r="D5243" s="30" t="str">
        <f>IFERROR(VLOOKUP(C5243,소속부서!$A$2:$B$20,2,FALSE), "")</f>
        <v/>
      </c>
    </row>
    <row r="5244" spans="3:4" x14ac:dyDescent="0.3">
      <c r="C5244" s="35">
        <f t="shared" si="81"/>
        <v>0</v>
      </c>
      <c r="D5244" s="30" t="str">
        <f>IFERROR(VLOOKUP(C5244,소속부서!$A$2:$B$20,2,FALSE), "")</f>
        <v/>
      </c>
    </row>
    <row r="5245" spans="3:4" x14ac:dyDescent="0.3">
      <c r="C5245" s="35">
        <f t="shared" si="81"/>
        <v>0</v>
      </c>
      <c r="D5245" s="30" t="str">
        <f>IFERROR(VLOOKUP(C5245,소속부서!$A$2:$B$20,2,FALSE), "")</f>
        <v/>
      </c>
    </row>
    <row r="5246" spans="3:4" x14ac:dyDescent="0.3">
      <c r="C5246" s="35">
        <f t="shared" si="81"/>
        <v>0</v>
      </c>
      <c r="D5246" s="30" t="str">
        <f>IFERROR(VLOOKUP(C5246,소속부서!$A$2:$B$20,2,FALSE), "")</f>
        <v/>
      </c>
    </row>
    <row r="5247" spans="3:4" x14ac:dyDescent="0.3">
      <c r="C5247" s="35">
        <f t="shared" si="81"/>
        <v>0</v>
      </c>
      <c r="D5247" s="30" t="str">
        <f>IFERROR(VLOOKUP(C5247,소속부서!$A$2:$B$20,2,FALSE), "")</f>
        <v/>
      </c>
    </row>
    <row r="5248" spans="3:4" x14ac:dyDescent="0.3">
      <c r="C5248" s="35">
        <f t="shared" si="81"/>
        <v>0</v>
      </c>
      <c r="D5248" s="30" t="str">
        <f>IFERROR(VLOOKUP(C5248,소속부서!$A$2:$B$20,2,FALSE), "")</f>
        <v/>
      </c>
    </row>
    <row r="5249" spans="3:4" x14ac:dyDescent="0.3">
      <c r="C5249" s="35">
        <f t="shared" ref="C5249:C5312" si="82">E5249</f>
        <v>0</v>
      </c>
      <c r="D5249" s="30" t="str">
        <f>IFERROR(VLOOKUP(C5249,소속부서!$A$2:$B$20,2,FALSE), "")</f>
        <v/>
      </c>
    </row>
    <row r="5250" spans="3:4" x14ac:dyDescent="0.3">
      <c r="C5250" s="35">
        <f t="shared" si="82"/>
        <v>0</v>
      </c>
      <c r="D5250" s="30" t="str">
        <f>IFERROR(VLOOKUP(C5250,소속부서!$A$2:$B$20,2,FALSE), "")</f>
        <v/>
      </c>
    </row>
    <row r="5251" spans="3:4" x14ac:dyDescent="0.3">
      <c r="C5251" s="35">
        <f t="shared" si="82"/>
        <v>0</v>
      </c>
      <c r="D5251" s="30" t="str">
        <f>IFERROR(VLOOKUP(C5251,소속부서!$A$2:$B$20,2,FALSE), "")</f>
        <v/>
      </c>
    </row>
    <row r="5252" spans="3:4" x14ac:dyDescent="0.3">
      <c r="C5252" s="35">
        <f t="shared" si="82"/>
        <v>0</v>
      </c>
      <c r="D5252" s="30" t="str">
        <f>IFERROR(VLOOKUP(C5252,소속부서!$A$2:$B$20,2,FALSE), "")</f>
        <v/>
      </c>
    </row>
    <row r="5253" spans="3:4" x14ac:dyDescent="0.3">
      <c r="C5253" s="35">
        <f t="shared" si="82"/>
        <v>0</v>
      </c>
      <c r="D5253" s="30" t="str">
        <f>IFERROR(VLOOKUP(C5253,소속부서!$A$2:$B$20,2,FALSE), "")</f>
        <v/>
      </c>
    </row>
    <row r="5254" spans="3:4" x14ac:dyDescent="0.3">
      <c r="C5254" s="35">
        <f t="shared" si="82"/>
        <v>0</v>
      </c>
      <c r="D5254" s="30" t="str">
        <f>IFERROR(VLOOKUP(C5254,소속부서!$A$2:$B$20,2,FALSE), "")</f>
        <v/>
      </c>
    </row>
    <row r="5255" spans="3:4" x14ac:dyDescent="0.3">
      <c r="C5255" s="35">
        <f t="shared" si="82"/>
        <v>0</v>
      </c>
      <c r="D5255" s="30" t="str">
        <f>IFERROR(VLOOKUP(C5255,소속부서!$A$2:$B$20,2,FALSE), "")</f>
        <v/>
      </c>
    </row>
    <row r="5256" spans="3:4" x14ac:dyDescent="0.3">
      <c r="C5256" s="35">
        <f t="shared" si="82"/>
        <v>0</v>
      </c>
      <c r="D5256" s="30" t="str">
        <f>IFERROR(VLOOKUP(C5256,소속부서!$A$2:$B$20,2,FALSE), "")</f>
        <v/>
      </c>
    </row>
    <row r="5257" spans="3:4" x14ac:dyDescent="0.3">
      <c r="C5257" s="35">
        <f t="shared" si="82"/>
        <v>0</v>
      </c>
      <c r="D5257" s="30" t="str">
        <f>IFERROR(VLOOKUP(C5257,소속부서!$A$2:$B$20,2,FALSE), "")</f>
        <v/>
      </c>
    </row>
    <row r="5258" spans="3:4" x14ac:dyDescent="0.3">
      <c r="C5258" s="35">
        <f t="shared" si="82"/>
        <v>0</v>
      </c>
      <c r="D5258" s="30" t="str">
        <f>IFERROR(VLOOKUP(C5258,소속부서!$A$2:$B$20,2,FALSE), "")</f>
        <v/>
      </c>
    </row>
    <row r="5259" spans="3:4" x14ac:dyDescent="0.3">
      <c r="C5259" s="35">
        <f t="shared" si="82"/>
        <v>0</v>
      </c>
      <c r="D5259" s="30" t="str">
        <f>IFERROR(VLOOKUP(C5259,소속부서!$A$2:$B$20,2,FALSE), "")</f>
        <v/>
      </c>
    </row>
    <row r="5260" spans="3:4" x14ac:dyDescent="0.3">
      <c r="C5260" s="35">
        <f t="shared" si="82"/>
        <v>0</v>
      </c>
      <c r="D5260" s="30" t="str">
        <f>IFERROR(VLOOKUP(C5260,소속부서!$A$2:$B$20,2,FALSE), "")</f>
        <v/>
      </c>
    </row>
    <row r="5261" spans="3:4" x14ac:dyDescent="0.3">
      <c r="C5261" s="35">
        <f t="shared" si="82"/>
        <v>0</v>
      </c>
      <c r="D5261" s="30" t="str">
        <f>IFERROR(VLOOKUP(C5261,소속부서!$A$2:$B$20,2,FALSE), "")</f>
        <v/>
      </c>
    </row>
    <row r="5262" spans="3:4" x14ac:dyDescent="0.3">
      <c r="C5262" s="35">
        <f t="shared" si="82"/>
        <v>0</v>
      </c>
      <c r="D5262" s="30" t="str">
        <f>IFERROR(VLOOKUP(C5262,소속부서!$A$2:$B$20,2,FALSE), "")</f>
        <v/>
      </c>
    </row>
    <row r="5263" spans="3:4" x14ac:dyDescent="0.3">
      <c r="C5263" s="35">
        <f t="shared" si="82"/>
        <v>0</v>
      </c>
      <c r="D5263" s="30" t="str">
        <f>IFERROR(VLOOKUP(C5263,소속부서!$A$2:$B$20,2,FALSE), "")</f>
        <v/>
      </c>
    </row>
    <row r="5264" spans="3:4" x14ac:dyDescent="0.3">
      <c r="C5264" s="35">
        <f t="shared" si="82"/>
        <v>0</v>
      </c>
      <c r="D5264" s="30" t="str">
        <f>IFERROR(VLOOKUP(C5264,소속부서!$A$2:$B$20,2,FALSE), "")</f>
        <v/>
      </c>
    </row>
    <row r="5265" spans="3:4" x14ac:dyDescent="0.3">
      <c r="C5265" s="35">
        <f t="shared" si="82"/>
        <v>0</v>
      </c>
      <c r="D5265" s="30" t="str">
        <f>IFERROR(VLOOKUP(C5265,소속부서!$A$2:$B$20,2,FALSE), "")</f>
        <v/>
      </c>
    </row>
    <row r="5266" spans="3:4" x14ac:dyDescent="0.3">
      <c r="C5266" s="35">
        <f t="shared" si="82"/>
        <v>0</v>
      </c>
      <c r="D5266" s="30" t="str">
        <f>IFERROR(VLOOKUP(C5266,소속부서!$A$2:$B$20,2,FALSE), "")</f>
        <v/>
      </c>
    </row>
    <row r="5267" spans="3:4" x14ac:dyDescent="0.3">
      <c r="C5267" s="35">
        <f t="shared" si="82"/>
        <v>0</v>
      </c>
      <c r="D5267" s="30" t="str">
        <f>IFERROR(VLOOKUP(C5267,소속부서!$A$2:$B$20,2,FALSE), "")</f>
        <v/>
      </c>
    </row>
    <row r="5268" spans="3:4" x14ac:dyDescent="0.3">
      <c r="C5268" s="35">
        <f t="shared" si="82"/>
        <v>0</v>
      </c>
      <c r="D5268" s="30" t="str">
        <f>IFERROR(VLOOKUP(C5268,소속부서!$A$2:$B$20,2,FALSE), "")</f>
        <v/>
      </c>
    </row>
    <row r="5269" spans="3:4" x14ac:dyDescent="0.3">
      <c r="C5269" s="35">
        <f t="shared" si="82"/>
        <v>0</v>
      </c>
      <c r="D5269" s="30" t="str">
        <f>IFERROR(VLOOKUP(C5269,소속부서!$A$2:$B$20,2,FALSE), "")</f>
        <v/>
      </c>
    </row>
    <row r="5270" spans="3:4" x14ac:dyDescent="0.3">
      <c r="C5270" s="35">
        <f t="shared" si="82"/>
        <v>0</v>
      </c>
      <c r="D5270" s="30" t="str">
        <f>IFERROR(VLOOKUP(C5270,소속부서!$A$2:$B$20,2,FALSE), "")</f>
        <v/>
      </c>
    </row>
    <row r="5271" spans="3:4" x14ac:dyDescent="0.3">
      <c r="C5271" s="35">
        <f t="shared" si="82"/>
        <v>0</v>
      </c>
      <c r="D5271" s="30" t="str">
        <f>IFERROR(VLOOKUP(C5271,소속부서!$A$2:$B$20,2,FALSE), "")</f>
        <v/>
      </c>
    </row>
    <row r="5272" spans="3:4" x14ac:dyDescent="0.3">
      <c r="C5272" s="35">
        <f t="shared" si="82"/>
        <v>0</v>
      </c>
      <c r="D5272" s="30" t="str">
        <f>IFERROR(VLOOKUP(C5272,소속부서!$A$2:$B$20,2,FALSE), "")</f>
        <v/>
      </c>
    </row>
    <row r="5273" spans="3:4" x14ac:dyDescent="0.3">
      <c r="C5273" s="35">
        <f t="shared" si="82"/>
        <v>0</v>
      </c>
      <c r="D5273" s="30" t="str">
        <f>IFERROR(VLOOKUP(C5273,소속부서!$A$2:$B$20,2,FALSE), "")</f>
        <v/>
      </c>
    </row>
    <row r="5274" spans="3:4" x14ac:dyDescent="0.3">
      <c r="C5274" s="35">
        <f t="shared" si="82"/>
        <v>0</v>
      </c>
      <c r="D5274" s="30" t="str">
        <f>IFERROR(VLOOKUP(C5274,소속부서!$A$2:$B$20,2,FALSE), "")</f>
        <v/>
      </c>
    </row>
    <row r="5275" spans="3:4" x14ac:dyDescent="0.3">
      <c r="C5275" s="35">
        <f t="shared" si="82"/>
        <v>0</v>
      </c>
      <c r="D5275" s="30" t="str">
        <f>IFERROR(VLOOKUP(C5275,소속부서!$A$2:$B$20,2,FALSE), "")</f>
        <v/>
      </c>
    </row>
    <row r="5276" spans="3:4" x14ac:dyDescent="0.3">
      <c r="C5276" s="35">
        <f t="shared" si="82"/>
        <v>0</v>
      </c>
      <c r="D5276" s="30" t="str">
        <f>IFERROR(VLOOKUP(C5276,소속부서!$A$2:$B$20,2,FALSE), "")</f>
        <v/>
      </c>
    </row>
    <row r="5277" spans="3:4" x14ac:dyDescent="0.3">
      <c r="C5277" s="35">
        <f t="shared" si="82"/>
        <v>0</v>
      </c>
      <c r="D5277" s="30" t="str">
        <f>IFERROR(VLOOKUP(C5277,소속부서!$A$2:$B$20,2,FALSE), "")</f>
        <v/>
      </c>
    </row>
    <row r="5278" spans="3:4" x14ac:dyDescent="0.3">
      <c r="C5278" s="35">
        <f t="shared" si="82"/>
        <v>0</v>
      </c>
      <c r="D5278" s="30" t="str">
        <f>IFERROR(VLOOKUP(C5278,소속부서!$A$2:$B$20,2,FALSE), "")</f>
        <v/>
      </c>
    </row>
    <row r="5279" spans="3:4" x14ac:dyDescent="0.3">
      <c r="C5279" s="35">
        <f t="shared" si="82"/>
        <v>0</v>
      </c>
      <c r="D5279" s="30" t="str">
        <f>IFERROR(VLOOKUP(C5279,소속부서!$A$2:$B$20,2,FALSE), "")</f>
        <v/>
      </c>
    </row>
    <row r="5280" spans="3:4" x14ac:dyDescent="0.3">
      <c r="C5280" s="35">
        <f t="shared" si="82"/>
        <v>0</v>
      </c>
      <c r="D5280" s="30" t="str">
        <f>IFERROR(VLOOKUP(C5280,소속부서!$A$2:$B$20,2,FALSE), "")</f>
        <v/>
      </c>
    </row>
    <row r="5281" spans="3:4" x14ac:dyDescent="0.3">
      <c r="C5281" s="35">
        <f t="shared" si="82"/>
        <v>0</v>
      </c>
      <c r="D5281" s="30" t="str">
        <f>IFERROR(VLOOKUP(C5281,소속부서!$A$2:$B$20,2,FALSE), "")</f>
        <v/>
      </c>
    </row>
    <row r="5282" spans="3:4" x14ac:dyDescent="0.3">
      <c r="C5282" s="35">
        <f t="shared" si="82"/>
        <v>0</v>
      </c>
      <c r="D5282" s="30" t="str">
        <f>IFERROR(VLOOKUP(C5282,소속부서!$A$2:$B$20,2,FALSE), "")</f>
        <v/>
      </c>
    </row>
    <row r="5283" spans="3:4" x14ac:dyDescent="0.3">
      <c r="C5283" s="35">
        <f t="shared" si="82"/>
        <v>0</v>
      </c>
      <c r="D5283" s="30" t="str">
        <f>IFERROR(VLOOKUP(C5283,소속부서!$A$2:$B$20,2,FALSE), "")</f>
        <v/>
      </c>
    </row>
    <row r="5284" spans="3:4" x14ac:dyDescent="0.3">
      <c r="C5284" s="35">
        <f t="shared" si="82"/>
        <v>0</v>
      </c>
      <c r="D5284" s="30" t="str">
        <f>IFERROR(VLOOKUP(C5284,소속부서!$A$2:$B$20,2,FALSE), "")</f>
        <v/>
      </c>
    </row>
    <row r="5285" spans="3:4" x14ac:dyDescent="0.3">
      <c r="C5285" s="35">
        <f t="shared" si="82"/>
        <v>0</v>
      </c>
      <c r="D5285" s="30" t="str">
        <f>IFERROR(VLOOKUP(C5285,소속부서!$A$2:$B$20,2,FALSE), "")</f>
        <v/>
      </c>
    </row>
    <row r="5286" spans="3:4" x14ac:dyDescent="0.3">
      <c r="C5286" s="35">
        <f t="shared" si="82"/>
        <v>0</v>
      </c>
      <c r="D5286" s="30" t="str">
        <f>IFERROR(VLOOKUP(C5286,소속부서!$A$2:$B$20,2,FALSE), "")</f>
        <v/>
      </c>
    </row>
    <row r="5287" spans="3:4" x14ac:dyDescent="0.3">
      <c r="C5287" s="35">
        <f t="shared" si="82"/>
        <v>0</v>
      </c>
      <c r="D5287" s="30" t="str">
        <f>IFERROR(VLOOKUP(C5287,소속부서!$A$2:$B$20,2,FALSE), "")</f>
        <v/>
      </c>
    </row>
    <row r="5288" spans="3:4" x14ac:dyDescent="0.3">
      <c r="C5288" s="35">
        <f t="shared" si="82"/>
        <v>0</v>
      </c>
      <c r="D5288" s="30" t="str">
        <f>IFERROR(VLOOKUP(C5288,소속부서!$A$2:$B$20,2,FALSE), "")</f>
        <v/>
      </c>
    </row>
    <row r="5289" spans="3:4" x14ac:dyDescent="0.3">
      <c r="C5289" s="35">
        <f t="shared" si="82"/>
        <v>0</v>
      </c>
      <c r="D5289" s="30" t="str">
        <f>IFERROR(VLOOKUP(C5289,소속부서!$A$2:$B$20,2,FALSE), "")</f>
        <v/>
      </c>
    </row>
    <row r="5290" spans="3:4" x14ac:dyDescent="0.3">
      <c r="C5290" s="35">
        <f t="shared" si="82"/>
        <v>0</v>
      </c>
      <c r="D5290" s="30" t="str">
        <f>IFERROR(VLOOKUP(C5290,소속부서!$A$2:$B$20,2,FALSE), "")</f>
        <v/>
      </c>
    </row>
    <row r="5291" spans="3:4" x14ac:dyDescent="0.3">
      <c r="C5291" s="35">
        <f t="shared" si="82"/>
        <v>0</v>
      </c>
      <c r="D5291" s="30" t="str">
        <f>IFERROR(VLOOKUP(C5291,소속부서!$A$2:$B$20,2,FALSE), "")</f>
        <v/>
      </c>
    </row>
    <row r="5292" spans="3:4" x14ac:dyDescent="0.3">
      <c r="C5292" s="35">
        <f t="shared" si="82"/>
        <v>0</v>
      </c>
      <c r="D5292" s="30" t="str">
        <f>IFERROR(VLOOKUP(C5292,소속부서!$A$2:$B$20,2,FALSE), "")</f>
        <v/>
      </c>
    </row>
    <row r="5293" spans="3:4" x14ac:dyDescent="0.3">
      <c r="C5293" s="35">
        <f t="shared" si="82"/>
        <v>0</v>
      </c>
      <c r="D5293" s="30" t="str">
        <f>IFERROR(VLOOKUP(C5293,소속부서!$A$2:$B$20,2,FALSE), "")</f>
        <v/>
      </c>
    </row>
    <row r="5294" spans="3:4" x14ac:dyDescent="0.3">
      <c r="C5294" s="35">
        <f t="shared" si="82"/>
        <v>0</v>
      </c>
      <c r="D5294" s="30" t="str">
        <f>IFERROR(VLOOKUP(C5294,소속부서!$A$2:$B$20,2,FALSE), "")</f>
        <v/>
      </c>
    </row>
    <row r="5295" spans="3:4" x14ac:dyDescent="0.3">
      <c r="C5295" s="35">
        <f t="shared" si="82"/>
        <v>0</v>
      </c>
      <c r="D5295" s="30" t="str">
        <f>IFERROR(VLOOKUP(C5295,소속부서!$A$2:$B$20,2,FALSE), "")</f>
        <v/>
      </c>
    </row>
    <row r="5296" spans="3:4" x14ac:dyDescent="0.3">
      <c r="C5296" s="35">
        <f t="shared" si="82"/>
        <v>0</v>
      </c>
      <c r="D5296" s="30" t="str">
        <f>IFERROR(VLOOKUP(C5296,소속부서!$A$2:$B$20,2,FALSE), "")</f>
        <v/>
      </c>
    </row>
    <row r="5297" spans="3:4" x14ac:dyDescent="0.3">
      <c r="C5297" s="35">
        <f t="shared" si="82"/>
        <v>0</v>
      </c>
      <c r="D5297" s="30" t="str">
        <f>IFERROR(VLOOKUP(C5297,소속부서!$A$2:$B$20,2,FALSE), "")</f>
        <v/>
      </c>
    </row>
    <row r="5298" spans="3:4" x14ac:dyDescent="0.3">
      <c r="C5298" s="35">
        <f t="shared" si="82"/>
        <v>0</v>
      </c>
      <c r="D5298" s="30" t="str">
        <f>IFERROR(VLOOKUP(C5298,소속부서!$A$2:$B$20,2,FALSE), "")</f>
        <v/>
      </c>
    </row>
    <row r="5299" spans="3:4" x14ac:dyDescent="0.3">
      <c r="C5299" s="35">
        <f t="shared" si="82"/>
        <v>0</v>
      </c>
      <c r="D5299" s="30" t="str">
        <f>IFERROR(VLOOKUP(C5299,소속부서!$A$2:$B$20,2,FALSE), "")</f>
        <v/>
      </c>
    </row>
    <row r="5300" spans="3:4" x14ac:dyDescent="0.3">
      <c r="C5300" s="35">
        <f t="shared" si="82"/>
        <v>0</v>
      </c>
      <c r="D5300" s="30" t="str">
        <f>IFERROR(VLOOKUP(C5300,소속부서!$A$2:$B$20,2,FALSE), "")</f>
        <v/>
      </c>
    </row>
    <row r="5301" spans="3:4" x14ac:dyDescent="0.3">
      <c r="C5301" s="35">
        <f t="shared" si="82"/>
        <v>0</v>
      </c>
      <c r="D5301" s="30" t="str">
        <f>IFERROR(VLOOKUP(C5301,소속부서!$A$2:$B$20,2,FALSE), "")</f>
        <v/>
      </c>
    </row>
    <row r="5302" spans="3:4" x14ac:dyDescent="0.3">
      <c r="C5302" s="35">
        <f t="shared" si="82"/>
        <v>0</v>
      </c>
      <c r="D5302" s="30" t="str">
        <f>IFERROR(VLOOKUP(C5302,소속부서!$A$2:$B$20,2,FALSE), "")</f>
        <v/>
      </c>
    </row>
    <row r="5303" spans="3:4" x14ac:dyDescent="0.3">
      <c r="C5303" s="35">
        <f t="shared" si="82"/>
        <v>0</v>
      </c>
      <c r="D5303" s="30" t="str">
        <f>IFERROR(VLOOKUP(C5303,소속부서!$A$2:$B$20,2,FALSE), "")</f>
        <v/>
      </c>
    </row>
    <row r="5304" spans="3:4" x14ac:dyDescent="0.3">
      <c r="C5304" s="35">
        <f t="shared" si="82"/>
        <v>0</v>
      </c>
      <c r="D5304" s="30" t="str">
        <f>IFERROR(VLOOKUP(C5304,소속부서!$A$2:$B$20,2,FALSE), "")</f>
        <v/>
      </c>
    </row>
    <row r="5305" spans="3:4" x14ac:dyDescent="0.3">
      <c r="C5305" s="35">
        <f t="shared" si="82"/>
        <v>0</v>
      </c>
      <c r="D5305" s="30" t="str">
        <f>IFERROR(VLOOKUP(C5305,소속부서!$A$2:$B$20,2,FALSE), "")</f>
        <v/>
      </c>
    </row>
    <row r="5306" spans="3:4" x14ac:dyDescent="0.3">
      <c r="C5306" s="35">
        <f t="shared" si="82"/>
        <v>0</v>
      </c>
      <c r="D5306" s="30" t="str">
        <f>IFERROR(VLOOKUP(C5306,소속부서!$A$2:$B$20,2,FALSE), "")</f>
        <v/>
      </c>
    </row>
    <row r="5307" spans="3:4" x14ac:dyDescent="0.3">
      <c r="C5307" s="35">
        <f t="shared" si="82"/>
        <v>0</v>
      </c>
      <c r="D5307" s="30" t="str">
        <f>IFERROR(VLOOKUP(C5307,소속부서!$A$2:$B$20,2,FALSE), "")</f>
        <v/>
      </c>
    </row>
    <row r="5308" spans="3:4" x14ac:dyDescent="0.3">
      <c r="C5308" s="35">
        <f t="shared" si="82"/>
        <v>0</v>
      </c>
      <c r="D5308" s="30" t="str">
        <f>IFERROR(VLOOKUP(C5308,소속부서!$A$2:$B$20,2,FALSE), "")</f>
        <v/>
      </c>
    </row>
    <row r="5309" spans="3:4" x14ac:dyDescent="0.3">
      <c r="C5309" s="35">
        <f t="shared" si="82"/>
        <v>0</v>
      </c>
      <c r="D5309" s="30" t="str">
        <f>IFERROR(VLOOKUP(C5309,소속부서!$A$2:$B$20,2,FALSE), "")</f>
        <v/>
      </c>
    </row>
    <row r="5310" spans="3:4" x14ac:dyDescent="0.3">
      <c r="C5310" s="35">
        <f t="shared" si="82"/>
        <v>0</v>
      </c>
      <c r="D5310" s="30" t="str">
        <f>IFERROR(VLOOKUP(C5310,소속부서!$A$2:$B$20,2,FALSE), "")</f>
        <v/>
      </c>
    </row>
    <row r="5311" spans="3:4" x14ac:dyDescent="0.3">
      <c r="C5311" s="35">
        <f t="shared" si="82"/>
        <v>0</v>
      </c>
      <c r="D5311" s="30" t="str">
        <f>IFERROR(VLOOKUP(C5311,소속부서!$A$2:$B$20,2,FALSE), "")</f>
        <v/>
      </c>
    </row>
    <row r="5312" spans="3:4" x14ac:dyDescent="0.3">
      <c r="C5312" s="35">
        <f t="shared" si="82"/>
        <v>0</v>
      </c>
      <c r="D5312" s="30" t="str">
        <f>IFERROR(VLOOKUP(C5312,소속부서!$A$2:$B$20,2,FALSE), "")</f>
        <v/>
      </c>
    </row>
    <row r="5313" spans="3:4" x14ac:dyDescent="0.3">
      <c r="C5313" s="35">
        <f t="shared" ref="C5313:C5376" si="83">E5313</f>
        <v>0</v>
      </c>
      <c r="D5313" s="30" t="str">
        <f>IFERROR(VLOOKUP(C5313,소속부서!$A$2:$B$20,2,FALSE), "")</f>
        <v/>
      </c>
    </row>
    <row r="5314" spans="3:4" x14ac:dyDescent="0.3">
      <c r="C5314" s="35">
        <f t="shared" si="83"/>
        <v>0</v>
      </c>
      <c r="D5314" s="30" t="str">
        <f>IFERROR(VLOOKUP(C5314,소속부서!$A$2:$B$20,2,FALSE), "")</f>
        <v/>
      </c>
    </row>
    <row r="5315" spans="3:4" x14ac:dyDescent="0.3">
      <c r="C5315" s="35">
        <f t="shared" si="83"/>
        <v>0</v>
      </c>
      <c r="D5315" s="30" t="str">
        <f>IFERROR(VLOOKUP(C5315,소속부서!$A$2:$B$20,2,FALSE), "")</f>
        <v/>
      </c>
    </row>
    <row r="5316" spans="3:4" x14ac:dyDescent="0.3">
      <c r="C5316" s="35">
        <f t="shared" si="83"/>
        <v>0</v>
      </c>
      <c r="D5316" s="30" t="str">
        <f>IFERROR(VLOOKUP(C5316,소속부서!$A$2:$B$20,2,FALSE), "")</f>
        <v/>
      </c>
    </row>
    <row r="5317" spans="3:4" x14ac:dyDescent="0.3">
      <c r="C5317" s="35">
        <f t="shared" si="83"/>
        <v>0</v>
      </c>
      <c r="D5317" s="30" t="str">
        <f>IFERROR(VLOOKUP(C5317,소속부서!$A$2:$B$20,2,FALSE), "")</f>
        <v/>
      </c>
    </row>
    <row r="5318" spans="3:4" x14ac:dyDescent="0.3">
      <c r="C5318" s="35">
        <f t="shared" si="83"/>
        <v>0</v>
      </c>
      <c r="D5318" s="30" t="str">
        <f>IFERROR(VLOOKUP(C5318,소속부서!$A$2:$B$20,2,FALSE), "")</f>
        <v/>
      </c>
    </row>
    <row r="5319" spans="3:4" x14ac:dyDescent="0.3">
      <c r="C5319" s="35">
        <f t="shared" si="83"/>
        <v>0</v>
      </c>
      <c r="D5319" s="30" t="str">
        <f>IFERROR(VLOOKUP(C5319,소속부서!$A$2:$B$20,2,FALSE), "")</f>
        <v/>
      </c>
    </row>
    <row r="5320" spans="3:4" x14ac:dyDescent="0.3">
      <c r="C5320" s="35">
        <f t="shared" si="83"/>
        <v>0</v>
      </c>
      <c r="D5320" s="30" t="str">
        <f>IFERROR(VLOOKUP(C5320,소속부서!$A$2:$B$20,2,FALSE), "")</f>
        <v/>
      </c>
    </row>
    <row r="5321" spans="3:4" x14ac:dyDescent="0.3">
      <c r="C5321" s="35">
        <f t="shared" si="83"/>
        <v>0</v>
      </c>
      <c r="D5321" s="30" t="str">
        <f>IFERROR(VLOOKUP(C5321,소속부서!$A$2:$B$20,2,FALSE), "")</f>
        <v/>
      </c>
    </row>
    <row r="5322" spans="3:4" x14ac:dyDescent="0.3">
      <c r="C5322" s="35">
        <f t="shared" si="83"/>
        <v>0</v>
      </c>
      <c r="D5322" s="30" t="str">
        <f>IFERROR(VLOOKUP(C5322,소속부서!$A$2:$B$20,2,FALSE), "")</f>
        <v/>
      </c>
    </row>
    <row r="5323" spans="3:4" x14ac:dyDescent="0.3">
      <c r="C5323" s="35">
        <f t="shared" si="83"/>
        <v>0</v>
      </c>
      <c r="D5323" s="30" t="str">
        <f>IFERROR(VLOOKUP(C5323,소속부서!$A$2:$B$20,2,FALSE), "")</f>
        <v/>
      </c>
    </row>
    <row r="5324" spans="3:4" x14ac:dyDescent="0.3">
      <c r="C5324" s="35">
        <f t="shared" si="83"/>
        <v>0</v>
      </c>
      <c r="D5324" s="30" t="str">
        <f>IFERROR(VLOOKUP(C5324,소속부서!$A$2:$B$20,2,FALSE), "")</f>
        <v/>
      </c>
    </row>
    <row r="5325" spans="3:4" x14ac:dyDescent="0.3">
      <c r="C5325" s="35">
        <f t="shared" si="83"/>
        <v>0</v>
      </c>
      <c r="D5325" s="30" t="str">
        <f>IFERROR(VLOOKUP(C5325,소속부서!$A$2:$B$20,2,FALSE), "")</f>
        <v/>
      </c>
    </row>
    <row r="5326" spans="3:4" x14ac:dyDescent="0.3">
      <c r="C5326" s="35">
        <f t="shared" si="83"/>
        <v>0</v>
      </c>
      <c r="D5326" s="30" t="str">
        <f>IFERROR(VLOOKUP(C5326,소속부서!$A$2:$B$20,2,FALSE), "")</f>
        <v/>
      </c>
    </row>
    <row r="5327" spans="3:4" x14ac:dyDescent="0.3">
      <c r="C5327" s="35">
        <f t="shared" si="83"/>
        <v>0</v>
      </c>
      <c r="D5327" s="30" t="str">
        <f>IFERROR(VLOOKUP(C5327,소속부서!$A$2:$B$20,2,FALSE), "")</f>
        <v/>
      </c>
    </row>
    <row r="5328" spans="3:4" x14ac:dyDescent="0.3">
      <c r="C5328" s="35">
        <f t="shared" si="83"/>
        <v>0</v>
      </c>
      <c r="D5328" s="30" t="str">
        <f>IFERROR(VLOOKUP(C5328,소속부서!$A$2:$B$20,2,FALSE), "")</f>
        <v/>
      </c>
    </row>
    <row r="5329" spans="3:4" x14ac:dyDescent="0.3">
      <c r="C5329" s="35">
        <f t="shared" si="83"/>
        <v>0</v>
      </c>
      <c r="D5329" s="30" t="str">
        <f>IFERROR(VLOOKUP(C5329,소속부서!$A$2:$B$20,2,FALSE), "")</f>
        <v/>
      </c>
    </row>
    <row r="5330" spans="3:4" x14ac:dyDescent="0.3">
      <c r="C5330" s="35">
        <f t="shared" si="83"/>
        <v>0</v>
      </c>
      <c r="D5330" s="30" t="str">
        <f>IFERROR(VLOOKUP(C5330,소속부서!$A$2:$B$20,2,FALSE), "")</f>
        <v/>
      </c>
    </row>
    <row r="5331" spans="3:4" x14ac:dyDescent="0.3">
      <c r="C5331" s="35">
        <f t="shared" si="83"/>
        <v>0</v>
      </c>
      <c r="D5331" s="30" t="str">
        <f>IFERROR(VLOOKUP(C5331,소속부서!$A$2:$B$20,2,FALSE), "")</f>
        <v/>
      </c>
    </row>
    <row r="5332" spans="3:4" x14ac:dyDescent="0.3">
      <c r="C5332" s="35">
        <f t="shared" si="83"/>
        <v>0</v>
      </c>
      <c r="D5332" s="30" t="str">
        <f>IFERROR(VLOOKUP(C5332,소속부서!$A$2:$B$20,2,FALSE), "")</f>
        <v/>
      </c>
    </row>
    <row r="5333" spans="3:4" x14ac:dyDescent="0.3">
      <c r="C5333" s="35">
        <f t="shared" si="83"/>
        <v>0</v>
      </c>
      <c r="D5333" s="30" t="str">
        <f>IFERROR(VLOOKUP(C5333,소속부서!$A$2:$B$20,2,FALSE), "")</f>
        <v/>
      </c>
    </row>
    <row r="5334" spans="3:4" x14ac:dyDescent="0.3">
      <c r="C5334" s="35">
        <f t="shared" si="83"/>
        <v>0</v>
      </c>
      <c r="D5334" s="30" t="str">
        <f>IFERROR(VLOOKUP(C5334,소속부서!$A$2:$B$20,2,FALSE), "")</f>
        <v/>
      </c>
    </row>
    <row r="5335" spans="3:4" x14ac:dyDescent="0.3">
      <c r="C5335" s="35">
        <f t="shared" si="83"/>
        <v>0</v>
      </c>
      <c r="D5335" s="30" t="str">
        <f>IFERROR(VLOOKUP(C5335,소속부서!$A$2:$B$20,2,FALSE), "")</f>
        <v/>
      </c>
    </row>
    <row r="5336" spans="3:4" x14ac:dyDescent="0.3">
      <c r="C5336" s="35">
        <f t="shared" si="83"/>
        <v>0</v>
      </c>
      <c r="D5336" s="30" t="str">
        <f>IFERROR(VLOOKUP(C5336,소속부서!$A$2:$B$20,2,FALSE), "")</f>
        <v/>
      </c>
    </row>
    <row r="5337" spans="3:4" x14ac:dyDescent="0.3">
      <c r="C5337" s="35">
        <f t="shared" si="83"/>
        <v>0</v>
      </c>
      <c r="D5337" s="30" t="str">
        <f>IFERROR(VLOOKUP(C5337,소속부서!$A$2:$B$20,2,FALSE), "")</f>
        <v/>
      </c>
    </row>
    <row r="5338" spans="3:4" x14ac:dyDescent="0.3">
      <c r="C5338" s="35">
        <f t="shared" si="83"/>
        <v>0</v>
      </c>
      <c r="D5338" s="30" t="str">
        <f>IFERROR(VLOOKUP(C5338,소속부서!$A$2:$B$20,2,FALSE), "")</f>
        <v/>
      </c>
    </row>
    <row r="5339" spans="3:4" x14ac:dyDescent="0.3">
      <c r="C5339" s="35">
        <f t="shared" si="83"/>
        <v>0</v>
      </c>
      <c r="D5339" s="30" t="str">
        <f>IFERROR(VLOOKUP(C5339,소속부서!$A$2:$B$20,2,FALSE), "")</f>
        <v/>
      </c>
    </row>
    <row r="5340" spans="3:4" x14ac:dyDescent="0.3">
      <c r="C5340" s="35">
        <f t="shared" si="83"/>
        <v>0</v>
      </c>
      <c r="D5340" s="30" t="str">
        <f>IFERROR(VLOOKUP(C5340,소속부서!$A$2:$B$20,2,FALSE), "")</f>
        <v/>
      </c>
    </row>
    <row r="5341" spans="3:4" x14ac:dyDescent="0.3">
      <c r="C5341" s="35">
        <f t="shared" si="83"/>
        <v>0</v>
      </c>
      <c r="D5341" s="30" t="str">
        <f>IFERROR(VLOOKUP(C5341,소속부서!$A$2:$B$20,2,FALSE), "")</f>
        <v/>
      </c>
    </row>
    <row r="5342" spans="3:4" x14ac:dyDescent="0.3">
      <c r="C5342" s="35">
        <f t="shared" si="83"/>
        <v>0</v>
      </c>
      <c r="D5342" s="30" t="str">
        <f>IFERROR(VLOOKUP(C5342,소속부서!$A$2:$B$20,2,FALSE), "")</f>
        <v/>
      </c>
    </row>
    <row r="5343" spans="3:4" x14ac:dyDescent="0.3">
      <c r="C5343" s="35">
        <f t="shared" si="83"/>
        <v>0</v>
      </c>
      <c r="D5343" s="30" t="str">
        <f>IFERROR(VLOOKUP(C5343,소속부서!$A$2:$B$20,2,FALSE), "")</f>
        <v/>
      </c>
    </row>
    <row r="5344" spans="3:4" x14ac:dyDescent="0.3">
      <c r="C5344" s="35">
        <f t="shared" si="83"/>
        <v>0</v>
      </c>
      <c r="D5344" s="30" t="str">
        <f>IFERROR(VLOOKUP(C5344,소속부서!$A$2:$B$20,2,FALSE), "")</f>
        <v/>
      </c>
    </row>
    <row r="5345" spans="3:4" x14ac:dyDescent="0.3">
      <c r="C5345" s="35">
        <f t="shared" si="83"/>
        <v>0</v>
      </c>
      <c r="D5345" s="30" t="str">
        <f>IFERROR(VLOOKUP(C5345,소속부서!$A$2:$B$20,2,FALSE), "")</f>
        <v/>
      </c>
    </row>
    <row r="5346" spans="3:4" x14ac:dyDescent="0.3">
      <c r="C5346" s="35">
        <f t="shared" si="83"/>
        <v>0</v>
      </c>
      <c r="D5346" s="30" t="str">
        <f>IFERROR(VLOOKUP(C5346,소속부서!$A$2:$B$20,2,FALSE), "")</f>
        <v/>
      </c>
    </row>
    <row r="5347" spans="3:4" x14ac:dyDescent="0.3">
      <c r="C5347" s="35">
        <f t="shared" si="83"/>
        <v>0</v>
      </c>
      <c r="D5347" s="30" t="str">
        <f>IFERROR(VLOOKUP(C5347,소속부서!$A$2:$B$20,2,FALSE), "")</f>
        <v/>
      </c>
    </row>
    <row r="5348" spans="3:4" x14ac:dyDescent="0.3">
      <c r="C5348" s="35">
        <f t="shared" si="83"/>
        <v>0</v>
      </c>
      <c r="D5348" s="30" t="str">
        <f>IFERROR(VLOOKUP(C5348,소속부서!$A$2:$B$20,2,FALSE), "")</f>
        <v/>
      </c>
    </row>
    <row r="5349" spans="3:4" x14ac:dyDescent="0.3">
      <c r="C5349" s="35">
        <f t="shared" si="83"/>
        <v>0</v>
      </c>
      <c r="D5349" s="30" t="str">
        <f>IFERROR(VLOOKUP(C5349,소속부서!$A$2:$B$20,2,FALSE), "")</f>
        <v/>
      </c>
    </row>
    <row r="5350" spans="3:4" x14ac:dyDescent="0.3">
      <c r="C5350" s="35">
        <f t="shared" si="83"/>
        <v>0</v>
      </c>
      <c r="D5350" s="30" t="str">
        <f>IFERROR(VLOOKUP(C5350,소속부서!$A$2:$B$20,2,FALSE), "")</f>
        <v/>
      </c>
    </row>
    <row r="5351" spans="3:4" x14ac:dyDescent="0.3">
      <c r="C5351" s="35">
        <f t="shared" si="83"/>
        <v>0</v>
      </c>
      <c r="D5351" s="30" t="str">
        <f>IFERROR(VLOOKUP(C5351,소속부서!$A$2:$B$20,2,FALSE), "")</f>
        <v/>
      </c>
    </row>
    <row r="5352" spans="3:4" x14ac:dyDescent="0.3">
      <c r="C5352" s="35">
        <f t="shared" si="83"/>
        <v>0</v>
      </c>
      <c r="D5352" s="30" t="str">
        <f>IFERROR(VLOOKUP(C5352,소속부서!$A$2:$B$20,2,FALSE), "")</f>
        <v/>
      </c>
    </row>
    <row r="5353" spans="3:4" x14ac:dyDescent="0.3">
      <c r="C5353" s="35">
        <f t="shared" si="83"/>
        <v>0</v>
      </c>
      <c r="D5353" s="30" t="str">
        <f>IFERROR(VLOOKUP(C5353,소속부서!$A$2:$B$20,2,FALSE), "")</f>
        <v/>
      </c>
    </row>
    <row r="5354" spans="3:4" x14ac:dyDescent="0.3">
      <c r="C5354" s="35">
        <f t="shared" si="83"/>
        <v>0</v>
      </c>
      <c r="D5354" s="30" t="str">
        <f>IFERROR(VLOOKUP(C5354,소속부서!$A$2:$B$20,2,FALSE), "")</f>
        <v/>
      </c>
    </row>
    <row r="5355" spans="3:4" x14ac:dyDescent="0.3">
      <c r="C5355" s="35">
        <f t="shared" si="83"/>
        <v>0</v>
      </c>
      <c r="D5355" s="30" t="str">
        <f>IFERROR(VLOOKUP(C5355,소속부서!$A$2:$B$20,2,FALSE), "")</f>
        <v/>
      </c>
    </row>
    <row r="5356" spans="3:4" x14ac:dyDescent="0.3">
      <c r="C5356" s="35">
        <f t="shared" si="83"/>
        <v>0</v>
      </c>
      <c r="D5356" s="30" t="str">
        <f>IFERROR(VLOOKUP(C5356,소속부서!$A$2:$B$20,2,FALSE), "")</f>
        <v/>
      </c>
    </row>
    <row r="5357" spans="3:4" x14ac:dyDescent="0.3">
      <c r="C5357" s="35">
        <f t="shared" si="83"/>
        <v>0</v>
      </c>
      <c r="D5357" s="30" t="str">
        <f>IFERROR(VLOOKUP(C5357,소속부서!$A$2:$B$20,2,FALSE), "")</f>
        <v/>
      </c>
    </row>
    <row r="5358" spans="3:4" x14ac:dyDescent="0.3">
      <c r="C5358" s="35">
        <f t="shared" si="83"/>
        <v>0</v>
      </c>
      <c r="D5358" s="30" t="str">
        <f>IFERROR(VLOOKUP(C5358,소속부서!$A$2:$B$20,2,FALSE), "")</f>
        <v/>
      </c>
    </row>
    <row r="5359" spans="3:4" x14ac:dyDescent="0.3">
      <c r="C5359" s="35">
        <f t="shared" si="83"/>
        <v>0</v>
      </c>
      <c r="D5359" s="30" t="str">
        <f>IFERROR(VLOOKUP(C5359,소속부서!$A$2:$B$20,2,FALSE), "")</f>
        <v/>
      </c>
    </row>
    <row r="5360" spans="3:4" x14ac:dyDescent="0.3">
      <c r="C5360" s="35">
        <f t="shared" si="83"/>
        <v>0</v>
      </c>
      <c r="D5360" s="30" t="str">
        <f>IFERROR(VLOOKUP(C5360,소속부서!$A$2:$B$20,2,FALSE), "")</f>
        <v/>
      </c>
    </row>
    <row r="5361" spans="3:4" x14ac:dyDescent="0.3">
      <c r="C5361" s="35">
        <f t="shared" si="83"/>
        <v>0</v>
      </c>
      <c r="D5361" s="30" t="str">
        <f>IFERROR(VLOOKUP(C5361,소속부서!$A$2:$B$20,2,FALSE), "")</f>
        <v/>
      </c>
    </row>
    <row r="5362" spans="3:4" x14ac:dyDescent="0.3">
      <c r="C5362" s="35">
        <f t="shared" si="83"/>
        <v>0</v>
      </c>
      <c r="D5362" s="30" t="str">
        <f>IFERROR(VLOOKUP(C5362,소속부서!$A$2:$B$20,2,FALSE), "")</f>
        <v/>
      </c>
    </row>
    <row r="5363" spans="3:4" x14ac:dyDescent="0.3">
      <c r="C5363" s="35">
        <f t="shared" si="83"/>
        <v>0</v>
      </c>
      <c r="D5363" s="30" t="str">
        <f>IFERROR(VLOOKUP(C5363,소속부서!$A$2:$B$20,2,FALSE), "")</f>
        <v/>
      </c>
    </row>
    <row r="5364" spans="3:4" x14ac:dyDescent="0.3">
      <c r="C5364" s="35">
        <f t="shared" si="83"/>
        <v>0</v>
      </c>
      <c r="D5364" s="30" t="str">
        <f>IFERROR(VLOOKUP(C5364,소속부서!$A$2:$B$20,2,FALSE), "")</f>
        <v/>
      </c>
    </row>
    <row r="5365" spans="3:4" x14ac:dyDescent="0.3">
      <c r="C5365" s="35">
        <f t="shared" si="83"/>
        <v>0</v>
      </c>
      <c r="D5365" s="30" t="str">
        <f>IFERROR(VLOOKUP(C5365,소속부서!$A$2:$B$20,2,FALSE), "")</f>
        <v/>
      </c>
    </row>
    <row r="5366" spans="3:4" x14ac:dyDescent="0.3">
      <c r="C5366" s="35">
        <f t="shared" si="83"/>
        <v>0</v>
      </c>
      <c r="D5366" s="30" t="str">
        <f>IFERROR(VLOOKUP(C5366,소속부서!$A$2:$B$20,2,FALSE), "")</f>
        <v/>
      </c>
    </row>
    <row r="5367" spans="3:4" x14ac:dyDescent="0.3">
      <c r="C5367" s="35">
        <f t="shared" si="83"/>
        <v>0</v>
      </c>
      <c r="D5367" s="30" t="str">
        <f>IFERROR(VLOOKUP(C5367,소속부서!$A$2:$B$20,2,FALSE), "")</f>
        <v/>
      </c>
    </row>
    <row r="5368" spans="3:4" x14ac:dyDescent="0.3">
      <c r="C5368" s="35">
        <f t="shared" si="83"/>
        <v>0</v>
      </c>
      <c r="D5368" s="30" t="str">
        <f>IFERROR(VLOOKUP(C5368,소속부서!$A$2:$B$20,2,FALSE), "")</f>
        <v/>
      </c>
    </row>
    <row r="5369" spans="3:4" x14ac:dyDescent="0.3">
      <c r="C5369" s="35">
        <f t="shared" si="83"/>
        <v>0</v>
      </c>
      <c r="D5369" s="30" t="str">
        <f>IFERROR(VLOOKUP(C5369,소속부서!$A$2:$B$20,2,FALSE), "")</f>
        <v/>
      </c>
    </row>
    <row r="5370" spans="3:4" x14ac:dyDescent="0.3">
      <c r="C5370" s="35">
        <f t="shared" si="83"/>
        <v>0</v>
      </c>
      <c r="D5370" s="30" t="str">
        <f>IFERROR(VLOOKUP(C5370,소속부서!$A$2:$B$20,2,FALSE), "")</f>
        <v/>
      </c>
    </row>
    <row r="5371" spans="3:4" x14ac:dyDescent="0.3">
      <c r="C5371" s="35">
        <f t="shared" si="83"/>
        <v>0</v>
      </c>
      <c r="D5371" s="30" t="str">
        <f>IFERROR(VLOOKUP(C5371,소속부서!$A$2:$B$20,2,FALSE), "")</f>
        <v/>
      </c>
    </row>
    <row r="5372" spans="3:4" x14ac:dyDescent="0.3">
      <c r="C5372" s="35">
        <f t="shared" si="83"/>
        <v>0</v>
      </c>
      <c r="D5372" s="30" t="str">
        <f>IFERROR(VLOOKUP(C5372,소속부서!$A$2:$B$20,2,FALSE), "")</f>
        <v/>
      </c>
    </row>
    <row r="5373" spans="3:4" x14ac:dyDescent="0.3">
      <c r="C5373" s="35">
        <f t="shared" si="83"/>
        <v>0</v>
      </c>
      <c r="D5373" s="30" t="str">
        <f>IFERROR(VLOOKUP(C5373,소속부서!$A$2:$B$20,2,FALSE), "")</f>
        <v/>
      </c>
    </row>
    <row r="5374" spans="3:4" x14ac:dyDescent="0.3">
      <c r="C5374" s="35">
        <f t="shared" si="83"/>
        <v>0</v>
      </c>
      <c r="D5374" s="30" t="str">
        <f>IFERROR(VLOOKUP(C5374,소속부서!$A$2:$B$20,2,FALSE), "")</f>
        <v/>
      </c>
    </row>
    <row r="5375" spans="3:4" x14ac:dyDescent="0.3">
      <c r="C5375" s="35">
        <f t="shared" si="83"/>
        <v>0</v>
      </c>
      <c r="D5375" s="30" t="str">
        <f>IFERROR(VLOOKUP(C5375,소속부서!$A$2:$B$20,2,FALSE), "")</f>
        <v/>
      </c>
    </row>
    <row r="5376" spans="3:4" x14ac:dyDescent="0.3">
      <c r="C5376" s="35">
        <f t="shared" si="83"/>
        <v>0</v>
      </c>
      <c r="D5376" s="30" t="str">
        <f>IFERROR(VLOOKUP(C5376,소속부서!$A$2:$B$20,2,FALSE), "")</f>
        <v/>
      </c>
    </row>
    <row r="5377" spans="3:4" x14ac:dyDescent="0.3">
      <c r="C5377" s="35">
        <f t="shared" ref="C5377:C5440" si="84">E5377</f>
        <v>0</v>
      </c>
      <c r="D5377" s="30" t="str">
        <f>IFERROR(VLOOKUP(C5377,소속부서!$A$2:$B$20,2,FALSE), "")</f>
        <v/>
      </c>
    </row>
    <row r="5378" spans="3:4" x14ac:dyDescent="0.3">
      <c r="C5378" s="35">
        <f t="shared" si="84"/>
        <v>0</v>
      </c>
      <c r="D5378" s="30" t="str">
        <f>IFERROR(VLOOKUP(C5378,소속부서!$A$2:$B$20,2,FALSE), "")</f>
        <v/>
      </c>
    </row>
    <row r="5379" spans="3:4" x14ac:dyDescent="0.3">
      <c r="C5379" s="35">
        <f t="shared" si="84"/>
        <v>0</v>
      </c>
      <c r="D5379" s="30" t="str">
        <f>IFERROR(VLOOKUP(C5379,소속부서!$A$2:$B$20,2,FALSE), "")</f>
        <v/>
      </c>
    </row>
    <row r="5380" spans="3:4" x14ac:dyDescent="0.3">
      <c r="C5380" s="35">
        <f t="shared" si="84"/>
        <v>0</v>
      </c>
      <c r="D5380" s="30" t="str">
        <f>IFERROR(VLOOKUP(C5380,소속부서!$A$2:$B$20,2,FALSE), "")</f>
        <v/>
      </c>
    </row>
    <row r="5381" spans="3:4" x14ac:dyDescent="0.3">
      <c r="C5381" s="35">
        <f t="shared" si="84"/>
        <v>0</v>
      </c>
      <c r="D5381" s="30" t="str">
        <f>IFERROR(VLOOKUP(C5381,소속부서!$A$2:$B$20,2,FALSE), "")</f>
        <v/>
      </c>
    </row>
    <row r="5382" spans="3:4" x14ac:dyDescent="0.3">
      <c r="C5382" s="35">
        <f t="shared" si="84"/>
        <v>0</v>
      </c>
      <c r="D5382" s="30" t="str">
        <f>IFERROR(VLOOKUP(C5382,소속부서!$A$2:$B$20,2,FALSE), "")</f>
        <v/>
      </c>
    </row>
    <row r="5383" spans="3:4" x14ac:dyDescent="0.3">
      <c r="C5383" s="35">
        <f t="shared" si="84"/>
        <v>0</v>
      </c>
      <c r="D5383" s="30" t="str">
        <f>IFERROR(VLOOKUP(C5383,소속부서!$A$2:$B$20,2,FALSE), "")</f>
        <v/>
      </c>
    </row>
    <row r="5384" spans="3:4" x14ac:dyDescent="0.3">
      <c r="C5384" s="35">
        <f t="shared" si="84"/>
        <v>0</v>
      </c>
      <c r="D5384" s="30" t="str">
        <f>IFERROR(VLOOKUP(C5384,소속부서!$A$2:$B$20,2,FALSE), "")</f>
        <v/>
      </c>
    </row>
    <row r="5385" spans="3:4" x14ac:dyDescent="0.3">
      <c r="C5385" s="35">
        <f t="shared" si="84"/>
        <v>0</v>
      </c>
      <c r="D5385" s="30" t="str">
        <f>IFERROR(VLOOKUP(C5385,소속부서!$A$2:$B$20,2,FALSE), "")</f>
        <v/>
      </c>
    </row>
    <row r="5386" spans="3:4" x14ac:dyDescent="0.3">
      <c r="C5386" s="35">
        <f t="shared" si="84"/>
        <v>0</v>
      </c>
      <c r="D5386" s="30" t="str">
        <f>IFERROR(VLOOKUP(C5386,소속부서!$A$2:$B$20,2,FALSE), "")</f>
        <v/>
      </c>
    </row>
    <row r="5387" spans="3:4" x14ac:dyDescent="0.3">
      <c r="C5387" s="35">
        <f t="shared" si="84"/>
        <v>0</v>
      </c>
      <c r="D5387" s="30" t="str">
        <f>IFERROR(VLOOKUP(C5387,소속부서!$A$2:$B$20,2,FALSE), "")</f>
        <v/>
      </c>
    </row>
    <row r="5388" spans="3:4" x14ac:dyDescent="0.3">
      <c r="C5388" s="35">
        <f t="shared" si="84"/>
        <v>0</v>
      </c>
      <c r="D5388" s="30" t="str">
        <f>IFERROR(VLOOKUP(C5388,소속부서!$A$2:$B$20,2,FALSE), "")</f>
        <v/>
      </c>
    </row>
    <row r="5389" spans="3:4" x14ac:dyDescent="0.3">
      <c r="C5389" s="35">
        <f t="shared" si="84"/>
        <v>0</v>
      </c>
      <c r="D5389" s="30" t="str">
        <f>IFERROR(VLOOKUP(C5389,소속부서!$A$2:$B$20,2,FALSE), "")</f>
        <v/>
      </c>
    </row>
    <row r="5390" spans="3:4" x14ac:dyDescent="0.3">
      <c r="C5390" s="35">
        <f t="shared" si="84"/>
        <v>0</v>
      </c>
      <c r="D5390" s="30" t="str">
        <f>IFERROR(VLOOKUP(C5390,소속부서!$A$2:$B$20,2,FALSE), "")</f>
        <v/>
      </c>
    </row>
    <row r="5391" spans="3:4" x14ac:dyDescent="0.3">
      <c r="C5391" s="35">
        <f t="shared" si="84"/>
        <v>0</v>
      </c>
      <c r="D5391" s="30" t="str">
        <f>IFERROR(VLOOKUP(C5391,소속부서!$A$2:$B$20,2,FALSE), "")</f>
        <v/>
      </c>
    </row>
    <row r="5392" spans="3:4" x14ac:dyDescent="0.3">
      <c r="C5392" s="35">
        <f t="shared" si="84"/>
        <v>0</v>
      </c>
      <c r="D5392" s="30" t="str">
        <f>IFERROR(VLOOKUP(C5392,소속부서!$A$2:$B$20,2,FALSE), "")</f>
        <v/>
      </c>
    </row>
    <row r="5393" spans="3:4" x14ac:dyDescent="0.3">
      <c r="C5393" s="35">
        <f t="shared" si="84"/>
        <v>0</v>
      </c>
      <c r="D5393" s="30" t="str">
        <f>IFERROR(VLOOKUP(C5393,소속부서!$A$2:$B$20,2,FALSE), "")</f>
        <v/>
      </c>
    </row>
    <row r="5394" spans="3:4" x14ac:dyDescent="0.3">
      <c r="C5394" s="35">
        <f t="shared" si="84"/>
        <v>0</v>
      </c>
      <c r="D5394" s="30" t="str">
        <f>IFERROR(VLOOKUP(C5394,소속부서!$A$2:$B$20,2,FALSE), "")</f>
        <v/>
      </c>
    </row>
    <row r="5395" spans="3:4" x14ac:dyDescent="0.3">
      <c r="C5395" s="35">
        <f t="shared" si="84"/>
        <v>0</v>
      </c>
      <c r="D5395" s="30" t="str">
        <f>IFERROR(VLOOKUP(C5395,소속부서!$A$2:$B$20,2,FALSE), "")</f>
        <v/>
      </c>
    </row>
    <row r="5396" spans="3:4" x14ac:dyDescent="0.3">
      <c r="C5396" s="35">
        <f t="shared" si="84"/>
        <v>0</v>
      </c>
      <c r="D5396" s="30" t="str">
        <f>IFERROR(VLOOKUP(C5396,소속부서!$A$2:$B$20,2,FALSE), "")</f>
        <v/>
      </c>
    </row>
    <row r="5397" spans="3:4" x14ac:dyDescent="0.3">
      <c r="C5397" s="35">
        <f t="shared" si="84"/>
        <v>0</v>
      </c>
      <c r="D5397" s="30" t="str">
        <f>IFERROR(VLOOKUP(C5397,소속부서!$A$2:$B$20,2,FALSE), "")</f>
        <v/>
      </c>
    </row>
    <row r="5398" spans="3:4" x14ac:dyDescent="0.3">
      <c r="C5398" s="35">
        <f t="shared" si="84"/>
        <v>0</v>
      </c>
      <c r="D5398" s="30" t="str">
        <f>IFERROR(VLOOKUP(C5398,소속부서!$A$2:$B$20,2,FALSE), "")</f>
        <v/>
      </c>
    </row>
    <row r="5399" spans="3:4" x14ac:dyDescent="0.3">
      <c r="C5399" s="35">
        <f t="shared" si="84"/>
        <v>0</v>
      </c>
      <c r="D5399" s="30" t="str">
        <f>IFERROR(VLOOKUP(C5399,소속부서!$A$2:$B$20,2,FALSE), "")</f>
        <v/>
      </c>
    </row>
    <row r="5400" spans="3:4" x14ac:dyDescent="0.3">
      <c r="C5400" s="35">
        <f t="shared" si="84"/>
        <v>0</v>
      </c>
      <c r="D5400" s="30" t="str">
        <f>IFERROR(VLOOKUP(C5400,소속부서!$A$2:$B$20,2,FALSE), "")</f>
        <v/>
      </c>
    </row>
    <row r="5401" spans="3:4" x14ac:dyDescent="0.3">
      <c r="C5401" s="35">
        <f t="shared" si="84"/>
        <v>0</v>
      </c>
      <c r="D5401" s="30" t="str">
        <f>IFERROR(VLOOKUP(C5401,소속부서!$A$2:$B$20,2,FALSE), "")</f>
        <v/>
      </c>
    </row>
    <row r="5402" spans="3:4" x14ac:dyDescent="0.3">
      <c r="C5402" s="35">
        <f t="shared" si="84"/>
        <v>0</v>
      </c>
      <c r="D5402" s="30" t="str">
        <f>IFERROR(VLOOKUP(C5402,소속부서!$A$2:$B$20,2,FALSE), "")</f>
        <v/>
      </c>
    </row>
    <row r="5403" spans="3:4" x14ac:dyDescent="0.3">
      <c r="C5403" s="35">
        <f t="shared" si="84"/>
        <v>0</v>
      </c>
      <c r="D5403" s="30" t="str">
        <f>IFERROR(VLOOKUP(C5403,소속부서!$A$2:$B$20,2,FALSE), "")</f>
        <v/>
      </c>
    </row>
    <row r="5404" spans="3:4" x14ac:dyDescent="0.3">
      <c r="C5404" s="35">
        <f t="shared" si="84"/>
        <v>0</v>
      </c>
      <c r="D5404" s="30" t="str">
        <f>IFERROR(VLOOKUP(C5404,소속부서!$A$2:$B$20,2,FALSE), "")</f>
        <v/>
      </c>
    </row>
    <row r="5405" spans="3:4" x14ac:dyDescent="0.3">
      <c r="C5405" s="35">
        <f t="shared" si="84"/>
        <v>0</v>
      </c>
      <c r="D5405" s="30" t="str">
        <f>IFERROR(VLOOKUP(C5405,소속부서!$A$2:$B$20,2,FALSE), "")</f>
        <v/>
      </c>
    </row>
    <row r="5406" spans="3:4" x14ac:dyDescent="0.3">
      <c r="C5406" s="35">
        <f t="shared" si="84"/>
        <v>0</v>
      </c>
      <c r="D5406" s="30" t="str">
        <f>IFERROR(VLOOKUP(C5406,소속부서!$A$2:$B$20,2,FALSE), "")</f>
        <v/>
      </c>
    </row>
    <row r="5407" spans="3:4" x14ac:dyDescent="0.3">
      <c r="C5407" s="35">
        <f t="shared" si="84"/>
        <v>0</v>
      </c>
      <c r="D5407" s="30" t="str">
        <f>IFERROR(VLOOKUP(C5407,소속부서!$A$2:$B$20,2,FALSE), "")</f>
        <v/>
      </c>
    </row>
    <row r="5408" spans="3:4" x14ac:dyDescent="0.3">
      <c r="C5408" s="35">
        <f t="shared" si="84"/>
        <v>0</v>
      </c>
      <c r="D5408" s="30" t="str">
        <f>IFERROR(VLOOKUP(C5408,소속부서!$A$2:$B$20,2,FALSE), "")</f>
        <v/>
      </c>
    </row>
    <row r="5409" spans="3:4" x14ac:dyDescent="0.3">
      <c r="C5409" s="35">
        <f t="shared" si="84"/>
        <v>0</v>
      </c>
      <c r="D5409" s="30" t="str">
        <f>IFERROR(VLOOKUP(C5409,소속부서!$A$2:$B$20,2,FALSE), "")</f>
        <v/>
      </c>
    </row>
    <row r="5410" spans="3:4" x14ac:dyDescent="0.3">
      <c r="C5410" s="35">
        <f t="shared" si="84"/>
        <v>0</v>
      </c>
      <c r="D5410" s="30" t="str">
        <f>IFERROR(VLOOKUP(C5410,소속부서!$A$2:$B$20,2,FALSE), "")</f>
        <v/>
      </c>
    </row>
    <row r="5411" spans="3:4" x14ac:dyDescent="0.3">
      <c r="C5411" s="35">
        <f t="shared" si="84"/>
        <v>0</v>
      </c>
      <c r="D5411" s="30" t="str">
        <f>IFERROR(VLOOKUP(C5411,소속부서!$A$2:$B$20,2,FALSE), "")</f>
        <v/>
      </c>
    </row>
    <row r="5412" spans="3:4" x14ac:dyDescent="0.3">
      <c r="C5412" s="35">
        <f t="shared" si="84"/>
        <v>0</v>
      </c>
      <c r="D5412" s="30" t="str">
        <f>IFERROR(VLOOKUP(C5412,소속부서!$A$2:$B$20,2,FALSE), "")</f>
        <v/>
      </c>
    </row>
    <row r="5413" spans="3:4" x14ac:dyDescent="0.3">
      <c r="C5413" s="35">
        <f t="shared" si="84"/>
        <v>0</v>
      </c>
      <c r="D5413" s="30" t="str">
        <f>IFERROR(VLOOKUP(C5413,소속부서!$A$2:$B$20,2,FALSE), "")</f>
        <v/>
      </c>
    </row>
    <row r="5414" spans="3:4" x14ac:dyDescent="0.3">
      <c r="C5414" s="35">
        <f t="shared" si="84"/>
        <v>0</v>
      </c>
      <c r="D5414" s="30" t="str">
        <f>IFERROR(VLOOKUP(C5414,소속부서!$A$2:$B$20,2,FALSE), "")</f>
        <v/>
      </c>
    </row>
    <row r="5415" spans="3:4" x14ac:dyDescent="0.3">
      <c r="C5415" s="35">
        <f t="shared" si="84"/>
        <v>0</v>
      </c>
      <c r="D5415" s="30" t="str">
        <f>IFERROR(VLOOKUP(C5415,소속부서!$A$2:$B$20,2,FALSE), "")</f>
        <v/>
      </c>
    </row>
    <row r="5416" spans="3:4" x14ac:dyDescent="0.3">
      <c r="C5416" s="35">
        <f t="shared" si="84"/>
        <v>0</v>
      </c>
      <c r="D5416" s="30" t="str">
        <f>IFERROR(VLOOKUP(C5416,소속부서!$A$2:$B$20,2,FALSE), "")</f>
        <v/>
      </c>
    </row>
    <row r="5417" spans="3:4" x14ac:dyDescent="0.3">
      <c r="C5417" s="35">
        <f t="shared" si="84"/>
        <v>0</v>
      </c>
      <c r="D5417" s="30" t="str">
        <f>IFERROR(VLOOKUP(C5417,소속부서!$A$2:$B$20,2,FALSE), "")</f>
        <v/>
      </c>
    </row>
    <row r="5418" spans="3:4" x14ac:dyDescent="0.3">
      <c r="C5418" s="35">
        <f t="shared" si="84"/>
        <v>0</v>
      </c>
      <c r="D5418" s="30" t="str">
        <f>IFERROR(VLOOKUP(C5418,소속부서!$A$2:$B$20,2,FALSE), "")</f>
        <v/>
      </c>
    </row>
    <row r="5419" spans="3:4" x14ac:dyDescent="0.3">
      <c r="C5419" s="35">
        <f t="shared" si="84"/>
        <v>0</v>
      </c>
      <c r="D5419" s="30" t="str">
        <f>IFERROR(VLOOKUP(C5419,소속부서!$A$2:$B$20,2,FALSE), "")</f>
        <v/>
      </c>
    </row>
    <row r="5420" spans="3:4" x14ac:dyDescent="0.3">
      <c r="C5420" s="35">
        <f t="shared" si="84"/>
        <v>0</v>
      </c>
      <c r="D5420" s="30" t="str">
        <f>IFERROR(VLOOKUP(C5420,소속부서!$A$2:$B$20,2,FALSE), "")</f>
        <v/>
      </c>
    </row>
    <row r="5421" spans="3:4" x14ac:dyDescent="0.3">
      <c r="C5421" s="35">
        <f t="shared" si="84"/>
        <v>0</v>
      </c>
      <c r="D5421" s="30" t="str">
        <f>IFERROR(VLOOKUP(C5421,소속부서!$A$2:$B$20,2,FALSE), "")</f>
        <v/>
      </c>
    </row>
    <row r="5422" spans="3:4" x14ac:dyDescent="0.3">
      <c r="C5422" s="35">
        <f t="shared" si="84"/>
        <v>0</v>
      </c>
      <c r="D5422" s="30" t="str">
        <f>IFERROR(VLOOKUP(C5422,소속부서!$A$2:$B$20,2,FALSE), "")</f>
        <v/>
      </c>
    </row>
    <row r="5423" spans="3:4" x14ac:dyDescent="0.3">
      <c r="C5423" s="35">
        <f t="shared" si="84"/>
        <v>0</v>
      </c>
      <c r="D5423" s="30" t="str">
        <f>IFERROR(VLOOKUP(C5423,소속부서!$A$2:$B$20,2,FALSE), "")</f>
        <v/>
      </c>
    </row>
    <row r="5424" spans="3:4" x14ac:dyDescent="0.3">
      <c r="C5424" s="35">
        <f t="shared" si="84"/>
        <v>0</v>
      </c>
      <c r="D5424" s="30" t="str">
        <f>IFERROR(VLOOKUP(C5424,소속부서!$A$2:$B$20,2,FALSE), "")</f>
        <v/>
      </c>
    </row>
    <row r="5425" spans="3:4" x14ac:dyDescent="0.3">
      <c r="C5425" s="35">
        <f t="shared" si="84"/>
        <v>0</v>
      </c>
      <c r="D5425" s="30" t="str">
        <f>IFERROR(VLOOKUP(C5425,소속부서!$A$2:$B$20,2,FALSE), "")</f>
        <v/>
      </c>
    </row>
    <row r="5426" spans="3:4" x14ac:dyDescent="0.3">
      <c r="C5426" s="35">
        <f t="shared" si="84"/>
        <v>0</v>
      </c>
      <c r="D5426" s="30" t="str">
        <f>IFERROR(VLOOKUP(C5426,소속부서!$A$2:$B$20,2,FALSE), "")</f>
        <v/>
      </c>
    </row>
    <row r="5427" spans="3:4" x14ac:dyDescent="0.3">
      <c r="C5427" s="35">
        <f t="shared" si="84"/>
        <v>0</v>
      </c>
      <c r="D5427" s="30" t="str">
        <f>IFERROR(VLOOKUP(C5427,소속부서!$A$2:$B$20,2,FALSE), "")</f>
        <v/>
      </c>
    </row>
    <row r="5428" spans="3:4" x14ac:dyDescent="0.3">
      <c r="C5428" s="35">
        <f t="shared" si="84"/>
        <v>0</v>
      </c>
      <c r="D5428" s="30" t="str">
        <f>IFERROR(VLOOKUP(C5428,소속부서!$A$2:$B$20,2,FALSE), "")</f>
        <v/>
      </c>
    </row>
    <row r="5429" spans="3:4" x14ac:dyDescent="0.3">
      <c r="C5429" s="35">
        <f t="shared" si="84"/>
        <v>0</v>
      </c>
      <c r="D5429" s="30" t="str">
        <f>IFERROR(VLOOKUP(C5429,소속부서!$A$2:$B$20,2,FALSE), "")</f>
        <v/>
      </c>
    </row>
    <row r="5430" spans="3:4" x14ac:dyDescent="0.3">
      <c r="C5430" s="35">
        <f t="shared" si="84"/>
        <v>0</v>
      </c>
      <c r="D5430" s="30" t="str">
        <f>IFERROR(VLOOKUP(C5430,소속부서!$A$2:$B$20,2,FALSE), "")</f>
        <v/>
      </c>
    </row>
    <row r="5431" spans="3:4" x14ac:dyDescent="0.3">
      <c r="C5431" s="35">
        <f t="shared" si="84"/>
        <v>0</v>
      </c>
      <c r="D5431" s="30" t="str">
        <f>IFERROR(VLOOKUP(C5431,소속부서!$A$2:$B$20,2,FALSE), "")</f>
        <v/>
      </c>
    </row>
    <row r="5432" spans="3:4" x14ac:dyDescent="0.3">
      <c r="C5432" s="35">
        <f t="shared" si="84"/>
        <v>0</v>
      </c>
      <c r="D5432" s="30" t="str">
        <f>IFERROR(VLOOKUP(C5432,소속부서!$A$2:$B$20,2,FALSE), "")</f>
        <v/>
      </c>
    </row>
    <row r="5433" spans="3:4" x14ac:dyDescent="0.3">
      <c r="C5433" s="35">
        <f t="shared" si="84"/>
        <v>0</v>
      </c>
      <c r="D5433" s="30" t="str">
        <f>IFERROR(VLOOKUP(C5433,소속부서!$A$2:$B$20,2,FALSE), "")</f>
        <v/>
      </c>
    </row>
    <row r="5434" spans="3:4" x14ac:dyDescent="0.3">
      <c r="C5434" s="35">
        <f t="shared" si="84"/>
        <v>0</v>
      </c>
      <c r="D5434" s="30" t="str">
        <f>IFERROR(VLOOKUP(C5434,소속부서!$A$2:$B$20,2,FALSE), "")</f>
        <v/>
      </c>
    </row>
    <row r="5435" spans="3:4" x14ac:dyDescent="0.3">
      <c r="C5435" s="35">
        <f t="shared" si="84"/>
        <v>0</v>
      </c>
      <c r="D5435" s="30" t="str">
        <f>IFERROR(VLOOKUP(C5435,소속부서!$A$2:$B$20,2,FALSE), "")</f>
        <v/>
      </c>
    </row>
    <row r="5436" spans="3:4" x14ac:dyDescent="0.3">
      <c r="C5436" s="35">
        <f t="shared" si="84"/>
        <v>0</v>
      </c>
      <c r="D5436" s="30" t="str">
        <f>IFERROR(VLOOKUP(C5436,소속부서!$A$2:$B$20,2,FALSE), "")</f>
        <v/>
      </c>
    </row>
    <row r="5437" spans="3:4" x14ac:dyDescent="0.3">
      <c r="C5437" s="35">
        <f t="shared" si="84"/>
        <v>0</v>
      </c>
      <c r="D5437" s="30" t="str">
        <f>IFERROR(VLOOKUP(C5437,소속부서!$A$2:$B$20,2,FALSE), "")</f>
        <v/>
      </c>
    </row>
    <row r="5438" spans="3:4" x14ac:dyDescent="0.3">
      <c r="C5438" s="35">
        <f t="shared" si="84"/>
        <v>0</v>
      </c>
      <c r="D5438" s="30" t="str">
        <f>IFERROR(VLOOKUP(C5438,소속부서!$A$2:$B$20,2,FALSE), "")</f>
        <v/>
      </c>
    </row>
    <row r="5439" spans="3:4" x14ac:dyDescent="0.3">
      <c r="C5439" s="35">
        <f t="shared" si="84"/>
        <v>0</v>
      </c>
      <c r="D5439" s="30" t="str">
        <f>IFERROR(VLOOKUP(C5439,소속부서!$A$2:$B$20,2,FALSE), "")</f>
        <v/>
      </c>
    </row>
    <row r="5440" spans="3:4" x14ac:dyDescent="0.3">
      <c r="C5440" s="35">
        <f t="shared" si="84"/>
        <v>0</v>
      </c>
      <c r="D5440" s="30" t="str">
        <f>IFERROR(VLOOKUP(C5440,소속부서!$A$2:$B$20,2,FALSE), "")</f>
        <v/>
      </c>
    </row>
    <row r="5441" spans="3:4" x14ac:dyDescent="0.3">
      <c r="C5441" s="35">
        <f t="shared" ref="C5441:C5504" si="85">E5441</f>
        <v>0</v>
      </c>
      <c r="D5441" s="30" t="str">
        <f>IFERROR(VLOOKUP(C5441,소속부서!$A$2:$B$20,2,FALSE), "")</f>
        <v/>
      </c>
    </row>
    <row r="5442" spans="3:4" x14ac:dyDescent="0.3">
      <c r="C5442" s="35">
        <f t="shared" si="85"/>
        <v>0</v>
      </c>
      <c r="D5442" s="30" t="str">
        <f>IFERROR(VLOOKUP(C5442,소속부서!$A$2:$B$20,2,FALSE), "")</f>
        <v/>
      </c>
    </row>
    <row r="5443" spans="3:4" x14ac:dyDescent="0.3">
      <c r="C5443" s="35">
        <f t="shared" si="85"/>
        <v>0</v>
      </c>
      <c r="D5443" s="30" t="str">
        <f>IFERROR(VLOOKUP(C5443,소속부서!$A$2:$B$20,2,FALSE), "")</f>
        <v/>
      </c>
    </row>
    <row r="5444" spans="3:4" x14ac:dyDescent="0.3">
      <c r="C5444" s="35">
        <f t="shared" si="85"/>
        <v>0</v>
      </c>
      <c r="D5444" s="30" t="str">
        <f>IFERROR(VLOOKUP(C5444,소속부서!$A$2:$B$20,2,FALSE), "")</f>
        <v/>
      </c>
    </row>
    <row r="5445" spans="3:4" x14ac:dyDescent="0.3">
      <c r="C5445" s="35">
        <f t="shared" si="85"/>
        <v>0</v>
      </c>
      <c r="D5445" s="30" t="str">
        <f>IFERROR(VLOOKUP(C5445,소속부서!$A$2:$B$20,2,FALSE), "")</f>
        <v/>
      </c>
    </row>
    <row r="5446" spans="3:4" x14ac:dyDescent="0.3">
      <c r="C5446" s="35">
        <f t="shared" si="85"/>
        <v>0</v>
      </c>
      <c r="D5446" s="30" t="str">
        <f>IFERROR(VLOOKUP(C5446,소속부서!$A$2:$B$20,2,FALSE), "")</f>
        <v/>
      </c>
    </row>
    <row r="5447" spans="3:4" x14ac:dyDescent="0.3">
      <c r="C5447" s="35">
        <f t="shared" si="85"/>
        <v>0</v>
      </c>
      <c r="D5447" s="30" t="str">
        <f>IFERROR(VLOOKUP(C5447,소속부서!$A$2:$B$20,2,FALSE), "")</f>
        <v/>
      </c>
    </row>
    <row r="5448" spans="3:4" x14ac:dyDescent="0.3">
      <c r="C5448" s="35">
        <f t="shared" si="85"/>
        <v>0</v>
      </c>
      <c r="D5448" s="30" t="str">
        <f>IFERROR(VLOOKUP(C5448,소속부서!$A$2:$B$20,2,FALSE), "")</f>
        <v/>
      </c>
    </row>
    <row r="5449" spans="3:4" x14ac:dyDescent="0.3">
      <c r="C5449" s="35">
        <f t="shared" si="85"/>
        <v>0</v>
      </c>
      <c r="D5449" s="30" t="str">
        <f>IFERROR(VLOOKUP(C5449,소속부서!$A$2:$B$20,2,FALSE), "")</f>
        <v/>
      </c>
    </row>
    <row r="5450" spans="3:4" x14ac:dyDescent="0.3">
      <c r="C5450" s="35">
        <f t="shared" si="85"/>
        <v>0</v>
      </c>
      <c r="D5450" s="30" t="str">
        <f>IFERROR(VLOOKUP(C5450,소속부서!$A$2:$B$20,2,FALSE), "")</f>
        <v/>
      </c>
    </row>
    <row r="5451" spans="3:4" x14ac:dyDescent="0.3">
      <c r="C5451" s="35">
        <f t="shared" si="85"/>
        <v>0</v>
      </c>
      <c r="D5451" s="30" t="str">
        <f>IFERROR(VLOOKUP(C5451,소속부서!$A$2:$B$20,2,FALSE), "")</f>
        <v/>
      </c>
    </row>
    <row r="5452" spans="3:4" x14ac:dyDescent="0.3">
      <c r="C5452" s="35">
        <f t="shared" si="85"/>
        <v>0</v>
      </c>
      <c r="D5452" s="30" t="str">
        <f>IFERROR(VLOOKUP(C5452,소속부서!$A$2:$B$20,2,FALSE), "")</f>
        <v/>
      </c>
    </row>
    <row r="5453" spans="3:4" x14ac:dyDescent="0.3">
      <c r="C5453" s="35">
        <f t="shared" si="85"/>
        <v>0</v>
      </c>
      <c r="D5453" s="30" t="str">
        <f>IFERROR(VLOOKUP(C5453,소속부서!$A$2:$B$20,2,FALSE), "")</f>
        <v/>
      </c>
    </row>
    <row r="5454" spans="3:4" x14ac:dyDescent="0.3">
      <c r="C5454" s="35">
        <f t="shared" si="85"/>
        <v>0</v>
      </c>
      <c r="D5454" s="30" t="str">
        <f>IFERROR(VLOOKUP(C5454,소속부서!$A$2:$B$20,2,FALSE), "")</f>
        <v/>
      </c>
    </row>
    <row r="5455" spans="3:4" x14ac:dyDescent="0.3">
      <c r="C5455" s="35">
        <f t="shared" si="85"/>
        <v>0</v>
      </c>
      <c r="D5455" s="30" t="str">
        <f>IFERROR(VLOOKUP(C5455,소속부서!$A$2:$B$20,2,FALSE), "")</f>
        <v/>
      </c>
    </row>
    <row r="5456" spans="3:4" x14ac:dyDescent="0.3">
      <c r="C5456" s="35">
        <f t="shared" si="85"/>
        <v>0</v>
      </c>
      <c r="D5456" s="30" t="str">
        <f>IFERROR(VLOOKUP(C5456,소속부서!$A$2:$B$20,2,FALSE), "")</f>
        <v/>
      </c>
    </row>
    <row r="5457" spans="3:4" x14ac:dyDescent="0.3">
      <c r="C5457" s="35">
        <f t="shared" si="85"/>
        <v>0</v>
      </c>
      <c r="D5457" s="30" t="str">
        <f>IFERROR(VLOOKUP(C5457,소속부서!$A$2:$B$20,2,FALSE), "")</f>
        <v/>
      </c>
    </row>
    <row r="5458" spans="3:4" x14ac:dyDescent="0.3">
      <c r="C5458" s="35">
        <f t="shared" si="85"/>
        <v>0</v>
      </c>
      <c r="D5458" s="30" t="str">
        <f>IFERROR(VLOOKUP(C5458,소속부서!$A$2:$B$20,2,FALSE), "")</f>
        <v/>
      </c>
    </row>
    <row r="5459" spans="3:4" x14ac:dyDescent="0.3">
      <c r="C5459" s="35">
        <f t="shared" si="85"/>
        <v>0</v>
      </c>
      <c r="D5459" s="30" t="str">
        <f>IFERROR(VLOOKUP(C5459,소속부서!$A$2:$B$20,2,FALSE), "")</f>
        <v/>
      </c>
    </row>
    <row r="5460" spans="3:4" x14ac:dyDescent="0.3">
      <c r="C5460" s="35">
        <f t="shared" si="85"/>
        <v>0</v>
      </c>
      <c r="D5460" s="30" t="str">
        <f>IFERROR(VLOOKUP(C5460,소속부서!$A$2:$B$20,2,FALSE), "")</f>
        <v/>
      </c>
    </row>
    <row r="5461" spans="3:4" x14ac:dyDescent="0.3">
      <c r="C5461" s="35">
        <f t="shared" si="85"/>
        <v>0</v>
      </c>
      <c r="D5461" s="30" t="str">
        <f>IFERROR(VLOOKUP(C5461,소속부서!$A$2:$B$20,2,FALSE), "")</f>
        <v/>
      </c>
    </row>
    <row r="5462" spans="3:4" x14ac:dyDescent="0.3">
      <c r="C5462" s="35">
        <f t="shared" si="85"/>
        <v>0</v>
      </c>
      <c r="D5462" s="30" t="str">
        <f>IFERROR(VLOOKUP(C5462,소속부서!$A$2:$B$20,2,FALSE), "")</f>
        <v/>
      </c>
    </row>
    <row r="5463" spans="3:4" x14ac:dyDescent="0.3">
      <c r="C5463" s="35">
        <f t="shared" si="85"/>
        <v>0</v>
      </c>
      <c r="D5463" s="30" t="str">
        <f>IFERROR(VLOOKUP(C5463,소속부서!$A$2:$B$20,2,FALSE), "")</f>
        <v/>
      </c>
    </row>
    <row r="5464" spans="3:4" x14ac:dyDescent="0.3">
      <c r="C5464" s="35">
        <f t="shared" si="85"/>
        <v>0</v>
      </c>
      <c r="D5464" s="30" t="str">
        <f>IFERROR(VLOOKUP(C5464,소속부서!$A$2:$B$20,2,FALSE), "")</f>
        <v/>
      </c>
    </row>
    <row r="5465" spans="3:4" x14ac:dyDescent="0.3">
      <c r="C5465" s="35">
        <f t="shared" si="85"/>
        <v>0</v>
      </c>
      <c r="D5465" s="30" t="str">
        <f>IFERROR(VLOOKUP(C5465,소속부서!$A$2:$B$20,2,FALSE), "")</f>
        <v/>
      </c>
    </row>
    <row r="5466" spans="3:4" x14ac:dyDescent="0.3">
      <c r="C5466" s="35">
        <f t="shared" si="85"/>
        <v>0</v>
      </c>
      <c r="D5466" s="30" t="str">
        <f>IFERROR(VLOOKUP(C5466,소속부서!$A$2:$B$20,2,FALSE), "")</f>
        <v/>
      </c>
    </row>
    <row r="5467" spans="3:4" x14ac:dyDescent="0.3">
      <c r="C5467" s="35">
        <f t="shared" si="85"/>
        <v>0</v>
      </c>
      <c r="D5467" s="30" t="str">
        <f>IFERROR(VLOOKUP(C5467,소속부서!$A$2:$B$20,2,FALSE), "")</f>
        <v/>
      </c>
    </row>
    <row r="5468" spans="3:4" x14ac:dyDescent="0.3">
      <c r="C5468" s="35">
        <f t="shared" si="85"/>
        <v>0</v>
      </c>
      <c r="D5468" s="30" t="str">
        <f>IFERROR(VLOOKUP(C5468,소속부서!$A$2:$B$20,2,FALSE), "")</f>
        <v/>
      </c>
    </row>
    <row r="5469" spans="3:4" x14ac:dyDescent="0.3">
      <c r="C5469" s="35">
        <f t="shared" si="85"/>
        <v>0</v>
      </c>
      <c r="D5469" s="30" t="str">
        <f>IFERROR(VLOOKUP(C5469,소속부서!$A$2:$B$20,2,FALSE), "")</f>
        <v/>
      </c>
    </row>
    <row r="5470" spans="3:4" x14ac:dyDescent="0.3">
      <c r="C5470" s="35">
        <f t="shared" si="85"/>
        <v>0</v>
      </c>
      <c r="D5470" s="30" t="str">
        <f>IFERROR(VLOOKUP(C5470,소속부서!$A$2:$B$20,2,FALSE), "")</f>
        <v/>
      </c>
    </row>
    <row r="5471" spans="3:4" x14ac:dyDescent="0.3">
      <c r="C5471" s="35">
        <f t="shared" si="85"/>
        <v>0</v>
      </c>
      <c r="D5471" s="30" t="str">
        <f>IFERROR(VLOOKUP(C5471,소속부서!$A$2:$B$20,2,FALSE), "")</f>
        <v/>
      </c>
    </row>
    <row r="5472" spans="3:4" x14ac:dyDescent="0.3">
      <c r="C5472" s="35">
        <f t="shared" si="85"/>
        <v>0</v>
      </c>
      <c r="D5472" s="30" t="str">
        <f>IFERROR(VLOOKUP(C5472,소속부서!$A$2:$B$20,2,FALSE), "")</f>
        <v/>
      </c>
    </row>
    <row r="5473" spans="3:4" x14ac:dyDescent="0.3">
      <c r="C5473" s="35">
        <f t="shared" si="85"/>
        <v>0</v>
      </c>
      <c r="D5473" s="30" t="str">
        <f>IFERROR(VLOOKUP(C5473,소속부서!$A$2:$B$20,2,FALSE), "")</f>
        <v/>
      </c>
    </row>
    <row r="5474" spans="3:4" x14ac:dyDescent="0.3">
      <c r="C5474" s="35">
        <f t="shared" si="85"/>
        <v>0</v>
      </c>
      <c r="D5474" s="30" t="str">
        <f>IFERROR(VLOOKUP(C5474,소속부서!$A$2:$B$20,2,FALSE), "")</f>
        <v/>
      </c>
    </row>
    <row r="5475" spans="3:4" x14ac:dyDescent="0.3">
      <c r="C5475" s="35">
        <f t="shared" si="85"/>
        <v>0</v>
      </c>
      <c r="D5475" s="30" t="str">
        <f>IFERROR(VLOOKUP(C5475,소속부서!$A$2:$B$20,2,FALSE), "")</f>
        <v/>
      </c>
    </row>
    <row r="5476" spans="3:4" x14ac:dyDescent="0.3">
      <c r="C5476" s="35">
        <f t="shared" si="85"/>
        <v>0</v>
      </c>
      <c r="D5476" s="30" t="str">
        <f>IFERROR(VLOOKUP(C5476,소속부서!$A$2:$B$20,2,FALSE), "")</f>
        <v/>
      </c>
    </row>
    <row r="5477" spans="3:4" x14ac:dyDescent="0.3">
      <c r="C5477" s="35">
        <f t="shared" si="85"/>
        <v>0</v>
      </c>
      <c r="D5477" s="30" t="str">
        <f>IFERROR(VLOOKUP(C5477,소속부서!$A$2:$B$20,2,FALSE), "")</f>
        <v/>
      </c>
    </row>
    <row r="5478" spans="3:4" x14ac:dyDescent="0.3">
      <c r="C5478" s="35">
        <f t="shared" si="85"/>
        <v>0</v>
      </c>
      <c r="D5478" s="30" t="str">
        <f>IFERROR(VLOOKUP(C5478,소속부서!$A$2:$B$20,2,FALSE), "")</f>
        <v/>
      </c>
    </row>
    <row r="5479" spans="3:4" x14ac:dyDescent="0.3">
      <c r="C5479" s="35">
        <f t="shared" si="85"/>
        <v>0</v>
      </c>
      <c r="D5479" s="30" t="str">
        <f>IFERROR(VLOOKUP(C5479,소속부서!$A$2:$B$20,2,FALSE), "")</f>
        <v/>
      </c>
    </row>
    <row r="5480" spans="3:4" x14ac:dyDescent="0.3">
      <c r="C5480" s="35">
        <f t="shared" si="85"/>
        <v>0</v>
      </c>
      <c r="D5480" s="30" t="str">
        <f>IFERROR(VLOOKUP(C5480,소속부서!$A$2:$B$20,2,FALSE), "")</f>
        <v/>
      </c>
    </row>
    <row r="5481" spans="3:4" x14ac:dyDescent="0.3">
      <c r="C5481" s="35">
        <f t="shared" si="85"/>
        <v>0</v>
      </c>
      <c r="D5481" s="30" t="str">
        <f>IFERROR(VLOOKUP(C5481,소속부서!$A$2:$B$20,2,FALSE), "")</f>
        <v/>
      </c>
    </row>
    <row r="5482" spans="3:4" x14ac:dyDescent="0.3">
      <c r="C5482" s="35">
        <f t="shared" si="85"/>
        <v>0</v>
      </c>
      <c r="D5482" s="30" t="str">
        <f>IFERROR(VLOOKUP(C5482,소속부서!$A$2:$B$20,2,FALSE), "")</f>
        <v/>
      </c>
    </row>
    <row r="5483" spans="3:4" x14ac:dyDescent="0.3">
      <c r="C5483" s="35">
        <f t="shared" si="85"/>
        <v>0</v>
      </c>
      <c r="D5483" s="30" t="str">
        <f>IFERROR(VLOOKUP(C5483,소속부서!$A$2:$B$20,2,FALSE), "")</f>
        <v/>
      </c>
    </row>
    <row r="5484" spans="3:4" x14ac:dyDescent="0.3">
      <c r="C5484" s="35">
        <f t="shared" si="85"/>
        <v>0</v>
      </c>
      <c r="D5484" s="30" t="str">
        <f>IFERROR(VLOOKUP(C5484,소속부서!$A$2:$B$20,2,FALSE), "")</f>
        <v/>
      </c>
    </row>
    <row r="5485" spans="3:4" x14ac:dyDescent="0.3">
      <c r="C5485" s="35">
        <f t="shared" si="85"/>
        <v>0</v>
      </c>
      <c r="D5485" s="30" t="str">
        <f>IFERROR(VLOOKUP(C5485,소속부서!$A$2:$B$20,2,FALSE), "")</f>
        <v/>
      </c>
    </row>
    <row r="5486" spans="3:4" x14ac:dyDescent="0.3">
      <c r="C5486" s="35">
        <f t="shared" si="85"/>
        <v>0</v>
      </c>
      <c r="D5486" s="30" t="str">
        <f>IFERROR(VLOOKUP(C5486,소속부서!$A$2:$B$20,2,FALSE), "")</f>
        <v/>
      </c>
    </row>
    <row r="5487" spans="3:4" x14ac:dyDescent="0.3">
      <c r="C5487" s="35">
        <f t="shared" si="85"/>
        <v>0</v>
      </c>
      <c r="D5487" s="30" t="str">
        <f>IFERROR(VLOOKUP(C5487,소속부서!$A$2:$B$20,2,FALSE), "")</f>
        <v/>
      </c>
    </row>
    <row r="5488" spans="3:4" x14ac:dyDescent="0.3">
      <c r="C5488" s="35">
        <f t="shared" si="85"/>
        <v>0</v>
      </c>
      <c r="D5488" s="30" t="str">
        <f>IFERROR(VLOOKUP(C5488,소속부서!$A$2:$B$20,2,FALSE), "")</f>
        <v/>
      </c>
    </row>
    <row r="5489" spans="3:4" x14ac:dyDescent="0.3">
      <c r="C5489" s="35">
        <f t="shared" si="85"/>
        <v>0</v>
      </c>
      <c r="D5489" s="30" t="str">
        <f>IFERROR(VLOOKUP(C5489,소속부서!$A$2:$B$20,2,FALSE), "")</f>
        <v/>
      </c>
    </row>
    <row r="5490" spans="3:4" x14ac:dyDescent="0.3">
      <c r="C5490" s="35">
        <f t="shared" si="85"/>
        <v>0</v>
      </c>
      <c r="D5490" s="30" t="str">
        <f>IFERROR(VLOOKUP(C5490,소속부서!$A$2:$B$20,2,FALSE), "")</f>
        <v/>
      </c>
    </row>
    <row r="5491" spans="3:4" x14ac:dyDescent="0.3">
      <c r="C5491" s="35">
        <f t="shared" si="85"/>
        <v>0</v>
      </c>
      <c r="D5491" s="30" t="str">
        <f>IFERROR(VLOOKUP(C5491,소속부서!$A$2:$B$20,2,FALSE), "")</f>
        <v/>
      </c>
    </row>
    <row r="5492" spans="3:4" x14ac:dyDescent="0.3">
      <c r="C5492" s="35">
        <f t="shared" si="85"/>
        <v>0</v>
      </c>
      <c r="D5492" s="30" t="str">
        <f>IFERROR(VLOOKUP(C5492,소속부서!$A$2:$B$20,2,FALSE), "")</f>
        <v/>
      </c>
    </row>
    <row r="5493" spans="3:4" x14ac:dyDescent="0.3">
      <c r="C5493" s="35">
        <f t="shared" si="85"/>
        <v>0</v>
      </c>
      <c r="D5493" s="30" t="str">
        <f>IFERROR(VLOOKUP(C5493,소속부서!$A$2:$B$20,2,FALSE), "")</f>
        <v/>
      </c>
    </row>
    <row r="5494" spans="3:4" x14ac:dyDescent="0.3">
      <c r="C5494" s="35">
        <f t="shared" si="85"/>
        <v>0</v>
      </c>
      <c r="D5494" s="30" t="str">
        <f>IFERROR(VLOOKUP(C5494,소속부서!$A$2:$B$20,2,FALSE), "")</f>
        <v/>
      </c>
    </row>
    <row r="5495" spans="3:4" x14ac:dyDescent="0.3">
      <c r="C5495" s="35">
        <f t="shared" si="85"/>
        <v>0</v>
      </c>
      <c r="D5495" s="30" t="str">
        <f>IFERROR(VLOOKUP(C5495,소속부서!$A$2:$B$20,2,FALSE), "")</f>
        <v/>
      </c>
    </row>
    <row r="5496" spans="3:4" x14ac:dyDescent="0.3">
      <c r="C5496" s="35">
        <f t="shared" si="85"/>
        <v>0</v>
      </c>
      <c r="D5496" s="30" t="str">
        <f>IFERROR(VLOOKUP(C5496,소속부서!$A$2:$B$20,2,FALSE), "")</f>
        <v/>
      </c>
    </row>
    <row r="5497" spans="3:4" x14ac:dyDescent="0.3">
      <c r="C5497" s="35">
        <f t="shared" si="85"/>
        <v>0</v>
      </c>
      <c r="D5497" s="30" t="str">
        <f>IFERROR(VLOOKUP(C5497,소속부서!$A$2:$B$20,2,FALSE), "")</f>
        <v/>
      </c>
    </row>
    <row r="5498" spans="3:4" x14ac:dyDescent="0.3">
      <c r="C5498" s="35">
        <f t="shared" si="85"/>
        <v>0</v>
      </c>
      <c r="D5498" s="30" t="str">
        <f>IFERROR(VLOOKUP(C5498,소속부서!$A$2:$B$20,2,FALSE), "")</f>
        <v/>
      </c>
    </row>
    <row r="5499" spans="3:4" x14ac:dyDescent="0.3">
      <c r="C5499" s="35">
        <f t="shared" si="85"/>
        <v>0</v>
      </c>
      <c r="D5499" s="30" t="str">
        <f>IFERROR(VLOOKUP(C5499,소속부서!$A$2:$B$20,2,FALSE), "")</f>
        <v/>
      </c>
    </row>
    <row r="5500" spans="3:4" x14ac:dyDescent="0.3">
      <c r="C5500" s="35">
        <f t="shared" si="85"/>
        <v>0</v>
      </c>
      <c r="D5500" s="30" t="str">
        <f>IFERROR(VLOOKUP(C5500,소속부서!$A$2:$B$20,2,FALSE), "")</f>
        <v/>
      </c>
    </row>
    <row r="5501" spans="3:4" x14ac:dyDescent="0.3">
      <c r="C5501" s="35">
        <f t="shared" si="85"/>
        <v>0</v>
      </c>
      <c r="D5501" s="30" t="str">
        <f>IFERROR(VLOOKUP(C5501,소속부서!$A$2:$B$20,2,FALSE), "")</f>
        <v/>
      </c>
    </row>
    <row r="5502" spans="3:4" x14ac:dyDescent="0.3">
      <c r="C5502" s="35">
        <f t="shared" si="85"/>
        <v>0</v>
      </c>
      <c r="D5502" s="30" t="str">
        <f>IFERROR(VLOOKUP(C5502,소속부서!$A$2:$B$20,2,FALSE), "")</f>
        <v/>
      </c>
    </row>
    <row r="5503" spans="3:4" x14ac:dyDescent="0.3">
      <c r="C5503" s="35">
        <f t="shared" si="85"/>
        <v>0</v>
      </c>
      <c r="D5503" s="30" t="str">
        <f>IFERROR(VLOOKUP(C5503,소속부서!$A$2:$B$20,2,FALSE), "")</f>
        <v/>
      </c>
    </row>
    <row r="5504" spans="3:4" x14ac:dyDescent="0.3">
      <c r="C5504" s="35">
        <f t="shared" si="85"/>
        <v>0</v>
      </c>
      <c r="D5504" s="30" t="str">
        <f>IFERROR(VLOOKUP(C5504,소속부서!$A$2:$B$20,2,FALSE), "")</f>
        <v/>
      </c>
    </row>
    <row r="5505" spans="3:4" x14ac:dyDescent="0.3">
      <c r="C5505" s="35">
        <f t="shared" ref="C5505:C5545" si="86">E5505</f>
        <v>0</v>
      </c>
      <c r="D5505" s="30" t="str">
        <f>IFERROR(VLOOKUP(C5505,소속부서!$A$2:$B$20,2,FALSE), "")</f>
        <v/>
      </c>
    </row>
    <row r="5506" spans="3:4" x14ac:dyDescent="0.3">
      <c r="C5506" s="35">
        <f t="shared" si="86"/>
        <v>0</v>
      </c>
      <c r="D5506" s="30" t="str">
        <f>IFERROR(VLOOKUP(C5506,소속부서!$A$2:$B$20,2,FALSE), "")</f>
        <v/>
      </c>
    </row>
    <row r="5507" spans="3:4" x14ac:dyDescent="0.3">
      <c r="C5507" s="35">
        <f t="shared" si="86"/>
        <v>0</v>
      </c>
      <c r="D5507" s="30" t="str">
        <f>IFERROR(VLOOKUP(C5507,소속부서!$A$2:$B$20,2,FALSE), "")</f>
        <v/>
      </c>
    </row>
    <row r="5508" spans="3:4" x14ac:dyDescent="0.3">
      <c r="C5508" s="35">
        <f t="shared" si="86"/>
        <v>0</v>
      </c>
      <c r="D5508" s="30" t="str">
        <f>IFERROR(VLOOKUP(C5508,소속부서!$A$2:$B$20,2,FALSE), "")</f>
        <v/>
      </c>
    </row>
    <row r="5509" spans="3:4" x14ac:dyDescent="0.3">
      <c r="C5509" s="35">
        <f t="shared" si="86"/>
        <v>0</v>
      </c>
      <c r="D5509" s="30" t="str">
        <f>IFERROR(VLOOKUP(C5509,소속부서!$A$2:$B$20,2,FALSE), "")</f>
        <v/>
      </c>
    </row>
    <row r="5510" spans="3:4" x14ac:dyDescent="0.3">
      <c r="C5510" s="35">
        <f t="shared" si="86"/>
        <v>0</v>
      </c>
      <c r="D5510" s="30" t="str">
        <f>IFERROR(VLOOKUP(C5510,소속부서!$A$2:$B$20,2,FALSE), "")</f>
        <v/>
      </c>
    </row>
    <row r="5511" spans="3:4" x14ac:dyDescent="0.3">
      <c r="C5511" s="35">
        <f t="shared" si="86"/>
        <v>0</v>
      </c>
      <c r="D5511" s="30" t="str">
        <f>IFERROR(VLOOKUP(C5511,소속부서!$A$2:$B$20,2,FALSE), "")</f>
        <v/>
      </c>
    </row>
    <row r="5512" spans="3:4" x14ac:dyDescent="0.3">
      <c r="C5512" s="35">
        <f t="shared" si="86"/>
        <v>0</v>
      </c>
      <c r="D5512" s="30" t="str">
        <f>IFERROR(VLOOKUP(C5512,소속부서!$A$2:$B$20,2,FALSE), "")</f>
        <v/>
      </c>
    </row>
    <row r="5513" spans="3:4" x14ac:dyDescent="0.3">
      <c r="C5513" s="35">
        <f t="shared" si="86"/>
        <v>0</v>
      </c>
      <c r="D5513" s="30" t="str">
        <f>IFERROR(VLOOKUP(C5513,소속부서!$A$2:$B$20,2,FALSE), "")</f>
        <v/>
      </c>
    </row>
    <row r="5514" spans="3:4" x14ac:dyDescent="0.3">
      <c r="C5514" s="35">
        <f t="shared" si="86"/>
        <v>0</v>
      </c>
      <c r="D5514" s="30" t="str">
        <f>IFERROR(VLOOKUP(C5514,소속부서!$A$2:$B$20,2,FALSE), "")</f>
        <v/>
      </c>
    </row>
    <row r="5515" spans="3:4" x14ac:dyDescent="0.3">
      <c r="C5515" s="35">
        <f t="shared" si="86"/>
        <v>0</v>
      </c>
      <c r="D5515" s="30" t="str">
        <f>IFERROR(VLOOKUP(C5515,소속부서!$A$2:$B$20,2,FALSE), "")</f>
        <v/>
      </c>
    </row>
    <row r="5516" spans="3:4" x14ac:dyDescent="0.3">
      <c r="C5516" s="35">
        <f t="shared" si="86"/>
        <v>0</v>
      </c>
      <c r="D5516" s="30" t="str">
        <f>IFERROR(VLOOKUP(C5516,소속부서!$A$2:$B$20,2,FALSE), "")</f>
        <v/>
      </c>
    </row>
    <row r="5517" spans="3:4" x14ac:dyDescent="0.3">
      <c r="C5517" s="35">
        <f t="shared" si="86"/>
        <v>0</v>
      </c>
      <c r="D5517" s="30" t="str">
        <f>IFERROR(VLOOKUP(C5517,소속부서!$A$2:$B$20,2,FALSE), "")</f>
        <v/>
      </c>
    </row>
    <row r="5518" spans="3:4" x14ac:dyDescent="0.3">
      <c r="C5518" s="35">
        <f t="shared" si="86"/>
        <v>0</v>
      </c>
      <c r="D5518" s="30" t="str">
        <f>IFERROR(VLOOKUP(C5518,소속부서!$A$2:$B$20,2,FALSE), "")</f>
        <v/>
      </c>
    </row>
    <row r="5519" spans="3:4" x14ac:dyDescent="0.3">
      <c r="C5519" s="35">
        <f t="shared" si="86"/>
        <v>0</v>
      </c>
      <c r="D5519" s="30" t="str">
        <f>IFERROR(VLOOKUP(C5519,소속부서!$A$2:$B$20,2,FALSE), "")</f>
        <v/>
      </c>
    </row>
    <row r="5520" spans="3:4" x14ac:dyDescent="0.3">
      <c r="C5520" s="35">
        <f t="shared" si="86"/>
        <v>0</v>
      </c>
      <c r="D5520" s="30" t="str">
        <f>IFERROR(VLOOKUP(C5520,소속부서!$A$2:$B$20,2,FALSE), "")</f>
        <v/>
      </c>
    </row>
    <row r="5521" spans="3:4" x14ac:dyDescent="0.3">
      <c r="C5521" s="35">
        <f t="shared" si="86"/>
        <v>0</v>
      </c>
      <c r="D5521" s="30" t="str">
        <f>IFERROR(VLOOKUP(C5521,소속부서!$A$2:$B$20,2,FALSE), "")</f>
        <v/>
      </c>
    </row>
    <row r="5522" spans="3:4" x14ac:dyDescent="0.3">
      <c r="C5522" s="35">
        <f t="shared" si="86"/>
        <v>0</v>
      </c>
      <c r="D5522" s="30" t="str">
        <f>IFERROR(VLOOKUP(C5522,소속부서!$A$2:$B$20,2,FALSE), "")</f>
        <v/>
      </c>
    </row>
    <row r="5523" spans="3:4" x14ac:dyDescent="0.3">
      <c r="C5523" s="35">
        <f t="shared" si="86"/>
        <v>0</v>
      </c>
      <c r="D5523" s="30" t="str">
        <f>IFERROR(VLOOKUP(C5523,소속부서!$A$2:$B$20,2,FALSE), "")</f>
        <v/>
      </c>
    </row>
    <row r="5524" spans="3:4" x14ac:dyDescent="0.3">
      <c r="C5524" s="35">
        <f t="shared" si="86"/>
        <v>0</v>
      </c>
      <c r="D5524" s="30" t="str">
        <f>IFERROR(VLOOKUP(C5524,소속부서!$A$2:$B$20,2,FALSE), "")</f>
        <v/>
      </c>
    </row>
    <row r="5525" spans="3:4" x14ac:dyDescent="0.3">
      <c r="C5525" s="35">
        <f t="shared" si="86"/>
        <v>0</v>
      </c>
      <c r="D5525" s="30" t="str">
        <f>IFERROR(VLOOKUP(C5525,소속부서!$A$2:$B$20,2,FALSE), "")</f>
        <v/>
      </c>
    </row>
    <row r="5526" spans="3:4" x14ac:dyDescent="0.3">
      <c r="C5526" s="35">
        <f t="shared" si="86"/>
        <v>0</v>
      </c>
      <c r="D5526" s="30" t="str">
        <f>IFERROR(VLOOKUP(C5526,소속부서!$A$2:$B$20,2,FALSE), "")</f>
        <v/>
      </c>
    </row>
    <row r="5527" spans="3:4" x14ac:dyDescent="0.3">
      <c r="C5527" s="35">
        <f t="shared" si="86"/>
        <v>0</v>
      </c>
      <c r="D5527" s="30" t="str">
        <f>IFERROR(VLOOKUP(C5527,소속부서!$A$2:$B$20,2,FALSE), "")</f>
        <v/>
      </c>
    </row>
    <row r="5528" spans="3:4" x14ac:dyDescent="0.3">
      <c r="C5528" s="35">
        <f t="shared" si="86"/>
        <v>0</v>
      </c>
      <c r="D5528" s="30" t="str">
        <f>IFERROR(VLOOKUP(C5528,소속부서!$A$2:$B$20,2,FALSE), "")</f>
        <v/>
      </c>
    </row>
    <row r="5529" spans="3:4" x14ac:dyDescent="0.3">
      <c r="C5529" s="35">
        <f t="shared" si="86"/>
        <v>0</v>
      </c>
      <c r="D5529" s="30" t="str">
        <f>IFERROR(VLOOKUP(C5529,소속부서!$A$2:$B$20,2,FALSE), "")</f>
        <v/>
      </c>
    </row>
    <row r="5530" spans="3:4" x14ac:dyDescent="0.3">
      <c r="C5530" s="35">
        <f t="shared" si="86"/>
        <v>0</v>
      </c>
      <c r="D5530" s="30" t="str">
        <f>IFERROR(VLOOKUP(C5530,소속부서!$A$2:$B$20,2,FALSE), "")</f>
        <v/>
      </c>
    </row>
    <row r="5531" spans="3:4" x14ac:dyDescent="0.3">
      <c r="C5531" s="35">
        <f t="shared" si="86"/>
        <v>0</v>
      </c>
      <c r="D5531" s="30" t="str">
        <f>IFERROR(VLOOKUP(C5531,소속부서!$A$2:$B$20,2,FALSE), "")</f>
        <v/>
      </c>
    </row>
    <row r="5532" spans="3:4" x14ac:dyDescent="0.3">
      <c r="C5532" s="35">
        <f t="shared" si="86"/>
        <v>0</v>
      </c>
      <c r="D5532" s="30" t="str">
        <f>IFERROR(VLOOKUP(C5532,소속부서!$A$2:$B$20,2,FALSE), "")</f>
        <v/>
      </c>
    </row>
    <row r="5533" spans="3:4" x14ac:dyDescent="0.3">
      <c r="C5533" s="35">
        <f t="shared" si="86"/>
        <v>0</v>
      </c>
      <c r="D5533" s="30" t="str">
        <f>IFERROR(VLOOKUP(C5533,소속부서!$A$2:$B$20,2,FALSE), "")</f>
        <v/>
      </c>
    </row>
    <row r="5534" spans="3:4" x14ac:dyDescent="0.3">
      <c r="C5534" s="35">
        <f t="shared" si="86"/>
        <v>0</v>
      </c>
      <c r="D5534" s="30" t="str">
        <f>IFERROR(VLOOKUP(C5534,소속부서!$A$2:$B$20,2,FALSE), "")</f>
        <v/>
      </c>
    </row>
    <row r="5535" spans="3:4" x14ac:dyDescent="0.3">
      <c r="C5535" s="35">
        <f t="shared" si="86"/>
        <v>0</v>
      </c>
      <c r="D5535" s="30" t="str">
        <f>IFERROR(VLOOKUP(C5535,소속부서!$A$2:$B$20,2,FALSE), "")</f>
        <v/>
      </c>
    </row>
    <row r="5536" spans="3:4" x14ac:dyDescent="0.3">
      <c r="C5536" s="35">
        <f t="shared" si="86"/>
        <v>0</v>
      </c>
      <c r="D5536" s="30" t="str">
        <f>IFERROR(VLOOKUP(C5536,소속부서!$A$2:$B$20,2,FALSE), "")</f>
        <v/>
      </c>
    </row>
    <row r="5537" spans="3:4" x14ac:dyDescent="0.3">
      <c r="C5537" s="35">
        <f t="shared" si="86"/>
        <v>0</v>
      </c>
      <c r="D5537" s="30" t="str">
        <f>IFERROR(VLOOKUP(C5537,소속부서!$A$2:$B$20,2,FALSE), "")</f>
        <v/>
      </c>
    </row>
    <row r="5538" spans="3:4" x14ac:dyDescent="0.3">
      <c r="C5538" s="35">
        <f t="shared" si="86"/>
        <v>0</v>
      </c>
      <c r="D5538" s="30" t="str">
        <f>IFERROR(VLOOKUP(C5538,소속부서!$A$2:$B$20,2,FALSE), "")</f>
        <v/>
      </c>
    </row>
    <row r="5539" spans="3:4" x14ac:dyDescent="0.3">
      <c r="C5539" s="35">
        <f t="shared" si="86"/>
        <v>0</v>
      </c>
      <c r="D5539" s="30" t="str">
        <f>IFERROR(VLOOKUP(C5539,소속부서!$A$2:$B$20,2,FALSE), "")</f>
        <v/>
      </c>
    </row>
    <row r="5540" spans="3:4" x14ac:dyDescent="0.3">
      <c r="C5540" s="35">
        <f t="shared" si="86"/>
        <v>0</v>
      </c>
      <c r="D5540" s="30" t="str">
        <f>IFERROR(VLOOKUP(C5540,소속부서!$A$2:$B$20,2,FALSE), "")</f>
        <v/>
      </c>
    </row>
    <row r="5541" spans="3:4" x14ac:dyDescent="0.3">
      <c r="C5541" s="35">
        <f t="shared" si="86"/>
        <v>0</v>
      </c>
      <c r="D5541" s="30" t="str">
        <f>IFERROR(VLOOKUP(C5541,소속부서!$A$2:$B$20,2,FALSE), "")</f>
        <v/>
      </c>
    </row>
    <row r="5542" spans="3:4" x14ac:dyDescent="0.3">
      <c r="C5542" s="35">
        <f t="shared" si="86"/>
        <v>0</v>
      </c>
      <c r="D5542" s="30" t="str">
        <f>IFERROR(VLOOKUP(C5542,소속부서!$A$2:$B$20,2,FALSE), "")</f>
        <v/>
      </c>
    </row>
    <row r="5543" spans="3:4" x14ac:dyDescent="0.3">
      <c r="C5543" s="35">
        <f t="shared" si="86"/>
        <v>0</v>
      </c>
      <c r="D5543" s="30" t="str">
        <f>IFERROR(VLOOKUP(C5543,소속부서!$A$2:$B$20,2,FALSE), "")</f>
        <v/>
      </c>
    </row>
    <row r="5544" spans="3:4" x14ac:dyDescent="0.3">
      <c r="C5544" s="35">
        <f t="shared" si="86"/>
        <v>0</v>
      </c>
      <c r="D5544" s="30" t="str">
        <f>IFERROR(VLOOKUP(C5544,소속부서!$A$2:$B$20,2,FALSE), "")</f>
        <v/>
      </c>
    </row>
    <row r="5545" spans="3:4" x14ac:dyDescent="0.3">
      <c r="C5545" s="35">
        <f t="shared" si="86"/>
        <v>0</v>
      </c>
      <c r="D5545" s="30" t="str">
        <f>IFERROR(VLOOKUP(C5545,소속부서!$A$2:$B$20,2,FALSE), "")</f>
        <v/>
      </c>
    </row>
  </sheetData>
  <autoFilter ref="A1:O5545">
    <sortState ref="A2:O5546">
      <sortCondition ref="I1:I44"/>
    </sortState>
  </autoFilter>
  <sortState ref="H2:M29">
    <sortCondition descending="1" ref="M2:M2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24" sqref="D24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E19" sqref="E19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92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29" t="s">
        <v>7</v>
      </c>
      <c r="D20" s="29" t="s">
        <v>19</v>
      </c>
      <c r="E20" s="3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5" t="s">
        <v>53</v>
      </c>
      <c r="B26" s="65"/>
      <c r="C26" s="65"/>
      <c r="D26" s="65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6" t="s">
        <v>54</v>
      </c>
      <c r="B41" s="66"/>
      <c r="C41" s="66"/>
      <c r="D41" s="66"/>
      <c r="E41" s="66"/>
      <c r="F41" s="66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93</v>
      </c>
      <c r="D53" s="33"/>
      <c r="E53" s="28"/>
      <c r="G53" s="32"/>
      <c r="H53" s="33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4"/>
  <sheetViews>
    <sheetView topLeftCell="A641" workbookViewId="0">
      <selection activeCell="B674" sqref="B674:C674"/>
    </sheetView>
  </sheetViews>
  <sheetFormatPr defaultRowHeight="16.5" x14ac:dyDescent="0.3"/>
  <cols>
    <col min="1" max="1" width="21.125" bestFit="1" customWidth="1"/>
    <col min="2" max="2" width="33.125" bestFit="1" customWidth="1"/>
    <col min="3" max="3" width="11.625" bestFit="1" customWidth="1"/>
  </cols>
  <sheetData>
    <row r="1" spans="1:3" x14ac:dyDescent="0.3">
      <c r="A1" s="4" t="s">
        <v>168</v>
      </c>
      <c r="B1" s="4" t="s">
        <v>707</v>
      </c>
      <c r="C1" s="4" t="s">
        <v>708</v>
      </c>
    </row>
    <row r="2" spans="1:3" x14ac:dyDescent="0.3">
      <c r="A2" t="s">
        <v>169</v>
      </c>
      <c r="B2" t="s">
        <v>701</v>
      </c>
      <c r="C2">
        <v>5</v>
      </c>
    </row>
    <row r="3" spans="1:3" x14ac:dyDescent="0.3">
      <c r="A3" t="s">
        <v>96</v>
      </c>
      <c r="B3" t="s">
        <v>701</v>
      </c>
      <c r="C3">
        <v>5</v>
      </c>
    </row>
    <row r="4" spans="1:3" x14ac:dyDescent="0.3">
      <c r="A4" t="s">
        <v>170</v>
      </c>
      <c r="B4" t="s">
        <v>701</v>
      </c>
      <c r="C4">
        <v>5</v>
      </c>
    </row>
    <row r="5" spans="1:3" x14ac:dyDescent="0.3">
      <c r="A5" t="s">
        <v>171</v>
      </c>
      <c r="B5" t="s">
        <v>701</v>
      </c>
      <c r="C5">
        <v>5</v>
      </c>
    </row>
    <row r="6" spans="1:3" x14ac:dyDescent="0.3">
      <c r="A6" t="s">
        <v>172</v>
      </c>
      <c r="B6" t="s">
        <v>701</v>
      </c>
      <c r="C6">
        <v>5</v>
      </c>
    </row>
    <row r="7" spans="1:3" x14ac:dyDescent="0.3">
      <c r="A7" t="s">
        <v>173</v>
      </c>
      <c r="B7" t="s">
        <v>701</v>
      </c>
      <c r="C7">
        <v>5</v>
      </c>
    </row>
    <row r="8" spans="1:3" x14ac:dyDescent="0.3">
      <c r="A8" t="s">
        <v>174</v>
      </c>
      <c r="B8" t="s">
        <v>701</v>
      </c>
      <c r="C8">
        <v>5</v>
      </c>
    </row>
    <row r="9" spans="1:3" x14ac:dyDescent="0.3">
      <c r="A9" t="s">
        <v>175</v>
      </c>
      <c r="B9" t="s">
        <v>24</v>
      </c>
      <c r="C9">
        <v>3</v>
      </c>
    </row>
    <row r="10" spans="1:3" x14ac:dyDescent="0.3">
      <c r="A10" t="s">
        <v>176</v>
      </c>
      <c r="B10" t="s">
        <v>24</v>
      </c>
      <c r="C10">
        <v>3</v>
      </c>
    </row>
    <row r="11" spans="1:3" x14ac:dyDescent="0.3">
      <c r="A11" t="s">
        <v>177</v>
      </c>
      <c r="B11" t="s">
        <v>24</v>
      </c>
      <c r="C11">
        <v>3</v>
      </c>
    </row>
    <row r="12" spans="1:3" x14ac:dyDescent="0.3">
      <c r="A12" t="s">
        <v>178</v>
      </c>
      <c r="B12" t="s">
        <v>702</v>
      </c>
      <c r="C12">
        <v>2</v>
      </c>
    </row>
    <row r="13" spans="1:3" x14ac:dyDescent="0.3">
      <c r="A13" t="s">
        <v>179</v>
      </c>
      <c r="B13" t="s">
        <v>702</v>
      </c>
      <c r="C13">
        <v>2</v>
      </c>
    </row>
    <row r="14" spans="1:3" x14ac:dyDescent="0.3">
      <c r="A14" t="s">
        <v>180</v>
      </c>
      <c r="B14" t="s">
        <v>26</v>
      </c>
      <c r="C14">
        <v>1.5</v>
      </c>
    </row>
    <row r="15" spans="1:3" x14ac:dyDescent="0.3">
      <c r="A15" t="s">
        <v>181</v>
      </c>
      <c r="B15" t="s">
        <v>26</v>
      </c>
      <c r="C15">
        <v>1.5</v>
      </c>
    </row>
    <row r="16" spans="1:3" x14ac:dyDescent="0.3">
      <c r="A16" t="s">
        <v>182</v>
      </c>
      <c r="B16" t="s">
        <v>26</v>
      </c>
      <c r="C16">
        <v>1.5</v>
      </c>
    </row>
    <row r="17" spans="1:3" x14ac:dyDescent="0.3">
      <c r="A17" t="s">
        <v>183</v>
      </c>
      <c r="B17" t="s">
        <v>26</v>
      </c>
      <c r="C17">
        <v>1.5</v>
      </c>
    </row>
    <row r="18" spans="1:3" x14ac:dyDescent="0.3">
      <c r="A18" t="s">
        <v>184</v>
      </c>
      <c r="B18" t="s">
        <v>26</v>
      </c>
      <c r="C18">
        <v>1.5</v>
      </c>
    </row>
    <row r="19" spans="1:3" x14ac:dyDescent="0.3">
      <c r="A19" t="s">
        <v>185</v>
      </c>
      <c r="B19" t="s">
        <v>26</v>
      </c>
      <c r="C19">
        <v>1.5</v>
      </c>
    </row>
    <row r="20" spans="1:3" x14ac:dyDescent="0.3">
      <c r="A20" t="s">
        <v>186</v>
      </c>
      <c r="B20" t="s">
        <v>26</v>
      </c>
      <c r="C20">
        <v>1.5</v>
      </c>
    </row>
    <row r="21" spans="1:3" x14ac:dyDescent="0.3">
      <c r="A21" t="s">
        <v>187</v>
      </c>
      <c r="B21" t="s">
        <v>26</v>
      </c>
      <c r="C21">
        <v>1.5</v>
      </c>
    </row>
    <row r="22" spans="1:3" x14ac:dyDescent="0.3">
      <c r="A22" t="s">
        <v>188</v>
      </c>
      <c r="B22" t="s">
        <v>26</v>
      </c>
      <c r="C22">
        <v>1.5</v>
      </c>
    </row>
    <row r="23" spans="1:3" x14ac:dyDescent="0.3">
      <c r="A23" t="s">
        <v>106</v>
      </c>
      <c r="B23" t="s">
        <v>26</v>
      </c>
      <c r="C23">
        <v>1.5</v>
      </c>
    </row>
    <row r="24" spans="1:3" x14ac:dyDescent="0.3">
      <c r="A24" t="s">
        <v>136</v>
      </c>
      <c r="B24" t="s">
        <v>26</v>
      </c>
      <c r="C24">
        <v>1.5</v>
      </c>
    </row>
    <row r="25" spans="1:3" x14ac:dyDescent="0.3">
      <c r="A25" t="s">
        <v>100</v>
      </c>
      <c r="B25" t="s">
        <v>25</v>
      </c>
      <c r="C25">
        <v>1.5</v>
      </c>
    </row>
    <row r="26" spans="1:3" x14ac:dyDescent="0.3">
      <c r="A26" t="s">
        <v>156</v>
      </c>
      <c r="B26" t="s">
        <v>25</v>
      </c>
      <c r="C26">
        <v>1.5</v>
      </c>
    </row>
    <row r="27" spans="1:3" x14ac:dyDescent="0.3">
      <c r="A27" t="s">
        <v>102</v>
      </c>
      <c r="B27" t="s">
        <v>25</v>
      </c>
      <c r="C27">
        <v>1.5</v>
      </c>
    </row>
    <row r="28" spans="1:3" x14ac:dyDescent="0.3">
      <c r="A28" t="s">
        <v>155</v>
      </c>
      <c r="B28" t="s">
        <v>25</v>
      </c>
      <c r="C28">
        <v>1.5</v>
      </c>
    </row>
    <row r="29" spans="1:3" x14ac:dyDescent="0.3">
      <c r="A29" t="s">
        <v>189</v>
      </c>
      <c r="B29" t="s">
        <v>25</v>
      </c>
      <c r="C29">
        <v>1.5</v>
      </c>
    </row>
    <row r="30" spans="1:3" x14ac:dyDescent="0.3">
      <c r="A30" t="s">
        <v>190</v>
      </c>
      <c r="B30" t="s">
        <v>25</v>
      </c>
      <c r="C30">
        <v>1.5</v>
      </c>
    </row>
    <row r="31" spans="1:3" x14ac:dyDescent="0.3">
      <c r="A31" t="s">
        <v>191</v>
      </c>
      <c r="B31" t="s">
        <v>696</v>
      </c>
      <c r="C31">
        <v>0.1</v>
      </c>
    </row>
    <row r="32" spans="1:3" x14ac:dyDescent="0.3">
      <c r="A32" t="s">
        <v>192</v>
      </c>
      <c r="B32" t="s">
        <v>696</v>
      </c>
      <c r="C32">
        <v>0.1</v>
      </c>
    </row>
    <row r="33" spans="1:3" x14ac:dyDescent="0.3">
      <c r="A33" t="s">
        <v>193</v>
      </c>
      <c r="B33" t="s">
        <v>26</v>
      </c>
      <c r="C33">
        <v>1.5</v>
      </c>
    </row>
    <row r="34" spans="1:3" x14ac:dyDescent="0.3">
      <c r="A34" t="s">
        <v>194</v>
      </c>
      <c r="B34" t="s">
        <v>696</v>
      </c>
      <c r="C34">
        <v>0.1</v>
      </c>
    </row>
    <row r="35" spans="1:3" x14ac:dyDescent="0.3">
      <c r="A35" t="s">
        <v>195</v>
      </c>
      <c r="B35" t="s">
        <v>696</v>
      </c>
      <c r="C35">
        <v>0.1</v>
      </c>
    </row>
    <row r="36" spans="1:3" x14ac:dyDescent="0.3">
      <c r="A36" t="s">
        <v>196</v>
      </c>
      <c r="B36" t="s">
        <v>696</v>
      </c>
      <c r="C36">
        <v>0.1</v>
      </c>
    </row>
    <row r="37" spans="1:3" x14ac:dyDescent="0.3">
      <c r="A37" t="s">
        <v>197</v>
      </c>
      <c r="B37" t="s">
        <v>696</v>
      </c>
      <c r="C37">
        <v>0.1</v>
      </c>
    </row>
    <row r="38" spans="1:3" x14ac:dyDescent="0.3">
      <c r="A38" t="s">
        <v>151</v>
      </c>
      <c r="B38" t="s">
        <v>696</v>
      </c>
      <c r="C38">
        <v>0.1</v>
      </c>
    </row>
    <row r="39" spans="1:3" x14ac:dyDescent="0.3">
      <c r="A39" t="s">
        <v>128</v>
      </c>
      <c r="B39" t="s">
        <v>25</v>
      </c>
      <c r="C39">
        <v>1.5</v>
      </c>
    </row>
    <row r="40" spans="1:3" x14ac:dyDescent="0.3">
      <c r="A40" t="s">
        <v>198</v>
      </c>
      <c r="B40" t="s">
        <v>696</v>
      </c>
      <c r="C40">
        <v>0.1</v>
      </c>
    </row>
    <row r="41" spans="1:3" x14ac:dyDescent="0.3">
      <c r="A41" t="s">
        <v>98</v>
      </c>
      <c r="B41" t="s">
        <v>696</v>
      </c>
      <c r="C41">
        <v>0.1</v>
      </c>
    </row>
    <row r="42" spans="1:3" x14ac:dyDescent="0.3">
      <c r="A42" t="s">
        <v>199</v>
      </c>
      <c r="B42" t="s">
        <v>697</v>
      </c>
      <c r="C42">
        <v>1.5</v>
      </c>
    </row>
    <row r="43" spans="1:3" x14ac:dyDescent="0.3">
      <c r="A43" t="s">
        <v>200</v>
      </c>
      <c r="B43" t="s">
        <v>697</v>
      </c>
      <c r="C43">
        <v>1.5</v>
      </c>
    </row>
    <row r="44" spans="1:3" x14ac:dyDescent="0.3">
      <c r="A44" t="s">
        <v>201</v>
      </c>
      <c r="B44" t="s">
        <v>701</v>
      </c>
      <c r="C44">
        <v>5</v>
      </c>
    </row>
    <row r="45" spans="1:3" x14ac:dyDescent="0.3">
      <c r="A45" t="s">
        <v>202</v>
      </c>
      <c r="B45" t="s">
        <v>701</v>
      </c>
      <c r="C45">
        <v>5</v>
      </c>
    </row>
    <row r="46" spans="1:3" x14ac:dyDescent="0.3">
      <c r="A46" t="s">
        <v>203</v>
      </c>
      <c r="B46" t="s">
        <v>702</v>
      </c>
      <c r="C46">
        <v>2</v>
      </c>
    </row>
    <row r="47" spans="1:3" x14ac:dyDescent="0.3">
      <c r="A47" t="s">
        <v>112</v>
      </c>
      <c r="B47" t="s">
        <v>25</v>
      </c>
      <c r="C47">
        <v>1.5</v>
      </c>
    </row>
    <row r="48" spans="1:3" x14ac:dyDescent="0.3">
      <c r="A48" t="s">
        <v>113</v>
      </c>
      <c r="B48" t="s">
        <v>25</v>
      </c>
      <c r="C48">
        <v>1.5</v>
      </c>
    </row>
    <row r="49" spans="1:3" x14ac:dyDescent="0.3">
      <c r="A49" t="s">
        <v>204</v>
      </c>
      <c r="B49" t="s">
        <v>26</v>
      </c>
      <c r="C49">
        <v>1.5</v>
      </c>
    </row>
    <row r="50" spans="1:3" x14ac:dyDescent="0.3">
      <c r="A50" t="s">
        <v>205</v>
      </c>
      <c r="B50" t="s">
        <v>26</v>
      </c>
      <c r="C50">
        <v>1.5</v>
      </c>
    </row>
    <row r="51" spans="1:3" x14ac:dyDescent="0.3">
      <c r="A51" t="s">
        <v>206</v>
      </c>
      <c r="B51" t="s">
        <v>26</v>
      </c>
      <c r="C51">
        <v>1.5</v>
      </c>
    </row>
    <row r="52" spans="1:3" x14ac:dyDescent="0.3">
      <c r="A52" t="s">
        <v>207</v>
      </c>
      <c r="B52" t="s">
        <v>698</v>
      </c>
      <c r="C52">
        <v>0.5</v>
      </c>
    </row>
    <row r="53" spans="1:3" x14ac:dyDescent="0.3">
      <c r="A53" t="s">
        <v>208</v>
      </c>
      <c r="B53" t="s">
        <v>698</v>
      </c>
      <c r="C53">
        <v>0.5</v>
      </c>
    </row>
    <row r="54" spans="1:3" x14ac:dyDescent="0.3">
      <c r="A54" t="s">
        <v>209</v>
      </c>
      <c r="B54" t="s">
        <v>696</v>
      </c>
      <c r="C54">
        <v>0.1</v>
      </c>
    </row>
    <row r="55" spans="1:3" x14ac:dyDescent="0.3">
      <c r="A55" t="s">
        <v>120</v>
      </c>
      <c r="B55" t="s">
        <v>696</v>
      </c>
      <c r="C55">
        <v>0.1</v>
      </c>
    </row>
    <row r="56" spans="1:3" x14ac:dyDescent="0.3">
      <c r="A56" t="s">
        <v>210</v>
      </c>
      <c r="B56" t="s">
        <v>696</v>
      </c>
      <c r="C56">
        <v>0.1</v>
      </c>
    </row>
    <row r="57" spans="1:3" x14ac:dyDescent="0.3">
      <c r="A57" t="s">
        <v>211</v>
      </c>
      <c r="B57" t="s">
        <v>696</v>
      </c>
      <c r="C57">
        <v>0.1</v>
      </c>
    </row>
    <row r="58" spans="1:3" x14ac:dyDescent="0.3">
      <c r="A58" t="s">
        <v>212</v>
      </c>
      <c r="B58" t="s">
        <v>696</v>
      </c>
      <c r="C58">
        <v>0.1</v>
      </c>
    </row>
    <row r="59" spans="1:3" x14ac:dyDescent="0.3">
      <c r="A59" t="s">
        <v>213</v>
      </c>
      <c r="B59" t="s">
        <v>696</v>
      </c>
      <c r="C59">
        <v>0.1</v>
      </c>
    </row>
    <row r="60" spans="1:3" x14ac:dyDescent="0.3">
      <c r="A60" t="s">
        <v>214</v>
      </c>
      <c r="B60" t="s">
        <v>696</v>
      </c>
      <c r="C60">
        <v>0.1</v>
      </c>
    </row>
    <row r="61" spans="1:3" x14ac:dyDescent="0.3">
      <c r="A61" t="s">
        <v>215</v>
      </c>
      <c r="B61" t="s">
        <v>696</v>
      </c>
      <c r="C61">
        <v>0.1</v>
      </c>
    </row>
    <row r="62" spans="1:3" x14ac:dyDescent="0.3">
      <c r="A62" t="s">
        <v>216</v>
      </c>
      <c r="B62" t="s">
        <v>696</v>
      </c>
      <c r="C62">
        <v>0.1</v>
      </c>
    </row>
    <row r="63" spans="1:3" x14ac:dyDescent="0.3">
      <c r="A63" t="s">
        <v>217</v>
      </c>
      <c r="B63" t="s">
        <v>696</v>
      </c>
      <c r="C63">
        <v>0.1</v>
      </c>
    </row>
    <row r="64" spans="1:3" x14ac:dyDescent="0.3">
      <c r="A64" t="s">
        <v>218</v>
      </c>
      <c r="B64" t="s">
        <v>696</v>
      </c>
      <c r="C64">
        <v>0.1</v>
      </c>
    </row>
    <row r="65" spans="1:3" x14ac:dyDescent="0.3">
      <c r="A65" t="s">
        <v>117</v>
      </c>
      <c r="B65" t="s">
        <v>696</v>
      </c>
      <c r="C65">
        <v>0.1</v>
      </c>
    </row>
    <row r="66" spans="1:3" x14ac:dyDescent="0.3">
      <c r="A66" t="s">
        <v>219</v>
      </c>
      <c r="B66" t="s">
        <v>696</v>
      </c>
      <c r="C66">
        <v>0.1</v>
      </c>
    </row>
    <row r="67" spans="1:3" x14ac:dyDescent="0.3">
      <c r="A67" t="s">
        <v>220</v>
      </c>
      <c r="B67" t="s">
        <v>696</v>
      </c>
      <c r="C67">
        <v>0.1</v>
      </c>
    </row>
    <row r="68" spans="1:3" x14ac:dyDescent="0.3">
      <c r="A68" t="s">
        <v>221</v>
      </c>
      <c r="B68" t="s">
        <v>696</v>
      </c>
      <c r="C68">
        <v>0.1</v>
      </c>
    </row>
    <row r="69" spans="1:3" x14ac:dyDescent="0.3">
      <c r="A69" t="s">
        <v>222</v>
      </c>
      <c r="B69" t="s">
        <v>696</v>
      </c>
      <c r="C69">
        <v>0.1</v>
      </c>
    </row>
    <row r="70" spans="1:3" x14ac:dyDescent="0.3">
      <c r="A70" t="s">
        <v>223</v>
      </c>
      <c r="B70" t="s">
        <v>696</v>
      </c>
      <c r="C70">
        <v>0.1</v>
      </c>
    </row>
    <row r="71" spans="1:3" x14ac:dyDescent="0.3">
      <c r="A71" t="s">
        <v>224</v>
      </c>
      <c r="B71" t="s">
        <v>696</v>
      </c>
      <c r="C71">
        <v>0.1</v>
      </c>
    </row>
    <row r="72" spans="1:3" x14ac:dyDescent="0.3">
      <c r="A72" t="s">
        <v>142</v>
      </c>
      <c r="B72" t="s">
        <v>698</v>
      </c>
      <c r="C72">
        <v>0.5</v>
      </c>
    </row>
    <row r="73" spans="1:3" x14ac:dyDescent="0.3">
      <c r="A73" t="s">
        <v>225</v>
      </c>
      <c r="B73" t="s">
        <v>699</v>
      </c>
      <c r="C73">
        <v>1</v>
      </c>
    </row>
    <row r="74" spans="1:3" x14ac:dyDescent="0.3">
      <c r="A74" t="s">
        <v>226</v>
      </c>
      <c r="B74" t="s">
        <v>696</v>
      </c>
      <c r="C74">
        <v>0.1</v>
      </c>
    </row>
    <row r="75" spans="1:3" x14ac:dyDescent="0.3">
      <c r="A75" t="s">
        <v>227</v>
      </c>
      <c r="B75" t="s">
        <v>696</v>
      </c>
      <c r="C75">
        <v>0.1</v>
      </c>
    </row>
    <row r="76" spans="1:3" x14ac:dyDescent="0.3">
      <c r="A76" t="s">
        <v>228</v>
      </c>
      <c r="B76" t="s">
        <v>696</v>
      </c>
      <c r="C76">
        <v>0.1</v>
      </c>
    </row>
    <row r="77" spans="1:3" x14ac:dyDescent="0.3">
      <c r="A77" t="s">
        <v>229</v>
      </c>
      <c r="B77" t="s">
        <v>696</v>
      </c>
      <c r="C77">
        <v>0.1</v>
      </c>
    </row>
    <row r="78" spans="1:3" x14ac:dyDescent="0.3">
      <c r="A78" t="s">
        <v>230</v>
      </c>
      <c r="B78" t="s">
        <v>696</v>
      </c>
      <c r="C78">
        <v>0.1</v>
      </c>
    </row>
    <row r="79" spans="1:3" x14ac:dyDescent="0.3">
      <c r="A79" t="s">
        <v>231</v>
      </c>
      <c r="B79" t="s">
        <v>696</v>
      </c>
      <c r="C79">
        <v>0.1</v>
      </c>
    </row>
    <row r="80" spans="1:3" x14ac:dyDescent="0.3">
      <c r="A80" t="s">
        <v>232</v>
      </c>
      <c r="B80" t="s">
        <v>696</v>
      </c>
      <c r="C80">
        <v>0.1</v>
      </c>
    </row>
    <row r="81" spans="1:3" x14ac:dyDescent="0.3">
      <c r="A81" t="s">
        <v>233</v>
      </c>
      <c r="B81" t="s">
        <v>696</v>
      </c>
      <c r="C81">
        <v>0.1</v>
      </c>
    </row>
    <row r="82" spans="1:3" x14ac:dyDescent="0.3">
      <c r="A82" t="s">
        <v>94</v>
      </c>
      <c r="B82" t="s">
        <v>700</v>
      </c>
      <c r="C82">
        <v>4</v>
      </c>
    </row>
    <row r="83" spans="1:3" x14ac:dyDescent="0.3">
      <c r="A83" t="s">
        <v>95</v>
      </c>
      <c r="B83" t="s">
        <v>700</v>
      </c>
      <c r="C83">
        <v>4</v>
      </c>
    </row>
    <row r="84" spans="1:3" x14ac:dyDescent="0.3">
      <c r="A84" t="s">
        <v>97</v>
      </c>
      <c r="B84" t="s">
        <v>26</v>
      </c>
      <c r="C84">
        <v>1.5</v>
      </c>
    </row>
    <row r="85" spans="1:3" x14ac:dyDescent="0.3">
      <c r="A85" t="s">
        <v>132</v>
      </c>
      <c r="B85" t="s">
        <v>25</v>
      </c>
      <c r="C85">
        <v>1.5</v>
      </c>
    </row>
    <row r="86" spans="1:3" x14ac:dyDescent="0.3">
      <c r="A86" t="s">
        <v>127</v>
      </c>
      <c r="B86" t="s">
        <v>696</v>
      </c>
      <c r="C86">
        <v>0.1</v>
      </c>
    </row>
    <row r="87" spans="1:3" x14ac:dyDescent="0.3">
      <c r="A87" t="s">
        <v>99</v>
      </c>
      <c r="B87" t="s">
        <v>26</v>
      </c>
      <c r="C87">
        <v>1.5</v>
      </c>
    </row>
    <row r="88" spans="1:3" x14ac:dyDescent="0.3">
      <c r="A88" t="s">
        <v>101</v>
      </c>
      <c r="B88" t="s">
        <v>25</v>
      </c>
      <c r="C88">
        <v>1.5</v>
      </c>
    </row>
    <row r="89" spans="1:3" x14ac:dyDescent="0.3">
      <c r="A89" t="s">
        <v>103</v>
      </c>
      <c r="B89" t="s">
        <v>25</v>
      </c>
      <c r="C89">
        <v>1.5</v>
      </c>
    </row>
    <row r="90" spans="1:3" x14ac:dyDescent="0.3">
      <c r="A90" t="s">
        <v>104</v>
      </c>
      <c r="B90" t="s">
        <v>696</v>
      </c>
      <c r="C90">
        <v>0.1</v>
      </c>
    </row>
    <row r="91" spans="1:3" x14ac:dyDescent="0.3">
      <c r="A91" t="s">
        <v>105</v>
      </c>
      <c r="B91" t="s">
        <v>699</v>
      </c>
      <c r="C91">
        <v>1</v>
      </c>
    </row>
    <row r="92" spans="1:3" x14ac:dyDescent="0.3">
      <c r="A92" t="s">
        <v>193</v>
      </c>
      <c r="B92" t="s">
        <v>60</v>
      </c>
      <c r="C92">
        <v>8</v>
      </c>
    </row>
    <row r="93" spans="1:3" x14ac:dyDescent="0.3">
      <c r="A93" t="s">
        <v>234</v>
      </c>
      <c r="B93" t="s">
        <v>696</v>
      </c>
      <c r="C93">
        <v>0.1</v>
      </c>
    </row>
    <row r="94" spans="1:3" x14ac:dyDescent="0.3">
      <c r="A94" t="s">
        <v>107</v>
      </c>
      <c r="B94" t="s">
        <v>25</v>
      </c>
      <c r="C94">
        <v>1.5</v>
      </c>
    </row>
    <row r="95" spans="1:3" x14ac:dyDescent="0.3">
      <c r="A95" t="s">
        <v>235</v>
      </c>
      <c r="B95" t="s">
        <v>25</v>
      </c>
      <c r="C95">
        <v>1.5</v>
      </c>
    </row>
    <row r="96" spans="1:3" x14ac:dyDescent="0.3">
      <c r="A96" t="s">
        <v>138</v>
      </c>
      <c r="B96" t="s">
        <v>696</v>
      </c>
      <c r="C96">
        <v>0.1</v>
      </c>
    </row>
    <row r="97" spans="1:3" x14ac:dyDescent="0.3">
      <c r="A97" t="s">
        <v>152</v>
      </c>
      <c r="B97" t="s">
        <v>696</v>
      </c>
      <c r="C97">
        <v>0.1</v>
      </c>
    </row>
    <row r="98" spans="1:3" x14ac:dyDescent="0.3">
      <c r="A98" t="s">
        <v>236</v>
      </c>
      <c r="B98" t="s">
        <v>25</v>
      </c>
      <c r="C98">
        <v>1.5</v>
      </c>
    </row>
    <row r="99" spans="1:3" x14ac:dyDescent="0.3">
      <c r="A99" t="s">
        <v>237</v>
      </c>
      <c r="B99" t="s">
        <v>26</v>
      </c>
      <c r="C99">
        <v>1.5</v>
      </c>
    </row>
    <row r="100" spans="1:3" x14ac:dyDescent="0.3">
      <c r="A100" t="s">
        <v>238</v>
      </c>
      <c r="B100" t="s">
        <v>696</v>
      </c>
      <c r="C100">
        <v>0.1</v>
      </c>
    </row>
    <row r="101" spans="1:3" x14ac:dyDescent="0.3">
      <c r="A101" t="s">
        <v>239</v>
      </c>
      <c r="B101" t="s">
        <v>696</v>
      </c>
      <c r="C101">
        <v>0.1</v>
      </c>
    </row>
    <row r="102" spans="1:3" x14ac:dyDescent="0.3">
      <c r="A102" t="s">
        <v>240</v>
      </c>
      <c r="B102" t="s">
        <v>696</v>
      </c>
      <c r="C102">
        <v>0.1</v>
      </c>
    </row>
    <row r="103" spans="1:3" x14ac:dyDescent="0.3">
      <c r="A103" t="s">
        <v>241</v>
      </c>
      <c r="B103" t="s">
        <v>696</v>
      </c>
      <c r="C103">
        <v>0.1</v>
      </c>
    </row>
    <row r="104" spans="1:3" x14ac:dyDescent="0.3">
      <c r="A104" t="s">
        <v>242</v>
      </c>
      <c r="B104" t="s">
        <v>696</v>
      </c>
      <c r="C104">
        <v>0.1</v>
      </c>
    </row>
    <row r="105" spans="1:3" x14ac:dyDescent="0.3">
      <c r="A105" t="s">
        <v>243</v>
      </c>
      <c r="B105" t="s">
        <v>696</v>
      </c>
      <c r="C105">
        <v>0.1</v>
      </c>
    </row>
    <row r="106" spans="1:3" x14ac:dyDescent="0.3">
      <c r="A106" t="s">
        <v>244</v>
      </c>
      <c r="B106" t="s">
        <v>696</v>
      </c>
      <c r="C106">
        <v>0.1</v>
      </c>
    </row>
    <row r="107" spans="1:3" x14ac:dyDescent="0.3">
      <c r="A107" t="s">
        <v>140</v>
      </c>
      <c r="B107" t="s">
        <v>696</v>
      </c>
      <c r="C107">
        <v>0.1</v>
      </c>
    </row>
    <row r="108" spans="1:3" x14ac:dyDescent="0.3">
      <c r="A108" t="s">
        <v>245</v>
      </c>
      <c r="B108" t="s">
        <v>26</v>
      </c>
      <c r="C108">
        <v>1.5</v>
      </c>
    </row>
    <row r="109" spans="1:3" x14ac:dyDescent="0.3">
      <c r="A109" t="s">
        <v>246</v>
      </c>
      <c r="B109" t="s">
        <v>696</v>
      </c>
      <c r="C109">
        <v>0.1</v>
      </c>
    </row>
    <row r="110" spans="1:3" x14ac:dyDescent="0.3">
      <c r="A110" t="s">
        <v>108</v>
      </c>
      <c r="B110" t="s">
        <v>696</v>
      </c>
      <c r="C110">
        <v>0.1</v>
      </c>
    </row>
    <row r="111" spans="1:3" x14ac:dyDescent="0.3">
      <c r="A111" t="s">
        <v>247</v>
      </c>
      <c r="B111" t="s">
        <v>696</v>
      </c>
      <c r="C111">
        <v>0.1</v>
      </c>
    </row>
    <row r="112" spans="1:3" x14ac:dyDescent="0.3">
      <c r="A112" t="s">
        <v>248</v>
      </c>
      <c r="B112" t="s">
        <v>701</v>
      </c>
      <c r="C112">
        <v>5</v>
      </c>
    </row>
    <row r="113" spans="1:3" x14ac:dyDescent="0.3">
      <c r="A113" t="s">
        <v>249</v>
      </c>
      <c r="B113" t="s">
        <v>702</v>
      </c>
      <c r="C113">
        <v>2</v>
      </c>
    </row>
    <row r="114" spans="1:3" x14ac:dyDescent="0.3">
      <c r="A114" t="s">
        <v>250</v>
      </c>
      <c r="B114" t="s">
        <v>26</v>
      </c>
      <c r="C114">
        <v>1.5</v>
      </c>
    </row>
    <row r="115" spans="1:3" x14ac:dyDescent="0.3">
      <c r="A115" t="s">
        <v>251</v>
      </c>
      <c r="B115" t="s">
        <v>26</v>
      </c>
      <c r="C115">
        <v>1.5</v>
      </c>
    </row>
    <row r="116" spans="1:3" x14ac:dyDescent="0.3">
      <c r="A116" t="s">
        <v>252</v>
      </c>
      <c r="B116" t="s">
        <v>26</v>
      </c>
      <c r="C116">
        <v>1.5</v>
      </c>
    </row>
    <row r="117" spans="1:3" x14ac:dyDescent="0.3">
      <c r="A117" t="s">
        <v>253</v>
      </c>
      <c r="B117" t="s">
        <v>26</v>
      </c>
      <c r="C117">
        <v>1.5</v>
      </c>
    </row>
    <row r="118" spans="1:3" x14ac:dyDescent="0.3">
      <c r="A118" t="s">
        <v>254</v>
      </c>
      <c r="B118" t="s">
        <v>25</v>
      </c>
      <c r="C118">
        <v>1.5</v>
      </c>
    </row>
    <row r="119" spans="1:3" x14ac:dyDescent="0.3">
      <c r="A119" t="s">
        <v>255</v>
      </c>
      <c r="B119" t="s">
        <v>696</v>
      </c>
      <c r="C119">
        <v>0.1</v>
      </c>
    </row>
    <row r="120" spans="1:3" x14ac:dyDescent="0.3">
      <c r="A120" t="s">
        <v>256</v>
      </c>
      <c r="B120" t="s">
        <v>701</v>
      </c>
      <c r="C120">
        <v>5</v>
      </c>
    </row>
    <row r="121" spans="1:3" x14ac:dyDescent="0.3">
      <c r="A121" t="s">
        <v>257</v>
      </c>
      <c r="B121" t="s">
        <v>701</v>
      </c>
      <c r="C121">
        <v>5</v>
      </c>
    </row>
    <row r="122" spans="1:3" x14ac:dyDescent="0.3">
      <c r="A122" t="s">
        <v>258</v>
      </c>
      <c r="B122" t="s">
        <v>25</v>
      </c>
      <c r="C122">
        <v>1.5</v>
      </c>
    </row>
    <row r="123" spans="1:3" x14ac:dyDescent="0.3">
      <c r="A123" t="s">
        <v>259</v>
      </c>
      <c r="B123" t="s">
        <v>701</v>
      </c>
      <c r="C123">
        <v>5</v>
      </c>
    </row>
    <row r="124" spans="1:3" x14ac:dyDescent="0.3">
      <c r="A124" t="s">
        <v>260</v>
      </c>
      <c r="B124" t="s">
        <v>701</v>
      </c>
      <c r="C124">
        <v>5</v>
      </c>
    </row>
    <row r="125" spans="1:3" x14ac:dyDescent="0.3">
      <c r="A125" t="s">
        <v>261</v>
      </c>
      <c r="B125" t="s">
        <v>26</v>
      </c>
      <c r="C125">
        <v>1.5</v>
      </c>
    </row>
    <row r="126" spans="1:3" x14ac:dyDescent="0.3">
      <c r="A126" t="s">
        <v>262</v>
      </c>
      <c r="B126" t="s">
        <v>26</v>
      </c>
      <c r="C126">
        <v>1.5</v>
      </c>
    </row>
    <row r="127" spans="1:3" x14ac:dyDescent="0.3">
      <c r="A127" t="s">
        <v>263</v>
      </c>
      <c r="B127" t="s">
        <v>26</v>
      </c>
      <c r="C127">
        <v>1.5</v>
      </c>
    </row>
    <row r="128" spans="1:3" x14ac:dyDescent="0.3">
      <c r="A128" t="s">
        <v>264</v>
      </c>
      <c r="B128" t="s">
        <v>699</v>
      </c>
      <c r="C128">
        <v>1</v>
      </c>
    </row>
    <row r="129" spans="1:3" x14ac:dyDescent="0.3">
      <c r="A129" t="s">
        <v>109</v>
      </c>
      <c r="B129" t="s">
        <v>696</v>
      </c>
      <c r="C129">
        <v>0.1</v>
      </c>
    </row>
    <row r="130" spans="1:3" x14ac:dyDescent="0.3">
      <c r="A130" t="s">
        <v>144</v>
      </c>
      <c r="B130" t="s">
        <v>696</v>
      </c>
      <c r="C130">
        <v>0.1</v>
      </c>
    </row>
    <row r="131" spans="1:3" x14ac:dyDescent="0.3">
      <c r="A131" t="s">
        <v>265</v>
      </c>
      <c r="B131" t="s">
        <v>696</v>
      </c>
      <c r="C131">
        <v>0.1</v>
      </c>
    </row>
    <row r="132" spans="1:3" x14ac:dyDescent="0.3">
      <c r="A132" t="s">
        <v>266</v>
      </c>
      <c r="B132" t="s">
        <v>729</v>
      </c>
      <c r="C132">
        <v>4</v>
      </c>
    </row>
    <row r="133" spans="1:3" x14ac:dyDescent="0.3">
      <c r="A133" t="s">
        <v>267</v>
      </c>
      <c r="B133" t="s">
        <v>696</v>
      </c>
      <c r="C133">
        <v>0.1</v>
      </c>
    </row>
    <row r="134" spans="1:3" x14ac:dyDescent="0.3">
      <c r="A134" t="s">
        <v>268</v>
      </c>
      <c r="B134" t="s">
        <v>696</v>
      </c>
      <c r="C134">
        <v>0.1</v>
      </c>
    </row>
    <row r="135" spans="1:3" x14ac:dyDescent="0.3">
      <c r="A135" t="s">
        <v>269</v>
      </c>
      <c r="B135" t="s">
        <v>701</v>
      </c>
      <c r="C135">
        <v>5</v>
      </c>
    </row>
    <row r="136" spans="1:3" x14ac:dyDescent="0.3">
      <c r="A136" t="s">
        <v>270</v>
      </c>
      <c r="B136" t="s">
        <v>701</v>
      </c>
      <c r="C136">
        <v>5</v>
      </c>
    </row>
    <row r="137" spans="1:3" x14ac:dyDescent="0.3">
      <c r="A137" t="s">
        <v>271</v>
      </c>
      <c r="B137" t="s">
        <v>23</v>
      </c>
      <c r="C137">
        <v>4</v>
      </c>
    </row>
    <row r="138" spans="1:3" x14ac:dyDescent="0.3">
      <c r="A138" t="s">
        <v>272</v>
      </c>
      <c r="B138" t="s">
        <v>700</v>
      </c>
      <c r="C138">
        <v>4</v>
      </c>
    </row>
    <row r="139" spans="1:3" x14ac:dyDescent="0.3">
      <c r="A139" t="s">
        <v>273</v>
      </c>
      <c r="B139" t="s">
        <v>709</v>
      </c>
      <c r="C139">
        <v>2.5</v>
      </c>
    </row>
    <row r="140" spans="1:3" x14ac:dyDescent="0.3">
      <c r="A140" t="s">
        <v>274</v>
      </c>
      <c r="B140" t="s">
        <v>26</v>
      </c>
      <c r="C140">
        <v>1.5</v>
      </c>
    </row>
    <row r="141" spans="1:3" x14ac:dyDescent="0.3">
      <c r="A141" t="s">
        <v>275</v>
      </c>
      <c r="B141" t="s">
        <v>696</v>
      </c>
      <c r="C141">
        <v>0.1</v>
      </c>
    </row>
    <row r="142" spans="1:3" x14ac:dyDescent="0.3">
      <c r="A142" t="s">
        <v>276</v>
      </c>
      <c r="B142" t="s">
        <v>696</v>
      </c>
      <c r="C142">
        <v>0.1</v>
      </c>
    </row>
    <row r="143" spans="1:3" x14ac:dyDescent="0.3">
      <c r="A143" t="s">
        <v>110</v>
      </c>
      <c r="B143" t="s">
        <v>696</v>
      </c>
      <c r="C143">
        <v>0.1</v>
      </c>
    </row>
    <row r="144" spans="1:3" x14ac:dyDescent="0.3">
      <c r="A144" t="s">
        <v>277</v>
      </c>
      <c r="B144" t="s">
        <v>696</v>
      </c>
      <c r="C144">
        <v>0.1</v>
      </c>
    </row>
    <row r="145" spans="1:3" x14ac:dyDescent="0.3">
      <c r="A145" t="s">
        <v>278</v>
      </c>
      <c r="B145" t="s">
        <v>701</v>
      </c>
      <c r="C145">
        <v>5</v>
      </c>
    </row>
    <row r="146" spans="1:3" x14ac:dyDescent="0.3">
      <c r="A146" t="s">
        <v>279</v>
      </c>
      <c r="B146" t="s">
        <v>696</v>
      </c>
      <c r="C146">
        <v>0.1</v>
      </c>
    </row>
    <row r="147" spans="1:3" x14ac:dyDescent="0.3">
      <c r="A147" t="s">
        <v>280</v>
      </c>
      <c r="B147" t="s">
        <v>696</v>
      </c>
      <c r="C147">
        <v>0.1</v>
      </c>
    </row>
    <row r="148" spans="1:3" x14ac:dyDescent="0.3">
      <c r="A148" t="s">
        <v>281</v>
      </c>
      <c r="B148" t="s">
        <v>696</v>
      </c>
      <c r="C148">
        <v>0.1</v>
      </c>
    </row>
    <row r="149" spans="1:3" x14ac:dyDescent="0.3">
      <c r="A149" t="s">
        <v>282</v>
      </c>
      <c r="B149" t="s">
        <v>696</v>
      </c>
      <c r="C149">
        <v>0.1</v>
      </c>
    </row>
    <row r="150" spans="1:3" x14ac:dyDescent="0.3">
      <c r="A150" t="s">
        <v>283</v>
      </c>
      <c r="B150" t="s">
        <v>25</v>
      </c>
      <c r="C150">
        <v>1.5</v>
      </c>
    </row>
    <row r="151" spans="1:3" x14ac:dyDescent="0.3">
      <c r="A151" t="s">
        <v>284</v>
      </c>
      <c r="B151" t="s">
        <v>25</v>
      </c>
      <c r="C151">
        <v>1.5</v>
      </c>
    </row>
    <row r="152" spans="1:3" x14ac:dyDescent="0.3">
      <c r="A152" t="s">
        <v>285</v>
      </c>
      <c r="B152" t="s">
        <v>710</v>
      </c>
      <c r="C152">
        <v>1</v>
      </c>
    </row>
    <row r="153" spans="1:3" x14ac:dyDescent="0.3">
      <c r="A153" t="s">
        <v>286</v>
      </c>
      <c r="B153" t="s">
        <v>710</v>
      </c>
      <c r="C153">
        <v>1</v>
      </c>
    </row>
    <row r="154" spans="1:3" x14ac:dyDescent="0.3">
      <c r="A154" t="s">
        <v>287</v>
      </c>
      <c r="B154" t="s">
        <v>710</v>
      </c>
      <c r="C154">
        <v>1</v>
      </c>
    </row>
    <row r="155" spans="1:3" x14ac:dyDescent="0.3">
      <c r="A155" t="s">
        <v>288</v>
      </c>
      <c r="B155" t="s">
        <v>710</v>
      </c>
      <c r="C155">
        <v>1</v>
      </c>
    </row>
    <row r="156" spans="1:3" x14ac:dyDescent="0.3">
      <c r="A156" t="s">
        <v>289</v>
      </c>
      <c r="B156" t="s">
        <v>710</v>
      </c>
      <c r="C156">
        <v>1</v>
      </c>
    </row>
    <row r="157" spans="1:3" x14ac:dyDescent="0.3">
      <c r="A157" t="s">
        <v>290</v>
      </c>
      <c r="B157" t="s">
        <v>710</v>
      </c>
      <c r="C157">
        <v>1</v>
      </c>
    </row>
    <row r="158" spans="1:3" x14ac:dyDescent="0.3">
      <c r="A158" t="s">
        <v>291</v>
      </c>
      <c r="B158" t="s">
        <v>710</v>
      </c>
      <c r="C158">
        <v>1</v>
      </c>
    </row>
    <row r="159" spans="1:3" x14ac:dyDescent="0.3">
      <c r="A159" t="s">
        <v>157</v>
      </c>
      <c r="B159" t="s">
        <v>26</v>
      </c>
      <c r="C159">
        <v>1.5</v>
      </c>
    </row>
    <row r="160" spans="1:3" x14ac:dyDescent="0.3">
      <c r="A160" t="s">
        <v>292</v>
      </c>
      <c r="B160" t="s">
        <v>711</v>
      </c>
      <c r="C160">
        <v>2</v>
      </c>
    </row>
    <row r="161" spans="1:3" x14ac:dyDescent="0.3">
      <c r="A161" t="s">
        <v>293</v>
      </c>
      <c r="B161" t="s">
        <v>711</v>
      </c>
      <c r="C161">
        <v>2</v>
      </c>
    </row>
    <row r="162" spans="1:3" x14ac:dyDescent="0.3">
      <c r="A162" t="s">
        <v>294</v>
      </c>
      <c r="B162" t="s">
        <v>26</v>
      </c>
      <c r="C162">
        <v>1.5</v>
      </c>
    </row>
    <row r="163" spans="1:3" x14ac:dyDescent="0.3">
      <c r="A163" t="s">
        <v>295</v>
      </c>
      <c r="B163" t="s">
        <v>26</v>
      </c>
      <c r="C163">
        <v>1.5</v>
      </c>
    </row>
    <row r="164" spans="1:3" x14ac:dyDescent="0.3">
      <c r="A164" t="s">
        <v>296</v>
      </c>
      <c r="B164" t="s">
        <v>26</v>
      </c>
      <c r="C164">
        <v>1.5</v>
      </c>
    </row>
    <row r="165" spans="1:3" x14ac:dyDescent="0.3">
      <c r="A165" t="s">
        <v>115</v>
      </c>
      <c r="B165" t="s">
        <v>699</v>
      </c>
      <c r="C165">
        <v>1</v>
      </c>
    </row>
    <row r="166" spans="1:3" x14ac:dyDescent="0.3">
      <c r="A166" t="s">
        <v>297</v>
      </c>
      <c r="B166" t="s">
        <v>698</v>
      </c>
      <c r="C166">
        <v>0.5</v>
      </c>
    </row>
    <row r="167" spans="1:3" x14ac:dyDescent="0.3">
      <c r="A167" t="s">
        <v>298</v>
      </c>
      <c r="B167" t="s">
        <v>696</v>
      </c>
      <c r="C167">
        <v>0.1</v>
      </c>
    </row>
    <row r="168" spans="1:3" x14ac:dyDescent="0.3">
      <c r="A168" t="s">
        <v>299</v>
      </c>
      <c r="B168" t="s">
        <v>696</v>
      </c>
      <c r="C168">
        <v>0.1</v>
      </c>
    </row>
    <row r="169" spans="1:3" x14ac:dyDescent="0.3">
      <c r="A169" t="s">
        <v>300</v>
      </c>
      <c r="B169" t="s">
        <v>25</v>
      </c>
      <c r="C169">
        <v>1.5</v>
      </c>
    </row>
    <row r="170" spans="1:3" x14ac:dyDescent="0.3">
      <c r="A170" t="s">
        <v>147</v>
      </c>
      <c r="B170" t="s">
        <v>696</v>
      </c>
      <c r="C170">
        <v>0.1</v>
      </c>
    </row>
    <row r="171" spans="1:3" x14ac:dyDescent="0.3">
      <c r="A171" t="s">
        <v>111</v>
      </c>
      <c r="B171" t="s">
        <v>696</v>
      </c>
      <c r="C171">
        <v>0.1</v>
      </c>
    </row>
    <row r="172" spans="1:3" x14ac:dyDescent="0.3">
      <c r="A172" t="s">
        <v>301</v>
      </c>
      <c r="B172" t="s">
        <v>696</v>
      </c>
      <c r="C172">
        <v>0.1</v>
      </c>
    </row>
    <row r="173" spans="1:3" x14ac:dyDescent="0.3">
      <c r="A173" t="s">
        <v>302</v>
      </c>
      <c r="B173" t="s">
        <v>696</v>
      </c>
      <c r="C173">
        <v>0.1</v>
      </c>
    </row>
    <row r="174" spans="1:3" x14ac:dyDescent="0.3">
      <c r="A174" t="s">
        <v>303</v>
      </c>
      <c r="B174" t="s">
        <v>696</v>
      </c>
      <c r="C174">
        <v>0.1</v>
      </c>
    </row>
    <row r="175" spans="1:3" x14ac:dyDescent="0.3">
      <c r="A175" t="s">
        <v>304</v>
      </c>
      <c r="B175" t="s">
        <v>696</v>
      </c>
      <c r="C175">
        <v>0.1</v>
      </c>
    </row>
    <row r="176" spans="1:3" x14ac:dyDescent="0.3">
      <c r="A176" t="s">
        <v>305</v>
      </c>
      <c r="B176" t="s">
        <v>712</v>
      </c>
      <c r="C176">
        <v>12</v>
      </c>
    </row>
    <row r="177" spans="1:3" x14ac:dyDescent="0.3">
      <c r="A177" t="s">
        <v>306</v>
      </c>
      <c r="B177" t="s">
        <v>713</v>
      </c>
      <c r="C177">
        <v>8</v>
      </c>
    </row>
    <row r="178" spans="1:3" x14ac:dyDescent="0.3">
      <c r="A178" t="s">
        <v>307</v>
      </c>
      <c r="B178" t="s">
        <v>26</v>
      </c>
      <c r="C178">
        <v>1.5</v>
      </c>
    </row>
    <row r="179" spans="1:3" x14ac:dyDescent="0.3">
      <c r="A179" t="s">
        <v>308</v>
      </c>
      <c r="B179" t="s">
        <v>698</v>
      </c>
      <c r="C179">
        <v>0.5</v>
      </c>
    </row>
    <row r="180" spans="1:3" x14ac:dyDescent="0.3">
      <c r="A180" t="s">
        <v>309</v>
      </c>
      <c r="B180" t="s">
        <v>698</v>
      </c>
      <c r="C180">
        <v>0.5</v>
      </c>
    </row>
    <row r="181" spans="1:3" x14ac:dyDescent="0.3">
      <c r="A181" t="s">
        <v>310</v>
      </c>
      <c r="B181" t="s">
        <v>696</v>
      </c>
      <c r="C181">
        <v>0.1</v>
      </c>
    </row>
    <row r="182" spans="1:3" x14ac:dyDescent="0.3">
      <c r="A182" t="s">
        <v>311</v>
      </c>
      <c r="B182" t="s">
        <v>696</v>
      </c>
      <c r="C182">
        <v>0.1</v>
      </c>
    </row>
    <row r="183" spans="1:3" x14ac:dyDescent="0.3">
      <c r="A183" t="s">
        <v>312</v>
      </c>
      <c r="B183" t="s">
        <v>25</v>
      </c>
      <c r="C183">
        <v>1.5</v>
      </c>
    </row>
    <row r="184" spans="1:3" x14ac:dyDescent="0.3">
      <c r="A184" t="s">
        <v>313</v>
      </c>
      <c r="B184" t="s">
        <v>696</v>
      </c>
      <c r="C184">
        <v>0.1</v>
      </c>
    </row>
    <row r="185" spans="1:3" x14ac:dyDescent="0.3">
      <c r="A185" t="s">
        <v>314</v>
      </c>
      <c r="B185" t="s">
        <v>26</v>
      </c>
      <c r="C185">
        <v>1.5</v>
      </c>
    </row>
    <row r="186" spans="1:3" x14ac:dyDescent="0.3">
      <c r="A186" t="s">
        <v>315</v>
      </c>
      <c r="B186" t="s">
        <v>699</v>
      </c>
      <c r="C186">
        <v>1</v>
      </c>
    </row>
    <row r="187" spans="1:3" x14ac:dyDescent="0.3">
      <c r="A187" t="s">
        <v>163</v>
      </c>
      <c r="B187" t="s">
        <v>696</v>
      </c>
      <c r="C187">
        <v>0.1</v>
      </c>
    </row>
    <row r="188" spans="1:3" x14ac:dyDescent="0.3">
      <c r="A188" t="s">
        <v>114</v>
      </c>
      <c r="B188" t="s">
        <v>26</v>
      </c>
      <c r="C188">
        <v>1.5</v>
      </c>
    </row>
    <row r="189" spans="1:3" x14ac:dyDescent="0.3">
      <c r="A189" t="s">
        <v>116</v>
      </c>
      <c r="B189" t="s">
        <v>696</v>
      </c>
      <c r="C189">
        <v>0.1</v>
      </c>
    </row>
    <row r="190" spans="1:3" x14ac:dyDescent="0.3">
      <c r="A190" t="s">
        <v>118</v>
      </c>
      <c r="B190" t="s">
        <v>696</v>
      </c>
      <c r="C190">
        <v>0.1</v>
      </c>
    </row>
    <row r="191" spans="1:3" x14ac:dyDescent="0.3">
      <c r="A191" t="s">
        <v>316</v>
      </c>
      <c r="B191" t="s">
        <v>699</v>
      </c>
      <c r="C191">
        <v>1</v>
      </c>
    </row>
    <row r="192" spans="1:3" x14ac:dyDescent="0.3">
      <c r="A192" t="s">
        <v>317</v>
      </c>
      <c r="B192" t="s">
        <v>696</v>
      </c>
      <c r="C192">
        <v>0.1</v>
      </c>
    </row>
    <row r="193" spans="1:3" x14ac:dyDescent="0.3">
      <c r="A193" t="s">
        <v>119</v>
      </c>
      <c r="B193" t="s">
        <v>702</v>
      </c>
      <c r="C193">
        <v>2</v>
      </c>
    </row>
    <row r="194" spans="1:3" x14ac:dyDescent="0.3">
      <c r="A194" t="s">
        <v>318</v>
      </c>
      <c r="B194" t="s">
        <v>696</v>
      </c>
      <c r="C194">
        <v>0.1</v>
      </c>
    </row>
    <row r="195" spans="1:3" x14ac:dyDescent="0.3">
      <c r="A195" t="s">
        <v>319</v>
      </c>
      <c r="B195" t="s">
        <v>714</v>
      </c>
      <c r="C195">
        <v>1</v>
      </c>
    </row>
    <row r="196" spans="1:3" x14ac:dyDescent="0.3">
      <c r="A196" t="s">
        <v>320</v>
      </c>
      <c r="B196" t="s">
        <v>696</v>
      </c>
      <c r="C196">
        <v>0.1</v>
      </c>
    </row>
    <row r="197" spans="1:3" x14ac:dyDescent="0.3">
      <c r="A197" t="s">
        <v>321</v>
      </c>
      <c r="B197" t="s">
        <v>696</v>
      </c>
      <c r="C197">
        <v>0.1</v>
      </c>
    </row>
    <row r="198" spans="1:3" x14ac:dyDescent="0.3">
      <c r="A198" t="s">
        <v>322</v>
      </c>
      <c r="B198" t="s">
        <v>696</v>
      </c>
      <c r="C198">
        <v>0.1</v>
      </c>
    </row>
    <row r="199" spans="1:3" x14ac:dyDescent="0.3">
      <c r="A199" t="s">
        <v>323</v>
      </c>
      <c r="B199" t="s">
        <v>701</v>
      </c>
      <c r="C199">
        <v>5</v>
      </c>
    </row>
    <row r="200" spans="1:3" x14ac:dyDescent="0.3">
      <c r="A200" t="s">
        <v>324</v>
      </c>
      <c r="B200" t="s">
        <v>26</v>
      </c>
      <c r="C200">
        <v>1.5</v>
      </c>
    </row>
    <row r="201" spans="1:3" x14ac:dyDescent="0.3">
      <c r="A201" t="s">
        <v>325</v>
      </c>
      <c r="B201" t="s">
        <v>26</v>
      </c>
      <c r="C201">
        <v>1.5</v>
      </c>
    </row>
    <row r="202" spans="1:3" x14ac:dyDescent="0.3">
      <c r="A202" t="s">
        <v>150</v>
      </c>
      <c r="B202" t="s">
        <v>25</v>
      </c>
      <c r="C202">
        <v>1.5</v>
      </c>
    </row>
    <row r="203" spans="1:3" x14ac:dyDescent="0.3">
      <c r="A203" t="s">
        <v>326</v>
      </c>
      <c r="B203" t="s">
        <v>696</v>
      </c>
      <c r="C203">
        <v>0.1</v>
      </c>
    </row>
    <row r="204" spans="1:3" x14ac:dyDescent="0.3">
      <c r="A204" t="s">
        <v>327</v>
      </c>
      <c r="B204" t="s">
        <v>696</v>
      </c>
      <c r="C204">
        <v>0.1</v>
      </c>
    </row>
    <row r="205" spans="1:3" x14ac:dyDescent="0.3">
      <c r="A205" t="s">
        <v>328</v>
      </c>
      <c r="B205" t="s">
        <v>696</v>
      </c>
      <c r="C205">
        <v>0.1</v>
      </c>
    </row>
    <row r="206" spans="1:3" x14ac:dyDescent="0.3">
      <c r="A206" t="s">
        <v>329</v>
      </c>
      <c r="B206" t="s">
        <v>696</v>
      </c>
      <c r="C206">
        <v>0.1</v>
      </c>
    </row>
    <row r="207" spans="1:3" x14ac:dyDescent="0.3">
      <c r="A207" t="s">
        <v>330</v>
      </c>
      <c r="B207" t="s">
        <v>696</v>
      </c>
      <c r="C207">
        <v>0.1</v>
      </c>
    </row>
    <row r="208" spans="1:3" x14ac:dyDescent="0.3">
      <c r="A208" t="s">
        <v>331</v>
      </c>
      <c r="B208" t="s">
        <v>696</v>
      </c>
      <c r="C208">
        <v>0.1</v>
      </c>
    </row>
    <row r="209" spans="1:3" x14ac:dyDescent="0.3">
      <c r="A209" t="s">
        <v>100</v>
      </c>
      <c r="B209" t="s">
        <v>59</v>
      </c>
      <c r="C209">
        <v>8</v>
      </c>
    </row>
    <row r="210" spans="1:3" x14ac:dyDescent="0.3">
      <c r="A210" t="s">
        <v>332</v>
      </c>
      <c r="B210" t="s">
        <v>26</v>
      </c>
      <c r="C210">
        <v>1.5</v>
      </c>
    </row>
    <row r="211" spans="1:3" x14ac:dyDescent="0.3">
      <c r="A211" t="s">
        <v>333</v>
      </c>
      <c r="B211" t="s">
        <v>26</v>
      </c>
      <c r="C211">
        <v>1.5</v>
      </c>
    </row>
    <row r="212" spans="1:3" x14ac:dyDescent="0.3">
      <c r="A212" t="s">
        <v>334</v>
      </c>
      <c r="B212" t="s">
        <v>698</v>
      </c>
      <c r="C212">
        <v>0.5</v>
      </c>
    </row>
    <row r="213" spans="1:3" x14ac:dyDescent="0.3">
      <c r="A213" t="s">
        <v>335</v>
      </c>
      <c r="B213" t="s">
        <v>696</v>
      </c>
      <c r="C213">
        <v>0.1</v>
      </c>
    </row>
    <row r="214" spans="1:3" x14ac:dyDescent="0.3">
      <c r="A214" t="s">
        <v>121</v>
      </c>
      <c r="B214" t="s">
        <v>696</v>
      </c>
      <c r="C214">
        <v>0.1</v>
      </c>
    </row>
    <row r="215" spans="1:3" x14ac:dyDescent="0.3">
      <c r="A215" t="s">
        <v>122</v>
      </c>
      <c r="B215" t="s">
        <v>696</v>
      </c>
      <c r="C215">
        <v>0.1</v>
      </c>
    </row>
    <row r="216" spans="1:3" x14ac:dyDescent="0.3">
      <c r="A216" t="s">
        <v>336</v>
      </c>
      <c r="B216" t="s">
        <v>715</v>
      </c>
      <c r="C216">
        <v>8</v>
      </c>
    </row>
    <row r="217" spans="1:3" x14ac:dyDescent="0.3">
      <c r="A217" t="s">
        <v>337</v>
      </c>
      <c r="B217" t="s">
        <v>701</v>
      </c>
      <c r="C217">
        <v>5</v>
      </c>
    </row>
    <row r="218" spans="1:3" x14ac:dyDescent="0.3">
      <c r="A218" t="s">
        <v>338</v>
      </c>
      <c r="B218" t="s">
        <v>702</v>
      </c>
      <c r="C218">
        <v>2</v>
      </c>
    </row>
    <row r="219" spans="1:3" x14ac:dyDescent="0.3">
      <c r="A219" t="s">
        <v>339</v>
      </c>
      <c r="B219" t="s">
        <v>714</v>
      </c>
      <c r="C219">
        <v>1</v>
      </c>
    </row>
    <row r="220" spans="1:3" x14ac:dyDescent="0.3">
      <c r="A220" t="s">
        <v>791</v>
      </c>
      <c r="B220" t="s">
        <v>716</v>
      </c>
      <c r="C220">
        <v>1</v>
      </c>
    </row>
    <row r="221" spans="1:3" x14ac:dyDescent="0.3">
      <c r="A221" t="s">
        <v>340</v>
      </c>
      <c r="B221" t="s">
        <v>701</v>
      </c>
      <c r="C221">
        <v>5</v>
      </c>
    </row>
    <row r="222" spans="1:3" x14ac:dyDescent="0.3">
      <c r="A222" t="s">
        <v>123</v>
      </c>
      <c r="B222" t="s">
        <v>25</v>
      </c>
      <c r="C222">
        <v>1.5</v>
      </c>
    </row>
    <row r="223" spans="1:3" x14ac:dyDescent="0.3">
      <c r="A223" t="s">
        <v>341</v>
      </c>
      <c r="B223" t="s">
        <v>696</v>
      </c>
      <c r="C223">
        <v>0.1</v>
      </c>
    </row>
    <row r="224" spans="1:3" x14ac:dyDescent="0.3">
      <c r="A224" t="s">
        <v>342</v>
      </c>
      <c r="B224" t="s">
        <v>696</v>
      </c>
      <c r="C224">
        <v>0.1</v>
      </c>
    </row>
    <row r="225" spans="1:3" x14ac:dyDescent="0.3">
      <c r="A225" t="s">
        <v>343</v>
      </c>
      <c r="B225" t="s">
        <v>23</v>
      </c>
      <c r="C225">
        <v>4</v>
      </c>
    </row>
    <row r="226" spans="1:3" x14ac:dyDescent="0.3">
      <c r="A226" t="s">
        <v>344</v>
      </c>
      <c r="B226" t="s">
        <v>26</v>
      </c>
      <c r="C226">
        <v>1.5</v>
      </c>
    </row>
    <row r="227" spans="1:3" x14ac:dyDescent="0.3">
      <c r="A227" t="s">
        <v>345</v>
      </c>
      <c r="B227" t="s">
        <v>26</v>
      </c>
      <c r="C227">
        <v>1.5</v>
      </c>
    </row>
    <row r="228" spans="1:3" x14ac:dyDescent="0.3">
      <c r="A228" t="s">
        <v>346</v>
      </c>
      <c r="B228" t="s">
        <v>26</v>
      </c>
      <c r="C228">
        <v>1.5</v>
      </c>
    </row>
    <row r="229" spans="1:3" x14ac:dyDescent="0.3">
      <c r="A229" t="s">
        <v>347</v>
      </c>
      <c r="B229" t="s">
        <v>703</v>
      </c>
      <c r="C229">
        <v>4</v>
      </c>
    </row>
    <row r="230" spans="1:3" x14ac:dyDescent="0.3">
      <c r="A230" t="s">
        <v>348</v>
      </c>
      <c r="B230" t="s">
        <v>709</v>
      </c>
      <c r="C230">
        <v>2.5</v>
      </c>
    </row>
    <row r="231" spans="1:3" x14ac:dyDescent="0.3">
      <c r="A231" t="s">
        <v>124</v>
      </c>
      <c r="B231" t="s">
        <v>25</v>
      </c>
      <c r="C231">
        <v>1.5</v>
      </c>
    </row>
    <row r="232" spans="1:3" x14ac:dyDescent="0.3">
      <c r="A232" t="s">
        <v>349</v>
      </c>
      <c r="B232" t="s">
        <v>696</v>
      </c>
      <c r="C232">
        <v>0.1</v>
      </c>
    </row>
    <row r="233" spans="1:3" x14ac:dyDescent="0.3">
      <c r="A233" t="s">
        <v>350</v>
      </c>
      <c r="B233" t="s">
        <v>700</v>
      </c>
      <c r="C233">
        <v>4</v>
      </c>
    </row>
    <row r="234" spans="1:3" x14ac:dyDescent="0.3">
      <c r="A234" t="s">
        <v>351</v>
      </c>
      <c r="B234" t="s">
        <v>23</v>
      </c>
      <c r="C234">
        <v>4</v>
      </c>
    </row>
    <row r="235" spans="1:3" x14ac:dyDescent="0.3">
      <c r="A235" t="s">
        <v>352</v>
      </c>
      <c r="B235" t="s">
        <v>26</v>
      </c>
      <c r="C235">
        <v>1.5</v>
      </c>
    </row>
    <row r="236" spans="1:3" x14ac:dyDescent="0.3">
      <c r="A236" t="s">
        <v>353</v>
      </c>
      <c r="B236" t="s">
        <v>26</v>
      </c>
      <c r="C236">
        <v>1.5</v>
      </c>
    </row>
    <row r="237" spans="1:3" x14ac:dyDescent="0.3">
      <c r="A237" t="s">
        <v>354</v>
      </c>
      <c r="B237" t="s">
        <v>710</v>
      </c>
      <c r="C237">
        <v>1</v>
      </c>
    </row>
    <row r="238" spans="1:3" x14ac:dyDescent="0.3">
      <c r="A238" t="s">
        <v>112</v>
      </c>
      <c r="B238" t="s">
        <v>706</v>
      </c>
      <c r="C238">
        <v>8</v>
      </c>
    </row>
    <row r="239" spans="1:3" x14ac:dyDescent="0.3">
      <c r="A239" t="s">
        <v>355</v>
      </c>
      <c r="B239" t="s">
        <v>697</v>
      </c>
      <c r="C239">
        <v>1.5</v>
      </c>
    </row>
    <row r="240" spans="1:3" x14ac:dyDescent="0.3">
      <c r="A240" t="s">
        <v>356</v>
      </c>
      <c r="B240" t="s">
        <v>697</v>
      </c>
      <c r="C240">
        <v>1.5</v>
      </c>
    </row>
    <row r="241" spans="1:3" x14ac:dyDescent="0.3">
      <c r="A241" t="s">
        <v>125</v>
      </c>
      <c r="B241" t="s">
        <v>697</v>
      </c>
      <c r="C241">
        <v>1.5</v>
      </c>
    </row>
    <row r="242" spans="1:3" x14ac:dyDescent="0.3">
      <c r="A242" t="s">
        <v>126</v>
      </c>
      <c r="B242" t="s">
        <v>697</v>
      </c>
      <c r="C242">
        <v>1.5</v>
      </c>
    </row>
    <row r="243" spans="1:3" x14ac:dyDescent="0.3">
      <c r="A243" t="s">
        <v>357</v>
      </c>
      <c r="B243" t="s">
        <v>696</v>
      </c>
      <c r="C243">
        <v>0.1</v>
      </c>
    </row>
    <row r="244" spans="1:3" x14ac:dyDescent="0.3">
      <c r="A244" t="s">
        <v>186</v>
      </c>
      <c r="B244" t="s">
        <v>794</v>
      </c>
      <c r="C244">
        <v>8</v>
      </c>
    </row>
    <row r="245" spans="1:3" x14ac:dyDescent="0.3">
      <c r="A245" t="s">
        <v>193</v>
      </c>
      <c r="B245" t="s">
        <v>25</v>
      </c>
      <c r="C245">
        <v>1.5</v>
      </c>
    </row>
    <row r="246" spans="1:3" x14ac:dyDescent="0.3">
      <c r="A246" t="s">
        <v>358</v>
      </c>
      <c r="B246" t="s">
        <v>25</v>
      </c>
      <c r="C246">
        <v>1.5</v>
      </c>
    </row>
    <row r="247" spans="1:3" x14ac:dyDescent="0.3">
      <c r="A247" t="s">
        <v>359</v>
      </c>
      <c r="B247" t="s">
        <v>698</v>
      </c>
      <c r="C247">
        <v>0.5</v>
      </c>
    </row>
    <row r="248" spans="1:3" x14ac:dyDescent="0.3">
      <c r="A248" t="s">
        <v>360</v>
      </c>
      <c r="B248" t="s">
        <v>23</v>
      </c>
      <c r="C248">
        <v>4</v>
      </c>
    </row>
    <row r="249" spans="1:3" x14ac:dyDescent="0.3">
      <c r="A249" t="s">
        <v>361</v>
      </c>
      <c r="B249" t="s">
        <v>699</v>
      </c>
      <c r="C249">
        <v>1</v>
      </c>
    </row>
    <row r="250" spans="1:3" x14ac:dyDescent="0.3">
      <c r="A250" t="s">
        <v>362</v>
      </c>
      <c r="B250" t="s">
        <v>696</v>
      </c>
      <c r="C250">
        <v>0.1</v>
      </c>
    </row>
    <row r="251" spans="1:3" x14ac:dyDescent="0.3">
      <c r="A251" t="s">
        <v>155</v>
      </c>
      <c r="B251" t="s">
        <v>706</v>
      </c>
      <c r="C251">
        <v>8</v>
      </c>
    </row>
    <row r="252" spans="1:3" x14ac:dyDescent="0.3">
      <c r="A252" t="s">
        <v>363</v>
      </c>
      <c r="B252" t="s">
        <v>697</v>
      </c>
      <c r="C252">
        <v>1.5</v>
      </c>
    </row>
    <row r="253" spans="1:3" x14ac:dyDescent="0.3">
      <c r="A253" t="s">
        <v>364</v>
      </c>
      <c r="B253" t="s">
        <v>698</v>
      </c>
      <c r="C253">
        <v>0.5</v>
      </c>
    </row>
    <row r="254" spans="1:3" x14ac:dyDescent="0.3">
      <c r="A254" t="s">
        <v>365</v>
      </c>
      <c r="B254" t="s">
        <v>701</v>
      </c>
      <c r="C254">
        <v>5</v>
      </c>
    </row>
    <row r="255" spans="1:3" x14ac:dyDescent="0.3">
      <c r="A255" t="s">
        <v>165</v>
      </c>
      <c r="B255" t="s">
        <v>23</v>
      </c>
      <c r="C255">
        <v>4</v>
      </c>
    </row>
    <row r="256" spans="1:3" x14ac:dyDescent="0.3">
      <c r="A256" t="s">
        <v>366</v>
      </c>
      <c r="B256" t="s">
        <v>23</v>
      </c>
      <c r="C256">
        <v>4</v>
      </c>
    </row>
    <row r="257" spans="1:3" x14ac:dyDescent="0.3">
      <c r="A257" t="s">
        <v>367</v>
      </c>
      <c r="B257" t="s">
        <v>702</v>
      </c>
      <c r="C257">
        <v>2</v>
      </c>
    </row>
    <row r="258" spans="1:3" x14ac:dyDescent="0.3">
      <c r="A258" t="s">
        <v>368</v>
      </c>
      <c r="B258" t="s">
        <v>26</v>
      </c>
      <c r="C258">
        <v>1.5</v>
      </c>
    </row>
    <row r="259" spans="1:3" x14ac:dyDescent="0.3">
      <c r="A259" t="s">
        <v>369</v>
      </c>
      <c r="B259" t="s">
        <v>696</v>
      </c>
      <c r="C259">
        <v>0.1</v>
      </c>
    </row>
    <row r="260" spans="1:3" x14ac:dyDescent="0.3">
      <c r="A260" t="s">
        <v>370</v>
      </c>
      <c r="B260" t="s">
        <v>699</v>
      </c>
      <c r="C260">
        <v>1</v>
      </c>
    </row>
    <row r="261" spans="1:3" x14ac:dyDescent="0.3">
      <c r="A261" t="s">
        <v>371</v>
      </c>
      <c r="B261" t="s">
        <v>696</v>
      </c>
      <c r="C261">
        <v>0.1</v>
      </c>
    </row>
    <row r="262" spans="1:3" x14ac:dyDescent="0.3">
      <c r="A262" t="s">
        <v>372</v>
      </c>
      <c r="B262" t="s">
        <v>696</v>
      </c>
      <c r="C262">
        <v>0.1</v>
      </c>
    </row>
    <row r="263" spans="1:3" x14ac:dyDescent="0.3">
      <c r="A263" t="s">
        <v>373</v>
      </c>
      <c r="B263" t="s">
        <v>26</v>
      </c>
      <c r="C263">
        <v>1.5</v>
      </c>
    </row>
    <row r="264" spans="1:3" x14ac:dyDescent="0.3">
      <c r="A264" t="s">
        <v>374</v>
      </c>
      <c r="B264" t="s">
        <v>696</v>
      </c>
      <c r="C264">
        <v>0.1</v>
      </c>
    </row>
    <row r="265" spans="1:3" x14ac:dyDescent="0.3">
      <c r="A265" t="s">
        <v>375</v>
      </c>
      <c r="B265" t="s">
        <v>26</v>
      </c>
      <c r="C265">
        <v>1.5</v>
      </c>
    </row>
    <row r="266" spans="1:3" x14ac:dyDescent="0.3">
      <c r="A266" t="s">
        <v>376</v>
      </c>
      <c r="B266" t="s">
        <v>698</v>
      </c>
      <c r="C266">
        <v>0.5</v>
      </c>
    </row>
    <row r="267" spans="1:3" x14ac:dyDescent="0.3">
      <c r="A267" t="s">
        <v>377</v>
      </c>
      <c r="B267" t="s">
        <v>696</v>
      </c>
      <c r="C267">
        <v>0.1</v>
      </c>
    </row>
    <row r="268" spans="1:3" x14ac:dyDescent="0.3">
      <c r="A268" t="s">
        <v>378</v>
      </c>
      <c r="B268" t="s">
        <v>696</v>
      </c>
      <c r="C268">
        <v>0.1</v>
      </c>
    </row>
    <row r="269" spans="1:3" x14ac:dyDescent="0.3">
      <c r="A269" t="s">
        <v>379</v>
      </c>
      <c r="B269" t="s">
        <v>696</v>
      </c>
      <c r="C269">
        <v>0.1</v>
      </c>
    </row>
    <row r="270" spans="1:3" x14ac:dyDescent="0.3">
      <c r="A270" t="s">
        <v>380</v>
      </c>
      <c r="B270" t="s">
        <v>696</v>
      </c>
      <c r="C270">
        <v>0.1</v>
      </c>
    </row>
    <row r="271" spans="1:3" x14ac:dyDescent="0.3">
      <c r="A271" t="s">
        <v>381</v>
      </c>
      <c r="B271" t="s">
        <v>26</v>
      </c>
      <c r="C271">
        <v>1.5</v>
      </c>
    </row>
    <row r="272" spans="1:3" x14ac:dyDescent="0.3">
      <c r="A272" t="s">
        <v>382</v>
      </c>
      <c r="B272" t="s">
        <v>26</v>
      </c>
      <c r="C272">
        <v>1.5</v>
      </c>
    </row>
    <row r="273" spans="1:3" x14ac:dyDescent="0.3">
      <c r="A273" t="s">
        <v>383</v>
      </c>
      <c r="B273" t="s">
        <v>699</v>
      </c>
      <c r="C273">
        <v>1</v>
      </c>
    </row>
    <row r="274" spans="1:3" x14ac:dyDescent="0.3">
      <c r="A274" t="s">
        <v>384</v>
      </c>
      <c r="B274" t="s">
        <v>696</v>
      </c>
      <c r="C274">
        <v>0.1</v>
      </c>
    </row>
    <row r="275" spans="1:3" x14ac:dyDescent="0.3">
      <c r="A275" t="s">
        <v>385</v>
      </c>
      <c r="B275" t="s">
        <v>696</v>
      </c>
      <c r="C275">
        <v>0.1</v>
      </c>
    </row>
    <row r="276" spans="1:3" x14ac:dyDescent="0.3">
      <c r="A276" t="s">
        <v>386</v>
      </c>
      <c r="B276" t="s">
        <v>699</v>
      </c>
      <c r="C276">
        <v>1</v>
      </c>
    </row>
    <row r="277" spans="1:3" x14ac:dyDescent="0.3">
      <c r="A277" t="s">
        <v>387</v>
      </c>
      <c r="B277" t="s">
        <v>696</v>
      </c>
      <c r="C277">
        <v>0.1</v>
      </c>
    </row>
    <row r="278" spans="1:3" x14ac:dyDescent="0.3">
      <c r="A278" t="s">
        <v>146</v>
      </c>
      <c r="B278" t="s">
        <v>702</v>
      </c>
      <c r="C278">
        <v>2</v>
      </c>
    </row>
    <row r="279" spans="1:3" x14ac:dyDescent="0.3">
      <c r="A279" t="s">
        <v>141</v>
      </c>
      <c r="B279" t="s">
        <v>702</v>
      </c>
      <c r="C279">
        <v>2</v>
      </c>
    </row>
    <row r="280" spans="1:3" x14ac:dyDescent="0.3">
      <c r="A280" t="s">
        <v>388</v>
      </c>
      <c r="B280" t="s">
        <v>26</v>
      </c>
      <c r="C280">
        <v>1.5</v>
      </c>
    </row>
    <row r="281" spans="1:3" x14ac:dyDescent="0.3">
      <c r="A281" t="s">
        <v>389</v>
      </c>
      <c r="B281" t="s">
        <v>26</v>
      </c>
      <c r="C281">
        <v>1.5</v>
      </c>
    </row>
    <row r="282" spans="1:3" x14ac:dyDescent="0.3">
      <c r="A282" t="s">
        <v>390</v>
      </c>
      <c r="B282" t="s">
        <v>26</v>
      </c>
      <c r="C282">
        <v>1.5</v>
      </c>
    </row>
    <row r="283" spans="1:3" x14ac:dyDescent="0.3">
      <c r="A283" t="s">
        <v>391</v>
      </c>
      <c r="B283" t="s">
        <v>26</v>
      </c>
      <c r="C283">
        <v>1.5</v>
      </c>
    </row>
    <row r="284" spans="1:3" x14ac:dyDescent="0.3">
      <c r="A284" t="s">
        <v>392</v>
      </c>
      <c r="B284" t="s">
        <v>26</v>
      </c>
      <c r="C284">
        <v>1.5</v>
      </c>
    </row>
    <row r="285" spans="1:3" x14ac:dyDescent="0.3">
      <c r="A285" t="s">
        <v>393</v>
      </c>
      <c r="B285" t="s">
        <v>25</v>
      </c>
      <c r="C285">
        <v>1.5</v>
      </c>
    </row>
    <row r="286" spans="1:3" x14ac:dyDescent="0.3">
      <c r="A286" t="s">
        <v>394</v>
      </c>
      <c r="B286" t="s">
        <v>697</v>
      </c>
      <c r="C286">
        <v>1.5</v>
      </c>
    </row>
    <row r="287" spans="1:3" x14ac:dyDescent="0.3">
      <c r="A287" t="s">
        <v>395</v>
      </c>
      <c r="B287" t="s">
        <v>704</v>
      </c>
      <c r="C287">
        <v>1</v>
      </c>
    </row>
    <row r="288" spans="1:3" x14ac:dyDescent="0.3">
      <c r="A288" t="s">
        <v>396</v>
      </c>
      <c r="B288" t="s">
        <v>698</v>
      </c>
      <c r="C288">
        <v>0.5</v>
      </c>
    </row>
    <row r="289" spans="1:3" x14ac:dyDescent="0.3">
      <c r="A289" t="s">
        <v>397</v>
      </c>
      <c r="B289" t="s">
        <v>696</v>
      </c>
      <c r="C289">
        <v>0.1</v>
      </c>
    </row>
    <row r="290" spans="1:3" x14ac:dyDescent="0.3">
      <c r="A290" t="s">
        <v>398</v>
      </c>
      <c r="B290" t="s">
        <v>702</v>
      </c>
      <c r="C290">
        <v>2</v>
      </c>
    </row>
    <row r="291" spans="1:3" x14ac:dyDescent="0.3">
      <c r="A291" t="s">
        <v>399</v>
      </c>
      <c r="B291" t="s">
        <v>26</v>
      </c>
      <c r="C291">
        <v>1.5</v>
      </c>
    </row>
    <row r="292" spans="1:3" x14ac:dyDescent="0.3">
      <c r="A292" t="s">
        <v>146</v>
      </c>
      <c r="B292" t="s">
        <v>26</v>
      </c>
      <c r="C292">
        <v>1.5</v>
      </c>
    </row>
    <row r="293" spans="1:3" x14ac:dyDescent="0.3">
      <c r="A293" t="s">
        <v>400</v>
      </c>
      <c r="B293" t="s">
        <v>26</v>
      </c>
      <c r="C293">
        <v>1.5</v>
      </c>
    </row>
    <row r="294" spans="1:3" x14ac:dyDescent="0.3">
      <c r="A294" t="s">
        <v>401</v>
      </c>
      <c r="B294" t="s">
        <v>26</v>
      </c>
      <c r="C294">
        <v>1.5</v>
      </c>
    </row>
    <row r="295" spans="1:3" x14ac:dyDescent="0.3">
      <c r="A295" t="s">
        <v>402</v>
      </c>
      <c r="B295" t="s">
        <v>26</v>
      </c>
      <c r="C295">
        <v>1.5</v>
      </c>
    </row>
    <row r="296" spans="1:3" x14ac:dyDescent="0.3">
      <c r="A296" t="s">
        <v>139</v>
      </c>
      <c r="B296" t="s">
        <v>26</v>
      </c>
      <c r="C296">
        <v>1.5</v>
      </c>
    </row>
    <row r="297" spans="1:3" x14ac:dyDescent="0.3">
      <c r="A297" t="s">
        <v>403</v>
      </c>
      <c r="B297" t="s">
        <v>26</v>
      </c>
      <c r="C297">
        <v>1.5</v>
      </c>
    </row>
    <row r="298" spans="1:3" x14ac:dyDescent="0.3">
      <c r="A298" t="s">
        <v>404</v>
      </c>
      <c r="B298" t="s">
        <v>696</v>
      </c>
      <c r="C298">
        <v>0.1</v>
      </c>
    </row>
    <row r="299" spans="1:3" x14ac:dyDescent="0.3">
      <c r="A299" t="s">
        <v>129</v>
      </c>
      <c r="B299" t="s">
        <v>25</v>
      </c>
      <c r="C299">
        <v>1.5</v>
      </c>
    </row>
    <row r="300" spans="1:3" x14ac:dyDescent="0.3">
      <c r="A300" t="s">
        <v>405</v>
      </c>
      <c r="B300" t="s">
        <v>696</v>
      </c>
      <c r="C300">
        <v>0.1</v>
      </c>
    </row>
    <row r="301" spans="1:3" x14ac:dyDescent="0.3">
      <c r="A301" t="s">
        <v>406</v>
      </c>
      <c r="B301" t="s">
        <v>696</v>
      </c>
      <c r="C301">
        <v>0.1</v>
      </c>
    </row>
    <row r="302" spans="1:3" x14ac:dyDescent="0.3">
      <c r="A302" t="s">
        <v>407</v>
      </c>
      <c r="B302" t="s">
        <v>696</v>
      </c>
      <c r="C302">
        <v>0.1</v>
      </c>
    </row>
    <row r="303" spans="1:3" x14ac:dyDescent="0.3">
      <c r="A303" t="s">
        <v>190</v>
      </c>
      <c r="B303" t="s">
        <v>706</v>
      </c>
      <c r="C303">
        <v>8</v>
      </c>
    </row>
    <row r="304" spans="1:3" x14ac:dyDescent="0.3">
      <c r="A304" t="s">
        <v>408</v>
      </c>
      <c r="B304" t="s">
        <v>26</v>
      </c>
      <c r="C304">
        <v>1.5</v>
      </c>
    </row>
    <row r="305" spans="1:3" x14ac:dyDescent="0.3">
      <c r="A305" t="s">
        <v>409</v>
      </c>
      <c r="B305" t="s">
        <v>26</v>
      </c>
      <c r="C305">
        <v>1.5</v>
      </c>
    </row>
    <row r="306" spans="1:3" x14ac:dyDescent="0.3">
      <c r="A306" t="s">
        <v>410</v>
      </c>
      <c r="B306" t="s">
        <v>702</v>
      </c>
      <c r="C306">
        <v>2</v>
      </c>
    </row>
    <row r="307" spans="1:3" x14ac:dyDescent="0.3">
      <c r="A307" t="s">
        <v>411</v>
      </c>
      <c r="B307" t="s">
        <v>26</v>
      </c>
      <c r="C307">
        <v>1.5</v>
      </c>
    </row>
    <row r="308" spans="1:3" x14ac:dyDescent="0.3">
      <c r="A308" t="s">
        <v>412</v>
      </c>
      <c r="B308" t="s">
        <v>714</v>
      </c>
      <c r="C308">
        <v>1</v>
      </c>
    </row>
    <row r="309" spans="1:3" x14ac:dyDescent="0.3">
      <c r="A309" t="s">
        <v>413</v>
      </c>
      <c r="B309" t="s">
        <v>698</v>
      </c>
      <c r="C309">
        <v>0.5</v>
      </c>
    </row>
    <row r="310" spans="1:3" x14ac:dyDescent="0.3">
      <c r="A310" t="s">
        <v>414</v>
      </c>
      <c r="B310" t="s">
        <v>696</v>
      </c>
      <c r="C310">
        <v>0.1</v>
      </c>
    </row>
    <row r="311" spans="1:3" x14ac:dyDescent="0.3">
      <c r="A311" t="s">
        <v>415</v>
      </c>
      <c r="B311" t="s">
        <v>696</v>
      </c>
      <c r="C311">
        <v>0.1</v>
      </c>
    </row>
    <row r="312" spans="1:3" x14ac:dyDescent="0.3">
      <c r="A312" t="s">
        <v>416</v>
      </c>
      <c r="B312" t="s">
        <v>696</v>
      </c>
      <c r="C312">
        <v>0.1</v>
      </c>
    </row>
    <row r="313" spans="1:3" x14ac:dyDescent="0.3">
      <c r="A313" t="s">
        <v>417</v>
      </c>
      <c r="B313" t="s">
        <v>696</v>
      </c>
      <c r="C313">
        <v>0.1</v>
      </c>
    </row>
    <row r="314" spans="1:3" x14ac:dyDescent="0.3">
      <c r="A314" t="s">
        <v>365</v>
      </c>
      <c r="B314" t="s">
        <v>788</v>
      </c>
      <c r="C314">
        <v>15</v>
      </c>
    </row>
    <row r="315" spans="1:3" x14ac:dyDescent="0.3">
      <c r="A315" t="s">
        <v>130</v>
      </c>
      <c r="B315" t="s">
        <v>709</v>
      </c>
      <c r="C315">
        <v>2.5</v>
      </c>
    </row>
    <row r="316" spans="1:3" x14ac:dyDescent="0.3">
      <c r="A316" t="s">
        <v>418</v>
      </c>
      <c r="B316" t="s">
        <v>25</v>
      </c>
      <c r="C316">
        <v>1.5</v>
      </c>
    </row>
    <row r="317" spans="1:3" x14ac:dyDescent="0.3">
      <c r="A317" t="s">
        <v>419</v>
      </c>
      <c r="B317" t="s">
        <v>699</v>
      </c>
      <c r="C317">
        <v>1</v>
      </c>
    </row>
    <row r="318" spans="1:3" x14ac:dyDescent="0.3">
      <c r="A318" t="s">
        <v>420</v>
      </c>
      <c r="B318" t="s">
        <v>698</v>
      </c>
      <c r="C318">
        <v>0.5</v>
      </c>
    </row>
    <row r="319" spans="1:3" x14ac:dyDescent="0.3">
      <c r="A319" t="s">
        <v>421</v>
      </c>
      <c r="B319" t="s">
        <v>696</v>
      </c>
      <c r="C319">
        <v>0.1</v>
      </c>
    </row>
    <row r="320" spans="1:3" x14ac:dyDescent="0.3">
      <c r="A320" t="s">
        <v>422</v>
      </c>
      <c r="B320" t="s">
        <v>696</v>
      </c>
      <c r="C320">
        <v>0.1</v>
      </c>
    </row>
    <row r="321" spans="1:3" x14ac:dyDescent="0.3">
      <c r="A321" t="s">
        <v>423</v>
      </c>
      <c r="B321" t="s">
        <v>696</v>
      </c>
      <c r="C321">
        <v>0.1</v>
      </c>
    </row>
    <row r="322" spans="1:3" x14ac:dyDescent="0.3">
      <c r="A322" t="s">
        <v>424</v>
      </c>
      <c r="B322" t="s">
        <v>696</v>
      </c>
      <c r="C322">
        <v>0.1</v>
      </c>
    </row>
    <row r="323" spans="1:3" x14ac:dyDescent="0.3">
      <c r="A323" t="s">
        <v>131</v>
      </c>
      <c r="B323" t="s">
        <v>696</v>
      </c>
      <c r="C323">
        <v>0.1</v>
      </c>
    </row>
    <row r="324" spans="1:3" x14ac:dyDescent="0.3">
      <c r="A324" t="s">
        <v>145</v>
      </c>
      <c r="B324" t="s">
        <v>696</v>
      </c>
      <c r="C324">
        <v>0.1</v>
      </c>
    </row>
    <row r="325" spans="1:3" x14ac:dyDescent="0.3">
      <c r="A325" t="s">
        <v>425</v>
      </c>
      <c r="B325" t="s">
        <v>696</v>
      </c>
      <c r="C325">
        <v>0.1</v>
      </c>
    </row>
    <row r="326" spans="1:3" x14ac:dyDescent="0.3">
      <c r="A326" t="s">
        <v>426</v>
      </c>
      <c r="B326" t="s">
        <v>696</v>
      </c>
      <c r="C326">
        <v>0.1</v>
      </c>
    </row>
    <row r="327" spans="1:3" x14ac:dyDescent="0.3">
      <c r="A327" t="s">
        <v>427</v>
      </c>
      <c r="B327" t="s">
        <v>26</v>
      </c>
      <c r="C327">
        <v>1.5</v>
      </c>
    </row>
    <row r="328" spans="1:3" x14ac:dyDescent="0.3">
      <c r="A328" t="s">
        <v>428</v>
      </c>
      <c r="B328" t="s">
        <v>701</v>
      </c>
      <c r="C328">
        <v>5</v>
      </c>
    </row>
    <row r="329" spans="1:3" x14ac:dyDescent="0.3">
      <c r="A329" t="s">
        <v>429</v>
      </c>
      <c r="B329" t="s">
        <v>698</v>
      </c>
      <c r="C329">
        <v>0.5</v>
      </c>
    </row>
    <row r="330" spans="1:3" x14ac:dyDescent="0.3">
      <c r="A330" t="s">
        <v>430</v>
      </c>
      <c r="B330" t="s">
        <v>26</v>
      </c>
      <c r="C330">
        <v>1.5</v>
      </c>
    </row>
    <row r="331" spans="1:3" x14ac:dyDescent="0.3">
      <c r="A331" t="s">
        <v>431</v>
      </c>
      <c r="B331" t="s">
        <v>26</v>
      </c>
      <c r="C331">
        <v>1.5</v>
      </c>
    </row>
    <row r="332" spans="1:3" x14ac:dyDescent="0.3">
      <c r="A332" t="s">
        <v>432</v>
      </c>
      <c r="B332" t="s">
        <v>26</v>
      </c>
      <c r="C332">
        <v>1.5</v>
      </c>
    </row>
    <row r="333" spans="1:3" x14ac:dyDescent="0.3">
      <c r="A333" t="s">
        <v>433</v>
      </c>
      <c r="B333" t="s">
        <v>26</v>
      </c>
      <c r="C333">
        <v>1.5</v>
      </c>
    </row>
    <row r="334" spans="1:3" x14ac:dyDescent="0.3">
      <c r="A334" t="s">
        <v>148</v>
      </c>
      <c r="B334" t="s">
        <v>696</v>
      </c>
      <c r="C334">
        <v>0.1</v>
      </c>
    </row>
    <row r="335" spans="1:3" x14ac:dyDescent="0.3">
      <c r="A335" t="s">
        <v>434</v>
      </c>
      <c r="B335" t="s">
        <v>696</v>
      </c>
      <c r="C335">
        <v>0.1</v>
      </c>
    </row>
    <row r="336" spans="1:3" x14ac:dyDescent="0.3">
      <c r="A336" t="s">
        <v>435</v>
      </c>
      <c r="B336" t="s">
        <v>26</v>
      </c>
      <c r="C336">
        <v>1.5</v>
      </c>
    </row>
    <row r="337" spans="1:3" x14ac:dyDescent="0.3">
      <c r="A337" t="s">
        <v>436</v>
      </c>
      <c r="B337" t="s">
        <v>696</v>
      </c>
      <c r="C337">
        <v>0.1</v>
      </c>
    </row>
    <row r="338" spans="1:3" x14ac:dyDescent="0.3">
      <c r="A338" t="s">
        <v>437</v>
      </c>
      <c r="B338" t="s">
        <v>696</v>
      </c>
      <c r="C338">
        <v>0.1</v>
      </c>
    </row>
    <row r="339" spans="1:3" x14ac:dyDescent="0.3">
      <c r="A339" t="s">
        <v>438</v>
      </c>
      <c r="B339" t="s">
        <v>696</v>
      </c>
      <c r="C339">
        <v>0.1</v>
      </c>
    </row>
    <row r="340" spans="1:3" x14ac:dyDescent="0.3">
      <c r="A340" t="s">
        <v>439</v>
      </c>
      <c r="B340" t="s">
        <v>696</v>
      </c>
      <c r="C340">
        <v>0.1</v>
      </c>
    </row>
    <row r="341" spans="1:3" x14ac:dyDescent="0.3">
      <c r="A341" t="s">
        <v>440</v>
      </c>
      <c r="B341" t="s">
        <v>26</v>
      </c>
      <c r="C341">
        <v>1.5</v>
      </c>
    </row>
    <row r="342" spans="1:3" x14ac:dyDescent="0.3">
      <c r="A342" t="s">
        <v>441</v>
      </c>
      <c r="B342" t="s">
        <v>26</v>
      </c>
      <c r="C342">
        <v>1.5</v>
      </c>
    </row>
    <row r="343" spans="1:3" x14ac:dyDescent="0.3">
      <c r="A343" t="s">
        <v>442</v>
      </c>
      <c r="B343" t="s">
        <v>696</v>
      </c>
      <c r="C343">
        <v>0.1</v>
      </c>
    </row>
    <row r="344" spans="1:3" x14ac:dyDescent="0.3">
      <c r="A344" t="s">
        <v>133</v>
      </c>
      <c r="B344" t="s">
        <v>704</v>
      </c>
      <c r="C344">
        <v>1</v>
      </c>
    </row>
    <row r="345" spans="1:3" x14ac:dyDescent="0.3">
      <c r="A345" t="s">
        <v>443</v>
      </c>
      <c r="B345" t="s">
        <v>696</v>
      </c>
      <c r="C345">
        <v>0.1</v>
      </c>
    </row>
    <row r="346" spans="1:3" x14ac:dyDescent="0.3">
      <c r="A346" t="s">
        <v>444</v>
      </c>
      <c r="B346" t="s">
        <v>696</v>
      </c>
      <c r="C346">
        <v>0.1</v>
      </c>
    </row>
    <row r="347" spans="1:3" x14ac:dyDescent="0.3">
      <c r="A347" t="s">
        <v>445</v>
      </c>
      <c r="B347" t="s">
        <v>698</v>
      </c>
      <c r="C347">
        <v>0.5</v>
      </c>
    </row>
    <row r="348" spans="1:3" x14ac:dyDescent="0.3">
      <c r="A348" t="s">
        <v>446</v>
      </c>
      <c r="B348" t="s">
        <v>698</v>
      </c>
      <c r="C348">
        <v>0.5</v>
      </c>
    </row>
    <row r="349" spans="1:3" x14ac:dyDescent="0.3">
      <c r="A349" t="s">
        <v>447</v>
      </c>
      <c r="B349" t="s">
        <v>696</v>
      </c>
      <c r="C349">
        <v>0.1</v>
      </c>
    </row>
    <row r="350" spans="1:3" x14ac:dyDescent="0.3">
      <c r="A350" t="s">
        <v>448</v>
      </c>
      <c r="B350" t="s">
        <v>702</v>
      </c>
      <c r="C350">
        <v>2</v>
      </c>
    </row>
    <row r="351" spans="1:3" x14ac:dyDescent="0.3">
      <c r="A351" t="s">
        <v>449</v>
      </c>
      <c r="B351" t="s">
        <v>701</v>
      </c>
      <c r="C351">
        <v>5</v>
      </c>
    </row>
    <row r="352" spans="1:3" x14ac:dyDescent="0.3">
      <c r="A352" t="s">
        <v>450</v>
      </c>
      <c r="B352" t="s">
        <v>696</v>
      </c>
      <c r="C352">
        <v>0.1</v>
      </c>
    </row>
    <row r="353" spans="1:3" x14ac:dyDescent="0.3">
      <c r="A353" t="s">
        <v>451</v>
      </c>
      <c r="B353" t="s">
        <v>26</v>
      </c>
      <c r="C353">
        <v>1.5</v>
      </c>
    </row>
    <row r="354" spans="1:3" x14ac:dyDescent="0.3">
      <c r="A354" t="s">
        <v>452</v>
      </c>
      <c r="B354" t="s">
        <v>696</v>
      </c>
      <c r="C354">
        <v>0.1</v>
      </c>
    </row>
    <row r="355" spans="1:3" x14ac:dyDescent="0.3">
      <c r="A355" t="s">
        <v>453</v>
      </c>
      <c r="B355" t="s">
        <v>696</v>
      </c>
      <c r="C355">
        <v>0.1</v>
      </c>
    </row>
    <row r="356" spans="1:3" x14ac:dyDescent="0.3">
      <c r="A356" t="s">
        <v>454</v>
      </c>
      <c r="B356" t="s">
        <v>696</v>
      </c>
      <c r="C356">
        <v>0.1</v>
      </c>
    </row>
    <row r="357" spans="1:3" x14ac:dyDescent="0.3">
      <c r="A357" t="s">
        <v>134</v>
      </c>
      <c r="B357" t="s">
        <v>696</v>
      </c>
      <c r="C357">
        <v>0.1</v>
      </c>
    </row>
    <row r="358" spans="1:3" x14ac:dyDescent="0.3">
      <c r="A358" t="s">
        <v>455</v>
      </c>
      <c r="B358" t="s">
        <v>26</v>
      </c>
      <c r="C358">
        <v>1.5</v>
      </c>
    </row>
    <row r="359" spans="1:3" x14ac:dyDescent="0.3">
      <c r="A359" t="s">
        <v>456</v>
      </c>
      <c r="B359" t="s">
        <v>26</v>
      </c>
      <c r="C359">
        <v>1.5</v>
      </c>
    </row>
    <row r="360" spans="1:3" x14ac:dyDescent="0.3">
      <c r="A360" t="s">
        <v>457</v>
      </c>
      <c r="B360" t="s">
        <v>26</v>
      </c>
      <c r="C360">
        <v>1.5</v>
      </c>
    </row>
    <row r="361" spans="1:3" x14ac:dyDescent="0.3">
      <c r="A361" t="s">
        <v>117</v>
      </c>
      <c r="B361" t="s">
        <v>26</v>
      </c>
      <c r="C361">
        <v>1.5</v>
      </c>
    </row>
    <row r="362" spans="1:3" x14ac:dyDescent="0.3">
      <c r="A362" t="s">
        <v>458</v>
      </c>
      <c r="B362" t="s">
        <v>704</v>
      </c>
      <c r="C362">
        <v>1</v>
      </c>
    </row>
    <row r="363" spans="1:3" x14ac:dyDescent="0.3">
      <c r="A363" t="s">
        <v>459</v>
      </c>
      <c r="B363" t="s">
        <v>698</v>
      </c>
      <c r="C363">
        <v>0.5</v>
      </c>
    </row>
    <row r="364" spans="1:3" x14ac:dyDescent="0.3">
      <c r="A364" t="s">
        <v>460</v>
      </c>
      <c r="B364" t="s">
        <v>696</v>
      </c>
      <c r="C364">
        <v>0.1</v>
      </c>
    </row>
    <row r="365" spans="1:3" x14ac:dyDescent="0.3">
      <c r="A365" t="s">
        <v>461</v>
      </c>
      <c r="B365" t="s">
        <v>698</v>
      </c>
      <c r="C365">
        <v>0.5</v>
      </c>
    </row>
    <row r="366" spans="1:3" x14ac:dyDescent="0.3">
      <c r="A366" t="s">
        <v>462</v>
      </c>
      <c r="B366" t="s">
        <v>26</v>
      </c>
      <c r="C366">
        <v>1.5</v>
      </c>
    </row>
    <row r="367" spans="1:3" x14ac:dyDescent="0.3">
      <c r="A367" t="s">
        <v>463</v>
      </c>
      <c r="B367" t="s">
        <v>698</v>
      </c>
      <c r="C367">
        <v>0.5</v>
      </c>
    </row>
    <row r="368" spans="1:3" x14ac:dyDescent="0.3">
      <c r="A368" t="s">
        <v>464</v>
      </c>
      <c r="B368" t="s">
        <v>698</v>
      </c>
      <c r="C368">
        <v>0.5</v>
      </c>
    </row>
    <row r="369" spans="1:3" x14ac:dyDescent="0.3">
      <c r="A369" t="s">
        <v>465</v>
      </c>
      <c r="B369" t="s">
        <v>696</v>
      </c>
      <c r="C369">
        <v>0.1</v>
      </c>
    </row>
    <row r="370" spans="1:3" x14ac:dyDescent="0.3">
      <c r="A370" t="s">
        <v>466</v>
      </c>
      <c r="B370" t="s">
        <v>696</v>
      </c>
      <c r="C370">
        <v>0.1</v>
      </c>
    </row>
    <row r="371" spans="1:3" x14ac:dyDescent="0.3">
      <c r="A371" t="s">
        <v>467</v>
      </c>
      <c r="B371" t="s">
        <v>714</v>
      </c>
      <c r="C371">
        <v>1</v>
      </c>
    </row>
    <row r="372" spans="1:3" x14ac:dyDescent="0.3">
      <c r="A372" t="s">
        <v>754</v>
      </c>
      <c r="B372" t="s">
        <v>696</v>
      </c>
      <c r="C372">
        <v>0.1</v>
      </c>
    </row>
    <row r="373" spans="1:3" x14ac:dyDescent="0.3">
      <c r="A373" t="s">
        <v>468</v>
      </c>
      <c r="B373" t="s">
        <v>696</v>
      </c>
      <c r="C373">
        <v>0.1</v>
      </c>
    </row>
    <row r="374" spans="1:3" x14ac:dyDescent="0.3">
      <c r="A374" t="s">
        <v>469</v>
      </c>
      <c r="B374" t="s">
        <v>701</v>
      </c>
      <c r="C374">
        <v>5</v>
      </c>
    </row>
    <row r="375" spans="1:3" x14ac:dyDescent="0.3">
      <c r="A375" t="s">
        <v>470</v>
      </c>
      <c r="B375" t="s">
        <v>702</v>
      </c>
      <c r="C375">
        <v>2</v>
      </c>
    </row>
    <row r="376" spans="1:3" x14ac:dyDescent="0.3">
      <c r="A376" t="s">
        <v>471</v>
      </c>
      <c r="B376" t="s">
        <v>696</v>
      </c>
      <c r="C376">
        <v>0.1</v>
      </c>
    </row>
    <row r="377" spans="1:3" x14ac:dyDescent="0.3">
      <c r="A377" t="s">
        <v>472</v>
      </c>
      <c r="B377" t="s">
        <v>26</v>
      </c>
      <c r="C377">
        <v>1.5</v>
      </c>
    </row>
    <row r="378" spans="1:3" x14ac:dyDescent="0.3">
      <c r="A378" t="s">
        <v>473</v>
      </c>
      <c r="B378" t="s">
        <v>699</v>
      </c>
      <c r="C378">
        <v>1</v>
      </c>
    </row>
    <row r="379" spans="1:3" x14ac:dyDescent="0.3">
      <c r="A379" t="s">
        <v>474</v>
      </c>
      <c r="B379" t="s">
        <v>698</v>
      </c>
      <c r="C379">
        <v>0.5</v>
      </c>
    </row>
    <row r="380" spans="1:3" x14ac:dyDescent="0.3">
      <c r="A380" t="s">
        <v>475</v>
      </c>
      <c r="B380" t="s">
        <v>696</v>
      </c>
      <c r="C380">
        <v>0.1</v>
      </c>
    </row>
    <row r="381" spans="1:3" x14ac:dyDescent="0.3">
      <c r="A381" t="s">
        <v>476</v>
      </c>
      <c r="B381" t="s">
        <v>696</v>
      </c>
      <c r="C381">
        <v>0.1</v>
      </c>
    </row>
    <row r="382" spans="1:3" x14ac:dyDescent="0.3">
      <c r="A382" t="s">
        <v>477</v>
      </c>
      <c r="B382" t="s">
        <v>696</v>
      </c>
      <c r="C382">
        <v>0.1</v>
      </c>
    </row>
    <row r="383" spans="1:3" x14ac:dyDescent="0.3">
      <c r="A383" t="s">
        <v>135</v>
      </c>
      <c r="B383" t="s">
        <v>696</v>
      </c>
      <c r="C383">
        <v>0.1</v>
      </c>
    </row>
    <row r="384" spans="1:3" x14ac:dyDescent="0.3">
      <c r="A384" t="s">
        <v>478</v>
      </c>
      <c r="B384" t="s">
        <v>696</v>
      </c>
      <c r="C384">
        <v>0.1</v>
      </c>
    </row>
    <row r="385" spans="1:3" x14ac:dyDescent="0.3">
      <c r="A385" t="s">
        <v>479</v>
      </c>
      <c r="B385" t="s">
        <v>696</v>
      </c>
      <c r="C385">
        <v>0.1</v>
      </c>
    </row>
    <row r="386" spans="1:3" x14ac:dyDescent="0.3">
      <c r="A386" t="s">
        <v>480</v>
      </c>
      <c r="B386" t="s">
        <v>714</v>
      </c>
      <c r="C386">
        <v>1</v>
      </c>
    </row>
    <row r="387" spans="1:3" x14ac:dyDescent="0.3">
      <c r="A387" t="s">
        <v>481</v>
      </c>
      <c r="B387" t="s">
        <v>696</v>
      </c>
      <c r="C387">
        <v>0.1</v>
      </c>
    </row>
    <row r="388" spans="1:3" x14ac:dyDescent="0.3">
      <c r="A388" t="s">
        <v>102</v>
      </c>
      <c r="B388" t="s">
        <v>706</v>
      </c>
      <c r="C388">
        <v>8</v>
      </c>
    </row>
    <row r="389" spans="1:3" x14ac:dyDescent="0.3">
      <c r="A389" t="s">
        <v>482</v>
      </c>
      <c r="B389" t="s">
        <v>702</v>
      </c>
      <c r="C389">
        <v>2</v>
      </c>
    </row>
    <row r="390" spans="1:3" x14ac:dyDescent="0.3">
      <c r="A390" t="s">
        <v>483</v>
      </c>
      <c r="B390" t="s">
        <v>696</v>
      </c>
      <c r="C390">
        <v>0.1</v>
      </c>
    </row>
    <row r="391" spans="1:3" x14ac:dyDescent="0.3">
      <c r="A391" t="s">
        <v>484</v>
      </c>
      <c r="B391" t="s">
        <v>696</v>
      </c>
      <c r="C391">
        <v>0.1</v>
      </c>
    </row>
    <row r="392" spans="1:3" x14ac:dyDescent="0.3">
      <c r="A392" t="s">
        <v>485</v>
      </c>
      <c r="B392" t="s">
        <v>696</v>
      </c>
      <c r="C392">
        <v>0.1</v>
      </c>
    </row>
    <row r="393" spans="1:3" x14ac:dyDescent="0.3">
      <c r="A393" t="s">
        <v>486</v>
      </c>
      <c r="B393" t="s">
        <v>696</v>
      </c>
      <c r="C393">
        <v>0.1</v>
      </c>
    </row>
    <row r="394" spans="1:3" x14ac:dyDescent="0.3">
      <c r="A394" t="s">
        <v>137</v>
      </c>
      <c r="B394" t="s">
        <v>696</v>
      </c>
      <c r="C394">
        <v>0.1</v>
      </c>
    </row>
    <row r="395" spans="1:3" x14ac:dyDescent="0.3">
      <c r="A395" t="s">
        <v>487</v>
      </c>
      <c r="B395" t="s">
        <v>697</v>
      </c>
      <c r="C395">
        <v>1.5</v>
      </c>
    </row>
    <row r="396" spans="1:3" x14ac:dyDescent="0.3">
      <c r="A396" t="s">
        <v>488</v>
      </c>
      <c r="B396" t="s">
        <v>698</v>
      </c>
      <c r="C396">
        <v>0.5</v>
      </c>
    </row>
    <row r="397" spans="1:3" x14ac:dyDescent="0.3">
      <c r="A397" t="s">
        <v>489</v>
      </c>
      <c r="B397" t="s">
        <v>714</v>
      </c>
      <c r="C397">
        <v>1</v>
      </c>
    </row>
    <row r="398" spans="1:3" x14ac:dyDescent="0.3">
      <c r="A398" t="s">
        <v>490</v>
      </c>
      <c r="B398" t="s">
        <v>25</v>
      </c>
      <c r="C398">
        <v>1.5</v>
      </c>
    </row>
    <row r="399" spans="1:3" x14ac:dyDescent="0.3">
      <c r="A399" t="s">
        <v>491</v>
      </c>
      <c r="B399" t="s">
        <v>696</v>
      </c>
      <c r="C399">
        <v>0.1</v>
      </c>
    </row>
    <row r="400" spans="1:3" x14ac:dyDescent="0.3">
      <c r="A400" t="s">
        <v>492</v>
      </c>
      <c r="B400" t="s">
        <v>26</v>
      </c>
      <c r="C400">
        <v>1.5</v>
      </c>
    </row>
    <row r="401" spans="1:3" x14ac:dyDescent="0.3">
      <c r="A401" t="s">
        <v>493</v>
      </c>
      <c r="B401" t="s">
        <v>704</v>
      </c>
      <c r="C401">
        <v>1</v>
      </c>
    </row>
    <row r="402" spans="1:3" x14ac:dyDescent="0.3">
      <c r="A402" t="s">
        <v>494</v>
      </c>
      <c r="B402" t="s">
        <v>696</v>
      </c>
      <c r="C402">
        <v>0.1</v>
      </c>
    </row>
    <row r="403" spans="1:3" x14ac:dyDescent="0.3">
      <c r="A403" t="s">
        <v>495</v>
      </c>
      <c r="B403" t="s">
        <v>696</v>
      </c>
      <c r="C403">
        <v>0.1</v>
      </c>
    </row>
    <row r="404" spans="1:3" x14ac:dyDescent="0.3">
      <c r="A404" t="s">
        <v>496</v>
      </c>
      <c r="B404" t="s">
        <v>696</v>
      </c>
      <c r="C404">
        <v>0.1</v>
      </c>
    </row>
    <row r="405" spans="1:3" x14ac:dyDescent="0.3">
      <c r="A405" t="s">
        <v>497</v>
      </c>
      <c r="B405" t="s">
        <v>696</v>
      </c>
      <c r="C405">
        <v>0.1</v>
      </c>
    </row>
    <row r="406" spans="1:3" x14ac:dyDescent="0.3">
      <c r="A406" t="s">
        <v>498</v>
      </c>
      <c r="B406" t="s">
        <v>26</v>
      </c>
      <c r="C406">
        <v>1.5</v>
      </c>
    </row>
    <row r="407" spans="1:3" x14ac:dyDescent="0.3">
      <c r="A407" t="s">
        <v>499</v>
      </c>
      <c r="B407" t="s">
        <v>696</v>
      </c>
      <c r="C407">
        <v>0.1</v>
      </c>
    </row>
    <row r="408" spans="1:3" x14ac:dyDescent="0.3">
      <c r="A408" t="s">
        <v>500</v>
      </c>
      <c r="B408" t="s">
        <v>696</v>
      </c>
      <c r="C408">
        <v>0.1</v>
      </c>
    </row>
    <row r="409" spans="1:3" x14ac:dyDescent="0.3">
      <c r="A409" t="s">
        <v>501</v>
      </c>
      <c r="B409" t="s">
        <v>696</v>
      </c>
      <c r="C409">
        <v>0.1</v>
      </c>
    </row>
    <row r="410" spans="1:3" x14ac:dyDescent="0.3">
      <c r="A410" t="s">
        <v>502</v>
      </c>
      <c r="B410" t="s">
        <v>696</v>
      </c>
      <c r="C410">
        <v>0.1</v>
      </c>
    </row>
    <row r="411" spans="1:3" x14ac:dyDescent="0.3">
      <c r="A411" t="s">
        <v>503</v>
      </c>
      <c r="B411" t="s">
        <v>696</v>
      </c>
      <c r="C411">
        <v>0.1</v>
      </c>
    </row>
    <row r="412" spans="1:3" x14ac:dyDescent="0.3">
      <c r="A412" t="s">
        <v>504</v>
      </c>
      <c r="B412" t="s">
        <v>696</v>
      </c>
      <c r="C412">
        <v>0.1</v>
      </c>
    </row>
    <row r="413" spans="1:3" x14ac:dyDescent="0.3">
      <c r="A413" t="s">
        <v>505</v>
      </c>
      <c r="B413" t="s">
        <v>26</v>
      </c>
      <c r="C413">
        <v>1.5</v>
      </c>
    </row>
    <row r="414" spans="1:3" x14ac:dyDescent="0.3">
      <c r="A414" t="s">
        <v>506</v>
      </c>
      <c r="B414" t="s">
        <v>699</v>
      </c>
      <c r="C414">
        <v>1</v>
      </c>
    </row>
    <row r="415" spans="1:3" x14ac:dyDescent="0.3">
      <c r="A415" t="s">
        <v>507</v>
      </c>
      <c r="B415" t="s">
        <v>698</v>
      </c>
      <c r="C415">
        <v>0.5</v>
      </c>
    </row>
    <row r="416" spans="1:3" x14ac:dyDescent="0.3">
      <c r="A416" t="s">
        <v>508</v>
      </c>
      <c r="B416" t="s">
        <v>696</v>
      </c>
      <c r="C416">
        <v>0.1</v>
      </c>
    </row>
    <row r="417" spans="1:3" x14ac:dyDescent="0.3">
      <c r="A417" t="s">
        <v>509</v>
      </c>
      <c r="B417" t="s">
        <v>696</v>
      </c>
      <c r="C417">
        <v>0.1</v>
      </c>
    </row>
    <row r="418" spans="1:3" x14ac:dyDescent="0.3">
      <c r="A418" t="s">
        <v>510</v>
      </c>
      <c r="B418" t="s">
        <v>696</v>
      </c>
      <c r="C418">
        <v>0.1</v>
      </c>
    </row>
    <row r="419" spans="1:3" x14ac:dyDescent="0.3">
      <c r="A419" t="s">
        <v>511</v>
      </c>
      <c r="B419" t="s">
        <v>696</v>
      </c>
      <c r="C419">
        <v>0.1</v>
      </c>
    </row>
    <row r="420" spans="1:3" x14ac:dyDescent="0.3">
      <c r="A420" t="s">
        <v>512</v>
      </c>
      <c r="B420" t="s">
        <v>696</v>
      </c>
      <c r="C420">
        <v>0.1</v>
      </c>
    </row>
    <row r="421" spans="1:3" x14ac:dyDescent="0.3">
      <c r="A421" t="s">
        <v>513</v>
      </c>
      <c r="B421" t="s">
        <v>710</v>
      </c>
      <c r="C421">
        <v>1</v>
      </c>
    </row>
    <row r="422" spans="1:3" x14ac:dyDescent="0.3">
      <c r="A422" t="s">
        <v>514</v>
      </c>
      <c r="B422" t="s">
        <v>23</v>
      </c>
      <c r="C422">
        <v>4</v>
      </c>
    </row>
    <row r="423" spans="1:3" x14ac:dyDescent="0.3">
      <c r="A423" t="s">
        <v>515</v>
      </c>
      <c r="B423" t="s">
        <v>696</v>
      </c>
      <c r="C423">
        <v>0.1</v>
      </c>
    </row>
    <row r="424" spans="1:3" x14ac:dyDescent="0.3">
      <c r="A424" t="s">
        <v>516</v>
      </c>
      <c r="B424" t="s">
        <v>696</v>
      </c>
      <c r="C424">
        <v>0.1</v>
      </c>
    </row>
    <row r="425" spans="1:3" x14ac:dyDescent="0.3">
      <c r="A425" t="s">
        <v>517</v>
      </c>
      <c r="B425" t="s">
        <v>696</v>
      </c>
      <c r="C425">
        <v>0.1</v>
      </c>
    </row>
    <row r="426" spans="1:3" x14ac:dyDescent="0.3">
      <c r="A426" t="s">
        <v>518</v>
      </c>
      <c r="B426" t="s">
        <v>696</v>
      </c>
      <c r="C426">
        <v>0.1</v>
      </c>
    </row>
    <row r="427" spans="1:3" x14ac:dyDescent="0.3">
      <c r="A427" t="s">
        <v>519</v>
      </c>
      <c r="B427" t="s">
        <v>23</v>
      </c>
      <c r="C427">
        <v>4</v>
      </c>
    </row>
    <row r="428" spans="1:3" x14ac:dyDescent="0.3">
      <c r="A428" t="s">
        <v>520</v>
      </c>
      <c r="B428" t="s">
        <v>700</v>
      </c>
      <c r="C428">
        <v>4</v>
      </c>
    </row>
    <row r="429" spans="1:3" x14ac:dyDescent="0.3">
      <c r="A429" t="s">
        <v>521</v>
      </c>
      <c r="B429" t="s">
        <v>25</v>
      </c>
      <c r="C429">
        <v>1.5</v>
      </c>
    </row>
    <row r="430" spans="1:3" x14ac:dyDescent="0.3">
      <c r="A430" t="s">
        <v>522</v>
      </c>
      <c r="B430" t="s">
        <v>697</v>
      </c>
      <c r="C430">
        <v>1.5</v>
      </c>
    </row>
    <row r="431" spans="1:3" x14ac:dyDescent="0.3">
      <c r="A431" t="s">
        <v>523</v>
      </c>
      <c r="B431" t="s">
        <v>703</v>
      </c>
      <c r="C431">
        <v>4</v>
      </c>
    </row>
    <row r="432" spans="1:3" x14ac:dyDescent="0.3">
      <c r="A432" t="s">
        <v>524</v>
      </c>
      <c r="B432" t="s">
        <v>23</v>
      </c>
      <c r="C432">
        <v>4</v>
      </c>
    </row>
    <row r="433" spans="1:3" x14ac:dyDescent="0.3">
      <c r="A433" t="s">
        <v>525</v>
      </c>
      <c r="B433" t="s">
        <v>26</v>
      </c>
      <c r="C433">
        <v>1.5</v>
      </c>
    </row>
    <row r="434" spans="1:3" x14ac:dyDescent="0.3">
      <c r="A434" t="s">
        <v>526</v>
      </c>
      <c r="B434" t="s">
        <v>26</v>
      </c>
      <c r="C434">
        <v>1.5</v>
      </c>
    </row>
    <row r="435" spans="1:3" x14ac:dyDescent="0.3">
      <c r="A435" t="s">
        <v>527</v>
      </c>
      <c r="B435" t="s">
        <v>696</v>
      </c>
      <c r="C435">
        <v>0.1</v>
      </c>
    </row>
    <row r="436" spans="1:3" x14ac:dyDescent="0.3">
      <c r="A436" t="s">
        <v>528</v>
      </c>
      <c r="B436" t="s">
        <v>696</v>
      </c>
      <c r="C436">
        <v>0.1</v>
      </c>
    </row>
    <row r="437" spans="1:3" x14ac:dyDescent="0.3">
      <c r="A437" t="s">
        <v>529</v>
      </c>
      <c r="B437" t="s">
        <v>696</v>
      </c>
      <c r="C437">
        <v>0.1</v>
      </c>
    </row>
    <row r="438" spans="1:3" x14ac:dyDescent="0.3">
      <c r="A438" t="s">
        <v>530</v>
      </c>
      <c r="B438" t="s">
        <v>696</v>
      </c>
      <c r="C438">
        <v>0.1</v>
      </c>
    </row>
    <row r="439" spans="1:3" x14ac:dyDescent="0.3">
      <c r="A439" t="s">
        <v>531</v>
      </c>
      <c r="B439" t="s">
        <v>696</v>
      </c>
      <c r="C439">
        <v>0.1</v>
      </c>
    </row>
    <row r="440" spans="1:3" x14ac:dyDescent="0.3">
      <c r="A440" t="s">
        <v>532</v>
      </c>
      <c r="B440" t="s">
        <v>696</v>
      </c>
      <c r="C440">
        <v>0.1</v>
      </c>
    </row>
    <row r="441" spans="1:3" x14ac:dyDescent="0.3">
      <c r="A441" t="s">
        <v>533</v>
      </c>
      <c r="B441" t="s">
        <v>696</v>
      </c>
      <c r="C441">
        <v>0.1</v>
      </c>
    </row>
    <row r="442" spans="1:3" x14ac:dyDescent="0.3">
      <c r="A442" t="s">
        <v>534</v>
      </c>
      <c r="B442" t="s">
        <v>696</v>
      </c>
      <c r="C442">
        <v>0.1</v>
      </c>
    </row>
    <row r="443" spans="1:3" x14ac:dyDescent="0.3">
      <c r="A443" t="s">
        <v>535</v>
      </c>
      <c r="B443" t="s">
        <v>26</v>
      </c>
      <c r="C443">
        <v>1.5</v>
      </c>
    </row>
    <row r="444" spans="1:3" x14ac:dyDescent="0.3">
      <c r="A444" t="s">
        <v>536</v>
      </c>
      <c r="B444" t="s">
        <v>704</v>
      </c>
      <c r="C444">
        <v>1</v>
      </c>
    </row>
    <row r="445" spans="1:3" x14ac:dyDescent="0.3">
      <c r="A445" t="s">
        <v>537</v>
      </c>
      <c r="B445" t="s">
        <v>696</v>
      </c>
      <c r="C445">
        <v>0.1</v>
      </c>
    </row>
    <row r="446" spans="1:3" x14ac:dyDescent="0.3">
      <c r="A446" t="s">
        <v>538</v>
      </c>
      <c r="B446" t="s">
        <v>696</v>
      </c>
      <c r="C446">
        <v>0.1</v>
      </c>
    </row>
    <row r="447" spans="1:3" x14ac:dyDescent="0.3">
      <c r="A447" t="s">
        <v>539</v>
      </c>
      <c r="B447" t="s">
        <v>696</v>
      </c>
      <c r="C447">
        <v>0.1</v>
      </c>
    </row>
    <row r="448" spans="1:3" x14ac:dyDescent="0.3">
      <c r="A448" t="s">
        <v>540</v>
      </c>
      <c r="B448" t="s">
        <v>696</v>
      </c>
      <c r="C448">
        <v>0.1</v>
      </c>
    </row>
    <row r="449" spans="1:3" x14ac:dyDescent="0.3">
      <c r="A449" t="s">
        <v>541</v>
      </c>
      <c r="B449" t="s">
        <v>26</v>
      </c>
      <c r="C449">
        <v>1.5</v>
      </c>
    </row>
    <row r="450" spans="1:3" x14ac:dyDescent="0.3">
      <c r="A450" t="s">
        <v>542</v>
      </c>
      <c r="B450" t="s">
        <v>717</v>
      </c>
      <c r="C450">
        <v>4</v>
      </c>
    </row>
    <row r="451" spans="1:3" x14ac:dyDescent="0.3">
      <c r="A451" t="s">
        <v>285</v>
      </c>
      <c r="B451" t="s">
        <v>717</v>
      </c>
      <c r="C451">
        <v>4</v>
      </c>
    </row>
    <row r="452" spans="1:3" x14ac:dyDescent="0.3">
      <c r="A452" t="s">
        <v>543</v>
      </c>
      <c r="B452" t="s">
        <v>710</v>
      </c>
      <c r="C452">
        <v>1</v>
      </c>
    </row>
    <row r="453" spans="1:3" x14ac:dyDescent="0.3">
      <c r="A453" t="s">
        <v>544</v>
      </c>
      <c r="B453" t="s">
        <v>696</v>
      </c>
      <c r="C453">
        <v>0.1</v>
      </c>
    </row>
    <row r="454" spans="1:3" x14ac:dyDescent="0.3">
      <c r="A454" t="s">
        <v>545</v>
      </c>
      <c r="B454" t="s">
        <v>696</v>
      </c>
      <c r="C454">
        <v>0.1</v>
      </c>
    </row>
    <row r="455" spans="1:3" x14ac:dyDescent="0.3">
      <c r="A455" t="s">
        <v>546</v>
      </c>
      <c r="B455" t="s">
        <v>696</v>
      </c>
      <c r="C455">
        <v>0.1</v>
      </c>
    </row>
    <row r="456" spans="1:3" x14ac:dyDescent="0.3">
      <c r="A456" t="s">
        <v>547</v>
      </c>
      <c r="B456" t="s">
        <v>696</v>
      </c>
      <c r="C456">
        <v>0.1</v>
      </c>
    </row>
    <row r="457" spans="1:3" x14ac:dyDescent="0.3">
      <c r="A457" t="s">
        <v>548</v>
      </c>
      <c r="B457" t="s">
        <v>696</v>
      </c>
      <c r="C457">
        <v>0.1</v>
      </c>
    </row>
    <row r="458" spans="1:3" x14ac:dyDescent="0.3">
      <c r="A458" t="s">
        <v>549</v>
      </c>
      <c r="B458" t="s">
        <v>696</v>
      </c>
      <c r="C458">
        <v>0.1</v>
      </c>
    </row>
    <row r="459" spans="1:3" x14ac:dyDescent="0.3">
      <c r="A459" t="s">
        <v>550</v>
      </c>
      <c r="B459" t="s">
        <v>26</v>
      </c>
      <c r="C459">
        <v>1.5</v>
      </c>
    </row>
    <row r="460" spans="1:3" x14ac:dyDescent="0.3">
      <c r="A460" t="s">
        <v>551</v>
      </c>
      <c r="B460" t="s">
        <v>705</v>
      </c>
      <c r="C460">
        <v>3</v>
      </c>
    </row>
    <row r="461" spans="1:3" x14ac:dyDescent="0.3">
      <c r="A461" t="s">
        <v>552</v>
      </c>
      <c r="B461" t="s">
        <v>696</v>
      </c>
      <c r="C461">
        <v>0.1</v>
      </c>
    </row>
    <row r="462" spans="1:3" x14ac:dyDescent="0.3">
      <c r="A462" t="s">
        <v>445</v>
      </c>
      <c r="B462" t="s">
        <v>26</v>
      </c>
      <c r="C462">
        <v>1.5</v>
      </c>
    </row>
    <row r="463" spans="1:3" x14ac:dyDescent="0.3">
      <c r="A463" t="s">
        <v>553</v>
      </c>
      <c r="B463" t="s">
        <v>698</v>
      </c>
      <c r="C463">
        <v>0.5</v>
      </c>
    </row>
    <row r="464" spans="1:3" x14ac:dyDescent="0.3">
      <c r="A464" t="s">
        <v>143</v>
      </c>
      <c r="B464" t="s">
        <v>696</v>
      </c>
      <c r="C464">
        <v>0.1</v>
      </c>
    </row>
    <row r="465" spans="1:3" x14ac:dyDescent="0.3">
      <c r="A465" t="s">
        <v>554</v>
      </c>
      <c r="B465" t="s">
        <v>696</v>
      </c>
      <c r="C465">
        <v>0.1</v>
      </c>
    </row>
    <row r="466" spans="1:3" x14ac:dyDescent="0.3">
      <c r="A466" t="s">
        <v>555</v>
      </c>
      <c r="B466" t="s">
        <v>696</v>
      </c>
      <c r="C466">
        <v>0.1</v>
      </c>
    </row>
    <row r="467" spans="1:3" x14ac:dyDescent="0.3">
      <c r="A467" t="s">
        <v>556</v>
      </c>
      <c r="B467" t="s">
        <v>696</v>
      </c>
      <c r="C467">
        <v>0.1</v>
      </c>
    </row>
    <row r="468" spans="1:3" x14ac:dyDescent="0.3">
      <c r="A468" t="s">
        <v>557</v>
      </c>
      <c r="B468" t="s">
        <v>696</v>
      </c>
      <c r="C468">
        <v>0.1</v>
      </c>
    </row>
    <row r="469" spans="1:3" x14ac:dyDescent="0.3">
      <c r="A469" t="s">
        <v>558</v>
      </c>
      <c r="B469" t="s">
        <v>696</v>
      </c>
      <c r="C469">
        <v>0.1</v>
      </c>
    </row>
    <row r="470" spans="1:3" x14ac:dyDescent="0.3">
      <c r="A470" t="s">
        <v>559</v>
      </c>
      <c r="B470" t="s">
        <v>696</v>
      </c>
      <c r="C470">
        <v>0.1</v>
      </c>
    </row>
    <row r="471" spans="1:3" x14ac:dyDescent="0.3">
      <c r="A471" t="s">
        <v>560</v>
      </c>
      <c r="B471" t="s">
        <v>696</v>
      </c>
      <c r="C471">
        <v>0.1</v>
      </c>
    </row>
    <row r="472" spans="1:3" x14ac:dyDescent="0.3">
      <c r="A472" t="s">
        <v>561</v>
      </c>
      <c r="B472" t="s">
        <v>696</v>
      </c>
      <c r="C472">
        <v>0.1</v>
      </c>
    </row>
    <row r="473" spans="1:3" x14ac:dyDescent="0.3">
      <c r="A473" t="s">
        <v>562</v>
      </c>
      <c r="B473" t="s">
        <v>696</v>
      </c>
      <c r="C473">
        <v>0.1</v>
      </c>
    </row>
    <row r="474" spans="1:3" x14ac:dyDescent="0.3">
      <c r="A474" t="s">
        <v>563</v>
      </c>
      <c r="B474" t="s">
        <v>696</v>
      </c>
      <c r="C474">
        <v>0.1</v>
      </c>
    </row>
    <row r="475" spans="1:3" x14ac:dyDescent="0.3">
      <c r="A475" t="s">
        <v>564</v>
      </c>
      <c r="B475" t="s">
        <v>696</v>
      </c>
      <c r="C475">
        <v>0.1</v>
      </c>
    </row>
    <row r="476" spans="1:3" x14ac:dyDescent="0.3">
      <c r="A476" t="s">
        <v>565</v>
      </c>
      <c r="B476" t="s">
        <v>696</v>
      </c>
      <c r="C476">
        <v>0.1</v>
      </c>
    </row>
    <row r="477" spans="1:3" x14ac:dyDescent="0.3">
      <c r="A477" t="s">
        <v>566</v>
      </c>
      <c r="B477" t="s">
        <v>696</v>
      </c>
      <c r="C477">
        <v>0.1</v>
      </c>
    </row>
    <row r="478" spans="1:3" x14ac:dyDescent="0.3">
      <c r="A478" t="s">
        <v>567</v>
      </c>
      <c r="B478" t="s">
        <v>698</v>
      </c>
      <c r="C478">
        <v>0.5</v>
      </c>
    </row>
    <row r="479" spans="1:3" x14ac:dyDescent="0.3">
      <c r="A479" t="s">
        <v>568</v>
      </c>
      <c r="B479" t="s">
        <v>696</v>
      </c>
      <c r="C479">
        <v>0.1</v>
      </c>
    </row>
    <row r="480" spans="1:3" x14ac:dyDescent="0.3">
      <c r="A480" t="s">
        <v>569</v>
      </c>
      <c r="B480" t="s">
        <v>696</v>
      </c>
      <c r="C480">
        <v>0.1</v>
      </c>
    </row>
    <row r="481" spans="1:3" x14ac:dyDescent="0.3">
      <c r="A481" t="s">
        <v>570</v>
      </c>
      <c r="B481" t="s">
        <v>696</v>
      </c>
      <c r="C481">
        <v>0.1</v>
      </c>
    </row>
    <row r="482" spans="1:3" x14ac:dyDescent="0.3">
      <c r="A482" t="s">
        <v>571</v>
      </c>
      <c r="B482" t="s">
        <v>696</v>
      </c>
      <c r="C482">
        <v>0.1</v>
      </c>
    </row>
    <row r="483" spans="1:3" x14ac:dyDescent="0.3">
      <c r="A483" t="s">
        <v>572</v>
      </c>
      <c r="B483" t="s">
        <v>26</v>
      </c>
      <c r="C483">
        <v>1.5</v>
      </c>
    </row>
    <row r="484" spans="1:3" x14ac:dyDescent="0.3">
      <c r="A484" t="s">
        <v>573</v>
      </c>
      <c r="B484" t="s">
        <v>698</v>
      </c>
      <c r="C484">
        <v>0.5</v>
      </c>
    </row>
    <row r="485" spans="1:3" x14ac:dyDescent="0.3">
      <c r="A485" t="s">
        <v>574</v>
      </c>
      <c r="B485" t="s">
        <v>697</v>
      </c>
      <c r="C485">
        <v>1.5</v>
      </c>
    </row>
    <row r="486" spans="1:3" x14ac:dyDescent="0.3">
      <c r="A486" t="s">
        <v>782</v>
      </c>
      <c r="B486" t="s">
        <v>26</v>
      </c>
      <c r="C486">
        <v>1.5</v>
      </c>
    </row>
    <row r="487" spans="1:3" x14ac:dyDescent="0.3">
      <c r="A487" t="s">
        <v>575</v>
      </c>
      <c r="B487" t="s">
        <v>696</v>
      </c>
      <c r="C487">
        <v>0.1</v>
      </c>
    </row>
    <row r="488" spans="1:3" x14ac:dyDescent="0.3">
      <c r="A488" t="s">
        <v>752</v>
      </c>
      <c r="B488" t="s">
        <v>709</v>
      </c>
      <c r="C488">
        <v>2.5</v>
      </c>
    </row>
    <row r="489" spans="1:3" x14ac:dyDescent="0.3">
      <c r="A489" t="s">
        <v>576</v>
      </c>
      <c r="B489" t="s">
        <v>696</v>
      </c>
      <c r="C489">
        <v>0.1</v>
      </c>
    </row>
    <row r="490" spans="1:3" x14ac:dyDescent="0.3">
      <c r="A490" t="s">
        <v>577</v>
      </c>
      <c r="B490" t="s">
        <v>696</v>
      </c>
      <c r="C490">
        <v>0.1</v>
      </c>
    </row>
    <row r="491" spans="1:3" x14ac:dyDescent="0.3">
      <c r="A491" t="s">
        <v>578</v>
      </c>
      <c r="B491" t="s">
        <v>699</v>
      </c>
      <c r="C491">
        <v>1</v>
      </c>
    </row>
    <row r="492" spans="1:3" x14ac:dyDescent="0.3">
      <c r="A492" t="s">
        <v>579</v>
      </c>
      <c r="B492" t="s">
        <v>696</v>
      </c>
      <c r="C492">
        <v>0.1</v>
      </c>
    </row>
    <row r="493" spans="1:3" x14ac:dyDescent="0.3">
      <c r="A493" t="s">
        <v>580</v>
      </c>
      <c r="B493" t="s">
        <v>26</v>
      </c>
      <c r="C493">
        <v>1.5</v>
      </c>
    </row>
    <row r="494" spans="1:3" x14ac:dyDescent="0.3">
      <c r="A494" t="s">
        <v>581</v>
      </c>
      <c r="B494" t="s">
        <v>696</v>
      </c>
      <c r="C494">
        <v>0.1</v>
      </c>
    </row>
    <row r="495" spans="1:3" x14ac:dyDescent="0.3">
      <c r="A495" t="s">
        <v>582</v>
      </c>
      <c r="B495" t="s">
        <v>696</v>
      </c>
      <c r="C495">
        <v>0.1</v>
      </c>
    </row>
    <row r="496" spans="1:3" x14ac:dyDescent="0.3">
      <c r="A496" t="s">
        <v>583</v>
      </c>
      <c r="B496" t="s">
        <v>696</v>
      </c>
      <c r="C496">
        <v>0.1</v>
      </c>
    </row>
    <row r="497" spans="1:3" x14ac:dyDescent="0.3">
      <c r="A497" t="s">
        <v>113</v>
      </c>
      <c r="B497" t="s">
        <v>706</v>
      </c>
      <c r="C497">
        <v>8</v>
      </c>
    </row>
    <row r="498" spans="1:3" x14ac:dyDescent="0.3">
      <c r="A498" t="s">
        <v>584</v>
      </c>
      <c r="B498" t="s">
        <v>696</v>
      </c>
      <c r="C498">
        <v>0.1</v>
      </c>
    </row>
    <row r="499" spans="1:3" x14ac:dyDescent="0.3">
      <c r="A499" t="s">
        <v>585</v>
      </c>
      <c r="B499" t="s">
        <v>696</v>
      </c>
      <c r="C499">
        <v>0.1</v>
      </c>
    </row>
    <row r="500" spans="1:3" x14ac:dyDescent="0.3">
      <c r="A500" t="s">
        <v>586</v>
      </c>
      <c r="B500" t="s">
        <v>696</v>
      </c>
      <c r="C500">
        <v>0.1</v>
      </c>
    </row>
    <row r="501" spans="1:3" x14ac:dyDescent="0.3">
      <c r="A501" t="s">
        <v>587</v>
      </c>
      <c r="B501" t="s">
        <v>696</v>
      </c>
      <c r="C501">
        <v>0.1</v>
      </c>
    </row>
    <row r="502" spans="1:3" x14ac:dyDescent="0.3">
      <c r="A502" t="s">
        <v>588</v>
      </c>
      <c r="B502" t="s">
        <v>696</v>
      </c>
      <c r="C502">
        <v>0.1</v>
      </c>
    </row>
    <row r="503" spans="1:3" x14ac:dyDescent="0.3">
      <c r="A503" t="s">
        <v>589</v>
      </c>
      <c r="B503" t="s">
        <v>23</v>
      </c>
      <c r="C503">
        <v>4</v>
      </c>
    </row>
    <row r="504" spans="1:3" x14ac:dyDescent="0.3">
      <c r="A504" t="s">
        <v>590</v>
      </c>
      <c r="B504" t="s">
        <v>696</v>
      </c>
      <c r="C504">
        <v>0.1</v>
      </c>
    </row>
    <row r="505" spans="1:3" x14ac:dyDescent="0.3">
      <c r="A505" t="s">
        <v>591</v>
      </c>
      <c r="B505" t="s">
        <v>714</v>
      </c>
      <c r="C505">
        <v>1</v>
      </c>
    </row>
    <row r="506" spans="1:3" x14ac:dyDescent="0.3">
      <c r="A506" t="s">
        <v>221</v>
      </c>
      <c r="B506" t="s">
        <v>714</v>
      </c>
      <c r="C506">
        <v>1</v>
      </c>
    </row>
    <row r="507" spans="1:3" x14ac:dyDescent="0.3">
      <c r="A507" t="s">
        <v>592</v>
      </c>
      <c r="B507" t="s">
        <v>696</v>
      </c>
      <c r="C507">
        <v>0.1</v>
      </c>
    </row>
    <row r="508" spans="1:3" x14ac:dyDescent="0.3">
      <c r="A508" t="s">
        <v>593</v>
      </c>
      <c r="B508" t="s">
        <v>696</v>
      </c>
      <c r="C508">
        <v>0.1</v>
      </c>
    </row>
    <row r="509" spans="1:3" x14ac:dyDescent="0.3">
      <c r="A509" t="s">
        <v>594</v>
      </c>
      <c r="B509" t="s">
        <v>696</v>
      </c>
      <c r="C509">
        <v>0.1</v>
      </c>
    </row>
    <row r="510" spans="1:3" x14ac:dyDescent="0.3">
      <c r="A510" t="s">
        <v>595</v>
      </c>
      <c r="B510" t="s">
        <v>696</v>
      </c>
      <c r="C510">
        <v>0.1</v>
      </c>
    </row>
    <row r="511" spans="1:3" x14ac:dyDescent="0.3">
      <c r="A511" t="s">
        <v>596</v>
      </c>
      <c r="B511" t="s">
        <v>696</v>
      </c>
      <c r="C511">
        <v>0.1</v>
      </c>
    </row>
    <row r="512" spans="1:3" x14ac:dyDescent="0.3">
      <c r="A512" t="s">
        <v>597</v>
      </c>
      <c r="B512" t="s">
        <v>23</v>
      </c>
      <c r="C512">
        <v>4</v>
      </c>
    </row>
    <row r="513" spans="1:3" x14ac:dyDescent="0.3">
      <c r="A513" t="s">
        <v>149</v>
      </c>
      <c r="B513" t="s">
        <v>23</v>
      </c>
      <c r="C513">
        <v>4</v>
      </c>
    </row>
    <row r="514" spans="1:3" x14ac:dyDescent="0.3">
      <c r="A514" t="s">
        <v>598</v>
      </c>
      <c r="B514" t="s">
        <v>696</v>
      </c>
      <c r="C514">
        <v>0.1</v>
      </c>
    </row>
    <row r="515" spans="1:3" x14ac:dyDescent="0.3">
      <c r="A515" t="s">
        <v>599</v>
      </c>
      <c r="B515" t="s">
        <v>23</v>
      </c>
      <c r="C515">
        <v>4</v>
      </c>
    </row>
    <row r="516" spans="1:3" x14ac:dyDescent="0.3">
      <c r="A516" t="s">
        <v>600</v>
      </c>
      <c r="B516" t="s">
        <v>696</v>
      </c>
      <c r="C516">
        <v>0.1</v>
      </c>
    </row>
    <row r="517" spans="1:3" x14ac:dyDescent="0.3">
      <c r="A517" t="s">
        <v>601</v>
      </c>
      <c r="B517" t="s">
        <v>696</v>
      </c>
      <c r="C517">
        <v>0.1</v>
      </c>
    </row>
    <row r="518" spans="1:3" x14ac:dyDescent="0.3">
      <c r="A518" t="s">
        <v>602</v>
      </c>
      <c r="B518" t="s">
        <v>25</v>
      </c>
      <c r="C518">
        <v>1.5</v>
      </c>
    </row>
    <row r="519" spans="1:3" x14ac:dyDescent="0.3">
      <c r="A519" t="s">
        <v>603</v>
      </c>
      <c r="B519" t="s">
        <v>696</v>
      </c>
      <c r="C519">
        <v>0.1</v>
      </c>
    </row>
    <row r="520" spans="1:3" x14ac:dyDescent="0.3">
      <c r="A520" t="s">
        <v>604</v>
      </c>
      <c r="B520" t="s">
        <v>697</v>
      </c>
      <c r="C520">
        <v>1.5</v>
      </c>
    </row>
    <row r="521" spans="1:3" x14ac:dyDescent="0.3">
      <c r="A521" t="s">
        <v>605</v>
      </c>
      <c r="B521" t="s">
        <v>696</v>
      </c>
      <c r="C521">
        <v>0.1</v>
      </c>
    </row>
    <row r="522" spans="1:3" x14ac:dyDescent="0.3">
      <c r="A522" t="s">
        <v>606</v>
      </c>
      <c r="B522" t="s">
        <v>696</v>
      </c>
      <c r="C522">
        <v>0.1</v>
      </c>
    </row>
    <row r="523" spans="1:3" x14ac:dyDescent="0.3">
      <c r="A523" t="s">
        <v>607</v>
      </c>
      <c r="B523" t="s">
        <v>23</v>
      </c>
      <c r="C523">
        <v>4</v>
      </c>
    </row>
    <row r="524" spans="1:3" x14ac:dyDescent="0.3">
      <c r="A524" t="s">
        <v>608</v>
      </c>
      <c r="B524" t="s">
        <v>26</v>
      </c>
      <c r="C524">
        <v>1.5</v>
      </c>
    </row>
    <row r="525" spans="1:3" x14ac:dyDescent="0.3">
      <c r="A525" t="s">
        <v>609</v>
      </c>
      <c r="B525" t="s">
        <v>702</v>
      </c>
      <c r="C525">
        <v>2</v>
      </c>
    </row>
    <row r="526" spans="1:3" x14ac:dyDescent="0.3">
      <c r="A526" t="s">
        <v>610</v>
      </c>
      <c r="B526" t="s">
        <v>25</v>
      </c>
      <c r="C526">
        <v>1.5</v>
      </c>
    </row>
    <row r="527" spans="1:3" x14ac:dyDescent="0.3">
      <c r="A527" t="s">
        <v>161</v>
      </c>
      <c r="B527" t="s">
        <v>25</v>
      </c>
      <c r="C527">
        <v>1.5</v>
      </c>
    </row>
    <row r="528" spans="1:3" x14ac:dyDescent="0.3">
      <c r="A528" t="s">
        <v>611</v>
      </c>
      <c r="B528" t="s">
        <v>714</v>
      </c>
      <c r="C528">
        <v>1</v>
      </c>
    </row>
    <row r="529" spans="1:3" x14ac:dyDescent="0.3">
      <c r="A529" t="s">
        <v>612</v>
      </c>
      <c r="B529" t="s">
        <v>709</v>
      </c>
      <c r="C529">
        <v>2.5</v>
      </c>
    </row>
    <row r="530" spans="1:3" x14ac:dyDescent="0.3">
      <c r="A530" t="s">
        <v>613</v>
      </c>
      <c r="B530" t="s">
        <v>696</v>
      </c>
      <c r="C530">
        <v>0.1</v>
      </c>
    </row>
    <row r="531" spans="1:3" x14ac:dyDescent="0.3">
      <c r="A531" t="s">
        <v>614</v>
      </c>
      <c r="B531" t="s">
        <v>25</v>
      </c>
      <c r="C531">
        <v>1.5</v>
      </c>
    </row>
    <row r="532" spans="1:3" x14ac:dyDescent="0.3">
      <c r="A532" t="s">
        <v>153</v>
      </c>
      <c r="B532" t="s">
        <v>696</v>
      </c>
      <c r="C532">
        <v>0.1</v>
      </c>
    </row>
    <row r="533" spans="1:3" x14ac:dyDescent="0.3">
      <c r="A533" t="s">
        <v>615</v>
      </c>
      <c r="B533" t="s">
        <v>715</v>
      </c>
      <c r="C533">
        <v>8</v>
      </c>
    </row>
    <row r="534" spans="1:3" x14ac:dyDescent="0.3">
      <c r="A534" t="s">
        <v>154</v>
      </c>
      <c r="B534" t="s">
        <v>696</v>
      </c>
      <c r="C534">
        <v>0.1</v>
      </c>
    </row>
    <row r="535" spans="1:3" x14ac:dyDescent="0.3">
      <c r="A535" t="s">
        <v>616</v>
      </c>
      <c r="B535" t="s">
        <v>696</v>
      </c>
      <c r="C535">
        <v>0.1</v>
      </c>
    </row>
    <row r="536" spans="1:3" x14ac:dyDescent="0.3">
      <c r="A536" t="s">
        <v>617</v>
      </c>
      <c r="B536" t="s">
        <v>23</v>
      </c>
      <c r="C536">
        <v>4</v>
      </c>
    </row>
    <row r="537" spans="1:3" x14ac:dyDescent="0.3">
      <c r="A537" t="s">
        <v>618</v>
      </c>
      <c r="B537" t="s">
        <v>23</v>
      </c>
      <c r="C537">
        <v>4</v>
      </c>
    </row>
    <row r="538" spans="1:3" x14ac:dyDescent="0.3">
      <c r="A538" t="s">
        <v>619</v>
      </c>
      <c r="B538" t="s">
        <v>696</v>
      </c>
      <c r="C538">
        <v>0.1</v>
      </c>
    </row>
    <row r="539" spans="1:3" x14ac:dyDescent="0.3">
      <c r="A539" t="s">
        <v>620</v>
      </c>
      <c r="B539" t="s">
        <v>23</v>
      </c>
      <c r="C539">
        <v>4</v>
      </c>
    </row>
    <row r="540" spans="1:3" x14ac:dyDescent="0.3">
      <c r="A540" t="s">
        <v>621</v>
      </c>
      <c r="B540" t="s">
        <v>26</v>
      </c>
      <c r="C540">
        <v>1.5</v>
      </c>
    </row>
    <row r="541" spans="1:3" x14ac:dyDescent="0.3">
      <c r="A541" t="s">
        <v>543</v>
      </c>
      <c r="B541" t="s">
        <v>717</v>
      </c>
      <c r="C541">
        <v>4</v>
      </c>
    </row>
    <row r="542" spans="1:3" x14ac:dyDescent="0.3">
      <c r="A542" t="s">
        <v>622</v>
      </c>
      <c r="B542" t="s">
        <v>696</v>
      </c>
      <c r="C542">
        <v>0.1</v>
      </c>
    </row>
    <row r="543" spans="1:3" x14ac:dyDescent="0.3">
      <c r="A543" t="s">
        <v>623</v>
      </c>
      <c r="B543" t="s">
        <v>696</v>
      </c>
      <c r="C543">
        <v>0.1</v>
      </c>
    </row>
    <row r="544" spans="1:3" x14ac:dyDescent="0.3">
      <c r="A544" t="s">
        <v>624</v>
      </c>
      <c r="B544" t="s">
        <v>696</v>
      </c>
      <c r="C544">
        <v>0.1</v>
      </c>
    </row>
    <row r="545" spans="1:3" x14ac:dyDescent="0.3">
      <c r="A545" t="s">
        <v>625</v>
      </c>
      <c r="B545" t="s">
        <v>26</v>
      </c>
      <c r="C545">
        <v>1.5</v>
      </c>
    </row>
    <row r="546" spans="1:3" x14ac:dyDescent="0.3">
      <c r="A546" t="s">
        <v>626</v>
      </c>
      <c r="B546" t="s">
        <v>26</v>
      </c>
      <c r="C546">
        <v>1.5</v>
      </c>
    </row>
    <row r="547" spans="1:3" x14ac:dyDescent="0.3">
      <c r="A547" t="s">
        <v>627</v>
      </c>
      <c r="B547" t="s">
        <v>696</v>
      </c>
      <c r="C547">
        <v>0.1</v>
      </c>
    </row>
    <row r="548" spans="1:3" x14ac:dyDescent="0.3">
      <c r="A548" t="s">
        <v>628</v>
      </c>
      <c r="B548" t="s">
        <v>701</v>
      </c>
      <c r="C548">
        <v>5</v>
      </c>
    </row>
    <row r="549" spans="1:3" x14ac:dyDescent="0.3">
      <c r="A549" t="s">
        <v>629</v>
      </c>
      <c r="B549" t="s">
        <v>709</v>
      </c>
      <c r="C549">
        <v>2.5</v>
      </c>
    </row>
    <row r="550" spans="1:3" x14ac:dyDescent="0.3">
      <c r="A550" t="s">
        <v>158</v>
      </c>
      <c r="B550" t="s">
        <v>25</v>
      </c>
      <c r="C550">
        <v>1.5</v>
      </c>
    </row>
    <row r="551" spans="1:3" x14ac:dyDescent="0.3">
      <c r="A551" t="s">
        <v>630</v>
      </c>
      <c r="B551" t="s">
        <v>696</v>
      </c>
      <c r="C551">
        <v>0.1</v>
      </c>
    </row>
    <row r="552" spans="1:3" x14ac:dyDescent="0.3">
      <c r="A552" t="s">
        <v>631</v>
      </c>
      <c r="B552" t="s">
        <v>696</v>
      </c>
      <c r="C552">
        <v>0.1</v>
      </c>
    </row>
    <row r="553" spans="1:3" x14ac:dyDescent="0.3">
      <c r="A553" t="s">
        <v>632</v>
      </c>
      <c r="B553" t="s">
        <v>26</v>
      </c>
      <c r="C553">
        <v>1.5</v>
      </c>
    </row>
    <row r="554" spans="1:3" x14ac:dyDescent="0.3">
      <c r="A554" t="s">
        <v>633</v>
      </c>
      <c r="B554" t="s">
        <v>23</v>
      </c>
      <c r="C554">
        <v>4</v>
      </c>
    </row>
    <row r="555" spans="1:3" x14ac:dyDescent="0.3">
      <c r="A555" t="s">
        <v>634</v>
      </c>
      <c r="B555" t="s">
        <v>700</v>
      </c>
      <c r="C555">
        <v>4</v>
      </c>
    </row>
    <row r="556" spans="1:3" x14ac:dyDescent="0.3">
      <c r="A556" t="s">
        <v>159</v>
      </c>
      <c r="B556" t="s">
        <v>25</v>
      </c>
      <c r="C556">
        <v>1.5</v>
      </c>
    </row>
    <row r="557" spans="1:3" x14ac:dyDescent="0.3">
      <c r="A557" t="s">
        <v>635</v>
      </c>
      <c r="B557" t="s">
        <v>696</v>
      </c>
      <c r="C557">
        <v>0.1</v>
      </c>
    </row>
    <row r="558" spans="1:3" x14ac:dyDescent="0.3">
      <c r="A558" t="s">
        <v>636</v>
      </c>
      <c r="B558" t="s">
        <v>703</v>
      </c>
      <c r="C558">
        <v>4</v>
      </c>
    </row>
    <row r="559" spans="1:3" x14ac:dyDescent="0.3">
      <c r="A559" t="s">
        <v>283</v>
      </c>
      <c r="B559" t="s">
        <v>706</v>
      </c>
      <c r="C559">
        <v>8</v>
      </c>
    </row>
    <row r="560" spans="1:3" x14ac:dyDescent="0.3">
      <c r="A560" t="s">
        <v>160</v>
      </c>
      <c r="B560" t="s">
        <v>697</v>
      </c>
      <c r="C560">
        <v>1.5</v>
      </c>
    </row>
    <row r="561" spans="1:3" x14ac:dyDescent="0.3">
      <c r="A561" t="s">
        <v>162</v>
      </c>
      <c r="B561" t="s">
        <v>696</v>
      </c>
      <c r="C561">
        <v>0.1</v>
      </c>
    </row>
    <row r="562" spans="1:3" x14ac:dyDescent="0.3">
      <c r="A562" t="s">
        <v>164</v>
      </c>
      <c r="B562" t="s">
        <v>696</v>
      </c>
      <c r="C562">
        <v>0.1</v>
      </c>
    </row>
    <row r="563" spans="1:3" x14ac:dyDescent="0.3">
      <c r="A563" t="s">
        <v>637</v>
      </c>
      <c r="B563" t="s">
        <v>26</v>
      </c>
      <c r="C563">
        <v>1.5</v>
      </c>
    </row>
    <row r="564" spans="1:3" x14ac:dyDescent="0.3">
      <c r="A564" t="s">
        <v>638</v>
      </c>
      <c r="B564" t="s">
        <v>698</v>
      </c>
      <c r="C564">
        <v>0.5</v>
      </c>
    </row>
    <row r="565" spans="1:3" x14ac:dyDescent="0.3">
      <c r="A565" t="s">
        <v>639</v>
      </c>
      <c r="B565" t="s">
        <v>696</v>
      </c>
      <c r="C565">
        <v>0.1</v>
      </c>
    </row>
    <row r="566" spans="1:3" x14ac:dyDescent="0.3">
      <c r="A566" t="s">
        <v>640</v>
      </c>
      <c r="B566" t="s">
        <v>709</v>
      </c>
      <c r="C566">
        <v>2.5</v>
      </c>
    </row>
    <row r="567" spans="1:3" x14ac:dyDescent="0.3">
      <c r="A567" t="s">
        <v>641</v>
      </c>
      <c r="B567" t="s">
        <v>696</v>
      </c>
      <c r="C567">
        <v>0.1</v>
      </c>
    </row>
    <row r="568" spans="1:3" x14ac:dyDescent="0.3">
      <c r="A568" t="s">
        <v>642</v>
      </c>
      <c r="B568" t="s">
        <v>713</v>
      </c>
      <c r="C568">
        <v>3</v>
      </c>
    </row>
    <row r="569" spans="1:3" x14ac:dyDescent="0.3">
      <c r="A569" t="s">
        <v>643</v>
      </c>
      <c r="B569" t="s">
        <v>696</v>
      </c>
      <c r="C569">
        <v>0.1</v>
      </c>
    </row>
    <row r="570" spans="1:3" x14ac:dyDescent="0.3">
      <c r="A570" t="s">
        <v>644</v>
      </c>
      <c r="B570" t="s">
        <v>700</v>
      </c>
      <c r="C570">
        <v>4</v>
      </c>
    </row>
    <row r="571" spans="1:3" x14ac:dyDescent="0.3">
      <c r="A571" t="s">
        <v>645</v>
      </c>
      <c r="B571" t="s">
        <v>25</v>
      </c>
      <c r="C571">
        <v>1.5</v>
      </c>
    </row>
    <row r="572" spans="1:3" x14ac:dyDescent="0.3">
      <c r="A572" t="s">
        <v>646</v>
      </c>
      <c r="B572" t="s">
        <v>696</v>
      </c>
      <c r="C572">
        <v>0.1</v>
      </c>
    </row>
    <row r="573" spans="1:3" x14ac:dyDescent="0.3">
      <c r="A573" t="s">
        <v>107</v>
      </c>
      <c r="B573" t="s">
        <v>706</v>
      </c>
      <c r="C573">
        <v>8</v>
      </c>
    </row>
    <row r="574" spans="1:3" x14ac:dyDescent="0.3">
      <c r="A574" t="s">
        <v>647</v>
      </c>
      <c r="B574" t="s">
        <v>23</v>
      </c>
      <c r="C574">
        <v>4</v>
      </c>
    </row>
    <row r="575" spans="1:3" x14ac:dyDescent="0.3">
      <c r="A575" t="s">
        <v>648</v>
      </c>
      <c r="B575" t="s">
        <v>696</v>
      </c>
      <c r="C575">
        <v>0.1</v>
      </c>
    </row>
    <row r="576" spans="1:3" x14ac:dyDescent="0.3">
      <c r="A576" t="s">
        <v>649</v>
      </c>
      <c r="B576" t="s">
        <v>696</v>
      </c>
      <c r="C576">
        <v>0.1</v>
      </c>
    </row>
    <row r="577" spans="1:3" x14ac:dyDescent="0.3">
      <c r="A577" t="s">
        <v>650</v>
      </c>
      <c r="B577" t="s">
        <v>709</v>
      </c>
      <c r="C577">
        <v>2.5</v>
      </c>
    </row>
    <row r="578" spans="1:3" x14ac:dyDescent="0.3">
      <c r="A578" t="s">
        <v>651</v>
      </c>
      <c r="B578" t="s">
        <v>696</v>
      </c>
      <c r="C578">
        <v>0.1</v>
      </c>
    </row>
    <row r="579" spans="1:3" x14ac:dyDescent="0.3">
      <c r="A579" t="s">
        <v>652</v>
      </c>
      <c r="B579" t="s">
        <v>696</v>
      </c>
      <c r="C579">
        <v>0.1</v>
      </c>
    </row>
    <row r="580" spans="1:3" x14ac:dyDescent="0.3">
      <c r="A580" t="s">
        <v>653</v>
      </c>
      <c r="B580" t="s">
        <v>696</v>
      </c>
      <c r="C580">
        <v>0.1</v>
      </c>
    </row>
    <row r="581" spans="1:3" x14ac:dyDescent="0.3">
      <c r="A581" t="s">
        <v>654</v>
      </c>
      <c r="B581" t="s">
        <v>696</v>
      </c>
      <c r="C581">
        <v>0.1</v>
      </c>
    </row>
    <row r="582" spans="1:3" x14ac:dyDescent="0.3">
      <c r="A582" t="s">
        <v>655</v>
      </c>
      <c r="B582" t="s">
        <v>696</v>
      </c>
      <c r="C582">
        <v>0.1</v>
      </c>
    </row>
    <row r="583" spans="1:3" x14ac:dyDescent="0.3">
      <c r="A583" t="s">
        <v>656</v>
      </c>
      <c r="B583" t="s">
        <v>696</v>
      </c>
      <c r="C583">
        <v>0.1</v>
      </c>
    </row>
    <row r="584" spans="1:3" x14ac:dyDescent="0.3">
      <c r="A584" t="s">
        <v>657</v>
      </c>
      <c r="B584" t="s">
        <v>696</v>
      </c>
      <c r="C584">
        <v>0.1</v>
      </c>
    </row>
    <row r="585" spans="1:3" x14ac:dyDescent="0.3">
      <c r="A585" t="s">
        <v>658</v>
      </c>
      <c r="B585" t="s">
        <v>696</v>
      </c>
      <c r="C585">
        <v>0.1</v>
      </c>
    </row>
    <row r="586" spans="1:3" x14ac:dyDescent="0.3">
      <c r="A586" t="s">
        <v>659</v>
      </c>
      <c r="B586" t="s">
        <v>696</v>
      </c>
      <c r="C586">
        <v>0.1</v>
      </c>
    </row>
    <row r="587" spans="1:3" x14ac:dyDescent="0.3">
      <c r="A587" t="s">
        <v>660</v>
      </c>
      <c r="B587" t="s">
        <v>696</v>
      </c>
      <c r="C587">
        <v>0.1</v>
      </c>
    </row>
    <row r="588" spans="1:3" x14ac:dyDescent="0.3">
      <c r="A588" t="s">
        <v>661</v>
      </c>
      <c r="B588" t="s">
        <v>696</v>
      </c>
      <c r="C588">
        <v>0.1</v>
      </c>
    </row>
    <row r="589" spans="1:3" x14ac:dyDescent="0.3">
      <c r="A589" t="s">
        <v>662</v>
      </c>
      <c r="B589" t="s">
        <v>696</v>
      </c>
      <c r="C589">
        <v>0.1</v>
      </c>
    </row>
    <row r="590" spans="1:3" x14ac:dyDescent="0.3">
      <c r="A590" t="s">
        <v>663</v>
      </c>
      <c r="B590" t="s">
        <v>696</v>
      </c>
      <c r="C590">
        <v>0.1</v>
      </c>
    </row>
    <row r="591" spans="1:3" x14ac:dyDescent="0.3">
      <c r="A591" t="s">
        <v>664</v>
      </c>
      <c r="B591" t="s">
        <v>696</v>
      </c>
      <c r="C591">
        <v>0.1</v>
      </c>
    </row>
    <row r="592" spans="1:3" x14ac:dyDescent="0.3">
      <c r="A592" t="s">
        <v>665</v>
      </c>
      <c r="B592" t="s">
        <v>26</v>
      </c>
      <c r="C592">
        <v>1.5</v>
      </c>
    </row>
    <row r="593" spans="1:3" x14ac:dyDescent="0.3">
      <c r="A593" t="s">
        <v>666</v>
      </c>
      <c r="B593" t="s">
        <v>26</v>
      </c>
      <c r="C593">
        <v>1.5</v>
      </c>
    </row>
    <row r="594" spans="1:3" x14ac:dyDescent="0.3">
      <c r="A594" t="s">
        <v>667</v>
      </c>
      <c r="B594" t="s">
        <v>699</v>
      </c>
      <c r="C594">
        <v>1</v>
      </c>
    </row>
    <row r="595" spans="1:3" x14ac:dyDescent="0.3">
      <c r="A595" t="s">
        <v>668</v>
      </c>
      <c r="B595" t="s">
        <v>696</v>
      </c>
      <c r="C595">
        <v>0.1</v>
      </c>
    </row>
    <row r="596" spans="1:3" x14ac:dyDescent="0.3">
      <c r="A596" t="s">
        <v>669</v>
      </c>
      <c r="B596" t="s">
        <v>696</v>
      </c>
      <c r="C596">
        <v>0.1</v>
      </c>
    </row>
    <row r="597" spans="1:3" x14ac:dyDescent="0.3">
      <c r="A597" t="s">
        <v>670</v>
      </c>
      <c r="B597" t="s">
        <v>23</v>
      </c>
      <c r="C597">
        <v>4</v>
      </c>
    </row>
    <row r="598" spans="1:3" x14ac:dyDescent="0.3">
      <c r="A598" t="s">
        <v>671</v>
      </c>
      <c r="B598" t="s">
        <v>699</v>
      </c>
      <c r="C598">
        <v>1</v>
      </c>
    </row>
    <row r="599" spans="1:3" x14ac:dyDescent="0.3">
      <c r="A599" t="s">
        <v>672</v>
      </c>
      <c r="B599" t="s">
        <v>704</v>
      </c>
      <c r="C599">
        <v>1</v>
      </c>
    </row>
    <row r="600" spans="1:3" x14ac:dyDescent="0.3">
      <c r="A600" t="s">
        <v>673</v>
      </c>
      <c r="B600" t="s">
        <v>711</v>
      </c>
      <c r="C600">
        <v>2</v>
      </c>
    </row>
    <row r="601" spans="1:3" x14ac:dyDescent="0.3">
      <c r="A601" t="s">
        <v>674</v>
      </c>
      <c r="B601" t="s">
        <v>696</v>
      </c>
      <c r="C601">
        <v>0.1</v>
      </c>
    </row>
    <row r="602" spans="1:3" x14ac:dyDescent="0.3">
      <c r="A602" t="s">
        <v>675</v>
      </c>
      <c r="B602" t="s">
        <v>698</v>
      </c>
      <c r="C602">
        <v>0.5</v>
      </c>
    </row>
    <row r="603" spans="1:3" x14ac:dyDescent="0.3">
      <c r="A603" t="s">
        <v>676</v>
      </c>
      <c r="B603" t="s">
        <v>696</v>
      </c>
      <c r="C603">
        <v>0.1</v>
      </c>
    </row>
    <row r="604" spans="1:3" x14ac:dyDescent="0.3">
      <c r="A604" t="s">
        <v>677</v>
      </c>
      <c r="B604" t="s">
        <v>696</v>
      </c>
      <c r="C604">
        <v>0.1</v>
      </c>
    </row>
    <row r="605" spans="1:3" x14ac:dyDescent="0.3">
      <c r="A605" t="s">
        <v>678</v>
      </c>
      <c r="B605" t="s">
        <v>696</v>
      </c>
      <c r="C605">
        <v>0.1</v>
      </c>
    </row>
    <row r="606" spans="1:3" x14ac:dyDescent="0.3">
      <c r="A606" t="s">
        <v>679</v>
      </c>
      <c r="B606" t="s">
        <v>696</v>
      </c>
      <c r="C606">
        <v>0.1</v>
      </c>
    </row>
    <row r="607" spans="1:3" x14ac:dyDescent="0.3">
      <c r="A607" t="s">
        <v>680</v>
      </c>
      <c r="B607" t="s">
        <v>696</v>
      </c>
      <c r="C607">
        <v>0.1</v>
      </c>
    </row>
    <row r="608" spans="1:3" x14ac:dyDescent="0.3">
      <c r="A608" t="s">
        <v>681</v>
      </c>
      <c r="B608" t="s">
        <v>696</v>
      </c>
      <c r="C608">
        <v>0.1</v>
      </c>
    </row>
    <row r="609" spans="1:3" x14ac:dyDescent="0.3">
      <c r="A609" t="s">
        <v>682</v>
      </c>
      <c r="B609" t="s">
        <v>696</v>
      </c>
      <c r="C609">
        <v>0.1</v>
      </c>
    </row>
    <row r="610" spans="1:3" x14ac:dyDescent="0.3">
      <c r="A610" t="s">
        <v>683</v>
      </c>
      <c r="B610" t="s">
        <v>26</v>
      </c>
      <c r="C610">
        <v>1.5</v>
      </c>
    </row>
    <row r="611" spans="1:3" x14ac:dyDescent="0.3">
      <c r="A611" t="s">
        <v>684</v>
      </c>
      <c r="B611" t="s">
        <v>699</v>
      </c>
      <c r="C611">
        <v>1</v>
      </c>
    </row>
    <row r="612" spans="1:3" x14ac:dyDescent="0.3">
      <c r="A612" t="s">
        <v>685</v>
      </c>
      <c r="B612" t="s">
        <v>704</v>
      </c>
      <c r="C612">
        <v>1</v>
      </c>
    </row>
    <row r="613" spans="1:3" x14ac:dyDescent="0.3">
      <c r="A613" t="s">
        <v>686</v>
      </c>
      <c r="B613" t="s">
        <v>714</v>
      </c>
      <c r="C613">
        <v>1</v>
      </c>
    </row>
    <row r="614" spans="1:3" x14ac:dyDescent="0.3">
      <c r="A614" t="s">
        <v>687</v>
      </c>
      <c r="B614" t="s">
        <v>698</v>
      </c>
      <c r="C614">
        <v>0.5</v>
      </c>
    </row>
    <row r="615" spans="1:3" x14ac:dyDescent="0.3">
      <c r="A615" t="s">
        <v>688</v>
      </c>
      <c r="B615" t="s">
        <v>696</v>
      </c>
      <c r="C615">
        <v>0.1</v>
      </c>
    </row>
    <row r="616" spans="1:3" x14ac:dyDescent="0.3">
      <c r="A616" t="s">
        <v>689</v>
      </c>
      <c r="B616" t="s">
        <v>696</v>
      </c>
      <c r="C616">
        <v>0.1</v>
      </c>
    </row>
    <row r="617" spans="1:3" x14ac:dyDescent="0.3">
      <c r="A617" t="s">
        <v>166</v>
      </c>
      <c r="B617" t="s">
        <v>696</v>
      </c>
      <c r="C617">
        <v>0.1</v>
      </c>
    </row>
    <row r="618" spans="1:3" x14ac:dyDescent="0.3">
      <c r="A618" t="s">
        <v>690</v>
      </c>
      <c r="B618" t="s">
        <v>696</v>
      </c>
      <c r="C618">
        <v>0.1</v>
      </c>
    </row>
    <row r="619" spans="1:3" x14ac:dyDescent="0.3">
      <c r="A619" t="s">
        <v>691</v>
      </c>
      <c r="B619" t="s">
        <v>696</v>
      </c>
      <c r="C619">
        <v>0.1</v>
      </c>
    </row>
    <row r="620" spans="1:3" x14ac:dyDescent="0.3">
      <c r="A620" t="s">
        <v>692</v>
      </c>
      <c r="B620" t="s">
        <v>696</v>
      </c>
      <c r="C620">
        <v>0.1</v>
      </c>
    </row>
    <row r="621" spans="1:3" x14ac:dyDescent="0.3">
      <c r="A621" t="s">
        <v>693</v>
      </c>
      <c r="B621" t="s">
        <v>696</v>
      </c>
      <c r="C621">
        <v>0.1</v>
      </c>
    </row>
    <row r="622" spans="1:3" x14ac:dyDescent="0.3">
      <c r="A622" t="s">
        <v>694</v>
      </c>
      <c r="B622" t="s">
        <v>711</v>
      </c>
      <c r="C622">
        <v>2</v>
      </c>
    </row>
    <row r="623" spans="1:3" x14ac:dyDescent="0.3">
      <c r="A623" t="s">
        <v>167</v>
      </c>
      <c r="B623" t="s">
        <v>25</v>
      </c>
      <c r="C623">
        <v>1.5</v>
      </c>
    </row>
    <row r="624" spans="1:3" x14ac:dyDescent="0.3">
      <c r="A624" t="s">
        <v>695</v>
      </c>
      <c r="B624" t="s">
        <v>696</v>
      </c>
      <c r="C624">
        <v>0.1</v>
      </c>
    </row>
    <row r="625" spans="1:3" x14ac:dyDescent="0.3">
      <c r="A625" t="s">
        <v>730</v>
      </c>
      <c r="B625" t="s">
        <v>26</v>
      </c>
      <c r="C625">
        <v>1.5</v>
      </c>
    </row>
    <row r="626" spans="1:3" x14ac:dyDescent="0.3">
      <c r="A626" t="s">
        <v>731</v>
      </c>
      <c r="B626" t="s">
        <v>26</v>
      </c>
      <c r="C626">
        <v>1.5</v>
      </c>
    </row>
    <row r="627" spans="1:3" x14ac:dyDescent="0.3">
      <c r="A627" t="s">
        <v>732</v>
      </c>
      <c r="B627" t="s">
        <v>696</v>
      </c>
      <c r="C627">
        <v>0.1</v>
      </c>
    </row>
    <row r="628" spans="1:3" x14ac:dyDescent="0.3">
      <c r="A628" t="s">
        <v>733</v>
      </c>
      <c r="B628" t="s">
        <v>696</v>
      </c>
      <c r="C628">
        <v>0.1</v>
      </c>
    </row>
    <row r="629" spans="1:3" x14ac:dyDescent="0.3">
      <c r="A629" t="s">
        <v>734</v>
      </c>
      <c r="B629" t="s">
        <v>696</v>
      </c>
      <c r="C629">
        <v>0.1</v>
      </c>
    </row>
    <row r="630" spans="1:3" x14ac:dyDescent="0.3">
      <c r="A630" t="s">
        <v>735</v>
      </c>
      <c r="B630" t="s">
        <v>696</v>
      </c>
      <c r="C630">
        <v>0.1</v>
      </c>
    </row>
    <row r="631" spans="1:3" x14ac:dyDescent="0.3">
      <c r="A631" t="s">
        <v>736</v>
      </c>
      <c r="B631" t="s">
        <v>696</v>
      </c>
      <c r="C631">
        <v>0.1</v>
      </c>
    </row>
    <row r="632" spans="1:3" x14ac:dyDescent="0.3">
      <c r="A632" t="s">
        <v>737</v>
      </c>
      <c r="B632" t="s">
        <v>696</v>
      </c>
      <c r="C632">
        <v>0.1</v>
      </c>
    </row>
    <row r="633" spans="1:3" x14ac:dyDescent="0.3">
      <c r="A633" t="s">
        <v>738</v>
      </c>
      <c r="B633" t="s">
        <v>696</v>
      </c>
      <c r="C633">
        <v>0.1</v>
      </c>
    </row>
    <row r="634" spans="1:3" x14ac:dyDescent="0.3">
      <c r="A634" t="s">
        <v>739</v>
      </c>
      <c r="B634" t="s">
        <v>696</v>
      </c>
      <c r="C634">
        <v>0.1</v>
      </c>
    </row>
    <row r="635" spans="1:3" x14ac:dyDescent="0.3">
      <c r="A635" t="s">
        <v>740</v>
      </c>
      <c r="B635" t="s">
        <v>696</v>
      </c>
      <c r="C635">
        <v>0.1</v>
      </c>
    </row>
    <row r="636" spans="1:3" x14ac:dyDescent="0.3">
      <c r="A636" t="s">
        <v>741</v>
      </c>
      <c r="B636" t="s">
        <v>696</v>
      </c>
      <c r="C636">
        <v>0.1</v>
      </c>
    </row>
    <row r="637" spans="1:3" x14ac:dyDescent="0.3">
      <c r="A637" t="s">
        <v>742</v>
      </c>
      <c r="B637" t="s">
        <v>696</v>
      </c>
      <c r="C637">
        <v>0.1</v>
      </c>
    </row>
    <row r="638" spans="1:3" x14ac:dyDescent="0.3">
      <c r="A638" t="s">
        <v>743</v>
      </c>
      <c r="B638" t="s">
        <v>696</v>
      </c>
      <c r="C638">
        <v>0.1</v>
      </c>
    </row>
    <row r="639" spans="1:3" x14ac:dyDescent="0.3">
      <c r="A639" t="s">
        <v>744</v>
      </c>
      <c r="B639" t="s">
        <v>696</v>
      </c>
      <c r="C639">
        <v>0.1</v>
      </c>
    </row>
    <row r="640" spans="1:3" x14ac:dyDescent="0.3">
      <c r="A640" t="s">
        <v>745</v>
      </c>
      <c r="B640" t="s">
        <v>696</v>
      </c>
      <c r="C640">
        <v>0.1</v>
      </c>
    </row>
    <row r="641" spans="1:3" x14ac:dyDescent="0.3">
      <c r="A641" t="s">
        <v>746</v>
      </c>
      <c r="B641" t="s">
        <v>747</v>
      </c>
      <c r="C641">
        <v>0.1</v>
      </c>
    </row>
    <row r="642" spans="1:3" x14ac:dyDescent="0.3">
      <c r="A642" t="s">
        <v>748</v>
      </c>
      <c r="B642" t="s">
        <v>709</v>
      </c>
      <c r="C642">
        <v>2.5</v>
      </c>
    </row>
    <row r="643" spans="1:3" x14ac:dyDescent="0.3">
      <c r="A643" t="s">
        <v>749</v>
      </c>
      <c r="B643" t="s">
        <v>49</v>
      </c>
      <c r="C643">
        <v>0.1</v>
      </c>
    </row>
    <row r="644" spans="1:3" x14ac:dyDescent="0.3">
      <c r="A644" t="s">
        <v>750</v>
      </c>
      <c r="B644" t="s">
        <v>25</v>
      </c>
      <c r="C644">
        <v>1.5</v>
      </c>
    </row>
    <row r="645" spans="1:3" x14ac:dyDescent="0.3">
      <c r="A645" t="s">
        <v>751</v>
      </c>
      <c r="B645" t="s">
        <v>709</v>
      </c>
      <c r="C645">
        <v>2.5</v>
      </c>
    </row>
    <row r="646" spans="1:3" x14ac:dyDescent="0.3">
      <c r="A646" t="s">
        <v>753</v>
      </c>
      <c r="B646" t="s">
        <v>49</v>
      </c>
      <c r="C646">
        <v>0.1</v>
      </c>
    </row>
    <row r="647" spans="1:3" x14ac:dyDescent="0.3">
      <c r="A647" t="s">
        <v>755</v>
      </c>
      <c r="B647" t="s">
        <v>49</v>
      </c>
      <c r="C647">
        <v>0.1</v>
      </c>
    </row>
    <row r="648" spans="1:3" x14ac:dyDescent="0.3">
      <c r="A648" t="s">
        <v>756</v>
      </c>
      <c r="B648" t="s">
        <v>49</v>
      </c>
      <c r="C648">
        <v>0.1</v>
      </c>
    </row>
    <row r="649" spans="1:3" x14ac:dyDescent="0.3">
      <c r="A649" t="s">
        <v>757</v>
      </c>
      <c r="B649" t="s">
        <v>49</v>
      </c>
      <c r="C649">
        <v>0.1</v>
      </c>
    </row>
    <row r="650" spans="1:3" x14ac:dyDescent="0.3">
      <c r="A650" t="s">
        <v>758</v>
      </c>
      <c r="B650" t="s">
        <v>49</v>
      </c>
      <c r="C650">
        <v>0.1</v>
      </c>
    </row>
    <row r="651" spans="1:3" x14ac:dyDescent="0.3">
      <c r="A651" t="s">
        <v>759</v>
      </c>
      <c r="B651" t="s">
        <v>49</v>
      </c>
      <c r="C651">
        <v>0.1</v>
      </c>
    </row>
    <row r="652" spans="1:3" x14ac:dyDescent="0.3">
      <c r="A652" t="s">
        <v>762</v>
      </c>
      <c r="B652" t="s">
        <v>49</v>
      </c>
      <c r="C652">
        <v>0.1</v>
      </c>
    </row>
    <row r="653" spans="1:3" x14ac:dyDescent="0.3">
      <c r="A653" t="s">
        <v>763</v>
      </c>
      <c r="B653" t="s">
        <v>49</v>
      </c>
      <c r="C653">
        <v>0.1</v>
      </c>
    </row>
    <row r="654" spans="1:3" x14ac:dyDescent="0.3">
      <c r="A654" t="s">
        <v>764</v>
      </c>
      <c r="B654" t="s">
        <v>49</v>
      </c>
      <c r="C654">
        <v>0.1</v>
      </c>
    </row>
    <row r="655" spans="1:3" x14ac:dyDescent="0.3">
      <c r="A655" s="64" t="s">
        <v>765</v>
      </c>
      <c r="B655" t="s">
        <v>49</v>
      </c>
      <c r="C655">
        <v>0.1</v>
      </c>
    </row>
    <row r="656" spans="1:3" x14ac:dyDescent="0.3">
      <c r="A656" s="64" t="s">
        <v>766</v>
      </c>
      <c r="B656" t="s">
        <v>49</v>
      </c>
      <c r="C656">
        <v>0.1</v>
      </c>
    </row>
    <row r="657" spans="1:3" x14ac:dyDescent="0.3">
      <c r="A657" t="s">
        <v>777</v>
      </c>
      <c r="B657" t="s">
        <v>49</v>
      </c>
      <c r="C657">
        <v>0.1</v>
      </c>
    </row>
    <row r="658" spans="1:3" x14ac:dyDescent="0.3">
      <c r="A658" t="s">
        <v>779</v>
      </c>
      <c r="B658" t="s">
        <v>709</v>
      </c>
      <c r="C658">
        <v>2.5</v>
      </c>
    </row>
    <row r="659" spans="1:3" x14ac:dyDescent="0.3">
      <c r="A659" t="s">
        <v>778</v>
      </c>
      <c r="B659" t="s">
        <v>49</v>
      </c>
      <c r="C659">
        <v>0.1</v>
      </c>
    </row>
    <row r="660" spans="1:3" x14ac:dyDescent="0.3">
      <c r="A660" t="s">
        <v>780</v>
      </c>
      <c r="B660" t="s">
        <v>49</v>
      </c>
      <c r="C660">
        <v>0.1</v>
      </c>
    </row>
    <row r="661" spans="1:3" x14ac:dyDescent="0.3">
      <c r="A661" t="s">
        <v>781</v>
      </c>
      <c r="B661" t="s">
        <v>49</v>
      </c>
      <c r="C661">
        <v>0.1</v>
      </c>
    </row>
    <row r="662" spans="1:3" x14ac:dyDescent="0.3">
      <c r="A662" t="s">
        <v>783</v>
      </c>
      <c r="B662" t="s">
        <v>23</v>
      </c>
      <c r="C662">
        <v>4</v>
      </c>
    </row>
    <row r="663" spans="1:3" x14ac:dyDescent="0.3">
      <c r="A663" t="s">
        <v>784</v>
      </c>
      <c r="B663" t="s">
        <v>709</v>
      </c>
      <c r="C663">
        <v>2.5</v>
      </c>
    </row>
    <row r="664" spans="1:3" x14ac:dyDescent="0.3">
      <c r="A664" t="s">
        <v>785</v>
      </c>
      <c r="B664" t="s">
        <v>26</v>
      </c>
      <c r="C664">
        <v>1.5</v>
      </c>
    </row>
    <row r="665" spans="1:3" x14ac:dyDescent="0.3">
      <c r="A665" t="s">
        <v>786</v>
      </c>
      <c r="B665" t="s">
        <v>49</v>
      </c>
      <c r="C665">
        <v>0.1</v>
      </c>
    </row>
    <row r="666" spans="1:3" x14ac:dyDescent="0.3">
      <c r="A666" t="s">
        <v>787</v>
      </c>
      <c r="B666" t="s">
        <v>23</v>
      </c>
      <c r="C666">
        <v>4</v>
      </c>
    </row>
    <row r="667" spans="1:3" x14ac:dyDescent="0.3">
      <c r="A667" t="s">
        <v>789</v>
      </c>
      <c r="B667" t="s">
        <v>26</v>
      </c>
      <c r="C667">
        <v>1.5</v>
      </c>
    </row>
    <row r="668" spans="1:3" x14ac:dyDescent="0.3">
      <c r="A668" t="s">
        <v>790</v>
      </c>
      <c r="B668" t="s">
        <v>49</v>
      </c>
      <c r="C668">
        <v>0.1</v>
      </c>
    </row>
    <row r="669" spans="1:3" x14ac:dyDescent="0.3">
      <c r="A669" t="s">
        <v>792</v>
      </c>
      <c r="B669" t="s">
        <v>49</v>
      </c>
      <c r="C669">
        <v>0.1</v>
      </c>
    </row>
    <row r="670" spans="1:3" x14ac:dyDescent="0.3">
      <c r="A670" t="s">
        <v>793</v>
      </c>
      <c r="B670" t="s">
        <v>49</v>
      </c>
      <c r="C670">
        <v>0.1</v>
      </c>
    </row>
    <row r="671" spans="1:3" x14ac:dyDescent="0.3">
      <c r="A671" t="s">
        <v>795</v>
      </c>
      <c r="B671" t="s">
        <v>49</v>
      </c>
      <c r="C671">
        <v>0.1</v>
      </c>
    </row>
    <row r="672" spans="1:3" x14ac:dyDescent="0.3">
      <c r="A672" t="s">
        <v>796</v>
      </c>
      <c r="B672" t="s">
        <v>26</v>
      </c>
      <c r="C672">
        <v>1.5</v>
      </c>
    </row>
    <row r="673" spans="1:3" x14ac:dyDescent="0.3">
      <c r="A673" t="s">
        <v>823</v>
      </c>
      <c r="B673" t="s">
        <v>49</v>
      </c>
      <c r="C673">
        <v>0.1</v>
      </c>
    </row>
    <row r="674" spans="1:3" x14ac:dyDescent="0.3">
      <c r="A674" t="s">
        <v>839</v>
      </c>
      <c r="B674" t="s">
        <v>49</v>
      </c>
      <c r="C674">
        <v>0.1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4" sqref="A14"/>
    </sheetView>
  </sheetViews>
  <sheetFormatPr defaultRowHeight="16.5" x14ac:dyDescent="0.3"/>
  <cols>
    <col min="1" max="1" width="23.125" customWidth="1"/>
    <col min="2" max="2" width="15.25" customWidth="1"/>
  </cols>
  <sheetData>
    <row r="1" spans="1:2" x14ac:dyDescent="0.3">
      <c r="A1" s="4" t="s">
        <v>3</v>
      </c>
      <c r="B1" s="4" t="s">
        <v>2</v>
      </c>
    </row>
    <row r="2" spans="1:2" x14ac:dyDescent="0.3">
      <c r="A2" s="12" t="s">
        <v>722</v>
      </c>
      <c r="B2" s="10" t="s">
        <v>30</v>
      </c>
    </row>
    <row r="3" spans="1:2" x14ac:dyDescent="0.3">
      <c r="A3" s="2" t="s">
        <v>726</v>
      </c>
      <c r="B3" s="10" t="s">
        <v>30</v>
      </c>
    </row>
    <row r="4" spans="1:2" x14ac:dyDescent="0.3">
      <c r="A4" s="12" t="s">
        <v>720</v>
      </c>
      <c r="B4" s="35" t="s">
        <v>8</v>
      </c>
    </row>
    <row r="5" spans="1:2" x14ac:dyDescent="0.3">
      <c r="A5" s="36" t="s">
        <v>51</v>
      </c>
      <c r="B5" s="36" t="s">
        <v>8</v>
      </c>
    </row>
    <row r="6" spans="1:2" x14ac:dyDescent="0.3">
      <c r="A6" s="2" t="s">
        <v>725</v>
      </c>
      <c r="B6" s="14" t="s">
        <v>721</v>
      </c>
    </row>
    <row r="7" spans="1:2" x14ac:dyDescent="0.3">
      <c r="A7" s="14" t="s">
        <v>767</v>
      </c>
      <c r="B7" s="14" t="s">
        <v>721</v>
      </c>
    </row>
    <row r="8" spans="1:2" x14ac:dyDescent="0.3">
      <c r="A8" s="12" t="s">
        <v>768</v>
      </c>
      <c r="B8" s="35" t="s">
        <v>719</v>
      </c>
    </row>
    <row r="9" spans="1:2" x14ac:dyDescent="0.3">
      <c r="A9" s="2" t="s">
        <v>724</v>
      </c>
      <c r="B9" s="35" t="s">
        <v>719</v>
      </c>
    </row>
    <row r="10" spans="1:2" x14ac:dyDescent="0.3">
      <c r="A10" s="12" t="s">
        <v>769</v>
      </c>
      <c r="B10" s="35" t="s">
        <v>719</v>
      </c>
    </row>
    <row r="11" spans="1:2" x14ac:dyDescent="0.3">
      <c r="A11" s="35" t="s">
        <v>770</v>
      </c>
      <c r="B11" s="35" t="s">
        <v>719</v>
      </c>
    </row>
    <row r="12" spans="1:2" x14ac:dyDescent="0.3">
      <c r="A12" s="2" t="s">
        <v>771</v>
      </c>
      <c r="B12" s="35" t="s">
        <v>719</v>
      </c>
    </row>
    <row r="13" spans="1:2" x14ac:dyDescent="0.3">
      <c r="A13" s="2" t="s">
        <v>772</v>
      </c>
      <c r="B13" s="35" t="s">
        <v>719</v>
      </c>
    </row>
    <row r="14" spans="1:2" x14ac:dyDescent="0.3">
      <c r="A14" s="35" t="s">
        <v>760</v>
      </c>
      <c r="B14" s="35" t="s">
        <v>19</v>
      </c>
    </row>
    <row r="15" spans="1:2" x14ac:dyDescent="0.3">
      <c r="A15" s="35" t="s">
        <v>761</v>
      </c>
      <c r="B15" s="35" t="s">
        <v>19</v>
      </c>
    </row>
    <row r="16" spans="1:2" x14ac:dyDescent="0.3">
      <c r="A16" s="12" t="s">
        <v>718</v>
      </c>
      <c r="B16" s="35" t="s">
        <v>723</v>
      </c>
    </row>
    <row r="17" spans="1:2" x14ac:dyDescent="0.3">
      <c r="A17" s="36" t="s">
        <v>773</v>
      </c>
      <c r="B17" s="35" t="s">
        <v>19</v>
      </c>
    </row>
    <row r="18" spans="1:2" x14ac:dyDescent="0.3">
      <c r="A18" s="12" t="s">
        <v>774</v>
      </c>
      <c r="B18" s="35" t="s">
        <v>723</v>
      </c>
    </row>
    <row r="19" spans="1:2" x14ac:dyDescent="0.3">
      <c r="A19" s="12" t="s">
        <v>775</v>
      </c>
      <c r="B19" s="35" t="s">
        <v>723</v>
      </c>
    </row>
    <row r="20" spans="1:2" x14ac:dyDescent="0.3">
      <c r="A20" s="2" t="s">
        <v>776</v>
      </c>
      <c r="B20" s="35" t="s">
        <v>723</v>
      </c>
    </row>
  </sheetData>
  <autoFilter ref="B1:B19">
    <sortState ref="B2:C23">
      <sortCondition ref="B1:B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2022년 누적시트</vt:lpstr>
      <vt:lpstr>Sheet2</vt:lpstr>
      <vt:lpstr>양식</vt:lpstr>
      <vt:lpstr>보도매체</vt:lpstr>
      <vt:lpstr>소속부서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2024-12-27T04:28:33Z</cp:lastPrinted>
  <dcterms:created xsi:type="dcterms:W3CDTF">2016-01-04T04:58:30Z</dcterms:created>
  <dcterms:modified xsi:type="dcterms:W3CDTF">2025-08-13T08:30:20Z</dcterms:modified>
</cp:coreProperties>
</file>