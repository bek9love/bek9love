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최지예\스크랩목록\2025년\일자별 스크랩 목록\8월\"/>
    </mc:Choice>
  </mc:AlternateContent>
  <bookViews>
    <workbookView xWindow="0" yWindow="0" windowWidth="19200" windowHeight="11025"/>
  </bookViews>
  <sheets>
    <sheet name="2022년 누적시트" sheetId="7" r:id="rId1"/>
    <sheet name="Sheet2" sheetId="13" r:id="rId2"/>
    <sheet name="양식" sheetId="2" r:id="rId3"/>
    <sheet name="보도매체" sheetId="14" r:id="rId4"/>
    <sheet name="소속부서" sheetId="15" r:id="rId5"/>
  </sheets>
  <definedNames>
    <definedName name="_xlnm._FilterDatabase" localSheetId="0" hidden="1">'2022년 누적시트'!$A$1:$O$5548</definedName>
    <definedName name="_xlnm._FilterDatabase" localSheetId="4" hidden="1">소속부서!$B$1:$B$19</definedName>
    <definedName name="_xlnm._FilterDatabase" localSheetId="2" hidden="1">양식!$A$1:$F$87</definedName>
    <definedName name="_xlnm.Print_Area" localSheetId="0">'2022년 누적시트'!#REF!</definedName>
    <definedName name="_xlnm.Print_Area" localSheetId="2">양식!$B$2:$E$20</definedName>
  </definedNames>
  <calcPr calcId="162913"/>
  <pivotCaches>
    <pivotCache cacheId="0" r:id="rId6"/>
  </pivotCaches>
  <fileRecoveryPr autoRecover="0"/>
</workbook>
</file>

<file path=xl/calcChain.xml><?xml version="1.0" encoding="utf-8"?>
<calcChain xmlns="http://schemas.openxmlformats.org/spreadsheetml/2006/main">
  <c r="M23" i="7" l="1"/>
  <c r="L23" i="7"/>
  <c r="M22" i="7"/>
  <c r="L22" i="7"/>
  <c r="M21" i="7"/>
  <c r="L21" i="7"/>
  <c r="L54" i="7"/>
  <c r="M4" i="7" l="1"/>
  <c r="L4" i="7"/>
  <c r="M3" i="7"/>
  <c r="L3" i="7"/>
  <c r="M2" i="7"/>
  <c r="L2" i="7"/>
  <c r="M32" i="7" l="1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33" i="7" l="1"/>
  <c r="L33" i="7"/>
  <c r="C7" i="7" l="1"/>
  <c r="M71" i="7" l="1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99" i="7" l="1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M145" i="7"/>
  <c r="M146" i="7"/>
  <c r="M147" i="7"/>
  <c r="M148" i="7"/>
  <c r="M149" i="7"/>
  <c r="M150" i="7"/>
  <c r="M151" i="7"/>
  <c r="M152" i="7"/>
  <c r="M153" i="7"/>
  <c r="M154" i="7"/>
  <c r="M155" i="7"/>
  <c r="M156" i="7"/>
  <c r="M157" i="7"/>
  <c r="M158" i="7"/>
  <c r="M159" i="7"/>
  <c r="M160" i="7"/>
  <c r="M161" i="7"/>
  <c r="M162" i="7"/>
  <c r="M163" i="7"/>
  <c r="M164" i="7"/>
  <c r="M165" i="7"/>
  <c r="M166" i="7"/>
  <c r="M167" i="7"/>
  <c r="M168" i="7"/>
  <c r="M169" i="7"/>
  <c r="M170" i="7"/>
  <c r="M171" i="7"/>
  <c r="M172" i="7"/>
  <c r="M173" i="7"/>
  <c r="M174" i="7"/>
  <c r="M175" i="7"/>
  <c r="M176" i="7"/>
  <c r="M177" i="7"/>
  <c r="M178" i="7"/>
  <c r="M179" i="7"/>
  <c r="M180" i="7"/>
  <c r="M181" i="7"/>
  <c r="M182" i="7"/>
  <c r="M183" i="7"/>
  <c r="M184" i="7"/>
  <c r="M185" i="7"/>
  <c r="M186" i="7"/>
  <c r="M187" i="7"/>
  <c r="M188" i="7"/>
  <c r="M189" i="7"/>
  <c r="M190" i="7"/>
  <c r="M191" i="7"/>
  <c r="M192" i="7"/>
  <c r="M193" i="7"/>
  <c r="M194" i="7"/>
  <c r="M195" i="7"/>
  <c r="M196" i="7"/>
  <c r="M197" i="7"/>
  <c r="M198" i="7"/>
  <c r="M199" i="7"/>
  <c r="M200" i="7"/>
  <c r="M201" i="7"/>
  <c r="M202" i="7"/>
  <c r="M203" i="7"/>
  <c r="M204" i="7"/>
  <c r="M205" i="7"/>
  <c r="M206" i="7"/>
  <c r="M207" i="7"/>
  <c r="M208" i="7"/>
  <c r="M209" i="7"/>
  <c r="M210" i="7"/>
  <c r="M211" i="7"/>
  <c r="M212" i="7"/>
  <c r="M213" i="7"/>
  <c r="M214" i="7"/>
  <c r="M215" i="7"/>
  <c r="M216" i="7"/>
  <c r="M217" i="7"/>
  <c r="M218" i="7"/>
  <c r="M219" i="7"/>
  <c r="M220" i="7"/>
  <c r="M221" i="7"/>
  <c r="M222" i="7"/>
  <c r="M223" i="7"/>
  <c r="M224" i="7"/>
  <c r="M225" i="7"/>
  <c r="M226" i="7"/>
  <c r="M227" i="7"/>
  <c r="M228" i="7"/>
  <c r="M229" i="7"/>
  <c r="M230" i="7"/>
  <c r="M231" i="7"/>
  <c r="M232" i="7"/>
  <c r="M233" i="7"/>
  <c r="M234" i="7"/>
  <c r="M235" i="7"/>
  <c r="M236" i="7"/>
  <c r="M237" i="7"/>
  <c r="M238" i="7"/>
  <c r="M239" i="7"/>
  <c r="M240" i="7"/>
  <c r="M241" i="7"/>
  <c r="M242" i="7"/>
  <c r="M243" i="7"/>
  <c r="M244" i="7"/>
  <c r="M245" i="7"/>
  <c r="M246" i="7"/>
  <c r="M247" i="7"/>
  <c r="M248" i="7"/>
  <c r="M249" i="7"/>
  <c r="M250" i="7"/>
  <c r="M251" i="7"/>
  <c r="M252" i="7"/>
  <c r="M253" i="7"/>
  <c r="M254" i="7"/>
  <c r="M255" i="7"/>
  <c r="M256" i="7"/>
  <c r="M257" i="7"/>
  <c r="M258" i="7"/>
  <c r="M259" i="7"/>
  <c r="M260" i="7"/>
  <c r="M261" i="7"/>
  <c r="M262" i="7"/>
  <c r="M263" i="7"/>
  <c r="M264" i="7"/>
  <c r="M265" i="7"/>
  <c r="M266" i="7"/>
  <c r="M267" i="7"/>
  <c r="M268" i="7"/>
  <c r="M269" i="7"/>
  <c r="M270" i="7"/>
  <c r="M271" i="7"/>
  <c r="M272" i="7"/>
  <c r="M273" i="7"/>
  <c r="M274" i="7"/>
  <c r="M275" i="7"/>
  <c r="M276" i="7"/>
  <c r="M277" i="7"/>
  <c r="M278" i="7"/>
  <c r="M279" i="7"/>
  <c r="M280" i="7"/>
  <c r="M281" i="7"/>
  <c r="M282" i="7"/>
  <c r="M283" i="7"/>
  <c r="M284" i="7"/>
  <c r="M285" i="7"/>
  <c r="M286" i="7"/>
  <c r="M287" i="7"/>
  <c r="M288" i="7"/>
  <c r="M289" i="7"/>
  <c r="M290" i="7"/>
  <c r="M291" i="7"/>
  <c r="M292" i="7"/>
  <c r="M293" i="7"/>
  <c r="M294" i="7"/>
  <c r="M295" i="7"/>
  <c r="M296" i="7"/>
  <c r="M297" i="7"/>
  <c r="M298" i="7"/>
  <c r="M299" i="7"/>
  <c r="M300" i="7"/>
  <c r="M301" i="7"/>
  <c r="M302" i="7"/>
  <c r="M303" i="7"/>
  <c r="M304" i="7"/>
  <c r="M305" i="7"/>
  <c r="M306" i="7"/>
  <c r="M307" i="7"/>
  <c r="M308" i="7"/>
  <c r="M309" i="7"/>
  <c r="M310" i="7"/>
  <c r="M311" i="7"/>
  <c r="M312" i="7"/>
  <c r="M313" i="7"/>
  <c r="M314" i="7"/>
  <c r="M315" i="7"/>
  <c r="M316" i="7"/>
  <c r="M317" i="7"/>
  <c r="M318" i="7"/>
  <c r="M319" i="7"/>
  <c r="M320" i="7"/>
  <c r="M321" i="7"/>
  <c r="M322" i="7"/>
  <c r="M323" i="7"/>
  <c r="M324" i="7"/>
  <c r="M325" i="7"/>
  <c r="M326" i="7"/>
  <c r="M327" i="7"/>
  <c r="M328" i="7"/>
  <c r="M329" i="7"/>
  <c r="M330" i="7"/>
  <c r="M331" i="7"/>
  <c r="M332" i="7"/>
  <c r="M333" i="7"/>
  <c r="M334" i="7"/>
  <c r="M335" i="7"/>
  <c r="M336" i="7"/>
  <c r="M337" i="7"/>
  <c r="M338" i="7"/>
  <c r="M339" i="7"/>
  <c r="M340" i="7"/>
  <c r="M341" i="7"/>
  <c r="M342" i="7"/>
  <c r="M343" i="7"/>
  <c r="M344" i="7"/>
  <c r="M345" i="7"/>
  <c r="M346" i="7"/>
  <c r="M347" i="7"/>
  <c r="M348" i="7"/>
  <c r="M349" i="7"/>
  <c r="M350" i="7"/>
  <c r="M351" i="7"/>
  <c r="M352" i="7"/>
  <c r="M353" i="7"/>
  <c r="M354" i="7"/>
  <c r="M355" i="7"/>
  <c r="M356" i="7"/>
  <c r="M357" i="7"/>
  <c r="M358" i="7"/>
  <c r="M359" i="7"/>
  <c r="M360" i="7"/>
  <c r="M361" i="7"/>
  <c r="M362" i="7"/>
  <c r="M363" i="7"/>
  <c r="M364" i="7"/>
  <c r="M365" i="7"/>
  <c r="M366" i="7"/>
  <c r="M367" i="7"/>
  <c r="M368" i="7"/>
  <c r="M369" i="7"/>
  <c r="M370" i="7"/>
  <c r="M371" i="7"/>
  <c r="M372" i="7"/>
  <c r="M373" i="7"/>
  <c r="M374" i="7"/>
  <c r="M375" i="7"/>
  <c r="M376" i="7"/>
  <c r="M377" i="7"/>
  <c r="M378" i="7"/>
  <c r="M379" i="7"/>
  <c r="M380" i="7"/>
  <c r="M381" i="7"/>
  <c r="M382" i="7"/>
  <c r="M383" i="7"/>
  <c r="M384" i="7"/>
  <c r="M385" i="7"/>
  <c r="M386" i="7"/>
  <c r="M387" i="7"/>
  <c r="M388" i="7"/>
  <c r="M389" i="7"/>
  <c r="M390" i="7"/>
  <c r="M391" i="7"/>
  <c r="M392" i="7"/>
  <c r="M393" i="7"/>
  <c r="M394" i="7"/>
  <c r="M395" i="7"/>
  <c r="M396" i="7"/>
  <c r="M397" i="7"/>
  <c r="M398" i="7"/>
  <c r="M399" i="7"/>
  <c r="M400" i="7"/>
  <c r="M401" i="7"/>
  <c r="M402" i="7"/>
  <c r="M403" i="7"/>
  <c r="M404" i="7"/>
  <c r="M405" i="7"/>
  <c r="M406" i="7"/>
  <c r="M407" i="7"/>
  <c r="M408" i="7"/>
  <c r="M409" i="7"/>
  <c r="M410" i="7"/>
  <c r="M411" i="7"/>
  <c r="M412" i="7"/>
  <c r="M413" i="7"/>
  <c r="M414" i="7"/>
  <c r="M415" i="7"/>
  <c r="M416" i="7"/>
  <c r="M417" i="7"/>
  <c r="M418" i="7"/>
  <c r="M419" i="7"/>
  <c r="M420" i="7"/>
  <c r="M421" i="7"/>
  <c r="M422" i="7"/>
  <c r="M423" i="7"/>
  <c r="M424" i="7"/>
  <c r="M425" i="7"/>
  <c r="M426" i="7"/>
  <c r="M427" i="7"/>
  <c r="M428" i="7"/>
  <c r="M429" i="7"/>
  <c r="M430" i="7"/>
  <c r="M431" i="7"/>
  <c r="M432" i="7"/>
  <c r="M433" i="7"/>
  <c r="M434" i="7"/>
  <c r="M435" i="7"/>
  <c r="M436" i="7"/>
  <c r="M437" i="7"/>
  <c r="M438" i="7"/>
  <c r="M439" i="7"/>
  <c r="M440" i="7"/>
  <c r="M441" i="7"/>
  <c r="M442" i="7"/>
  <c r="M443" i="7"/>
  <c r="M444" i="7"/>
  <c r="M445" i="7"/>
  <c r="M446" i="7"/>
  <c r="M447" i="7"/>
  <c r="M448" i="7"/>
  <c r="M449" i="7"/>
  <c r="M450" i="7"/>
  <c r="M451" i="7"/>
  <c r="M452" i="7"/>
  <c r="M453" i="7"/>
  <c r="M454" i="7"/>
  <c r="M455" i="7"/>
  <c r="M456" i="7"/>
  <c r="M457" i="7"/>
  <c r="M458" i="7"/>
  <c r="M459" i="7"/>
  <c r="M460" i="7"/>
  <c r="M461" i="7"/>
  <c r="M462" i="7"/>
  <c r="M463" i="7"/>
  <c r="M464" i="7"/>
  <c r="M465" i="7"/>
  <c r="M466" i="7"/>
  <c r="M467" i="7"/>
  <c r="M468" i="7"/>
  <c r="M469" i="7"/>
  <c r="M470" i="7"/>
  <c r="M471" i="7"/>
  <c r="M472" i="7"/>
  <c r="M473" i="7"/>
  <c r="M474" i="7"/>
  <c r="M475" i="7"/>
  <c r="M476" i="7"/>
  <c r="M477" i="7"/>
  <c r="M478" i="7"/>
  <c r="M479" i="7"/>
  <c r="M480" i="7"/>
  <c r="M481" i="7"/>
  <c r="M482" i="7"/>
  <c r="M483" i="7"/>
  <c r="M484" i="7"/>
  <c r="M485" i="7"/>
  <c r="M486" i="7"/>
  <c r="M487" i="7"/>
  <c r="M488" i="7"/>
  <c r="M489" i="7"/>
  <c r="M490" i="7"/>
  <c r="M491" i="7"/>
  <c r="M492" i="7"/>
  <c r="M493" i="7"/>
  <c r="M494" i="7"/>
  <c r="M495" i="7"/>
  <c r="M496" i="7"/>
  <c r="M497" i="7"/>
  <c r="M498" i="7"/>
  <c r="M499" i="7"/>
  <c r="M500" i="7"/>
  <c r="M501" i="7"/>
  <c r="M502" i="7"/>
  <c r="M503" i="7"/>
  <c r="M504" i="7"/>
  <c r="M505" i="7"/>
  <c r="M506" i="7"/>
  <c r="M507" i="7"/>
  <c r="M508" i="7"/>
  <c r="M509" i="7"/>
  <c r="M510" i="7"/>
  <c r="M511" i="7"/>
  <c r="M512" i="7"/>
  <c r="M513" i="7"/>
  <c r="M514" i="7"/>
  <c r="M515" i="7"/>
  <c r="M516" i="7"/>
  <c r="M517" i="7"/>
  <c r="M518" i="7"/>
  <c r="M519" i="7"/>
  <c r="M520" i="7"/>
  <c r="M521" i="7"/>
  <c r="M522" i="7"/>
  <c r="M523" i="7"/>
  <c r="M524" i="7"/>
  <c r="M525" i="7"/>
  <c r="M526" i="7"/>
  <c r="M527" i="7"/>
  <c r="M528" i="7"/>
  <c r="M529" i="7"/>
  <c r="M530" i="7"/>
  <c r="M531" i="7"/>
  <c r="M532" i="7"/>
  <c r="M533" i="7"/>
  <c r="M534" i="7"/>
  <c r="M535" i="7"/>
  <c r="M536" i="7"/>
  <c r="M537" i="7"/>
  <c r="M538" i="7"/>
  <c r="M539" i="7"/>
  <c r="M540" i="7"/>
  <c r="M541" i="7"/>
  <c r="M542" i="7"/>
  <c r="M543" i="7"/>
  <c r="M544" i="7"/>
  <c r="M545" i="7"/>
  <c r="M546" i="7"/>
  <c r="M547" i="7"/>
  <c r="M548" i="7"/>
  <c r="M549" i="7"/>
  <c r="M550" i="7"/>
  <c r="M551" i="7"/>
  <c r="M552" i="7"/>
  <c r="M553" i="7"/>
  <c r="M554" i="7"/>
  <c r="M555" i="7"/>
  <c r="M556" i="7"/>
  <c r="M557" i="7"/>
  <c r="M558" i="7"/>
  <c r="M559" i="7"/>
  <c r="M560" i="7"/>
  <c r="M561" i="7"/>
  <c r="M562" i="7"/>
  <c r="M563" i="7"/>
  <c r="M564" i="7"/>
  <c r="M565" i="7"/>
  <c r="M566" i="7"/>
  <c r="M567" i="7"/>
  <c r="M568" i="7"/>
  <c r="M569" i="7"/>
  <c r="M570" i="7"/>
  <c r="M571" i="7"/>
  <c r="M572" i="7"/>
  <c r="M573" i="7"/>
  <c r="M574" i="7"/>
  <c r="M575" i="7"/>
  <c r="M576" i="7"/>
  <c r="M577" i="7"/>
  <c r="M578" i="7"/>
  <c r="M579" i="7"/>
  <c r="M580" i="7"/>
  <c r="M581" i="7"/>
  <c r="M582" i="7"/>
  <c r="M583" i="7"/>
  <c r="M584" i="7"/>
  <c r="M585" i="7"/>
  <c r="M586" i="7"/>
  <c r="M587" i="7"/>
  <c r="M588" i="7"/>
  <c r="M589" i="7"/>
  <c r="M590" i="7"/>
  <c r="M591" i="7"/>
  <c r="M592" i="7"/>
  <c r="M593" i="7"/>
  <c r="M594" i="7"/>
  <c r="M595" i="7"/>
  <c r="M596" i="7"/>
  <c r="M597" i="7"/>
  <c r="M598" i="7"/>
  <c r="M599" i="7"/>
  <c r="M600" i="7"/>
  <c r="M601" i="7"/>
  <c r="M602" i="7"/>
  <c r="M603" i="7"/>
  <c r="M604" i="7"/>
  <c r="M605" i="7"/>
  <c r="M606" i="7"/>
  <c r="M607" i="7"/>
  <c r="M608" i="7"/>
  <c r="M609" i="7"/>
  <c r="M610" i="7"/>
  <c r="M611" i="7"/>
  <c r="M612" i="7"/>
  <c r="M613" i="7"/>
  <c r="M614" i="7"/>
  <c r="M615" i="7"/>
  <c r="M616" i="7"/>
  <c r="M617" i="7"/>
  <c r="M618" i="7"/>
  <c r="M619" i="7"/>
  <c r="M620" i="7"/>
  <c r="M621" i="7"/>
  <c r="M622" i="7"/>
  <c r="M623" i="7"/>
  <c r="M624" i="7"/>
  <c r="M625" i="7"/>
  <c r="M626" i="7"/>
  <c r="M627" i="7"/>
  <c r="M628" i="7"/>
  <c r="M629" i="7"/>
  <c r="M630" i="7"/>
  <c r="M631" i="7"/>
  <c r="M632" i="7"/>
  <c r="M633" i="7"/>
  <c r="M634" i="7"/>
  <c r="M635" i="7"/>
  <c r="M636" i="7"/>
  <c r="M637" i="7"/>
  <c r="M638" i="7"/>
  <c r="M639" i="7"/>
  <c r="M640" i="7"/>
  <c r="M641" i="7"/>
  <c r="M642" i="7"/>
  <c r="M643" i="7"/>
  <c r="M644" i="7"/>
  <c r="M645" i="7"/>
  <c r="M646" i="7"/>
  <c r="M647" i="7"/>
  <c r="M648" i="7"/>
  <c r="M649" i="7"/>
  <c r="M650" i="7"/>
  <c r="M651" i="7"/>
  <c r="M652" i="7"/>
  <c r="M653" i="7"/>
  <c r="M654" i="7"/>
  <c r="M655" i="7"/>
  <c r="M656" i="7"/>
  <c r="M657" i="7"/>
  <c r="M658" i="7"/>
  <c r="M659" i="7"/>
  <c r="M660" i="7"/>
  <c r="M661" i="7"/>
  <c r="M662" i="7"/>
  <c r="M663" i="7"/>
  <c r="M664" i="7"/>
  <c r="M665" i="7"/>
  <c r="M666" i="7"/>
  <c r="M667" i="7"/>
  <c r="M668" i="7"/>
  <c r="M669" i="7"/>
  <c r="M670" i="7"/>
  <c r="M671" i="7"/>
  <c r="M672" i="7"/>
  <c r="M673" i="7"/>
  <c r="M674" i="7"/>
  <c r="M675" i="7"/>
  <c r="M676" i="7"/>
  <c r="M677" i="7"/>
  <c r="M678" i="7"/>
  <c r="M679" i="7"/>
  <c r="M680" i="7"/>
  <c r="M681" i="7"/>
  <c r="M682" i="7"/>
  <c r="M683" i="7"/>
  <c r="M684" i="7"/>
  <c r="M685" i="7"/>
  <c r="M686" i="7"/>
  <c r="M687" i="7"/>
  <c r="M688" i="7"/>
  <c r="M689" i="7"/>
  <c r="M690" i="7"/>
  <c r="M691" i="7"/>
  <c r="M692" i="7"/>
  <c r="M693" i="7"/>
  <c r="M694" i="7"/>
  <c r="M695" i="7"/>
  <c r="M696" i="7"/>
  <c r="M697" i="7"/>
  <c r="M698" i="7"/>
  <c r="M699" i="7"/>
  <c r="M700" i="7"/>
  <c r="M701" i="7"/>
  <c r="M702" i="7"/>
  <c r="M703" i="7"/>
  <c r="M704" i="7"/>
  <c r="M705" i="7"/>
  <c r="M706" i="7"/>
  <c r="M707" i="7"/>
  <c r="M708" i="7"/>
  <c r="M709" i="7"/>
  <c r="M710" i="7"/>
  <c r="M711" i="7"/>
  <c r="M712" i="7"/>
  <c r="M713" i="7"/>
  <c r="M714" i="7"/>
  <c r="M715" i="7"/>
  <c r="M716" i="7"/>
  <c r="M717" i="7"/>
  <c r="M718" i="7"/>
  <c r="M719" i="7"/>
  <c r="M720" i="7"/>
  <c r="M721" i="7"/>
  <c r="M722" i="7"/>
  <c r="M723" i="7"/>
  <c r="M724" i="7"/>
  <c r="M725" i="7"/>
  <c r="M726" i="7"/>
  <c r="M727" i="7"/>
  <c r="M728" i="7"/>
  <c r="M729" i="7"/>
  <c r="M730" i="7"/>
  <c r="M731" i="7"/>
  <c r="M732" i="7"/>
  <c r="M733" i="7"/>
  <c r="M734" i="7"/>
  <c r="M735" i="7"/>
  <c r="M736" i="7"/>
  <c r="M737" i="7"/>
  <c r="M738" i="7"/>
  <c r="M739" i="7"/>
  <c r="M740" i="7"/>
  <c r="M741" i="7"/>
  <c r="M742" i="7"/>
  <c r="M743" i="7"/>
  <c r="M744" i="7"/>
  <c r="M745" i="7"/>
  <c r="M746" i="7"/>
  <c r="M747" i="7"/>
  <c r="M748" i="7"/>
  <c r="M749" i="7"/>
  <c r="M750" i="7"/>
  <c r="M751" i="7"/>
  <c r="M752" i="7"/>
  <c r="M753" i="7"/>
  <c r="M754" i="7"/>
  <c r="M755" i="7"/>
  <c r="M756" i="7"/>
  <c r="M757" i="7"/>
  <c r="M758" i="7"/>
  <c r="M759" i="7"/>
  <c r="M760" i="7"/>
  <c r="M761" i="7"/>
  <c r="M762" i="7"/>
  <c r="M763" i="7"/>
  <c r="M764" i="7"/>
  <c r="M765" i="7"/>
  <c r="M766" i="7"/>
  <c r="M767" i="7"/>
  <c r="M768" i="7"/>
  <c r="M769" i="7"/>
  <c r="M770" i="7"/>
  <c r="M771" i="7"/>
  <c r="M772" i="7"/>
  <c r="M773" i="7"/>
  <c r="M774" i="7"/>
  <c r="M775" i="7"/>
  <c r="M776" i="7"/>
  <c r="M777" i="7"/>
  <c r="M778" i="7"/>
  <c r="M779" i="7"/>
  <c r="M780" i="7"/>
  <c r="M781" i="7"/>
  <c r="M782" i="7"/>
  <c r="M783" i="7"/>
  <c r="M784" i="7"/>
  <c r="M785" i="7"/>
  <c r="M786" i="7"/>
  <c r="M787" i="7"/>
  <c r="M788" i="7"/>
  <c r="M789" i="7"/>
  <c r="M790" i="7"/>
  <c r="M791" i="7"/>
  <c r="M792" i="7"/>
  <c r="M793" i="7"/>
  <c r="M794" i="7"/>
  <c r="M795" i="7"/>
  <c r="M796" i="7"/>
  <c r="M797" i="7"/>
  <c r="M798" i="7"/>
  <c r="M799" i="7"/>
  <c r="M800" i="7"/>
  <c r="M801" i="7"/>
  <c r="M802" i="7"/>
  <c r="M803" i="7"/>
  <c r="M804" i="7"/>
  <c r="M805" i="7"/>
  <c r="M806" i="7"/>
  <c r="M807" i="7"/>
  <c r="M808" i="7"/>
  <c r="M809" i="7"/>
  <c r="M810" i="7"/>
  <c r="M811" i="7"/>
  <c r="M812" i="7"/>
  <c r="M813" i="7"/>
  <c r="M814" i="7"/>
  <c r="M815" i="7"/>
  <c r="M816" i="7"/>
  <c r="M817" i="7"/>
  <c r="M818" i="7"/>
  <c r="M819" i="7"/>
  <c r="M820" i="7"/>
  <c r="M821" i="7"/>
  <c r="M822" i="7"/>
  <c r="M823" i="7"/>
  <c r="M824" i="7"/>
  <c r="M825" i="7"/>
  <c r="M826" i="7"/>
  <c r="M827" i="7"/>
  <c r="M828" i="7"/>
  <c r="M829" i="7"/>
  <c r="M830" i="7"/>
  <c r="M831" i="7"/>
  <c r="M832" i="7"/>
  <c r="M833" i="7"/>
  <c r="M834" i="7"/>
  <c r="M835" i="7"/>
  <c r="M836" i="7"/>
  <c r="M837" i="7"/>
  <c r="M838" i="7"/>
  <c r="M839" i="7"/>
  <c r="M840" i="7"/>
  <c r="M841" i="7"/>
  <c r="M842" i="7"/>
  <c r="M843" i="7"/>
  <c r="M844" i="7"/>
  <c r="M845" i="7"/>
  <c r="M846" i="7"/>
  <c r="M847" i="7"/>
  <c r="M848" i="7"/>
  <c r="M849" i="7"/>
  <c r="M850" i="7"/>
  <c r="M851" i="7"/>
  <c r="M852" i="7"/>
  <c r="M853" i="7"/>
  <c r="M854" i="7"/>
  <c r="M855" i="7"/>
  <c r="M856" i="7"/>
  <c r="M857" i="7"/>
  <c r="M858" i="7"/>
  <c r="M859" i="7"/>
  <c r="M860" i="7"/>
  <c r="M861" i="7"/>
  <c r="M862" i="7"/>
  <c r="M863" i="7"/>
  <c r="M864" i="7"/>
  <c r="M865" i="7"/>
  <c r="M866" i="7"/>
  <c r="M867" i="7"/>
  <c r="M868" i="7"/>
  <c r="M869" i="7"/>
  <c r="M870" i="7"/>
  <c r="M871" i="7"/>
  <c r="M872" i="7"/>
  <c r="M873" i="7"/>
  <c r="M874" i="7"/>
  <c r="M875" i="7"/>
  <c r="M876" i="7"/>
  <c r="M877" i="7"/>
  <c r="M878" i="7"/>
  <c r="M879" i="7"/>
  <c r="M880" i="7"/>
  <c r="M881" i="7"/>
  <c r="M882" i="7"/>
  <c r="M883" i="7"/>
  <c r="M884" i="7"/>
  <c r="M885" i="7"/>
  <c r="M886" i="7"/>
  <c r="M887" i="7"/>
  <c r="M888" i="7"/>
  <c r="M889" i="7"/>
  <c r="M890" i="7"/>
  <c r="M891" i="7"/>
  <c r="M892" i="7"/>
  <c r="M893" i="7"/>
  <c r="M894" i="7"/>
  <c r="M895" i="7"/>
  <c r="M896" i="7"/>
  <c r="M897" i="7"/>
  <c r="M898" i="7"/>
  <c r="M899" i="7"/>
  <c r="M900" i="7"/>
  <c r="M901" i="7"/>
  <c r="M902" i="7"/>
  <c r="M903" i="7"/>
  <c r="M904" i="7"/>
  <c r="M905" i="7"/>
  <c r="M906" i="7"/>
  <c r="M907" i="7"/>
  <c r="M908" i="7"/>
  <c r="M909" i="7"/>
  <c r="M910" i="7"/>
  <c r="M911" i="7"/>
  <c r="M912" i="7"/>
  <c r="M913" i="7"/>
  <c r="M914" i="7"/>
  <c r="M915" i="7"/>
  <c r="M916" i="7"/>
  <c r="M917" i="7"/>
  <c r="M918" i="7"/>
  <c r="M919" i="7"/>
  <c r="M920" i="7"/>
  <c r="M921" i="7"/>
  <c r="M922" i="7"/>
  <c r="M923" i="7"/>
  <c r="M924" i="7"/>
  <c r="M925" i="7"/>
  <c r="M926" i="7"/>
  <c r="M927" i="7"/>
  <c r="M928" i="7"/>
  <c r="M929" i="7"/>
  <c r="M930" i="7"/>
  <c r="M931" i="7"/>
  <c r="M932" i="7"/>
  <c r="M933" i="7"/>
  <c r="M934" i="7"/>
  <c r="M935" i="7"/>
  <c r="M936" i="7"/>
  <c r="M937" i="7"/>
  <c r="M938" i="7"/>
  <c r="M939" i="7"/>
  <c r="M940" i="7"/>
  <c r="M941" i="7"/>
  <c r="M942" i="7"/>
  <c r="M943" i="7"/>
  <c r="M944" i="7"/>
  <c r="M945" i="7"/>
  <c r="M946" i="7"/>
  <c r="M947" i="7"/>
  <c r="M948" i="7"/>
  <c r="M949" i="7"/>
  <c r="M950" i="7"/>
  <c r="M951" i="7"/>
  <c r="M952" i="7"/>
  <c r="M953" i="7"/>
  <c r="M954" i="7"/>
  <c r="M955" i="7"/>
  <c r="M956" i="7"/>
  <c r="M957" i="7"/>
  <c r="M958" i="7"/>
  <c r="M959" i="7"/>
  <c r="M960" i="7"/>
  <c r="M961" i="7"/>
  <c r="M962" i="7"/>
  <c r="M963" i="7"/>
  <c r="M964" i="7"/>
  <c r="M965" i="7"/>
  <c r="M966" i="7"/>
  <c r="M967" i="7"/>
  <c r="M968" i="7"/>
  <c r="M969" i="7"/>
  <c r="M970" i="7"/>
  <c r="M971" i="7"/>
  <c r="M972" i="7"/>
  <c r="M973" i="7"/>
  <c r="M974" i="7"/>
  <c r="M975" i="7"/>
  <c r="M976" i="7"/>
  <c r="M977" i="7"/>
  <c r="M978" i="7"/>
  <c r="M979" i="7"/>
  <c r="M980" i="7"/>
  <c r="M981" i="7"/>
  <c r="M982" i="7"/>
  <c r="M983" i="7"/>
  <c r="M984" i="7"/>
  <c r="M985" i="7"/>
  <c r="M986" i="7"/>
  <c r="M987" i="7"/>
  <c r="M988" i="7"/>
  <c r="M989" i="7"/>
  <c r="M990" i="7"/>
  <c r="M991" i="7"/>
  <c r="M992" i="7"/>
  <c r="M993" i="7"/>
  <c r="M994" i="7"/>
  <c r="M995" i="7"/>
  <c r="M996" i="7"/>
  <c r="M997" i="7"/>
  <c r="M998" i="7"/>
  <c r="M999" i="7"/>
  <c r="M1000" i="7"/>
  <c r="M1001" i="7"/>
  <c r="M1002" i="7"/>
  <c r="M1003" i="7"/>
  <c r="M1004" i="7"/>
  <c r="M1005" i="7"/>
  <c r="M1006" i="7"/>
  <c r="M1007" i="7"/>
  <c r="M1008" i="7"/>
  <c r="M1009" i="7"/>
  <c r="M1010" i="7"/>
  <c r="M1011" i="7"/>
  <c r="M1012" i="7"/>
  <c r="M1013" i="7"/>
  <c r="M1014" i="7"/>
  <c r="M1015" i="7"/>
  <c r="M1016" i="7"/>
  <c r="M1017" i="7"/>
  <c r="M1018" i="7"/>
  <c r="M1019" i="7"/>
  <c r="M1020" i="7"/>
  <c r="M1021" i="7"/>
  <c r="M1022" i="7"/>
  <c r="M1023" i="7"/>
  <c r="M1024" i="7"/>
  <c r="M1025" i="7"/>
  <c r="M1026" i="7"/>
  <c r="M1027" i="7"/>
  <c r="M1028" i="7"/>
  <c r="M1029" i="7"/>
  <c r="M1030" i="7"/>
  <c r="M1031" i="7"/>
  <c r="M1032" i="7"/>
  <c r="M1033" i="7"/>
  <c r="M1034" i="7"/>
  <c r="M1035" i="7"/>
  <c r="M1036" i="7"/>
  <c r="M1037" i="7"/>
  <c r="M1038" i="7"/>
  <c r="M1039" i="7"/>
  <c r="M1040" i="7"/>
  <c r="M1041" i="7"/>
  <c r="M1042" i="7"/>
  <c r="M1043" i="7"/>
  <c r="M1044" i="7"/>
  <c r="M1045" i="7"/>
  <c r="M1046" i="7"/>
  <c r="M1047" i="7"/>
  <c r="M1048" i="7"/>
  <c r="M1049" i="7"/>
  <c r="M1050" i="7"/>
  <c r="M1051" i="7"/>
  <c r="M1052" i="7"/>
  <c r="M1053" i="7"/>
  <c r="M1054" i="7"/>
  <c r="M1055" i="7"/>
  <c r="M1056" i="7"/>
  <c r="M1057" i="7"/>
  <c r="M1058" i="7"/>
  <c r="M1059" i="7"/>
  <c r="M1060" i="7"/>
  <c r="M1061" i="7"/>
  <c r="M1062" i="7"/>
  <c r="M1063" i="7"/>
  <c r="M1064" i="7"/>
  <c r="M1065" i="7"/>
  <c r="M1066" i="7"/>
  <c r="L99" i="7"/>
  <c r="L100" i="7"/>
  <c r="L101" i="7"/>
  <c r="L102" i="7"/>
  <c r="L103" i="7"/>
  <c r="L104" i="7"/>
  <c r="L105" i="7"/>
  <c r="L106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20" i="7"/>
  <c r="L121" i="7"/>
  <c r="L122" i="7"/>
  <c r="L123" i="7"/>
  <c r="L124" i="7"/>
  <c r="L125" i="7"/>
  <c r="L126" i="7"/>
  <c r="L127" i="7"/>
  <c r="L128" i="7"/>
  <c r="L129" i="7"/>
  <c r="L130" i="7"/>
  <c r="L131" i="7"/>
  <c r="L132" i="7"/>
  <c r="L133" i="7"/>
  <c r="L134" i="7"/>
  <c r="L135" i="7"/>
  <c r="L136" i="7"/>
  <c r="L137" i="7"/>
  <c r="L138" i="7"/>
  <c r="L139" i="7"/>
  <c r="L140" i="7"/>
  <c r="L141" i="7"/>
  <c r="L142" i="7"/>
  <c r="L143" i="7"/>
  <c r="L144" i="7"/>
  <c r="L145" i="7"/>
  <c r="L146" i="7"/>
  <c r="L147" i="7"/>
  <c r="L148" i="7"/>
  <c r="L149" i="7"/>
  <c r="L150" i="7"/>
  <c r="L151" i="7"/>
  <c r="L152" i="7"/>
  <c r="L153" i="7"/>
  <c r="L154" i="7"/>
  <c r="L155" i="7"/>
  <c r="L156" i="7"/>
  <c r="L157" i="7"/>
  <c r="L158" i="7"/>
  <c r="L159" i="7"/>
  <c r="L160" i="7"/>
  <c r="L161" i="7"/>
  <c r="L162" i="7"/>
  <c r="L163" i="7"/>
  <c r="L164" i="7"/>
  <c r="L165" i="7"/>
  <c r="L166" i="7"/>
  <c r="L167" i="7"/>
  <c r="L168" i="7"/>
  <c r="L169" i="7"/>
  <c r="L170" i="7"/>
  <c r="L171" i="7"/>
  <c r="L172" i="7"/>
  <c r="L173" i="7"/>
  <c r="L174" i="7"/>
  <c r="L175" i="7"/>
  <c r="L176" i="7"/>
  <c r="L177" i="7"/>
  <c r="L178" i="7"/>
  <c r="L179" i="7"/>
  <c r="L180" i="7"/>
  <c r="L181" i="7"/>
  <c r="L182" i="7"/>
  <c r="L183" i="7"/>
  <c r="L184" i="7"/>
  <c r="L185" i="7"/>
  <c r="L186" i="7"/>
  <c r="L187" i="7"/>
  <c r="L188" i="7"/>
  <c r="L189" i="7"/>
  <c r="L190" i="7"/>
  <c r="L191" i="7"/>
  <c r="L192" i="7"/>
  <c r="L193" i="7"/>
  <c r="L194" i="7"/>
  <c r="L195" i="7"/>
  <c r="L196" i="7"/>
  <c r="L197" i="7"/>
  <c r="L198" i="7"/>
  <c r="L199" i="7"/>
  <c r="L200" i="7"/>
  <c r="L201" i="7"/>
  <c r="L202" i="7"/>
  <c r="L203" i="7"/>
  <c r="L204" i="7"/>
  <c r="L205" i="7"/>
  <c r="L206" i="7"/>
  <c r="L207" i="7"/>
  <c r="L208" i="7"/>
  <c r="L209" i="7"/>
  <c r="L210" i="7"/>
  <c r="L211" i="7"/>
  <c r="L212" i="7"/>
  <c r="L213" i="7"/>
  <c r="L214" i="7"/>
  <c r="L215" i="7"/>
  <c r="L216" i="7"/>
  <c r="L217" i="7"/>
  <c r="L218" i="7"/>
  <c r="L219" i="7"/>
  <c r="L220" i="7"/>
  <c r="L221" i="7"/>
  <c r="L222" i="7"/>
  <c r="L223" i="7"/>
  <c r="L224" i="7"/>
  <c r="L225" i="7"/>
  <c r="L226" i="7"/>
  <c r="L227" i="7"/>
  <c r="L228" i="7"/>
  <c r="L229" i="7"/>
  <c r="L230" i="7"/>
  <c r="L231" i="7"/>
  <c r="L232" i="7"/>
  <c r="L233" i="7"/>
  <c r="L234" i="7"/>
  <c r="L235" i="7"/>
  <c r="L236" i="7"/>
  <c r="L237" i="7"/>
  <c r="L238" i="7"/>
  <c r="L239" i="7"/>
  <c r="L240" i="7"/>
  <c r="L241" i="7"/>
  <c r="L242" i="7"/>
  <c r="L243" i="7"/>
  <c r="L244" i="7"/>
  <c r="L245" i="7"/>
  <c r="L246" i="7"/>
  <c r="L247" i="7"/>
  <c r="L248" i="7"/>
  <c r="L249" i="7"/>
  <c r="L250" i="7"/>
  <c r="L251" i="7"/>
  <c r="L252" i="7"/>
  <c r="L253" i="7"/>
  <c r="L254" i="7"/>
  <c r="L255" i="7"/>
  <c r="L256" i="7"/>
  <c r="L257" i="7"/>
  <c r="L258" i="7"/>
  <c r="L259" i="7"/>
  <c r="L260" i="7"/>
  <c r="L261" i="7"/>
  <c r="L262" i="7"/>
  <c r="L263" i="7"/>
  <c r="L264" i="7"/>
  <c r="L265" i="7"/>
  <c r="L266" i="7"/>
  <c r="L267" i="7"/>
  <c r="L268" i="7"/>
  <c r="L269" i="7"/>
  <c r="L270" i="7"/>
  <c r="L271" i="7"/>
  <c r="L272" i="7"/>
  <c r="L273" i="7"/>
  <c r="L274" i="7"/>
  <c r="L275" i="7"/>
  <c r="L276" i="7"/>
  <c r="L277" i="7"/>
  <c r="L278" i="7"/>
  <c r="L279" i="7"/>
  <c r="L280" i="7"/>
  <c r="L281" i="7"/>
  <c r="L282" i="7"/>
  <c r="L283" i="7"/>
  <c r="L284" i="7"/>
  <c r="L285" i="7"/>
  <c r="L286" i="7"/>
  <c r="L287" i="7"/>
  <c r="L288" i="7"/>
  <c r="L289" i="7"/>
  <c r="L290" i="7"/>
  <c r="L291" i="7"/>
  <c r="L292" i="7"/>
  <c r="L293" i="7"/>
  <c r="L294" i="7"/>
  <c r="L295" i="7"/>
  <c r="L296" i="7"/>
  <c r="L297" i="7"/>
  <c r="L298" i="7"/>
  <c r="L299" i="7"/>
  <c r="L300" i="7"/>
  <c r="L301" i="7"/>
  <c r="L302" i="7"/>
  <c r="L303" i="7"/>
  <c r="L304" i="7"/>
  <c r="L305" i="7"/>
  <c r="L306" i="7"/>
  <c r="L307" i="7"/>
  <c r="L308" i="7"/>
  <c r="L309" i="7"/>
  <c r="L310" i="7"/>
  <c r="L311" i="7"/>
  <c r="L312" i="7"/>
  <c r="L313" i="7"/>
  <c r="L314" i="7"/>
  <c r="L315" i="7"/>
  <c r="L316" i="7"/>
  <c r="L317" i="7"/>
  <c r="L318" i="7"/>
  <c r="L319" i="7"/>
  <c r="L320" i="7"/>
  <c r="L321" i="7"/>
  <c r="L322" i="7"/>
  <c r="L323" i="7"/>
  <c r="L324" i="7"/>
  <c r="L325" i="7"/>
  <c r="L326" i="7"/>
  <c r="L327" i="7"/>
  <c r="L328" i="7"/>
  <c r="L329" i="7"/>
  <c r="L330" i="7"/>
  <c r="L331" i="7"/>
  <c r="L332" i="7"/>
  <c r="L333" i="7"/>
  <c r="L334" i="7"/>
  <c r="L335" i="7"/>
  <c r="L336" i="7"/>
  <c r="L337" i="7"/>
  <c r="L338" i="7"/>
  <c r="L339" i="7"/>
  <c r="L340" i="7"/>
  <c r="L341" i="7"/>
  <c r="L342" i="7"/>
  <c r="L343" i="7"/>
  <c r="L344" i="7"/>
  <c r="L345" i="7"/>
  <c r="L346" i="7"/>
  <c r="L347" i="7"/>
  <c r="L348" i="7"/>
  <c r="L349" i="7"/>
  <c r="L350" i="7"/>
  <c r="L351" i="7"/>
  <c r="L352" i="7"/>
  <c r="L353" i="7"/>
  <c r="L354" i="7"/>
  <c r="L355" i="7"/>
  <c r="L356" i="7"/>
  <c r="L357" i="7"/>
  <c r="L358" i="7"/>
  <c r="L359" i="7"/>
  <c r="L360" i="7"/>
  <c r="L361" i="7"/>
  <c r="L362" i="7"/>
  <c r="L363" i="7"/>
  <c r="L364" i="7"/>
  <c r="L365" i="7"/>
  <c r="L366" i="7"/>
  <c r="L367" i="7"/>
  <c r="L368" i="7"/>
  <c r="L369" i="7"/>
  <c r="L370" i="7"/>
  <c r="L371" i="7"/>
  <c r="L372" i="7"/>
  <c r="L373" i="7"/>
  <c r="L374" i="7"/>
  <c r="L375" i="7"/>
  <c r="L376" i="7"/>
  <c r="L377" i="7"/>
  <c r="L378" i="7"/>
  <c r="L379" i="7"/>
  <c r="L380" i="7"/>
  <c r="L381" i="7"/>
  <c r="L382" i="7"/>
  <c r="L383" i="7"/>
  <c r="L384" i="7"/>
  <c r="L385" i="7"/>
  <c r="L386" i="7"/>
  <c r="L387" i="7"/>
  <c r="L388" i="7"/>
  <c r="L389" i="7"/>
  <c r="L390" i="7"/>
  <c r="L391" i="7"/>
  <c r="L392" i="7"/>
  <c r="L393" i="7"/>
  <c r="L394" i="7"/>
  <c r="L395" i="7"/>
  <c r="L396" i="7"/>
  <c r="L397" i="7"/>
  <c r="L398" i="7"/>
  <c r="L399" i="7"/>
  <c r="L400" i="7"/>
  <c r="L401" i="7"/>
  <c r="L402" i="7"/>
  <c r="L403" i="7"/>
  <c r="L404" i="7"/>
  <c r="L405" i="7"/>
  <c r="L406" i="7"/>
  <c r="L407" i="7"/>
  <c r="L408" i="7"/>
  <c r="L409" i="7"/>
  <c r="L410" i="7"/>
  <c r="L411" i="7"/>
  <c r="L412" i="7"/>
  <c r="L413" i="7"/>
  <c r="L414" i="7"/>
  <c r="L415" i="7"/>
  <c r="L416" i="7"/>
  <c r="L417" i="7"/>
  <c r="L418" i="7"/>
  <c r="L419" i="7"/>
  <c r="L420" i="7"/>
  <c r="L421" i="7"/>
  <c r="L422" i="7"/>
  <c r="L423" i="7"/>
  <c r="L424" i="7"/>
  <c r="L425" i="7"/>
  <c r="L426" i="7"/>
  <c r="L427" i="7"/>
  <c r="L428" i="7"/>
  <c r="L429" i="7"/>
  <c r="L430" i="7"/>
  <c r="L431" i="7"/>
  <c r="L432" i="7"/>
  <c r="L433" i="7"/>
  <c r="L434" i="7"/>
  <c r="L435" i="7"/>
  <c r="L436" i="7"/>
  <c r="L437" i="7"/>
  <c r="L438" i="7"/>
  <c r="L439" i="7"/>
  <c r="L440" i="7"/>
  <c r="L441" i="7"/>
  <c r="L442" i="7"/>
  <c r="L443" i="7"/>
  <c r="L444" i="7"/>
  <c r="L445" i="7"/>
  <c r="L446" i="7"/>
  <c r="L447" i="7"/>
  <c r="L448" i="7"/>
  <c r="L449" i="7"/>
  <c r="L450" i="7"/>
  <c r="L451" i="7"/>
  <c r="L452" i="7"/>
  <c r="L453" i="7"/>
  <c r="L454" i="7"/>
  <c r="L455" i="7"/>
  <c r="L456" i="7"/>
  <c r="L457" i="7"/>
  <c r="L458" i="7"/>
  <c r="L459" i="7"/>
  <c r="L460" i="7"/>
  <c r="L461" i="7"/>
  <c r="L462" i="7"/>
  <c r="L463" i="7"/>
  <c r="L464" i="7"/>
  <c r="L465" i="7"/>
  <c r="L466" i="7"/>
  <c r="L467" i="7"/>
  <c r="L468" i="7"/>
  <c r="L469" i="7"/>
  <c r="L470" i="7"/>
  <c r="L471" i="7"/>
  <c r="L472" i="7"/>
  <c r="L473" i="7"/>
  <c r="L474" i="7"/>
  <c r="L475" i="7"/>
  <c r="L476" i="7"/>
  <c r="L477" i="7"/>
  <c r="L478" i="7"/>
  <c r="L479" i="7"/>
  <c r="L480" i="7"/>
  <c r="L481" i="7"/>
  <c r="L482" i="7"/>
  <c r="L483" i="7"/>
  <c r="L484" i="7"/>
  <c r="L485" i="7"/>
  <c r="L486" i="7"/>
  <c r="L487" i="7"/>
  <c r="L488" i="7"/>
  <c r="L489" i="7"/>
  <c r="L490" i="7"/>
  <c r="L491" i="7"/>
  <c r="L492" i="7"/>
  <c r="L493" i="7"/>
  <c r="L494" i="7"/>
  <c r="L495" i="7"/>
  <c r="L496" i="7"/>
  <c r="L497" i="7"/>
  <c r="L498" i="7"/>
  <c r="L499" i="7"/>
  <c r="L500" i="7"/>
  <c r="L501" i="7"/>
  <c r="L502" i="7"/>
  <c r="L503" i="7"/>
  <c r="L504" i="7"/>
  <c r="L505" i="7"/>
  <c r="L506" i="7"/>
  <c r="L507" i="7"/>
  <c r="L508" i="7"/>
  <c r="L509" i="7"/>
  <c r="L510" i="7"/>
  <c r="L511" i="7"/>
  <c r="L512" i="7"/>
  <c r="L513" i="7"/>
  <c r="L514" i="7"/>
  <c r="L515" i="7"/>
  <c r="L516" i="7"/>
  <c r="L517" i="7"/>
  <c r="L518" i="7"/>
  <c r="L519" i="7"/>
  <c r="L520" i="7"/>
  <c r="L521" i="7"/>
  <c r="L522" i="7"/>
  <c r="L523" i="7"/>
  <c r="L524" i="7"/>
  <c r="L525" i="7"/>
  <c r="L526" i="7"/>
  <c r="L527" i="7"/>
  <c r="L528" i="7"/>
  <c r="L529" i="7"/>
  <c r="L530" i="7"/>
  <c r="L531" i="7"/>
  <c r="L532" i="7"/>
  <c r="L533" i="7"/>
  <c r="L534" i="7"/>
  <c r="L535" i="7"/>
  <c r="L536" i="7"/>
  <c r="L537" i="7"/>
  <c r="L538" i="7"/>
  <c r="L539" i="7"/>
  <c r="L540" i="7"/>
  <c r="L541" i="7"/>
  <c r="L542" i="7"/>
  <c r="L543" i="7"/>
  <c r="L544" i="7"/>
  <c r="L545" i="7"/>
  <c r="L546" i="7"/>
  <c r="L547" i="7"/>
  <c r="L548" i="7"/>
  <c r="L549" i="7"/>
  <c r="L550" i="7"/>
  <c r="L551" i="7"/>
  <c r="L552" i="7"/>
  <c r="L553" i="7"/>
  <c r="L554" i="7"/>
  <c r="L555" i="7"/>
  <c r="L556" i="7"/>
  <c r="L557" i="7"/>
  <c r="L558" i="7"/>
  <c r="L559" i="7"/>
  <c r="L560" i="7"/>
  <c r="L561" i="7"/>
  <c r="L562" i="7"/>
  <c r="L563" i="7"/>
  <c r="L564" i="7"/>
  <c r="L565" i="7"/>
  <c r="L566" i="7"/>
  <c r="L567" i="7"/>
  <c r="L568" i="7"/>
  <c r="L569" i="7"/>
  <c r="L570" i="7"/>
  <c r="L571" i="7"/>
  <c r="L572" i="7"/>
  <c r="L573" i="7"/>
  <c r="L574" i="7"/>
  <c r="L575" i="7"/>
  <c r="L576" i="7"/>
  <c r="L577" i="7"/>
  <c r="L578" i="7"/>
  <c r="L579" i="7"/>
  <c r="L580" i="7"/>
  <c r="L581" i="7"/>
  <c r="L582" i="7"/>
  <c r="L583" i="7"/>
  <c r="L584" i="7"/>
  <c r="L585" i="7"/>
  <c r="L586" i="7"/>
  <c r="L587" i="7"/>
  <c r="L588" i="7"/>
  <c r="L589" i="7"/>
  <c r="L590" i="7"/>
  <c r="L591" i="7"/>
  <c r="L592" i="7"/>
  <c r="L593" i="7"/>
  <c r="L594" i="7"/>
  <c r="L595" i="7"/>
  <c r="L596" i="7"/>
  <c r="L597" i="7"/>
  <c r="L598" i="7"/>
  <c r="L599" i="7"/>
  <c r="L600" i="7"/>
  <c r="L601" i="7"/>
  <c r="L602" i="7"/>
  <c r="L603" i="7"/>
  <c r="L604" i="7"/>
  <c r="L605" i="7"/>
  <c r="L606" i="7"/>
  <c r="L607" i="7"/>
  <c r="L608" i="7"/>
  <c r="L609" i="7"/>
  <c r="L610" i="7"/>
  <c r="L611" i="7"/>
  <c r="L612" i="7"/>
  <c r="L613" i="7"/>
  <c r="L614" i="7"/>
  <c r="L615" i="7"/>
  <c r="L616" i="7"/>
  <c r="L617" i="7"/>
  <c r="L618" i="7"/>
  <c r="L619" i="7"/>
  <c r="L620" i="7"/>
  <c r="L621" i="7"/>
  <c r="L622" i="7"/>
  <c r="L623" i="7"/>
  <c r="L624" i="7"/>
  <c r="L625" i="7"/>
  <c r="L626" i="7"/>
  <c r="L627" i="7"/>
  <c r="L628" i="7"/>
  <c r="L629" i="7"/>
  <c r="L630" i="7"/>
  <c r="L631" i="7"/>
  <c r="L632" i="7"/>
  <c r="L633" i="7"/>
  <c r="L634" i="7"/>
  <c r="L635" i="7"/>
  <c r="L636" i="7"/>
  <c r="L637" i="7"/>
  <c r="L638" i="7"/>
  <c r="L639" i="7"/>
  <c r="L640" i="7"/>
  <c r="L641" i="7"/>
  <c r="L642" i="7"/>
  <c r="L643" i="7"/>
  <c r="L644" i="7"/>
  <c r="L645" i="7"/>
  <c r="L646" i="7"/>
  <c r="L647" i="7"/>
  <c r="L648" i="7"/>
  <c r="L649" i="7"/>
  <c r="L650" i="7"/>
  <c r="L651" i="7"/>
  <c r="L652" i="7"/>
  <c r="L653" i="7"/>
  <c r="L654" i="7"/>
  <c r="L655" i="7"/>
  <c r="L656" i="7"/>
  <c r="L657" i="7"/>
  <c r="L658" i="7"/>
  <c r="L659" i="7"/>
  <c r="L660" i="7"/>
  <c r="L661" i="7"/>
  <c r="L662" i="7"/>
  <c r="L663" i="7"/>
  <c r="L664" i="7"/>
  <c r="L665" i="7"/>
  <c r="L666" i="7"/>
  <c r="L667" i="7"/>
  <c r="L668" i="7"/>
  <c r="L669" i="7"/>
  <c r="L670" i="7"/>
  <c r="L671" i="7"/>
  <c r="L672" i="7"/>
  <c r="L673" i="7"/>
  <c r="L674" i="7"/>
  <c r="L675" i="7"/>
  <c r="L676" i="7"/>
  <c r="L677" i="7"/>
  <c r="L678" i="7"/>
  <c r="L679" i="7"/>
  <c r="L680" i="7"/>
  <c r="L681" i="7"/>
  <c r="L682" i="7"/>
  <c r="L683" i="7"/>
  <c r="L684" i="7"/>
  <c r="L685" i="7"/>
  <c r="L686" i="7"/>
  <c r="L687" i="7"/>
  <c r="L688" i="7"/>
  <c r="L689" i="7"/>
  <c r="L690" i="7"/>
  <c r="L691" i="7"/>
  <c r="L692" i="7"/>
  <c r="L693" i="7"/>
  <c r="L694" i="7"/>
  <c r="L695" i="7"/>
  <c r="L696" i="7"/>
  <c r="L697" i="7"/>
  <c r="L698" i="7"/>
  <c r="L699" i="7"/>
  <c r="L700" i="7"/>
  <c r="L701" i="7"/>
  <c r="L702" i="7"/>
  <c r="L703" i="7"/>
  <c r="L704" i="7"/>
  <c r="L705" i="7"/>
  <c r="L706" i="7"/>
  <c r="L707" i="7"/>
  <c r="L708" i="7"/>
  <c r="L709" i="7"/>
  <c r="L710" i="7"/>
  <c r="L711" i="7"/>
  <c r="L712" i="7"/>
  <c r="L713" i="7"/>
  <c r="L714" i="7"/>
  <c r="L715" i="7"/>
  <c r="L716" i="7"/>
  <c r="L717" i="7"/>
  <c r="L718" i="7"/>
  <c r="L719" i="7"/>
  <c r="L720" i="7"/>
  <c r="L721" i="7"/>
  <c r="L722" i="7"/>
  <c r="L723" i="7"/>
  <c r="L724" i="7"/>
  <c r="L725" i="7"/>
  <c r="L726" i="7"/>
  <c r="L727" i="7"/>
  <c r="L728" i="7"/>
  <c r="L729" i="7"/>
  <c r="L730" i="7"/>
  <c r="L731" i="7"/>
  <c r="L732" i="7"/>
  <c r="L733" i="7"/>
  <c r="L734" i="7"/>
  <c r="L735" i="7"/>
  <c r="L736" i="7"/>
  <c r="L737" i="7"/>
  <c r="L738" i="7"/>
  <c r="L739" i="7"/>
  <c r="L740" i="7"/>
  <c r="L741" i="7"/>
  <c r="L742" i="7"/>
  <c r="L743" i="7"/>
  <c r="L744" i="7"/>
  <c r="L745" i="7"/>
  <c r="L746" i="7"/>
  <c r="L747" i="7"/>
  <c r="L748" i="7"/>
  <c r="L749" i="7"/>
  <c r="L750" i="7"/>
  <c r="L751" i="7"/>
  <c r="L752" i="7"/>
  <c r="L753" i="7"/>
  <c r="L754" i="7"/>
  <c r="L755" i="7"/>
  <c r="L756" i="7"/>
  <c r="L757" i="7"/>
  <c r="L758" i="7"/>
  <c r="L759" i="7"/>
  <c r="L760" i="7"/>
  <c r="L761" i="7"/>
  <c r="L762" i="7"/>
  <c r="L763" i="7"/>
  <c r="L764" i="7"/>
  <c r="L765" i="7"/>
  <c r="L766" i="7"/>
  <c r="L767" i="7"/>
  <c r="L768" i="7"/>
  <c r="L769" i="7"/>
  <c r="L770" i="7"/>
  <c r="L771" i="7"/>
  <c r="L772" i="7"/>
  <c r="L773" i="7"/>
  <c r="L774" i="7"/>
  <c r="L775" i="7"/>
  <c r="L776" i="7"/>
  <c r="L777" i="7"/>
  <c r="L778" i="7"/>
  <c r="L779" i="7"/>
  <c r="L780" i="7"/>
  <c r="L781" i="7"/>
  <c r="L782" i="7"/>
  <c r="L783" i="7"/>
  <c r="L784" i="7"/>
  <c r="L785" i="7"/>
  <c r="L786" i="7"/>
  <c r="L787" i="7"/>
  <c r="L788" i="7"/>
  <c r="L789" i="7"/>
  <c r="L790" i="7"/>
  <c r="L791" i="7"/>
  <c r="L792" i="7"/>
  <c r="L793" i="7"/>
  <c r="L794" i="7"/>
  <c r="L795" i="7"/>
  <c r="L796" i="7"/>
  <c r="L797" i="7"/>
  <c r="L798" i="7"/>
  <c r="L799" i="7"/>
  <c r="L800" i="7"/>
  <c r="L801" i="7"/>
  <c r="L802" i="7"/>
  <c r="L803" i="7"/>
  <c r="L804" i="7"/>
  <c r="L805" i="7"/>
  <c r="L806" i="7"/>
  <c r="L807" i="7"/>
  <c r="L808" i="7"/>
  <c r="L809" i="7"/>
  <c r="L810" i="7"/>
  <c r="L811" i="7"/>
  <c r="L812" i="7"/>
  <c r="L813" i="7"/>
  <c r="L814" i="7"/>
  <c r="L815" i="7"/>
  <c r="L816" i="7"/>
  <c r="L817" i="7"/>
  <c r="L818" i="7"/>
  <c r="L819" i="7"/>
  <c r="L820" i="7"/>
  <c r="L821" i="7"/>
  <c r="L822" i="7"/>
  <c r="L823" i="7"/>
  <c r="L824" i="7"/>
  <c r="L825" i="7"/>
  <c r="L826" i="7"/>
  <c r="L827" i="7"/>
  <c r="L828" i="7"/>
  <c r="L829" i="7"/>
  <c r="L830" i="7"/>
  <c r="L831" i="7"/>
  <c r="L832" i="7"/>
  <c r="L833" i="7"/>
  <c r="L834" i="7"/>
  <c r="L835" i="7"/>
  <c r="L836" i="7"/>
  <c r="L837" i="7"/>
  <c r="L838" i="7"/>
  <c r="L839" i="7"/>
  <c r="L840" i="7"/>
  <c r="L841" i="7"/>
  <c r="L842" i="7"/>
  <c r="L843" i="7"/>
  <c r="L844" i="7"/>
  <c r="L845" i="7"/>
  <c r="L846" i="7"/>
  <c r="L847" i="7"/>
  <c r="L848" i="7"/>
  <c r="L849" i="7"/>
  <c r="L850" i="7"/>
  <c r="L851" i="7"/>
  <c r="L852" i="7"/>
  <c r="L853" i="7"/>
  <c r="L854" i="7"/>
  <c r="L855" i="7"/>
  <c r="L856" i="7"/>
  <c r="L857" i="7"/>
  <c r="L858" i="7"/>
  <c r="L859" i="7"/>
  <c r="L860" i="7"/>
  <c r="L861" i="7"/>
  <c r="L862" i="7"/>
  <c r="L863" i="7"/>
  <c r="L864" i="7"/>
  <c r="L865" i="7"/>
  <c r="L866" i="7"/>
  <c r="L867" i="7"/>
  <c r="L868" i="7"/>
  <c r="L869" i="7"/>
  <c r="L870" i="7"/>
  <c r="L871" i="7"/>
  <c r="L872" i="7"/>
  <c r="L873" i="7"/>
  <c r="L874" i="7"/>
  <c r="L875" i="7"/>
  <c r="L876" i="7"/>
  <c r="L877" i="7"/>
  <c r="L878" i="7"/>
  <c r="L879" i="7"/>
  <c r="L880" i="7"/>
  <c r="L881" i="7"/>
  <c r="L882" i="7"/>
  <c r="L883" i="7"/>
  <c r="L884" i="7"/>
  <c r="L885" i="7"/>
  <c r="L886" i="7"/>
  <c r="L887" i="7"/>
  <c r="L888" i="7"/>
  <c r="L889" i="7"/>
  <c r="L890" i="7"/>
  <c r="L891" i="7"/>
  <c r="L892" i="7"/>
  <c r="L893" i="7"/>
  <c r="L894" i="7"/>
  <c r="L895" i="7"/>
  <c r="L896" i="7"/>
  <c r="L897" i="7"/>
  <c r="L898" i="7"/>
  <c r="L899" i="7"/>
  <c r="L900" i="7"/>
  <c r="L901" i="7"/>
  <c r="L902" i="7"/>
  <c r="L903" i="7"/>
  <c r="L904" i="7"/>
  <c r="L905" i="7"/>
  <c r="L906" i="7"/>
  <c r="L907" i="7"/>
  <c r="L908" i="7"/>
  <c r="L909" i="7"/>
  <c r="L910" i="7"/>
  <c r="L911" i="7"/>
  <c r="L912" i="7"/>
  <c r="L913" i="7"/>
  <c r="L914" i="7"/>
  <c r="L915" i="7"/>
  <c r="L916" i="7"/>
  <c r="L917" i="7"/>
  <c r="L918" i="7"/>
  <c r="L919" i="7"/>
  <c r="L920" i="7"/>
  <c r="L921" i="7"/>
  <c r="L922" i="7"/>
  <c r="L923" i="7"/>
  <c r="L924" i="7"/>
  <c r="L925" i="7"/>
  <c r="L926" i="7"/>
  <c r="L927" i="7"/>
  <c r="L928" i="7"/>
  <c r="L929" i="7"/>
  <c r="L930" i="7"/>
  <c r="L931" i="7"/>
  <c r="L932" i="7"/>
  <c r="L933" i="7"/>
  <c r="L934" i="7"/>
  <c r="L935" i="7"/>
  <c r="L936" i="7"/>
  <c r="L937" i="7"/>
  <c r="L938" i="7"/>
  <c r="L939" i="7"/>
  <c r="L940" i="7"/>
  <c r="L941" i="7"/>
  <c r="L942" i="7"/>
  <c r="L943" i="7"/>
  <c r="L944" i="7"/>
  <c r="L945" i="7"/>
  <c r="L946" i="7"/>
  <c r="L947" i="7"/>
  <c r="L948" i="7"/>
  <c r="L949" i="7"/>
  <c r="L950" i="7"/>
  <c r="L951" i="7"/>
  <c r="L952" i="7"/>
  <c r="L953" i="7"/>
  <c r="L954" i="7"/>
  <c r="L955" i="7"/>
  <c r="L956" i="7"/>
  <c r="L957" i="7"/>
  <c r="L958" i="7"/>
  <c r="L959" i="7"/>
  <c r="L960" i="7"/>
  <c r="L961" i="7"/>
  <c r="L962" i="7"/>
  <c r="L963" i="7"/>
  <c r="L964" i="7"/>
  <c r="L965" i="7"/>
  <c r="L966" i="7"/>
  <c r="L967" i="7"/>
  <c r="L968" i="7"/>
  <c r="L969" i="7"/>
  <c r="L970" i="7"/>
  <c r="L971" i="7"/>
  <c r="L972" i="7"/>
  <c r="L973" i="7"/>
  <c r="L974" i="7"/>
  <c r="L975" i="7"/>
  <c r="L976" i="7"/>
  <c r="L977" i="7"/>
  <c r="L978" i="7"/>
  <c r="L979" i="7"/>
  <c r="L980" i="7"/>
  <c r="L981" i="7"/>
  <c r="L982" i="7"/>
  <c r="L983" i="7"/>
  <c r="L984" i="7"/>
  <c r="L985" i="7"/>
  <c r="L986" i="7"/>
  <c r="L987" i="7"/>
  <c r="L988" i="7"/>
  <c r="L989" i="7"/>
  <c r="L990" i="7"/>
  <c r="L991" i="7"/>
  <c r="L992" i="7"/>
  <c r="L993" i="7"/>
  <c r="L994" i="7"/>
  <c r="L995" i="7"/>
  <c r="L996" i="7"/>
  <c r="L997" i="7"/>
  <c r="L998" i="7"/>
  <c r="L999" i="7"/>
  <c r="L1000" i="7"/>
  <c r="L1001" i="7"/>
  <c r="L1002" i="7"/>
  <c r="L1003" i="7"/>
  <c r="L1004" i="7"/>
  <c r="L1005" i="7"/>
  <c r="L1006" i="7"/>
  <c r="L1007" i="7"/>
  <c r="L1008" i="7"/>
  <c r="L1009" i="7"/>
  <c r="L1010" i="7"/>
  <c r="L1011" i="7"/>
  <c r="L1012" i="7"/>
  <c r="L1013" i="7"/>
  <c r="L1014" i="7"/>
  <c r="L1015" i="7"/>
  <c r="L1016" i="7"/>
  <c r="L1017" i="7"/>
  <c r="L1018" i="7"/>
  <c r="L1019" i="7"/>
  <c r="L1020" i="7"/>
  <c r="L1021" i="7"/>
  <c r="L1022" i="7"/>
  <c r="L1023" i="7"/>
  <c r="L1024" i="7"/>
  <c r="L1025" i="7"/>
  <c r="L1026" i="7"/>
  <c r="L1027" i="7"/>
  <c r="L1028" i="7"/>
  <c r="L1029" i="7"/>
  <c r="L1030" i="7"/>
  <c r="L1031" i="7"/>
  <c r="L1032" i="7"/>
  <c r="L1033" i="7"/>
  <c r="L1034" i="7"/>
  <c r="L1035" i="7"/>
  <c r="L1036" i="7"/>
  <c r="L1037" i="7"/>
  <c r="L1038" i="7"/>
  <c r="L1039" i="7"/>
  <c r="L1040" i="7"/>
  <c r="L1041" i="7"/>
  <c r="L1042" i="7"/>
  <c r="L1043" i="7"/>
  <c r="L1044" i="7"/>
  <c r="L1045" i="7"/>
  <c r="L1046" i="7"/>
  <c r="L1047" i="7"/>
  <c r="L1048" i="7"/>
  <c r="L1049" i="7"/>
  <c r="L1050" i="7"/>
  <c r="L1051" i="7"/>
  <c r="L1052" i="7"/>
  <c r="L1053" i="7"/>
  <c r="L1054" i="7"/>
  <c r="L1055" i="7"/>
  <c r="L1056" i="7"/>
  <c r="L1057" i="7"/>
  <c r="L1058" i="7"/>
  <c r="L1059" i="7"/>
  <c r="L1060" i="7"/>
  <c r="L1061" i="7"/>
  <c r="L1062" i="7"/>
  <c r="L1063" i="7"/>
  <c r="L1064" i="7"/>
  <c r="L1065" i="7"/>
  <c r="L1066" i="7"/>
  <c r="C43" i="7" l="1"/>
  <c r="C42" i="7"/>
  <c r="C41" i="7"/>
  <c r="D41" i="7" s="1"/>
  <c r="C40" i="7"/>
  <c r="C39" i="7"/>
  <c r="C38" i="7"/>
  <c r="C37" i="7"/>
  <c r="C36" i="7"/>
  <c r="C35" i="7"/>
  <c r="C34" i="7"/>
  <c r="D34" i="7" s="1"/>
  <c r="C33" i="7"/>
  <c r="D33" i="7" s="1"/>
  <c r="C32" i="7"/>
  <c r="C31" i="7"/>
  <c r="D31" i="7" s="1"/>
  <c r="C30" i="7"/>
  <c r="C29" i="7"/>
  <c r="C28" i="7"/>
  <c r="C27" i="7"/>
  <c r="C26" i="7"/>
  <c r="C25" i="7"/>
  <c r="C24" i="7"/>
  <c r="C20" i="7"/>
  <c r="C19" i="7"/>
  <c r="D19" i="7" s="1"/>
  <c r="C18" i="7"/>
  <c r="D18" i="7" s="1"/>
  <c r="C17" i="7"/>
  <c r="C16" i="7"/>
  <c r="C15" i="7"/>
  <c r="C4" i="7"/>
  <c r="C14" i="7"/>
  <c r="C13" i="7"/>
  <c r="D13" i="7" s="1"/>
  <c r="C12" i="7"/>
  <c r="C11" i="7"/>
  <c r="C10" i="7"/>
  <c r="D10" i="7" s="1"/>
  <c r="C9" i="7"/>
  <c r="C8" i="7"/>
  <c r="C5" i="7"/>
  <c r="D5" i="7" s="1"/>
  <c r="C6" i="7"/>
  <c r="C2" i="7"/>
  <c r="C3" i="7"/>
  <c r="C44" i="7" l="1"/>
  <c r="C45" i="7"/>
  <c r="D45" i="7" s="1"/>
  <c r="C46" i="7"/>
  <c r="C47" i="7"/>
  <c r="C48" i="7"/>
  <c r="C49" i="7"/>
  <c r="C50" i="7"/>
  <c r="D50" i="7" s="1"/>
  <c r="C51" i="7"/>
  <c r="C52" i="7"/>
  <c r="D52" i="7" s="1"/>
  <c r="C53" i="7"/>
  <c r="D53" i="7" s="1"/>
  <c r="C54" i="7"/>
  <c r="D54" i="7" s="1"/>
  <c r="C55" i="7"/>
  <c r="D55" i="7" s="1"/>
  <c r="C56" i="7"/>
  <c r="C57" i="7"/>
  <c r="D57" i="7" s="1"/>
  <c r="C58" i="7"/>
  <c r="D58" i="7" s="1"/>
  <c r="C59" i="7"/>
  <c r="C60" i="7"/>
  <c r="C61" i="7"/>
  <c r="C62" i="7"/>
  <c r="D62" i="7" s="1"/>
  <c r="C63" i="7"/>
  <c r="D63" i="7" s="1"/>
  <c r="C64" i="7"/>
  <c r="D64" i="7" s="1"/>
  <c r="C65" i="7"/>
  <c r="D65" i="7" s="1"/>
  <c r="C66" i="7"/>
  <c r="D66" i="7" s="1"/>
  <c r="C67" i="7"/>
  <c r="D67" i="7" s="1"/>
  <c r="C68" i="7"/>
  <c r="D68" i="7" s="1"/>
  <c r="C69" i="7"/>
  <c r="D69" i="7" s="1"/>
  <c r="C70" i="7"/>
  <c r="D70" i="7" s="1"/>
  <c r="C71" i="7"/>
  <c r="D71" i="7" s="1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D99" i="7" s="1"/>
  <c r="C100" i="7"/>
  <c r="D100" i="7" s="1"/>
  <c r="C101" i="7"/>
  <c r="D101" i="7" s="1"/>
  <c r="C102" i="7"/>
  <c r="D102" i="7" s="1"/>
  <c r="C103" i="7"/>
  <c r="D103" i="7" s="1"/>
  <c r="C104" i="7"/>
  <c r="D104" i="7" s="1"/>
  <c r="C105" i="7"/>
  <c r="D105" i="7" s="1"/>
  <c r="C106" i="7"/>
  <c r="D106" i="7" s="1"/>
  <c r="C107" i="7"/>
  <c r="D107" i="7" s="1"/>
  <c r="C108" i="7"/>
  <c r="D108" i="7" s="1"/>
  <c r="C109" i="7"/>
  <c r="D109" i="7" s="1"/>
  <c r="C110" i="7"/>
  <c r="D110" i="7" s="1"/>
  <c r="C111" i="7"/>
  <c r="D111" i="7" s="1"/>
  <c r="C112" i="7"/>
  <c r="D112" i="7" s="1"/>
  <c r="C113" i="7"/>
  <c r="D113" i="7" s="1"/>
  <c r="C114" i="7"/>
  <c r="D114" i="7" s="1"/>
  <c r="C115" i="7"/>
  <c r="D115" i="7" s="1"/>
  <c r="C116" i="7"/>
  <c r="D116" i="7" s="1"/>
  <c r="C117" i="7"/>
  <c r="D117" i="7" s="1"/>
  <c r="C118" i="7"/>
  <c r="D118" i="7" s="1"/>
  <c r="C119" i="7"/>
  <c r="D119" i="7" s="1"/>
  <c r="C120" i="7"/>
  <c r="D120" i="7" s="1"/>
  <c r="C121" i="7"/>
  <c r="D121" i="7" s="1"/>
  <c r="C122" i="7"/>
  <c r="D122" i="7" s="1"/>
  <c r="C123" i="7"/>
  <c r="D123" i="7" s="1"/>
  <c r="C124" i="7"/>
  <c r="D124" i="7" s="1"/>
  <c r="C125" i="7"/>
  <c r="D125" i="7" s="1"/>
  <c r="C126" i="7"/>
  <c r="D126" i="7" s="1"/>
  <c r="C127" i="7"/>
  <c r="D127" i="7" s="1"/>
  <c r="C128" i="7"/>
  <c r="D128" i="7" s="1"/>
  <c r="C129" i="7"/>
  <c r="D129" i="7" s="1"/>
  <c r="C130" i="7"/>
  <c r="D130" i="7" s="1"/>
  <c r="C131" i="7"/>
  <c r="D131" i="7" s="1"/>
  <c r="C132" i="7"/>
  <c r="D132" i="7" s="1"/>
  <c r="C133" i="7"/>
  <c r="D133" i="7" s="1"/>
  <c r="C134" i="7"/>
  <c r="D134" i="7" s="1"/>
  <c r="C135" i="7"/>
  <c r="D135" i="7" s="1"/>
  <c r="C136" i="7"/>
  <c r="D136" i="7" s="1"/>
  <c r="C137" i="7"/>
  <c r="D137" i="7" s="1"/>
  <c r="C138" i="7"/>
  <c r="D138" i="7" s="1"/>
  <c r="C139" i="7"/>
  <c r="D139" i="7" s="1"/>
  <c r="C140" i="7"/>
  <c r="D140" i="7" s="1"/>
  <c r="C141" i="7"/>
  <c r="D141" i="7" s="1"/>
  <c r="C142" i="7"/>
  <c r="D142" i="7" s="1"/>
  <c r="C143" i="7"/>
  <c r="D143" i="7" s="1"/>
  <c r="C144" i="7"/>
  <c r="D144" i="7" s="1"/>
  <c r="C145" i="7"/>
  <c r="D145" i="7" s="1"/>
  <c r="C146" i="7"/>
  <c r="D146" i="7" s="1"/>
  <c r="C147" i="7"/>
  <c r="D147" i="7" s="1"/>
  <c r="C148" i="7"/>
  <c r="D148" i="7" s="1"/>
  <c r="C149" i="7"/>
  <c r="D149" i="7" s="1"/>
  <c r="C150" i="7"/>
  <c r="D150" i="7" s="1"/>
  <c r="C151" i="7"/>
  <c r="D151" i="7" s="1"/>
  <c r="C152" i="7"/>
  <c r="D152" i="7" s="1"/>
  <c r="C153" i="7"/>
  <c r="D153" i="7" s="1"/>
  <c r="C154" i="7"/>
  <c r="D154" i="7" s="1"/>
  <c r="C155" i="7"/>
  <c r="D155" i="7" s="1"/>
  <c r="C156" i="7"/>
  <c r="D156" i="7" s="1"/>
  <c r="C157" i="7"/>
  <c r="D157" i="7" s="1"/>
  <c r="C158" i="7"/>
  <c r="D158" i="7" s="1"/>
  <c r="C159" i="7"/>
  <c r="D159" i="7" s="1"/>
  <c r="C160" i="7"/>
  <c r="D160" i="7" s="1"/>
  <c r="C161" i="7"/>
  <c r="D161" i="7" s="1"/>
  <c r="C162" i="7"/>
  <c r="D162" i="7" s="1"/>
  <c r="C163" i="7"/>
  <c r="D163" i="7" s="1"/>
  <c r="C164" i="7"/>
  <c r="D164" i="7" s="1"/>
  <c r="C165" i="7"/>
  <c r="D165" i="7" s="1"/>
  <c r="C166" i="7"/>
  <c r="D166" i="7" s="1"/>
  <c r="C167" i="7"/>
  <c r="D167" i="7" s="1"/>
  <c r="C168" i="7"/>
  <c r="D168" i="7" s="1"/>
  <c r="C169" i="7"/>
  <c r="D169" i="7" s="1"/>
  <c r="C170" i="7"/>
  <c r="D170" i="7" s="1"/>
  <c r="C171" i="7"/>
  <c r="D171" i="7" s="1"/>
  <c r="C172" i="7"/>
  <c r="D172" i="7" s="1"/>
  <c r="C173" i="7"/>
  <c r="D173" i="7" s="1"/>
  <c r="C174" i="7"/>
  <c r="D174" i="7" s="1"/>
  <c r="C175" i="7"/>
  <c r="D175" i="7" s="1"/>
  <c r="C176" i="7"/>
  <c r="D176" i="7" s="1"/>
  <c r="C177" i="7"/>
  <c r="D177" i="7" s="1"/>
  <c r="C178" i="7"/>
  <c r="D178" i="7" s="1"/>
  <c r="C179" i="7"/>
  <c r="D179" i="7" s="1"/>
  <c r="C180" i="7"/>
  <c r="D180" i="7" s="1"/>
  <c r="C181" i="7"/>
  <c r="D181" i="7" s="1"/>
  <c r="C182" i="7"/>
  <c r="D182" i="7" s="1"/>
  <c r="C183" i="7"/>
  <c r="D183" i="7" s="1"/>
  <c r="C184" i="7"/>
  <c r="D184" i="7" s="1"/>
  <c r="C185" i="7"/>
  <c r="D185" i="7" s="1"/>
  <c r="C186" i="7"/>
  <c r="D186" i="7" s="1"/>
  <c r="C187" i="7"/>
  <c r="D187" i="7" s="1"/>
  <c r="C188" i="7"/>
  <c r="D188" i="7" s="1"/>
  <c r="C189" i="7"/>
  <c r="D189" i="7" s="1"/>
  <c r="C190" i="7"/>
  <c r="D190" i="7" s="1"/>
  <c r="C191" i="7"/>
  <c r="D191" i="7" s="1"/>
  <c r="C192" i="7"/>
  <c r="D192" i="7" s="1"/>
  <c r="C193" i="7"/>
  <c r="D193" i="7" s="1"/>
  <c r="C194" i="7"/>
  <c r="D194" i="7" s="1"/>
  <c r="C195" i="7"/>
  <c r="D195" i="7" s="1"/>
  <c r="C196" i="7"/>
  <c r="D196" i="7" s="1"/>
  <c r="C197" i="7"/>
  <c r="D197" i="7" s="1"/>
  <c r="C198" i="7"/>
  <c r="D198" i="7" s="1"/>
  <c r="C199" i="7"/>
  <c r="D199" i="7" s="1"/>
  <c r="C200" i="7"/>
  <c r="D200" i="7" s="1"/>
  <c r="C201" i="7"/>
  <c r="D201" i="7" s="1"/>
  <c r="C202" i="7"/>
  <c r="D202" i="7" s="1"/>
  <c r="C203" i="7"/>
  <c r="D203" i="7" s="1"/>
  <c r="C204" i="7"/>
  <c r="D204" i="7" s="1"/>
  <c r="C205" i="7"/>
  <c r="D205" i="7" s="1"/>
  <c r="C206" i="7"/>
  <c r="D206" i="7" s="1"/>
  <c r="C207" i="7"/>
  <c r="D207" i="7" s="1"/>
  <c r="C208" i="7"/>
  <c r="D208" i="7" s="1"/>
  <c r="C209" i="7"/>
  <c r="D209" i="7" s="1"/>
  <c r="C210" i="7"/>
  <c r="D210" i="7" s="1"/>
  <c r="C211" i="7"/>
  <c r="D211" i="7" s="1"/>
  <c r="C212" i="7"/>
  <c r="D212" i="7" s="1"/>
  <c r="C213" i="7"/>
  <c r="D213" i="7" s="1"/>
  <c r="C214" i="7"/>
  <c r="D214" i="7" s="1"/>
  <c r="C215" i="7"/>
  <c r="D215" i="7" s="1"/>
  <c r="C216" i="7"/>
  <c r="D216" i="7" s="1"/>
  <c r="C217" i="7"/>
  <c r="D217" i="7" s="1"/>
  <c r="C218" i="7"/>
  <c r="D218" i="7" s="1"/>
  <c r="C219" i="7"/>
  <c r="D219" i="7" s="1"/>
  <c r="C220" i="7"/>
  <c r="D220" i="7" s="1"/>
  <c r="C221" i="7"/>
  <c r="D221" i="7" s="1"/>
  <c r="C222" i="7"/>
  <c r="D222" i="7" s="1"/>
  <c r="C223" i="7"/>
  <c r="D223" i="7" s="1"/>
  <c r="C224" i="7"/>
  <c r="D224" i="7" s="1"/>
  <c r="C225" i="7"/>
  <c r="D225" i="7" s="1"/>
  <c r="C226" i="7"/>
  <c r="D226" i="7" s="1"/>
  <c r="C227" i="7"/>
  <c r="D227" i="7" s="1"/>
  <c r="C228" i="7"/>
  <c r="D228" i="7" s="1"/>
  <c r="C229" i="7"/>
  <c r="D229" i="7" s="1"/>
  <c r="C230" i="7"/>
  <c r="D230" i="7" s="1"/>
  <c r="C231" i="7"/>
  <c r="D231" i="7" s="1"/>
  <c r="C232" i="7"/>
  <c r="D232" i="7" s="1"/>
  <c r="C233" i="7"/>
  <c r="D233" i="7" s="1"/>
  <c r="C234" i="7"/>
  <c r="D234" i="7" s="1"/>
  <c r="C235" i="7"/>
  <c r="D235" i="7" s="1"/>
  <c r="C236" i="7"/>
  <c r="D236" i="7" s="1"/>
  <c r="C237" i="7"/>
  <c r="D237" i="7" s="1"/>
  <c r="C238" i="7"/>
  <c r="D238" i="7" s="1"/>
  <c r="C239" i="7"/>
  <c r="D239" i="7" s="1"/>
  <c r="C240" i="7"/>
  <c r="D240" i="7" s="1"/>
  <c r="C241" i="7"/>
  <c r="D241" i="7" s="1"/>
  <c r="C242" i="7"/>
  <c r="D242" i="7" s="1"/>
  <c r="C243" i="7"/>
  <c r="D243" i="7" s="1"/>
  <c r="C244" i="7"/>
  <c r="D244" i="7" s="1"/>
  <c r="C245" i="7"/>
  <c r="D245" i="7" s="1"/>
  <c r="C246" i="7"/>
  <c r="D246" i="7" s="1"/>
  <c r="C247" i="7"/>
  <c r="D247" i="7" s="1"/>
  <c r="C248" i="7"/>
  <c r="D248" i="7" s="1"/>
  <c r="C249" i="7"/>
  <c r="D249" i="7" s="1"/>
  <c r="C250" i="7"/>
  <c r="D250" i="7" s="1"/>
  <c r="C251" i="7"/>
  <c r="D251" i="7" s="1"/>
  <c r="C252" i="7"/>
  <c r="D252" i="7" s="1"/>
  <c r="C253" i="7"/>
  <c r="D253" i="7" s="1"/>
  <c r="C254" i="7"/>
  <c r="D254" i="7" s="1"/>
  <c r="C255" i="7"/>
  <c r="D255" i="7" s="1"/>
  <c r="C256" i="7"/>
  <c r="D256" i="7" s="1"/>
  <c r="C257" i="7"/>
  <c r="D257" i="7" s="1"/>
  <c r="C258" i="7"/>
  <c r="D258" i="7" s="1"/>
  <c r="C259" i="7"/>
  <c r="D259" i="7" s="1"/>
  <c r="C260" i="7"/>
  <c r="D260" i="7" s="1"/>
  <c r="C261" i="7"/>
  <c r="D261" i="7" s="1"/>
  <c r="C262" i="7"/>
  <c r="D262" i="7" s="1"/>
  <c r="C263" i="7"/>
  <c r="D263" i="7" s="1"/>
  <c r="C264" i="7"/>
  <c r="D264" i="7" s="1"/>
  <c r="C265" i="7"/>
  <c r="D265" i="7" s="1"/>
  <c r="C266" i="7"/>
  <c r="D266" i="7" s="1"/>
  <c r="C267" i="7"/>
  <c r="D267" i="7" s="1"/>
  <c r="C268" i="7"/>
  <c r="D268" i="7" s="1"/>
  <c r="C269" i="7"/>
  <c r="D269" i="7" s="1"/>
  <c r="C270" i="7"/>
  <c r="D270" i="7" s="1"/>
  <c r="C271" i="7"/>
  <c r="D271" i="7" s="1"/>
  <c r="C272" i="7"/>
  <c r="D272" i="7" s="1"/>
  <c r="C273" i="7"/>
  <c r="D273" i="7" s="1"/>
  <c r="C274" i="7"/>
  <c r="D274" i="7" s="1"/>
  <c r="C275" i="7"/>
  <c r="D275" i="7" s="1"/>
  <c r="C276" i="7"/>
  <c r="D276" i="7" s="1"/>
  <c r="C277" i="7"/>
  <c r="D277" i="7" s="1"/>
  <c r="C278" i="7"/>
  <c r="D278" i="7" s="1"/>
  <c r="C279" i="7"/>
  <c r="D279" i="7" s="1"/>
  <c r="C280" i="7"/>
  <c r="D280" i="7" s="1"/>
  <c r="C281" i="7"/>
  <c r="D281" i="7" s="1"/>
  <c r="C282" i="7"/>
  <c r="D282" i="7" s="1"/>
  <c r="C283" i="7"/>
  <c r="D283" i="7" s="1"/>
  <c r="C284" i="7"/>
  <c r="D284" i="7" s="1"/>
  <c r="C285" i="7"/>
  <c r="D285" i="7" s="1"/>
  <c r="C286" i="7"/>
  <c r="D286" i="7" s="1"/>
  <c r="C287" i="7"/>
  <c r="D287" i="7" s="1"/>
  <c r="C288" i="7"/>
  <c r="D288" i="7" s="1"/>
  <c r="C289" i="7"/>
  <c r="D289" i="7" s="1"/>
  <c r="C290" i="7"/>
  <c r="D290" i="7" s="1"/>
  <c r="C291" i="7"/>
  <c r="D291" i="7" s="1"/>
  <c r="C292" i="7"/>
  <c r="D292" i="7" s="1"/>
  <c r="C293" i="7"/>
  <c r="D293" i="7" s="1"/>
  <c r="C294" i="7"/>
  <c r="D294" i="7" s="1"/>
  <c r="C295" i="7"/>
  <c r="D295" i="7" s="1"/>
  <c r="C296" i="7"/>
  <c r="D296" i="7" s="1"/>
  <c r="C297" i="7"/>
  <c r="D297" i="7" s="1"/>
  <c r="C298" i="7"/>
  <c r="D298" i="7" s="1"/>
  <c r="C299" i="7"/>
  <c r="D299" i="7" s="1"/>
  <c r="C300" i="7"/>
  <c r="D300" i="7" s="1"/>
  <c r="C301" i="7"/>
  <c r="D301" i="7" s="1"/>
  <c r="C302" i="7"/>
  <c r="D302" i="7" s="1"/>
  <c r="C303" i="7"/>
  <c r="D303" i="7" s="1"/>
  <c r="C304" i="7"/>
  <c r="D304" i="7" s="1"/>
  <c r="C305" i="7"/>
  <c r="D305" i="7" s="1"/>
  <c r="C306" i="7"/>
  <c r="D306" i="7" s="1"/>
  <c r="C307" i="7"/>
  <c r="D307" i="7" s="1"/>
  <c r="C308" i="7"/>
  <c r="D308" i="7" s="1"/>
  <c r="C309" i="7"/>
  <c r="D309" i="7" s="1"/>
  <c r="C310" i="7"/>
  <c r="D310" i="7" s="1"/>
  <c r="C311" i="7"/>
  <c r="D311" i="7" s="1"/>
  <c r="C312" i="7"/>
  <c r="D312" i="7" s="1"/>
  <c r="C313" i="7"/>
  <c r="D313" i="7" s="1"/>
  <c r="C314" i="7"/>
  <c r="D314" i="7" s="1"/>
  <c r="C315" i="7"/>
  <c r="D315" i="7" s="1"/>
  <c r="C316" i="7"/>
  <c r="D316" i="7" s="1"/>
  <c r="C317" i="7"/>
  <c r="D317" i="7" s="1"/>
  <c r="C318" i="7"/>
  <c r="D318" i="7" s="1"/>
  <c r="C319" i="7"/>
  <c r="D319" i="7" s="1"/>
  <c r="C320" i="7"/>
  <c r="D320" i="7" s="1"/>
  <c r="C321" i="7"/>
  <c r="D321" i="7" s="1"/>
  <c r="C322" i="7"/>
  <c r="D322" i="7" s="1"/>
  <c r="C323" i="7"/>
  <c r="D323" i="7" s="1"/>
  <c r="C324" i="7"/>
  <c r="D324" i="7" s="1"/>
  <c r="C325" i="7"/>
  <c r="D325" i="7" s="1"/>
  <c r="C326" i="7"/>
  <c r="D326" i="7" s="1"/>
  <c r="C327" i="7"/>
  <c r="D327" i="7" s="1"/>
  <c r="C328" i="7"/>
  <c r="D328" i="7" s="1"/>
  <c r="C329" i="7"/>
  <c r="D329" i="7" s="1"/>
  <c r="C330" i="7"/>
  <c r="D330" i="7" s="1"/>
  <c r="C331" i="7"/>
  <c r="D331" i="7" s="1"/>
  <c r="C332" i="7"/>
  <c r="D332" i="7" s="1"/>
  <c r="C333" i="7"/>
  <c r="D333" i="7" s="1"/>
  <c r="C334" i="7"/>
  <c r="D334" i="7" s="1"/>
  <c r="C335" i="7"/>
  <c r="D335" i="7" s="1"/>
  <c r="C336" i="7"/>
  <c r="D336" i="7" s="1"/>
  <c r="C337" i="7"/>
  <c r="D337" i="7" s="1"/>
  <c r="C338" i="7"/>
  <c r="D338" i="7" s="1"/>
  <c r="C339" i="7"/>
  <c r="D339" i="7" s="1"/>
  <c r="C340" i="7"/>
  <c r="D340" i="7" s="1"/>
  <c r="C341" i="7"/>
  <c r="D341" i="7" s="1"/>
  <c r="C342" i="7"/>
  <c r="D342" i="7" s="1"/>
  <c r="C343" i="7"/>
  <c r="D343" i="7" s="1"/>
  <c r="C344" i="7"/>
  <c r="D344" i="7" s="1"/>
  <c r="C345" i="7"/>
  <c r="D345" i="7" s="1"/>
  <c r="C346" i="7"/>
  <c r="D346" i="7" s="1"/>
  <c r="C347" i="7"/>
  <c r="D347" i="7" s="1"/>
  <c r="C348" i="7"/>
  <c r="D348" i="7" s="1"/>
  <c r="C349" i="7"/>
  <c r="D349" i="7" s="1"/>
  <c r="C350" i="7"/>
  <c r="D350" i="7" s="1"/>
  <c r="C351" i="7"/>
  <c r="D351" i="7" s="1"/>
  <c r="C352" i="7"/>
  <c r="D352" i="7" s="1"/>
  <c r="C353" i="7"/>
  <c r="D353" i="7" s="1"/>
  <c r="C354" i="7"/>
  <c r="D354" i="7" s="1"/>
  <c r="C355" i="7"/>
  <c r="D355" i="7" s="1"/>
  <c r="C356" i="7"/>
  <c r="D356" i="7" s="1"/>
  <c r="C357" i="7"/>
  <c r="D357" i="7" s="1"/>
  <c r="C358" i="7"/>
  <c r="D358" i="7" s="1"/>
  <c r="C359" i="7"/>
  <c r="D359" i="7" s="1"/>
  <c r="C360" i="7"/>
  <c r="D360" i="7" s="1"/>
  <c r="C361" i="7"/>
  <c r="D361" i="7" s="1"/>
  <c r="C362" i="7"/>
  <c r="D362" i="7" s="1"/>
  <c r="C363" i="7"/>
  <c r="D363" i="7" s="1"/>
  <c r="C364" i="7"/>
  <c r="D364" i="7" s="1"/>
  <c r="C365" i="7"/>
  <c r="D365" i="7" s="1"/>
  <c r="C366" i="7"/>
  <c r="D366" i="7" s="1"/>
  <c r="C367" i="7"/>
  <c r="D367" i="7" s="1"/>
  <c r="C368" i="7"/>
  <c r="D368" i="7" s="1"/>
  <c r="C369" i="7"/>
  <c r="D369" i="7" s="1"/>
  <c r="C370" i="7"/>
  <c r="D370" i="7" s="1"/>
  <c r="C371" i="7"/>
  <c r="D371" i="7" s="1"/>
  <c r="C372" i="7"/>
  <c r="D372" i="7" s="1"/>
  <c r="C373" i="7"/>
  <c r="D373" i="7" s="1"/>
  <c r="C374" i="7"/>
  <c r="D374" i="7" s="1"/>
  <c r="C375" i="7"/>
  <c r="D375" i="7" s="1"/>
  <c r="C376" i="7"/>
  <c r="D376" i="7" s="1"/>
  <c r="C377" i="7"/>
  <c r="D377" i="7" s="1"/>
  <c r="C378" i="7"/>
  <c r="D378" i="7" s="1"/>
  <c r="C379" i="7"/>
  <c r="D379" i="7" s="1"/>
  <c r="C380" i="7"/>
  <c r="D380" i="7" s="1"/>
  <c r="C381" i="7"/>
  <c r="D381" i="7" s="1"/>
  <c r="C382" i="7"/>
  <c r="D382" i="7" s="1"/>
  <c r="C383" i="7"/>
  <c r="D383" i="7" s="1"/>
  <c r="C384" i="7"/>
  <c r="D384" i="7" s="1"/>
  <c r="C385" i="7"/>
  <c r="D385" i="7" s="1"/>
  <c r="C386" i="7"/>
  <c r="D386" i="7" s="1"/>
  <c r="C387" i="7"/>
  <c r="D387" i="7" s="1"/>
  <c r="C388" i="7"/>
  <c r="D388" i="7" s="1"/>
  <c r="C389" i="7"/>
  <c r="D389" i="7" s="1"/>
  <c r="C390" i="7"/>
  <c r="D390" i="7" s="1"/>
  <c r="C391" i="7"/>
  <c r="D391" i="7" s="1"/>
  <c r="C392" i="7"/>
  <c r="D392" i="7" s="1"/>
  <c r="C393" i="7"/>
  <c r="D393" i="7" s="1"/>
  <c r="C394" i="7"/>
  <c r="D394" i="7" s="1"/>
  <c r="C395" i="7"/>
  <c r="D395" i="7" s="1"/>
  <c r="C396" i="7"/>
  <c r="D396" i="7" s="1"/>
  <c r="C397" i="7"/>
  <c r="D397" i="7" s="1"/>
  <c r="C398" i="7"/>
  <c r="D398" i="7" s="1"/>
  <c r="C399" i="7"/>
  <c r="D399" i="7" s="1"/>
  <c r="C400" i="7"/>
  <c r="D400" i="7" s="1"/>
  <c r="C401" i="7"/>
  <c r="D401" i="7" s="1"/>
  <c r="C402" i="7"/>
  <c r="D402" i="7" s="1"/>
  <c r="C403" i="7"/>
  <c r="D403" i="7" s="1"/>
  <c r="C404" i="7"/>
  <c r="D404" i="7" s="1"/>
  <c r="C405" i="7"/>
  <c r="D405" i="7" s="1"/>
  <c r="C406" i="7"/>
  <c r="D406" i="7" s="1"/>
  <c r="C407" i="7"/>
  <c r="D407" i="7" s="1"/>
  <c r="C408" i="7"/>
  <c r="D408" i="7" s="1"/>
  <c r="C409" i="7"/>
  <c r="D409" i="7" s="1"/>
  <c r="C410" i="7"/>
  <c r="D410" i="7" s="1"/>
  <c r="C411" i="7"/>
  <c r="D411" i="7" s="1"/>
  <c r="C412" i="7"/>
  <c r="D412" i="7" s="1"/>
  <c r="C413" i="7"/>
  <c r="D413" i="7" s="1"/>
  <c r="C414" i="7"/>
  <c r="D414" i="7" s="1"/>
  <c r="C415" i="7"/>
  <c r="D415" i="7" s="1"/>
  <c r="C416" i="7"/>
  <c r="D416" i="7" s="1"/>
  <c r="C417" i="7"/>
  <c r="D417" i="7" s="1"/>
  <c r="C418" i="7"/>
  <c r="D418" i="7" s="1"/>
  <c r="C419" i="7"/>
  <c r="D419" i="7" s="1"/>
  <c r="C420" i="7"/>
  <c r="D420" i="7" s="1"/>
  <c r="C421" i="7"/>
  <c r="D421" i="7" s="1"/>
  <c r="C422" i="7"/>
  <c r="D422" i="7" s="1"/>
  <c r="C423" i="7"/>
  <c r="D423" i="7" s="1"/>
  <c r="C424" i="7"/>
  <c r="D424" i="7" s="1"/>
  <c r="C425" i="7"/>
  <c r="D425" i="7" s="1"/>
  <c r="C426" i="7"/>
  <c r="D426" i="7" s="1"/>
  <c r="C427" i="7"/>
  <c r="D427" i="7" s="1"/>
  <c r="C428" i="7"/>
  <c r="D428" i="7" s="1"/>
  <c r="C429" i="7"/>
  <c r="D429" i="7" s="1"/>
  <c r="C430" i="7"/>
  <c r="D430" i="7" s="1"/>
  <c r="C431" i="7"/>
  <c r="D431" i="7" s="1"/>
  <c r="C432" i="7"/>
  <c r="D432" i="7" s="1"/>
  <c r="C433" i="7"/>
  <c r="D433" i="7" s="1"/>
  <c r="C434" i="7"/>
  <c r="D434" i="7" s="1"/>
  <c r="C435" i="7"/>
  <c r="D435" i="7" s="1"/>
  <c r="C436" i="7"/>
  <c r="D436" i="7" s="1"/>
  <c r="C437" i="7"/>
  <c r="D437" i="7" s="1"/>
  <c r="C438" i="7"/>
  <c r="D438" i="7" s="1"/>
  <c r="C439" i="7"/>
  <c r="D439" i="7" s="1"/>
  <c r="C440" i="7"/>
  <c r="D440" i="7" s="1"/>
  <c r="C441" i="7"/>
  <c r="D441" i="7" s="1"/>
  <c r="C442" i="7"/>
  <c r="D442" i="7" s="1"/>
  <c r="C443" i="7"/>
  <c r="D443" i="7" s="1"/>
  <c r="C444" i="7"/>
  <c r="D444" i="7" s="1"/>
  <c r="C445" i="7"/>
  <c r="D445" i="7" s="1"/>
  <c r="C446" i="7"/>
  <c r="D446" i="7" s="1"/>
  <c r="C447" i="7"/>
  <c r="D447" i="7" s="1"/>
  <c r="C448" i="7"/>
  <c r="D448" i="7" s="1"/>
  <c r="C449" i="7"/>
  <c r="D449" i="7" s="1"/>
  <c r="C450" i="7"/>
  <c r="D450" i="7" s="1"/>
  <c r="C451" i="7"/>
  <c r="D451" i="7" s="1"/>
  <c r="C452" i="7"/>
  <c r="D452" i="7" s="1"/>
  <c r="C453" i="7"/>
  <c r="D453" i="7" s="1"/>
  <c r="C454" i="7"/>
  <c r="D454" i="7" s="1"/>
  <c r="C455" i="7"/>
  <c r="D455" i="7" s="1"/>
  <c r="C456" i="7"/>
  <c r="D456" i="7" s="1"/>
  <c r="C457" i="7"/>
  <c r="D457" i="7" s="1"/>
  <c r="C458" i="7"/>
  <c r="D458" i="7" s="1"/>
  <c r="C459" i="7"/>
  <c r="D459" i="7" s="1"/>
  <c r="C460" i="7"/>
  <c r="D460" i="7" s="1"/>
  <c r="C461" i="7"/>
  <c r="D461" i="7" s="1"/>
  <c r="C462" i="7"/>
  <c r="D462" i="7" s="1"/>
  <c r="C463" i="7"/>
  <c r="D463" i="7" s="1"/>
  <c r="C464" i="7"/>
  <c r="D464" i="7" s="1"/>
  <c r="C465" i="7"/>
  <c r="D465" i="7" s="1"/>
  <c r="C466" i="7"/>
  <c r="D466" i="7" s="1"/>
  <c r="C467" i="7"/>
  <c r="D467" i="7" s="1"/>
  <c r="C468" i="7"/>
  <c r="D468" i="7" s="1"/>
  <c r="C469" i="7"/>
  <c r="D469" i="7" s="1"/>
  <c r="C470" i="7"/>
  <c r="D470" i="7" s="1"/>
  <c r="C471" i="7"/>
  <c r="D471" i="7" s="1"/>
  <c r="C472" i="7"/>
  <c r="D472" i="7" s="1"/>
  <c r="C473" i="7"/>
  <c r="D473" i="7" s="1"/>
  <c r="C474" i="7"/>
  <c r="D474" i="7" s="1"/>
  <c r="C475" i="7"/>
  <c r="D475" i="7" s="1"/>
  <c r="C476" i="7"/>
  <c r="D476" i="7" s="1"/>
  <c r="C477" i="7"/>
  <c r="D477" i="7" s="1"/>
  <c r="C478" i="7"/>
  <c r="D478" i="7" s="1"/>
  <c r="C479" i="7"/>
  <c r="D479" i="7" s="1"/>
  <c r="C480" i="7"/>
  <c r="D480" i="7" s="1"/>
  <c r="C481" i="7"/>
  <c r="D481" i="7" s="1"/>
  <c r="C482" i="7"/>
  <c r="D482" i="7" s="1"/>
  <c r="C483" i="7"/>
  <c r="D483" i="7" s="1"/>
  <c r="C484" i="7"/>
  <c r="D484" i="7" s="1"/>
  <c r="C485" i="7"/>
  <c r="D485" i="7" s="1"/>
  <c r="C486" i="7"/>
  <c r="D486" i="7" s="1"/>
  <c r="C487" i="7"/>
  <c r="D487" i="7" s="1"/>
  <c r="C488" i="7"/>
  <c r="D488" i="7" s="1"/>
  <c r="C489" i="7"/>
  <c r="D489" i="7" s="1"/>
  <c r="C490" i="7"/>
  <c r="D490" i="7" s="1"/>
  <c r="C491" i="7"/>
  <c r="D491" i="7" s="1"/>
  <c r="C492" i="7"/>
  <c r="D492" i="7" s="1"/>
  <c r="C493" i="7"/>
  <c r="D493" i="7" s="1"/>
  <c r="C494" i="7"/>
  <c r="D494" i="7" s="1"/>
  <c r="C495" i="7"/>
  <c r="D495" i="7" s="1"/>
  <c r="C496" i="7"/>
  <c r="D496" i="7" s="1"/>
  <c r="C497" i="7"/>
  <c r="D497" i="7" s="1"/>
  <c r="C498" i="7"/>
  <c r="D498" i="7" s="1"/>
  <c r="C499" i="7"/>
  <c r="D499" i="7" s="1"/>
  <c r="C500" i="7"/>
  <c r="D500" i="7" s="1"/>
  <c r="C501" i="7"/>
  <c r="D501" i="7" s="1"/>
  <c r="C502" i="7"/>
  <c r="D502" i="7" s="1"/>
  <c r="C503" i="7"/>
  <c r="D503" i="7" s="1"/>
  <c r="C504" i="7"/>
  <c r="D504" i="7" s="1"/>
  <c r="C505" i="7"/>
  <c r="D505" i="7" s="1"/>
  <c r="C506" i="7"/>
  <c r="D506" i="7" s="1"/>
  <c r="C507" i="7"/>
  <c r="D507" i="7" s="1"/>
  <c r="C508" i="7"/>
  <c r="D508" i="7" s="1"/>
  <c r="C509" i="7"/>
  <c r="D509" i="7" s="1"/>
  <c r="C510" i="7"/>
  <c r="D510" i="7" s="1"/>
  <c r="C511" i="7"/>
  <c r="D511" i="7" s="1"/>
  <c r="C512" i="7"/>
  <c r="D512" i="7" s="1"/>
  <c r="C513" i="7"/>
  <c r="D513" i="7" s="1"/>
  <c r="C514" i="7"/>
  <c r="D514" i="7" s="1"/>
  <c r="C515" i="7"/>
  <c r="D515" i="7" s="1"/>
  <c r="C516" i="7"/>
  <c r="D516" i="7" s="1"/>
  <c r="C517" i="7"/>
  <c r="D517" i="7" s="1"/>
  <c r="C518" i="7"/>
  <c r="D518" i="7" s="1"/>
  <c r="C519" i="7"/>
  <c r="D519" i="7" s="1"/>
  <c r="C520" i="7"/>
  <c r="D520" i="7" s="1"/>
  <c r="C521" i="7"/>
  <c r="D521" i="7" s="1"/>
  <c r="C522" i="7"/>
  <c r="D522" i="7" s="1"/>
  <c r="C523" i="7"/>
  <c r="D523" i="7" s="1"/>
  <c r="C524" i="7"/>
  <c r="D524" i="7" s="1"/>
  <c r="C525" i="7"/>
  <c r="D525" i="7" s="1"/>
  <c r="C526" i="7"/>
  <c r="D526" i="7" s="1"/>
  <c r="C527" i="7"/>
  <c r="D527" i="7" s="1"/>
  <c r="C528" i="7"/>
  <c r="D528" i="7" s="1"/>
  <c r="C529" i="7"/>
  <c r="D529" i="7" s="1"/>
  <c r="C530" i="7"/>
  <c r="D530" i="7" s="1"/>
  <c r="C531" i="7"/>
  <c r="D531" i="7" s="1"/>
  <c r="C532" i="7"/>
  <c r="D532" i="7" s="1"/>
  <c r="C533" i="7"/>
  <c r="D533" i="7" s="1"/>
  <c r="C534" i="7"/>
  <c r="D534" i="7" s="1"/>
  <c r="C535" i="7"/>
  <c r="D535" i="7" s="1"/>
  <c r="C536" i="7"/>
  <c r="D536" i="7" s="1"/>
  <c r="C537" i="7"/>
  <c r="D537" i="7" s="1"/>
  <c r="C538" i="7"/>
  <c r="D538" i="7" s="1"/>
  <c r="C539" i="7"/>
  <c r="D539" i="7" s="1"/>
  <c r="C540" i="7"/>
  <c r="D540" i="7" s="1"/>
  <c r="C541" i="7"/>
  <c r="D541" i="7" s="1"/>
  <c r="C542" i="7"/>
  <c r="D542" i="7" s="1"/>
  <c r="C543" i="7"/>
  <c r="D543" i="7" s="1"/>
  <c r="C544" i="7"/>
  <c r="D544" i="7" s="1"/>
  <c r="C545" i="7"/>
  <c r="D545" i="7" s="1"/>
  <c r="C546" i="7"/>
  <c r="D546" i="7" s="1"/>
  <c r="C547" i="7"/>
  <c r="D547" i="7" s="1"/>
  <c r="C548" i="7"/>
  <c r="D548" i="7" s="1"/>
  <c r="C549" i="7"/>
  <c r="D549" i="7" s="1"/>
  <c r="C550" i="7"/>
  <c r="D550" i="7" s="1"/>
  <c r="C551" i="7"/>
  <c r="D551" i="7" s="1"/>
  <c r="C552" i="7"/>
  <c r="D552" i="7" s="1"/>
  <c r="C553" i="7"/>
  <c r="D553" i="7" s="1"/>
  <c r="C554" i="7"/>
  <c r="D554" i="7" s="1"/>
  <c r="C555" i="7"/>
  <c r="D555" i="7" s="1"/>
  <c r="C556" i="7"/>
  <c r="D556" i="7" s="1"/>
  <c r="C557" i="7"/>
  <c r="D557" i="7" s="1"/>
  <c r="C558" i="7"/>
  <c r="D558" i="7" s="1"/>
  <c r="C559" i="7"/>
  <c r="D559" i="7" s="1"/>
  <c r="C560" i="7"/>
  <c r="D560" i="7" s="1"/>
  <c r="C561" i="7"/>
  <c r="D561" i="7" s="1"/>
  <c r="C562" i="7"/>
  <c r="D562" i="7" s="1"/>
  <c r="C563" i="7"/>
  <c r="D563" i="7" s="1"/>
  <c r="C564" i="7"/>
  <c r="D564" i="7" s="1"/>
  <c r="C565" i="7"/>
  <c r="D565" i="7" s="1"/>
  <c r="C566" i="7"/>
  <c r="D566" i="7" s="1"/>
  <c r="C567" i="7"/>
  <c r="D567" i="7" s="1"/>
  <c r="C568" i="7"/>
  <c r="D568" i="7" s="1"/>
  <c r="C569" i="7"/>
  <c r="D569" i="7" s="1"/>
  <c r="C570" i="7"/>
  <c r="D570" i="7" s="1"/>
  <c r="C571" i="7"/>
  <c r="D571" i="7" s="1"/>
  <c r="C572" i="7"/>
  <c r="D572" i="7" s="1"/>
  <c r="C573" i="7"/>
  <c r="D573" i="7" s="1"/>
  <c r="C574" i="7"/>
  <c r="D574" i="7" s="1"/>
  <c r="C575" i="7"/>
  <c r="D575" i="7" s="1"/>
  <c r="C576" i="7"/>
  <c r="D576" i="7" s="1"/>
  <c r="C577" i="7"/>
  <c r="D577" i="7" s="1"/>
  <c r="C578" i="7"/>
  <c r="D578" i="7" s="1"/>
  <c r="C579" i="7"/>
  <c r="D579" i="7" s="1"/>
  <c r="C580" i="7"/>
  <c r="D580" i="7" s="1"/>
  <c r="C581" i="7"/>
  <c r="D581" i="7" s="1"/>
  <c r="C582" i="7"/>
  <c r="D582" i="7" s="1"/>
  <c r="C583" i="7"/>
  <c r="D583" i="7" s="1"/>
  <c r="C584" i="7"/>
  <c r="D584" i="7" s="1"/>
  <c r="C585" i="7"/>
  <c r="D585" i="7" s="1"/>
  <c r="C586" i="7"/>
  <c r="D586" i="7" s="1"/>
  <c r="C587" i="7"/>
  <c r="D587" i="7" s="1"/>
  <c r="C588" i="7"/>
  <c r="D588" i="7" s="1"/>
  <c r="C589" i="7"/>
  <c r="D589" i="7" s="1"/>
  <c r="C590" i="7"/>
  <c r="D590" i="7" s="1"/>
  <c r="C591" i="7"/>
  <c r="D591" i="7" s="1"/>
  <c r="C592" i="7"/>
  <c r="D592" i="7" s="1"/>
  <c r="C593" i="7"/>
  <c r="D593" i="7" s="1"/>
  <c r="C594" i="7"/>
  <c r="D594" i="7" s="1"/>
  <c r="C595" i="7"/>
  <c r="D595" i="7" s="1"/>
  <c r="C596" i="7"/>
  <c r="D596" i="7" s="1"/>
  <c r="C597" i="7"/>
  <c r="D597" i="7" s="1"/>
  <c r="C598" i="7"/>
  <c r="D598" i="7" s="1"/>
  <c r="C599" i="7"/>
  <c r="D599" i="7" s="1"/>
  <c r="C600" i="7"/>
  <c r="D600" i="7" s="1"/>
  <c r="C601" i="7"/>
  <c r="D601" i="7" s="1"/>
  <c r="C602" i="7"/>
  <c r="D602" i="7" s="1"/>
  <c r="C603" i="7"/>
  <c r="D603" i="7" s="1"/>
  <c r="C604" i="7"/>
  <c r="D604" i="7" s="1"/>
  <c r="C605" i="7"/>
  <c r="D605" i="7" s="1"/>
  <c r="C606" i="7"/>
  <c r="D606" i="7" s="1"/>
  <c r="C607" i="7"/>
  <c r="D607" i="7" s="1"/>
  <c r="C608" i="7"/>
  <c r="D608" i="7" s="1"/>
  <c r="C609" i="7"/>
  <c r="D609" i="7" s="1"/>
  <c r="C610" i="7"/>
  <c r="D610" i="7" s="1"/>
  <c r="C611" i="7"/>
  <c r="D611" i="7" s="1"/>
  <c r="C612" i="7"/>
  <c r="D612" i="7" s="1"/>
  <c r="C613" i="7"/>
  <c r="D613" i="7" s="1"/>
  <c r="C614" i="7"/>
  <c r="D614" i="7" s="1"/>
  <c r="C615" i="7"/>
  <c r="D615" i="7" s="1"/>
  <c r="C616" i="7"/>
  <c r="D616" i="7" s="1"/>
  <c r="C617" i="7"/>
  <c r="D617" i="7" s="1"/>
  <c r="C618" i="7"/>
  <c r="D618" i="7" s="1"/>
  <c r="C619" i="7"/>
  <c r="D619" i="7" s="1"/>
  <c r="C620" i="7"/>
  <c r="D620" i="7" s="1"/>
  <c r="C621" i="7"/>
  <c r="D621" i="7" s="1"/>
  <c r="C622" i="7"/>
  <c r="D622" i="7" s="1"/>
  <c r="C623" i="7"/>
  <c r="D623" i="7" s="1"/>
  <c r="C624" i="7"/>
  <c r="D624" i="7" s="1"/>
  <c r="C625" i="7"/>
  <c r="D625" i="7" s="1"/>
  <c r="C626" i="7"/>
  <c r="D626" i="7" s="1"/>
  <c r="C627" i="7"/>
  <c r="D627" i="7" s="1"/>
  <c r="C628" i="7"/>
  <c r="D628" i="7" s="1"/>
  <c r="C629" i="7"/>
  <c r="D629" i="7" s="1"/>
  <c r="C630" i="7"/>
  <c r="D630" i="7" s="1"/>
  <c r="C631" i="7"/>
  <c r="D631" i="7" s="1"/>
  <c r="C632" i="7"/>
  <c r="D632" i="7" s="1"/>
  <c r="C633" i="7"/>
  <c r="D633" i="7" s="1"/>
  <c r="C634" i="7"/>
  <c r="D634" i="7" s="1"/>
  <c r="C635" i="7"/>
  <c r="D635" i="7" s="1"/>
  <c r="C636" i="7"/>
  <c r="D636" i="7" s="1"/>
  <c r="C637" i="7"/>
  <c r="D637" i="7" s="1"/>
  <c r="C638" i="7"/>
  <c r="D638" i="7" s="1"/>
  <c r="C639" i="7"/>
  <c r="D639" i="7" s="1"/>
  <c r="C640" i="7"/>
  <c r="D640" i="7" s="1"/>
  <c r="C641" i="7"/>
  <c r="D641" i="7" s="1"/>
  <c r="C642" i="7"/>
  <c r="D642" i="7" s="1"/>
  <c r="C643" i="7"/>
  <c r="D643" i="7" s="1"/>
  <c r="C644" i="7"/>
  <c r="D644" i="7" s="1"/>
  <c r="C645" i="7"/>
  <c r="D645" i="7" s="1"/>
  <c r="C646" i="7"/>
  <c r="D646" i="7" s="1"/>
  <c r="C647" i="7"/>
  <c r="D647" i="7" s="1"/>
  <c r="C648" i="7"/>
  <c r="D648" i="7" s="1"/>
  <c r="C649" i="7"/>
  <c r="D649" i="7" s="1"/>
  <c r="C650" i="7"/>
  <c r="D650" i="7" s="1"/>
  <c r="C651" i="7"/>
  <c r="D651" i="7" s="1"/>
  <c r="C652" i="7"/>
  <c r="D652" i="7" s="1"/>
  <c r="C653" i="7"/>
  <c r="D653" i="7" s="1"/>
  <c r="C654" i="7"/>
  <c r="D654" i="7" s="1"/>
  <c r="C655" i="7"/>
  <c r="D655" i="7" s="1"/>
  <c r="C656" i="7"/>
  <c r="D656" i="7" s="1"/>
  <c r="C657" i="7"/>
  <c r="D657" i="7" s="1"/>
  <c r="C658" i="7"/>
  <c r="D658" i="7" s="1"/>
  <c r="C659" i="7"/>
  <c r="D659" i="7" s="1"/>
  <c r="C660" i="7"/>
  <c r="D660" i="7" s="1"/>
  <c r="C661" i="7"/>
  <c r="D661" i="7" s="1"/>
  <c r="C662" i="7"/>
  <c r="D662" i="7" s="1"/>
  <c r="C663" i="7"/>
  <c r="D663" i="7" s="1"/>
  <c r="C664" i="7"/>
  <c r="D664" i="7" s="1"/>
  <c r="C665" i="7"/>
  <c r="D665" i="7" s="1"/>
  <c r="C666" i="7"/>
  <c r="D666" i="7" s="1"/>
  <c r="C667" i="7"/>
  <c r="D667" i="7" s="1"/>
  <c r="C668" i="7"/>
  <c r="D668" i="7" s="1"/>
  <c r="C669" i="7"/>
  <c r="D669" i="7" s="1"/>
  <c r="C670" i="7"/>
  <c r="D670" i="7" s="1"/>
  <c r="C671" i="7"/>
  <c r="D671" i="7" s="1"/>
  <c r="C672" i="7"/>
  <c r="D672" i="7" s="1"/>
  <c r="C673" i="7"/>
  <c r="D673" i="7" s="1"/>
  <c r="C674" i="7"/>
  <c r="D674" i="7" s="1"/>
  <c r="C675" i="7"/>
  <c r="D675" i="7" s="1"/>
  <c r="C676" i="7"/>
  <c r="D676" i="7" s="1"/>
  <c r="C677" i="7"/>
  <c r="D677" i="7" s="1"/>
  <c r="C678" i="7"/>
  <c r="D678" i="7" s="1"/>
  <c r="C679" i="7"/>
  <c r="D679" i="7" s="1"/>
  <c r="C680" i="7"/>
  <c r="D680" i="7" s="1"/>
  <c r="C681" i="7"/>
  <c r="D681" i="7" s="1"/>
  <c r="C682" i="7"/>
  <c r="D682" i="7" s="1"/>
  <c r="C683" i="7"/>
  <c r="D683" i="7" s="1"/>
  <c r="C684" i="7"/>
  <c r="D684" i="7" s="1"/>
  <c r="C685" i="7"/>
  <c r="D685" i="7" s="1"/>
  <c r="C686" i="7"/>
  <c r="D686" i="7" s="1"/>
  <c r="C687" i="7"/>
  <c r="D687" i="7" s="1"/>
  <c r="C688" i="7"/>
  <c r="D688" i="7" s="1"/>
  <c r="C689" i="7"/>
  <c r="D689" i="7" s="1"/>
  <c r="C690" i="7"/>
  <c r="D690" i="7" s="1"/>
  <c r="C691" i="7"/>
  <c r="D691" i="7" s="1"/>
  <c r="C692" i="7"/>
  <c r="D692" i="7" s="1"/>
  <c r="C693" i="7"/>
  <c r="D693" i="7" s="1"/>
  <c r="C694" i="7"/>
  <c r="D694" i="7" s="1"/>
  <c r="C695" i="7"/>
  <c r="D695" i="7" s="1"/>
  <c r="C696" i="7"/>
  <c r="D696" i="7" s="1"/>
  <c r="C697" i="7"/>
  <c r="D697" i="7" s="1"/>
  <c r="C698" i="7"/>
  <c r="D698" i="7" s="1"/>
  <c r="C699" i="7"/>
  <c r="D699" i="7" s="1"/>
  <c r="C700" i="7"/>
  <c r="D700" i="7" s="1"/>
  <c r="C701" i="7"/>
  <c r="D701" i="7" s="1"/>
  <c r="C702" i="7"/>
  <c r="D702" i="7" s="1"/>
  <c r="C703" i="7"/>
  <c r="D703" i="7" s="1"/>
  <c r="C704" i="7"/>
  <c r="D704" i="7" s="1"/>
  <c r="C705" i="7"/>
  <c r="D705" i="7" s="1"/>
  <c r="C706" i="7"/>
  <c r="D706" i="7" s="1"/>
  <c r="C707" i="7"/>
  <c r="D707" i="7" s="1"/>
  <c r="C708" i="7"/>
  <c r="D708" i="7" s="1"/>
  <c r="C709" i="7"/>
  <c r="D709" i="7" s="1"/>
  <c r="C710" i="7"/>
  <c r="D710" i="7" s="1"/>
  <c r="C711" i="7"/>
  <c r="D711" i="7" s="1"/>
  <c r="C712" i="7"/>
  <c r="D712" i="7" s="1"/>
  <c r="C713" i="7"/>
  <c r="D713" i="7" s="1"/>
  <c r="C714" i="7"/>
  <c r="D714" i="7" s="1"/>
  <c r="C715" i="7"/>
  <c r="D715" i="7" s="1"/>
  <c r="C716" i="7"/>
  <c r="D716" i="7" s="1"/>
  <c r="C717" i="7"/>
  <c r="D717" i="7" s="1"/>
  <c r="C718" i="7"/>
  <c r="D718" i="7" s="1"/>
  <c r="C719" i="7"/>
  <c r="D719" i="7" s="1"/>
  <c r="C720" i="7"/>
  <c r="D720" i="7" s="1"/>
  <c r="C721" i="7"/>
  <c r="D721" i="7" s="1"/>
  <c r="C722" i="7"/>
  <c r="D722" i="7" s="1"/>
  <c r="C723" i="7"/>
  <c r="D723" i="7" s="1"/>
  <c r="C724" i="7"/>
  <c r="D724" i="7" s="1"/>
  <c r="C725" i="7"/>
  <c r="D725" i="7" s="1"/>
  <c r="C726" i="7"/>
  <c r="D726" i="7" s="1"/>
  <c r="C727" i="7"/>
  <c r="D727" i="7" s="1"/>
  <c r="C728" i="7"/>
  <c r="D728" i="7" s="1"/>
  <c r="C729" i="7"/>
  <c r="D729" i="7" s="1"/>
  <c r="C730" i="7"/>
  <c r="D730" i="7" s="1"/>
  <c r="C731" i="7"/>
  <c r="D731" i="7" s="1"/>
  <c r="C732" i="7"/>
  <c r="D732" i="7" s="1"/>
  <c r="C733" i="7"/>
  <c r="D733" i="7" s="1"/>
  <c r="C734" i="7"/>
  <c r="D734" i="7" s="1"/>
  <c r="C735" i="7"/>
  <c r="D735" i="7" s="1"/>
  <c r="C736" i="7"/>
  <c r="D736" i="7" s="1"/>
  <c r="C737" i="7"/>
  <c r="D737" i="7" s="1"/>
  <c r="C738" i="7"/>
  <c r="D738" i="7" s="1"/>
  <c r="C739" i="7"/>
  <c r="D739" i="7" s="1"/>
  <c r="C740" i="7"/>
  <c r="D740" i="7" s="1"/>
  <c r="C741" i="7"/>
  <c r="D741" i="7" s="1"/>
  <c r="C742" i="7"/>
  <c r="D742" i="7" s="1"/>
  <c r="C743" i="7"/>
  <c r="D743" i="7" s="1"/>
  <c r="C744" i="7"/>
  <c r="D744" i="7" s="1"/>
  <c r="C745" i="7"/>
  <c r="D745" i="7" s="1"/>
  <c r="C746" i="7"/>
  <c r="D746" i="7" s="1"/>
  <c r="C747" i="7"/>
  <c r="D747" i="7" s="1"/>
  <c r="C748" i="7"/>
  <c r="D748" i="7" s="1"/>
  <c r="C749" i="7"/>
  <c r="D749" i="7" s="1"/>
  <c r="C750" i="7"/>
  <c r="D750" i="7" s="1"/>
  <c r="C751" i="7"/>
  <c r="D751" i="7" s="1"/>
  <c r="C752" i="7"/>
  <c r="D752" i="7" s="1"/>
  <c r="C753" i="7"/>
  <c r="D753" i="7" s="1"/>
  <c r="C754" i="7"/>
  <c r="D754" i="7" s="1"/>
  <c r="C755" i="7"/>
  <c r="D755" i="7" s="1"/>
  <c r="C756" i="7"/>
  <c r="D756" i="7" s="1"/>
  <c r="C757" i="7"/>
  <c r="D757" i="7" s="1"/>
  <c r="C758" i="7"/>
  <c r="D758" i="7" s="1"/>
  <c r="C759" i="7"/>
  <c r="D759" i="7" s="1"/>
  <c r="C760" i="7"/>
  <c r="D760" i="7" s="1"/>
  <c r="C761" i="7"/>
  <c r="D761" i="7" s="1"/>
  <c r="C762" i="7"/>
  <c r="D762" i="7" s="1"/>
  <c r="C763" i="7"/>
  <c r="D763" i="7" s="1"/>
  <c r="C764" i="7"/>
  <c r="D764" i="7" s="1"/>
  <c r="C765" i="7"/>
  <c r="D765" i="7" s="1"/>
  <c r="C766" i="7"/>
  <c r="D766" i="7" s="1"/>
  <c r="C767" i="7"/>
  <c r="D767" i="7" s="1"/>
  <c r="C768" i="7"/>
  <c r="D768" i="7" s="1"/>
  <c r="C769" i="7"/>
  <c r="D769" i="7" s="1"/>
  <c r="C770" i="7"/>
  <c r="D770" i="7" s="1"/>
  <c r="C771" i="7"/>
  <c r="D771" i="7" s="1"/>
  <c r="C772" i="7"/>
  <c r="D772" i="7" s="1"/>
  <c r="C773" i="7"/>
  <c r="D773" i="7" s="1"/>
  <c r="C774" i="7"/>
  <c r="D774" i="7" s="1"/>
  <c r="C775" i="7"/>
  <c r="D775" i="7" s="1"/>
  <c r="C776" i="7"/>
  <c r="D776" i="7" s="1"/>
  <c r="C777" i="7"/>
  <c r="D777" i="7" s="1"/>
  <c r="C778" i="7"/>
  <c r="D778" i="7" s="1"/>
  <c r="C779" i="7"/>
  <c r="D779" i="7" s="1"/>
  <c r="C780" i="7"/>
  <c r="D780" i="7" s="1"/>
  <c r="C781" i="7"/>
  <c r="D781" i="7" s="1"/>
  <c r="C782" i="7"/>
  <c r="D782" i="7" s="1"/>
  <c r="C783" i="7"/>
  <c r="D783" i="7" s="1"/>
  <c r="C784" i="7"/>
  <c r="D784" i="7" s="1"/>
  <c r="C785" i="7"/>
  <c r="D785" i="7" s="1"/>
  <c r="C786" i="7"/>
  <c r="D786" i="7" s="1"/>
  <c r="C787" i="7"/>
  <c r="D787" i="7" s="1"/>
  <c r="C788" i="7"/>
  <c r="D788" i="7" s="1"/>
  <c r="C789" i="7"/>
  <c r="D789" i="7" s="1"/>
  <c r="C790" i="7"/>
  <c r="D790" i="7" s="1"/>
  <c r="C791" i="7"/>
  <c r="D791" i="7" s="1"/>
  <c r="C792" i="7"/>
  <c r="D792" i="7" s="1"/>
  <c r="C793" i="7"/>
  <c r="D793" i="7" s="1"/>
  <c r="C794" i="7"/>
  <c r="D794" i="7" s="1"/>
  <c r="C795" i="7"/>
  <c r="D795" i="7" s="1"/>
  <c r="C796" i="7"/>
  <c r="D796" i="7" s="1"/>
  <c r="C797" i="7"/>
  <c r="D797" i="7" s="1"/>
  <c r="C798" i="7"/>
  <c r="D798" i="7" s="1"/>
  <c r="C799" i="7"/>
  <c r="D799" i="7" s="1"/>
  <c r="C800" i="7"/>
  <c r="D800" i="7" s="1"/>
  <c r="C801" i="7"/>
  <c r="D801" i="7" s="1"/>
  <c r="C802" i="7"/>
  <c r="D802" i="7" s="1"/>
  <c r="C803" i="7"/>
  <c r="D803" i="7" s="1"/>
  <c r="C804" i="7"/>
  <c r="D804" i="7" s="1"/>
  <c r="C805" i="7"/>
  <c r="D805" i="7" s="1"/>
  <c r="C806" i="7"/>
  <c r="D806" i="7" s="1"/>
  <c r="C807" i="7"/>
  <c r="D807" i="7" s="1"/>
  <c r="C808" i="7"/>
  <c r="D808" i="7" s="1"/>
  <c r="C809" i="7"/>
  <c r="D809" i="7" s="1"/>
  <c r="C810" i="7"/>
  <c r="D810" i="7" s="1"/>
  <c r="C811" i="7"/>
  <c r="D811" i="7" s="1"/>
  <c r="C812" i="7"/>
  <c r="D812" i="7" s="1"/>
  <c r="C813" i="7"/>
  <c r="D813" i="7" s="1"/>
  <c r="C814" i="7"/>
  <c r="D814" i="7" s="1"/>
  <c r="C815" i="7"/>
  <c r="D815" i="7" s="1"/>
  <c r="C816" i="7"/>
  <c r="D816" i="7" s="1"/>
  <c r="C817" i="7"/>
  <c r="D817" i="7" s="1"/>
  <c r="C818" i="7"/>
  <c r="D818" i="7" s="1"/>
  <c r="C819" i="7"/>
  <c r="D819" i="7" s="1"/>
  <c r="C820" i="7"/>
  <c r="D820" i="7" s="1"/>
  <c r="C821" i="7"/>
  <c r="D821" i="7" s="1"/>
  <c r="C822" i="7"/>
  <c r="D822" i="7" s="1"/>
  <c r="C823" i="7"/>
  <c r="D823" i="7" s="1"/>
  <c r="C824" i="7"/>
  <c r="D824" i="7" s="1"/>
  <c r="C825" i="7"/>
  <c r="D825" i="7" s="1"/>
  <c r="C826" i="7"/>
  <c r="D826" i="7" s="1"/>
  <c r="C827" i="7"/>
  <c r="D827" i="7" s="1"/>
  <c r="C828" i="7"/>
  <c r="D828" i="7" s="1"/>
  <c r="C829" i="7"/>
  <c r="D829" i="7" s="1"/>
  <c r="C830" i="7"/>
  <c r="D830" i="7" s="1"/>
  <c r="C831" i="7"/>
  <c r="D831" i="7" s="1"/>
  <c r="C832" i="7"/>
  <c r="D832" i="7" s="1"/>
  <c r="C833" i="7"/>
  <c r="D833" i="7" s="1"/>
  <c r="C834" i="7"/>
  <c r="D834" i="7" s="1"/>
  <c r="C835" i="7"/>
  <c r="D835" i="7" s="1"/>
  <c r="C836" i="7"/>
  <c r="D836" i="7" s="1"/>
  <c r="C837" i="7"/>
  <c r="D837" i="7" s="1"/>
  <c r="C838" i="7"/>
  <c r="D838" i="7" s="1"/>
  <c r="C839" i="7"/>
  <c r="D839" i="7" s="1"/>
  <c r="C840" i="7"/>
  <c r="D840" i="7" s="1"/>
  <c r="C841" i="7"/>
  <c r="D841" i="7" s="1"/>
  <c r="C842" i="7"/>
  <c r="D842" i="7" s="1"/>
  <c r="C843" i="7"/>
  <c r="D843" i="7" s="1"/>
  <c r="C844" i="7"/>
  <c r="D844" i="7" s="1"/>
  <c r="C845" i="7"/>
  <c r="D845" i="7" s="1"/>
  <c r="C846" i="7"/>
  <c r="D846" i="7" s="1"/>
  <c r="C847" i="7"/>
  <c r="D847" i="7" s="1"/>
  <c r="C848" i="7"/>
  <c r="D848" i="7" s="1"/>
  <c r="C849" i="7"/>
  <c r="D849" i="7" s="1"/>
  <c r="C850" i="7"/>
  <c r="D850" i="7" s="1"/>
  <c r="C851" i="7"/>
  <c r="D851" i="7" s="1"/>
  <c r="C852" i="7"/>
  <c r="D852" i="7" s="1"/>
  <c r="C853" i="7"/>
  <c r="D853" i="7" s="1"/>
  <c r="C854" i="7"/>
  <c r="D854" i="7" s="1"/>
  <c r="C855" i="7"/>
  <c r="D855" i="7" s="1"/>
  <c r="C856" i="7"/>
  <c r="D856" i="7" s="1"/>
  <c r="C857" i="7"/>
  <c r="D857" i="7" s="1"/>
  <c r="C858" i="7"/>
  <c r="D858" i="7" s="1"/>
  <c r="C859" i="7"/>
  <c r="D859" i="7" s="1"/>
  <c r="C860" i="7"/>
  <c r="D860" i="7" s="1"/>
  <c r="C861" i="7"/>
  <c r="D861" i="7" s="1"/>
  <c r="C862" i="7"/>
  <c r="D862" i="7" s="1"/>
  <c r="C863" i="7"/>
  <c r="D863" i="7" s="1"/>
  <c r="C864" i="7"/>
  <c r="D864" i="7" s="1"/>
  <c r="C865" i="7"/>
  <c r="D865" i="7" s="1"/>
  <c r="C866" i="7"/>
  <c r="D866" i="7" s="1"/>
  <c r="C867" i="7"/>
  <c r="D867" i="7" s="1"/>
  <c r="C868" i="7"/>
  <c r="D868" i="7" s="1"/>
  <c r="C869" i="7"/>
  <c r="D869" i="7" s="1"/>
  <c r="C870" i="7"/>
  <c r="D870" i="7" s="1"/>
  <c r="C871" i="7"/>
  <c r="D871" i="7" s="1"/>
  <c r="C872" i="7"/>
  <c r="D872" i="7" s="1"/>
  <c r="C873" i="7"/>
  <c r="D873" i="7" s="1"/>
  <c r="C874" i="7"/>
  <c r="D874" i="7" s="1"/>
  <c r="C875" i="7"/>
  <c r="D875" i="7" s="1"/>
  <c r="C876" i="7"/>
  <c r="D876" i="7" s="1"/>
  <c r="C877" i="7"/>
  <c r="D877" i="7" s="1"/>
  <c r="C878" i="7"/>
  <c r="D878" i="7" s="1"/>
  <c r="C879" i="7"/>
  <c r="D879" i="7" s="1"/>
  <c r="C880" i="7"/>
  <c r="D880" i="7" s="1"/>
  <c r="C881" i="7"/>
  <c r="D881" i="7" s="1"/>
  <c r="C882" i="7"/>
  <c r="D882" i="7" s="1"/>
  <c r="C883" i="7"/>
  <c r="D883" i="7" s="1"/>
  <c r="C884" i="7"/>
  <c r="D884" i="7" s="1"/>
  <c r="C885" i="7"/>
  <c r="D885" i="7" s="1"/>
  <c r="C886" i="7"/>
  <c r="D886" i="7" s="1"/>
  <c r="C887" i="7"/>
  <c r="D887" i="7" s="1"/>
  <c r="C888" i="7"/>
  <c r="D888" i="7" s="1"/>
  <c r="C889" i="7"/>
  <c r="D889" i="7" s="1"/>
  <c r="C890" i="7"/>
  <c r="D890" i="7" s="1"/>
  <c r="C891" i="7"/>
  <c r="D891" i="7" s="1"/>
  <c r="C892" i="7"/>
  <c r="D892" i="7" s="1"/>
  <c r="C893" i="7"/>
  <c r="D893" i="7" s="1"/>
  <c r="C894" i="7"/>
  <c r="D894" i="7" s="1"/>
  <c r="C895" i="7"/>
  <c r="D895" i="7" s="1"/>
  <c r="C896" i="7"/>
  <c r="D896" i="7" s="1"/>
  <c r="C897" i="7"/>
  <c r="D897" i="7" s="1"/>
  <c r="C898" i="7"/>
  <c r="D898" i="7" s="1"/>
  <c r="C899" i="7"/>
  <c r="D899" i="7" s="1"/>
  <c r="C900" i="7"/>
  <c r="D900" i="7" s="1"/>
  <c r="C901" i="7"/>
  <c r="D901" i="7" s="1"/>
  <c r="C902" i="7"/>
  <c r="D902" i="7" s="1"/>
  <c r="C903" i="7"/>
  <c r="D903" i="7" s="1"/>
  <c r="C904" i="7"/>
  <c r="D904" i="7" s="1"/>
  <c r="C905" i="7"/>
  <c r="D905" i="7" s="1"/>
  <c r="C906" i="7"/>
  <c r="D906" i="7" s="1"/>
  <c r="C907" i="7"/>
  <c r="D907" i="7" s="1"/>
  <c r="C908" i="7"/>
  <c r="D908" i="7" s="1"/>
  <c r="C909" i="7"/>
  <c r="D909" i="7" s="1"/>
  <c r="C910" i="7"/>
  <c r="D910" i="7" s="1"/>
  <c r="C911" i="7"/>
  <c r="D911" i="7" s="1"/>
  <c r="C912" i="7"/>
  <c r="D912" i="7" s="1"/>
  <c r="C913" i="7"/>
  <c r="D913" i="7" s="1"/>
  <c r="C914" i="7"/>
  <c r="D914" i="7" s="1"/>
  <c r="C915" i="7"/>
  <c r="D915" i="7" s="1"/>
  <c r="C916" i="7"/>
  <c r="D916" i="7" s="1"/>
  <c r="C917" i="7"/>
  <c r="D917" i="7" s="1"/>
  <c r="C918" i="7"/>
  <c r="D918" i="7" s="1"/>
  <c r="C919" i="7"/>
  <c r="D919" i="7" s="1"/>
  <c r="C920" i="7"/>
  <c r="D920" i="7" s="1"/>
  <c r="C921" i="7"/>
  <c r="D921" i="7" s="1"/>
  <c r="C922" i="7"/>
  <c r="D922" i="7" s="1"/>
  <c r="C923" i="7"/>
  <c r="D923" i="7" s="1"/>
  <c r="C924" i="7"/>
  <c r="D924" i="7" s="1"/>
  <c r="C925" i="7"/>
  <c r="D925" i="7" s="1"/>
  <c r="C926" i="7"/>
  <c r="D926" i="7" s="1"/>
  <c r="C927" i="7"/>
  <c r="D927" i="7" s="1"/>
  <c r="C928" i="7"/>
  <c r="D928" i="7" s="1"/>
  <c r="C929" i="7"/>
  <c r="D929" i="7" s="1"/>
  <c r="C930" i="7"/>
  <c r="D930" i="7" s="1"/>
  <c r="C931" i="7"/>
  <c r="D931" i="7" s="1"/>
  <c r="C932" i="7"/>
  <c r="D932" i="7" s="1"/>
  <c r="C933" i="7"/>
  <c r="D933" i="7" s="1"/>
  <c r="C934" i="7"/>
  <c r="D934" i="7" s="1"/>
  <c r="C935" i="7"/>
  <c r="D935" i="7" s="1"/>
  <c r="C936" i="7"/>
  <c r="D936" i="7" s="1"/>
  <c r="C937" i="7"/>
  <c r="D937" i="7" s="1"/>
  <c r="C938" i="7"/>
  <c r="D938" i="7" s="1"/>
  <c r="C939" i="7"/>
  <c r="D939" i="7" s="1"/>
  <c r="C940" i="7"/>
  <c r="D940" i="7" s="1"/>
  <c r="C941" i="7"/>
  <c r="D941" i="7" s="1"/>
  <c r="C942" i="7"/>
  <c r="D942" i="7" s="1"/>
  <c r="C943" i="7"/>
  <c r="D943" i="7" s="1"/>
  <c r="C944" i="7"/>
  <c r="D944" i="7" s="1"/>
  <c r="C945" i="7"/>
  <c r="D945" i="7" s="1"/>
  <c r="C946" i="7"/>
  <c r="D946" i="7" s="1"/>
  <c r="C947" i="7"/>
  <c r="D947" i="7" s="1"/>
  <c r="C948" i="7"/>
  <c r="D948" i="7" s="1"/>
  <c r="C949" i="7"/>
  <c r="D949" i="7" s="1"/>
  <c r="C950" i="7"/>
  <c r="D950" i="7" s="1"/>
  <c r="C951" i="7"/>
  <c r="D951" i="7" s="1"/>
  <c r="C952" i="7"/>
  <c r="D952" i="7" s="1"/>
  <c r="C953" i="7"/>
  <c r="D953" i="7" s="1"/>
  <c r="C954" i="7"/>
  <c r="D954" i="7" s="1"/>
  <c r="C955" i="7"/>
  <c r="D955" i="7" s="1"/>
  <c r="C956" i="7"/>
  <c r="D956" i="7" s="1"/>
  <c r="C957" i="7"/>
  <c r="D957" i="7" s="1"/>
  <c r="C958" i="7"/>
  <c r="D958" i="7" s="1"/>
  <c r="C959" i="7"/>
  <c r="D959" i="7" s="1"/>
  <c r="C960" i="7"/>
  <c r="D960" i="7" s="1"/>
  <c r="C961" i="7"/>
  <c r="D961" i="7" s="1"/>
  <c r="C962" i="7"/>
  <c r="D962" i="7" s="1"/>
  <c r="C963" i="7"/>
  <c r="D963" i="7" s="1"/>
  <c r="C964" i="7"/>
  <c r="D964" i="7" s="1"/>
  <c r="C965" i="7"/>
  <c r="D965" i="7" s="1"/>
  <c r="C966" i="7"/>
  <c r="D966" i="7" s="1"/>
  <c r="C967" i="7"/>
  <c r="D967" i="7" s="1"/>
  <c r="C968" i="7"/>
  <c r="D968" i="7" s="1"/>
  <c r="C969" i="7"/>
  <c r="D969" i="7" s="1"/>
  <c r="C970" i="7"/>
  <c r="D970" i="7" s="1"/>
  <c r="C971" i="7"/>
  <c r="D971" i="7" s="1"/>
  <c r="C972" i="7"/>
  <c r="D972" i="7" s="1"/>
  <c r="C973" i="7"/>
  <c r="D973" i="7" s="1"/>
  <c r="C974" i="7"/>
  <c r="D974" i="7" s="1"/>
  <c r="C975" i="7"/>
  <c r="D975" i="7" s="1"/>
  <c r="C976" i="7"/>
  <c r="D976" i="7" s="1"/>
  <c r="C977" i="7"/>
  <c r="D977" i="7" s="1"/>
  <c r="C978" i="7"/>
  <c r="D978" i="7" s="1"/>
  <c r="C979" i="7"/>
  <c r="D979" i="7" s="1"/>
  <c r="C980" i="7"/>
  <c r="D980" i="7" s="1"/>
  <c r="C981" i="7"/>
  <c r="D981" i="7" s="1"/>
  <c r="C982" i="7"/>
  <c r="D982" i="7" s="1"/>
  <c r="C983" i="7"/>
  <c r="D983" i="7" s="1"/>
  <c r="C984" i="7"/>
  <c r="D984" i="7" s="1"/>
  <c r="C985" i="7"/>
  <c r="D985" i="7" s="1"/>
  <c r="C986" i="7"/>
  <c r="D986" i="7" s="1"/>
  <c r="C987" i="7"/>
  <c r="D987" i="7" s="1"/>
  <c r="C988" i="7"/>
  <c r="D988" i="7" s="1"/>
  <c r="C989" i="7"/>
  <c r="D989" i="7" s="1"/>
  <c r="C990" i="7"/>
  <c r="D990" i="7" s="1"/>
  <c r="C991" i="7"/>
  <c r="D991" i="7" s="1"/>
  <c r="C992" i="7"/>
  <c r="D992" i="7" s="1"/>
  <c r="C993" i="7"/>
  <c r="D993" i="7" s="1"/>
  <c r="C994" i="7"/>
  <c r="D994" i="7" s="1"/>
  <c r="C995" i="7"/>
  <c r="D995" i="7" s="1"/>
  <c r="C996" i="7"/>
  <c r="D996" i="7" s="1"/>
  <c r="C997" i="7"/>
  <c r="D997" i="7" s="1"/>
  <c r="C998" i="7"/>
  <c r="D998" i="7" s="1"/>
  <c r="C999" i="7"/>
  <c r="D999" i="7" s="1"/>
  <c r="C1000" i="7"/>
  <c r="D1000" i="7" s="1"/>
  <c r="C1001" i="7"/>
  <c r="D1001" i="7" s="1"/>
  <c r="C1002" i="7"/>
  <c r="D1002" i="7" s="1"/>
  <c r="C1003" i="7"/>
  <c r="D1003" i="7" s="1"/>
  <c r="C1004" i="7"/>
  <c r="D1004" i="7" s="1"/>
  <c r="C1005" i="7"/>
  <c r="D1005" i="7" s="1"/>
  <c r="C1006" i="7"/>
  <c r="D1006" i="7" s="1"/>
  <c r="C1007" i="7"/>
  <c r="D1007" i="7" s="1"/>
  <c r="C1008" i="7"/>
  <c r="D1008" i="7" s="1"/>
  <c r="C1009" i="7"/>
  <c r="D1009" i="7" s="1"/>
  <c r="C1010" i="7"/>
  <c r="D1010" i="7" s="1"/>
  <c r="C1011" i="7"/>
  <c r="D1011" i="7" s="1"/>
  <c r="C1012" i="7"/>
  <c r="D1012" i="7" s="1"/>
  <c r="C1013" i="7"/>
  <c r="D1013" i="7" s="1"/>
  <c r="C1014" i="7"/>
  <c r="D1014" i="7" s="1"/>
  <c r="C1015" i="7"/>
  <c r="D1015" i="7" s="1"/>
  <c r="C1016" i="7"/>
  <c r="D1016" i="7" s="1"/>
  <c r="C1017" i="7"/>
  <c r="D1017" i="7" s="1"/>
  <c r="C1018" i="7"/>
  <c r="D1018" i="7" s="1"/>
  <c r="C1019" i="7"/>
  <c r="D1019" i="7" s="1"/>
  <c r="C1020" i="7"/>
  <c r="D1020" i="7" s="1"/>
  <c r="C1021" i="7"/>
  <c r="D1021" i="7" s="1"/>
  <c r="C1022" i="7"/>
  <c r="D1022" i="7" s="1"/>
  <c r="C1023" i="7"/>
  <c r="D1023" i="7" s="1"/>
  <c r="C1024" i="7"/>
  <c r="D1024" i="7" s="1"/>
  <c r="C1025" i="7"/>
  <c r="D1025" i="7" s="1"/>
  <c r="C1026" i="7"/>
  <c r="D1026" i="7" s="1"/>
  <c r="C1027" i="7"/>
  <c r="D1027" i="7" s="1"/>
  <c r="C1028" i="7"/>
  <c r="D1028" i="7" s="1"/>
  <c r="C1029" i="7"/>
  <c r="D1029" i="7" s="1"/>
  <c r="C1030" i="7"/>
  <c r="D1030" i="7" s="1"/>
  <c r="C1031" i="7"/>
  <c r="D1031" i="7" s="1"/>
  <c r="C1032" i="7"/>
  <c r="D1032" i="7" s="1"/>
  <c r="C1033" i="7"/>
  <c r="D1033" i="7" s="1"/>
  <c r="C1034" i="7"/>
  <c r="D1034" i="7" s="1"/>
  <c r="C1035" i="7"/>
  <c r="D1035" i="7" s="1"/>
  <c r="C1036" i="7"/>
  <c r="D1036" i="7" s="1"/>
  <c r="C1037" i="7"/>
  <c r="D1037" i="7" s="1"/>
  <c r="C1038" i="7"/>
  <c r="D1038" i="7" s="1"/>
  <c r="C1039" i="7"/>
  <c r="D1039" i="7" s="1"/>
  <c r="C1040" i="7"/>
  <c r="D1040" i="7" s="1"/>
  <c r="C1041" i="7"/>
  <c r="D1041" i="7" s="1"/>
  <c r="C1042" i="7"/>
  <c r="D1042" i="7" s="1"/>
  <c r="C1043" i="7"/>
  <c r="D1043" i="7" s="1"/>
  <c r="C1044" i="7"/>
  <c r="D1044" i="7" s="1"/>
  <c r="C1045" i="7"/>
  <c r="D1045" i="7" s="1"/>
  <c r="C1046" i="7"/>
  <c r="D1046" i="7" s="1"/>
  <c r="C1047" i="7"/>
  <c r="D1047" i="7" s="1"/>
  <c r="C1048" i="7"/>
  <c r="D1048" i="7" s="1"/>
  <c r="C1049" i="7"/>
  <c r="D1049" i="7" s="1"/>
  <c r="C1050" i="7"/>
  <c r="D1050" i="7" s="1"/>
  <c r="C1051" i="7"/>
  <c r="D1051" i="7" s="1"/>
  <c r="C1052" i="7"/>
  <c r="D1052" i="7" s="1"/>
  <c r="C1053" i="7"/>
  <c r="D1053" i="7" s="1"/>
  <c r="C1054" i="7"/>
  <c r="D1054" i="7" s="1"/>
  <c r="C1055" i="7"/>
  <c r="D1055" i="7" s="1"/>
  <c r="C1056" i="7"/>
  <c r="D1056" i="7" s="1"/>
  <c r="C1057" i="7"/>
  <c r="D1057" i="7" s="1"/>
  <c r="C1058" i="7"/>
  <c r="D1058" i="7" s="1"/>
  <c r="C1059" i="7"/>
  <c r="D1059" i="7" s="1"/>
  <c r="C1060" i="7"/>
  <c r="D1060" i="7" s="1"/>
  <c r="C1061" i="7"/>
  <c r="D1061" i="7" s="1"/>
  <c r="C1062" i="7"/>
  <c r="D1062" i="7" s="1"/>
  <c r="C1063" i="7"/>
  <c r="D1063" i="7" s="1"/>
  <c r="C1064" i="7"/>
  <c r="D1064" i="7" s="1"/>
  <c r="C1065" i="7"/>
  <c r="D1065" i="7" s="1"/>
  <c r="C1066" i="7"/>
  <c r="D1066" i="7" s="1"/>
  <c r="C1067" i="7"/>
  <c r="D1067" i="7" s="1"/>
  <c r="C1068" i="7"/>
  <c r="D1068" i="7" s="1"/>
  <c r="C1069" i="7"/>
  <c r="D1069" i="7" s="1"/>
  <c r="C1070" i="7"/>
  <c r="D1070" i="7" s="1"/>
  <c r="C1071" i="7"/>
  <c r="D1071" i="7" s="1"/>
  <c r="C1072" i="7"/>
  <c r="D1072" i="7" s="1"/>
  <c r="C1073" i="7"/>
  <c r="D1073" i="7" s="1"/>
  <c r="C1074" i="7"/>
  <c r="D1074" i="7" s="1"/>
  <c r="C1075" i="7"/>
  <c r="D1075" i="7" s="1"/>
  <c r="C1076" i="7"/>
  <c r="D1076" i="7" s="1"/>
  <c r="C1077" i="7"/>
  <c r="D1077" i="7" s="1"/>
  <c r="C1078" i="7"/>
  <c r="D1078" i="7" s="1"/>
  <c r="C1079" i="7"/>
  <c r="D1079" i="7" s="1"/>
  <c r="C1080" i="7"/>
  <c r="D1080" i="7" s="1"/>
  <c r="C1081" i="7"/>
  <c r="D1081" i="7" s="1"/>
  <c r="C1082" i="7"/>
  <c r="D1082" i="7" s="1"/>
  <c r="C1083" i="7"/>
  <c r="D1083" i="7" s="1"/>
  <c r="C1084" i="7"/>
  <c r="D1084" i="7" s="1"/>
  <c r="C1085" i="7"/>
  <c r="D1085" i="7" s="1"/>
  <c r="C1086" i="7"/>
  <c r="D1086" i="7" s="1"/>
  <c r="C1087" i="7"/>
  <c r="D1087" i="7" s="1"/>
  <c r="C1088" i="7"/>
  <c r="D1088" i="7" s="1"/>
  <c r="C1089" i="7"/>
  <c r="D1089" i="7" s="1"/>
  <c r="C1090" i="7"/>
  <c r="D1090" i="7" s="1"/>
  <c r="C1091" i="7"/>
  <c r="D1091" i="7" s="1"/>
  <c r="C1092" i="7"/>
  <c r="D1092" i="7" s="1"/>
  <c r="C1093" i="7"/>
  <c r="D1093" i="7" s="1"/>
  <c r="C1094" i="7"/>
  <c r="D1094" i="7" s="1"/>
  <c r="C1095" i="7"/>
  <c r="D1095" i="7" s="1"/>
  <c r="C1096" i="7"/>
  <c r="D1096" i="7" s="1"/>
  <c r="C1097" i="7"/>
  <c r="D1097" i="7" s="1"/>
  <c r="C1098" i="7"/>
  <c r="D1098" i="7" s="1"/>
  <c r="C1099" i="7"/>
  <c r="D1099" i="7" s="1"/>
  <c r="C1100" i="7"/>
  <c r="D1100" i="7" s="1"/>
  <c r="C1101" i="7"/>
  <c r="D1101" i="7" s="1"/>
  <c r="C1102" i="7"/>
  <c r="D1102" i="7" s="1"/>
  <c r="C1103" i="7"/>
  <c r="D1103" i="7" s="1"/>
  <c r="C1104" i="7"/>
  <c r="D1104" i="7" s="1"/>
  <c r="C1105" i="7"/>
  <c r="D1105" i="7" s="1"/>
  <c r="C1106" i="7"/>
  <c r="D1106" i="7" s="1"/>
  <c r="C1107" i="7"/>
  <c r="D1107" i="7" s="1"/>
  <c r="C1108" i="7"/>
  <c r="D1108" i="7" s="1"/>
  <c r="C1109" i="7"/>
  <c r="D1109" i="7" s="1"/>
  <c r="C1110" i="7"/>
  <c r="D1110" i="7" s="1"/>
  <c r="C1111" i="7"/>
  <c r="D1111" i="7" s="1"/>
  <c r="C1112" i="7"/>
  <c r="D1112" i="7" s="1"/>
  <c r="C1113" i="7"/>
  <c r="D1113" i="7" s="1"/>
  <c r="C1114" i="7"/>
  <c r="D1114" i="7" s="1"/>
  <c r="C1115" i="7"/>
  <c r="D1115" i="7" s="1"/>
  <c r="C1116" i="7"/>
  <c r="D1116" i="7" s="1"/>
  <c r="C1117" i="7"/>
  <c r="D1117" i="7" s="1"/>
  <c r="C1118" i="7"/>
  <c r="D1118" i="7" s="1"/>
  <c r="C1119" i="7"/>
  <c r="D1119" i="7" s="1"/>
  <c r="C1120" i="7"/>
  <c r="D1120" i="7" s="1"/>
  <c r="C1121" i="7"/>
  <c r="D1121" i="7" s="1"/>
  <c r="C1122" i="7"/>
  <c r="D1122" i="7" s="1"/>
  <c r="C1123" i="7"/>
  <c r="D1123" i="7" s="1"/>
  <c r="C1124" i="7"/>
  <c r="D1124" i="7" s="1"/>
  <c r="C1125" i="7"/>
  <c r="D1125" i="7" s="1"/>
  <c r="C1126" i="7"/>
  <c r="D1126" i="7" s="1"/>
  <c r="C1127" i="7"/>
  <c r="D1127" i="7" s="1"/>
  <c r="C1128" i="7"/>
  <c r="D1128" i="7" s="1"/>
  <c r="C1129" i="7"/>
  <c r="D1129" i="7" s="1"/>
  <c r="C1130" i="7"/>
  <c r="D1130" i="7" s="1"/>
  <c r="C1131" i="7"/>
  <c r="D1131" i="7" s="1"/>
  <c r="C1132" i="7"/>
  <c r="D1132" i="7" s="1"/>
  <c r="C1133" i="7"/>
  <c r="D1133" i="7" s="1"/>
  <c r="C1134" i="7"/>
  <c r="D1134" i="7" s="1"/>
  <c r="C1135" i="7"/>
  <c r="D1135" i="7" s="1"/>
  <c r="C1136" i="7"/>
  <c r="D1136" i="7" s="1"/>
  <c r="C1137" i="7"/>
  <c r="D1137" i="7" s="1"/>
  <c r="C1138" i="7"/>
  <c r="D1138" i="7" s="1"/>
  <c r="C1139" i="7"/>
  <c r="D1139" i="7" s="1"/>
  <c r="C1140" i="7"/>
  <c r="D1140" i="7" s="1"/>
  <c r="C1141" i="7"/>
  <c r="D1141" i="7" s="1"/>
  <c r="C1142" i="7"/>
  <c r="D1142" i="7" s="1"/>
  <c r="C1143" i="7"/>
  <c r="D1143" i="7" s="1"/>
  <c r="C1144" i="7"/>
  <c r="D1144" i="7" s="1"/>
  <c r="C1145" i="7"/>
  <c r="D1145" i="7" s="1"/>
  <c r="C1146" i="7"/>
  <c r="D1146" i="7" s="1"/>
  <c r="C1147" i="7"/>
  <c r="D1147" i="7" s="1"/>
  <c r="C1148" i="7"/>
  <c r="D1148" i="7" s="1"/>
  <c r="C1149" i="7"/>
  <c r="D1149" i="7" s="1"/>
  <c r="C1150" i="7"/>
  <c r="D1150" i="7" s="1"/>
  <c r="C1151" i="7"/>
  <c r="D1151" i="7" s="1"/>
  <c r="C1152" i="7"/>
  <c r="D1152" i="7" s="1"/>
  <c r="C1153" i="7"/>
  <c r="D1153" i="7" s="1"/>
  <c r="C1154" i="7"/>
  <c r="D1154" i="7" s="1"/>
  <c r="C1155" i="7"/>
  <c r="D1155" i="7" s="1"/>
  <c r="C1156" i="7"/>
  <c r="D1156" i="7" s="1"/>
  <c r="C1157" i="7"/>
  <c r="D1157" i="7" s="1"/>
  <c r="C1158" i="7"/>
  <c r="D1158" i="7" s="1"/>
  <c r="C1159" i="7"/>
  <c r="D1159" i="7" s="1"/>
  <c r="C1160" i="7"/>
  <c r="D1160" i="7" s="1"/>
  <c r="C1161" i="7"/>
  <c r="D1161" i="7" s="1"/>
  <c r="C1162" i="7"/>
  <c r="D1162" i="7" s="1"/>
  <c r="C1163" i="7"/>
  <c r="D1163" i="7" s="1"/>
  <c r="C1164" i="7"/>
  <c r="D1164" i="7" s="1"/>
  <c r="C1165" i="7"/>
  <c r="D1165" i="7" s="1"/>
  <c r="C1166" i="7"/>
  <c r="D1166" i="7" s="1"/>
  <c r="C1167" i="7"/>
  <c r="D1167" i="7" s="1"/>
  <c r="C1168" i="7"/>
  <c r="D1168" i="7" s="1"/>
  <c r="C1169" i="7"/>
  <c r="D1169" i="7" s="1"/>
  <c r="C1170" i="7"/>
  <c r="D1170" i="7" s="1"/>
  <c r="C1171" i="7"/>
  <c r="D1171" i="7" s="1"/>
  <c r="C1172" i="7"/>
  <c r="D1172" i="7" s="1"/>
  <c r="C1173" i="7"/>
  <c r="D1173" i="7" s="1"/>
  <c r="C1174" i="7"/>
  <c r="D1174" i="7" s="1"/>
  <c r="C1175" i="7"/>
  <c r="D1175" i="7" s="1"/>
  <c r="C1176" i="7"/>
  <c r="D1176" i="7" s="1"/>
  <c r="C1177" i="7"/>
  <c r="D1177" i="7" s="1"/>
  <c r="C1178" i="7"/>
  <c r="D1178" i="7" s="1"/>
  <c r="C1179" i="7"/>
  <c r="D1179" i="7" s="1"/>
  <c r="C1180" i="7"/>
  <c r="D1180" i="7" s="1"/>
  <c r="C1181" i="7"/>
  <c r="D1181" i="7" s="1"/>
  <c r="C1182" i="7"/>
  <c r="D1182" i="7" s="1"/>
  <c r="C1183" i="7"/>
  <c r="D1183" i="7" s="1"/>
  <c r="C1184" i="7"/>
  <c r="D1184" i="7" s="1"/>
  <c r="C1185" i="7"/>
  <c r="D1185" i="7" s="1"/>
  <c r="C1186" i="7"/>
  <c r="D1186" i="7" s="1"/>
  <c r="C1187" i="7"/>
  <c r="D1187" i="7" s="1"/>
  <c r="C1188" i="7"/>
  <c r="D1188" i="7" s="1"/>
  <c r="C1189" i="7"/>
  <c r="D1189" i="7" s="1"/>
  <c r="C1190" i="7"/>
  <c r="D1190" i="7" s="1"/>
  <c r="C1191" i="7"/>
  <c r="D1191" i="7" s="1"/>
  <c r="C1192" i="7"/>
  <c r="D1192" i="7" s="1"/>
  <c r="C1193" i="7"/>
  <c r="D1193" i="7" s="1"/>
  <c r="C1194" i="7"/>
  <c r="D1194" i="7" s="1"/>
  <c r="C1195" i="7"/>
  <c r="D1195" i="7" s="1"/>
  <c r="C1196" i="7"/>
  <c r="D1196" i="7" s="1"/>
  <c r="C1197" i="7"/>
  <c r="D1197" i="7" s="1"/>
  <c r="C1198" i="7"/>
  <c r="D1198" i="7" s="1"/>
  <c r="C1199" i="7"/>
  <c r="D1199" i="7" s="1"/>
  <c r="C1200" i="7"/>
  <c r="D1200" i="7" s="1"/>
  <c r="C1201" i="7"/>
  <c r="D1201" i="7" s="1"/>
  <c r="C1202" i="7"/>
  <c r="D1202" i="7" s="1"/>
  <c r="C1203" i="7"/>
  <c r="D1203" i="7" s="1"/>
  <c r="C1204" i="7"/>
  <c r="D1204" i="7" s="1"/>
  <c r="C1205" i="7"/>
  <c r="D1205" i="7" s="1"/>
  <c r="C1206" i="7"/>
  <c r="D1206" i="7" s="1"/>
  <c r="C1207" i="7"/>
  <c r="D1207" i="7" s="1"/>
  <c r="C1208" i="7"/>
  <c r="D1208" i="7" s="1"/>
  <c r="C1209" i="7"/>
  <c r="D1209" i="7" s="1"/>
  <c r="C1210" i="7"/>
  <c r="D1210" i="7" s="1"/>
  <c r="C1211" i="7"/>
  <c r="D1211" i="7" s="1"/>
  <c r="C1212" i="7"/>
  <c r="D1212" i="7" s="1"/>
  <c r="C1213" i="7"/>
  <c r="D1213" i="7" s="1"/>
  <c r="C1214" i="7"/>
  <c r="D1214" i="7" s="1"/>
  <c r="C1215" i="7"/>
  <c r="D1215" i="7" s="1"/>
  <c r="C1216" i="7"/>
  <c r="D1216" i="7" s="1"/>
  <c r="C1217" i="7"/>
  <c r="D1217" i="7" s="1"/>
  <c r="C1218" i="7"/>
  <c r="D1218" i="7" s="1"/>
  <c r="C1219" i="7"/>
  <c r="D1219" i="7" s="1"/>
  <c r="C1220" i="7"/>
  <c r="D1220" i="7" s="1"/>
  <c r="C1221" i="7"/>
  <c r="D1221" i="7" s="1"/>
  <c r="C1222" i="7"/>
  <c r="D1222" i="7" s="1"/>
  <c r="C1223" i="7"/>
  <c r="D1223" i="7" s="1"/>
  <c r="C1224" i="7"/>
  <c r="D1224" i="7" s="1"/>
  <c r="C1225" i="7"/>
  <c r="D1225" i="7" s="1"/>
  <c r="C1226" i="7"/>
  <c r="D1226" i="7" s="1"/>
  <c r="C1227" i="7"/>
  <c r="D1227" i="7" s="1"/>
  <c r="C1228" i="7"/>
  <c r="D1228" i="7" s="1"/>
  <c r="C1229" i="7"/>
  <c r="D1229" i="7" s="1"/>
  <c r="C1230" i="7"/>
  <c r="D1230" i="7" s="1"/>
  <c r="C1231" i="7"/>
  <c r="D1231" i="7" s="1"/>
  <c r="C1232" i="7"/>
  <c r="D1232" i="7" s="1"/>
  <c r="C1233" i="7"/>
  <c r="D1233" i="7" s="1"/>
  <c r="C1234" i="7"/>
  <c r="D1234" i="7" s="1"/>
  <c r="C1235" i="7"/>
  <c r="D1235" i="7" s="1"/>
  <c r="C1236" i="7"/>
  <c r="D1236" i="7" s="1"/>
  <c r="C1237" i="7"/>
  <c r="D1237" i="7" s="1"/>
  <c r="C1238" i="7"/>
  <c r="D1238" i="7" s="1"/>
  <c r="C1239" i="7"/>
  <c r="D1239" i="7" s="1"/>
  <c r="C1240" i="7"/>
  <c r="D1240" i="7" s="1"/>
  <c r="C1241" i="7"/>
  <c r="D1241" i="7" s="1"/>
  <c r="C1242" i="7"/>
  <c r="D1242" i="7" s="1"/>
  <c r="C1243" i="7"/>
  <c r="D1243" i="7" s="1"/>
  <c r="C1244" i="7"/>
  <c r="D1244" i="7" s="1"/>
  <c r="C1245" i="7"/>
  <c r="D1245" i="7" s="1"/>
  <c r="C1246" i="7"/>
  <c r="D1246" i="7" s="1"/>
  <c r="C1247" i="7"/>
  <c r="D1247" i="7" s="1"/>
  <c r="C1248" i="7"/>
  <c r="D1248" i="7" s="1"/>
  <c r="C1249" i="7"/>
  <c r="D1249" i="7" s="1"/>
  <c r="C1250" i="7"/>
  <c r="D1250" i="7" s="1"/>
  <c r="C1251" i="7"/>
  <c r="D1251" i="7" s="1"/>
  <c r="C1252" i="7"/>
  <c r="D1252" i="7" s="1"/>
  <c r="C1253" i="7"/>
  <c r="D1253" i="7" s="1"/>
  <c r="C1254" i="7"/>
  <c r="D1254" i="7" s="1"/>
  <c r="C1255" i="7"/>
  <c r="D1255" i="7" s="1"/>
  <c r="C1256" i="7"/>
  <c r="D1256" i="7" s="1"/>
  <c r="C1257" i="7"/>
  <c r="D1257" i="7" s="1"/>
  <c r="C1258" i="7"/>
  <c r="D1258" i="7" s="1"/>
  <c r="C1259" i="7"/>
  <c r="D1259" i="7" s="1"/>
  <c r="C1260" i="7"/>
  <c r="D1260" i="7" s="1"/>
  <c r="C1261" i="7"/>
  <c r="D1261" i="7" s="1"/>
  <c r="C1262" i="7"/>
  <c r="D1262" i="7" s="1"/>
  <c r="C1263" i="7"/>
  <c r="D1263" i="7" s="1"/>
  <c r="C1264" i="7"/>
  <c r="D1264" i="7" s="1"/>
  <c r="C1265" i="7"/>
  <c r="D1265" i="7" s="1"/>
  <c r="C1266" i="7"/>
  <c r="D1266" i="7" s="1"/>
  <c r="C1267" i="7"/>
  <c r="D1267" i="7" s="1"/>
  <c r="C1268" i="7"/>
  <c r="D1268" i="7" s="1"/>
  <c r="C1269" i="7"/>
  <c r="D1269" i="7" s="1"/>
  <c r="C1270" i="7"/>
  <c r="D1270" i="7" s="1"/>
  <c r="C1271" i="7"/>
  <c r="D1271" i="7" s="1"/>
  <c r="C1272" i="7"/>
  <c r="D1272" i="7" s="1"/>
  <c r="C1273" i="7"/>
  <c r="D1273" i="7" s="1"/>
  <c r="C1274" i="7"/>
  <c r="D1274" i="7" s="1"/>
  <c r="C1275" i="7"/>
  <c r="D1275" i="7" s="1"/>
  <c r="C1276" i="7"/>
  <c r="D1276" i="7" s="1"/>
  <c r="C1277" i="7"/>
  <c r="D1277" i="7" s="1"/>
  <c r="C1278" i="7"/>
  <c r="D1278" i="7" s="1"/>
  <c r="C1279" i="7"/>
  <c r="D1279" i="7" s="1"/>
  <c r="C1280" i="7"/>
  <c r="D1280" i="7" s="1"/>
  <c r="C1281" i="7"/>
  <c r="D1281" i="7" s="1"/>
  <c r="C1282" i="7"/>
  <c r="D1282" i="7" s="1"/>
  <c r="C1283" i="7"/>
  <c r="D1283" i="7" s="1"/>
  <c r="C1284" i="7"/>
  <c r="D1284" i="7" s="1"/>
  <c r="C1285" i="7"/>
  <c r="D1285" i="7" s="1"/>
  <c r="C1286" i="7"/>
  <c r="D1286" i="7" s="1"/>
  <c r="C1287" i="7"/>
  <c r="D1287" i="7" s="1"/>
  <c r="C1288" i="7"/>
  <c r="D1288" i="7" s="1"/>
  <c r="C1289" i="7"/>
  <c r="D1289" i="7" s="1"/>
  <c r="C1290" i="7"/>
  <c r="D1290" i="7" s="1"/>
  <c r="C1291" i="7"/>
  <c r="D1291" i="7" s="1"/>
  <c r="C1292" i="7"/>
  <c r="D1292" i="7" s="1"/>
  <c r="C1293" i="7"/>
  <c r="D1293" i="7" s="1"/>
  <c r="C1294" i="7"/>
  <c r="D1294" i="7" s="1"/>
  <c r="C1295" i="7"/>
  <c r="D1295" i="7" s="1"/>
  <c r="C1296" i="7"/>
  <c r="D1296" i="7" s="1"/>
  <c r="C1297" i="7"/>
  <c r="D1297" i="7" s="1"/>
  <c r="C1298" i="7"/>
  <c r="D1298" i="7" s="1"/>
  <c r="C1299" i="7"/>
  <c r="D1299" i="7" s="1"/>
  <c r="C1300" i="7"/>
  <c r="D1300" i="7" s="1"/>
  <c r="C1301" i="7"/>
  <c r="D1301" i="7" s="1"/>
  <c r="C1302" i="7"/>
  <c r="D1302" i="7" s="1"/>
  <c r="C1303" i="7"/>
  <c r="D1303" i="7" s="1"/>
  <c r="C1304" i="7"/>
  <c r="D1304" i="7" s="1"/>
  <c r="C1305" i="7"/>
  <c r="D1305" i="7" s="1"/>
  <c r="C1306" i="7"/>
  <c r="D1306" i="7" s="1"/>
  <c r="C1307" i="7"/>
  <c r="D1307" i="7" s="1"/>
  <c r="C1308" i="7"/>
  <c r="D1308" i="7" s="1"/>
  <c r="C1309" i="7"/>
  <c r="D1309" i="7" s="1"/>
  <c r="C1310" i="7"/>
  <c r="D1310" i="7" s="1"/>
  <c r="C1311" i="7"/>
  <c r="D1311" i="7" s="1"/>
  <c r="C1312" i="7"/>
  <c r="D1312" i="7" s="1"/>
  <c r="C1313" i="7"/>
  <c r="D1313" i="7" s="1"/>
  <c r="C1314" i="7"/>
  <c r="D1314" i="7" s="1"/>
  <c r="C1315" i="7"/>
  <c r="D1315" i="7" s="1"/>
  <c r="C1316" i="7"/>
  <c r="D1316" i="7" s="1"/>
  <c r="C1317" i="7"/>
  <c r="D1317" i="7" s="1"/>
  <c r="C1318" i="7"/>
  <c r="D1318" i="7" s="1"/>
  <c r="C1319" i="7"/>
  <c r="D1319" i="7" s="1"/>
  <c r="C1320" i="7"/>
  <c r="D1320" i="7" s="1"/>
  <c r="C1321" i="7"/>
  <c r="D1321" i="7" s="1"/>
  <c r="C1322" i="7"/>
  <c r="D1322" i="7" s="1"/>
  <c r="C1323" i="7"/>
  <c r="D1323" i="7" s="1"/>
  <c r="C1324" i="7"/>
  <c r="D1324" i="7" s="1"/>
  <c r="C1325" i="7"/>
  <c r="D1325" i="7" s="1"/>
  <c r="C1326" i="7"/>
  <c r="D1326" i="7" s="1"/>
  <c r="C1327" i="7"/>
  <c r="D1327" i="7" s="1"/>
  <c r="C1328" i="7"/>
  <c r="D1328" i="7" s="1"/>
  <c r="C1329" i="7"/>
  <c r="D1329" i="7" s="1"/>
  <c r="C1330" i="7"/>
  <c r="D1330" i="7" s="1"/>
  <c r="C1331" i="7"/>
  <c r="D1331" i="7" s="1"/>
  <c r="C1332" i="7"/>
  <c r="D1332" i="7" s="1"/>
  <c r="C1333" i="7"/>
  <c r="D1333" i="7" s="1"/>
  <c r="C1334" i="7"/>
  <c r="D1334" i="7" s="1"/>
  <c r="C1335" i="7"/>
  <c r="D1335" i="7" s="1"/>
  <c r="C1336" i="7"/>
  <c r="D1336" i="7" s="1"/>
  <c r="C1337" i="7"/>
  <c r="D1337" i="7" s="1"/>
  <c r="C1338" i="7"/>
  <c r="D1338" i="7" s="1"/>
  <c r="C1339" i="7"/>
  <c r="D1339" i="7" s="1"/>
  <c r="C1340" i="7"/>
  <c r="D1340" i="7" s="1"/>
  <c r="C1341" i="7"/>
  <c r="D1341" i="7" s="1"/>
  <c r="C1342" i="7"/>
  <c r="D1342" i="7" s="1"/>
  <c r="C1343" i="7"/>
  <c r="D1343" i="7" s="1"/>
  <c r="C1344" i="7"/>
  <c r="D1344" i="7" s="1"/>
  <c r="C1345" i="7"/>
  <c r="D1345" i="7" s="1"/>
  <c r="C1346" i="7"/>
  <c r="D1346" i="7" s="1"/>
  <c r="C1347" i="7"/>
  <c r="D1347" i="7" s="1"/>
  <c r="C1348" i="7"/>
  <c r="D1348" i="7" s="1"/>
  <c r="C1349" i="7"/>
  <c r="D1349" i="7" s="1"/>
  <c r="C1350" i="7"/>
  <c r="D1350" i="7" s="1"/>
  <c r="C1351" i="7"/>
  <c r="D1351" i="7" s="1"/>
  <c r="C1352" i="7"/>
  <c r="D1352" i="7" s="1"/>
  <c r="C1353" i="7"/>
  <c r="D1353" i="7" s="1"/>
  <c r="C1354" i="7"/>
  <c r="D1354" i="7" s="1"/>
  <c r="C1355" i="7"/>
  <c r="D1355" i="7" s="1"/>
  <c r="C1356" i="7"/>
  <c r="D1356" i="7" s="1"/>
  <c r="C1357" i="7"/>
  <c r="D1357" i="7" s="1"/>
  <c r="C1358" i="7"/>
  <c r="D1358" i="7" s="1"/>
  <c r="C1359" i="7"/>
  <c r="D1359" i="7" s="1"/>
  <c r="C1360" i="7"/>
  <c r="D1360" i="7" s="1"/>
  <c r="C1361" i="7"/>
  <c r="D1361" i="7" s="1"/>
  <c r="C1362" i="7"/>
  <c r="D1362" i="7" s="1"/>
  <c r="C1363" i="7"/>
  <c r="D1363" i="7" s="1"/>
  <c r="C1364" i="7"/>
  <c r="D1364" i="7" s="1"/>
  <c r="C1365" i="7"/>
  <c r="D1365" i="7" s="1"/>
  <c r="C1366" i="7"/>
  <c r="D1366" i="7" s="1"/>
  <c r="C1367" i="7"/>
  <c r="D1367" i="7" s="1"/>
  <c r="C1368" i="7"/>
  <c r="D1368" i="7" s="1"/>
  <c r="C1369" i="7"/>
  <c r="D1369" i="7" s="1"/>
  <c r="C1370" i="7"/>
  <c r="D1370" i="7" s="1"/>
  <c r="C1371" i="7"/>
  <c r="D1371" i="7" s="1"/>
  <c r="C1372" i="7"/>
  <c r="D1372" i="7" s="1"/>
  <c r="C1373" i="7"/>
  <c r="D1373" i="7" s="1"/>
  <c r="C1374" i="7"/>
  <c r="D1374" i="7" s="1"/>
  <c r="C1375" i="7"/>
  <c r="D1375" i="7" s="1"/>
  <c r="C1376" i="7"/>
  <c r="D1376" i="7" s="1"/>
  <c r="C1377" i="7"/>
  <c r="D1377" i="7" s="1"/>
  <c r="C1378" i="7"/>
  <c r="D1378" i="7" s="1"/>
  <c r="C1379" i="7"/>
  <c r="D1379" i="7" s="1"/>
  <c r="C1380" i="7"/>
  <c r="D1380" i="7" s="1"/>
  <c r="C1381" i="7"/>
  <c r="D1381" i="7" s="1"/>
  <c r="C1382" i="7"/>
  <c r="D1382" i="7" s="1"/>
  <c r="C1383" i="7"/>
  <c r="D1383" i="7" s="1"/>
  <c r="C1384" i="7"/>
  <c r="D1384" i="7" s="1"/>
  <c r="C1385" i="7"/>
  <c r="D1385" i="7" s="1"/>
  <c r="C1386" i="7"/>
  <c r="D1386" i="7" s="1"/>
  <c r="C1387" i="7"/>
  <c r="D1387" i="7" s="1"/>
  <c r="C1388" i="7"/>
  <c r="D1388" i="7" s="1"/>
  <c r="C1389" i="7"/>
  <c r="D1389" i="7" s="1"/>
  <c r="C1390" i="7"/>
  <c r="D1390" i="7" s="1"/>
  <c r="C1391" i="7"/>
  <c r="D1391" i="7" s="1"/>
  <c r="C1392" i="7"/>
  <c r="D1392" i="7" s="1"/>
  <c r="C1393" i="7"/>
  <c r="D1393" i="7" s="1"/>
  <c r="C1394" i="7"/>
  <c r="D1394" i="7" s="1"/>
  <c r="C1395" i="7"/>
  <c r="D1395" i="7" s="1"/>
  <c r="C1396" i="7"/>
  <c r="D1396" i="7" s="1"/>
  <c r="C1397" i="7"/>
  <c r="D1397" i="7" s="1"/>
  <c r="C1398" i="7"/>
  <c r="D1398" i="7" s="1"/>
  <c r="C1399" i="7"/>
  <c r="D1399" i="7" s="1"/>
  <c r="C1400" i="7"/>
  <c r="D1400" i="7" s="1"/>
  <c r="C1401" i="7"/>
  <c r="D1401" i="7" s="1"/>
  <c r="C1402" i="7"/>
  <c r="D1402" i="7" s="1"/>
  <c r="C1403" i="7"/>
  <c r="D1403" i="7" s="1"/>
  <c r="C1404" i="7"/>
  <c r="D1404" i="7" s="1"/>
  <c r="C1405" i="7"/>
  <c r="D1405" i="7" s="1"/>
  <c r="C1406" i="7"/>
  <c r="D1406" i="7" s="1"/>
  <c r="C1407" i="7"/>
  <c r="D1407" i="7" s="1"/>
  <c r="C1408" i="7"/>
  <c r="D1408" i="7" s="1"/>
  <c r="C1409" i="7"/>
  <c r="D1409" i="7" s="1"/>
  <c r="C1410" i="7"/>
  <c r="D1410" i="7" s="1"/>
  <c r="C1411" i="7"/>
  <c r="D1411" i="7" s="1"/>
  <c r="C1412" i="7"/>
  <c r="D1412" i="7" s="1"/>
  <c r="C1413" i="7"/>
  <c r="D1413" i="7" s="1"/>
  <c r="C1414" i="7"/>
  <c r="D1414" i="7" s="1"/>
  <c r="C1415" i="7"/>
  <c r="D1415" i="7" s="1"/>
  <c r="C1416" i="7"/>
  <c r="D1416" i="7" s="1"/>
  <c r="C1417" i="7"/>
  <c r="D1417" i="7" s="1"/>
  <c r="C1418" i="7"/>
  <c r="D1418" i="7" s="1"/>
  <c r="C1419" i="7"/>
  <c r="D1419" i="7" s="1"/>
  <c r="C1420" i="7"/>
  <c r="D1420" i="7" s="1"/>
  <c r="C1421" i="7"/>
  <c r="D1421" i="7" s="1"/>
  <c r="C1422" i="7"/>
  <c r="D1422" i="7" s="1"/>
  <c r="C1423" i="7"/>
  <c r="D1423" i="7" s="1"/>
  <c r="C1424" i="7"/>
  <c r="D1424" i="7" s="1"/>
  <c r="C1425" i="7"/>
  <c r="D1425" i="7" s="1"/>
  <c r="C1426" i="7"/>
  <c r="D1426" i="7" s="1"/>
  <c r="C1427" i="7"/>
  <c r="D1427" i="7" s="1"/>
  <c r="C1428" i="7"/>
  <c r="D1428" i="7" s="1"/>
  <c r="C1429" i="7"/>
  <c r="D1429" i="7" s="1"/>
  <c r="C1430" i="7"/>
  <c r="D1430" i="7" s="1"/>
  <c r="C1431" i="7"/>
  <c r="D1431" i="7" s="1"/>
  <c r="C1432" i="7"/>
  <c r="D1432" i="7" s="1"/>
  <c r="C1433" i="7"/>
  <c r="D1433" i="7" s="1"/>
  <c r="C1434" i="7"/>
  <c r="D1434" i="7" s="1"/>
  <c r="C1435" i="7"/>
  <c r="D1435" i="7" s="1"/>
  <c r="C1436" i="7"/>
  <c r="D1436" i="7" s="1"/>
  <c r="C1437" i="7"/>
  <c r="D1437" i="7" s="1"/>
  <c r="C1438" i="7"/>
  <c r="D1438" i="7" s="1"/>
  <c r="C1439" i="7"/>
  <c r="D1439" i="7" s="1"/>
  <c r="C1440" i="7"/>
  <c r="D1440" i="7" s="1"/>
  <c r="C1441" i="7"/>
  <c r="D1441" i="7" s="1"/>
  <c r="C1442" i="7"/>
  <c r="D1442" i="7" s="1"/>
  <c r="C1443" i="7"/>
  <c r="D1443" i="7" s="1"/>
  <c r="C1444" i="7"/>
  <c r="D1444" i="7" s="1"/>
  <c r="C1445" i="7"/>
  <c r="D1445" i="7" s="1"/>
  <c r="C1446" i="7"/>
  <c r="D1446" i="7" s="1"/>
  <c r="C1447" i="7"/>
  <c r="D1447" i="7" s="1"/>
  <c r="C1448" i="7"/>
  <c r="D1448" i="7" s="1"/>
  <c r="C1449" i="7"/>
  <c r="D1449" i="7" s="1"/>
  <c r="C1450" i="7"/>
  <c r="D1450" i="7" s="1"/>
  <c r="C1451" i="7"/>
  <c r="D1451" i="7" s="1"/>
  <c r="C1452" i="7"/>
  <c r="D1452" i="7" s="1"/>
  <c r="C1453" i="7"/>
  <c r="D1453" i="7" s="1"/>
  <c r="C1454" i="7"/>
  <c r="D1454" i="7" s="1"/>
  <c r="C1455" i="7"/>
  <c r="D1455" i="7" s="1"/>
  <c r="C1456" i="7"/>
  <c r="D1456" i="7" s="1"/>
  <c r="C1457" i="7"/>
  <c r="D1457" i="7" s="1"/>
  <c r="C1458" i="7"/>
  <c r="D1458" i="7" s="1"/>
  <c r="C1459" i="7"/>
  <c r="D1459" i="7" s="1"/>
  <c r="C1460" i="7"/>
  <c r="D1460" i="7" s="1"/>
  <c r="C1461" i="7"/>
  <c r="D1461" i="7" s="1"/>
  <c r="C1462" i="7"/>
  <c r="D1462" i="7" s="1"/>
  <c r="C1463" i="7"/>
  <c r="D1463" i="7" s="1"/>
  <c r="C1464" i="7"/>
  <c r="D1464" i="7" s="1"/>
  <c r="C1465" i="7"/>
  <c r="D1465" i="7" s="1"/>
  <c r="C1466" i="7"/>
  <c r="D1466" i="7" s="1"/>
  <c r="C1467" i="7"/>
  <c r="D1467" i="7" s="1"/>
  <c r="C1468" i="7"/>
  <c r="D1468" i="7" s="1"/>
  <c r="C1469" i="7"/>
  <c r="D1469" i="7" s="1"/>
  <c r="C1470" i="7"/>
  <c r="D1470" i="7" s="1"/>
  <c r="C1471" i="7"/>
  <c r="D1471" i="7" s="1"/>
  <c r="C1472" i="7"/>
  <c r="D1472" i="7" s="1"/>
  <c r="C1473" i="7"/>
  <c r="D1473" i="7" s="1"/>
  <c r="C1474" i="7"/>
  <c r="D1474" i="7" s="1"/>
  <c r="C1475" i="7"/>
  <c r="D1475" i="7" s="1"/>
  <c r="C1476" i="7"/>
  <c r="D1476" i="7" s="1"/>
  <c r="C1477" i="7"/>
  <c r="D1477" i="7" s="1"/>
  <c r="C1478" i="7"/>
  <c r="D1478" i="7" s="1"/>
  <c r="C1479" i="7"/>
  <c r="D1479" i="7" s="1"/>
  <c r="C1480" i="7"/>
  <c r="D1480" i="7" s="1"/>
  <c r="C1481" i="7"/>
  <c r="D1481" i="7" s="1"/>
  <c r="C1482" i="7"/>
  <c r="D1482" i="7" s="1"/>
  <c r="C1483" i="7"/>
  <c r="D1483" i="7" s="1"/>
  <c r="C1484" i="7"/>
  <c r="D1484" i="7" s="1"/>
  <c r="C1485" i="7"/>
  <c r="D1485" i="7" s="1"/>
  <c r="C1486" i="7"/>
  <c r="D1486" i="7" s="1"/>
  <c r="C1487" i="7"/>
  <c r="D1487" i="7" s="1"/>
  <c r="C1488" i="7"/>
  <c r="D1488" i="7" s="1"/>
  <c r="C1489" i="7"/>
  <c r="D1489" i="7" s="1"/>
  <c r="C1490" i="7"/>
  <c r="D1490" i="7" s="1"/>
  <c r="C1491" i="7"/>
  <c r="D1491" i="7" s="1"/>
  <c r="C1492" i="7"/>
  <c r="D1492" i="7" s="1"/>
  <c r="C1493" i="7"/>
  <c r="D1493" i="7" s="1"/>
  <c r="C1494" i="7"/>
  <c r="D1494" i="7" s="1"/>
  <c r="C1495" i="7"/>
  <c r="D1495" i="7" s="1"/>
  <c r="C1496" i="7"/>
  <c r="D1496" i="7" s="1"/>
  <c r="C1497" i="7"/>
  <c r="D1497" i="7" s="1"/>
  <c r="C1498" i="7"/>
  <c r="D1498" i="7" s="1"/>
  <c r="C1499" i="7"/>
  <c r="D1499" i="7" s="1"/>
  <c r="C1500" i="7"/>
  <c r="D1500" i="7" s="1"/>
  <c r="C1501" i="7"/>
  <c r="D1501" i="7" s="1"/>
  <c r="C1502" i="7"/>
  <c r="D1502" i="7" s="1"/>
  <c r="C1503" i="7"/>
  <c r="D1503" i="7" s="1"/>
  <c r="C1504" i="7"/>
  <c r="D1504" i="7" s="1"/>
  <c r="C1505" i="7"/>
  <c r="D1505" i="7" s="1"/>
  <c r="C1506" i="7"/>
  <c r="D1506" i="7" s="1"/>
  <c r="C1507" i="7"/>
  <c r="D1507" i="7" s="1"/>
  <c r="C1508" i="7"/>
  <c r="D1508" i="7" s="1"/>
  <c r="C1509" i="7"/>
  <c r="D1509" i="7" s="1"/>
  <c r="C1510" i="7"/>
  <c r="D1510" i="7" s="1"/>
  <c r="C1511" i="7"/>
  <c r="D1511" i="7" s="1"/>
  <c r="C1512" i="7"/>
  <c r="D1512" i="7" s="1"/>
  <c r="C1513" i="7"/>
  <c r="D1513" i="7" s="1"/>
  <c r="C1514" i="7"/>
  <c r="D1514" i="7" s="1"/>
  <c r="C1515" i="7"/>
  <c r="D1515" i="7" s="1"/>
  <c r="C1516" i="7"/>
  <c r="D1516" i="7" s="1"/>
  <c r="C1517" i="7"/>
  <c r="D1517" i="7" s="1"/>
  <c r="C1518" i="7"/>
  <c r="D1518" i="7" s="1"/>
  <c r="C1519" i="7"/>
  <c r="D1519" i="7" s="1"/>
  <c r="C1520" i="7"/>
  <c r="D1520" i="7" s="1"/>
  <c r="C1521" i="7"/>
  <c r="D1521" i="7" s="1"/>
  <c r="C1522" i="7"/>
  <c r="D1522" i="7" s="1"/>
  <c r="C1523" i="7"/>
  <c r="D1523" i="7" s="1"/>
  <c r="C1524" i="7"/>
  <c r="D1524" i="7" s="1"/>
  <c r="C1525" i="7"/>
  <c r="D1525" i="7" s="1"/>
  <c r="C1526" i="7"/>
  <c r="D1526" i="7" s="1"/>
  <c r="C1527" i="7"/>
  <c r="D1527" i="7" s="1"/>
  <c r="C1528" i="7"/>
  <c r="D1528" i="7" s="1"/>
  <c r="C1529" i="7"/>
  <c r="D1529" i="7" s="1"/>
  <c r="C1530" i="7"/>
  <c r="D1530" i="7" s="1"/>
  <c r="C1531" i="7"/>
  <c r="D1531" i="7" s="1"/>
  <c r="C1532" i="7"/>
  <c r="D1532" i="7" s="1"/>
  <c r="C1533" i="7"/>
  <c r="D1533" i="7" s="1"/>
  <c r="C1534" i="7"/>
  <c r="D1534" i="7" s="1"/>
  <c r="C1535" i="7"/>
  <c r="D1535" i="7" s="1"/>
  <c r="C1536" i="7"/>
  <c r="D1536" i="7" s="1"/>
  <c r="C1537" i="7"/>
  <c r="D1537" i="7" s="1"/>
  <c r="C1538" i="7"/>
  <c r="D1538" i="7" s="1"/>
  <c r="C1539" i="7"/>
  <c r="D1539" i="7" s="1"/>
  <c r="C1540" i="7"/>
  <c r="D1540" i="7" s="1"/>
  <c r="C1541" i="7"/>
  <c r="D1541" i="7" s="1"/>
  <c r="C1542" i="7"/>
  <c r="D1542" i="7" s="1"/>
  <c r="C1543" i="7"/>
  <c r="D1543" i="7" s="1"/>
  <c r="C1544" i="7"/>
  <c r="D1544" i="7" s="1"/>
  <c r="C1545" i="7"/>
  <c r="D1545" i="7" s="1"/>
  <c r="C1546" i="7"/>
  <c r="D1546" i="7" s="1"/>
  <c r="C1547" i="7"/>
  <c r="D1547" i="7" s="1"/>
  <c r="C1548" i="7"/>
  <c r="D1548" i="7" s="1"/>
  <c r="C1549" i="7"/>
  <c r="D1549" i="7" s="1"/>
  <c r="C1550" i="7"/>
  <c r="D1550" i="7" s="1"/>
  <c r="C1551" i="7"/>
  <c r="D1551" i="7" s="1"/>
  <c r="C1552" i="7"/>
  <c r="D1552" i="7" s="1"/>
  <c r="C1553" i="7"/>
  <c r="D1553" i="7" s="1"/>
  <c r="C1554" i="7"/>
  <c r="D1554" i="7" s="1"/>
  <c r="C1555" i="7"/>
  <c r="D1555" i="7" s="1"/>
  <c r="C1556" i="7"/>
  <c r="D1556" i="7" s="1"/>
  <c r="C1557" i="7"/>
  <c r="D1557" i="7" s="1"/>
  <c r="C1558" i="7"/>
  <c r="D1558" i="7" s="1"/>
  <c r="C1559" i="7"/>
  <c r="D1559" i="7" s="1"/>
  <c r="C1560" i="7"/>
  <c r="D1560" i="7" s="1"/>
  <c r="C1561" i="7"/>
  <c r="D1561" i="7" s="1"/>
  <c r="C1562" i="7"/>
  <c r="D1562" i="7" s="1"/>
  <c r="C1563" i="7"/>
  <c r="D1563" i="7" s="1"/>
  <c r="C1564" i="7"/>
  <c r="D1564" i="7" s="1"/>
  <c r="C1565" i="7"/>
  <c r="D1565" i="7" s="1"/>
  <c r="C1566" i="7"/>
  <c r="D1566" i="7" s="1"/>
  <c r="C1567" i="7"/>
  <c r="D1567" i="7" s="1"/>
  <c r="C1568" i="7"/>
  <c r="D1568" i="7" s="1"/>
  <c r="C1569" i="7"/>
  <c r="D1569" i="7" s="1"/>
  <c r="C1570" i="7"/>
  <c r="D1570" i="7" s="1"/>
  <c r="C1571" i="7"/>
  <c r="D1571" i="7" s="1"/>
  <c r="C1572" i="7"/>
  <c r="D1572" i="7" s="1"/>
  <c r="C1573" i="7"/>
  <c r="D1573" i="7" s="1"/>
  <c r="C1574" i="7"/>
  <c r="D1574" i="7" s="1"/>
  <c r="C1575" i="7"/>
  <c r="D1575" i="7" s="1"/>
  <c r="C1576" i="7"/>
  <c r="D1576" i="7" s="1"/>
  <c r="C1577" i="7"/>
  <c r="D1577" i="7" s="1"/>
  <c r="C1578" i="7"/>
  <c r="D1578" i="7" s="1"/>
  <c r="C1579" i="7"/>
  <c r="D1579" i="7" s="1"/>
  <c r="C1580" i="7"/>
  <c r="D1580" i="7" s="1"/>
  <c r="C1581" i="7"/>
  <c r="D1581" i="7" s="1"/>
  <c r="C1582" i="7"/>
  <c r="D1582" i="7" s="1"/>
  <c r="C1583" i="7"/>
  <c r="D1583" i="7" s="1"/>
  <c r="C1584" i="7"/>
  <c r="D1584" i="7" s="1"/>
  <c r="C1585" i="7"/>
  <c r="D1585" i="7" s="1"/>
  <c r="C1586" i="7"/>
  <c r="D1586" i="7" s="1"/>
  <c r="C1587" i="7"/>
  <c r="D1587" i="7" s="1"/>
  <c r="C1588" i="7"/>
  <c r="D1588" i="7" s="1"/>
  <c r="C1589" i="7"/>
  <c r="D1589" i="7" s="1"/>
  <c r="C1590" i="7"/>
  <c r="D1590" i="7" s="1"/>
  <c r="C1591" i="7"/>
  <c r="D1591" i="7" s="1"/>
  <c r="C1592" i="7"/>
  <c r="D1592" i="7" s="1"/>
  <c r="C1593" i="7"/>
  <c r="D1593" i="7" s="1"/>
  <c r="C1594" i="7"/>
  <c r="D1594" i="7" s="1"/>
  <c r="C1595" i="7"/>
  <c r="D1595" i="7" s="1"/>
  <c r="C1596" i="7"/>
  <c r="D1596" i="7" s="1"/>
  <c r="C1597" i="7"/>
  <c r="D1597" i="7" s="1"/>
  <c r="C1598" i="7"/>
  <c r="D1598" i="7" s="1"/>
  <c r="C1599" i="7"/>
  <c r="D1599" i="7" s="1"/>
  <c r="C1600" i="7"/>
  <c r="D1600" i="7" s="1"/>
  <c r="C1601" i="7"/>
  <c r="D1601" i="7" s="1"/>
  <c r="C1602" i="7"/>
  <c r="D1602" i="7" s="1"/>
  <c r="C1603" i="7"/>
  <c r="D1603" i="7" s="1"/>
  <c r="C1604" i="7"/>
  <c r="D1604" i="7" s="1"/>
  <c r="C1605" i="7"/>
  <c r="D1605" i="7" s="1"/>
  <c r="C1606" i="7"/>
  <c r="D1606" i="7" s="1"/>
  <c r="C1607" i="7"/>
  <c r="D1607" i="7" s="1"/>
  <c r="C1608" i="7"/>
  <c r="D1608" i="7" s="1"/>
  <c r="C1609" i="7"/>
  <c r="D1609" i="7" s="1"/>
  <c r="C1610" i="7"/>
  <c r="D1610" i="7" s="1"/>
  <c r="C1611" i="7"/>
  <c r="D1611" i="7" s="1"/>
  <c r="C1612" i="7"/>
  <c r="D1612" i="7" s="1"/>
  <c r="C1613" i="7"/>
  <c r="D1613" i="7" s="1"/>
  <c r="C1614" i="7"/>
  <c r="D1614" i="7" s="1"/>
  <c r="C1615" i="7"/>
  <c r="D1615" i="7" s="1"/>
  <c r="C1616" i="7"/>
  <c r="D1616" i="7" s="1"/>
  <c r="C1617" i="7"/>
  <c r="D1617" i="7" s="1"/>
  <c r="C1618" i="7"/>
  <c r="D1618" i="7" s="1"/>
  <c r="C1619" i="7"/>
  <c r="D1619" i="7" s="1"/>
  <c r="C1620" i="7"/>
  <c r="D1620" i="7" s="1"/>
  <c r="C1621" i="7"/>
  <c r="D1621" i="7" s="1"/>
  <c r="C1622" i="7"/>
  <c r="D1622" i="7" s="1"/>
  <c r="C1623" i="7"/>
  <c r="D1623" i="7" s="1"/>
  <c r="C1624" i="7"/>
  <c r="D1624" i="7" s="1"/>
  <c r="C1625" i="7"/>
  <c r="D1625" i="7" s="1"/>
  <c r="C1626" i="7"/>
  <c r="D1626" i="7" s="1"/>
  <c r="C1627" i="7"/>
  <c r="D1627" i="7" s="1"/>
  <c r="C1628" i="7"/>
  <c r="D1628" i="7" s="1"/>
  <c r="C1629" i="7"/>
  <c r="D1629" i="7" s="1"/>
  <c r="C1630" i="7"/>
  <c r="D1630" i="7" s="1"/>
  <c r="C1631" i="7"/>
  <c r="D1631" i="7" s="1"/>
  <c r="C1632" i="7"/>
  <c r="D1632" i="7" s="1"/>
  <c r="C1633" i="7"/>
  <c r="D1633" i="7" s="1"/>
  <c r="C1634" i="7"/>
  <c r="D1634" i="7" s="1"/>
  <c r="C1635" i="7"/>
  <c r="D1635" i="7" s="1"/>
  <c r="C1636" i="7"/>
  <c r="D1636" i="7" s="1"/>
  <c r="C1637" i="7"/>
  <c r="D1637" i="7" s="1"/>
  <c r="C1638" i="7"/>
  <c r="D1638" i="7" s="1"/>
  <c r="C1639" i="7"/>
  <c r="D1639" i="7" s="1"/>
  <c r="C1640" i="7"/>
  <c r="D1640" i="7" s="1"/>
  <c r="C1641" i="7"/>
  <c r="D1641" i="7" s="1"/>
  <c r="C1642" i="7"/>
  <c r="D1642" i="7" s="1"/>
  <c r="C1643" i="7"/>
  <c r="D1643" i="7" s="1"/>
  <c r="C1644" i="7"/>
  <c r="D1644" i="7" s="1"/>
  <c r="C1645" i="7"/>
  <c r="D1645" i="7" s="1"/>
  <c r="C1646" i="7"/>
  <c r="D1646" i="7" s="1"/>
  <c r="C1647" i="7"/>
  <c r="D1647" i="7" s="1"/>
  <c r="C1648" i="7"/>
  <c r="D1648" i="7" s="1"/>
  <c r="C1649" i="7"/>
  <c r="D1649" i="7" s="1"/>
  <c r="C1650" i="7"/>
  <c r="D1650" i="7" s="1"/>
  <c r="C1651" i="7"/>
  <c r="D1651" i="7" s="1"/>
  <c r="C1652" i="7"/>
  <c r="D1652" i="7" s="1"/>
  <c r="C1653" i="7"/>
  <c r="D1653" i="7" s="1"/>
  <c r="C1654" i="7"/>
  <c r="D1654" i="7" s="1"/>
  <c r="C1655" i="7"/>
  <c r="D1655" i="7" s="1"/>
  <c r="C1656" i="7"/>
  <c r="D1656" i="7" s="1"/>
  <c r="C1657" i="7"/>
  <c r="D1657" i="7" s="1"/>
  <c r="C1658" i="7"/>
  <c r="D1658" i="7" s="1"/>
  <c r="C1659" i="7"/>
  <c r="D1659" i="7" s="1"/>
  <c r="C1660" i="7"/>
  <c r="D1660" i="7" s="1"/>
  <c r="C1661" i="7"/>
  <c r="D1661" i="7" s="1"/>
  <c r="C1662" i="7"/>
  <c r="D1662" i="7" s="1"/>
  <c r="C1663" i="7"/>
  <c r="D1663" i="7" s="1"/>
  <c r="C1664" i="7"/>
  <c r="D1664" i="7" s="1"/>
  <c r="C1665" i="7"/>
  <c r="D1665" i="7" s="1"/>
  <c r="C1666" i="7"/>
  <c r="D1666" i="7" s="1"/>
  <c r="C1667" i="7"/>
  <c r="D1667" i="7" s="1"/>
  <c r="C1668" i="7"/>
  <c r="D1668" i="7" s="1"/>
  <c r="C1669" i="7"/>
  <c r="D1669" i="7" s="1"/>
  <c r="C1670" i="7"/>
  <c r="D1670" i="7" s="1"/>
  <c r="C1671" i="7"/>
  <c r="D1671" i="7" s="1"/>
  <c r="C1672" i="7"/>
  <c r="D1672" i="7" s="1"/>
  <c r="C1673" i="7"/>
  <c r="D1673" i="7" s="1"/>
  <c r="C1674" i="7"/>
  <c r="D1674" i="7" s="1"/>
  <c r="C1675" i="7"/>
  <c r="D1675" i="7" s="1"/>
  <c r="C1676" i="7"/>
  <c r="D1676" i="7" s="1"/>
  <c r="C1677" i="7"/>
  <c r="D1677" i="7" s="1"/>
  <c r="C1678" i="7"/>
  <c r="D1678" i="7" s="1"/>
  <c r="C1679" i="7"/>
  <c r="D1679" i="7" s="1"/>
  <c r="C1680" i="7"/>
  <c r="D1680" i="7" s="1"/>
  <c r="C1681" i="7"/>
  <c r="D1681" i="7" s="1"/>
  <c r="C1682" i="7"/>
  <c r="D1682" i="7" s="1"/>
  <c r="C1683" i="7"/>
  <c r="D1683" i="7" s="1"/>
  <c r="C1684" i="7"/>
  <c r="D1684" i="7" s="1"/>
  <c r="C1685" i="7"/>
  <c r="D1685" i="7" s="1"/>
  <c r="C1686" i="7"/>
  <c r="D1686" i="7" s="1"/>
  <c r="C1687" i="7"/>
  <c r="D1687" i="7" s="1"/>
  <c r="C1688" i="7"/>
  <c r="D1688" i="7" s="1"/>
  <c r="C1689" i="7"/>
  <c r="D1689" i="7" s="1"/>
  <c r="C1690" i="7"/>
  <c r="D1690" i="7" s="1"/>
  <c r="C1691" i="7"/>
  <c r="D1691" i="7" s="1"/>
  <c r="C1692" i="7"/>
  <c r="D1692" i="7" s="1"/>
  <c r="C1693" i="7"/>
  <c r="D1693" i="7" s="1"/>
  <c r="C1694" i="7"/>
  <c r="D1694" i="7" s="1"/>
  <c r="C1695" i="7"/>
  <c r="D1695" i="7" s="1"/>
  <c r="C1696" i="7"/>
  <c r="D1696" i="7" s="1"/>
  <c r="C1697" i="7"/>
  <c r="D1697" i="7" s="1"/>
  <c r="C1698" i="7"/>
  <c r="D1698" i="7" s="1"/>
  <c r="C1699" i="7"/>
  <c r="D1699" i="7" s="1"/>
  <c r="C1700" i="7"/>
  <c r="D1700" i="7" s="1"/>
  <c r="C1701" i="7"/>
  <c r="D1701" i="7" s="1"/>
  <c r="C1702" i="7"/>
  <c r="D1702" i="7" s="1"/>
  <c r="C1703" i="7"/>
  <c r="D1703" i="7" s="1"/>
  <c r="C1704" i="7"/>
  <c r="D1704" i="7" s="1"/>
  <c r="C1705" i="7"/>
  <c r="D1705" i="7" s="1"/>
  <c r="C1706" i="7"/>
  <c r="D1706" i="7" s="1"/>
  <c r="C1707" i="7"/>
  <c r="D1707" i="7" s="1"/>
  <c r="C1708" i="7"/>
  <c r="D1708" i="7" s="1"/>
  <c r="C1709" i="7"/>
  <c r="D1709" i="7" s="1"/>
  <c r="C1710" i="7"/>
  <c r="D1710" i="7" s="1"/>
  <c r="C1711" i="7"/>
  <c r="D1711" i="7" s="1"/>
  <c r="C1712" i="7"/>
  <c r="D1712" i="7" s="1"/>
  <c r="C1713" i="7"/>
  <c r="D1713" i="7" s="1"/>
  <c r="C1714" i="7"/>
  <c r="D1714" i="7" s="1"/>
  <c r="C1715" i="7"/>
  <c r="D1715" i="7" s="1"/>
  <c r="C1716" i="7"/>
  <c r="D1716" i="7" s="1"/>
  <c r="C1717" i="7"/>
  <c r="D1717" i="7" s="1"/>
  <c r="C1718" i="7"/>
  <c r="D1718" i="7" s="1"/>
  <c r="C1719" i="7"/>
  <c r="D1719" i="7" s="1"/>
  <c r="C1720" i="7"/>
  <c r="D1720" i="7" s="1"/>
  <c r="C1721" i="7"/>
  <c r="D1721" i="7" s="1"/>
  <c r="C1722" i="7"/>
  <c r="D1722" i="7" s="1"/>
  <c r="C1723" i="7"/>
  <c r="D1723" i="7" s="1"/>
  <c r="C1724" i="7"/>
  <c r="D1724" i="7" s="1"/>
  <c r="C1725" i="7"/>
  <c r="D1725" i="7" s="1"/>
  <c r="C1726" i="7"/>
  <c r="D1726" i="7" s="1"/>
  <c r="C1727" i="7"/>
  <c r="D1727" i="7" s="1"/>
  <c r="C1728" i="7"/>
  <c r="D1728" i="7" s="1"/>
  <c r="C1729" i="7"/>
  <c r="D1729" i="7" s="1"/>
  <c r="C1730" i="7"/>
  <c r="D1730" i="7" s="1"/>
  <c r="C1731" i="7"/>
  <c r="D1731" i="7" s="1"/>
  <c r="C1732" i="7"/>
  <c r="D1732" i="7" s="1"/>
  <c r="C1733" i="7"/>
  <c r="D1733" i="7" s="1"/>
  <c r="C1734" i="7"/>
  <c r="D1734" i="7" s="1"/>
  <c r="C1735" i="7"/>
  <c r="D1735" i="7" s="1"/>
  <c r="C1736" i="7"/>
  <c r="D1736" i="7" s="1"/>
  <c r="C1737" i="7"/>
  <c r="D1737" i="7" s="1"/>
  <c r="C1738" i="7"/>
  <c r="D1738" i="7" s="1"/>
  <c r="C1739" i="7"/>
  <c r="D1739" i="7" s="1"/>
  <c r="C1740" i="7"/>
  <c r="D1740" i="7" s="1"/>
  <c r="C1741" i="7"/>
  <c r="D1741" i="7" s="1"/>
  <c r="C1742" i="7"/>
  <c r="D1742" i="7" s="1"/>
  <c r="C1743" i="7"/>
  <c r="D1743" i="7" s="1"/>
  <c r="C1744" i="7"/>
  <c r="D1744" i="7" s="1"/>
  <c r="C1745" i="7"/>
  <c r="D1745" i="7" s="1"/>
  <c r="C1746" i="7"/>
  <c r="D1746" i="7" s="1"/>
  <c r="C1747" i="7"/>
  <c r="D1747" i="7" s="1"/>
  <c r="C1748" i="7"/>
  <c r="D1748" i="7" s="1"/>
  <c r="C1749" i="7"/>
  <c r="D1749" i="7" s="1"/>
  <c r="C1750" i="7"/>
  <c r="D1750" i="7" s="1"/>
  <c r="C1751" i="7"/>
  <c r="D1751" i="7" s="1"/>
  <c r="C1752" i="7"/>
  <c r="D1752" i="7" s="1"/>
  <c r="C1753" i="7"/>
  <c r="D1753" i="7" s="1"/>
  <c r="C1754" i="7"/>
  <c r="D1754" i="7" s="1"/>
  <c r="C1755" i="7"/>
  <c r="D1755" i="7" s="1"/>
  <c r="C1756" i="7"/>
  <c r="D1756" i="7" s="1"/>
  <c r="C1757" i="7"/>
  <c r="D1757" i="7" s="1"/>
  <c r="C1758" i="7"/>
  <c r="D1758" i="7" s="1"/>
  <c r="C1759" i="7"/>
  <c r="D1759" i="7" s="1"/>
  <c r="C1760" i="7"/>
  <c r="D1760" i="7" s="1"/>
  <c r="C1761" i="7"/>
  <c r="D1761" i="7" s="1"/>
  <c r="C1762" i="7"/>
  <c r="D1762" i="7" s="1"/>
  <c r="C1763" i="7"/>
  <c r="D1763" i="7" s="1"/>
  <c r="C1764" i="7"/>
  <c r="D1764" i="7" s="1"/>
  <c r="C1765" i="7"/>
  <c r="D1765" i="7" s="1"/>
  <c r="C1766" i="7"/>
  <c r="D1766" i="7" s="1"/>
  <c r="C1767" i="7"/>
  <c r="D1767" i="7" s="1"/>
  <c r="C1768" i="7"/>
  <c r="D1768" i="7" s="1"/>
  <c r="C1769" i="7"/>
  <c r="D1769" i="7" s="1"/>
  <c r="C1770" i="7"/>
  <c r="D1770" i="7" s="1"/>
  <c r="C1771" i="7"/>
  <c r="D1771" i="7" s="1"/>
  <c r="C1772" i="7"/>
  <c r="D1772" i="7" s="1"/>
  <c r="C1773" i="7"/>
  <c r="D1773" i="7" s="1"/>
  <c r="C1774" i="7"/>
  <c r="D1774" i="7" s="1"/>
  <c r="C1775" i="7"/>
  <c r="D1775" i="7" s="1"/>
  <c r="C1776" i="7"/>
  <c r="D1776" i="7" s="1"/>
  <c r="C1777" i="7"/>
  <c r="D1777" i="7" s="1"/>
  <c r="C1778" i="7"/>
  <c r="D1778" i="7" s="1"/>
  <c r="C1779" i="7"/>
  <c r="D1779" i="7" s="1"/>
  <c r="C1780" i="7"/>
  <c r="D1780" i="7" s="1"/>
  <c r="C1781" i="7"/>
  <c r="D1781" i="7" s="1"/>
  <c r="C1782" i="7"/>
  <c r="D1782" i="7" s="1"/>
  <c r="C1783" i="7"/>
  <c r="D1783" i="7" s="1"/>
  <c r="C1784" i="7"/>
  <c r="D1784" i="7" s="1"/>
  <c r="C1785" i="7"/>
  <c r="D1785" i="7" s="1"/>
  <c r="C1786" i="7"/>
  <c r="D1786" i="7" s="1"/>
  <c r="C1787" i="7"/>
  <c r="D1787" i="7" s="1"/>
  <c r="C1788" i="7"/>
  <c r="D1788" i="7" s="1"/>
  <c r="C1789" i="7"/>
  <c r="D1789" i="7" s="1"/>
  <c r="C1790" i="7"/>
  <c r="D1790" i="7" s="1"/>
  <c r="C1791" i="7"/>
  <c r="D1791" i="7" s="1"/>
  <c r="C1792" i="7"/>
  <c r="D1792" i="7" s="1"/>
  <c r="C1793" i="7"/>
  <c r="D1793" i="7" s="1"/>
  <c r="C1794" i="7"/>
  <c r="D1794" i="7" s="1"/>
  <c r="C1795" i="7"/>
  <c r="D1795" i="7" s="1"/>
  <c r="C1796" i="7"/>
  <c r="D1796" i="7" s="1"/>
  <c r="C1797" i="7"/>
  <c r="D1797" i="7" s="1"/>
  <c r="C1798" i="7"/>
  <c r="D1798" i="7" s="1"/>
  <c r="C1799" i="7"/>
  <c r="D1799" i="7" s="1"/>
  <c r="C1800" i="7"/>
  <c r="D1800" i="7" s="1"/>
  <c r="C1801" i="7"/>
  <c r="D1801" i="7" s="1"/>
  <c r="C1802" i="7"/>
  <c r="D1802" i="7" s="1"/>
  <c r="C1803" i="7"/>
  <c r="D1803" i="7" s="1"/>
  <c r="C1804" i="7"/>
  <c r="D1804" i="7" s="1"/>
  <c r="C1805" i="7"/>
  <c r="D1805" i="7" s="1"/>
  <c r="C1806" i="7"/>
  <c r="D1806" i="7" s="1"/>
  <c r="C1807" i="7"/>
  <c r="D1807" i="7" s="1"/>
  <c r="C1808" i="7"/>
  <c r="D1808" i="7" s="1"/>
  <c r="C1809" i="7"/>
  <c r="D1809" i="7" s="1"/>
  <c r="C1810" i="7"/>
  <c r="D1810" i="7" s="1"/>
  <c r="C1811" i="7"/>
  <c r="D1811" i="7" s="1"/>
  <c r="C1812" i="7"/>
  <c r="D1812" i="7" s="1"/>
  <c r="C1813" i="7"/>
  <c r="D1813" i="7" s="1"/>
  <c r="C1814" i="7"/>
  <c r="D1814" i="7" s="1"/>
  <c r="C1815" i="7"/>
  <c r="D1815" i="7" s="1"/>
  <c r="C1816" i="7"/>
  <c r="D1816" i="7" s="1"/>
  <c r="C1817" i="7"/>
  <c r="D1817" i="7" s="1"/>
  <c r="C1818" i="7"/>
  <c r="D1818" i="7" s="1"/>
  <c r="C1819" i="7"/>
  <c r="D1819" i="7" s="1"/>
  <c r="C1820" i="7"/>
  <c r="D1820" i="7" s="1"/>
  <c r="C1821" i="7"/>
  <c r="D1821" i="7" s="1"/>
  <c r="C1822" i="7"/>
  <c r="D1822" i="7" s="1"/>
  <c r="C1823" i="7"/>
  <c r="D1823" i="7" s="1"/>
  <c r="C1824" i="7"/>
  <c r="D1824" i="7" s="1"/>
  <c r="C1825" i="7"/>
  <c r="D1825" i="7" s="1"/>
  <c r="C1826" i="7"/>
  <c r="D1826" i="7" s="1"/>
  <c r="C1827" i="7"/>
  <c r="D1827" i="7" s="1"/>
  <c r="C1828" i="7"/>
  <c r="D1828" i="7" s="1"/>
  <c r="C1829" i="7"/>
  <c r="D1829" i="7" s="1"/>
  <c r="C1830" i="7"/>
  <c r="D1830" i="7" s="1"/>
  <c r="C1831" i="7"/>
  <c r="D1831" i="7" s="1"/>
  <c r="C1832" i="7"/>
  <c r="D1832" i="7" s="1"/>
  <c r="C1833" i="7"/>
  <c r="D1833" i="7" s="1"/>
  <c r="C1834" i="7"/>
  <c r="D1834" i="7" s="1"/>
  <c r="C1835" i="7"/>
  <c r="D1835" i="7" s="1"/>
  <c r="C1836" i="7"/>
  <c r="D1836" i="7" s="1"/>
  <c r="C1837" i="7"/>
  <c r="D1837" i="7" s="1"/>
  <c r="C1838" i="7"/>
  <c r="D1838" i="7" s="1"/>
  <c r="C1839" i="7"/>
  <c r="D1839" i="7" s="1"/>
  <c r="C1840" i="7"/>
  <c r="D1840" i="7" s="1"/>
  <c r="C1841" i="7"/>
  <c r="D1841" i="7" s="1"/>
  <c r="C1842" i="7"/>
  <c r="D1842" i="7" s="1"/>
  <c r="C1843" i="7"/>
  <c r="D1843" i="7" s="1"/>
  <c r="C1844" i="7"/>
  <c r="D1844" i="7" s="1"/>
  <c r="C1845" i="7"/>
  <c r="D1845" i="7" s="1"/>
  <c r="C1846" i="7"/>
  <c r="D1846" i="7" s="1"/>
  <c r="C1847" i="7"/>
  <c r="D1847" i="7" s="1"/>
  <c r="C1848" i="7"/>
  <c r="D1848" i="7" s="1"/>
  <c r="C1849" i="7"/>
  <c r="D1849" i="7" s="1"/>
  <c r="C1850" i="7"/>
  <c r="D1850" i="7" s="1"/>
  <c r="C1851" i="7"/>
  <c r="D1851" i="7" s="1"/>
  <c r="C1852" i="7"/>
  <c r="D1852" i="7" s="1"/>
  <c r="C1853" i="7"/>
  <c r="D1853" i="7" s="1"/>
  <c r="C1854" i="7"/>
  <c r="D1854" i="7" s="1"/>
  <c r="C1855" i="7"/>
  <c r="D1855" i="7" s="1"/>
  <c r="C1856" i="7"/>
  <c r="D1856" i="7" s="1"/>
  <c r="C1857" i="7"/>
  <c r="D1857" i="7" s="1"/>
  <c r="C1858" i="7"/>
  <c r="D1858" i="7" s="1"/>
  <c r="C1859" i="7"/>
  <c r="D1859" i="7" s="1"/>
  <c r="C1860" i="7"/>
  <c r="D1860" i="7" s="1"/>
  <c r="C1861" i="7"/>
  <c r="D1861" i="7" s="1"/>
  <c r="C1862" i="7"/>
  <c r="D1862" i="7" s="1"/>
  <c r="C1863" i="7"/>
  <c r="D1863" i="7" s="1"/>
  <c r="C1864" i="7"/>
  <c r="D1864" i="7" s="1"/>
  <c r="C1865" i="7"/>
  <c r="D1865" i="7" s="1"/>
  <c r="C1866" i="7"/>
  <c r="D1866" i="7" s="1"/>
  <c r="C1867" i="7"/>
  <c r="D1867" i="7" s="1"/>
  <c r="C1868" i="7"/>
  <c r="D1868" i="7" s="1"/>
  <c r="C1869" i="7"/>
  <c r="D1869" i="7" s="1"/>
  <c r="C1870" i="7"/>
  <c r="D1870" i="7" s="1"/>
  <c r="C1871" i="7"/>
  <c r="D1871" i="7" s="1"/>
  <c r="C1872" i="7"/>
  <c r="D1872" i="7" s="1"/>
  <c r="C1873" i="7"/>
  <c r="D1873" i="7" s="1"/>
  <c r="C1874" i="7"/>
  <c r="D1874" i="7" s="1"/>
  <c r="C1875" i="7"/>
  <c r="D1875" i="7" s="1"/>
  <c r="C1876" i="7"/>
  <c r="D1876" i="7" s="1"/>
  <c r="C1877" i="7"/>
  <c r="D1877" i="7" s="1"/>
  <c r="C1878" i="7"/>
  <c r="D1878" i="7" s="1"/>
  <c r="C1879" i="7"/>
  <c r="D1879" i="7" s="1"/>
  <c r="C1880" i="7"/>
  <c r="D1880" i="7" s="1"/>
  <c r="C1881" i="7"/>
  <c r="D1881" i="7" s="1"/>
  <c r="C1882" i="7"/>
  <c r="D1882" i="7" s="1"/>
  <c r="C1883" i="7"/>
  <c r="D1883" i="7" s="1"/>
  <c r="C1884" i="7"/>
  <c r="D1884" i="7" s="1"/>
  <c r="C1885" i="7"/>
  <c r="D1885" i="7" s="1"/>
  <c r="C1886" i="7"/>
  <c r="D1886" i="7" s="1"/>
  <c r="C1887" i="7"/>
  <c r="D1887" i="7" s="1"/>
  <c r="C1888" i="7"/>
  <c r="D1888" i="7" s="1"/>
  <c r="C1889" i="7"/>
  <c r="D1889" i="7" s="1"/>
  <c r="C1890" i="7"/>
  <c r="D1890" i="7" s="1"/>
  <c r="C1891" i="7"/>
  <c r="D1891" i="7" s="1"/>
  <c r="C1892" i="7"/>
  <c r="D1892" i="7" s="1"/>
  <c r="C1893" i="7"/>
  <c r="D1893" i="7" s="1"/>
  <c r="C1894" i="7"/>
  <c r="D1894" i="7" s="1"/>
  <c r="C1895" i="7"/>
  <c r="D1895" i="7" s="1"/>
  <c r="C1896" i="7"/>
  <c r="D1896" i="7" s="1"/>
  <c r="C1897" i="7"/>
  <c r="D1897" i="7" s="1"/>
  <c r="C1898" i="7"/>
  <c r="D1898" i="7" s="1"/>
  <c r="C1899" i="7"/>
  <c r="D1899" i="7" s="1"/>
  <c r="C1900" i="7"/>
  <c r="D1900" i="7" s="1"/>
  <c r="C1901" i="7"/>
  <c r="D1901" i="7" s="1"/>
  <c r="C1902" i="7"/>
  <c r="D1902" i="7" s="1"/>
  <c r="C1903" i="7"/>
  <c r="D1903" i="7" s="1"/>
  <c r="C1904" i="7"/>
  <c r="D1904" i="7" s="1"/>
  <c r="C1905" i="7"/>
  <c r="D1905" i="7" s="1"/>
  <c r="C1906" i="7"/>
  <c r="D1906" i="7" s="1"/>
  <c r="C1907" i="7"/>
  <c r="D1907" i="7" s="1"/>
  <c r="C1908" i="7"/>
  <c r="D1908" i="7" s="1"/>
  <c r="C1909" i="7"/>
  <c r="D1909" i="7" s="1"/>
  <c r="C1910" i="7"/>
  <c r="D1910" i="7" s="1"/>
  <c r="C1911" i="7"/>
  <c r="D1911" i="7" s="1"/>
  <c r="C1912" i="7"/>
  <c r="D1912" i="7" s="1"/>
  <c r="C1913" i="7"/>
  <c r="D1913" i="7" s="1"/>
  <c r="C1914" i="7"/>
  <c r="D1914" i="7" s="1"/>
  <c r="C1915" i="7"/>
  <c r="D1915" i="7" s="1"/>
  <c r="C1916" i="7"/>
  <c r="D1916" i="7" s="1"/>
  <c r="C1917" i="7"/>
  <c r="D1917" i="7" s="1"/>
  <c r="C1918" i="7"/>
  <c r="D1918" i="7" s="1"/>
  <c r="C1919" i="7"/>
  <c r="D1919" i="7" s="1"/>
  <c r="C1920" i="7"/>
  <c r="D1920" i="7" s="1"/>
  <c r="C1921" i="7"/>
  <c r="D1921" i="7" s="1"/>
  <c r="C1922" i="7"/>
  <c r="D1922" i="7" s="1"/>
  <c r="C1923" i="7"/>
  <c r="D1923" i="7" s="1"/>
  <c r="C1924" i="7"/>
  <c r="D1924" i="7" s="1"/>
  <c r="C1925" i="7"/>
  <c r="D1925" i="7" s="1"/>
  <c r="C1926" i="7"/>
  <c r="D1926" i="7" s="1"/>
  <c r="C1927" i="7"/>
  <c r="D1927" i="7" s="1"/>
  <c r="C1928" i="7"/>
  <c r="D1928" i="7" s="1"/>
  <c r="C1929" i="7"/>
  <c r="D1929" i="7" s="1"/>
  <c r="C1930" i="7"/>
  <c r="D1930" i="7" s="1"/>
  <c r="C1931" i="7"/>
  <c r="D1931" i="7" s="1"/>
  <c r="C1932" i="7"/>
  <c r="D1932" i="7" s="1"/>
  <c r="C1933" i="7"/>
  <c r="D1933" i="7" s="1"/>
  <c r="C1934" i="7"/>
  <c r="D1934" i="7" s="1"/>
  <c r="C1935" i="7"/>
  <c r="D1935" i="7" s="1"/>
  <c r="C1936" i="7"/>
  <c r="D1936" i="7" s="1"/>
  <c r="C1937" i="7"/>
  <c r="D1937" i="7" s="1"/>
  <c r="C1938" i="7"/>
  <c r="D1938" i="7" s="1"/>
  <c r="C1939" i="7"/>
  <c r="D1939" i="7" s="1"/>
  <c r="C1940" i="7"/>
  <c r="D1940" i="7" s="1"/>
  <c r="C1941" i="7"/>
  <c r="D1941" i="7" s="1"/>
  <c r="C1942" i="7"/>
  <c r="D1942" i="7" s="1"/>
  <c r="C1943" i="7"/>
  <c r="D1943" i="7" s="1"/>
  <c r="C1944" i="7"/>
  <c r="D1944" i="7" s="1"/>
  <c r="C1945" i="7"/>
  <c r="D1945" i="7" s="1"/>
  <c r="C1946" i="7"/>
  <c r="D1946" i="7" s="1"/>
  <c r="C1947" i="7"/>
  <c r="D1947" i="7" s="1"/>
  <c r="C1948" i="7"/>
  <c r="D1948" i="7" s="1"/>
  <c r="C1949" i="7"/>
  <c r="D1949" i="7" s="1"/>
  <c r="C1950" i="7"/>
  <c r="D1950" i="7" s="1"/>
  <c r="C1951" i="7"/>
  <c r="D1951" i="7" s="1"/>
  <c r="C1952" i="7"/>
  <c r="D1952" i="7" s="1"/>
  <c r="C1953" i="7"/>
  <c r="D1953" i="7" s="1"/>
  <c r="C1954" i="7"/>
  <c r="D1954" i="7" s="1"/>
  <c r="C1955" i="7"/>
  <c r="D1955" i="7" s="1"/>
  <c r="C1956" i="7"/>
  <c r="D1956" i="7" s="1"/>
  <c r="C1957" i="7"/>
  <c r="D1957" i="7" s="1"/>
  <c r="C1958" i="7"/>
  <c r="D1958" i="7" s="1"/>
  <c r="C1959" i="7"/>
  <c r="D1959" i="7" s="1"/>
  <c r="C1960" i="7"/>
  <c r="D1960" i="7" s="1"/>
  <c r="C1961" i="7"/>
  <c r="D1961" i="7" s="1"/>
  <c r="C1962" i="7"/>
  <c r="D1962" i="7" s="1"/>
  <c r="C1963" i="7"/>
  <c r="D1963" i="7" s="1"/>
  <c r="C1964" i="7"/>
  <c r="D1964" i="7" s="1"/>
  <c r="C1965" i="7"/>
  <c r="D1965" i="7" s="1"/>
  <c r="C1966" i="7"/>
  <c r="D1966" i="7" s="1"/>
  <c r="C1967" i="7"/>
  <c r="D1967" i="7" s="1"/>
  <c r="C1968" i="7"/>
  <c r="D1968" i="7" s="1"/>
  <c r="C1969" i="7"/>
  <c r="D1969" i="7" s="1"/>
  <c r="C1970" i="7"/>
  <c r="D1970" i="7" s="1"/>
  <c r="C1971" i="7"/>
  <c r="D1971" i="7" s="1"/>
  <c r="C1972" i="7"/>
  <c r="D1972" i="7" s="1"/>
  <c r="C1973" i="7"/>
  <c r="D1973" i="7" s="1"/>
  <c r="C1974" i="7"/>
  <c r="D1974" i="7" s="1"/>
  <c r="C1975" i="7"/>
  <c r="D1975" i="7" s="1"/>
  <c r="C1976" i="7"/>
  <c r="D1976" i="7" s="1"/>
  <c r="C1977" i="7"/>
  <c r="D1977" i="7" s="1"/>
  <c r="C1978" i="7"/>
  <c r="D1978" i="7" s="1"/>
  <c r="C1979" i="7"/>
  <c r="D1979" i="7" s="1"/>
  <c r="C1980" i="7"/>
  <c r="D1980" i="7" s="1"/>
  <c r="C1981" i="7"/>
  <c r="D1981" i="7" s="1"/>
  <c r="C1982" i="7"/>
  <c r="D1982" i="7" s="1"/>
  <c r="C1983" i="7"/>
  <c r="D1983" i="7" s="1"/>
  <c r="C1984" i="7"/>
  <c r="D1984" i="7" s="1"/>
  <c r="C1985" i="7"/>
  <c r="D1985" i="7" s="1"/>
  <c r="C1986" i="7"/>
  <c r="D1986" i="7" s="1"/>
  <c r="C1987" i="7"/>
  <c r="D1987" i="7" s="1"/>
  <c r="C1988" i="7"/>
  <c r="D1988" i="7" s="1"/>
  <c r="C1989" i="7"/>
  <c r="D1989" i="7" s="1"/>
  <c r="C1990" i="7"/>
  <c r="D1990" i="7" s="1"/>
  <c r="C1991" i="7"/>
  <c r="D1991" i="7" s="1"/>
  <c r="C1992" i="7"/>
  <c r="D1992" i="7" s="1"/>
  <c r="C1993" i="7"/>
  <c r="D1993" i="7" s="1"/>
  <c r="C1994" i="7"/>
  <c r="D1994" i="7" s="1"/>
  <c r="C1995" i="7"/>
  <c r="D1995" i="7" s="1"/>
  <c r="C1996" i="7"/>
  <c r="D1996" i="7" s="1"/>
  <c r="C1997" i="7"/>
  <c r="D1997" i="7" s="1"/>
  <c r="C1998" i="7"/>
  <c r="D1998" i="7" s="1"/>
  <c r="C1999" i="7"/>
  <c r="D1999" i="7" s="1"/>
  <c r="C2000" i="7"/>
  <c r="D2000" i="7" s="1"/>
  <c r="C2001" i="7"/>
  <c r="D2001" i="7" s="1"/>
  <c r="C2002" i="7"/>
  <c r="D2002" i="7" s="1"/>
  <c r="C2003" i="7"/>
  <c r="D2003" i="7" s="1"/>
  <c r="C2004" i="7"/>
  <c r="D2004" i="7" s="1"/>
  <c r="C2005" i="7"/>
  <c r="D2005" i="7" s="1"/>
  <c r="C2006" i="7"/>
  <c r="D2006" i="7" s="1"/>
  <c r="C2007" i="7"/>
  <c r="D2007" i="7" s="1"/>
  <c r="C2008" i="7"/>
  <c r="D2008" i="7" s="1"/>
  <c r="C2009" i="7"/>
  <c r="D2009" i="7" s="1"/>
  <c r="C2010" i="7"/>
  <c r="D2010" i="7" s="1"/>
  <c r="C2011" i="7"/>
  <c r="D2011" i="7" s="1"/>
  <c r="C2012" i="7"/>
  <c r="D2012" i="7" s="1"/>
  <c r="C2013" i="7"/>
  <c r="D2013" i="7" s="1"/>
  <c r="C2014" i="7"/>
  <c r="D2014" i="7" s="1"/>
  <c r="C2015" i="7"/>
  <c r="D2015" i="7" s="1"/>
  <c r="C2016" i="7"/>
  <c r="D2016" i="7" s="1"/>
  <c r="C2017" i="7"/>
  <c r="D2017" i="7" s="1"/>
  <c r="C2018" i="7"/>
  <c r="D2018" i="7" s="1"/>
  <c r="C2019" i="7"/>
  <c r="D2019" i="7" s="1"/>
  <c r="C2020" i="7"/>
  <c r="D2020" i="7" s="1"/>
  <c r="C2021" i="7"/>
  <c r="D2021" i="7" s="1"/>
  <c r="C2022" i="7"/>
  <c r="D2022" i="7" s="1"/>
  <c r="C2023" i="7"/>
  <c r="D2023" i="7" s="1"/>
  <c r="C2024" i="7"/>
  <c r="D2024" i="7" s="1"/>
  <c r="C2025" i="7"/>
  <c r="D2025" i="7" s="1"/>
  <c r="C2026" i="7"/>
  <c r="D2026" i="7" s="1"/>
  <c r="C2027" i="7"/>
  <c r="D2027" i="7" s="1"/>
  <c r="C2028" i="7"/>
  <c r="D2028" i="7" s="1"/>
  <c r="C2029" i="7"/>
  <c r="D2029" i="7" s="1"/>
  <c r="C2030" i="7"/>
  <c r="D2030" i="7" s="1"/>
  <c r="C2031" i="7"/>
  <c r="D2031" i="7" s="1"/>
  <c r="C2032" i="7"/>
  <c r="D2032" i="7" s="1"/>
  <c r="C2033" i="7"/>
  <c r="D2033" i="7" s="1"/>
  <c r="C2034" i="7"/>
  <c r="D2034" i="7" s="1"/>
  <c r="C2035" i="7"/>
  <c r="D2035" i="7" s="1"/>
  <c r="C2036" i="7"/>
  <c r="D2036" i="7" s="1"/>
  <c r="C2037" i="7"/>
  <c r="D2037" i="7" s="1"/>
  <c r="C2038" i="7"/>
  <c r="D2038" i="7" s="1"/>
  <c r="C2039" i="7"/>
  <c r="D2039" i="7" s="1"/>
  <c r="C2040" i="7"/>
  <c r="D2040" i="7" s="1"/>
  <c r="C2041" i="7"/>
  <c r="D2041" i="7" s="1"/>
  <c r="C2042" i="7"/>
  <c r="D2042" i="7" s="1"/>
  <c r="C2043" i="7"/>
  <c r="D2043" i="7" s="1"/>
  <c r="C2044" i="7"/>
  <c r="D2044" i="7" s="1"/>
  <c r="C2045" i="7"/>
  <c r="D2045" i="7" s="1"/>
  <c r="C2046" i="7"/>
  <c r="D2046" i="7" s="1"/>
  <c r="C2047" i="7"/>
  <c r="D2047" i="7" s="1"/>
  <c r="C2048" i="7"/>
  <c r="D2048" i="7" s="1"/>
  <c r="C2049" i="7"/>
  <c r="D2049" i="7" s="1"/>
  <c r="C2050" i="7"/>
  <c r="D2050" i="7" s="1"/>
  <c r="C2051" i="7"/>
  <c r="D2051" i="7" s="1"/>
  <c r="C2052" i="7"/>
  <c r="D2052" i="7" s="1"/>
  <c r="C2053" i="7"/>
  <c r="D2053" i="7" s="1"/>
  <c r="C2054" i="7"/>
  <c r="D2054" i="7" s="1"/>
  <c r="C2055" i="7"/>
  <c r="D2055" i="7" s="1"/>
  <c r="C2056" i="7"/>
  <c r="D2056" i="7" s="1"/>
  <c r="C2057" i="7"/>
  <c r="D2057" i="7" s="1"/>
  <c r="C2058" i="7"/>
  <c r="D2058" i="7" s="1"/>
  <c r="C2059" i="7"/>
  <c r="D2059" i="7" s="1"/>
  <c r="C2060" i="7"/>
  <c r="D2060" i="7" s="1"/>
  <c r="C2061" i="7"/>
  <c r="D2061" i="7" s="1"/>
  <c r="C2062" i="7"/>
  <c r="D2062" i="7" s="1"/>
  <c r="C2063" i="7"/>
  <c r="D2063" i="7" s="1"/>
  <c r="C2064" i="7"/>
  <c r="D2064" i="7" s="1"/>
  <c r="C2065" i="7"/>
  <c r="D2065" i="7" s="1"/>
  <c r="C2066" i="7"/>
  <c r="D2066" i="7" s="1"/>
  <c r="C2067" i="7"/>
  <c r="D2067" i="7" s="1"/>
  <c r="C2068" i="7"/>
  <c r="D2068" i="7" s="1"/>
  <c r="C2069" i="7"/>
  <c r="D2069" i="7" s="1"/>
  <c r="C2070" i="7"/>
  <c r="D2070" i="7" s="1"/>
  <c r="C2071" i="7"/>
  <c r="D2071" i="7" s="1"/>
  <c r="C2072" i="7"/>
  <c r="D2072" i="7" s="1"/>
  <c r="C2073" i="7"/>
  <c r="D2073" i="7" s="1"/>
  <c r="C2074" i="7"/>
  <c r="D2074" i="7" s="1"/>
  <c r="C2075" i="7"/>
  <c r="D2075" i="7" s="1"/>
  <c r="C2076" i="7"/>
  <c r="D2076" i="7" s="1"/>
  <c r="C2077" i="7"/>
  <c r="D2077" i="7" s="1"/>
  <c r="C2078" i="7"/>
  <c r="D2078" i="7" s="1"/>
  <c r="C2079" i="7"/>
  <c r="D2079" i="7" s="1"/>
  <c r="C2080" i="7"/>
  <c r="D2080" i="7" s="1"/>
  <c r="C2081" i="7"/>
  <c r="D2081" i="7" s="1"/>
  <c r="C2082" i="7"/>
  <c r="D2082" i="7" s="1"/>
  <c r="C2083" i="7"/>
  <c r="D2083" i="7" s="1"/>
  <c r="C2084" i="7"/>
  <c r="D2084" i="7" s="1"/>
  <c r="C2085" i="7"/>
  <c r="D2085" i="7" s="1"/>
  <c r="C2086" i="7"/>
  <c r="D2086" i="7" s="1"/>
  <c r="C2087" i="7"/>
  <c r="D2087" i="7" s="1"/>
  <c r="C2088" i="7"/>
  <c r="D2088" i="7" s="1"/>
  <c r="C2089" i="7"/>
  <c r="D2089" i="7" s="1"/>
  <c r="C2090" i="7"/>
  <c r="D2090" i="7" s="1"/>
  <c r="C2091" i="7"/>
  <c r="D2091" i="7" s="1"/>
  <c r="C2092" i="7"/>
  <c r="D2092" i="7" s="1"/>
  <c r="C2093" i="7"/>
  <c r="D2093" i="7" s="1"/>
  <c r="C2094" i="7"/>
  <c r="D2094" i="7" s="1"/>
  <c r="C2095" i="7"/>
  <c r="D2095" i="7" s="1"/>
  <c r="C2096" i="7"/>
  <c r="D2096" i="7" s="1"/>
  <c r="C2097" i="7"/>
  <c r="D2097" i="7" s="1"/>
  <c r="C2098" i="7"/>
  <c r="D2098" i="7" s="1"/>
  <c r="C2099" i="7"/>
  <c r="D2099" i="7" s="1"/>
  <c r="C2100" i="7"/>
  <c r="D2100" i="7" s="1"/>
  <c r="C2101" i="7"/>
  <c r="D2101" i="7" s="1"/>
  <c r="C2102" i="7"/>
  <c r="D2102" i="7" s="1"/>
  <c r="C2103" i="7"/>
  <c r="D2103" i="7" s="1"/>
  <c r="C2104" i="7"/>
  <c r="D2104" i="7" s="1"/>
  <c r="C2105" i="7"/>
  <c r="D2105" i="7" s="1"/>
  <c r="C2106" i="7"/>
  <c r="D2106" i="7" s="1"/>
  <c r="C2107" i="7"/>
  <c r="D2107" i="7" s="1"/>
  <c r="C2108" i="7"/>
  <c r="D2108" i="7" s="1"/>
  <c r="C2109" i="7"/>
  <c r="D2109" i="7" s="1"/>
  <c r="C2110" i="7"/>
  <c r="D2110" i="7" s="1"/>
  <c r="C2111" i="7"/>
  <c r="D2111" i="7" s="1"/>
  <c r="C2112" i="7"/>
  <c r="D2112" i="7" s="1"/>
  <c r="C2113" i="7"/>
  <c r="D2113" i="7" s="1"/>
  <c r="C2114" i="7"/>
  <c r="D2114" i="7" s="1"/>
  <c r="C2115" i="7"/>
  <c r="D2115" i="7" s="1"/>
  <c r="C2116" i="7"/>
  <c r="D2116" i="7" s="1"/>
  <c r="C2117" i="7"/>
  <c r="D2117" i="7" s="1"/>
  <c r="C2118" i="7"/>
  <c r="D2118" i="7" s="1"/>
  <c r="C2119" i="7"/>
  <c r="D2119" i="7" s="1"/>
  <c r="C2120" i="7"/>
  <c r="D2120" i="7" s="1"/>
  <c r="C2121" i="7"/>
  <c r="D2121" i="7" s="1"/>
  <c r="C2122" i="7"/>
  <c r="D2122" i="7" s="1"/>
  <c r="C2123" i="7"/>
  <c r="D2123" i="7" s="1"/>
  <c r="C2124" i="7"/>
  <c r="D2124" i="7" s="1"/>
  <c r="C2125" i="7"/>
  <c r="D2125" i="7" s="1"/>
  <c r="C2126" i="7"/>
  <c r="D2126" i="7" s="1"/>
  <c r="C2127" i="7"/>
  <c r="D2127" i="7" s="1"/>
  <c r="C2128" i="7"/>
  <c r="D2128" i="7" s="1"/>
  <c r="C2129" i="7"/>
  <c r="D2129" i="7" s="1"/>
  <c r="C2130" i="7"/>
  <c r="D2130" i="7" s="1"/>
  <c r="C2131" i="7"/>
  <c r="D2131" i="7" s="1"/>
  <c r="C2132" i="7"/>
  <c r="D2132" i="7" s="1"/>
  <c r="C2133" i="7"/>
  <c r="D2133" i="7" s="1"/>
  <c r="C2134" i="7"/>
  <c r="D2134" i="7" s="1"/>
  <c r="C2135" i="7"/>
  <c r="D2135" i="7" s="1"/>
  <c r="C2136" i="7"/>
  <c r="D2136" i="7" s="1"/>
  <c r="C2137" i="7"/>
  <c r="D2137" i="7" s="1"/>
  <c r="C2138" i="7"/>
  <c r="D2138" i="7" s="1"/>
  <c r="C2139" i="7"/>
  <c r="D2139" i="7" s="1"/>
  <c r="C2140" i="7"/>
  <c r="D2140" i="7" s="1"/>
  <c r="C2141" i="7"/>
  <c r="D2141" i="7" s="1"/>
  <c r="C2142" i="7"/>
  <c r="D2142" i="7" s="1"/>
  <c r="C2143" i="7"/>
  <c r="D2143" i="7" s="1"/>
  <c r="C2144" i="7"/>
  <c r="D2144" i="7" s="1"/>
  <c r="C2145" i="7"/>
  <c r="D2145" i="7" s="1"/>
  <c r="C2146" i="7"/>
  <c r="D2146" i="7" s="1"/>
  <c r="C2147" i="7"/>
  <c r="D2147" i="7" s="1"/>
  <c r="C2148" i="7"/>
  <c r="D2148" i="7" s="1"/>
  <c r="C2149" i="7"/>
  <c r="D2149" i="7" s="1"/>
  <c r="C2150" i="7"/>
  <c r="D2150" i="7" s="1"/>
  <c r="C2151" i="7"/>
  <c r="D2151" i="7" s="1"/>
  <c r="C2152" i="7"/>
  <c r="D2152" i="7" s="1"/>
  <c r="C2153" i="7"/>
  <c r="D2153" i="7" s="1"/>
  <c r="C2154" i="7"/>
  <c r="D2154" i="7" s="1"/>
  <c r="C2155" i="7"/>
  <c r="D2155" i="7" s="1"/>
  <c r="C2156" i="7"/>
  <c r="D2156" i="7" s="1"/>
  <c r="C2157" i="7"/>
  <c r="D2157" i="7" s="1"/>
  <c r="C2158" i="7"/>
  <c r="D2158" i="7" s="1"/>
  <c r="C2159" i="7"/>
  <c r="D2159" i="7" s="1"/>
  <c r="C2160" i="7"/>
  <c r="D2160" i="7" s="1"/>
  <c r="C2161" i="7"/>
  <c r="D2161" i="7" s="1"/>
  <c r="C2162" i="7"/>
  <c r="D2162" i="7" s="1"/>
  <c r="C2163" i="7"/>
  <c r="D2163" i="7" s="1"/>
  <c r="C2164" i="7"/>
  <c r="D2164" i="7" s="1"/>
  <c r="C2165" i="7"/>
  <c r="D2165" i="7" s="1"/>
  <c r="C2166" i="7"/>
  <c r="D2166" i="7" s="1"/>
  <c r="C2167" i="7"/>
  <c r="D2167" i="7" s="1"/>
  <c r="C2168" i="7"/>
  <c r="D2168" i="7" s="1"/>
  <c r="C2169" i="7"/>
  <c r="D2169" i="7" s="1"/>
  <c r="C2170" i="7"/>
  <c r="D2170" i="7" s="1"/>
  <c r="C2171" i="7"/>
  <c r="D2171" i="7" s="1"/>
  <c r="C2172" i="7"/>
  <c r="D2172" i="7" s="1"/>
  <c r="C2173" i="7"/>
  <c r="D2173" i="7" s="1"/>
  <c r="C2174" i="7"/>
  <c r="D2174" i="7" s="1"/>
  <c r="C2175" i="7"/>
  <c r="D2175" i="7" s="1"/>
  <c r="C2176" i="7"/>
  <c r="D2176" i="7" s="1"/>
  <c r="C2177" i="7"/>
  <c r="D2177" i="7" s="1"/>
  <c r="C2178" i="7"/>
  <c r="D2178" i="7" s="1"/>
  <c r="C2179" i="7"/>
  <c r="D2179" i="7" s="1"/>
  <c r="C2180" i="7"/>
  <c r="D2180" i="7" s="1"/>
  <c r="C2181" i="7"/>
  <c r="D2181" i="7" s="1"/>
  <c r="C2182" i="7"/>
  <c r="D2182" i="7" s="1"/>
  <c r="C2183" i="7"/>
  <c r="D2183" i="7" s="1"/>
  <c r="C2184" i="7"/>
  <c r="D2184" i="7" s="1"/>
  <c r="C2185" i="7"/>
  <c r="D2185" i="7" s="1"/>
  <c r="C2186" i="7"/>
  <c r="D2186" i="7" s="1"/>
  <c r="C2187" i="7"/>
  <c r="D2187" i="7" s="1"/>
  <c r="C2188" i="7"/>
  <c r="D2188" i="7" s="1"/>
  <c r="C2189" i="7"/>
  <c r="D2189" i="7" s="1"/>
  <c r="C2190" i="7"/>
  <c r="D2190" i="7" s="1"/>
  <c r="C2191" i="7"/>
  <c r="D2191" i="7" s="1"/>
  <c r="C2192" i="7"/>
  <c r="D2192" i="7" s="1"/>
  <c r="C2193" i="7"/>
  <c r="D2193" i="7" s="1"/>
  <c r="C2194" i="7"/>
  <c r="D2194" i="7" s="1"/>
  <c r="C2195" i="7"/>
  <c r="D2195" i="7" s="1"/>
  <c r="C2196" i="7"/>
  <c r="D2196" i="7" s="1"/>
  <c r="C2197" i="7"/>
  <c r="D2197" i="7" s="1"/>
  <c r="C2198" i="7"/>
  <c r="D2198" i="7" s="1"/>
  <c r="C2199" i="7"/>
  <c r="D2199" i="7" s="1"/>
  <c r="C2200" i="7"/>
  <c r="D2200" i="7" s="1"/>
  <c r="C2201" i="7"/>
  <c r="D2201" i="7" s="1"/>
  <c r="C2202" i="7"/>
  <c r="D2202" i="7" s="1"/>
  <c r="C2203" i="7"/>
  <c r="D2203" i="7" s="1"/>
  <c r="C2204" i="7"/>
  <c r="D2204" i="7" s="1"/>
  <c r="C2205" i="7"/>
  <c r="D2205" i="7" s="1"/>
  <c r="C2206" i="7"/>
  <c r="D2206" i="7" s="1"/>
  <c r="C2207" i="7"/>
  <c r="D2207" i="7" s="1"/>
  <c r="C2208" i="7"/>
  <c r="D2208" i="7" s="1"/>
  <c r="C2209" i="7"/>
  <c r="D2209" i="7" s="1"/>
  <c r="C2210" i="7"/>
  <c r="D2210" i="7" s="1"/>
  <c r="C2211" i="7"/>
  <c r="D2211" i="7" s="1"/>
  <c r="C2212" i="7"/>
  <c r="D2212" i="7" s="1"/>
  <c r="C2213" i="7"/>
  <c r="D2213" i="7" s="1"/>
  <c r="C2214" i="7"/>
  <c r="D2214" i="7" s="1"/>
  <c r="C2215" i="7"/>
  <c r="D2215" i="7" s="1"/>
  <c r="C2216" i="7"/>
  <c r="D2216" i="7" s="1"/>
  <c r="C2217" i="7"/>
  <c r="D2217" i="7" s="1"/>
  <c r="C2218" i="7"/>
  <c r="D2218" i="7" s="1"/>
  <c r="C2219" i="7"/>
  <c r="D2219" i="7" s="1"/>
  <c r="C2220" i="7"/>
  <c r="D2220" i="7" s="1"/>
  <c r="C2221" i="7"/>
  <c r="D2221" i="7" s="1"/>
  <c r="C2222" i="7"/>
  <c r="D2222" i="7" s="1"/>
  <c r="C2223" i="7"/>
  <c r="D2223" i="7" s="1"/>
  <c r="C2224" i="7"/>
  <c r="D2224" i="7" s="1"/>
  <c r="C2225" i="7"/>
  <c r="D2225" i="7" s="1"/>
  <c r="C2226" i="7"/>
  <c r="D2226" i="7" s="1"/>
  <c r="C2227" i="7"/>
  <c r="D2227" i="7" s="1"/>
  <c r="C2228" i="7"/>
  <c r="D2228" i="7" s="1"/>
  <c r="C2229" i="7"/>
  <c r="D2229" i="7" s="1"/>
  <c r="C2230" i="7"/>
  <c r="D2230" i="7" s="1"/>
  <c r="C2231" i="7"/>
  <c r="D2231" i="7" s="1"/>
  <c r="C2232" i="7"/>
  <c r="D2232" i="7" s="1"/>
  <c r="C2233" i="7"/>
  <c r="D2233" i="7" s="1"/>
  <c r="C2234" i="7"/>
  <c r="D2234" i="7" s="1"/>
  <c r="C2235" i="7"/>
  <c r="D2235" i="7" s="1"/>
  <c r="C2236" i="7"/>
  <c r="D2236" i="7" s="1"/>
  <c r="C2237" i="7"/>
  <c r="D2237" i="7" s="1"/>
  <c r="C2238" i="7"/>
  <c r="D2238" i="7" s="1"/>
  <c r="C2239" i="7"/>
  <c r="D2239" i="7" s="1"/>
  <c r="C2240" i="7"/>
  <c r="D2240" i="7" s="1"/>
  <c r="C2241" i="7"/>
  <c r="D2241" i="7" s="1"/>
  <c r="C2242" i="7"/>
  <c r="D2242" i="7" s="1"/>
  <c r="C2243" i="7"/>
  <c r="D2243" i="7" s="1"/>
  <c r="C2244" i="7"/>
  <c r="D2244" i="7" s="1"/>
  <c r="C2245" i="7"/>
  <c r="D2245" i="7" s="1"/>
  <c r="C2246" i="7"/>
  <c r="D2246" i="7" s="1"/>
  <c r="C2247" i="7"/>
  <c r="D2247" i="7" s="1"/>
  <c r="C2248" i="7"/>
  <c r="D2248" i="7" s="1"/>
  <c r="C2249" i="7"/>
  <c r="D2249" i="7" s="1"/>
  <c r="C2250" i="7"/>
  <c r="D2250" i="7" s="1"/>
  <c r="C2251" i="7"/>
  <c r="D2251" i="7" s="1"/>
  <c r="C2252" i="7"/>
  <c r="D2252" i="7" s="1"/>
  <c r="C2253" i="7"/>
  <c r="D2253" i="7" s="1"/>
  <c r="C2254" i="7"/>
  <c r="D2254" i="7" s="1"/>
  <c r="C2255" i="7"/>
  <c r="D2255" i="7" s="1"/>
  <c r="C2256" i="7"/>
  <c r="D2256" i="7" s="1"/>
  <c r="C2257" i="7"/>
  <c r="D2257" i="7" s="1"/>
  <c r="C2258" i="7"/>
  <c r="D2258" i="7" s="1"/>
  <c r="C2259" i="7"/>
  <c r="D2259" i="7" s="1"/>
  <c r="C2260" i="7"/>
  <c r="D2260" i="7" s="1"/>
  <c r="C2261" i="7"/>
  <c r="D2261" i="7" s="1"/>
  <c r="C2262" i="7"/>
  <c r="D2262" i="7" s="1"/>
  <c r="C2263" i="7"/>
  <c r="D2263" i="7" s="1"/>
  <c r="C2264" i="7"/>
  <c r="D2264" i="7" s="1"/>
  <c r="C2265" i="7"/>
  <c r="D2265" i="7" s="1"/>
  <c r="C2266" i="7"/>
  <c r="D2266" i="7" s="1"/>
  <c r="C2267" i="7"/>
  <c r="D2267" i="7" s="1"/>
  <c r="C2268" i="7"/>
  <c r="D2268" i="7" s="1"/>
  <c r="C2269" i="7"/>
  <c r="D2269" i="7" s="1"/>
  <c r="C2270" i="7"/>
  <c r="D2270" i="7" s="1"/>
  <c r="C2271" i="7"/>
  <c r="D2271" i="7" s="1"/>
  <c r="C2272" i="7"/>
  <c r="D2272" i="7" s="1"/>
  <c r="C2273" i="7"/>
  <c r="D2273" i="7" s="1"/>
  <c r="C2274" i="7"/>
  <c r="D2274" i="7" s="1"/>
  <c r="C2275" i="7"/>
  <c r="D2275" i="7" s="1"/>
  <c r="C2276" i="7"/>
  <c r="D2276" i="7" s="1"/>
  <c r="C2277" i="7"/>
  <c r="D2277" i="7" s="1"/>
  <c r="C2278" i="7"/>
  <c r="D2278" i="7" s="1"/>
  <c r="C2279" i="7"/>
  <c r="D2279" i="7" s="1"/>
  <c r="C2280" i="7"/>
  <c r="D2280" i="7" s="1"/>
  <c r="C2281" i="7"/>
  <c r="D2281" i="7" s="1"/>
  <c r="C2282" i="7"/>
  <c r="D2282" i="7" s="1"/>
  <c r="C2283" i="7"/>
  <c r="D2283" i="7" s="1"/>
  <c r="C2284" i="7"/>
  <c r="D2284" i="7" s="1"/>
  <c r="C2285" i="7"/>
  <c r="D2285" i="7" s="1"/>
  <c r="C2286" i="7"/>
  <c r="D2286" i="7" s="1"/>
  <c r="C2287" i="7"/>
  <c r="D2287" i="7" s="1"/>
  <c r="C2288" i="7"/>
  <c r="D2288" i="7" s="1"/>
  <c r="C2289" i="7"/>
  <c r="D2289" i="7" s="1"/>
  <c r="C2290" i="7"/>
  <c r="D2290" i="7" s="1"/>
  <c r="C2291" i="7"/>
  <c r="D2291" i="7" s="1"/>
  <c r="C2292" i="7"/>
  <c r="D2292" i="7" s="1"/>
  <c r="C2293" i="7"/>
  <c r="D2293" i="7" s="1"/>
  <c r="C2294" i="7"/>
  <c r="D2294" i="7" s="1"/>
  <c r="C2295" i="7"/>
  <c r="D2295" i="7" s="1"/>
  <c r="C2296" i="7"/>
  <c r="D2296" i="7" s="1"/>
  <c r="C2297" i="7"/>
  <c r="D2297" i="7" s="1"/>
  <c r="C2298" i="7"/>
  <c r="D2298" i="7" s="1"/>
  <c r="C2299" i="7"/>
  <c r="D2299" i="7" s="1"/>
  <c r="C2300" i="7"/>
  <c r="D2300" i="7" s="1"/>
  <c r="C2301" i="7"/>
  <c r="D2301" i="7" s="1"/>
  <c r="C2302" i="7"/>
  <c r="D2302" i="7" s="1"/>
  <c r="C2303" i="7"/>
  <c r="D2303" i="7" s="1"/>
  <c r="C2304" i="7"/>
  <c r="D2304" i="7" s="1"/>
  <c r="C2305" i="7"/>
  <c r="D2305" i="7" s="1"/>
  <c r="C2306" i="7"/>
  <c r="D2306" i="7" s="1"/>
  <c r="C2307" i="7"/>
  <c r="D2307" i="7" s="1"/>
  <c r="C2308" i="7"/>
  <c r="D2308" i="7" s="1"/>
  <c r="C2309" i="7"/>
  <c r="D2309" i="7" s="1"/>
  <c r="C2310" i="7"/>
  <c r="D2310" i="7" s="1"/>
  <c r="C2311" i="7"/>
  <c r="D2311" i="7" s="1"/>
  <c r="C2312" i="7"/>
  <c r="D2312" i="7" s="1"/>
  <c r="C2313" i="7"/>
  <c r="D2313" i="7" s="1"/>
  <c r="C2314" i="7"/>
  <c r="D2314" i="7" s="1"/>
  <c r="C2315" i="7"/>
  <c r="D2315" i="7" s="1"/>
  <c r="C2316" i="7"/>
  <c r="D2316" i="7" s="1"/>
  <c r="C2317" i="7"/>
  <c r="D2317" i="7" s="1"/>
  <c r="C2318" i="7"/>
  <c r="D2318" i="7" s="1"/>
  <c r="C2319" i="7"/>
  <c r="D2319" i="7" s="1"/>
  <c r="C2320" i="7"/>
  <c r="D2320" i="7" s="1"/>
  <c r="C2321" i="7"/>
  <c r="D2321" i="7" s="1"/>
  <c r="C2322" i="7"/>
  <c r="D2322" i="7" s="1"/>
  <c r="C2323" i="7"/>
  <c r="D2323" i="7" s="1"/>
  <c r="C2324" i="7"/>
  <c r="D2324" i="7" s="1"/>
  <c r="C2325" i="7"/>
  <c r="D2325" i="7" s="1"/>
  <c r="C2326" i="7"/>
  <c r="D2326" i="7" s="1"/>
  <c r="C2327" i="7"/>
  <c r="D2327" i="7" s="1"/>
  <c r="C2328" i="7"/>
  <c r="D2328" i="7" s="1"/>
  <c r="C2329" i="7"/>
  <c r="D2329" i="7" s="1"/>
  <c r="C2330" i="7"/>
  <c r="D2330" i="7" s="1"/>
  <c r="C2331" i="7"/>
  <c r="D2331" i="7" s="1"/>
  <c r="C2332" i="7"/>
  <c r="D2332" i="7" s="1"/>
  <c r="C2333" i="7"/>
  <c r="D2333" i="7" s="1"/>
  <c r="C2334" i="7"/>
  <c r="D2334" i="7" s="1"/>
  <c r="C2335" i="7"/>
  <c r="D2335" i="7" s="1"/>
  <c r="C2336" i="7"/>
  <c r="D2336" i="7" s="1"/>
  <c r="C2337" i="7"/>
  <c r="D2337" i="7" s="1"/>
  <c r="C2338" i="7"/>
  <c r="D2338" i="7" s="1"/>
  <c r="C2339" i="7"/>
  <c r="D2339" i="7" s="1"/>
  <c r="C2340" i="7"/>
  <c r="D2340" i="7" s="1"/>
  <c r="C2341" i="7"/>
  <c r="D2341" i="7" s="1"/>
  <c r="C2342" i="7"/>
  <c r="D2342" i="7" s="1"/>
  <c r="C2343" i="7"/>
  <c r="D2343" i="7" s="1"/>
  <c r="C2344" i="7"/>
  <c r="D2344" i="7" s="1"/>
  <c r="C2345" i="7"/>
  <c r="D2345" i="7" s="1"/>
  <c r="C2346" i="7"/>
  <c r="D2346" i="7" s="1"/>
  <c r="C2347" i="7"/>
  <c r="D2347" i="7" s="1"/>
  <c r="C2348" i="7"/>
  <c r="D2348" i="7" s="1"/>
  <c r="C2349" i="7"/>
  <c r="D2349" i="7" s="1"/>
  <c r="C2350" i="7"/>
  <c r="D2350" i="7" s="1"/>
  <c r="C2351" i="7"/>
  <c r="D2351" i="7" s="1"/>
  <c r="C2352" i="7"/>
  <c r="D2352" i="7" s="1"/>
  <c r="C2353" i="7"/>
  <c r="D2353" i="7" s="1"/>
  <c r="C2354" i="7"/>
  <c r="D2354" i="7" s="1"/>
  <c r="C2355" i="7"/>
  <c r="D2355" i="7" s="1"/>
  <c r="C2356" i="7"/>
  <c r="D2356" i="7" s="1"/>
  <c r="C2357" i="7"/>
  <c r="D2357" i="7" s="1"/>
  <c r="C2358" i="7"/>
  <c r="D2358" i="7" s="1"/>
  <c r="C2359" i="7"/>
  <c r="D2359" i="7" s="1"/>
  <c r="C2360" i="7"/>
  <c r="D2360" i="7" s="1"/>
  <c r="C2361" i="7"/>
  <c r="D2361" i="7" s="1"/>
  <c r="C2362" i="7"/>
  <c r="D2362" i="7" s="1"/>
  <c r="C2363" i="7"/>
  <c r="D2363" i="7" s="1"/>
  <c r="C2364" i="7"/>
  <c r="D2364" i="7" s="1"/>
  <c r="C2365" i="7"/>
  <c r="D2365" i="7" s="1"/>
  <c r="C2366" i="7"/>
  <c r="D2366" i="7" s="1"/>
  <c r="C2367" i="7"/>
  <c r="D2367" i="7" s="1"/>
  <c r="C2368" i="7"/>
  <c r="D2368" i="7" s="1"/>
  <c r="C2369" i="7"/>
  <c r="D2369" i="7" s="1"/>
  <c r="C2370" i="7"/>
  <c r="D2370" i="7" s="1"/>
  <c r="C2371" i="7"/>
  <c r="D2371" i="7" s="1"/>
  <c r="C2372" i="7"/>
  <c r="D2372" i="7" s="1"/>
  <c r="C2373" i="7"/>
  <c r="D2373" i="7" s="1"/>
  <c r="C2374" i="7"/>
  <c r="D2374" i="7" s="1"/>
  <c r="C2375" i="7"/>
  <c r="D2375" i="7" s="1"/>
  <c r="C2376" i="7"/>
  <c r="D2376" i="7" s="1"/>
  <c r="C2377" i="7"/>
  <c r="D2377" i="7" s="1"/>
  <c r="C2378" i="7"/>
  <c r="D2378" i="7" s="1"/>
  <c r="C2379" i="7"/>
  <c r="D2379" i="7" s="1"/>
  <c r="C2380" i="7"/>
  <c r="D2380" i="7" s="1"/>
  <c r="C2381" i="7"/>
  <c r="D2381" i="7" s="1"/>
  <c r="C2382" i="7"/>
  <c r="D2382" i="7" s="1"/>
  <c r="C2383" i="7"/>
  <c r="D2383" i="7" s="1"/>
  <c r="C2384" i="7"/>
  <c r="D2384" i="7" s="1"/>
  <c r="C2385" i="7"/>
  <c r="D2385" i="7" s="1"/>
  <c r="C2386" i="7"/>
  <c r="D2386" i="7" s="1"/>
  <c r="C2387" i="7"/>
  <c r="D2387" i="7" s="1"/>
  <c r="C2388" i="7"/>
  <c r="D2388" i="7" s="1"/>
  <c r="C2389" i="7"/>
  <c r="D2389" i="7" s="1"/>
  <c r="C2390" i="7"/>
  <c r="D2390" i="7" s="1"/>
  <c r="C2391" i="7"/>
  <c r="D2391" i="7" s="1"/>
  <c r="C2392" i="7"/>
  <c r="D2392" i="7" s="1"/>
  <c r="C2393" i="7"/>
  <c r="D2393" i="7" s="1"/>
  <c r="C2394" i="7"/>
  <c r="D2394" i="7" s="1"/>
  <c r="C2395" i="7"/>
  <c r="D2395" i="7" s="1"/>
  <c r="C2396" i="7"/>
  <c r="D2396" i="7" s="1"/>
  <c r="C2397" i="7"/>
  <c r="D2397" i="7" s="1"/>
  <c r="C2398" i="7"/>
  <c r="D2398" i="7" s="1"/>
  <c r="C2399" i="7"/>
  <c r="D2399" i="7" s="1"/>
  <c r="C2400" i="7"/>
  <c r="D2400" i="7" s="1"/>
  <c r="C2401" i="7"/>
  <c r="D2401" i="7" s="1"/>
  <c r="C2402" i="7"/>
  <c r="D2402" i="7" s="1"/>
  <c r="C2403" i="7"/>
  <c r="D2403" i="7" s="1"/>
  <c r="C2404" i="7"/>
  <c r="D2404" i="7" s="1"/>
  <c r="C2405" i="7"/>
  <c r="D2405" i="7" s="1"/>
  <c r="C2406" i="7"/>
  <c r="D2406" i="7" s="1"/>
  <c r="C2407" i="7"/>
  <c r="D2407" i="7" s="1"/>
  <c r="C2408" i="7"/>
  <c r="D2408" i="7" s="1"/>
  <c r="C2409" i="7"/>
  <c r="D2409" i="7" s="1"/>
  <c r="C2410" i="7"/>
  <c r="D2410" i="7" s="1"/>
  <c r="C2411" i="7"/>
  <c r="D2411" i="7" s="1"/>
  <c r="C2412" i="7"/>
  <c r="D2412" i="7" s="1"/>
  <c r="C2413" i="7"/>
  <c r="D2413" i="7" s="1"/>
  <c r="C2414" i="7"/>
  <c r="D2414" i="7" s="1"/>
  <c r="C2415" i="7"/>
  <c r="D2415" i="7" s="1"/>
  <c r="C2416" i="7"/>
  <c r="D2416" i="7" s="1"/>
  <c r="C2417" i="7"/>
  <c r="D2417" i="7" s="1"/>
  <c r="C2418" i="7"/>
  <c r="D2418" i="7" s="1"/>
  <c r="C2419" i="7"/>
  <c r="D2419" i="7" s="1"/>
  <c r="C2420" i="7"/>
  <c r="D2420" i="7" s="1"/>
  <c r="C2421" i="7"/>
  <c r="D2421" i="7" s="1"/>
  <c r="C2422" i="7"/>
  <c r="D2422" i="7" s="1"/>
  <c r="C2423" i="7"/>
  <c r="D2423" i="7" s="1"/>
  <c r="C2424" i="7"/>
  <c r="D2424" i="7" s="1"/>
  <c r="C2425" i="7"/>
  <c r="D2425" i="7" s="1"/>
  <c r="C2426" i="7"/>
  <c r="D2426" i="7" s="1"/>
  <c r="C2427" i="7"/>
  <c r="D2427" i="7" s="1"/>
  <c r="C2428" i="7"/>
  <c r="D2428" i="7" s="1"/>
  <c r="C2429" i="7"/>
  <c r="D2429" i="7" s="1"/>
  <c r="C2430" i="7"/>
  <c r="D2430" i="7" s="1"/>
  <c r="C2431" i="7"/>
  <c r="D2431" i="7" s="1"/>
  <c r="C2432" i="7"/>
  <c r="D2432" i="7" s="1"/>
  <c r="C2433" i="7"/>
  <c r="D2433" i="7" s="1"/>
  <c r="C2434" i="7"/>
  <c r="D2434" i="7" s="1"/>
  <c r="C2435" i="7"/>
  <c r="D2435" i="7" s="1"/>
  <c r="C2436" i="7"/>
  <c r="D2436" i="7" s="1"/>
  <c r="C2437" i="7"/>
  <c r="D2437" i="7" s="1"/>
  <c r="C2438" i="7"/>
  <c r="D2438" i="7" s="1"/>
  <c r="C2439" i="7"/>
  <c r="D2439" i="7" s="1"/>
  <c r="C2440" i="7"/>
  <c r="D2440" i="7" s="1"/>
  <c r="C2441" i="7"/>
  <c r="D2441" i="7" s="1"/>
  <c r="C2442" i="7"/>
  <c r="D2442" i="7" s="1"/>
  <c r="C2443" i="7"/>
  <c r="D2443" i="7" s="1"/>
  <c r="C2444" i="7"/>
  <c r="D2444" i="7" s="1"/>
  <c r="C2445" i="7"/>
  <c r="D2445" i="7" s="1"/>
  <c r="C2446" i="7"/>
  <c r="D2446" i="7" s="1"/>
  <c r="C2447" i="7"/>
  <c r="D2447" i="7" s="1"/>
  <c r="C2448" i="7"/>
  <c r="D2448" i="7" s="1"/>
  <c r="C2449" i="7"/>
  <c r="D2449" i="7" s="1"/>
  <c r="C2450" i="7"/>
  <c r="D2450" i="7" s="1"/>
  <c r="C2451" i="7"/>
  <c r="D2451" i="7" s="1"/>
  <c r="C2452" i="7"/>
  <c r="D2452" i="7" s="1"/>
  <c r="C2453" i="7"/>
  <c r="D2453" i="7" s="1"/>
  <c r="C2454" i="7"/>
  <c r="D2454" i="7" s="1"/>
  <c r="C2455" i="7"/>
  <c r="D2455" i="7" s="1"/>
  <c r="C2456" i="7"/>
  <c r="D2456" i="7" s="1"/>
  <c r="C2457" i="7"/>
  <c r="D2457" i="7" s="1"/>
  <c r="C2458" i="7"/>
  <c r="D2458" i="7" s="1"/>
  <c r="C2459" i="7"/>
  <c r="D2459" i="7" s="1"/>
  <c r="C2460" i="7"/>
  <c r="D2460" i="7" s="1"/>
  <c r="C2461" i="7"/>
  <c r="D2461" i="7" s="1"/>
  <c r="C2462" i="7"/>
  <c r="D2462" i="7" s="1"/>
  <c r="C2463" i="7"/>
  <c r="D2463" i="7" s="1"/>
  <c r="C2464" i="7"/>
  <c r="D2464" i="7" s="1"/>
  <c r="C2465" i="7"/>
  <c r="D2465" i="7" s="1"/>
  <c r="C2466" i="7"/>
  <c r="D2466" i="7" s="1"/>
  <c r="C2467" i="7"/>
  <c r="D2467" i="7" s="1"/>
  <c r="C2468" i="7"/>
  <c r="D2468" i="7" s="1"/>
  <c r="C2469" i="7"/>
  <c r="D2469" i="7" s="1"/>
  <c r="C2470" i="7"/>
  <c r="D2470" i="7" s="1"/>
  <c r="C2471" i="7"/>
  <c r="D2471" i="7" s="1"/>
  <c r="C2472" i="7"/>
  <c r="D2472" i="7" s="1"/>
  <c r="C2473" i="7"/>
  <c r="D2473" i="7" s="1"/>
  <c r="C2474" i="7"/>
  <c r="D2474" i="7" s="1"/>
  <c r="C2475" i="7"/>
  <c r="D2475" i="7" s="1"/>
  <c r="C2476" i="7"/>
  <c r="D2476" i="7" s="1"/>
  <c r="C2477" i="7"/>
  <c r="D2477" i="7" s="1"/>
  <c r="C2478" i="7"/>
  <c r="D2478" i="7" s="1"/>
  <c r="C2479" i="7"/>
  <c r="D2479" i="7" s="1"/>
  <c r="C2480" i="7"/>
  <c r="D2480" i="7" s="1"/>
  <c r="C2481" i="7"/>
  <c r="D2481" i="7" s="1"/>
  <c r="C2482" i="7"/>
  <c r="D2482" i="7" s="1"/>
  <c r="C2483" i="7"/>
  <c r="D2483" i="7" s="1"/>
  <c r="C2484" i="7"/>
  <c r="D2484" i="7" s="1"/>
  <c r="C2485" i="7"/>
  <c r="D2485" i="7" s="1"/>
  <c r="C2486" i="7"/>
  <c r="D2486" i="7" s="1"/>
  <c r="C2487" i="7"/>
  <c r="D2487" i="7" s="1"/>
  <c r="C2488" i="7"/>
  <c r="D2488" i="7" s="1"/>
  <c r="C2489" i="7"/>
  <c r="D2489" i="7" s="1"/>
  <c r="C2490" i="7"/>
  <c r="D2490" i="7" s="1"/>
  <c r="C2491" i="7"/>
  <c r="D2491" i="7" s="1"/>
  <c r="C2492" i="7"/>
  <c r="D2492" i="7" s="1"/>
  <c r="C2493" i="7"/>
  <c r="D2493" i="7" s="1"/>
  <c r="C2494" i="7"/>
  <c r="D2494" i="7" s="1"/>
  <c r="C2495" i="7"/>
  <c r="D2495" i="7" s="1"/>
  <c r="C2496" i="7"/>
  <c r="D2496" i="7" s="1"/>
  <c r="C2497" i="7"/>
  <c r="D2497" i="7" s="1"/>
  <c r="C2498" i="7"/>
  <c r="D2498" i="7" s="1"/>
  <c r="C2499" i="7"/>
  <c r="D2499" i="7" s="1"/>
  <c r="C2500" i="7"/>
  <c r="D2500" i="7" s="1"/>
  <c r="C2501" i="7"/>
  <c r="D2501" i="7" s="1"/>
  <c r="C2502" i="7"/>
  <c r="D2502" i="7" s="1"/>
  <c r="C2503" i="7"/>
  <c r="D2503" i="7" s="1"/>
  <c r="C2504" i="7"/>
  <c r="D2504" i="7" s="1"/>
  <c r="C2505" i="7"/>
  <c r="D2505" i="7" s="1"/>
  <c r="C2506" i="7"/>
  <c r="D2506" i="7" s="1"/>
  <c r="C2507" i="7"/>
  <c r="D2507" i="7" s="1"/>
  <c r="C2508" i="7"/>
  <c r="D2508" i="7" s="1"/>
  <c r="C2509" i="7"/>
  <c r="D2509" i="7" s="1"/>
  <c r="C2510" i="7"/>
  <c r="D2510" i="7" s="1"/>
  <c r="C2511" i="7"/>
  <c r="D2511" i="7" s="1"/>
  <c r="C2512" i="7"/>
  <c r="D2512" i="7" s="1"/>
  <c r="C2513" i="7"/>
  <c r="D2513" i="7" s="1"/>
  <c r="C2514" i="7"/>
  <c r="D2514" i="7" s="1"/>
  <c r="C2515" i="7"/>
  <c r="D2515" i="7" s="1"/>
  <c r="C2516" i="7"/>
  <c r="D2516" i="7" s="1"/>
  <c r="C2517" i="7"/>
  <c r="D2517" i="7" s="1"/>
  <c r="C2518" i="7"/>
  <c r="D2518" i="7" s="1"/>
  <c r="C2519" i="7"/>
  <c r="D2519" i="7" s="1"/>
  <c r="C2520" i="7"/>
  <c r="D2520" i="7" s="1"/>
  <c r="C2521" i="7"/>
  <c r="D2521" i="7" s="1"/>
  <c r="C2522" i="7"/>
  <c r="D2522" i="7" s="1"/>
  <c r="C2523" i="7"/>
  <c r="D2523" i="7" s="1"/>
  <c r="C2524" i="7"/>
  <c r="D2524" i="7" s="1"/>
  <c r="C2525" i="7"/>
  <c r="D2525" i="7" s="1"/>
  <c r="C2526" i="7"/>
  <c r="D2526" i="7" s="1"/>
  <c r="C2527" i="7"/>
  <c r="D2527" i="7" s="1"/>
  <c r="C2528" i="7"/>
  <c r="D2528" i="7" s="1"/>
  <c r="C2529" i="7"/>
  <c r="D2529" i="7" s="1"/>
  <c r="C2530" i="7"/>
  <c r="D2530" i="7" s="1"/>
  <c r="C2531" i="7"/>
  <c r="D2531" i="7" s="1"/>
  <c r="C2532" i="7"/>
  <c r="D2532" i="7" s="1"/>
  <c r="C2533" i="7"/>
  <c r="D2533" i="7" s="1"/>
  <c r="C2534" i="7"/>
  <c r="D2534" i="7" s="1"/>
  <c r="C2535" i="7"/>
  <c r="D2535" i="7" s="1"/>
  <c r="C2536" i="7"/>
  <c r="D2536" i="7" s="1"/>
  <c r="C2537" i="7"/>
  <c r="D2537" i="7" s="1"/>
  <c r="C2538" i="7"/>
  <c r="D2538" i="7" s="1"/>
  <c r="C2539" i="7"/>
  <c r="D2539" i="7" s="1"/>
  <c r="C2540" i="7"/>
  <c r="D2540" i="7" s="1"/>
  <c r="C2541" i="7"/>
  <c r="D2541" i="7" s="1"/>
  <c r="C2542" i="7"/>
  <c r="D2542" i="7" s="1"/>
  <c r="C2543" i="7"/>
  <c r="D2543" i="7" s="1"/>
  <c r="C2544" i="7"/>
  <c r="D2544" i="7" s="1"/>
  <c r="C2545" i="7"/>
  <c r="D2545" i="7" s="1"/>
  <c r="C2546" i="7"/>
  <c r="D2546" i="7" s="1"/>
  <c r="C2547" i="7"/>
  <c r="D2547" i="7" s="1"/>
  <c r="C2548" i="7"/>
  <c r="D2548" i="7" s="1"/>
  <c r="C2549" i="7"/>
  <c r="D2549" i="7" s="1"/>
  <c r="C2550" i="7"/>
  <c r="D2550" i="7" s="1"/>
  <c r="C2551" i="7"/>
  <c r="D2551" i="7" s="1"/>
  <c r="C2552" i="7"/>
  <c r="D2552" i="7" s="1"/>
  <c r="C2553" i="7"/>
  <c r="D2553" i="7" s="1"/>
  <c r="C2554" i="7"/>
  <c r="D2554" i="7" s="1"/>
  <c r="C2555" i="7"/>
  <c r="D2555" i="7" s="1"/>
  <c r="C2556" i="7"/>
  <c r="D2556" i="7" s="1"/>
  <c r="C2557" i="7"/>
  <c r="D2557" i="7" s="1"/>
  <c r="C2558" i="7"/>
  <c r="D2558" i="7" s="1"/>
  <c r="C2559" i="7"/>
  <c r="D2559" i="7" s="1"/>
  <c r="C2560" i="7"/>
  <c r="D2560" i="7" s="1"/>
  <c r="C2561" i="7"/>
  <c r="D2561" i="7" s="1"/>
  <c r="C2562" i="7"/>
  <c r="D2562" i="7" s="1"/>
  <c r="C2563" i="7"/>
  <c r="D2563" i="7" s="1"/>
  <c r="C2564" i="7"/>
  <c r="D2564" i="7" s="1"/>
  <c r="C2565" i="7"/>
  <c r="D2565" i="7" s="1"/>
  <c r="C2566" i="7"/>
  <c r="D2566" i="7" s="1"/>
  <c r="C2567" i="7"/>
  <c r="D2567" i="7" s="1"/>
  <c r="C2568" i="7"/>
  <c r="D2568" i="7" s="1"/>
  <c r="C2569" i="7"/>
  <c r="D2569" i="7" s="1"/>
  <c r="C2570" i="7"/>
  <c r="D2570" i="7" s="1"/>
  <c r="C2571" i="7"/>
  <c r="D2571" i="7" s="1"/>
  <c r="C2572" i="7"/>
  <c r="D2572" i="7" s="1"/>
  <c r="C2573" i="7"/>
  <c r="D2573" i="7" s="1"/>
  <c r="C2574" i="7"/>
  <c r="D2574" i="7" s="1"/>
  <c r="C2575" i="7"/>
  <c r="D2575" i="7" s="1"/>
  <c r="C2576" i="7"/>
  <c r="D2576" i="7" s="1"/>
  <c r="C2577" i="7"/>
  <c r="D2577" i="7" s="1"/>
  <c r="C2578" i="7"/>
  <c r="D2578" i="7" s="1"/>
  <c r="C2579" i="7"/>
  <c r="D2579" i="7" s="1"/>
  <c r="C2580" i="7"/>
  <c r="D2580" i="7" s="1"/>
  <c r="C2581" i="7"/>
  <c r="D2581" i="7" s="1"/>
  <c r="C2582" i="7"/>
  <c r="D2582" i="7" s="1"/>
  <c r="C2583" i="7"/>
  <c r="D2583" i="7" s="1"/>
  <c r="C2584" i="7"/>
  <c r="D2584" i="7" s="1"/>
  <c r="C2585" i="7"/>
  <c r="D2585" i="7" s="1"/>
  <c r="C2586" i="7"/>
  <c r="D2586" i="7" s="1"/>
  <c r="C2587" i="7"/>
  <c r="D2587" i="7" s="1"/>
  <c r="C2588" i="7"/>
  <c r="D2588" i="7" s="1"/>
  <c r="C2589" i="7"/>
  <c r="D2589" i="7" s="1"/>
  <c r="C2590" i="7"/>
  <c r="D2590" i="7" s="1"/>
  <c r="C2591" i="7"/>
  <c r="D2591" i="7" s="1"/>
  <c r="C2592" i="7"/>
  <c r="D2592" i="7" s="1"/>
  <c r="C2593" i="7"/>
  <c r="D2593" i="7" s="1"/>
  <c r="C2594" i="7"/>
  <c r="D2594" i="7" s="1"/>
  <c r="C2595" i="7"/>
  <c r="D2595" i="7" s="1"/>
  <c r="C2596" i="7"/>
  <c r="D2596" i="7" s="1"/>
  <c r="C2597" i="7"/>
  <c r="D2597" i="7" s="1"/>
  <c r="C2598" i="7"/>
  <c r="D2598" i="7" s="1"/>
  <c r="C2599" i="7"/>
  <c r="D2599" i="7" s="1"/>
  <c r="C2600" i="7"/>
  <c r="D2600" i="7" s="1"/>
  <c r="C2601" i="7"/>
  <c r="D2601" i="7" s="1"/>
  <c r="C2602" i="7"/>
  <c r="D2602" i="7" s="1"/>
  <c r="C2603" i="7"/>
  <c r="D2603" i="7" s="1"/>
  <c r="C2604" i="7"/>
  <c r="D2604" i="7" s="1"/>
  <c r="C2605" i="7"/>
  <c r="D2605" i="7" s="1"/>
  <c r="C2606" i="7"/>
  <c r="D2606" i="7" s="1"/>
  <c r="C2607" i="7"/>
  <c r="D2607" i="7" s="1"/>
  <c r="C2608" i="7"/>
  <c r="D2608" i="7" s="1"/>
  <c r="C2609" i="7"/>
  <c r="D2609" i="7" s="1"/>
  <c r="C2610" i="7"/>
  <c r="D2610" i="7" s="1"/>
  <c r="C2611" i="7"/>
  <c r="D2611" i="7" s="1"/>
  <c r="C2612" i="7"/>
  <c r="D2612" i="7" s="1"/>
  <c r="C2613" i="7"/>
  <c r="D2613" i="7" s="1"/>
  <c r="C2614" i="7"/>
  <c r="D2614" i="7" s="1"/>
  <c r="C2615" i="7"/>
  <c r="D2615" i="7" s="1"/>
  <c r="C2616" i="7"/>
  <c r="D2616" i="7" s="1"/>
  <c r="C2617" i="7"/>
  <c r="D2617" i="7" s="1"/>
  <c r="C2618" i="7"/>
  <c r="D2618" i="7" s="1"/>
  <c r="C2619" i="7"/>
  <c r="D2619" i="7" s="1"/>
  <c r="C2620" i="7"/>
  <c r="D2620" i="7" s="1"/>
  <c r="C2621" i="7"/>
  <c r="D2621" i="7" s="1"/>
  <c r="C2622" i="7"/>
  <c r="D2622" i="7" s="1"/>
  <c r="C2623" i="7"/>
  <c r="D2623" i="7" s="1"/>
  <c r="C2624" i="7"/>
  <c r="D2624" i="7" s="1"/>
  <c r="C2625" i="7"/>
  <c r="D2625" i="7" s="1"/>
  <c r="C2626" i="7"/>
  <c r="D2626" i="7" s="1"/>
  <c r="C2627" i="7"/>
  <c r="D2627" i="7" s="1"/>
  <c r="C2628" i="7"/>
  <c r="D2628" i="7" s="1"/>
  <c r="C2629" i="7"/>
  <c r="D2629" i="7" s="1"/>
  <c r="C2630" i="7"/>
  <c r="D2630" i="7" s="1"/>
  <c r="C2631" i="7"/>
  <c r="D2631" i="7" s="1"/>
  <c r="C2632" i="7"/>
  <c r="D2632" i="7" s="1"/>
  <c r="C2633" i="7"/>
  <c r="D2633" i="7" s="1"/>
  <c r="C2634" i="7"/>
  <c r="D2634" i="7" s="1"/>
  <c r="C2635" i="7"/>
  <c r="D2635" i="7" s="1"/>
  <c r="C2636" i="7"/>
  <c r="D2636" i="7" s="1"/>
  <c r="C2637" i="7"/>
  <c r="D2637" i="7" s="1"/>
  <c r="C2638" i="7"/>
  <c r="D2638" i="7" s="1"/>
  <c r="C2639" i="7"/>
  <c r="D2639" i="7" s="1"/>
  <c r="C2640" i="7"/>
  <c r="D2640" i="7" s="1"/>
  <c r="C2641" i="7"/>
  <c r="D2641" i="7" s="1"/>
  <c r="C2642" i="7"/>
  <c r="D2642" i="7" s="1"/>
  <c r="C2643" i="7"/>
  <c r="D2643" i="7" s="1"/>
  <c r="C2644" i="7"/>
  <c r="D2644" i="7" s="1"/>
  <c r="C2645" i="7"/>
  <c r="D2645" i="7" s="1"/>
  <c r="C2646" i="7"/>
  <c r="D2646" i="7" s="1"/>
  <c r="C2647" i="7"/>
  <c r="D2647" i="7" s="1"/>
  <c r="C2648" i="7"/>
  <c r="D2648" i="7" s="1"/>
  <c r="C2649" i="7"/>
  <c r="D2649" i="7" s="1"/>
  <c r="C2650" i="7"/>
  <c r="D2650" i="7" s="1"/>
  <c r="C2651" i="7"/>
  <c r="D2651" i="7" s="1"/>
  <c r="C2652" i="7"/>
  <c r="D2652" i="7" s="1"/>
  <c r="C2653" i="7"/>
  <c r="D2653" i="7" s="1"/>
  <c r="C2654" i="7"/>
  <c r="D2654" i="7" s="1"/>
  <c r="C2655" i="7"/>
  <c r="D2655" i="7" s="1"/>
  <c r="C2656" i="7"/>
  <c r="D2656" i="7" s="1"/>
  <c r="C2657" i="7"/>
  <c r="D2657" i="7" s="1"/>
  <c r="C2658" i="7"/>
  <c r="D2658" i="7" s="1"/>
  <c r="C2659" i="7"/>
  <c r="D2659" i="7" s="1"/>
  <c r="C2660" i="7"/>
  <c r="D2660" i="7" s="1"/>
  <c r="C2661" i="7"/>
  <c r="D2661" i="7" s="1"/>
  <c r="C2662" i="7"/>
  <c r="D2662" i="7" s="1"/>
  <c r="C2663" i="7"/>
  <c r="D2663" i="7" s="1"/>
  <c r="C2664" i="7"/>
  <c r="D2664" i="7" s="1"/>
  <c r="C2665" i="7"/>
  <c r="D2665" i="7" s="1"/>
  <c r="C2666" i="7"/>
  <c r="D2666" i="7" s="1"/>
  <c r="C2667" i="7"/>
  <c r="D2667" i="7" s="1"/>
  <c r="C2668" i="7"/>
  <c r="D2668" i="7" s="1"/>
  <c r="C2669" i="7"/>
  <c r="D2669" i="7" s="1"/>
  <c r="C2670" i="7"/>
  <c r="D2670" i="7" s="1"/>
  <c r="C2671" i="7"/>
  <c r="D2671" i="7" s="1"/>
  <c r="C2672" i="7"/>
  <c r="D2672" i="7" s="1"/>
  <c r="C2673" i="7"/>
  <c r="D2673" i="7" s="1"/>
  <c r="C2674" i="7"/>
  <c r="D2674" i="7" s="1"/>
  <c r="C2675" i="7"/>
  <c r="D2675" i="7" s="1"/>
  <c r="C2676" i="7"/>
  <c r="D2676" i="7" s="1"/>
  <c r="C2677" i="7"/>
  <c r="D2677" i="7" s="1"/>
  <c r="C2678" i="7"/>
  <c r="D2678" i="7" s="1"/>
  <c r="C2679" i="7"/>
  <c r="D2679" i="7" s="1"/>
  <c r="C2680" i="7"/>
  <c r="D2680" i="7" s="1"/>
  <c r="C2681" i="7"/>
  <c r="D2681" i="7" s="1"/>
  <c r="C2682" i="7"/>
  <c r="D2682" i="7" s="1"/>
  <c r="C2683" i="7"/>
  <c r="D2683" i="7" s="1"/>
  <c r="C2684" i="7"/>
  <c r="D2684" i="7" s="1"/>
  <c r="C2685" i="7"/>
  <c r="D2685" i="7" s="1"/>
  <c r="C2686" i="7"/>
  <c r="D2686" i="7" s="1"/>
  <c r="C2687" i="7"/>
  <c r="D2687" i="7" s="1"/>
  <c r="C2688" i="7"/>
  <c r="D2688" i="7" s="1"/>
  <c r="C2689" i="7"/>
  <c r="D2689" i="7" s="1"/>
  <c r="C2690" i="7"/>
  <c r="D2690" i="7" s="1"/>
  <c r="C2691" i="7"/>
  <c r="D2691" i="7" s="1"/>
  <c r="C2692" i="7"/>
  <c r="D2692" i="7" s="1"/>
  <c r="C2693" i="7"/>
  <c r="D2693" i="7" s="1"/>
  <c r="C2694" i="7"/>
  <c r="D2694" i="7" s="1"/>
  <c r="C2695" i="7"/>
  <c r="D2695" i="7" s="1"/>
  <c r="C2696" i="7"/>
  <c r="D2696" i="7" s="1"/>
  <c r="C2697" i="7"/>
  <c r="D2697" i="7" s="1"/>
  <c r="C2698" i="7"/>
  <c r="D2698" i="7" s="1"/>
  <c r="C2699" i="7"/>
  <c r="D2699" i="7" s="1"/>
  <c r="C2700" i="7"/>
  <c r="D2700" i="7" s="1"/>
  <c r="C2701" i="7"/>
  <c r="D2701" i="7" s="1"/>
  <c r="C2702" i="7"/>
  <c r="D2702" i="7" s="1"/>
  <c r="C2703" i="7"/>
  <c r="D2703" i="7" s="1"/>
  <c r="C2704" i="7"/>
  <c r="D2704" i="7" s="1"/>
  <c r="C2705" i="7"/>
  <c r="D2705" i="7" s="1"/>
  <c r="C2706" i="7"/>
  <c r="D2706" i="7" s="1"/>
  <c r="C2707" i="7"/>
  <c r="D2707" i="7" s="1"/>
  <c r="C2708" i="7"/>
  <c r="D2708" i="7" s="1"/>
  <c r="C2709" i="7"/>
  <c r="D2709" i="7" s="1"/>
  <c r="C2710" i="7"/>
  <c r="D2710" i="7" s="1"/>
  <c r="C2711" i="7"/>
  <c r="D2711" i="7" s="1"/>
  <c r="C2712" i="7"/>
  <c r="D2712" i="7" s="1"/>
  <c r="C2713" i="7"/>
  <c r="D2713" i="7" s="1"/>
  <c r="C2714" i="7"/>
  <c r="D2714" i="7" s="1"/>
  <c r="C2715" i="7"/>
  <c r="D2715" i="7" s="1"/>
  <c r="C2716" i="7"/>
  <c r="D2716" i="7" s="1"/>
  <c r="C2717" i="7"/>
  <c r="D2717" i="7" s="1"/>
  <c r="C2718" i="7"/>
  <c r="D2718" i="7" s="1"/>
  <c r="C2719" i="7"/>
  <c r="D2719" i="7" s="1"/>
  <c r="C2720" i="7"/>
  <c r="D2720" i="7" s="1"/>
  <c r="C2721" i="7"/>
  <c r="D2721" i="7" s="1"/>
  <c r="C2722" i="7"/>
  <c r="D2722" i="7" s="1"/>
  <c r="C2723" i="7"/>
  <c r="D2723" i="7" s="1"/>
  <c r="C2724" i="7"/>
  <c r="D2724" i="7" s="1"/>
  <c r="C2725" i="7"/>
  <c r="D2725" i="7" s="1"/>
  <c r="C2726" i="7"/>
  <c r="D2726" i="7" s="1"/>
  <c r="C2727" i="7"/>
  <c r="D2727" i="7" s="1"/>
  <c r="C2728" i="7"/>
  <c r="D2728" i="7" s="1"/>
  <c r="C2729" i="7"/>
  <c r="D2729" i="7" s="1"/>
  <c r="C2730" i="7"/>
  <c r="D2730" i="7" s="1"/>
  <c r="C2731" i="7"/>
  <c r="D2731" i="7" s="1"/>
  <c r="C2732" i="7"/>
  <c r="D2732" i="7" s="1"/>
  <c r="C2733" i="7"/>
  <c r="D2733" i="7" s="1"/>
  <c r="C2734" i="7"/>
  <c r="D2734" i="7" s="1"/>
  <c r="C2735" i="7"/>
  <c r="D2735" i="7" s="1"/>
  <c r="C2736" i="7"/>
  <c r="D2736" i="7" s="1"/>
  <c r="C2737" i="7"/>
  <c r="D2737" i="7" s="1"/>
  <c r="C2738" i="7"/>
  <c r="D2738" i="7" s="1"/>
  <c r="C2739" i="7"/>
  <c r="D2739" i="7" s="1"/>
  <c r="C2740" i="7"/>
  <c r="D2740" i="7" s="1"/>
  <c r="C2741" i="7"/>
  <c r="D2741" i="7" s="1"/>
  <c r="C2742" i="7"/>
  <c r="D2742" i="7" s="1"/>
  <c r="C2743" i="7"/>
  <c r="D2743" i="7" s="1"/>
  <c r="C2744" i="7"/>
  <c r="D2744" i="7" s="1"/>
  <c r="C2745" i="7"/>
  <c r="D2745" i="7" s="1"/>
  <c r="C2746" i="7"/>
  <c r="D2746" i="7" s="1"/>
  <c r="C2747" i="7"/>
  <c r="D2747" i="7" s="1"/>
  <c r="C2748" i="7"/>
  <c r="D2748" i="7" s="1"/>
  <c r="C2749" i="7"/>
  <c r="D2749" i="7" s="1"/>
  <c r="C2750" i="7"/>
  <c r="D2750" i="7" s="1"/>
  <c r="C2751" i="7"/>
  <c r="D2751" i="7" s="1"/>
  <c r="C2752" i="7"/>
  <c r="D2752" i="7" s="1"/>
  <c r="C2753" i="7"/>
  <c r="D2753" i="7" s="1"/>
  <c r="C2754" i="7"/>
  <c r="D2754" i="7" s="1"/>
  <c r="C2755" i="7"/>
  <c r="D2755" i="7" s="1"/>
  <c r="C2756" i="7"/>
  <c r="D2756" i="7" s="1"/>
  <c r="C2757" i="7"/>
  <c r="D2757" i="7" s="1"/>
  <c r="C2758" i="7"/>
  <c r="D2758" i="7" s="1"/>
  <c r="C2759" i="7"/>
  <c r="D2759" i="7" s="1"/>
  <c r="C2760" i="7"/>
  <c r="D2760" i="7" s="1"/>
  <c r="C2761" i="7"/>
  <c r="D2761" i="7" s="1"/>
  <c r="C2762" i="7"/>
  <c r="D2762" i="7" s="1"/>
  <c r="C2763" i="7"/>
  <c r="D2763" i="7" s="1"/>
  <c r="C2764" i="7"/>
  <c r="D2764" i="7" s="1"/>
  <c r="C2765" i="7"/>
  <c r="D2765" i="7" s="1"/>
  <c r="C2766" i="7"/>
  <c r="D2766" i="7" s="1"/>
  <c r="C2767" i="7"/>
  <c r="D2767" i="7" s="1"/>
  <c r="C2768" i="7"/>
  <c r="D2768" i="7" s="1"/>
  <c r="C2769" i="7"/>
  <c r="D2769" i="7" s="1"/>
  <c r="C2770" i="7"/>
  <c r="D2770" i="7" s="1"/>
  <c r="C2771" i="7"/>
  <c r="D2771" i="7" s="1"/>
  <c r="C2772" i="7"/>
  <c r="D2772" i="7" s="1"/>
  <c r="C2773" i="7"/>
  <c r="D2773" i="7" s="1"/>
  <c r="C2774" i="7"/>
  <c r="D2774" i="7" s="1"/>
  <c r="C2775" i="7"/>
  <c r="D2775" i="7" s="1"/>
  <c r="C2776" i="7"/>
  <c r="D2776" i="7" s="1"/>
  <c r="C2777" i="7"/>
  <c r="D2777" i="7" s="1"/>
  <c r="C2778" i="7"/>
  <c r="D2778" i="7" s="1"/>
  <c r="C2779" i="7"/>
  <c r="D2779" i="7" s="1"/>
  <c r="C2780" i="7"/>
  <c r="D2780" i="7" s="1"/>
  <c r="C2781" i="7"/>
  <c r="D2781" i="7" s="1"/>
  <c r="C2782" i="7"/>
  <c r="D2782" i="7" s="1"/>
  <c r="C2783" i="7"/>
  <c r="D2783" i="7" s="1"/>
  <c r="C2784" i="7"/>
  <c r="D2784" i="7" s="1"/>
  <c r="C2785" i="7"/>
  <c r="D2785" i="7" s="1"/>
  <c r="C2786" i="7"/>
  <c r="D2786" i="7" s="1"/>
  <c r="C2787" i="7"/>
  <c r="D2787" i="7" s="1"/>
  <c r="C2788" i="7"/>
  <c r="D2788" i="7" s="1"/>
  <c r="C2789" i="7"/>
  <c r="D2789" i="7" s="1"/>
  <c r="C2790" i="7"/>
  <c r="D2790" i="7" s="1"/>
  <c r="C2791" i="7"/>
  <c r="D2791" i="7" s="1"/>
  <c r="C2792" i="7"/>
  <c r="D2792" i="7" s="1"/>
  <c r="C2793" i="7"/>
  <c r="D2793" i="7" s="1"/>
  <c r="C2794" i="7"/>
  <c r="D2794" i="7" s="1"/>
  <c r="C2795" i="7"/>
  <c r="D2795" i="7" s="1"/>
  <c r="C2796" i="7"/>
  <c r="D2796" i="7" s="1"/>
  <c r="C2797" i="7"/>
  <c r="D2797" i="7" s="1"/>
  <c r="C2798" i="7"/>
  <c r="D2798" i="7" s="1"/>
  <c r="C2799" i="7"/>
  <c r="D2799" i="7" s="1"/>
  <c r="C2800" i="7"/>
  <c r="D2800" i="7" s="1"/>
  <c r="C2801" i="7"/>
  <c r="D2801" i="7" s="1"/>
  <c r="C2802" i="7"/>
  <c r="D2802" i="7" s="1"/>
  <c r="C2803" i="7"/>
  <c r="D2803" i="7" s="1"/>
  <c r="C2804" i="7"/>
  <c r="D2804" i="7" s="1"/>
  <c r="C2805" i="7"/>
  <c r="D2805" i="7" s="1"/>
  <c r="C2806" i="7"/>
  <c r="D2806" i="7" s="1"/>
  <c r="C2807" i="7"/>
  <c r="D2807" i="7" s="1"/>
  <c r="C2808" i="7"/>
  <c r="D2808" i="7" s="1"/>
  <c r="C2809" i="7"/>
  <c r="D2809" i="7" s="1"/>
  <c r="C2810" i="7"/>
  <c r="D2810" i="7" s="1"/>
  <c r="C2811" i="7"/>
  <c r="D2811" i="7" s="1"/>
  <c r="C2812" i="7"/>
  <c r="D2812" i="7" s="1"/>
  <c r="C2813" i="7"/>
  <c r="D2813" i="7" s="1"/>
  <c r="C2814" i="7"/>
  <c r="D2814" i="7" s="1"/>
  <c r="C2815" i="7"/>
  <c r="D2815" i="7" s="1"/>
  <c r="C2816" i="7"/>
  <c r="D2816" i="7" s="1"/>
  <c r="C2817" i="7"/>
  <c r="D2817" i="7" s="1"/>
  <c r="C2818" i="7"/>
  <c r="D2818" i="7" s="1"/>
  <c r="C2819" i="7"/>
  <c r="D2819" i="7" s="1"/>
  <c r="C2820" i="7"/>
  <c r="D2820" i="7" s="1"/>
  <c r="C2821" i="7"/>
  <c r="D2821" i="7" s="1"/>
  <c r="C2822" i="7"/>
  <c r="D2822" i="7" s="1"/>
  <c r="C2823" i="7"/>
  <c r="D2823" i="7" s="1"/>
  <c r="C2824" i="7"/>
  <c r="D2824" i="7" s="1"/>
  <c r="C2825" i="7"/>
  <c r="D2825" i="7" s="1"/>
  <c r="C2826" i="7"/>
  <c r="D2826" i="7" s="1"/>
  <c r="C2827" i="7"/>
  <c r="D2827" i="7" s="1"/>
  <c r="C2828" i="7"/>
  <c r="D2828" i="7" s="1"/>
  <c r="C2829" i="7"/>
  <c r="D2829" i="7" s="1"/>
  <c r="C2830" i="7"/>
  <c r="D2830" i="7" s="1"/>
  <c r="C2831" i="7"/>
  <c r="D2831" i="7" s="1"/>
  <c r="C2832" i="7"/>
  <c r="D2832" i="7" s="1"/>
  <c r="C2833" i="7"/>
  <c r="D2833" i="7" s="1"/>
  <c r="C2834" i="7"/>
  <c r="D2834" i="7" s="1"/>
  <c r="C2835" i="7"/>
  <c r="D2835" i="7" s="1"/>
  <c r="C2836" i="7"/>
  <c r="D2836" i="7" s="1"/>
  <c r="C2837" i="7"/>
  <c r="D2837" i="7" s="1"/>
  <c r="C2838" i="7"/>
  <c r="D2838" i="7" s="1"/>
  <c r="C2839" i="7"/>
  <c r="D2839" i="7" s="1"/>
  <c r="C2840" i="7"/>
  <c r="D2840" i="7" s="1"/>
  <c r="C2841" i="7"/>
  <c r="D2841" i="7" s="1"/>
  <c r="C2842" i="7"/>
  <c r="D2842" i="7" s="1"/>
  <c r="C2843" i="7"/>
  <c r="D2843" i="7" s="1"/>
  <c r="C2844" i="7"/>
  <c r="D2844" i="7" s="1"/>
  <c r="C2845" i="7"/>
  <c r="D2845" i="7" s="1"/>
  <c r="C2846" i="7"/>
  <c r="D2846" i="7" s="1"/>
  <c r="C2847" i="7"/>
  <c r="D2847" i="7" s="1"/>
  <c r="C2848" i="7"/>
  <c r="D2848" i="7" s="1"/>
  <c r="C2849" i="7"/>
  <c r="D2849" i="7" s="1"/>
  <c r="C2850" i="7"/>
  <c r="D2850" i="7" s="1"/>
  <c r="C2851" i="7"/>
  <c r="D2851" i="7" s="1"/>
  <c r="C2852" i="7"/>
  <c r="D2852" i="7" s="1"/>
  <c r="C2853" i="7"/>
  <c r="D2853" i="7" s="1"/>
  <c r="C2854" i="7"/>
  <c r="D2854" i="7" s="1"/>
  <c r="C2855" i="7"/>
  <c r="D2855" i="7" s="1"/>
  <c r="C2856" i="7"/>
  <c r="D2856" i="7" s="1"/>
  <c r="C2857" i="7"/>
  <c r="D2857" i="7" s="1"/>
  <c r="C2858" i="7"/>
  <c r="D2858" i="7" s="1"/>
  <c r="C2859" i="7"/>
  <c r="D2859" i="7" s="1"/>
  <c r="C2860" i="7"/>
  <c r="D2860" i="7" s="1"/>
  <c r="C2861" i="7"/>
  <c r="D2861" i="7" s="1"/>
  <c r="C2862" i="7"/>
  <c r="D2862" i="7" s="1"/>
  <c r="C2863" i="7"/>
  <c r="D2863" i="7" s="1"/>
  <c r="C2864" i="7"/>
  <c r="D2864" i="7" s="1"/>
  <c r="C2865" i="7"/>
  <c r="D2865" i="7" s="1"/>
  <c r="C2866" i="7"/>
  <c r="D2866" i="7" s="1"/>
  <c r="C2867" i="7"/>
  <c r="D2867" i="7" s="1"/>
  <c r="C2868" i="7"/>
  <c r="D2868" i="7" s="1"/>
  <c r="C2869" i="7"/>
  <c r="D2869" i="7" s="1"/>
  <c r="C2870" i="7"/>
  <c r="D2870" i="7" s="1"/>
  <c r="C2871" i="7"/>
  <c r="D2871" i="7" s="1"/>
  <c r="C2872" i="7"/>
  <c r="D2872" i="7" s="1"/>
  <c r="C2873" i="7"/>
  <c r="D2873" i="7" s="1"/>
  <c r="C2874" i="7"/>
  <c r="D2874" i="7" s="1"/>
  <c r="C2875" i="7"/>
  <c r="D2875" i="7" s="1"/>
  <c r="C2876" i="7"/>
  <c r="D2876" i="7" s="1"/>
  <c r="C2877" i="7"/>
  <c r="D2877" i="7" s="1"/>
  <c r="C2878" i="7"/>
  <c r="D2878" i="7" s="1"/>
  <c r="C2879" i="7"/>
  <c r="D2879" i="7" s="1"/>
  <c r="C2880" i="7"/>
  <c r="D2880" i="7" s="1"/>
  <c r="C2881" i="7"/>
  <c r="D2881" i="7" s="1"/>
  <c r="C2882" i="7"/>
  <c r="D2882" i="7" s="1"/>
  <c r="C2883" i="7"/>
  <c r="D2883" i="7" s="1"/>
  <c r="C2884" i="7"/>
  <c r="D2884" i="7" s="1"/>
  <c r="C2885" i="7"/>
  <c r="D2885" i="7" s="1"/>
  <c r="C2886" i="7"/>
  <c r="D2886" i="7" s="1"/>
  <c r="C2887" i="7"/>
  <c r="D2887" i="7" s="1"/>
  <c r="C2888" i="7"/>
  <c r="D2888" i="7" s="1"/>
  <c r="C2889" i="7"/>
  <c r="D2889" i="7" s="1"/>
  <c r="C2890" i="7"/>
  <c r="D2890" i="7" s="1"/>
  <c r="C2891" i="7"/>
  <c r="D2891" i="7" s="1"/>
  <c r="C2892" i="7"/>
  <c r="D2892" i="7" s="1"/>
  <c r="C2893" i="7"/>
  <c r="D2893" i="7" s="1"/>
  <c r="C2894" i="7"/>
  <c r="D2894" i="7" s="1"/>
  <c r="C2895" i="7"/>
  <c r="D2895" i="7" s="1"/>
  <c r="C2896" i="7"/>
  <c r="D2896" i="7" s="1"/>
  <c r="C2897" i="7"/>
  <c r="D2897" i="7" s="1"/>
  <c r="C2898" i="7"/>
  <c r="D2898" i="7" s="1"/>
  <c r="C2899" i="7"/>
  <c r="D2899" i="7" s="1"/>
  <c r="C2900" i="7"/>
  <c r="D2900" i="7" s="1"/>
  <c r="C2901" i="7"/>
  <c r="D2901" i="7" s="1"/>
  <c r="C2902" i="7"/>
  <c r="D2902" i="7" s="1"/>
  <c r="C2903" i="7"/>
  <c r="D2903" i="7" s="1"/>
  <c r="C2904" i="7"/>
  <c r="D2904" i="7" s="1"/>
  <c r="C2905" i="7"/>
  <c r="D2905" i="7" s="1"/>
  <c r="C2906" i="7"/>
  <c r="D2906" i="7" s="1"/>
  <c r="C2907" i="7"/>
  <c r="D2907" i="7" s="1"/>
  <c r="C2908" i="7"/>
  <c r="D2908" i="7" s="1"/>
  <c r="C2909" i="7"/>
  <c r="D2909" i="7" s="1"/>
  <c r="C2910" i="7"/>
  <c r="D2910" i="7" s="1"/>
  <c r="C2911" i="7"/>
  <c r="D2911" i="7" s="1"/>
  <c r="C2912" i="7"/>
  <c r="D2912" i="7" s="1"/>
  <c r="C2913" i="7"/>
  <c r="D2913" i="7" s="1"/>
  <c r="C2914" i="7"/>
  <c r="D2914" i="7" s="1"/>
  <c r="C2915" i="7"/>
  <c r="D2915" i="7" s="1"/>
  <c r="C2916" i="7"/>
  <c r="D2916" i="7" s="1"/>
  <c r="C2917" i="7"/>
  <c r="D2917" i="7" s="1"/>
  <c r="C2918" i="7"/>
  <c r="D2918" i="7" s="1"/>
  <c r="C2919" i="7"/>
  <c r="D2919" i="7" s="1"/>
  <c r="C2920" i="7"/>
  <c r="D2920" i="7" s="1"/>
  <c r="C2921" i="7"/>
  <c r="D2921" i="7" s="1"/>
  <c r="C2922" i="7"/>
  <c r="D2922" i="7" s="1"/>
  <c r="C2923" i="7"/>
  <c r="D2923" i="7" s="1"/>
  <c r="C2924" i="7"/>
  <c r="D2924" i="7" s="1"/>
  <c r="C2925" i="7"/>
  <c r="D2925" i="7" s="1"/>
  <c r="C2926" i="7"/>
  <c r="D2926" i="7" s="1"/>
  <c r="C2927" i="7"/>
  <c r="D2927" i="7" s="1"/>
  <c r="C2928" i="7"/>
  <c r="D2928" i="7" s="1"/>
  <c r="C2929" i="7"/>
  <c r="D2929" i="7" s="1"/>
  <c r="C2930" i="7"/>
  <c r="D2930" i="7" s="1"/>
  <c r="C2931" i="7"/>
  <c r="D2931" i="7" s="1"/>
  <c r="C2932" i="7"/>
  <c r="D2932" i="7" s="1"/>
  <c r="C2933" i="7"/>
  <c r="D2933" i="7" s="1"/>
  <c r="C2934" i="7"/>
  <c r="D2934" i="7" s="1"/>
  <c r="C2935" i="7"/>
  <c r="D2935" i="7" s="1"/>
  <c r="C2936" i="7"/>
  <c r="D2936" i="7" s="1"/>
  <c r="C2937" i="7"/>
  <c r="D2937" i="7" s="1"/>
  <c r="C2938" i="7"/>
  <c r="D2938" i="7" s="1"/>
  <c r="C2939" i="7"/>
  <c r="D2939" i="7" s="1"/>
  <c r="C2940" i="7"/>
  <c r="D2940" i="7" s="1"/>
  <c r="C2941" i="7"/>
  <c r="D2941" i="7" s="1"/>
  <c r="C2942" i="7"/>
  <c r="D2942" i="7" s="1"/>
  <c r="C2943" i="7"/>
  <c r="D2943" i="7" s="1"/>
  <c r="C2944" i="7"/>
  <c r="D2944" i="7" s="1"/>
  <c r="C2945" i="7"/>
  <c r="D2945" i="7" s="1"/>
  <c r="C2946" i="7"/>
  <c r="D2946" i="7" s="1"/>
  <c r="C2947" i="7"/>
  <c r="D2947" i="7" s="1"/>
  <c r="C2948" i="7"/>
  <c r="D2948" i="7" s="1"/>
  <c r="C2949" i="7"/>
  <c r="D2949" i="7" s="1"/>
  <c r="C2950" i="7"/>
  <c r="D2950" i="7" s="1"/>
  <c r="C2951" i="7"/>
  <c r="D2951" i="7" s="1"/>
  <c r="C2952" i="7"/>
  <c r="D2952" i="7" s="1"/>
  <c r="C2953" i="7"/>
  <c r="D2953" i="7" s="1"/>
  <c r="C2954" i="7"/>
  <c r="D2954" i="7" s="1"/>
  <c r="C2955" i="7"/>
  <c r="D2955" i="7" s="1"/>
  <c r="C2956" i="7"/>
  <c r="D2956" i="7" s="1"/>
  <c r="C2957" i="7"/>
  <c r="D2957" i="7" s="1"/>
  <c r="C2958" i="7"/>
  <c r="D2958" i="7" s="1"/>
  <c r="C2959" i="7"/>
  <c r="D2959" i="7" s="1"/>
  <c r="C2960" i="7"/>
  <c r="D2960" i="7" s="1"/>
  <c r="C2961" i="7"/>
  <c r="D2961" i="7" s="1"/>
  <c r="C2962" i="7"/>
  <c r="D2962" i="7" s="1"/>
  <c r="C2963" i="7"/>
  <c r="D2963" i="7" s="1"/>
  <c r="C2964" i="7"/>
  <c r="D2964" i="7" s="1"/>
  <c r="C2965" i="7"/>
  <c r="D2965" i="7" s="1"/>
  <c r="C2966" i="7"/>
  <c r="D2966" i="7" s="1"/>
  <c r="C2967" i="7"/>
  <c r="D2967" i="7" s="1"/>
  <c r="C2968" i="7"/>
  <c r="D2968" i="7" s="1"/>
  <c r="C2969" i="7"/>
  <c r="D2969" i="7" s="1"/>
  <c r="C2970" i="7"/>
  <c r="D2970" i="7" s="1"/>
  <c r="C2971" i="7"/>
  <c r="D2971" i="7" s="1"/>
  <c r="C2972" i="7"/>
  <c r="D2972" i="7" s="1"/>
  <c r="C2973" i="7"/>
  <c r="D2973" i="7" s="1"/>
  <c r="C2974" i="7"/>
  <c r="D2974" i="7" s="1"/>
  <c r="C2975" i="7"/>
  <c r="D2975" i="7" s="1"/>
  <c r="C2976" i="7"/>
  <c r="D2976" i="7" s="1"/>
  <c r="C2977" i="7"/>
  <c r="D2977" i="7" s="1"/>
  <c r="C2978" i="7"/>
  <c r="D2978" i="7" s="1"/>
  <c r="C2979" i="7"/>
  <c r="D2979" i="7" s="1"/>
  <c r="C2980" i="7"/>
  <c r="D2980" i="7" s="1"/>
  <c r="C2981" i="7"/>
  <c r="D2981" i="7" s="1"/>
  <c r="C2982" i="7"/>
  <c r="D2982" i="7" s="1"/>
  <c r="C2983" i="7"/>
  <c r="D2983" i="7" s="1"/>
  <c r="C2984" i="7"/>
  <c r="D2984" i="7" s="1"/>
  <c r="C2985" i="7"/>
  <c r="D2985" i="7" s="1"/>
  <c r="C2986" i="7"/>
  <c r="D2986" i="7" s="1"/>
  <c r="C2987" i="7"/>
  <c r="D2987" i="7" s="1"/>
  <c r="C2988" i="7"/>
  <c r="D2988" i="7" s="1"/>
  <c r="C2989" i="7"/>
  <c r="D2989" i="7" s="1"/>
  <c r="C2990" i="7"/>
  <c r="D2990" i="7" s="1"/>
  <c r="C2991" i="7"/>
  <c r="D2991" i="7" s="1"/>
  <c r="C2992" i="7"/>
  <c r="D2992" i="7" s="1"/>
  <c r="C2993" i="7"/>
  <c r="D2993" i="7" s="1"/>
  <c r="C2994" i="7"/>
  <c r="D2994" i="7" s="1"/>
  <c r="C2995" i="7"/>
  <c r="D2995" i="7" s="1"/>
  <c r="C2996" i="7"/>
  <c r="D2996" i="7" s="1"/>
  <c r="C2997" i="7"/>
  <c r="D2997" i="7" s="1"/>
  <c r="C2998" i="7"/>
  <c r="D2998" i="7" s="1"/>
  <c r="C2999" i="7"/>
  <c r="D2999" i="7" s="1"/>
  <c r="C3000" i="7"/>
  <c r="D3000" i="7" s="1"/>
  <c r="C3001" i="7"/>
  <c r="D3001" i="7" s="1"/>
  <c r="C3002" i="7"/>
  <c r="D3002" i="7" s="1"/>
  <c r="C3003" i="7"/>
  <c r="D3003" i="7" s="1"/>
  <c r="C3004" i="7"/>
  <c r="D3004" i="7" s="1"/>
  <c r="C3005" i="7"/>
  <c r="D3005" i="7" s="1"/>
  <c r="C3006" i="7"/>
  <c r="D3006" i="7" s="1"/>
  <c r="C3007" i="7"/>
  <c r="D3007" i="7" s="1"/>
  <c r="C3008" i="7"/>
  <c r="D3008" i="7" s="1"/>
  <c r="C3009" i="7"/>
  <c r="D3009" i="7" s="1"/>
  <c r="C3010" i="7"/>
  <c r="D3010" i="7" s="1"/>
  <c r="C3011" i="7"/>
  <c r="D3011" i="7" s="1"/>
  <c r="C3012" i="7"/>
  <c r="D3012" i="7" s="1"/>
  <c r="C3013" i="7"/>
  <c r="D3013" i="7" s="1"/>
  <c r="C3014" i="7"/>
  <c r="D3014" i="7" s="1"/>
  <c r="C3015" i="7"/>
  <c r="D3015" i="7" s="1"/>
  <c r="C3016" i="7"/>
  <c r="D3016" i="7" s="1"/>
  <c r="C3017" i="7"/>
  <c r="D3017" i="7" s="1"/>
  <c r="C3018" i="7"/>
  <c r="D3018" i="7" s="1"/>
  <c r="C3019" i="7"/>
  <c r="D3019" i="7" s="1"/>
  <c r="C3020" i="7"/>
  <c r="D3020" i="7" s="1"/>
  <c r="C3021" i="7"/>
  <c r="D3021" i="7" s="1"/>
  <c r="C3022" i="7"/>
  <c r="D3022" i="7" s="1"/>
  <c r="C3023" i="7"/>
  <c r="D3023" i="7" s="1"/>
  <c r="C3024" i="7"/>
  <c r="D3024" i="7" s="1"/>
  <c r="C3025" i="7"/>
  <c r="D3025" i="7" s="1"/>
  <c r="C3026" i="7"/>
  <c r="D3026" i="7" s="1"/>
  <c r="C3027" i="7"/>
  <c r="D3027" i="7" s="1"/>
  <c r="C3028" i="7"/>
  <c r="D3028" i="7" s="1"/>
  <c r="C3029" i="7"/>
  <c r="D3029" i="7" s="1"/>
  <c r="C3030" i="7"/>
  <c r="D3030" i="7" s="1"/>
  <c r="C3031" i="7"/>
  <c r="D3031" i="7" s="1"/>
  <c r="C3032" i="7"/>
  <c r="D3032" i="7" s="1"/>
  <c r="C3033" i="7"/>
  <c r="D3033" i="7" s="1"/>
  <c r="C3034" i="7"/>
  <c r="D3034" i="7" s="1"/>
  <c r="C3035" i="7"/>
  <c r="D3035" i="7" s="1"/>
  <c r="C3036" i="7"/>
  <c r="D3036" i="7" s="1"/>
  <c r="C3037" i="7"/>
  <c r="D3037" i="7" s="1"/>
  <c r="C3038" i="7"/>
  <c r="D3038" i="7" s="1"/>
  <c r="C3039" i="7"/>
  <c r="D3039" i="7" s="1"/>
  <c r="C3040" i="7"/>
  <c r="D3040" i="7" s="1"/>
  <c r="C3041" i="7"/>
  <c r="D3041" i="7" s="1"/>
  <c r="C3042" i="7"/>
  <c r="D3042" i="7" s="1"/>
  <c r="C3043" i="7"/>
  <c r="D3043" i="7" s="1"/>
  <c r="C3044" i="7"/>
  <c r="D3044" i="7" s="1"/>
  <c r="C3045" i="7"/>
  <c r="D3045" i="7" s="1"/>
  <c r="C3046" i="7"/>
  <c r="D3046" i="7" s="1"/>
  <c r="C3047" i="7"/>
  <c r="D3047" i="7" s="1"/>
  <c r="C3048" i="7"/>
  <c r="D3048" i="7" s="1"/>
  <c r="C3049" i="7"/>
  <c r="D3049" i="7" s="1"/>
  <c r="C3050" i="7"/>
  <c r="D3050" i="7" s="1"/>
  <c r="C3051" i="7"/>
  <c r="D3051" i="7" s="1"/>
  <c r="C3052" i="7"/>
  <c r="D3052" i="7" s="1"/>
  <c r="C3053" i="7"/>
  <c r="D3053" i="7" s="1"/>
  <c r="C3054" i="7"/>
  <c r="D3054" i="7" s="1"/>
  <c r="C3055" i="7"/>
  <c r="D3055" i="7" s="1"/>
  <c r="C3056" i="7"/>
  <c r="D3056" i="7" s="1"/>
  <c r="C3057" i="7"/>
  <c r="D3057" i="7" s="1"/>
  <c r="C3058" i="7"/>
  <c r="D3058" i="7" s="1"/>
  <c r="C3059" i="7"/>
  <c r="D3059" i="7" s="1"/>
  <c r="C3060" i="7"/>
  <c r="D3060" i="7" s="1"/>
  <c r="C3061" i="7"/>
  <c r="D3061" i="7" s="1"/>
  <c r="C3062" i="7"/>
  <c r="D3062" i="7" s="1"/>
  <c r="C3063" i="7"/>
  <c r="D3063" i="7" s="1"/>
  <c r="C3064" i="7"/>
  <c r="D3064" i="7" s="1"/>
  <c r="C3065" i="7"/>
  <c r="D3065" i="7" s="1"/>
  <c r="C3066" i="7"/>
  <c r="D3066" i="7" s="1"/>
  <c r="C3067" i="7"/>
  <c r="D3067" i="7" s="1"/>
  <c r="C3068" i="7"/>
  <c r="D3068" i="7" s="1"/>
  <c r="C3069" i="7"/>
  <c r="D3069" i="7" s="1"/>
  <c r="C3070" i="7"/>
  <c r="D3070" i="7" s="1"/>
  <c r="C3071" i="7"/>
  <c r="D3071" i="7" s="1"/>
  <c r="C3072" i="7"/>
  <c r="D3072" i="7" s="1"/>
  <c r="C3073" i="7"/>
  <c r="D3073" i="7" s="1"/>
  <c r="C3074" i="7"/>
  <c r="D3074" i="7" s="1"/>
  <c r="C3075" i="7"/>
  <c r="D3075" i="7" s="1"/>
  <c r="C3076" i="7"/>
  <c r="D3076" i="7" s="1"/>
  <c r="C3077" i="7"/>
  <c r="D3077" i="7" s="1"/>
  <c r="C3078" i="7"/>
  <c r="D3078" i="7" s="1"/>
  <c r="C3079" i="7"/>
  <c r="D3079" i="7" s="1"/>
  <c r="C3080" i="7"/>
  <c r="D3080" i="7" s="1"/>
  <c r="C3081" i="7"/>
  <c r="D3081" i="7" s="1"/>
  <c r="C3082" i="7"/>
  <c r="D3082" i="7" s="1"/>
  <c r="C3083" i="7"/>
  <c r="D3083" i="7" s="1"/>
  <c r="C3084" i="7"/>
  <c r="D3084" i="7" s="1"/>
  <c r="C3085" i="7"/>
  <c r="D3085" i="7" s="1"/>
  <c r="C3086" i="7"/>
  <c r="D3086" i="7" s="1"/>
  <c r="C3087" i="7"/>
  <c r="D3087" i="7" s="1"/>
  <c r="C3088" i="7"/>
  <c r="D3088" i="7" s="1"/>
  <c r="C3089" i="7"/>
  <c r="D3089" i="7" s="1"/>
  <c r="C3090" i="7"/>
  <c r="D3090" i="7" s="1"/>
  <c r="C3091" i="7"/>
  <c r="D3091" i="7" s="1"/>
  <c r="C3092" i="7"/>
  <c r="D3092" i="7" s="1"/>
  <c r="C3093" i="7"/>
  <c r="D3093" i="7" s="1"/>
  <c r="C3094" i="7"/>
  <c r="D3094" i="7" s="1"/>
  <c r="C3095" i="7"/>
  <c r="D3095" i="7" s="1"/>
  <c r="C3096" i="7"/>
  <c r="D3096" i="7" s="1"/>
  <c r="C3097" i="7"/>
  <c r="D3097" i="7" s="1"/>
  <c r="C3098" i="7"/>
  <c r="D3098" i="7" s="1"/>
  <c r="C3099" i="7"/>
  <c r="D3099" i="7" s="1"/>
  <c r="C3100" i="7"/>
  <c r="D3100" i="7" s="1"/>
  <c r="C3101" i="7"/>
  <c r="D3101" i="7" s="1"/>
  <c r="C3102" i="7"/>
  <c r="D3102" i="7" s="1"/>
  <c r="C3103" i="7"/>
  <c r="D3103" i="7" s="1"/>
  <c r="C3104" i="7"/>
  <c r="D3104" i="7" s="1"/>
  <c r="C3105" i="7"/>
  <c r="D3105" i="7" s="1"/>
  <c r="C3106" i="7"/>
  <c r="D3106" i="7" s="1"/>
  <c r="C3107" i="7"/>
  <c r="D3107" i="7" s="1"/>
  <c r="C3108" i="7"/>
  <c r="D3108" i="7" s="1"/>
  <c r="C3109" i="7"/>
  <c r="D3109" i="7" s="1"/>
  <c r="C3110" i="7"/>
  <c r="D3110" i="7" s="1"/>
  <c r="C3111" i="7"/>
  <c r="D3111" i="7" s="1"/>
  <c r="C3112" i="7"/>
  <c r="D3112" i="7" s="1"/>
  <c r="C3113" i="7"/>
  <c r="D3113" i="7" s="1"/>
  <c r="C3114" i="7"/>
  <c r="D3114" i="7" s="1"/>
  <c r="C3115" i="7"/>
  <c r="D3115" i="7" s="1"/>
  <c r="C3116" i="7"/>
  <c r="D3116" i="7" s="1"/>
  <c r="C3117" i="7"/>
  <c r="D3117" i="7" s="1"/>
  <c r="C3118" i="7"/>
  <c r="D3118" i="7" s="1"/>
  <c r="C3119" i="7"/>
  <c r="D3119" i="7" s="1"/>
  <c r="C3120" i="7"/>
  <c r="D3120" i="7" s="1"/>
  <c r="C3121" i="7"/>
  <c r="D3121" i="7" s="1"/>
  <c r="C3122" i="7"/>
  <c r="D3122" i="7" s="1"/>
  <c r="C3123" i="7"/>
  <c r="D3123" i="7" s="1"/>
  <c r="C3124" i="7"/>
  <c r="D3124" i="7" s="1"/>
  <c r="C3125" i="7"/>
  <c r="D3125" i="7" s="1"/>
  <c r="C3126" i="7"/>
  <c r="D3126" i="7" s="1"/>
  <c r="C3127" i="7"/>
  <c r="D3127" i="7" s="1"/>
  <c r="C3128" i="7"/>
  <c r="D3128" i="7" s="1"/>
  <c r="C3129" i="7"/>
  <c r="D3129" i="7" s="1"/>
  <c r="C3130" i="7"/>
  <c r="D3130" i="7" s="1"/>
  <c r="C3131" i="7"/>
  <c r="D3131" i="7" s="1"/>
  <c r="C3132" i="7"/>
  <c r="D3132" i="7" s="1"/>
  <c r="C3133" i="7"/>
  <c r="D3133" i="7" s="1"/>
  <c r="C3134" i="7"/>
  <c r="D3134" i="7" s="1"/>
  <c r="C3135" i="7"/>
  <c r="D3135" i="7" s="1"/>
  <c r="C3136" i="7"/>
  <c r="D3136" i="7" s="1"/>
  <c r="C3137" i="7"/>
  <c r="D3137" i="7" s="1"/>
  <c r="C3138" i="7"/>
  <c r="D3138" i="7" s="1"/>
  <c r="C3139" i="7"/>
  <c r="D3139" i="7" s="1"/>
  <c r="C3140" i="7"/>
  <c r="D3140" i="7" s="1"/>
  <c r="C3141" i="7"/>
  <c r="D3141" i="7" s="1"/>
  <c r="C3142" i="7"/>
  <c r="D3142" i="7" s="1"/>
  <c r="C3143" i="7"/>
  <c r="D3143" i="7" s="1"/>
  <c r="C3144" i="7"/>
  <c r="D3144" i="7" s="1"/>
  <c r="C3145" i="7"/>
  <c r="D3145" i="7" s="1"/>
  <c r="C3146" i="7"/>
  <c r="D3146" i="7" s="1"/>
  <c r="C3147" i="7"/>
  <c r="D3147" i="7" s="1"/>
  <c r="C3148" i="7"/>
  <c r="D3148" i="7" s="1"/>
  <c r="C3149" i="7"/>
  <c r="D3149" i="7" s="1"/>
  <c r="C3150" i="7"/>
  <c r="D3150" i="7" s="1"/>
  <c r="C3151" i="7"/>
  <c r="D3151" i="7" s="1"/>
  <c r="C3152" i="7"/>
  <c r="D3152" i="7" s="1"/>
  <c r="C3153" i="7"/>
  <c r="D3153" i="7" s="1"/>
  <c r="C3154" i="7"/>
  <c r="D3154" i="7" s="1"/>
  <c r="C3155" i="7"/>
  <c r="D3155" i="7" s="1"/>
  <c r="C3156" i="7"/>
  <c r="D3156" i="7" s="1"/>
  <c r="C3157" i="7"/>
  <c r="D3157" i="7" s="1"/>
  <c r="C3158" i="7"/>
  <c r="D3158" i="7" s="1"/>
  <c r="C3159" i="7"/>
  <c r="D3159" i="7" s="1"/>
  <c r="C3160" i="7"/>
  <c r="D3160" i="7" s="1"/>
  <c r="C3161" i="7"/>
  <c r="D3161" i="7" s="1"/>
  <c r="C3162" i="7"/>
  <c r="D3162" i="7" s="1"/>
  <c r="C3163" i="7"/>
  <c r="D3163" i="7" s="1"/>
  <c r="C3164" i="7"/>
  <c r="D3164" i="7" s="1"/>
  <c r="C3165" i="7"/>
  <c r="D3165" i="7" s="1"/>
  <c r="C3166" i="7"/>
  <c r="D3166" i="7" s="1"/>
  <c r="C3167" i="7"/>
  <c r="D3167" i="7" s="1"/>
  <c r="C3168" i="7"/>
  <c r="D3168" i="7" s="1"/>
  <c r="C3169" i="7"/>
  <c r="D3169" i="7" s="1"/>
  <c r="C3170" i="7"/>
  <c r="D3170" i="7" s="1"/>
  <c r="C3171" i="7"/>
  <c r="D3171" i="7" s="1"/>
  <c r="C3172" i="7"/>
  <c r="D3172" i="7" s="1"/>
  <c r="C3173" i="7"/>
  <c r="D3173" i="7" s="1"/>
  <c r="C3174" i="7"/>
  <c r="D3174" i="7" s="1"/>
  <c r="C3175" i="7"/>
  <c r="D3175" i="7" s="1"/>
  <c r="C3176" i="7"/>
  <c r="D3176" i="7" s="1"/>
  <c r="C3177" i="7"/>
  <c r="D3177" i="7" s="1"/>
  <c r="C3178" i="7"/>
  <c r="D3178" i="7" s="1"/>
  <c r="C3179" i="7"/>
  <c r="D3179" i="7" s="1"/>
  <c r="C3180" i="7"/>
  <c r="D3180" i="7" s="1"/>
  <c r="C3181" i="7"/>
  <c r="D3181" i="7" s="1"/>
  <c r="C3182" i="7"/>
  <c r="D3182" i="7" s="1"/>
  <c r="C3183" i="7"/>
  <c r="D3183" i="7" s="1"/>
  <c r="C3184" i="7"/>
  <c r="D3184" i="7" s="1"/>
  <c r="C3185" i="7"/>
  <c r="D3185" i="7" s="1"/>
  <c r="C3186" i="7"/>
  <c r="D3186" i="7" s="1"/>
  <c r="C3187" i="7"/>
  <c r="D3187" i="7" s="1"/>
  <c r="C3188" i="7"/>
  <c r="D3188" i="7" s="1"/>
  <c r="C3189" i="7"/>
  <c r="D3189" i="7" s="1"/>
  <c r="C3190" i="7"/>
  <c r="D3190" i="7" s="1"/>
  <c r="C3191" i="7"/>
  <c r="D3191" i="7" s="1"/>
  <c r="C3192" i="7"/>
  <c r="D3192" i="7" s="1"/>
  <c r="C3193" i="7"/>
  <c r="D3193" i="7" s="1"/>
  <c r="C3194" i="7"/>
  <c r="D3194" i="7" s="1"/>
  <c r="C3195" i="7"/>
  <c r="D3195" i="7" s="1"/>
  <c r="C3196" i="7"/>
  <c r="D3196" i="7" s="1"/>
  <c r="C3197" i="7"/>
  <c r="D3197" i="7" s="1"/>
  <c r="C3198" i="7"/>
  <c r="D3198" i="7" s="1"/>
  <c r="C3199" i="7"/>
  <c r="D3199" i="7" s="1"/>
  <c r="C3200" i="7"/>
  <c r="D3200" i="7" s="1"/>
  <c r="C3201" i="7"/>
  <c r="D3201" i="7" s="1"/>
  <c r="C3202" i="7"/>
  <c r="D3202" i="7" s="1"/>
  <c r="C3203" i="7"/>
  <c r="D3203" i="7" s="1"/>
  <c r="C3204" i="7"/>
  <c r="D3204" i="7" s="1"/>
  <c r="C3205" i="7"/>
  <c r="D3205" i="7" s="1"/>
  <c r="C3206" i="7"/>
  <c r="D3206" i="7" s="1"/>
  <c r="C3207" i="7"/>
  <c r="D3207" i="7" s="1"/>
  <c r="C3208" i="7"/>
  <c r="D3208" i="7" s="1"/>
  <c r="C3209" i="7"/>
  <c r="D3209" i="7" s="1"/>
  <c r="C3210" i="7"/>
  <c r="D3210" i="7" s="1"/>
  <c r="C3211" i="7"/>
  <c r="D3211" i="7" s="1"/>
  <c r="C3212" i="7"/>
  <c r="D3212" i="7" s="1"/>
  <c r="C3213" i="7"/>
  <c r="D3213" i="7" s="1"/>
  <c r="C3214" i="7"/>
  <c r="D3214" i="7" s="1"/>
  <c r="C3215" i="7"/>
  <c r="D3215" i="7" s="1"/>
  <c r="C3216" i="7"/>
  <c r="D3216" i="7" s="1"/>
  <c r="C3217" i="7"/>
  <c r="D3217" i="7" s="1"/>
  <c r="C3218" i="7"/>
  <c r="D3218" i="7" s="1"/>
  <c r="C3219" i="7"/>
  <c r="D3219" i="7" s="1"/>
  <c r="C3220" i="7"/>
  <c r="D3220" i="7" s="1"/>
  <c r="C3221" i="7"/>
  <c r="D3221" i="7" s="1"/>
  <c r="C3222" i="7"/>
  <c r="D3222" i="7" s="1"/>
  <c r="C3223" i="7"/>
  <c r="D3223" i="7" s="1"/>
  <c r="C3224" i="7"/>
  <c r="D3224" i="7" s="1"/>
  <c r="C3225" i="7"/>
  <c r="D3225" i="7" s="1"/>
  <c r="C3226" i="7"/>
  <c r="D3226" i="7" s="1"/>
  <c r="C3227" i="7"/>
  <c r="D3227" i="7" s="1"/>
  <c r="C3228" i="7"/>
  <c r="D3228" i="7" s="1"/>
  <c r="C3229" i="7"/>
  <c r="D3229" i="7" s="1"/>
  <c r="C3230" i="7"/>
  <c r="D3230" i="7" s="1"/>
  <c r="C3231" i="7"/>
  <c r="D3231" i="7" s="1"/>
  <c r="C3232" i="7"/>
  <c r="D3232" i="7" s="1"/>
  <c r="C3233" i="7"/>
  <c r="D3233" i="7" s="1"/>
  <c r="C3234" i="7"/>
  <c r="D3234" i="7" s="1"/>
  <c r="C3235" i="7"/>
  <c r="D3235" i="7" s="1"/>
  <c r="C3236" i="7"/>
  <c r="D3236" i="7" s="1"/>
  <c r="C3237" i="7"/>
  <c r="D3237" i="7" s="1"/>
  <c r="C3238" i="7"/>
  <c r="D3238" i="7" s="1"/>
  <c r="C3239" i="7"/>
  <c r="D3239" i="7" s="1"/>
  <c r="C3240" i="7"/>
  <c r="D3240" i="7" s="1"/>
  <c r="C3241" i="7"/>
  <c r="D3241" i="7" s="1"/>
  <c r="C3242" i="7"/>
  <c r="D3242" i="7" s="1"/>
  <c r="C3243" i="7"/>
  <c r="D3243" i="7" s="1"/>
  <c r="C3244" i="7"/>
  <c r="D3244" i="7" s="1"/>
  <c r="C3245" i="7"/>
  <c r="D3245" i="7" s="1"/>
  <c r="C3246" i="7"/>
  <c r="D3246" i="7" s="1"/>
  <c r="C3247" i="7"/>
  <c r="D3247" i="7" s="1"/>
  <c r="C3248" i="7"/>
  <c r="D3248" i="7" s="1"/>
  <c r="C3249" i="7"/>
  <c r="D3249" i="7" s="1"/>
  <c r="C3250" i="7"/>
  <c r="D3250" i="7" s="1"/>
  <c r="C3251" i="7"/>
  <c r="D3251" i="7" s="1"/>
  <c r="C3252" i="7"/>
  <c r="D3252" i="7" s="1"/>
  <c r="C3253" i="7"/>
  <c r="D3253" i="7" s="1"/>
  <c r="C3254" i="7"/>
  <c r="D3254" i="7" s="1"/>
  <c r="C3255" i="7"/>
  <c r="D3255" i="7" s="1"/>
  <c r="C3256" i="7"/>
  <c r="D3256" i="7" s="1"/>
  <c r="C3257" i="7"/>
  <c r="D3257" i="7" s="1"/>
  <c r="C3258" i="7"/>
  <c r="D3258" i="7" s="1"/>
  <c r="C3259" i="7"/>
  <c r="D3259" i="7" s="1"/>
  <c r="C3260" i="7"/>
  <c r="D3260" i="7" s="1"/>
  <c r="C3261" i="7"/>
  <c r="D3261" i="7" s="1"/>
  <c r="C3262" i="7"/>
  <c r="D3262" i="7" s="1"/>
  <c r="C3263" i="7"/>
  <c r="D3263" i="7" s="1"/>
  <c r="C3264" i="7"/>
  <c r="D3264" i="7" s="1"/>
  <c r="C3265" i="7"/>
  <c r="D3265" i="7" s="1"/>
  <c r="C3266" i="7"/>
  <c r="D3266" i="7" s="1"/>
  <c r="C3267" i="7"/>
  <c r="D3267" i="7" s="1"/>
  <c r="C3268" i="7"/>
  <c r="D3268" i="7" s="1"/>
  <c r="C3269" i="7"/>
  <c r="D3269" i="7" s="1"/>
  <c r="C3270" i="7"/>
  <c r="D3270" i="7" s="1"/>
  <c r="C3271" i="7"/>
  <c r="D3271" i="7" s="1"/>
  <c r="C3272" i="7"/>
  <c r="D3272" i="7" s="1"/>
  <c r="C3273" i="7"/>
  <c r="D3273" i="7" s="1"/>
  <c r="C3274" i="7"/>
  <c r="D3274" i="7" s="1"/>
  <c r="C3275" i="7"/>
  <c r="D3275" i="7" s="1"/>
  <c r="C3276" i="7"/>
  <c r="D3276" i="7" s="1"/>
  <c r="C3277" i="7"/>
  <c r="D3277" i="7" s="1"/>
  <c r="C3278" i="7"/>
  <c r="D3278" i="7" s="1"/>
  <c r="C3279" i="7"/>
  <c r="D3279" i="7" s="1"/>
  <c r="C3280" i="7"/>
  <c r="D3280" i="7" s="1"/>
  <c r="C3281" i="7"/>
  <c r="D3281" i="7" s="1"/>
  <c r="C3282" i="7"/>
  <c r="D3282" i="7" s="1"/>
  <c r="C3283" i="7"/>
  <c r="D3283" i="7" s="1"/>
  <c r="C3284" i="7"/>
  <c r="D3284" i="7" s="1"/>
  <c r="C3285" i="7"/>
  <c r="D3285" i="7" s="1"/>
  <c r="C3286" i="7"/>
  <c r="D3286" i="7" s="1"/>
  <c r="C3287" i="7"/>
  <c r="D3287" i="7" s="1"/>
  <c r="C3288" i="7"/>
  <c r="D3288" i="7" s="1"/>
  <c r="C3289" i="7"/>
  <c r="D3289" i="7" s="1"/>
  <c r="C3290" i="7"/>
  <c r="D3290" i="7" s="1"/>
  <c r="C3291" i="7"/>
  <c r="D3291" i="7" s="1"/>
  <c r="C3292" i="7"/>
  <c r="D3292" i="7" s="1"/>
  <c r="C3293" i="7"/>
  <c r="D3293" i="7" s="1"/>
  <c r="C3294" i="7"/>
  <c r="D3294" i="7" s="1"/>
  <c r="C3295" i="7"/>
  <c r="D3295" i="7" s="1"/>
  <c r="C3296" i="7"/>
  <c r="D3296" i="7" s="1"/>
  <c r="C3297" i="7"/>
  <c r="D3297" i="7" s="1"/>
  <c r="C3298" i="7"/>
  <c r="D3298" i="7" s="1"/>
  <c r="C3299" i="7"/>
  <c r="D3299" i="7" s="1"/>
  <c r="C3300" i="7"/>
  <c r="D3300" i="7" s="1"/>
  <c r="C3301" i="7"/>
  <c r="D3301" i="7" s="1"/>
  <c r="C3302" i="7"/>
  <c r="D3302" i="7" s="1"/>
  <c r="C3303" i="7"/>
  <c r="D3303" i="7" s="1"/>
  <c r="C3304" i="7"/>
  <c r="D3304" i="7" s="1"/>
  <c r="C3305" i="7"/>
  <c r="D3305" i="7" s="1"/>
  <c r="C3306" i="7"/>
  <c r="D3306" i="7" s="1"/>
  <c r="C3307" i="7"/>
  <c r="D3307" i="7" s="1"/>
  <c r="C3308" i="7"/>
  <c r="D3308" i="7" s="1"/>
  <c r="C3309" i="7"/>
  <c r="D3309" i="7" s="1"/>
  <c r="C3310" i="7"/>
  <c r="D3310" i="7" s="1"/>
  <c r="C3311" i="7"/>
  <c r="D3311" i="7" s="1"/>
  <c r="C3312" i="7"/>
  <c r="D3312" i="7" s="1"/>
  <c r="C3313" i="7"/>
  <c r="D3313" i="7" s="1"/>
  <c r="C3314" i="7"/>
  <c r="D3314" i="7" s="1"/>
  <c r="C3315" i="7"/>
  <c r="D3315" i="7" s="1"/>
  <c r="C3316" i="7"/>
  <c r="D3316" i="7" s="1"/>
  <c r="C3317" i="7"/>
  <c r="D3317" i="7" s="1"/>
  <c r="C3318" i="7"/>
  <c r="D3318" i="7" s="1"/>
  <c r="C3319" i="7"/>
  <c r="D3319" i="7" s="1"/>
  <c r="C3320" i="7"/>
  <c r="D3320" i="7" s="1"/>
  <c r="C3321" i="7"/>
  <c r="D3321" i="7" s="1"/>
  <c r="C3322" i="7"/>
  <c r="D3322" i="7" s="1"/>
  <c r="C3323" i="7"/>
  <c r="D3323" i="7" s="1"/>
  <c r="C3324" i="7"/>
  <c r="D3324" i="7" s="1"/>
  <c r="C3325" i="7"/>
  <c r="D3325" i="7" s="1"/>
  <c r="C3326" i="7"/>
  <c r="D3326" i="7" s="1"/>
  <c r="C3327" i="7"/>
  <c r="D3327" i="7" s="1"/>
  <c r="C3328" i="7"/>
  <c r="D3328" i="7" s="1"/>
  <c r="C3329" i="7"/>
  <c r="D3329" i="7" s="1"/>
  <c r="C3330" i="7"/>
  <c r="D3330" i="7" s="1"/>
  <c r="C3331" i="7"/>
  <c r="D3331" i="7" s="1"/>
  <c r="C3332" i="7"/>
  <c r="D3332" i="7" s="1"/>
  <c r="C3333" i="7"/>
  <c r="D3333" i="7" s="1"/>
  <c r="C3334" i="7"/>
  <c r="D3334" i="7" s="1"/>
  <c r="C3335" i="7"/>
  <c r="D3335" i="7" s="1"/>
  <c r="C3336" i="7"/>
  <c r="D3336" i="7" s="1"/>
  <c r="C3337" i="7"/>
  <c r="D3337" i="7" s="1"/>
  <c r="C3338" i="7"/>
  <c r="D3338" i="7" s="1"/>
  <c r="C3339" i="7"/>
  <c r="D3339" i="7" s="1"/>
  <c r="C3340" i="7"/>
  <c r="D3340" i="7" s="1"/>
  <c r="C3341" i="7"/>
  <c r="D3341" i="7" s="1"/>
  <c r="C3342" i="7"/>
  <c r="D3342" i="7" s="1"/>
  <c r="C3343" i="7"/>
  <c r="D3343" i="7" s="1"/>
  <c r="C3344" i="7"/>
  <c r="D3344" i="7" s="1"/>
  <c r="C3345" i="7"/>
  <c r="D3345" i="7" s="1"/>
  <c r="C3346" i="7"/>
  <c r="D3346" i="7" s="1"/>
  <c r="C3347" i="7"/>
  <c r="D3347" i="7" s="1"/>
  <c r="C3348" i="7"/>
  <c r="D3348" i="7" s="1"/>
  <c r="C3349" i="7"/>
  <c r="D3349" i="7" s="1"/>
  <c r="C3350" i="7"/>
  <c r="D3350" i="7" s="1"/>
  <c r="C3351" i="7"/>
  <c r="D3351" i="7" s="1"/>
  <c r="C3352" i="7"/>
  <c r="D3352" i="7" s="1"/>
  <c r="C3353" i="7"/>
  <c r="D3353" i="7" s="1"/>
  <c r="C3354" i="7"/>
  <c r="D3354" i="7" s="1"/>
  <c r="C3355" i="7"/>
  <c r="D3355" i="7" s="1"/>
  <c r="C3356" i="7"/>
  <c r="D3356" i="7" s="1"/>
  <c r="C3357" i="7"/>
  <c r="D3357" i="7" s="1"/>
  <c r="C3358" i="7"/>
  <c r="D3358" i="7" s="1"/>
  <c r="C3359" i="7"/>
  <c r="D3359" i="7" s="1"/>
  <c r="C3360" i="7"/>
  <c r="D3360" i="7" s="1"/>
  <c r="C3361" i="7"/>
  <c r="D3361" i="7" s="1"/>
  <c r="C3362" i="7"/>
  <c r="D3362" i="7" s="1"/>
  <c r="C3363" i="7"/>
  <c r="D3363" i="7" s="1"/>
  <c r="C3364" i="7"/>
  <c r="D3364" i="7" s="1"/>
  <c r="C3365" i="7"/>
  <c r="D3365" i="7" s="1"/>
  <c r="C3366" i="7"/>
  <c r="D3366" i="7" s="1"/>
  <c r="C3367" i="7"/>
  <c r="D3367" i="7" s="1"/>
  <c r="C3368" i="7"/>
  <c r="D3368" i="7" s="1"/>
  <c r="C3369" i="7"/>
  <c r="D3369" i="7" s="1"/>
  <c r="C3370" i="7"/>
  <c r="D3370" i="7" s="1"/>
  <c r="C3371" i="7"/>
  <c r="D3371" i="7" s="1"/>
  <c r="C3372" i="7"/>
  <c r="D3372" i="7" s="1"/>
  <c r="C3373" i="7"/>
  <c r="D3373" i="7" s="1"/>
  <c r="C3374" i="7"/>
  <c r="D3374" i="7" s="1"/>
  <c r="C3375" i="7"/>
  <c r="D3375" i="7" s="1"/>
  <c r="C3376" i="7"/>
  <c r="D3376" i="7" s="1"/>
  <c r="C3377" i="7"/>
  <c r="D3377" i="7" s="1"/>
  <c r="C3378" i="7"/>
  <c r="D3378" i="7" s="1"/>
  <c r="C3379" i="7"/>
  <c r="D3379" i="7" s="1"/>
  <c r="C3380" i="7"/>
  <c r="D3380" i="7" s="1"/>
  <c r="C3381" i="7"/>
  <c r="D3381" i="7" s="1"/>
  <c r="C3382" i="7"/>
  <c r="D3382" i="7" s="1"/>
  <c r="C3383" i="7"/>
  <c r="D3383" i="7" s="1"/>
  <c r="C3384" i="7"/>
  <c r="D3384" i="7" s="1"/>
  <c r="C3385" i="7"/>
  <c r="D3385" i="7" s="1"/>
  <c r="C3386" i="7"/>
  <c r="D3386" i="7" s="1"/>
  <c r="C3387" i="7"/>
  <c r="D3387" i="7" s="1"/>
  <c r="C3388" i="7"/>
  <c r="D3388" i="7" s="1"/>
  <c r="C3389" i="7"/>
  <c r="D3389" i="7" s="1"/>
  <c r="C3390" i="7"/>
  <c r="D3390" i="7" s="1"/>
  <c r="C3391" i="7"/>
  <c r="D3391" i="7" s="1"/>
  <c r="C3392" i="7"/>
  <c r="D3392" i="7" s="1"/>
  <c r="C3393" i="7"/>
  <c r="D3393" i="7" s="1"/>
  <c r="C3394" i="7"/>
  <c r="D3394" i="7" s="1"/>
  <c r="C3395" i="7"/>
  <c r="D3395" i="7" s="1"/>
  <c r="C3396" i="7"/>
  <c r="D3396" i="7" s="1"/>
  <c r="C3397" i="7"/>
  <c r="D3397" i="7" s="1"/>
  <c r="C3398" i="7"/>
  <c r="D3398" i="7" s="1"/>
  <c r="C3399" i="7"/>
  <c r="D3399" i="7" s="1"/>
  <c r="C3400" i="7"/>
  <c r="D3400" i="7" s="1"/>
  <c r="C3401" i="7"/>
  <c r="D3401" i="7" s="1"/>
  <c r="C3402" i="7"/>
  <c r="D3402" i="7" s="1"/>
  <c r="C3403" i="7"/>
  <c r="D3403" i="7" s="1"/>
  <c r="C3404" i="7"/>
  <c r="D3404" i="7" s="1"/>
  <c r="C3405" i="7"/>
  <c r="D3405" i="7" s="1"/>
  <c r="C3406" i="7"/>
  <c r="D3406" i="7" s="1"/>
  <c r="C3407" i="7"/>
  <c r="D3407" i="7" s="1"/>
  <c r="C3408" i="7"/>
  <c r="D3408" i="7" s="1"/>
  <c r="C3409" i="7"/>
  <c r="D3409" i="7" s="1"/>
  <c r="C3410" i="7"/>
  <c r="D3410" i="7" s="1"/>
  <c r="C3411" i="7"/>
  <c r="D3411" i="7" s="1"/>
  <c r="C3412" i="7"/>
  <c r="D3412" i="7" s="1"/>
  <c r="C3413" i="7"/>
  <c r="D3413" i="7" s="1"/>
  <c r="C3414" i="7"/>
  <c r="D3414" i="7" s="1"/>
  <c r="C3415" i="7"/>
  <c r="D3415" i="7" s="1"/>
  <c r="C3416" i="7"/>
  <c r="D3416" i="7" s="1"/>
  <c r="C3417" i="7"/>
  <c r="D3417" i="7" s="1"/>
  <c r="C3418" i="7"/>
  <c r="D3418" i="7" s="1"/>
  <c r="C3419" i="7"/>
  <c r="D3419" i="7" s="1"/>
  <c r="C3420" i="7"/>
  <c r="D3420" i="7" s="1"/>
  <c r="C3421" i="7"/>
  <c r="D3421" i="7" s="1"/>
  <c r="C3422" i="7"/>
  <c r="D3422" i="7" s="1"/>
  <c r="C3423" i="7"/>
  <c r="D3423" i="7" s="1"/>
  <c r="C3424" i="7"/>
  <c r="D3424" i="7" s="1"/>
  <c r="C3425" i="7"/>
  <c r="D3425" i="7" s="1"/>
  <c r="C3426" i="7"/>
  <c r="D3426" i="7" s="1"/>
  <c r="C3427" i="7"/>
  <c r="D3427" i="7" s="1"/>
  <c r="C3428" i="7"/>
  <c r="D3428" i="7" s="1"/>
  <c r="C3429" i="7"/>
  <c r="D3429" i="7" s="1"/>
  <c r="C3430" i="7"/>
  <c r="D3430" i="7" s="1"/>
  <c r="C3431" i="7"/>
  <c r="D3431" i="7" s="1"/>
  <c r="C3432" i="7"/>
  <c r="D3432" i="7" s="1"/>
  <c r="C3433" i="7"/>
  <c r="D3433" i="7" s="1"/>
  <c r="C3434" i="7"/>
  <c r="D3434" i="7" s="1"/>
  <c r="C3435" i="7"/>
  <c r="D3435" i="7" s="1"/>
  <c r="C3436" i="7"/>
  <c r="D3436" i="7" s="1"/>
  <c r="C3437" i="7"/>
  <c r="D3437" i="7" s="1"/>
  <c r="C3438" i="7"/>
  <c r="D3438" i="7" s="1"/>
  <c r="C3439" i="7"/>
  <c r="D3439" i="7" s="1"/>
  <c r="C3440" i="7"/>
  <c r="D3440" i="7" s="1"/>
  <c r="C3441" i="7"/>
  <c r="D3441" i="7" s="1"/>
  <c r="C3442" i="7"/>
  <c r="D3442" i="7" s="1"/>
  <c r="C3443" i="7"/>
  <c r="D3443" i="7" s="1"/>
  <c r="C3444" i="7"/>
  <c r="D3444" i="7" s="1"/>
  <c r="C3445" i="7"/>
  <c r="D3445" i="7" s="1"/>
  <c r="C3446" i="7"/>
  <c r="D3446" i="7" s="1"/>
  <c r="C3447" i="7"/>
  <c r="D3447" i="7" s="1"/>
  <c r="C3448" i="7"/>
  <c r="D3448" i="7" s="1"/>
  <c r="C3449" i="7"/>
  <c r="D3449" i="7" s="1"/>
  <c r="C3450" i="7"/>
  <c r="D3450" i="7" s="1"/>
  <c r="C3451" i="7"/>
  <c r="D3451" i="7" s="1"/>
  <c r="C3452" i="7"/>
  <c r="D3452" i="7" s="1"/>
  <c r="C3453" i="7"/>
  <c r="D3453" i="7" s="1"/>
  <c r="C3454" i="7"/>
  <c r="D3454" i="7" s="1"/>
  <c r="C3455" i="7"/>
  <c r="D3455" i="7" s="1"/>
  <c r="C3456" i="7"/>
  <c r="D3456" i="7" s="1"/>
  <c r="C3457" i="7"/>
  <c r="D3457" i="7" s="1"/>
  <c r="C3458" i="7"/>
  <c r="D3458" i="7" s="1"/>
  <c r="C3459" i="7"/>
  <c r="D3459" i="7" s="1"/>
  <c r="C3460" i="7"/>
  <c r="D3460" i="7" s="1"/>
  <c r="C3461" i="7"/>
  <c r="D3461" i="7" s="1"/>
  <c r="C3462" i="7"/>
  <c r="D3462" i="7" s="1"/>
  <c r="C3463" i="7"/>
  <c r="D3463" i="7" s="1"/>
  <c r="C3464" i="7"/>
  <c r="D3464" i="7" s="1"/>
  <c r="C3465" i="7"/>
  <c r="D3465" i="7" s="1"/>
  <c r="C3466" i="7"/>
  <c r="D3466" i="7" s="1"/>
  <c r="C3467" i="7"/>
  <c r="D3467" i="7" s="1"/>
  <c r="C3468" i="7"/>
  <c r="D3468" i="7" s="1"/>
  <c r="C3469" i="7"/>
  <c r="D3469" i="7" s="1"/>
  <c r="C3470" i="7"/>
  <c r="D3470" i="7" s="1"/>
  <c r="C3471" i="7"/>
  <c r="D3471" i="7" s="1"/>
  <c r="C3472" i="7"/>
  <c r="D3472" i="7" s="1"/>
  <c r="C3473" i="7"/>
  <c r="D3473" i="7" s="1"/>
  <c r="C3474" i="7"/>
  <c r="D3474" i="7" s="1"/>
  <c r="C3475" i="7"/>
  <c r="D3475" i="7" s="1"/>
  <c r="C3476" i="7"/>
  <c r="D3476" i="7" s="1"/>
  <c r="C3477" i="7"/>
  <c r="D3477" i="7" s="1"/>
  <c r="C3478" i="7"/>
  <c r="D3478" i="7" s="1"/>
  <c r="C3479" i="7"/>
  <c r="D3479" i="7" s="1"/>
  <c r="C3480" i="7"/>
  <c r="D3480" i="7" s="1"/>
  <c r="C3481" i="7"/>
  <c r="D3481" i="7" s="1"/>
  <c r="C3482" i="7"/>
  <c r="D3482" i="7" s="1"/>
  <c r="C3483" i="7"/>
  <c r="D3483" i="7" s="1"/>
  <c r="C3484" i="7"/>
  <c r="D3484" i="7" s="1"/>
  <c r="C3485" i="7"/>
  <c r="D3485" i="7" s="1"/>
  <c r="C3486" i="7"/>
  <c r="D3486" i="7" s="1"/>
  <c r="C3487" i="7"/>
  <c r="D3487" i="7" s="1"/>
  <c r="C3488" i="7"/>
  <c r="D3488" i="7" s="1"/>
  <c r="C3489" i="7"/>
  <c r="D3489" i="7" s="1"/>
  <c r="C3490" i="7"/>
  <c r="D3490" i="7" s="1"/>
  <c r="C3491" i="7"/>
  <c r="D3491" i="7" s="1"/>
  <c r="C3492" i="7"/>
  <c r="D3492" i="7" s="1"/>
  <c r="C3493" i="7"/>
  <c r="D3493" i="7" s="1"/>
  <c r="C3494" i="7"/>
  <c r="D3494" i="7" s="1"/>
  <c r="C3495" i="7"/>
  <c r="D3495" i="7" s="1"/>
  <c r="C3496" i="7"/>
  <c r="D3496" i="7" s="1"/>
  <c r="C3497" i="7"/>
  <c r="D3497" i="7" s="1"/>
  <c r="C3498" i="7"/>
  <c r="D3498" i="7" s="1"/>
  <c r="C3499" i="7"/>
  <c r="D3499" i="7" s="1"/>
  <c r="C3500" i="7"/>
  <c r="D3500" i="7" s="1"/>
  <c r="C3501" i="7"/>
  <c r="D3501" i="7" s="1"/>
  <c r="C3502" i="7"/>
  <c r="D3502" i="7" s="1"/>
  <c r="C3503" i="7"/>
  <c r="D3503" i="7" s="1"/>
  <c r="C3504" i="7"/>
  <c r="D3504" i="7" s="1"/>
  <c r="C3505" i="7"/>
  <c r="D3505" i="7" s="1"/>
  <c r="C3506" i="7"/>
  <c r="D3506" i="7" s="1"/>
  <c r="C3507" i="7"/>
  <c r="D3507" i="7" s="1"/>
  <c r="C3508" i="7"/>
  <c r="D3508" i="7" s="1"/>
  <c r="C3509" i="7"/>
  <c r="D3509" i="7" s="1"/>
  <c r="C3510" i="7"/>
  <c r="D3510" i="7" s="1"/>
  <c r="C3511" i="7"/>
  <c r="D3511" i="7" s="1"/>
  <c r="C3512" i="7"/>
  <c r="D3512" i="7" s="1"/>
  <c r="C3513" i="7"/>
  <c r="D3513" i="7" s="1"/>
  <c r="C3514" i="7"/>
  <c r="D3514" i="7" s="1"/>
  <c r="C3515" i="7"/>
  <c r="D3515" i="7" s="1"/>
  <c r="C3516" i="7"/>
  <c r="D3516" i="7" s="1"/>
  <c r="C3517" i="7"/>
  <c r="D3517" i="7" s="1"/>
  <c r="C3518" i="7"/>
  <c r="D3518" i="7" s="1"/>
  <c r="C3519" i="7"/>
  <c r="D3519" i="7" s="1"/>
  <c r="C3520" i="7"/>
  <c r="D3520" i="7" s="1"/>
  <c r="C3521" i="7"/>
  <c r="D3521" i="7" s="1"/>
  <c r="C3522" i="7"/>
  <c r="D3522" i="7" s="1"/>
  <c r="C3523" i="7"/>
  <c r="D3523" i="7" s="1"/>
  <c r="C3524" i="7"/>
  <c r="D3524" i="7" s="1"/>
  <c r="C3525" i="7"/>
  <c r="D3525" i="7" s="1"/>
  <c r="C3526" i="7"/>
  <c r="D3526" i="7" s="1"/>
  <c r="C3527" i="7"/>
  <c r="D3527" i="7" s="1"/>
  <c r="C3528" i="7"/>
  <c r="D3528" i="7" s="1"/>
  <c r="C3529" i="7"/>
  <c r="D3529" i="7" s="1"/>
  <c r="C3530" i="7"/>
  <c r="D3530" i="7" s="1"/>
  <c r="C3531" i="7"/>
  <c r="D3531" i="7" s="1"/>
  <c r="C3532" i="7"/>
  <c r="D3532" i="7" s="1"/>
  <c r="C3533" i="7"/>
  <c r="D3533" i="7" s="1"/>
  <c r="C3534" i="7"/>
  <c r="D3534" i="7" s="1"/>
  <c r="C3535" i="7"/>
  <c r="D3535" i="7" s="1"/>
  <c r="C3536" i="7"/>
  <c r="D3536" i="7" s="1"/>
  <c r="C3537" i="7"/>
  <c r="D3537" i="7" s="1"/>
  <c r="C3538" i="7"/>
  <c r="D3538" i="7" s="1"/>
  <c r="C3539" i="7"/>
  <c r="D3539" i="7" s="1"/>
  <c r="C3540" i="7"/>
  <c r="D3540" i="7" s="1"/>
  <c r="C3541" i="7"/>
  <c r="D3541" i="7" s="1"/>
  <c r="C3542" i="7"/>
  <c r="D3542" i="7" s="1"/>
  <c r="C3543" i="7"/>
  <c r="D3543" i="7" s="1"/>
  <c r="C3544" i="7"/>
  <c r="D3544" i="7" s="1"/>
  <c r="C3545" i="7"/>
  <c r="D3545" i="7" s="1"/>
  <c r="C3546" i="7"/>
  <c r="D3546" i="7" s="1"/>
  <c r="C3547" i="7"/>
  <c r="D3547" i="7" s="1"/>
  <c r="C3548" i="7"/>
  <c r="D3548" i="7" s="1"/>
  <c r="C3549" i="7"/>
  <c r="D3549" i="7" s="1"/>
  <c r="C3550" i="7"/>
  <c r="D3550" i="7" s="1"/>
  <c r="C3551" i="7"/>
  <c r="D3551" i="7" s="1"/>
  <c r="C3552" i="7"/>
  <c r="D3552" i="7" s="1"/>
  <c r="C3553" i="7"/>
  <c r="D3553" i="7" s="1"/>
  <c r="C3554" i="7"/>
  <c r="D3554" i="7" s="1"/>
  <c r="C3555" i="7"/>
  <c r="D3555" i="7" s="1"/>
  <c r="C3556" i="7"/>
  <c r="D3556" i="7" s="1"/>
  <c r="C3557" i="7"/>
  <c r="D3557" i="7" s="1"/>
  <c r="C3558" i="7"/>
  <c r="D3558" i="7" s="1"/>
  <c r="C3559" i="7"/>
  <c r="D3559" i="7" s="1"/>
  <c r="C3560" i="7"/>
  <c r="D3560" i="7" s="1"/>
  <c r="C3561" i="7"/>
  <c r="D3561" i="7" s="1"/>
  <c r="C3562" i="7"/>
  <c r="D3562" i="7" s="1"/>
  <c r="C3563" i="7"/>
  <c r="D3563" i="7" s="1"/>
  <c r="C3564" i="7"/>
  <c r="D3564" i="7" s="1"/>
  <c r="C3565" i="7"/>
  <c r="D3565" i="7" s="1"/>
  <c r="C3566" i="7"/>
  <c r="D3566" i="7" s="1"/>
  <c r="C3567" i="7"/>
  <c r="D3567" i="7" s="1"/>
  <c r="C3568" i="7"/>
  <c r="D3568" i="7" s="1"/>
  <c r="C3569" i="7"/>
  <c r="D3569" i="7" s="1"/>
  <c r="C3570" i="7"/>
  <c r="D3570" i="7" s="1"/>
  <c r="C3571" i="7"/>
  <c r="D3571" i="7" s="1"/>
  <c r="C3572" i="7"/>
  <c r="D3572" i="7" s="1"/>
  <c r="C3573" i="7"/>
  <c r="D3573" i="7" s="1"/>
  <c r="C3574" i="7"/>
  <c r="D3574" i="7" s="1"/>
  <c r="C3575" i="7"/>
  <c r="D3575" i="7" s="1"/>
  <c r="C3576" i="7"/>
  <c r="D3576" i="7" s="1"/>
  <c r="C3577" i="7"/>
  <c r="D3577" i="7" s="1"/>
  <c r="C3578" i="7"/>
  <c r="D3578" i="7" s="1"/>
  <c r="C3579" i="7"/>
  <c r="D3579" i="7" s="1"/>
  <c r="C3580" i="7"/>
  <c r="D3580" i="7" s="1"/>
  <c r="C3581" i="7"/>
  <c r="D3581" i="7" s="1"/>
  <c r="C3582" i="7"/>
  <c r="D3582" i="7" s="1"/>
  <c r="C3583" i="7"/>
  <c r="D3583" i="7" s="1"/>
  <c r="C3584" i="7"/>
  <c r="D3584" i="7" s="1"/>
  <c r="C3585" i="7"/>
  <c r="D3585" i="7" s="1"/>
  <c r="C3586" i="7"/>
  <c r="D3586" i="7" s="1"/>
  <c r="C3587" i="7"/>
  <c r="D3587" i="7" s="1"/>
  <c r="C3588" i="7"/>
  <c r="D3588" i="7" s="1"/>
  <c r="C3589" i="7"/>
  <c r="D3589" i="7" s="1"/>
  <c r="C3590" i="7"/>
  <c r="D3590" i="7" s="1"/>
  <c r="C3591" i="7"/>
  <c r="D3591" i="7" s="1"/>
  <c r="C3592" i="7"/>
  <c r="D3592" i="7" s="1"/>
  <c r="C3593" i="7"/>
  <c r="D3593" i="7" s="1"/>
  <c r="C3594" i="7"/>
  <c r="D3594" i="7" s="1"/>
  <c r="C3595" i="7"/>
  <c r="D3595" i="7" s="1"/>
  <c r="C3596" i="7"/>
  <c r="D3596" i="7" s="1"/>
  <c r="C3597" i="7"/>
  <c r="D3597" i="7" s="1"/>
  <c r="C3598" i="7"/>
  <c r="D3598" i="7" s="1"/>
  <c r="C3599" i="7"/>
  <c r="D3599" i="7" s="1"/>
  <c r="C3600" i="7"/>
  <c r="D3600" i="7" s="1"/>
  <c r="C3601" i="7"/>
  <c r="D3601" i="7" s="1"/>
  <c r="C3602" i="7"/>
  <c r="D3602" i="7" s="1"/>
  <c r="C3603" i="7"/>
  <c r="D3603" i="7" s="1"/>
  <c r="C3604" i="7"/>
  <c r="D3604" i="7" s="1"/>
  <c r="C3605" i="7"/>
  <c r="D3605" i="7" s="1"/>
  <c r="C3606" i="7"/>
  <c r="D3606" i="7" s="1"/>
  <c r="C3607" i="7"/>
  <c r="D3607" i="7" s="1"/>
  <c r="C3608" i="7"/>
  <c r="D3608" i="7" s="1"/>
  <c r="C3609" i="7"/>
  <c r="D3609" i="7" s="1"/>
  <c r="C3610" i="7"/>
  <c r="D3610" i="7" s="1"/>
  <c r="C3611" i="7"/>
  <c r="D3611" i="7" s="1"/>
  <c r="C3612" i="7"/>
  <c r="D3612" i="7" s="1"/>
  <c r="C3613" i="7"/>
  <c r="D3613" i="7" s="1"/>
  <c r="C3614" i="7"/>
  <c r="D3614" i="7" s="1"/>
  <c r="C3615" i="7"/>
  <c r="D3615" i="7" s="1"/>
  <c r="C3616" i="7"/>
  <c r="D3616" i="7" s="1"/>
  <c r="C3617" i="7"/>
  <c r="D3617" i="7" s="1"/>
  <c r="C3618" i="7"/>
  <c r="D3618" i="7" s="1"/>
  <c r="C3619" i="7"/>
  <c r="D3619" i="7" s="1"/>
  <c r="C3620" i="7"/>
  <c r="D3620" i="7" s="1"/>
  <c r="C3621" i="7"/>
  <c r="D3621" i="7" s="1"/>
  <c r="C3622" i="7"/>
  <c r="D3622" i="7" s="1"/>
  <c r="C3623" i="7"/>
  <c r="D3623" i="7" s="1"/>
  <c r="C3624" i="7"/>
  <c r="D3624" i="7" s="1"/>
  <c r="C3625" i="7"/>
  <c r="D3625" i="7" s="1"/>
  <c r="C3626" i="7"/>
  <c r="D3626" i="7" s="1"/>
  <c r="C3627" i="7"/>
  <c r="D3627" i="7" s="1"/>
  <c r="C3628" i="7"/>
  <c r="D3628" i="7" s="1"/>
  <c r="C3629" i="7"/>
  <c r="D3629" i="7" s="1"/>
  <c r="C3630" i="7"/>
  <c r="D3630" i="7" s="1"/>
  <c r="C3631" i="7"/>
  <c r="D3631" i="7" s="1"/>
  <c r="C3632" i="7"/>
  <c r="D3632" i="7" s="1"/>
  <c r="C3633" i="7"/>
  <c r="D3633" i="7" s="1"/>
  <c r="C3634" i="7"/>
  <c r="D3634" i="7" s="1"/>
  <c r="C3635" i="7"/>
  <c r="D3635" i="7" s="1"/>
  <c r="C3636" i="7"/>
  <c r="D3636" i="7" s="1"/>
  <c r="C3637" i="7"/>
  <c r="D3637" i="7" s="1"/>
  <c r="C3638" i="7"/>
  <c r="D3638" i="7" s="1"/>
  <c r="C3639" i="7"/>
  <c r="D3639" i="7" s="1"/>
  <c r="C3640" i="7"/>
  <c r="D3640" i="7" s="1"/>
  <c r="C3641" i="7"/>
  <c r="D3641" i="7" s="1"/>
  <c r="C3642" i="7"/>
  <c r="D3642" i="7" s="1"/>
  <c r="C3643" i="7"/>
  <c r="D3643" i="7" s="1"/>
  <c r="C3644" i="7"/>
  <c r="D3644" i="7" s="1"/>
  <c r="C3645" i="7"/>
  <c r="D3645" i="7" s="1"/>
  <c r="C3646" i="7"/>
  <c r="D3646" i="7" s="1"/>
  <c r="C3647" i="7"/>
  <c r="D3647" i="7" s="1"/>
  <c r="C3648" i="7"/>
  <c r="D3648" i="7" s="1"/>
  <c r="C3649" i="7"/>
  <c r="D3649" i="7" s="1"/>
  <c r="C3650" i="7"/>
  <c r="D3650" i="7" s="1"/>
  <c r="C3651" i="7"/>
  <c r="D3651" i="7" s="1"/>
  <c r="C3652" i="7"/>
  <c r="D3652" i="7" s="1"/>
  <c r="C3653" i="7"/>
  <c r="D3653" i="7" s="1"/>
  <c r="C3654" i="7"/>
  <c r="D3654" i="7" s="1"/>
  <c r="C3655" i="7"/>
  <c r="D3655" i="7" s="1"/>
  <c r="C3656" i="7"/>
  <c r="D3656" i="7" s="1"/>
  <c r="C3657" i="7"/>
  <c r="D3657" i="7" s="1"/>
  <c r="C3658" i="7"/>
  <c r="D3658" i="7" s="1"/>
  <c r="C3659" i="7"/>
  <c r="D3659" i="7" s="1"/>
  <c r="C3660" i="7"/>
  <c r="D3660" i="7" s="1"/>
  <c r="C3661" i="7"/>
  <c r="D3661" i="7" s="1"/>
  <c r="C3662" i="7"/>
  <c r="D3662" i="7" s="1"/>
  <c r="C3663" i="7"/>
  <c r="D3663" i="7" s="1"/>
  <c r="C3664" i="7"/>
  <c r="D3664" i="7" s="1"/>
  <c r="C3665" i="7"/>
  <c r="D3665" i="7" s="1"/>
  <c r="C3666" i="7"/>
  <c r="D3666" i="7" s="1"/>
  <c r="C3667" i="7"/>
  <c r="D3667" i="7" s="1"/>
  <c r="C3668" i="7"/>
  <c r="D3668" i="7" s="1"/>
  <c r="C3669" i="7"/>
  <c r="D3669" i="7" s="1"/>
  <c r="C3670" i="7"/>
  <c r="D3670" i="7" s="1"/>
  <c r="C3671" i="7"/>
  <c r="D3671" i="7" s="1"/>
  <c r="C3672" i="7"/>
  <c r="D3672" i="7" s="1"/>
  <c r="C3673" i="7"/>
  <c r="D3673" i="7" s="1"/>
  <c r="C3674" i="7"/>
  <c r="D3674" i="7" s="1"/>
  <c r="C3675" i="7"/>
  <c r="D3675" i="7" s="1"/>
  <c r="C3676" i="7"/>
  <c r="D3676" i="7" s="1"/>
  <c r="C3677" i="7"/>
  <c r="D3677" i="7" s="1"/>
  <c r="C3678" i="7"/>
  <c r="D3678" i="7" s="1"/>
  <c r="C3679" i="7"/>
  <c r="D3679" i="7" s="1"/>
  <c r="C3680" i="7"/>
  <c r="D3680" i="7" s="1"/>
  <c r="C3681" i="7"/>
  <c r="D3681" i="7" s="1"/>
  <c r="C3682" i="7"/>
  <c r="D3682" i="7" s="1"/>
  <c r="C3683" i="7"/>
  <c r="D3683" i="7" s="1"/>
  <c r="C3684" i="7"/>
  <c r="D3684" i="7" s="1"/>
  <c r="C3685" i="7"/>
  <c r="D3685" i="7" s="1"/>
  <c r="C3686" i="7"/>
  <c r="D3686" i="7" s="1"/>
  <c r="C3687" i="7"/>
  <c r="D3687" i="7" s="1"/>
  <c r="C3688" i="7"/>
  <c r="D3688" i="7" s="1"/>
  <c r="C3689" i="7"/>
  <c r="D3689" i="7" s="1"/>
  <c r="C3690" i="7"/>
  <c r="D3690" i="7" s="1"/>
  <c r="C3691" i="7"/>
  <c r="D3691" i="7" s="1"/>
  <c r="C3692" i="7"/>
  <c r="D3692" i="7" s="1"/>
  <c r="C3693" i="7"/>
  <c r="D3693" i="7" s="1"/>
  <c r="C3694" i="7"/>
  <c r="D3694" i="7" s="1"/>
  <c r="C3695" i="7"/>
  <c r="D3695" i="7" s="1"/>
  <c r="C3696" i="7"/>
  <c r="D3696" i="7" s="1"/>
  <c r="C3697" i="7"/>
  <c r="D3697" i="7" s="1"/>
  <c r="C3698" i="7"/>
  <c r="D3698" i="7" s="1"/>
  <c r="C3699" i="7"/>
  <c r="D3699" i="7" s="1"/>
  <c r="C3700" i="7"/>
  <c r="D3700" i="7" s="1"/>
  <c r="C3701" i="7"/>
  <c r="D3701" i="7" s="1"/>
  <c r="C3702" i="7"/>
  <c r="D3702" i="7" s="1"/>
  <c r="C3703" i="7"/>
  <c r="D3703" i="7" s="1"/>
  <c r="C3704" i="7"/>
  <c r="D3704" i="7" s="1"/>
  <c r="C3705" i="7"/>
  <c r="D3705" i="7" s="1"/>
  <c r="C3706" i="7"/>
  <c r="D3706" i="7" s="1"/>
  <c r="C3707" i="7"/>
  <c r="D3707" i="7" s="1"/>
  <c r="C3708" i="7"/>
  <c r="D3708" i="7" s="1"/>
  <c r="C3709" i="7"/>
  <c r="D3709" i="7" s="1"/>
  <c r="C3710" i="7"/>
  <c r="D3710" i="7" s="1"/>
  <c r="C3711" i="7"/>
  <c r="D3711" i="7" s="1"/>
  <c r="C3712" i="7"/>
  <c r="D3712" i="7" s="1"/>
  <c r="C3713" i="7"/>
  <c r="D3713" i="7" s="1"/>
  <c r="C3714" i="7"/>
  <c r="D3714" i="7" s="1"/>
  <c r="C3715" i="7"/>
  <c r="D3715" i="7" s="1"/>
  <c r="C3716" i="7"/>
  <c r="D3716" i="7" s="1"/>
  <c r="C3717" i="7"/>
  <c r="D3717" i="7" s="1"/>
  <c r="C3718" i="7"/>
  <c r="D3718" i="7" s="1"/>
  <c r="C3719" i="7"/>
  <c r="D3719" i="7" s="1"/>
  <c r="C3720" i="7"/>
  <c r="D3720" i="7" s="1"/>
  <c r="C3721" i="7"/>
  <c r="D3721" i="7" s="1"/>
  <c r="C3722" i="7"/>
  <c r="D3722" i="7" s="1"/>
  <c r="C3723" i="7"/>
  <c r="D3723" i="7" s="1"/>
  <c r="C3724" i="7"/>
  <c r="D3724" i="7" s="1"/>
  <c r="C3725" i="7"/>
  <c r="D3725" i="7" s="1"/>
  <c r="C3726" i="7"/>
  <c r="D3726" i="7" s="1"/>
  <c r="C3727" i="7"/>
  <c r="D3727" i="7" s="1"/>
  <c r="C3728" i="7"/>
  <c r="D3728" i="7" s="1"/>
  <c r="C3729" i="7"/>
  <c r="D3729" i="7" s="1"/>
  <c r="C3730" i="7"/>
  <c r="D3730" i="7" s="1"/>
  <c r="C3731" i="7"/>
  <c r="D3731" i="7" s="1"/>
  <c r="C3732" i="7"/>
  <c r="D3732" i="7" s="1"/>
  <c r="C3733" i="7"/>
  <c r="D3733" i="7" s="1"/>
  <c r="C3734" i="7"/>
  <c r="D3734" i="7" s="1"/>
  <c r="C3735" i="7"/>
  <c r="D3735" i="7" s="1"/>
  <c r="C3736" i="7"/>
  <c r="D3736" i="7" s="1"/>
  <c r="C3737" i="7"/>
  <c r="D3737" i="7" s="1"/>
  <c r="C3738" i="7"/>
  <c r="D3738" i="7" s="1"/>
  <c r="C3739" i="7"/>
  <c r="D3739" i="7" s="1"/>
  <c r="C3740" i="7"/>
  <c r="D3740" i="7" s="1"/>
  <c r="C3741" i="7"/>
  <c r="D3741" i="7" s="1"/>
  <c r="C3742" i="7"/>
  <c r="D3742" i="7" s="1"/>
  <c r="C3743" i="7"/>
  <c r="D3743" i="7" s="1"/>
  <c r="C3744" i="7"/>
  <c r="D3744" i="7" s="1"/>
  <c r="C3745" i="7"/>
  <c r="D3745" i="7" s="1"/>
  <c r="C3746" i="7"/>
  <c r="D3746" i="7" s="1"/>
  <c r="C3747" i="7"/>
  <c r="D3747" i="7" s="1"/>
  <c r="C3748" i="7"/>
  <c r="D3748" i="7" s="1"/>
  <c r="C3749" i="7"/>
  <c r="D3749" i="7" s="1"/>
  <c r="C3750" i="7"/>
  <c r="D3750" i="7" s="1"/>
  <c r="C3751" i="7"/>
  <c r="D3751" i="7" s="1"/>
  <c r="C3752" i="7"/>
  <c r="D3752" i="7" s="1"/>
  <c r="C3753" i="7"/>
  <c r="D3753" i="7" s="1"/>
  <c r="C3754" i="7"/>
  <c r="D3754" i="7" s="1"/>
  <c r="C3755" i="7"/>
  <c r="D3755" i="7" s="1"/>
  <c r="C3756" i="7"/>
  <c r="D3756" i="7" s="1"/>
  <c r="C3757" i="7"/>
  <c r="D3757" i="7" s="1"/>
  <c r="C3758" i="7"/>
  <c r="D3758" i="7" s="1"/>
  <c r="C3759" i="7"/>
  <c r="D3759" i="7" s="1"/>
  <c r="C3760" i="7"/>
  <c r="D3760" i="7" s="1"/>
  <c r="C3761" i="7"/>
  <c r="D3761" i="7" s="1"/>
  <c r="C3762" i="7"/>
  <c r="D3762" i="7" s="1"/>
  <c r="C3763" i="7"/>
  <c r="D3763" i="7" s="1"/>
  <c r="C3764" i="7"/>
  <c r="D3764" i="7" s="1"/>
  <c r="C3765" i="7"/>
  <c r="D3765" i="7" s="1"/>
  <c r="C3766" i="7"/>
  <c r="D3766" i="7" s="1"/>
  <c r="C3767" i="7"/>
  <c r="D3767" i="7" s="1"/>
  <c r="C3768" i="7"/>
  <c r="D3768" i="7" s="1"/>
  <c r="C3769" i="7"/>
  <c r="D3769" i="7" s="1"/>
  <c r="C3770" i="7"/>
  <c r="D3770" i="7" s="1"/>
  <c r="C3771" i="7"/>
  <c r="D3771" i="7" s="1"/>
  <c r="C3772" i="7"/>
  <c r="D3772" i="7" s="1"/>
  <c r="C3773" i="7"/>
  <c r="D3773" i="7" s="1"/>
  <c r="C3774" i="7"/>
  <c r="D3774" i="7" s="1"/>
  <c r="C3775" i="7"/>
  <c r="D3775" i="7" s="1"/>
  <c r="C3776" i="7"/>
  <c r="D3776" i="7" s="1"/>
  <c r="C3777" i="7"/>
  <c r="D3777" i="7" s="1"/>
  <c r="C3778" i="7"/>
  <c r="D3778" i="7" s="1"/>
  <c r="C3779" i="7"/>
  <c r="D3779" i="7" s="1"/>
  <c r="C3780" i="7"/>
  <c r="D3780" i="7" s="1"/>
  <c r="C3781" i="7"/>
  <c r="D3781" i="7" s="1"/>
  <c r="C3782" i="7"/>
  <c r="D3782" i="7" s="1"/>
  <c r="C3783" i="7"/>
  <c r="D3783" i="7" s="1"/>
  <c r="C3784" i="7"/>
  <c r="D3784" i="7" s="1"/>
  <c r="C3785" i="7"/>
  <c r="D3785" i="7" s="1"/>
  <c r="C3786" i="7"/>
  <c r="D3786" i="7" s="1"/>
  <c r="C3787" i="7"/>
  <c r="D3787" i="7" s="1"/>
  <c r="C3788" i="7"/>
  <c r="D3788" i="7" s="1"/>
  <c r="C3789" i="7"/>
  <c r="D3789" i="7" s="1"/>
  <c r="C3790" i="7"/>
  <c r="D3790" i="7" s="1"/>
  <c r="C3791" i="7"/>
  <c r="D3791" i="7" s="1"/>
  <c r="C3792" i="7"/>
  <c r="D3792" i="7" s="1"/>
  <c r="C3793" i="7"/>
  <c r="D3793" i="7" s="1"/>
  <c r="C3794" i="7"/>
  <c r="D3794" i="7" s="1"/>
  <c r="C3795" i="7"/>
  <c r="D3795" i="7" s="1"/>
  <c r="C3796" i="7"/>
  <c r="D3796" i="7" s="1"/>
  <c r="C3797" i="7"/>
  <c r="D3797" i="7" s="1"/>
  <c r="C3798" i="7"/>
  <c r="D3798" i="7" s="1"/>
  <c r="C3799" i="7"/>
  <c r="D3799" i="7" s="1"/>
  <c r="C3800" i="7"/>
  <c r="D3800" i="7" s="1"/>
  <c r="C3801" i="7"/>
  <c r="D3801" i="7" s="1"/>
  <c r="C3802" i="7"/>
  <c r="D3802" i="7" s="1"/>
  <c r="C3803" i="7"/>
  <c r="D3803" i="7" s="1"/>
  <c r="C3804" i="7"/>
  <c r="D3804" i="7" s="1"/>
  <c r="C3805" i="7"/>
  <c r="D3805" i="7" s="1"/>
  <c r="C3806" i="7"/>
  <c r="D3806" i="7" s="1"/>
  <c r="C3807" i="7"/>
  <c r="D3807" i="7" s="1"/>
  <c r="C3808" i="7"/>
  <c r="D3808" i="7" s="1"/>
  <c r="C3809" i="7"/>
  <c r="D3809" i="7" s="1"/>
  <c r="C3810" i="7"/>
  <c r="D3810" i="7" s="1"/>
  <c r="C3811" i="7"/>
  <c r="D3811" i="7" s="1"/>
  <c r="C3812" i="7"/>
  <c r="D3812" i="7" s="1"/>
  <c r="C3813" i="7"/>
  <c r="D3813" i="7" s="1"/>
  <c r="C3814" i="7"/>
  <c r="D3814" i="7" s="1"/>
  <c r="C3815" i="7"/>
  <c r="D3815" i="7" s="1"/>
  <c r="C3816" i="7"/>
  <c r="D3816" i="7" s="1"/>
  <c r="C3817" i="7"/>
  <c r="D3817" i="7" s="1"/>
  <c r="C3818" i="7"/>
  <c r="D3818" i="7" s="1"/>
  <c r="C3819" i="7"/>
  <c r="D3819" i="7" s="1"/>
  <c r="C3820" i="7"/>
  <c r="D3820" i="7" s="1"/>
  <c r="C3821" i="7"/>
  <c r="D3821" i="7" s="1"/>
  <c r="C3822" i="7"/>
  <c r="D3822" i="7" s="1"/>
  <c r="C3823" i="7"/>
  <c r="D3823" i="7" s="1"/>
  <c r="C3824" i="7"/>
  <c r="D3824" i="7" s="1"/>
  <c r="C3825" i="7"/>
  <c r="D3825" i="7" s="1"/>
  <c r="C3826" i="7"/>
  <c r="D3826" i="7" s="1"/>
  <c r="C3827" i="7"/>
  <c r="D3827" i="7" s="1"/>
  <c r="C3828" i="7"/>
  <c r="D3828" i="7" s="1"/>
  <c r="C3829" i="7"/>
  <c r="D3829" i="7" s="1"/>
  <c r="C3830" i="7"/>
  <c r="D3830" i="7" s="1"/>
  <c r="C3831" i="7"/>
  <c r="D3831" i="7" s="1"/>
  <c r="C3832" i="7"/>
  <c r="D3832" i="7" s="1"/>
  <c r="C3833" i="7"/>
  <c r="D3833" i="7" s="1"/>
  <c r="C3834" i="7"/>
  <c r="D3834" i="7" s="1"/>
  <c r="C3835" i="7"/>
  <c r="D3835" i="7" s="1"/>
  <c r="C3836" i="7"/>
  <c r="D3836" i="7" s="1"/>
  <c r="C3837" i="7"/>
  <c r="D3837" i="7" s="1"/>
  <c r="C3838" i="7"/>
  <c r="D3838" i="7" s="1"/>
  <c r="C3839" i="7"/>
  <c r="D3839" i="7" s="1"/>
  <c r="C3840" i="7"/>
  <c r="D3840" i="7" s="1"/>
  <c r="C3841" i="7"/>
  <c r="D3841" i="7" s="1"/>
  <c r="C3842" i="7"/>
  <c r="D3842" i="7" s="1"/>
  <c r="C3843" i="7"/>
  <c r="D3843" i="7" s="1"/>
  <c r="C3844" i="7"/>
  <c r="D3844" i="7" s="1"/>
  <c r="C3845" i="7"/>
  <c r="D3845" i="7" s="1"/>
  <c r="C3846" i="7"/>
  <c r="D3846" i="7" s="1"/>
  <c r="C3847" i="7"/>
  <c r="D3847" i="7" s="1"/>
  <c r="C3848" i="7"/>
  <c r="D3848" i="7" s="1"/>
  <c r="C3849" i="7"/>
  <c r="D3849" i="7" s="1"/>
  <c r="C3850" i="7"/>
  <c r="D3850" i="7" s="1"/>
  <c r="C3851" i="7"/>
  <c r="D3851" i="7" s="1"/>
  <c r="C3852" i="7"/>
  <c r="D3852" i="7" s="1"/>
  <c r="C3853" i="7"/>
  <c r="D3853" i="7" s="1"/>
  <c r="C3854" i="7"/>
  <c r="D3854" i="7" s="1"/>
  <c r="C3855" i="7"/>
  <c r="D3855" i="7" s="1"/>
  <c r="C3856" i="7"/>
  <c r="D3856" i="7" s="1"/>
  <c r="C3857" i="7"/>
  <c r="D3857" i="7" s="1"/>
  <c r="C3858" i="7"/>
  <c r="D3858" i="7" s="1"/>
  <c r="C3859" i="7"/>
  <c r="D3859" i="7" s="1"/>
  <c r="C3860" i="7"/>
  <c r="D3860" i="7" s="1"/>
  <c r="C3861" i="7"/>
  <c r="D3861" i="7" s="1"/>
  <c r="C3862" i="7"/>
  <c r="D3862" i="7" s="1"/>
  <c r="C3863" i="7"/>
  <c r="D3863" i="7" s="1"/>
  <c r="C3864" i="7"/>
  <c r="D3864" i="7" s="1"/>
  <c r="C3865" i="7"/>
  <c r="D3865" i="7" s="1"/>
  <c r="C3866" i="7"/>
  <c r="D3866" i="7" s="1"/>
  <c r="C3867" i="7"/>
  <c r="D3867" i="7" s="1"/>
  <c r="C3868" i="7"/>
  <c r="D3868" i="7" s="1"/>
  <c r="C3869" i="7"/>
  <c r="D3869" i="7" s="1"/>
  <c r="C3870" i="7"/>
  <c r="D3870" i="7" s="1"/>
  <c r="C3871" i="7"/>
  <c r="D3871" i="7" s="1"/>
  <c r="C3872" i="7"/>
  <c r="D3872" i="7" s="1"/>
  <c r="C3873" i="7"/>
  <c r="D3873" i="7" s="1"/>
  <c r="C3874" i="7"/>
  <c r="D3874" i="7" s="1"/>
  <c r="C3875" i="7"/>
  <c r="D3875" i="7" s="1"/>
  <c r="C3876" i="7"/>
  <c r="D3876" i="7" s="1"/>
  <c r="C3877" i="7"/>
  <c r="D3877" i="7" s="1"/>
  <c r="C3878" i="7"/>
  <c r="D3878" i="7" s="1"/>
  <c r="C3879" i="7"/>
  <c r="D3879" i="7" s="1"/>
  <c r="C3880" i="7"/>
  <c r="D3880" i="7" s="1"/>
  <c r="C3881" i="7"/>
  <c r="D3881" i="7" s="1"/>
  <c r="C3882" i="7"/>
  <c r="D3882" i="7" s="1"/>
  <c r="C3883" i="7"/>
  <c r="D3883" i="7" s="1"/>
  <c r="C3884" i="7"/>
  <c r="D3884" i="7" s="1"/>
  <c r="C3885" i="7"/>
  <c r="D3885" i="7" s="1"/>
  <c r="C3886" i="7"/>
  <c r="D3886" i="7" s="1"/>
  <c r="C3887" i="7"/>
  <c r="D3887" i="7" s="1"/>
  <c r="C3888" i="7"/>
  <c r="D3888" i="7" s="1"/>
  <c r="C3889" i="7"/>
  <c r="D3889" i="7" s="1"/>
  <c r="C3890" i="7"/>
  <c r="D3890" i="7" s="1"/>
  <c r="C3891" i="7"/>
  <c r="D3891" i="7" s="1"/>
  <c r="C3892" i="7"/>
  <c r="D3892" i="7" s="1"/>
  <c r="C3893" i="7"/>
  <c r="D3893" i="7" s="1"/>
  <c r="C3894" i="7"/>
  <c r="D3894" i="7" s="1"/>
  <c r="C3895" i="7"/>
  <c r="D3895" i="7" s="1"/>
  <c r="C3896" i="7"/>
  <c r="D3896" i="7" s="1"/>
  <c r="C3897" i="7"/>
  <c r="D3897" i="7" s="1"/>
  <c r="C3898" i="7"/>
  <c r="D3898" i="7" s="1"/>
  <c r="C3899" i="7"/>
  <c r="D3899" i="7" s="1"/>
  <c r="C3900" i="7"/>
  <c r="D3900" i="7" s="1"/>
  <c r="C3901" i="7"/>
  <c r="D3901" i="7" s="1"/>
  <c r="C3902" i="7"/>
  <c r="D3902" i="7" s="1"/>
  <c r="C3903" i="7"/>
  <c r="D3903" i="7" s="1"/>
  <c r="C3904" i="7"/>
  <c r="D3904" i="7" s="1"/>
  <c r="C3905" i="7"/>
  <c r="D3905" i="7" s="1"/>
  <c r="C3906" i="7"/>
  <c r="D3906" i="7" s="1"/>
  <c r="C3907" i="7"/>
  <c r="D3907" i="7" s="1"/>
  <c r="C3908" i="7"/>
  <c r="D3908" i="7" s="1"/>
  <c r="C3909" i="7"/>
  <c r="D3909" i="7" s="1"/>
  <c r="C3910" i="7"/>
  <c r="D3910" i="7" s="1"/>
  <c r="C3911" i="7"/>
  <c r="D3911" i="7" s="1"/>
  <c r="C3912" i="7"/>
  <c r="D3912" i="7" s="1"/>
  <c r="C3913" i="7"/>
  <c r="D3913" i="7" s="1"/>
  <c r="C3914" i="7"/>
  <c r="D3914" i="7" s="1"/>
  <c r="C3915" i="7"/>
  <c r="D3915" i="7" s="1"/>
  <c r="C3916" i="7"/>
  <c r="D3916" i="7" s="1"/>
  <c r="C3917" i="7"/>
  <c r="D3917" i="7" s="1"/>
  <c r="C3918" i="7"/>
  <c r="D3918" i="7" s="1"/>
  <c r="C3919" i="7"/>
  <c r="D3919" i="7" s="1"/>
  <c r="C3920" i="7"/>
  <c r="D3920" i="7" s="1"/>
  <c r="C3921" i="7"/>
  <c r="D3921" i="7" s="1"/>
  <c r="C3922" i="7"/>
  <c r="D3922" i="7" s="1"/>
  <c r="C3923" i="7"/>
  <c r="D3923" i="7" s="1"/>
  <c r="C3924" i="7"/>
  <c r="D3924" i="7" s="1"/>
  <c r="C3925" i="7"/>
  <c r="D3925" i="7" s="1"/>
  <c r="C3926" i="7"/>
  <c r="D3926" i="7" s="1"/>
  <c r="C3927" i="7"/>
  <c r="D3927" i="7" s="1"/>
  <c r="C3928" i="7"/>
  <c r="D3928" i="7" s="1"/>
  <c r="C3929" i="7"/>
  <c r="D3929" i="7" s="1"/>
  <c r="C3930" i="7"/>
  <c r="D3930" i="7" s="1"/>
  <c r="C3931" i="7"/>
  <c r="D3931" i="7" s="1"/>
  <c r="C3932" i="7"/>
  <c r="D3932" i="7" s="1"/>
  <c r="C3933" i="7"/>
  <c r="D3933" i="7" s="1"/>
  <c r="C3934" i="7"/>
  <c r="D3934" i="7" s="1"/>
  <c r="C3935" i="7"/>
  <c r="D3935" i="7" s="1"/>
  <c r="C3936" i="7"/>
  <c r="D3936" i="7" s="1"/>
  <c r="C3937" i="7"/>
  <c r="D3937" i="7" s="1"/>
  <c r="C3938" i="7"/>
  <c r="D3938" i="7" s="1"/>
  <c r="C3939" i="7"/>
  <c r="D3939" i="7" s="1"/>
  <c r="C3940" i="7"/>
  <c r="D3940" i="7" s="1"/>
  <c r="C3941" i="7"/>
  <c r="D3941" i="7" s="1"/>
  <c r="C3942" i="7"/>
  <c r="D3942" i="7" s="1"/>
  <c r="C3943" i="7"/>
  <c r="D3943" i="7" s="1"/>
  <c r="C3944" i="7"/>
  <c r="D3944" i="7" s="1"/>
  <c r="C3945" i="7"/>
  <c r="D3945" i="7" s="1"/>
  <c r="C3946" i="7"/>
  <c r="D3946" i="7" s="1"/>
  <c r="C3947" i="7"/>
  <c r="D3947" i="7" s="1"/>
  <c r="C3948" i="7"/>
  <c r="D3948" i="7" s="1"/>
  <c r="C3949" i="7"/>
  <c r="D3949" i="7" s="1"/>
  <c r="C3950" i="7"/>
  <c r="D3950" i="7" s="1"/>
  <c r="C3951" i="7"/>
  <c r="D3951" i="7" s="1"/>
  <c r="C3952" i="7"/>
  <c r="D3952" i="7" s="1"/>
  <c r="C3953" i="7"/>
  <c r="D3953" i="7" s="1"/>
  <c r="C3954" i="7"/>
  <c r="D3954" i="7" s="1"/>
  <c r="C3955" i="7"/>
  <c r="D3955" i="7" s="1"/>
  <c r="C3956" i="7"/>
  <c r="D3956" i="7" s="1"/>
  <c r="C3957" i="7"/>
  <c r="D3957" i="7" s="1"/>
  <c r="C3958" i="7"/>
  <c r="D3958" i="7" s="1"/>
  <c r="C3959" i="7"/>
  <c r="D3959" i="7" s="1"/>
  <c r="C3960" i="7"/>
  <c r="D3960" i="7" s="1"/>
  <c r="C3961" i="7"/>
  <c r="D3961" i="7" s="1"/>
  <c r="C3962" i="7"/>
  <c r="D3962" i="7" s="1"/>
  <c r="C3963" i="7"/>
  <c r="D3963" i="7" s="1"/>
  <c r="C3964" i="7"/>
  <c r="D3964" i="7" s="1"/>
  <c r="C3965" i="7"/>
  <c r="D3965" i="7" s="1"/>
  <c r="C3966" i="7"/>
  <c r="D3966" i="7" s="1"/>
  <c r="C3967" i="7"/>
  <c r="D3967" i="7" s="1"/>
  <c r="C3968" i="7"/>
  <c r="D3968" i="7" s="1"/>
  <c r="C3969" i="7"/>
  <c r="D3969" i="7" s="1"/>
  <c r="C3970" i="7"/>
  <c r="D3970" i="7" s="1"/>
  <c r="C3971" i="7"/>
  <c r="D3971" i="7" s="1"/>
  <c r="C3972" i="7"/>
  <c r="D3972" i="7" s="1"/>
  <c r="C3973" i="7"/>
  <c r="D3973" i="7" s="1"/>
  <c r="C3974" i="7"/>
  <c r="D3974" i="7" s="1"/>
  <c r="C3975" i="7"/>
  <c r="D3975" i="7" s="1"/>
  <c r="C3976" i="7"/>
  <c r="D3976" i="7" s="1"/>
  <c r="C3977" i="7"/>
  <c r="D3977" i="7" s="1"/>
  <c r="C3978" i="7"/>
  <c r="D3978" i="7" s="1"/>
  <c r="C3979" i="7"/>
  <c r="D3979" i="7" s="1"/>
  <c r="C3980" i="7"/>
  <c r="D3980" i="7" s="1"/>
  <c r="C3981" i="7"/>
  <c r="D3981" i="7" s="1"/>
  <c r="C3982" i="7"/>
  <c r="D3982" i="7" s="1"/>
  <c r="C3983" i="7"/>
  <c r="D3983" i="7" s="1"/>
  <c r="C3984" i="7"/>
  <c r="D3984" i="7" s="1"/>
  <c r="C3985" i="7"/>
  <c r="D3985" i="7" s="1"/>
  <c r="C3986" i="7"/>
  <c r="D3986" i="7" s="1"/>
  <c r="C3987" i="7"/>
  <c r="D3987" i="7" s="1"/>
  <c r="C3988" i="7"/>
  <c r="D3988" i="7" s="1"/>
  <c r="C3989" i="7"/>
  <c r="D3989" i="7" s="1"/>
  <c r="C3990" i="7"/>
  <c r="D3990" i="7" s="1"/>
  <c r="C3991" i="7"/>
  <c r="D3991" i="7" s="1"/>
  <c r="C3992" i="7"/>
  <c r="D3992" i="7" s="1"/>
  <c r="C3993" i="7"/>
  <c r="D3993" i="7" s="1"/>
  <c r="C3994" i="7"/>
  <c r="D3994" i="7" s="1"/>
  <c r="C3995" i="7"/>
  <c r="D3995" i="7" s="1"/>
  <c r="C3996" i="7"/>
  <c r="D3996" i="7" s="1"/>
  <c r="C3997" i="7"/>
  <c r="D3997" i="7" s="1"/>
  <c r="C3998" i="7"/>
  <c r="D3998" i="7" s="1"/>
  <c r="C3999" i="7"/>
  <c r="D3999" i="7" s="1"/>
  <c r="C4000" i="7"/>
  <c r="D4000" i="7" s="1"/>
  <c r="C4001" i="7"/>
  <c r="D4001" i="7" s="1"/>
  <c r="C4002" i="7"/>
  <c r="D4002" i="7" s="1"/>
  <c r="C4003" i="7"/>
  <c r="D4003" i="7" s="1"/>
  <c r="C4004" i="7"/>
  <c r="D4004" i="7" s="1"/>
  <c r="C4005" i="7"/>
  <c r="D4005" i="7" s="1"/>
  <c r="C4006" i="7"/>
  <c r="D4006" i="7" s="1"/>
  <c r="C4007" i="7"/>
  <c r="D4007" i="7" s="1"/>
  <c r="C4008" i="7"/>
  <c r="D4008" i="7" s="1"/>
  <c r="C4009" i="7"/>
  <c r="D4009" i="7" s="1"/>
  <c r="C4010" i="7"/>
  <c r="D4010" i="7" s="1"/>
  <c r="C4011" i="7"/>
  <c r="D4011" i="7" s="1"/>
  <c r="C4012" i="7"/>
  <c r="D4012" i="7" s="1"/>
  <c r="C4013" i="7"/>
  <c r="D4013" i="7" s="1"/>
  <c r="C4014" i="7"/>
  <c r="D4014" i="7" s="1"/>
  <c r="C4015" i="7"/>
  <c r="D4015" i="7" s="1"/>
  <c r="C4016" i="7"/>
  <c r="D4016" i="7" s="1"/>
  <c r="C4017" i="7"/>
  <c r="D4017" i="7" s="1"/>
  <c r="C4018" i="7"/>
  <c r="D4018" i="7" s="1"/>
  <c r="C4019" i="7"/>
  <c r="D4019" i="7" s="1"/>
  <c r="C4020" i="7"/>
  <c r="D4020" i="7" s="1"/>
  <c r="C4021" i="7"/>
  <c r="D4021" i="7" s="1"/>
  <c r="C4022" i="7"/>
  <c r="D4022" i="7" s="1"/>
  <c r="C4023" i="7"/>
  <c r="D4023" i="7" s="1"/>
  <c r="C4024" i="7"/>
  <c r="D4024" i="7" s="1"/>
  <c r="C4025" i="7"/>
  <c r="D4025" i="7" s="1"/>
  <c r="C4026" i="7"/>
  <c r="D4026" i="7" s="1"/>
  <c r="C4027" i="7"/>
  <c r="D4027" i="7" s="1"/>
  <c r="C4028" i="7"/>
  <c r="D4028" i="7" s="1"/>
  <c r="C4029" i="7"/>
  <c r="D4029" i="7" s="1"/>
  <c r="C4030" i="7"/>
  <c r="D4030" i="7" s="1"/>
  <c r="C4031" i="7"/>
  <c r="D4031" i="7" s="1"/>
  <c r="C4032" i="7"/>
  <c r="D4032" i="7" s="1"/>
  <c r="C4033" i="7"/>
  <c r="D4033" i="7" s="1"/>
  <c r="C4034" i="7"/>
  <c r="D4034" i="7" s="1"/>
  <c r="C4035" i="7"/>
  <c r="D4035" i="7" s="1"/>
  <c r="C4036" i="7"/>
  <c r="D4036" i="7" s="1"/>
  <c r="C4037" i="7"/>
  <c r="D4037" i="7" s="1"/>
  <c r="C4038" i="7"/>
  <c r="D4038" i="7" s="1"/>
  <c r="C4039" i="7"/>
  <c r="D4039" i="7" s="1"/>
  <c r="C4040" i="7"/>
  <c r="D4040" i="7" s="1"/>
  <c r="C4041" i="7"/>
  <c r="D4041" i="7" s="1"/>
  <c r="C4042" i="7"/>
  <c r="D4042" i="7" s="1"/>
  <c r="C4043" i="7"/>
  <c r="D4043" i="7" s="1"/>
  <c r="C4044" i="7"/>
  <c r="D4044" i="7" s="1"/>
  <c r="C4045" i="7"/>
  <c r="D4045" i="7" s="1"/>
  <c r="C4046" i="7"/>
  <c r="D4046" i="7" s="1"/>
  <c r="C4047" i="7"/>
  <c r="D4047" i="7" s="1"/>
  <c r="C4048" i="7"/>
  <c r="D4048" i="7" s="1"/>
  <c r="C4049" i="7"/>
  <c r="D4049" i="7" s="1"/>
  <c r="C4050" i="7"/>
  <c r="D4050" i="7" s="1"/>
  <c r="C4051" i="7"/>
  <c r="D4051" i="7" s="1"/>
  <c r="C4052" i="7"/>
  <c r="D4052" i="7" s="1"/>
  <c r="C4053" i="7"/>
  <c r="D4053" i="7" s="1"/>
  <c r="C4054" i="7"/>
  <c r="D4054" i="7" s="1"/>
  <c r="C4055" i="7"/>
  <c r="D4055" i="7" s="1"/>
  <c r="C4056" i="7"/>
  <c r="D4056" i="7" s="1"/>
  <c r="C4057" i="7"/>
  <c r="D4057" i="7" s="1"/>
  <c r="C4058" i="7"/>
  <c r="D4058" i="7" s="1"/>
  <c r="C4059" i="7"/>
  <c r="D4059" i="7" s="1"/>
  <c r="C4060" i="7"/>
  <c r="D4060" i="7" s="1"/>
  <c r="C4061" i="7"/>
  <c r="D4061" i="7" s="1"/>
  <c r="C4062" i="7"/>
  <c r="D4062" i="7" s="1"/>
  <c r="C4063" i="7"/>
  <c r="D4063" i="7" s="1"/>
  <c r="C4064" i="7"/>
  <c r="D4064" i="7" s="1"/>
  <c r="C4065" i="7"/>
  <c r="D4065" i="7" s="1"/>
  <c r="C4066" i="7"/>
  <c r="D4066" i="7" s="1"/>
  <c r="C4067" i="7"/>
  <c r="D4067" i="7" s="1"/>
  <c r="C4068" i="7"/>
  <c r="D4068" i="7" s="1"/>
  <c r="C4069" i="7"/>
  <c r="D4069" i="7" s="1"/>
  <c r="C4070" i="7"/>
  <c r="D4070" i="7" s="1"/>
  <c r="C4071" i="7"/>
  <c r="D4071" i="7" s="1"/>
  <c r="C4072" i="7"/>
  <c r="D4072" i="7" s="1"/>
  <c r="C4073" i="7"/>
  <c r="D4073" i="7" s="1"/>
  <c r="C4074" i="7"/>
  <c r="D4074" i="7" s="1"/>
  <c r="C4075" i="7"/>
  <c r="D4075" i="7" s="1"/>
  <c r="C4076" i="7"/>
  <c r="D4076" i="7" s="1"/>
  <c r="C4077" i="7"/>
  <c r="D4077" i="7" s="1"/>
  <c r="C4078" i="7"/>
  <c r="D4078" i="7" s="1"/>
  <c r="C4079" i="7"/>
  <c r="D4079" i="7" s="1"/>
  <c r="C4080" i="7"/>
  <c r="D4080" i="7" s="1"/>
  <c r="C4081" i="7"/>
  <c r="D4081" i="7" s="1"/>
  <c r="C4082" i="7"/>
  <c r="D4082" i="7" s="1"/>
  <c r="C4083" i="7"/>
  <c r="D4083" i="7" s="1"/>
  <c r="C4084" i="7"/>
  <c r="D4084" i="7" s="1"/>
  <c r="C4085" i="7"/>
  <c r="D4085" i="7" s="1"/>
  <c r="C4086" i="7"/>
  <c r="D4086" i="7" s="1"/>
  <c r="C4087" i="7"/>
  <c r="D4087" i="7" s="1"/>
  <c r="C4088" i="7"/>
  <c r="D4088" i="7" s="1"/>
  <c r="C4089" i="7"/>
  <c r="D4089" i="7" s="1"/>
  <c r="C4090" i="7"/>
  <c r="D4090" i="7" s="1"/>
  <c r="C4091" i="7"/>
  <c r="D4091" i="7" s="1"/>
  <c r="C4092" i="7"/>
  <c r="D4092" i="7" s="1"/>
  <c r="C4093" i="7"/>
  <c r="D4093" i="7" s="1"/>
  <c r="C4094" i="7"/>
  <c r="D4094" i="7" s="1"/>
  <c r="C4095" i="7"/>
  <c r="D4095" i="7" s="1"/>
  <c r="C4096" i="7"/>
  <c r="D4096" i="7" s="1"/>
  <c r="C4097" i="7"/>
  <c r="D4097" i="7" s="1"/>
  <c r="C4098" i="7"/>
  <c r="D4098" i="7" s="1"/>
  <c r="C4099" i="7"/>
  <c r="D4099" i="7" s="1"/>
  <c r="C4100" i="7"/>
  <c r="D4100" i="7" s="1"/>
  <c r="C4101" i="7"/>
  <c r="D4101" i="7" s="1"/>
  <c r="C4102" i="7"/>
  <c r="D4102" i="7" s="1"/>
  <c r="C4103" i="7"/>
  <c r="D4103" i="7" s="1"/>
  <c r="C4104" i="7"/>
  <c r="D4104" i="7" s="1"/>
  <c r="C4105" i="7"/>
  <c r="D4105" i="7" s="1"/>
  <c r="C4106" i="7"/>
  <c r="D4106" i="7" s="1"/>
  <c r="C4107" i="7"/>
  <c r="D4107" i="7" s="1"/>
  <c r="C4108" i="7"/>
  <c r="D4108" i="7" s="1"/>
  <c r="C4109" i="7"/>
  <c r="D4109" i="7" s="1"/>
  <c r="C4110" i="7"/>
  <c r="D4110" i="7" s="1"/>
  <c r="C4111" i="7"/>
  <c r="D4111" i="7" s="1"/>
  <c r="C4112" i="7"/>
  <c r="D4112" i="7" s="1"/>
  <c r="C4113" i="7"/>
  <c r="D4113" i="7" s="1"/>
  <c r="C4114" i="7"/>
  <c r="D4114" i="7" s="1"/>
  <c r="C4115" i="7"/>
  <c r="D4115" i="7" s="1"/>
  <c r="C4116" i="7"/>
  <c r="D4116" i="7" s="1"/>
  <c r="C4117" i="7"/>
  <c r="D4117" i="7" s="1"/>
  <c r="C4118" i="7"/>
  <c r="D4118" i="7" s="1"/>
  <c r="C4119" i="7"/>
  <c r="D4119" i="7" s="1"/>
  <c r="C4120" i="7"/>
  <c r="D4120" i="7" s="1"/>
  <c r="C4121" i="7"/>
  <c r="D4121" i="7" s="1"/>
  <c r="C4122" i="7"/>
  <c r="D4122" i="7" s="1"/>
  <c r="C4123" i="7"/>
  <c r="D4123" i="7" s="1"/>
  <c r="C4124" i="7"/>
  <c r="D4124" i="7" s="1"/>
  <c r="C4125" i="7"/>
  <c r="D4125" i="7" s="1"/>
  <c r="C4126" i="7"/>
  <c r="D4126" i="7" s="1"/>
  <c r="C4127" i="7"/>
  <c r="D4127" i="7" s="1"/>
  <c r="C4128" i="7"/>
  <c r="D4128" i="7" s="1"/>
  <c r="C4129" i="7"/>
  <c r="D4129" i="7" s="1"/>
  <c r="C4130" i="7"/>
  <c r="D4130" i="7" s="1"/>
  <c r="C4131" i="7"/>
  <c r="D4131" i="7" s="1"/>
  <c r="C4132" i="7"/>
  <c r="D4132" i="7" s="1"/>
  <c r="C4133" i="7"/>
  <c r="D4133" i="7" s="1"/>
  <c r="C4134" i="7"/>
  <c r="D4134" i="7" s="1"/>
  <c r="C4135" i="7"/>
  <c r="D4135" i="7" s="1"/>
  <c r="C4136" i="7"/>
  <c r="D4136" i="7" s="1"/>
  <c r="C4137" i="7"/>
  <c r="D4137" i="7" s="1"/>
  <c r="C4138" i="7"/>
  <c r="D4138" i="7" s="1"/>
  <c r="C4139" i="7"/>
  <c r="D4139" i="7" s="1"/>
  <c r="C4140" i="7"/>
  <c r="D4140" i="7" s="1"/>
  <c r="C4141" i="7"/>
  <c r="D4141" i="7" s="1"/>
  <c r="C4142" i="7"/>
  <c r="D4142" i="7" s="1"/>
  <c r="C4143" i="7"/>
  <c r="D4143" i="7" s="1"/>
  <c r="C4144" i="7"/>
  <c r="D4144" i="7" s="1"/>
  <c r="C4145" i="7"/>
  <c r="D4145" i="7" s="1"/>
  <c r="C4146" i="7"/>
  <c r="D4146" i="7" s="1"/>
  <c r="C4147" i="7"/>
  <c r="D4147" i="7" s="1"/>
  <c r="C4148" i="7"/>
  <c r="D4148" i="7" s="1"/>
  <c r="C4149" i="7"/>
  <c r="D4149" i="7" s="1"/>
  <c r="C4150" i="7"/>
  <c r="D4150" i="7" s="1"/>
  <c r="C4151" i="7"/>
  <c r="D4151" i="7" s="1"/>
  <c r="C4152" i="7"/>
  <c r="D4152" i="7" s="1"/>
  <c r="C4153" i="7"/>
  <c r="D4153" i="7" s="1"/>
  <c r="C4154" i="7"/>
  <c r="D4154" i="7" s="1"/>
  <c r="C4155" i="7"/>
  <c r="D4155" i="7" s="1"/>
  <c r="C4156" i="7"/>
  <c r="D4156" i="7" s="1"/>
  <c r="C4157" i="7"/>
  <c r="D4157" i="7" s="1"/>
  <c r="C4158" i="7"/>
  <c r="D4158" i="7" s="1"/>
  <c r="C4159" i="7"/>
  <c r="D4159" i="7" s="1"/>
  <c r="C4160" i="7"/>
  <c r="D4160" i="7" s="1"/>
  <c r="C4161" i="7"/>
  <c r="D4161" i="7" s="1"/>
  <c r="C4162" i="7"/>
  <c r="D4162" i="7" s="1"/>
  <c r="C4163" i="7"/>
  <c r="D4163" i="7" s="1"/>
  <c r="C4164" i="7"/>
  <c r="D4164" i="7" s="1"/>
  <c r="C4165" i="7"/>
  <c r="D4165" i="7" s="1"/>
  <c r="C4166" i="7"/>
  <c r="D4166" i="7" s="1"/>
  <c r="C4167" i="7"/>
  <c r="D4167" i="7" s="1"/>
  <c r="C4168" i="7"/>
  <c r="D4168" i="7" s="1"/>
  <c r="C4169" i="7"/>
  <c r="D4169" i="7" s="1"/>
  <c r="C4170" i="7"/>
  <c r="D4170" i="7" s="1"/>
  <c r="C4171" i="7"/>
  <c r="D4171" i="7" s="1"/>
  <c r="C4172" i="7"/>
  <c r="D4172" i="7" s="1"/>
  <c r="C4173" i="7"/>
  <c r="D4173" i="7" s="1"/>
  <c r="C4174" i="7"/>
  <c r="D4174" i="7" s="1"/>
  <c r="C4175" i="7"/>
  <c r="D4175" i="7" s="1"/>
  <c r="C4176" i="7"/>
  <c r="D4176" i="7" s="1"/>
  <c r="C4177" i="7"/>
  <c r="D4177" i="7" s="1"/>
  <c r="C4178" i="7"/>
  <c r="D4178" i="7" s="1"/>
  <c r="C4179" i="7"/>
  <c r="D4179" i="7" s="1"/>
  <c r="C4180" i="7"/>
  <c r="D4180" i="7" s="1"/>
  <c r="C4181" i="7"/>
  <c r="D4181" i="7" s="1"/>
  <c r="C4182" i="7"/>
  <c r="D4182" i="7" s="1"/>
  <c r="C4183" i="7"/>
  <c r="D4183" i="7" s="1"/>
  <c r="C4184" i="7"/>
  <c r="D4184" i="7" s="1"/>
  <c r="C4185" i="7"/>
  <c r="D4185" i="7" s="1"/>
  <c r="C4186" i="7"/>
  <c r="D4186" i="7" s="1"/>
  <c r="C4187" i="7"/>
  <c r="D4187" i="7" s="1"/>
  <c r="C4188" i="7"/>
  <c r="D4188" i="7" s="1"/>
  <c r="C4189" i="7"/>
  <c r="D4189" i="7" s="1"/>
  <c r="C4190" i="7"/>
  <c r="D4190" i="7" s="1"/>
  <c r="C4191" i="7"/>
  <c r="D4191" i="7" s="1"/>
  <c r="C4192" i="7"/>
  <c r="D4192" i="7" s="1"/>
  <c r="C4193" i="7"/>
  <c r="D4193" i="7" s="1"/>
  <c r="C4194" i="7"/>
  <c r="D4194" i="7" s="1"/>
  <c r="C4195" i="7"/>
  <c r="D4195" i="7" s="1"/>
  <c r="C4196" i="7"/>
  <c r="D4196" i="7" s="1"/>
  <c r="C4197" i="7"/>
  <c r="D4197" i="7" s="1"/>
  <c r="C4198" i="7"/>
  <c r="D4198" i="7" s="1"/>
  <c r="C4199" i="7"/>
  <c r="D4199" i="7" s="1"/>
  <c r="C4200" i="7"/>
  <c r="D4200" i="7" s="1"/>
  <c r="C4201" i="7"/>
  <c r="D4201" i="7" s="1"/>
  <c r="C4202" i="7"/>
  <c r="D4202" i="7" s="1"/>
  <c r="C4203" i="7"/>
  <c r="D4203" i="7" s="1"/>
  <c r="C4204" i="7"/>
  <c r="D4204" i="7" s="1"/>
  <c r="C4205" i="7"/>
  <c r="D4205" i="7" s="1"/>
  <c r="C4206" i="7"/>
  <c r="D4206" i="7" s="1"/>
  <c r="C4207" i="7"/>
  <c r="D4207" i="7" s="1"/>
  <c r="C4208" i="7"/>
  <c r="D4208" i="7" s="1"/>
  <c r="C4209" i="7"/>
  <c r="D4209" i="7" s="1"/>
  <c r="C4210" i="7"/>
  <c r="D4210" i="7" s="1"/>
  <c r="C4211" i="7"/>
  <c r="D4211" i="7" s="1"/>
  <c r="C4212" i="7"/>
  <c r="D4212" i="7" s="1"/>
  <c r="C4213" i="7"/>
  <c r="D4213" i="7" s="1"/>
  <c r="C4214" i="7"/>
  <c r="D4214" i="7" s="1"/>
  <c r="C4215" i="7"/>
  <c r="D4215" i="7" s="1"/>
  <c r="C4216" i="7"/>
  <c r="D4216" i="7" s="1"/>
  <c r="C4217" i="7"/>
  <c r="D4217" i="7" s="1"/>
  <c r="C4218" i="7"/>
  <c r="D4218" i="7" s="1"/>
  <c r="C4219" i="7"/>
  <c r="D4219" i="7" s="1"/>
  <c r="C4220" i="7"/>
  <c r="D4220" i="7" s="1"/>
  <c r="C4221" i="7"/>
  <c r="D4221" i="7" s="1"/>
  <c r="C4222" i="7"/>
  <c r="D4222" i="7" s="1"/>
  <c r="C4223" i="7"/>
  <c r="D4223" i="7" s="1"/>
  <c r="C4224" i="7"/>
  <c r="D4224" i="7" s="1"/>
  <c r="C4225" i="7"/>
  <c r="D4225" i="7" s="1"/>
  <c r="C4226" i="7"/>
  <c r="D4226" i="7" s="1"/>
  <c r="C4227" i="7"/>
  <c r="D4227" i="7" s="1"/>
  <c r="C4228" i="7"/>
  <c r="D4228" i="7" s="1"/>
  <c r="C4229" i="7"/>
  <c r="D4229" i="7" s="1"/>
  <c r="C4230" i="7"/>
  <c r="D4230" i="7" s="1"/>
  <c r="C4231" i="7"/>
  <c r="D4231" i="7" s="1"/>
  <c r="C4232" i="7"/>
  <c r="D4232" i="7" s="1"/>
  <c r="C4233" i="7"/>
  <c r="D4233" i="7" s="1"/>
  <c r="C4234" i="7"/>
  <c r="D4234" i="7" s="1"/>
  <c r="C4235" i="7"/>
  <c r="D4235" i="7" s="1"/>
  <c r="C4236" i="7"/>
  <c r="D4236" i="7" s="1"/>
  <c r="C4237" i="7"/>
  <c r="D4237" i="7" s="1"/>
  <c r="C4238" i="7"/>
  <c r="D4238" i="7" s="1"/>
  <c r="C4239" i="7"/>
  <c r="D4239" i="7" s="1"/>
  <c r="C4240" i="7"/>
  <c r="D4240" i="7" s="1"/>
  <c r="C4241" i="7"/>
  <c r="D4241" i="7" s="1"/>
  <c r="C4242" i="7"/>
  <c r="D4242" i="7" s="1"/>
  <c r="C4243" i="7"/>
  <c r="D4243" i="7" s="1"/>
  <c r="C4244" i="7"/>
  <c r="D4244" i="7" s="1"/>
  <c r="C4245" i="7"/>
  <c r="D4245" i="7" s="1"/>
  <c r="C4246" i="7"/>
  <c r="D4246" i="7" s="1"/>
  <c r="C4247" i="7"/>
  <c r="D4247" i="7" s="1"/>
  <c r="C4248" i="7"/>
  <c r="D4248" i="7" s="1"/>
  <c r="C4249" i="7"/>
  <c r="D4249" i="7" s="1"/>
  <c r="C4250" i="7"/>
  <c r="D4250" i="7" s="1"/>
  <c r="C4251" i="7"/>
  <c r="D4251" i="7" s="1"/>
  <c r="C4252" i="7"/>
  <c r="D4252" i="7" s="1"/>
  <c r="C4253" i="7"/>
  <c r="D4253" i="7" s="1"/>
  <c r="C4254" i="7"/>
  <c r="D4254" i="7" s="1"/>
  <c r="C4255" i="7"/>
  <c r="D4255" i="7" s="1"/>
  <c r="C4256" i="7"/>
  <c r="D4256" i="7" s="1"/>
  <c r="C4257" i="7"/>
  <c r="D4257" i="7" s="1"/>
  <c r="C4258" i="7"/>
  <c r="D4258" i="7" s="1"/>
  <c r="C4259" i="7"/>
  <c r="D4259" i="7" s="1"/>
  <c r="C4260" i="7"/>
  <c r="D4260" i="7" s="1"/>
  <c r="C4261" i="7"/>
  <c r="D4261" i="7" s="1"/>
  <c r="C4262" i="7"/>
  <c r="D4262" i="7" s="1"/>
  <c r="C4263" i="7"/>
  <c r="D4263" i="7" s="1"/>
  <c r="C4264" i="7"/>
  <c r="D4264" i="7" s="1"/>
  <c r="C4265" i="7"/>
  <c r="D4265" i="7" s="1"/>
  <c r="C4266" i="7"/>
  <c r="D4266" i="7" s="1"/>
  <c r="C4267" i="7"/>
  <c r="D4267" i="7" s="1"/>
  <c r="C4268" i="7"/>
  <c r="D4268" i="7" s="1"/>
  <c r="C4269" i="7"/>
  <c r="D4269" i="7" s="1"/>
  <c r="C4270" i="7"/>
  <c r="D4270" i="7" s="1"/>
  <c r="C4271" i="7"/>
  <c r="D4271" i="7" s="1"/>
  <c r="C4272" i="7"/>
  <c r="D4272" i="7" s="1"/>
  <c r="C4273" i="7"/>
  <c r="D4273" i="7" s="1"/>
  <c r="C4274" i="7"/>
  <c r="D4274" i="7" s="1"/>
  <c r="C4275" i="7"/>
  <c r="D4275" i="7" s="1"/>
  <c r="C4276" i="7"/>
  <c r="D4276" i="7" s="1"/>
  <c r="C4277" i="7"/>
  <c r="D4277" i="7" s="1"/>
  <c r="C4278" i="7"/>
  <c r="D4278" i="7" s="1"/>
  <c r="C4279" i="7"/>
  <c r="D4279" i="7" s="1"/>
  <c r="C4280" i="7"/>
  <c r="D4280" i="7" s="1"/>
  <c r="C4281" i="7"/>
  <c r="D4281" i="7" s="1"/>
  <c r="C4282" i="7"/>
  <c r="D4282" i="7" s="1"/>
  <c r="C4283" i="7"/>
  <c r="D4283" i="7" s="1"/>
  <c r="C4284" i="7"/>
  <c r="D4284" i="7" s="1"/>
  <c r="C4285" i="7"/>
  <c r="D4285" i="7" s="1"/>
  <c r="C4286" i="7"/>
  <c r="D4286" i="7" s="1"/>
  <c r="C4287" i="7"/>
  <c r="D4287" i="7" s="1"/>
  <c r="C4288" i="7"/>
  <c r="D4288" i="7" s="1"/>
  <c r="C4289" i="7"/>
  <c r="D4289" i="7" s="1"/>
  <c r="C4290" i="7"/>
  <c r="D4290" i="7" s="1"/>
  <c r="C4291" i="7"/>
  <c r="D4291" i="7" s="1"/>
  <c r="C4292" i="7"/>
  <c r="D4292" i="7" s="1"/>
  <c r="C4293" i="7"/>
  <c r="D4293" i="7" s="1"/>
  <c r="C4294" i="7"/>
  <c r="D4294" i="7" s="1"/>
  <c r="C4295" i="7"/>
  <c r="D4295" i="7" s="1"/>
  <c r="C4296" i="7"/>
  <c r="D4296" i="7" s="1"/>
  <c r="C4297" i="7"/>
  <c r="D4297" i="7" s="1"/>
  <c r="C4298" i="7"/>
  <c r="D4298" i="7" s="1"/>
  <c r="C4299" i="7"/>
  <c r="D4299" i="7" s="1"/>
  <c r="C4300" i="7"/>
  <c r="D4300" i="7" s="1"/>
  <c r="C4301" i="7"/>
  <c r="D4301" i="7" s="1"/>
  <c r="C4302" i="7"/>
  <c r="D4302" i="7" s="1"/>
  <c r="C4303" i="7"/>
  <c r="D4303" i="7" s="1"/>
  <c r="C4304" i="7"/>
  <c r="D4304" i="7" s="1"/>
  <c r="C4305" i="7"/>
  <c r="D4305" i="7" s="1"/>
  <c r="C4306" i="7"/>
  <c r="D4306" i="7" s="1"/>
  <c r="C4307" i="7"/>
  <c r="D4307" i="7" s="1"/>
  <c r="C4308" i="7"/>
  <c r="D4308" i="7" s="1"/>
  <c r="C4309" i="7"/>
  <c r="D4309" i="7" s="1"/>
  <c r="C4310" i="7"/>
  <c r="D4310" i="7" s="1"/>
  <c r="C4311" i="7"/>
  <c r="D4311" i="7" s="1"/>
  <c r="C4312" i="7"/>
  <c r="D4312" i="7" s="1"/>
  <c r="C4313" i="7"/>
  <c r="D4313" i="7" s="1"/>
  <c r="C4314" i="7"/>
  <c r="D4314" i="7" s="1"/>
  <c r="C4315" i="7"/>
  <c r="D4315" i="7" s="1"/>
  <c r="C4316" i="7"/>
  <c r="D4316" i="7" s="1"/>
  <c r="C4317" i="7"/>
  <c r="D4317" i="7" s="1"/>
  <c r="C4318" i="7"/>
  <c r="D4318" i="7" s="1"/>
  <c r="C4319" i="7"/>
  <c r="D4319" i="7" s="1"/>
  <c r="C4320" i="7"/>
  <c r="D4320" i="7" s="1"/>
  <c r="C4321" i="7"/>
  <c r="D4321" i="7" s="1"/>
  <c r="C4322" i="7"/>
  <c r="D4322" i="7" s="1"/>
  <c r="C4323" i="7"/>
  <c r="D4323" i="7" s="1"/>
  <c r="C4324" i="7"/>
  <c r="D4324" i="7" s="1"/>
  <c r="C4325" i="7"/>
  <c r="D4325" i="7" s="1"/>
  <c r="C4326" i="7"/>
  <c r="D4326" i="7" s="1"/>
  <c r="C4327" i="7"/>
  <c r="D4327" i="7" s="1"/>
  <c r="C4328" i="7"/>
  <c r="D4328" i="7" s="1"/>
  <c r="C4329" i="7"/>
  <c r="D4329" i="7" s="1"/>
  <c r="C4330" i="7"/>
  <c r="D4330" i="7" s="1"/>
  <c r="C4331" i="7"/>
  <c r="D4331" i="7" s="1"/>
  <c r="C4332" i="7"/>
  <c r="D4332" i="7" s="1"/>
  <c r="C4333" i="7"/>
  <c r="D4333" i="7" s="1"/>
  <c r="C4334" i="7"/>
  <c r="D4334" i="7" s="1"/>
  <c r="C4335" i="7"/>
  <c r="D4335" i="7" s="1"/>
  <c r="C4336" i="7"/>
  <c r="D4336" i="7" s="1"/>
  <c r="C4337" i="7"/>
  <c r="D4337" i="7" s="1"/>
  <c r="C4338" i="7"/>
  <c r="D4338" i="7" s="1"/>
  <c r="C4339" i="7"/>
  <c r="D4339" i="7" s="1"/>
  <c r="C4340" i="7"/>
  <c r="D4340" i="7" s="1"/>
  <c r="C4341" i="7"/>
  <c r="D4341" i="7" s="1"/>
  <c r="C4342" i="7"/>
  <c r="D4342" i="7" s="1"/>
  <c r="C4343" i="7"/>
  <c r="D4343" i="7" s="1"/>
  <c r="C4344" i="7"/>
  <c r="D4344" i="7" s="1"/>
  <c r="C4345" i="7"/>
  <c r="D4345" i="7" s="1"/>
  <c r="C4346" i="7"/>
  <c r="D4346" i="7" s="1"/>
  <c r="C4347" i="7"/>
  <c r="D4347" i="7" s="1"/>
  <c r="C4348" i="7"/>
  <c r="D4348" i="7" s="1"/>
  <c r="C4349" i="7"/>
  <c r="D4349" i="7" s="1"/>
  <c r="C4350" i="7"/>
  <c r="D4350" i="7" s="1"/>
  <c r="C4351" i="7"/>
  <c r="D4351" i="7" s="1"/>
  <c r="C4352" i="7"/>
  <c r="D4352" i="7" s="1"/>
  <c r="C4353" i="7"/>
  <c r="D4353" i="7" s="1"/>
  <c r="C4354" i="7"/>
  <c r="D4354" i="7" s="1"/>
  <c r="C4355" i="7"/>
  <c r="D4355" i="7" s="1"/>
  <c r="C4356" i="7"/>
  <c r="D4356" i="7" s="1"/>
  <c r="C4357" i="7"/>
  <c r="D4357" i="7" s="1"/>
  <c r="C4358" i="7"/>
  <c r="D4358" i="7" s="1"/>
  <c r="C4359" i="7"/>
  <c r="D4359" i="7" s="1"/>
  <c r="C4360" i="7"/>
  <c r="D4360" i="7" s="1"/>
  <c r="C4361" i="7"/>
  <c r="D4361" i="7" s="1"/>
  <c r="C4362" i="7"/>
  <c r="D4362" i="7" s="1"/>
  <c r="C4363" i="7"/>
  <c r="D4363" i="7" s="1"/>
  <c r="C4364" i="7"/>
  <c r="D4364" i="7" s="1"/>
  <c r="C4365" i="7"/>
  <c r="D4365" i="7" s="1"/>
  <c r="C4366" i="7"/>
  <c r="D4366" i="7" s="1"/>
  <c r="C4367" i="7"/>
  <c r="D4367" i="7" s="1"/>
  <c r="C4368" i="7"/>
  <c r="D4368" i="7" s="1"/>
  <c r="C4369" i="7"/>
  <c r="D4369" i="7" s="1"/>
  <c r="C4370" i="7"/>
  <c r="D4370" i="7" s="1"/>
  <c r="C4371" i="7"/>
  <c r="D4371" i="7" s="1"/>
  <c r="C4372" i="7"/>
  <c r="D4372" i="7" s="1"/>
  <c r="C4373" i="7"/>
  <c r="D4373" i="7" s="1"/>
  <c r="C4374" i="7"/>
  <c r="D4374" i="7" s="1"/>
  <c r="C4375" i="7"/>
  <c r="D4375" i="7" s="1"/>
  <c r="C4376" i="7"/>
  <c r="D4376" i="7" s="1"/>
  <c r="C4377" i="7"/>
  <c r="D4377" i="7" s="1"/>
  <c r="C4378" i="7"/>
  <c r="D4378" i="7" s="1"/>
  <c r="C4379" i="7"/>
  <c r="D4379" i="7" s="1"/>
  <c r="C4380" i="7"/>
  <c r="D4380" i="7" s="1"/>
  <c r="C4381" i="7"/>
  <c r="D4381" i="7" s="1"/>
  <c r="C4382" i="7"/>
  <c r="D4382" i="7" s="1"/>
  <c r="C4383" i="7"/>
  <c r="D4383" i="7" s="1"/>
  <c r="C4384" i="7"/>
  <c r="D4384" i="7" s="1"/>
  <c r="C4385" i="7"/>
  <c r="D4385" i="7" s="1"/>
  <c r="C4386" i="7"/>
  <c r="D4386" i="7" s="1"/>
  <c r="C4387" i="7"/>
  <c r="D4387" i="7" s="1"/>
  <c r="C4388" i="7"/>
  <c r="D4388" i="7" s="1"/>
  <c r="C4389" i="7"/>
  <c r="D4389" i="7" s="1"/>
  <c r="C4390" i="7"/>
  <c r="D4390" i="7" s="1"/>
  <c r="C4391" i="7"/>
  <c r="D4391" i="7" s="1"/>
  <c r="C4392" i="7"/>
  <c r="D4392" i="7" s="1"/>
  <c r="C4393" i="7"/>
  <c r="D4393" i="7" s="1"/>
  <c r="C4394" i="7"/>
  <c r="D4394" i="7" s="1"/>
  <c r="C4395" i="7"/>
  <c r="D4395" i="7" s="1"/>
  <c r="C4396" i="7"/>
  <c r="D4396" i="7" s="1"/>
  <c r="C4397" i="7"/>
  <c r="D4397" i="7" s="1"/>
  <c r="C4398" i="7"/>
  <c r="D4398" i="7" s="1"/>
  <c r="C4399" i="7"/>
  <c r="D4399" i="7" s="1"/>
  <c r="C4400" i="7"/>
  <c r="D4400" i="7" s="1"/>
  <c r="C4401" i="7"/>
  <c r="D4401" i="7" s="1"/>
  <c r="C4402" i="7"/>
  <c r="D4402" i="7" s="1"/>
  <c r="C4403" i="7"/>
  <c r="D4403" i="7" s="1"/>
  <c r="C4404" i="7"/>
  <c r="D4404" i="7" s="1"/>
  <c r="C4405" i="7"/>
  <c r="D4405" i="7" s="1"/>
  <c r="C4406" i="7"/>
  <c r="D4406" i="7" s="1"/>
  <c r="C4407" i="7"/>
  <c r="D4407" i="7" s="1"/>
  <c r="C4408" i="7"/>
  <c r="D4408" i="7" s="1"/>
  <c r="C4409" i="7"/>
  <c r="D4409" i="7" s="1"/>
  <c r="C4410" i="7"/>
  <c r="D4410" i="7" s="1"/>
  <c r="C4411" i="7"/>
  <c r="D4411" i="7" s="1"/>
  <c r="C4412" i="7"/>
  <c r="D4412" i="7" s="1"/>
  <c r="C4413" i="7"/>
  <c r="D4413" i="7" s="1"/>
  <c r="C4414" i="7"/>
  <c r="D4414" i="7" s="1"/>
  <c r="C4415" i="7"/>
  <c r="D4415" i="7" s="1"/>
  <c r="C4416" i="7"/>
  <c r="D4416" i="7" s="1"/>
  <c r="C4417" i="7"/>
  <c r="D4417" i="7" s="1"/>
  <c r="C4418" i="7"/>
  <c r="D4418" i="7" s="1"/>
  <c r="C4419" i="7"/>
  <c r="D4419" i="7" s="1"/>
  <c r="C4420" i="7"/>
  <c r="D4420" i="7" s="1"/>
  <c r="C4421" i="7"/>
  <c r="D4421" i="7" s="1"/>
  <c r="C4422" i="7"/>
  <c r="D4422" i="7" s="1"/>
  <c r="C4423" i="7"/>
  <c r="D4423" i="7" s="1"/>
  <c r="C4424" i="7"/>
  <c r="D4424" i="7" s="1"/>
  <c r="C4425" i="7"/>
  <c r="D4425" i="7" s="1"/>
  <c r="C4426" i="7"/>
  <c r="D4426" i="7" s="1"/>
  <c r="C4427" i="7"/>
  <c r="D4427" i="7" s="1"/>
  <c r="C4428" i="7"/>
  <c r="D4428" i="7" s="1"/>
  <c r="C4429" i="7"/>
  <c r="D4429" i="7" s="1"/>
  <c r="C4430" i="7"/>
  <c r="D4430" i="7" s="1"/>
  <c r="C4431" i="7"/>
  <c r="D4431" i="7" s="1"/>
  <c r="C4432" i="7"/>
  <c r="D4432" i="7" s="1"/>
  <c r="C4433" i="7"/>
  <c r="D4433" i="7" s="1"/>
  <c r="C4434" i="7"/>
  <c r="D4434" i="7" s="1"/>
  <c r="C4435" i="7"/>
  <c r="D4435" i="7" s="1"/>
  <c r="C4436" i="7"/>
  <c r="D4436" i="7" s="1"/>
  <c r="C4437" i="7"/>
  <c r="D4437" i="7" s="1"/>
  <c r="C4438" i="7"/>
  <c r="D4438" i="7" s="1"/>
  <c r="C4439" i="7"/>
  <c r="D4439" i="7" s="1"/>
  <c r="C4440" i="7"/>
  <c r="D4440" i="7" s="1"/>
  <c r="C4441" i="7"/>
  <c r="D4441" i="7" s="1"/>
  <c r="C4442" i="7"/>
  <c r="D4442" i="7" s="1"/>
  <c r="C4443" i="7"/>
  <c r="D4443" i="7" s="1"/>
  <c r="C4444" i="7"/>
  <c r="D4444" i="7" s="1"/>
  <c r="C4445" i="7"/>
  <c r="D4445" i="7" s="1"/>
  <c r="C4446" i="7"/>
  <c r="D4446" i="7" s="1"/>
  <c r="C4447" i="7"/>
  <c r="D4447" i="7" s="1"/>
  <c r="C4448" i="7"/>
  <c r="D4448" i="7" s="1"/>
  <c r="C4449" i="7"/>
  <c r="D4449" i="7" s="1"/>
  <c r="C4450" i="7"/>
  <c r="D4450" i="7" s="1"/>
  <c r="C4451" i="7"/>
  <c r="D4451" i="7" s="1"/>
  <c r="C4452" i="7"/>
  <c r="D4452" i="7" s="1"/>
  <c r="C4453" i="7"/>
  <c r="D4453" i="7" s="1"/>
  <c r="C4454" i="7"/>
  <c r="D4454" i="7" s="1"/>
  <c r="C4455" i="7"/>
  <c r="D4455" i="7" s="1"/>
  <c r="C4456" i="7"/>
  <c r="D4456" i="7" s="1"/>
  <c r="C4457" i="7"/>
  <c r="D4457" i="7" s="1"/>
  <c r="C4458" i="7"/>
  <c r="D4458" i="7" s="1"/>
  <c r="C4459" i="7"/>
  <c r="D4459" i="7" s="1"/>
  <c r="C4460" i="7"/>
  <c r="D4460" i="7" s="1"/>
  <c r="C4461" i="7"/>
  <c r="D4461" i="7" s="1"/>
  <c r="C4462" i="7"/>
  <c r="D4462" i="7" s="1"/>
  <c r="C4463" i="7"/>
  <c r="D4463" i="7" s="1"/>
  <c r="C4464" i="7"/>
  <c r="D4464" i="7" s="1"/>
  <c r="C4465" i="7"/>
  <c r="D4465" i="7" s="1"/>
  <c r="C4466" i="7"/>
  <c r="D4466" i="7" s="1"/>
  <c r="C4467" i="7"/>
  <c r="D4467" i="7" s="1"/>
  <c r="C4468" i="7"/>
  <c r="D4468" i="7" s="1"/>
  <c r="C4469" i="7"/>
  <c r="D4469" i="7" s="1"/>
  <c r="C4470" i="7"/>
  <c r="D4470" i="7" s="1"/>
  <c r="C4471" i="7"/>
  <c r="D4471" i="7" s="1"/>
  <c r="C4472" i="7"/>
  <c r="D4472" i="7" s="1"/>
  <c r="C4473" i="7"/>
  <c r="D4473" i="7" s="1"/>
  <c r="C4474" i="7"/>
  <c r="D4474" i="7" s="1"/>
  <c r="C4475" i="7"/>
  <c r="D4475" i="7" s="1"/>
  <c r="C4476" i="7"/>
  <c r="D4476" i="7" s="1"/>
  <c r="C4477" i="7"/>
  <c r="D4477" i="7" s="1"/>
  <c r="C4478" i="7"/>
  <c r="D4478" i="7" s="1"/>
  <c r="C4479" i="7"/>
  <c r="D4479" i="7" s="1"/>
  <c r="C4480" i="7"/>
  <c r="D4480" i="7" s="1"/>
  <c r="C4481" i="7"/>
  <c r="D4481" i="7" s="1"/>
  <c r="C4482" i="7"/>
  <c r="D4482" i="7" s="1"/>
  <c r="C4483" i="7"/>
  <c r="D4483" i="7" s="1"/>
  <c r="C4484" i="7"/>
  <c r="D4484" i="7" s="1"/>
  <c r="C4485" i="7"/>
  <c r="D4485" i="7" s="1"/>
  <c r="C4486" i="7"/>
  <c r="D4486" i="7" s="1"/>
  <c r="C4487" i="7"/>
  <c r="D4487" i="7" s="1"/>
  <c r="C4488" i="7"/>
  <c r="D4488" i="7" s="1"/>
  <c r="C4489" i="7"/>
  <c r="D4489" i="7" s="1"/>
  <c r="C4490" i="7"/>
  <c r="D4490" i="7" s="1"/>
  <c r="C4491" i="7"/>
  <c r="D4491" i="7" s="1"/>
  <c r="C4492" i="7"/>
  <c r="D4492" i="7" s="1"/>
  <c r="C4493" i="7"/>
  <c r="D4493" i="7" s="1"/>
  <c r="C4494" i="7"/>
  <c r="D4494" i="7" s="1"/>
  <c r="C4495" i="7"/>
  <c r="D4495" i="7" s="1"/>
  <c r="C4496" i="7"/>
  <c r="D4496" i="7" s="1"/>
  <c r="C4497" i="7"/>
  <c r="D4497" i="7" s="1"/>
  <c r="C4498" i="7"/>
  <c r="D4498" i="7" s="1"/>
  <c r="C4499" i="7"/>
  <c r="D4499" i="7" s="1"/>
  <c r="C4500" i="7"/>
  <c r="D4500" i="7" s="1"/>
  <c r="C4501" i="7"/>
  <c r="D4501" i="7" s="1"/>
  <c r="C4502" i="7"/>
  <c r="D4502" i="7" s="1"/>
  <c r="C4503" i="7"/>
  <c r="D4503" i="7" s="1"/>
  <c r="C4504" i="7"/>
  <c r="D4504" i="7" s="1"/>
  <c r="C4505" i="7"/>
  <c r="D4505" i="7" s="1"/>
  <c r="C4506" i="7"/>
  <c r="D4506" i="7" s="1"/>
  <c r="C4507" i="7"/>
  <c r="D4507" i="7" s="1"/>
  <c r="C4508" i="7"/>
  <c r="D4508" i="7" s="1"/>
  <c r="C4509" i="7"/>
  <c r="D4509" i="7" s="1"/>
  <c r="C4510" i="7"/>
  <c r="D4510" i="7" s="1"/>
  <c r="C4511" i="7"/>
  <c r="D4511" i="7" s="1"/>
  <c r="C4512" i="7"/>
  <c r="D4512" i="7" s="1"/>
  <c r="C4513" i="7"/>
  <c r="D4513" i="7" s="1"/>
  <c r="C4514" i="7"/>
  <c r="D4514" i="7" s="1"/>
  <c r="C4515" i="7"/>
  <c r="D4515" i="7" s="1"/>
  <c r="C4516" i="7"/>
  <c r="D4516" i="7" s="1"/>
  <c r="C4517" i="7"/>
  <c r="D4517" i="7" s="1"/>
  <c r="C4518" i="7"/>
  <c r="D4518" i="7" s="1"/>
  <c r="C4519" i="7"/>
  <c r="D4519" i="7" s="1"/>
  <c r="C4520" i="7"/>
  <c r="D4520" i="7" s="1"/>
  <c r="C4521" i="7"/>
  <c r="D4521" i="7" s="1"/>
  <c r="C4522" i="7"/>
  <c r="D4522" i="7" s="1"/>
  <c r="C4523" i="7"/>
  <c r="D4523" i="7" s="1"/>
  <c r="C4524" i="7"/>
  <c r="D4524" i="7" s="1"/>
  <c r="C4525" i="7"/>
  <c r="D4525" i="7" s="1"/>
  <c r="C4526" i="7"/>
  <c r="D4526" i="7" s="1"/>
  <c r="C4527" i="7"/>
  <c r="D4527" i="7" s="1"/>
  <c r="C4528" i="7"/>
  <c r="D4528" i="7" s="1"/>
  <c r="C4529" i="7"/>
  <c r="D4529" i="7" s="1"/>
  <c r="C4530" i="7"/>
  <c r="D4530" i="7" s="1"/>
  <c r="C4531" i="7"/>
  <c r="D4531" i="7" s="1"/>
  <c r="C4532" i="7"/>
  <c r="D4532" i="7" s="1"/>
  <c r="C4533" i="7"/>
  <c r="D4533" i="7" s="1"/>
  <c r="C4534" i="7"/>
  <c r="D4534" i="7" s="1"/>
  <c r="C4535" i="7"/>
  <c r="D4535" i="7" s="1"/>
  <c r="C4536" i="7"/>
  <c r="D4536" i="7" s="1"/>
  <c r="C4537" i="7"/>
  <c r="D4537" i="7" s="1"/>
  <c r="C4538" i="7"/>
  <c r="D4538" i="7" s="1"/>
  <c r="C4539" i="7"/>
  <c r="D4539" i="7" s="1"/>
  <c r="C4540" i="7"/>
  <c r="D4540" i="7" s="1"/>
  <c r="C4541" i="7"/>
  <c r="D4541" i="7" s="1"/>
  <c r="C4542" i="7"/>
  <c r="D4542" i="7" s="1"/>
  <c r="C4543" i="7"/>
  <c r="D4543" i="7" s="1"/>
  <c r="C4544" i="7"/>
  <c r="D4544" i="7" s="1"/>
  <c r="C4545" i="7"/>
  <c r="D4545" i="7" s="1"/>
  <c r="C4546" i="7"/>
  <c r="D4546" i="7" s="1"/>
  <c r="C4547" i="7"/>
  <c r="D4547" i="7" s="1"/>
  <c r="C4548" i="7"/>
  <c r="D4548" i="7" s="1"/>
  <c r="C4549" i="7"/>
  <c r="D4549" i="7" s="1"/>
  <c r="C4550" i="7"/>
  <c r="D4550" i="7" s="1"/>
  <c r="C4551" i="7"/>
  <c r="D4551" i="7" s="1"/>
  <c r="C4552" i="7"/>
  <c r="D4552" i="7" s="1"/>
  <c r="C4553" i="7"/>
  <c r="D4553" i="7" s="1"/>
  <c r="C4554" i="7"/>
  <c r="D4554" i="7" s="1"/>
  <c r="C4555" i="7"/>
  <c r="D4555" i="7" s="1"/>
  <c r="C4556" i="7"/>
  <c r="D4556" i="7" s="1"/>
  <c r="C4557" i="7"/>
  <c r="D4557" i="7" s="1"/>
  <c r="C4558" i="7"/>
  <c r="D4558" i="7" s="1"/>
  <c r="C4559" i="7"/>
  <c r="D4559" i="7" s="1"/>
  <c r="C4560" i="7"/>
  <c r="D4560" i="7" s="1"/>
  <c r="C4561" i="7"/>
  <c r="D4561" i="7" s="1"/>
  <c r="C4562" i="7"/>
  <c r="D4562" i="7" s="1"/>
  <c r="C4563" i="7"/>
  <c r="D4563" i="7" s="1"/>
  <c r="C4564" i="7"/>
  <c r="D4564" i="7" s="1"/>
  <c r="C4565" i="7"/>
  <c r="D4565" i="7" s="1"/>
  <c r="C4566" i="7"/>
  <c r="D4566" i="7" s="1"/>
  <c r="C4567" i="7"/>
  <c r="D4567" i="7" s="1"/>
  <c r="C4568" i="7"/>
  <c r="D4568" i="7" s="1"/>
  <c r="C4569" i="7"/>
  <c r="D4569" i="7" s="1"/>
  <c r="C4570" i="7"/>
  <c r="D4570" i="7" s="1"/>
  <c r="C4571" i="7"/>
  <c r="D4571" i="7" s="1"/>
  <c r="C4572" i="7"/>
  <c r="D4572" i="7" s="1"/>
  <c r="C4573" i="7"/>
  <c r="D4573" i="7" s="1"/>
  <c r="C4574" i="7"/>
  <c r="D4574" i="7" s="1"/>
  <c r="C4575" i="7"/>
  <c r="D4575" i="7" s="1"/>
  <c r="C4576" i="7"/>
  <c r="D4576" i="7" s="1"/>
  <c r="C4577" i="7"/>
  <c r="D4577" i="7" s="1"/>
  <c r="C4578" i="7"/>
  <c r="D4578" i="7" s="1"/>
  <c r="C4579" i="7"/>
  <c r="D4579" i="7" s="1"/>
  <c r="C4580" i="7"/>
  <c r="D4580" i="7" s="1"/>
  <c r="C4581" i="7"/>
  <c r="D4581" i="7" s="1"/>
  <c r="C4582" i="7"/>
  <c r="D4582" i="7" s="1"/>
  <c r="C4583" i="7"/>
  <c r="D4583" i="7" s="1"/>
  <c r="C4584" i="7"/>
  <c r="D4584" i="7" s="1"/>
  <c r="C4585" i="7"/>
  <c r="D4585" i="7" s="1"/>
  <c r="C4586" i="7"/>
  <c r="D4586" i="7" s="1"/>
  <c r="C4587" i="7"/>
  <c r="D4587" i="7" s="1"/>
  <c r="C4588" i="7"/>
  <c r="D4588" i="7" s="1"/>
  <c r="C4589" i="7"/>
  <c r="D4589" i="7" s="1"/>
  <c r="C4590" i="7"/>
  <c r="D4590" i="7" s="1"/>
  <c r="C4591" i="7"/>
  <c r="D4591" i="7" s="1"/>
  <c r="C4592" i="7"/>
  <c r="D4592" i="7" s="1"/>
  <c r="C4593" i="7"/>
  <c r="D4593" i="7" s="1"/>
  <c r="C4594" i="7"/>
  <c r="D4594" i="7" s="1"/>
  <c r="C4595" i="7"/>
  <c r="D4595" i="7" s="1"/>
  <c r="C4596" i="7"/>
  <c r="D4596" i="7" s="1"/>
  <c r="C4597" i="7"/>
  <c r="D4597" i="7" s="1"/>
  <c r="C4598" i="7"/>
  <c r="D4598" i="7" s="1"/>
  <c r="C4599" i="7"/>
  <c r="D4599" i="7" s="1"/>
  <c r="C4600" i="7"/>
  <c r="D4600" i="7" s="1"/>
  <c r="C4601" i="7"/>
  <c r="D4601" i="7" s="1"/>
  <c r="C4602" i="7"/>
  <c r="D4602" i="7" s="1"/>
  <c r="C4603" i="7"/>
  <c r="D4603" i="7" s="1"/>
  <c r="C4604" i="7"/>
  <c r="D4604" i="7" s="1"/>
  <c r="C4605" i="7"/>
  <c r="D4605" i="7" s="1"/>
  <c r="C4606" i="7"/>
  <c r="D4606" i="7" s="1"/>
  <c r="C4607" i="7"/>
  <c r="D4607" i="7" s="1"/>
  <c r="C4608" i="7"/>
  <c r="D4608" i="7" s="1"/>
  <c r="C4609" i="7"/>
  <c r="D4609" i="7" s="1"/>
  <c r="C4610" i="7"/>
  <c r="D4610" i="7" s="1"/>
  <c r="C4611" i="7"/>
  <c r="D4611" i="7" s="1"/>
  <c r="C4612" i="7"/>
  <c r="D4612" i="7" s="1"/>
  <c r="C4613" i="7"/>
  <c r="D4613" i="7" s="1"/>
  <c r="C4614" i="7"/>
  <c r="D4614" i="7" s="1"/>
  <c r="C4615" i="7"/>
  <c r="D4615" i="7" s="1"/>
  <c r="C4616" i="7"/>
  <c r="D4616" i="7" s="1"/>
  <c r="C4617" i="7"/>
  <c r="D4617" i="7" s="1"/>
  <c r="C4618" i="7"/>
  <c r="D4618" i="7" s="1"/>
  <c r="C4619" i="7"/>
  <c r="D4619" i="7" s="1"/>
  <c r="C4620" i="7"/>
  <c r="D4620" i="7" s="1"/>
  <c r="C4621" i="7"/>
  <c r="D4621" i="7" s="1"/>
  <c r="C4622" i="7"/>
  <c r="D4622" i="7" s="1"/>
  <c r="C4623" i="7"/>
  <c r="D4623" i="7" s="1"/>
  <c r="C4624" i="7"/>
  <c r="D4624" i="7" s="1"/>
  <c r="C4625" i="7"/>
  <c r="D4625" i="7" s="1"/>
  <c r="C4626" i="7"/>
  <c r="D4626" i="7" s="1"/>
  <c r="C4627" i="7"/>
  <c r="D4627" i="7" s="1"/>
  <c r="C4628" i="7"/>
  <c r="D4628" i="7" s="1"/>
  <c r="C4629" i="7"/>
  <c r="D4629" i="7" s="1"/>
  <c r="C4630" i="7"/>
  <c r="D4630" i="7" s="1"/>
  <c r="C4631" i="7"/>
  <c r="D4631" i="7" s="1"/>
  <c r="C4632" i="7"/>
  <c r="D4632" i="7" s="1"/>
  <c r="C4633" i="7"/>
  <c r="D4633" i="7" s="1"/>
  <c r="C4634" i="7"/>
  <c r="D4634" i="7" s="1"/>
  <c r="C4635" i="7"/>
  <c r="D4635" i="7" s="1"/>
  <c r="C4636" i="7"/>
  <c r="D4636" i="7" s="1"/>
  <c r="C4637" i="7"/>
  <c r="D4637" i="7" s="1"/>
  <c r="C4638" i="7"/>
  <c r="D4638" i="7" s="1"/>
  <c r="C4639" i="7"/>
  <c r="D4639" i="7" s="1"/>
  <c r="C4640" i="7"/>
  <c r="D4640" i="7" s="1"/>
  <c r="C4641" i="7"/>
  <c r="D4641" i="7" s="1"/>
  <c r="C4642" i="7"/>
  <c r="D4642" i="7" s="1"/>
  <c r="C4643" i="7"/>
  <c r="D4643" i="7" s="1"/>
  <c r="C4644" i="7"/>
  <c r="D4644" i="7" s="1"/>
  <c r="C4645" i="7"/>
  <c r="D4645" i="7" s="1"/>
  <c r="C4646" i="7"/>
  <c r="D4646" i="7" s="1"/>
  <c r="C4647" i="7"/>
  <c r="D4647" i="7" s="1"/>
  <c r="C4648" i="7"/>
  <c r="D4648" i="7" s="1"/>
  <c r="C4649" i="7"/>
  <c r="D4649" i="7" s="1"/>
  <c r="C4650" i="7"/>
  <c r="D4650" i="7" s="1"/>
  <c r="C4651" i="7"/>
  <c r="D4651" i="7" s="1"/>
  <c r="C4652" i="7"/>
  <c r="D4652" i="7" s="1"/>
  <c r="C4653" i="7"/>
  <c r="D4653" i="7" s="1"/>
  <c r="C4654" i="7"/>
  <c r="D4654" i="7" s="1"/>
  <c r="C4655" i="7"/>
  <c r="D4655" i="7" s="1"/>
  <c r="C4656" i="7"/>
  <c r="D4656" i="7" s="1"/>
  <c r="C4657" i="7"/>
  <c r="D4657" i="7" s="1"/>
  <c r="C4658" i="7"/>
  <c r="D4658" i="7" s="1"/>
  <c r="C4659" i="7"/>
  <c r="D4659" i="7" s="1"/>
  <c r="C4660" i="7"/>
  <c r="D4660" i="7" s="1"/>
  <c r="C4661" i="7"/>
  <c r="D4661" i="7" s="1"/>
  <c r="C4662" i="7"/>
  <c r="D4662" i="7" s="1"/>
  <c r="C4663" i="7"/>
  <c r="D4663" i="7" s="1"/>
  <c r="C4664" i="7"/>
  <c r="D4664" i="7" s="1"/>
  <c r="C4665" i="7"/>
  <c r="D4665" i="7" s="1"/>
  <c r="C4666" i="7"/>
  <c r="D4666" i="7" s="1"/>
  <c r="C4667" i="7"/>
  <c r="D4667" i="7" s="1"/>
  <c r="C4668" i="7"/>
  <c r="D4668" i="7" s="1"/>
  <c r="C4669" i="7"/>
  <c r="D4669" i="7" s="1"/>
  <c r="C4670" i="7"/>
  <c r="D4670" i="7" s="1"/>
  <c r="C4671" i="7"/>
  <c r="D4671" i="7" s="1"/>
  <c r="C4672" i="7"/>
  <c r="D4672" i="7" s="1"/>
  <c r="C4673" i="7"/>
  <c r="D4673" i="7" s="1"/>
  <c r="C4674" i="7"/>
  <c r="D4674" i="7" s="1"/>
  <c r="C4675" i="7"/>
  <c r="D4675" i="7" s="1"/>
  <c r="C4676" i="7"/>
  <c r="D4676" i="7" s="1"/>
  <c r="C4677" i="7"/>
  <c r="D4677" i="7" s="1"/>
  <c r="C4678" i="7"/>
  <c r="D4678" i="7" s="1"/>
  <c r="C4679" i="7"/>
  <c r="D4679" i="7" s="1"/>
  <c r="C4680" i="7"/>
  <c r="D4680" i="7" s="1"/>
  <c r="C4681" i="7"/>
  <c r="D4681" i="7" s="1"/>
  <c r="C4682" i="7"/>
  <c r="D4682" i="7" s="1"/>
  <c r="C4683" i="7"/>
  <c r="D4683" i="7" s="1"/>
  <c r="C4684" i="7"/>
  <c r="D4684" i="7" s="1"/>
  <c r="C4685" i="7"/>
  <c r="D4685" i="7" s="1"/>
  <c r="C4686" i="7"/>
  <c r="D4686" i="7" s="1"/>
  <c r="C4687" i="7"/>
  <c r="D4687" i="7" s="1"/>
  <c r="C4688" i="7"/>
  <c r="D4688" i="7" s="1"/>
  <c r="C4689" i="7"/>
  <c r="D4689" i="7" s="1"/>
  <c r="C4690" i="7"/>
  <c r="D4690" i="7" s="1"/>
  <c r="C4691" i="7"/>
  <c r="D4691" i="7" s="1"/>
  <c r="C4692" i="7"/>
  <c r="D4692" i="7" s="1"/>
  <c r="C4693" i="7"/>
  <c r="D4693" i="7" s="1"/>
  <c r="C4694" i="7"/>
  <c r="D4694" i="7" s="1"/>
  <c r="C4695" i="7"/>
  <c r="D4695" i="7" s="1"/>
  <c r="C4696" i="7"/>
  <c r="D4696" i="7" s="1"/>
  <c r="C4697" i="7"/>
  <c r="D4697" i="7" s="1"/>
  <c r="C4698" i="7"/>
  <c r="D4698" i="7" s="1"/>
  <c r="C4699" i="7"/>
  <c r="D4699" i="7" s="1"/>
  <c r="C4700" i="7"/>
  <c r="D4700" i="7" s="1"/>
  <c r="C4701" i="7"/>
  <c r="D4701" i="7" s="1"/>
  <c r="C4702" i="7"/>
  <c r="D4702" i="7" s="1"/>
  <c r="C4703" i="7"/>
  <c r="D4703" i="7" s="1"/>
  <c r="C4704" i="7"/>
  <c r="D4704" i="7" s="1"/>
  <c r="C4705" i="7"/>
  <c r="D4705" i="7" s="1"/>
  <c r="C4706" i="7"/>
  <c r="D4706" i="7" s="1"/>
  <c r="C4707" i="7"/>
  <c r="D4707" i="7" s="1"/>
  <c r="C4708" i="7"/>
  <c r="D4708" i="7" s="1"/>
  <c r="C4709" i="7"/>
  <c r="D4709" i="7" s="1"/>
  <c r="C4710" i="7"/>
  <c r="D4710" i="7" s="1"/>
  <c r="C4711" i="7"/>
  <c r="D4711" i="7" s="1"/>
  <c r="C4712" i="7"/>
  <c r="D4712" i="7" s="1"/>
  <c r="C4713" i="7"/>
  <c r="D4713" i="7" s="1"/>
  <c r="C4714" i="7"/>
  <c r="D4714" i="7" s="1"/>
  <c r="C4715" i="7"/>
  <c r="D4715" i="7" s="1"/>
  <c r="C4716" i="7"/>
  <c r="D4716" i="7" s="1"/>
  <c r="C4717" i="7"/>
  <c r="D4717" i="7" s="1"/>
  <c r="C4718" i="7"/>
  <c r="D4718" i="7" s="1"/>
  <c r="C4719" i="7"/>
  <c r="D4719" i="7" s="1"/>
  <c r="C4720" i="7"/>
  <c r="D4720" i="7" s="1"/>
  <c r="C4721" i="7"/>
  <c r="D4721" i="7" s="1"/>
  <c r="C4722" i="7"/>
  <c r="D4722" i="7" s="1"/>
  <c r="C4723" i="7"/>
  <c r="D4723" i="7" s="1"/>
  <c r="C4724" i="7"/>
  <c r="D4724" i="7" s="1"/>
  <c r="C4725" i="7"/>
  <c r="D4725" i="7" s="1"/>
  <c r="C4726" i="7"/>
  <c r="D4726" i="7" s="1"/>
  <c r="C4727" i="7"/>
  <c r="D4727" i="7" s="1"/>
  <c r="C4728" i="7"/>
  <c r="D4728" i="7" s="1"/>
  <c r="C4729" i="7"/>
  <c r="D4729" i="7" s="1"/>
  <c r="C4730" i="7"/>
  <c r="D4730" i="7" s="1"/>
  <c r="C4731" i="7"/>
  <c r="D4731" i="7" s="1"/>
  <c r="C4732" i="7"/>
  <c r="D4732" i="7" s="1"/>
  <c r="C4733" i="7"/>
  <c r="D4733" i="7" s="1"/>
  <c r="C4734" i="7"/>
  <c r="D4734" i="7" s="1"/>
  <c r="C4735" i="7"/>
  <c r="D4735" i="7" s="1"/>
  <c r="C4736" i="7"/>
  <c r="D4736" i="7" s="1"/>
  <c r="C4737" i="7"/>
  <c r="D4737" i="7" s="1"/>
  <c r="C4738" i="7"/>
  <c r="D4738" i="7" s="1"/>
  <c r="C4739" i="7"/>
  <c r="D4739" i="7" s="1"/>
  <c r="C4740" i="7"/>
  <c r="D4740" i="7" s="1"/>
  <c r="C4741" i="7"/>
  <c r="D4741" i="7" s="1"/>
  <c r="C4742" i="7"/>
  <c r="D4742" i="7" s="1"/>
  <c r="C4743" i="7"/>
  <c r="D4743" i="7" s="1"/>
  <c r="C4744" i="7"/>
  <c r="D4744" i="7" s="1"/>
  <c r="C4745" i="7"/>
  <c r="D4745" i="7" s="1"/>
  <c r="C4746" i="7"/>
  <c r="D4746" i="7" s="1"/>
  <c r="C4747" i="7"/>
  <c r="D4747" i="7" s="1"/>
  <c r="C4748" i="7"/>
  <c r="D4748" i="7" s="1"/>
  <c r="C4749" i="7"/>
  <c r="D4749" i="7" s="1"/>
  <c r="C4750" i="7"/>
  <c r="D4750" i="7" s="1"/>
  <c r="C4751" i="7"/>
  <c r="D4751" i="7" s="1"/>
  <c r="C4752" i="7"/>
  <c r="D4752" i="7" s="1"/>
  <c r="C4753" i="7"/>
  <c r="D4753" i="7" s="1"/>
  <c r="C4754" i="7"/>
  <c r="D4754" i="7" s="1"/>
  <c r="C4755" i="7"/>
  <c r="D4755" i="7" s="1"/>
  <c r="C4756" i="7"/>
  <c r="D4756" i="7" s="1"/>
  <c r="C4757" i="7"/>
  <c r="D4757" i="7" s="1"/>
  <c r="C4758" i="7"/>
  <c r="D4758" i="7" s="1"/>
  <c r="C4759" i="7"/>
  <c r="D4759" i="7" s="1"/>
  <c r="C4760" i="7"/>
  <c r="D4760" i="7" s="1"/>
  <c r="C4761" i="7"/>
  <c r="D4761" i="7" s="1"/>
  <c r="C4762" i="7"/>
  <c r="D4762" i="7" s="1"/>
  <c r="C4763" i="7"/>
  <c r="D4763" i="7" s="1"/>
  <c r="C4764" i="7"/>
  <c r="D4764" i="7" s="1"/>
  <c r="C4765" i="7"/>
  <c r="D4765" i="7" s="1"/>
  <c r="C4766" i="7"/>
  <c r="D4766" i="7" s="1"/>
  <c r="C4767" i="7"/>
  <c r="D4767" i="7" s="1"/>
  <c r="C4768" i="7"/>
  <c r="D4768" i="7" s="1"/>
  <c r="C4769" i="7"/>
  <c r="D4769" i="7" s="1"/>
  <c r="C4770" i="7"/>
  <c r="D4770" i="7" s="1"/>
  <c r="C4771" i="7"/>
  <c r="D4771" i="7" s="1"/>
  <c r="C4772" i="7"/>
  <c r="D4772" i="7" s="1"/>
  <c r="C4773" i="7"/>
  <c r="D4773" i="7" s="1"/>
  <c r="C4774" i="7"/>
  <c r="D4774" i="7" s="1"/>
  <c r="C4775" i="7"/>
  <c r="D4775" i="7" s="1"/>
  <c r="C4776" i="7"/>
  <c r="D4776" i="7" s="1"/>
  <c r="C4777" i="7"/>
  <c r="D4777" i="7" s="1"/>
  <c r="C4778" i="7"/>
  <c r="D4778" i="7" s="1"/>
  <c r="C4779" i="7"/>
  <c r="D4779" i="7" s="1"/>
  <c r="C4780" i="7"/>
  <c r="D4780" i="7" s="1"/>
  <c r="C4781" i="7"/>
  <c r="D4781" i="7" s="1"/>
  <c r="C4782" i="7"/>
  <c r="D4782" i="7" s="1"/>
  <c r="C4783" i="7"/>
  <c r="D4783" i="7" s="1"/>
  <c r="C4784" i="7"/>
  <c r="D4784" i="7" s="1"/>
  <c r="C4785" i="7"/>
  <c r="D4785" i="7" s="1"/>
  <c r="C4786" i="7"/>
  <c r="D4786" i="7" s="1"/>
  <c r="C4787" i="7"/>
  <c r="D4787" i="7" s="1"/>
  <c r="C4788" i="7"/>
  <c r="D4788" i="7" s="1"/>
  <c r="C4789" i="7"/>
  <c r="D4789" i="7" s="1"/>
  <c r="C4790" i="7"/>
  <c r="D4790" i="7" s="1"/>
  <c r="C4791" i="7"/>
  <c r="D4791" i="7" s="1"/>
  <c r="C4792" i="7"/>
  <c r="D4792" i="7" s="1"/>
  <c r="C4793" i="7"/>
  <c r="D4793" i="7" s="1"/>
  <c r="C4794" i="7"/>
  <c r="D4794" i="7" s="1"/>
  <c r="C4795" i="7"/>
  <c r="D4795" i="7" s="1"/>
  <c r="C4796" i="7"/>
  <c r="D4796" i="7" s="1"/>
  <c r="C4797" i="7"/>
  <c r="D4797" i="7" s="1"/>
  <c r="C4798" i="7"/>
  <c r="D4798" i="7" s="1"/>
  <c r="C4799" i="7"/>
  <c r="D4799" i="7" s="1"/>
  <c r="C4800" i="7"/>
  <c r="D4800" i="7" s="1"/>
  <c r="C4801" i="7"/>
  <c r="D4801" i="7" s="1"/>
  <c r="C4802" i="7"/>
  <c r="D4802" i="7" s="1"/>
  <c r="C4803" i="7"/>
  <c r="D4803" i="7" s="1"/>
  <c r="C4804" i="7"/>
  <c r="D4804" i="7" s="1"/>
  <c r="C4805" i="7"/>
  <c r="D4805" i="7" s="1"/>
  <c r="C4806" i="7"/>
  <c r="D4806" i="7" s="1"/>
  <c r="C4807" i="7"/>
  <c r="D4807" i="7" s="1"/>
  <c r="C4808" i="7"/>
  <c r="D4808" i="7" s="1"/>
  <c r="C4809" i="7"/>
  <c r="D4809" i="7" s="1"/>
  <c r="C4810" i="7"/>
  <c r="D4810" i="7" s="1"/>
  <c r="C4811" i="7"/>
  <c r="D4811" i="7" s="1"/>
  <c r="C4812" i="7"/>
  <c r="D4812" i="7" s="1"/>
  <c r="C4813" i="7"/>
  <c r="D4813" i="7" s="1"/>
  <c r="C4814" i="7"/>
  <c r="D4814" i="7" s="1"/>
  <c r="C4815" i="7"/>
  <c r="D4815" i="7" s="1"/>
  <c r="C4816" i="7"/>
  <c r="D4816" i="7" s="1"/>
  <c r="C4817" i="7"/>
  <c r="D4817" i="7" s="1"/>
  <c r="C4818" i="7"/>
  <c r="D4818" i="7" s="1"/>
  <c r="C4819" i="7"/>
  <c r="D4819" i="7" s="1"/>
  <c r="C4820" i="7"/>
  <c r="D4820" i="7" s="1"/>
  <c r="C4821" i="7"/>
  <c r="D4821" i="7" s="1"/>
  <c r="C4822" i="7"/>
  <c r="D4822" i="7" s="1"/>
  <c r="C4823" i="7"/>
  <c r="D4823" i="7" s="1"/>
  <c r="C4824" i="7"/>
  <c r="D4824" i="7" s="1"/>
  <c r="C4825" i="7"/>
  <c r="D4825" i="7" s="1"/>
  <c r="C4826" i="7"/>
  <c r="D4826" i="7" s="1"/>
  <c r="C4827" i="7"/>
  <c r="D4827" i="7" s="1"/>
  <c r="C4828" i="7"/>
  <c r="D4828" i="7" s="1"/>
  <c r="C4829" i="7"/>
  <c r="D4829" i="7" s="1"/>
  <c r="C4830" i="7"/>
  <c r="D4830" i="7" s="1"/>
  <c r="C4831" i="7"/>
  <c r="D4831" i="7" s="1"/>
  <c r="C4832" i="7"/>
  <c r="D4832" i="7" s="1"/>
  <c r="C4833" i="7"/>
  <c r="D4833" i="7" s="1"/>
  <c r="C4834" i="7"/>
  <c r="D4834" i="7" s="1"/>
  <c r="C4835" i="7"/>
  <c r="D4835" i="7" s="1"/>
  <c r="C4836" i="7"/>
  <c r="D4836" i="7" s="1"/>
  <c r="C4837" i="7"/>
  <c r="D4837" i="7" s="1"/>
  <c r="C4838" i="7"/>
  <c r="D4838" i="7" s="1"/>
  <c r="C4839" i="7"/>
  <c r="D4839" i="7" s="1"/>
  <c r="C4840" i="7"/>
  <c r="D4840" i="7" s="1"/>
  <c r="C4841" i="7"/>
  <c r="D4841" i="7" s="1"/>
  <c r="C4842" i="7"/>
  <c r="D4842" i="7" s="1"/>
  <c r="C4843" i="7"/>
  <c r="D4843" i="7" s="1"/>
  <c r="C4844" i="7"/>
  <c r="D4844" i="7" s="1"/>
  <c r="C4845" i="7"/>
  <c r="D4845" i="7" s="1"/>
  <c r="C4846" i="7"/>
  <c r="D4846" i="7" s="1"/>
  <c r="C4847" i="7"/>
  <c r="D4847" i="7" s="1"/>
  <c r="C4848" i="7"/>
  <c r="D4848" i="7" s="1"/>
  <c r="C4849" i="7"/>
  <c r="D4849" i="7" s="1"/>
  <c r="C4850" i="7"/>
  <c r="D4850" i="7" s="1"/>
  <c r="C4851" i="7"/>
  <c r="D4851" i="7" s="1"/>
  <c r="C4852" i="7"/>
  <c r="D4852" i="7" s="1"/>
  <c r="C4853" i="7"/>
  <c r="D4853" i="7" s="1"/>
  <c r="C4854" i="7"/>
  <c r="D4854" i="7" s="1"/>
  <c r="C4855" i="7"/>
  <c r="D4855" i="7" s="1"/>
  <c r="C4856" i="7"/>
  <c r="D4856" i="7" s="1"/>
  <c r="C4857" i="7"/>
  <c r="D4857" i="7" s="1"/>
  <c r="C4858" i="7"/>
  <c r="D4858" i="7" s="1"/>
  <c r="C4859" i="7"/>
  <c r="D4859" i="7" s="1"/>
  <c r="C4860" i="7"/>
  <c r="D4860" i="7" s="1"/>
  <c r="C4861" i="7"/>
  <c r="D4861" i="7" s="1"/>
  <c r="C4862" i="7"/>
  <c r="D4862" i="7" s="1"/>
  <c r="C4863" i="7"/>
  <c r="D4863" i="7" s="1"/>
  <c r="C4864" i="7"/>
  <c r="D4864" i="7" s="1"/>
  <c r="C4865" i="7"/>
  <c r="D4865" i="7" s="1"/>
  <c r="C4866" i="7"/>
  <c r="D4866" i="7" s="1"/>
  <c r="C4867" i="7"/>
  <c r="D4867" i="7" s="1"/>
  <c r="C4868" i="7"/>
  <c r="D4868" i="7" s="1"/>
  <c r="C4869" i="7"/>
  <c r="D4869" i="7" s="1"/>
  <c r="C4870" i="7"/>
  <c r="D4870" i="7" s="1"/>
  <c r="C4871" i="7"/>
  <c r="D4871" i="7" s="1"/>
  <c r="C4872" i="7"/>
  <c r="D4872" i="7" s="1"/>
  <c r="C4873" i="7"/>
  <c r="D4873" i="7" s="1"/>
  <c r="C4874" i="7"/>
  <c r="D4874" i="7" s="1"/>
  <c r="C4875" i="7"/>
  <c r="D4875" i="7" s="1"/>
  <c r="C4876" i="7"/>
  <c r="D4876" i="7" s="1"/>
  <c r="C4877" i="7"/>
  <c r="D4877" i="7" s="1"/>
  <c r="C4878" i="7"/>
  <c r="D4878" i="7" s="1"/>
  <c r="C4879" i="7"/>
  <c r="D4879" i="7" s="1"/>
  <c r="C4880" i="7"/>
  <c r="D4880" i="7" s="1"/>
  <c r="C4881" i="7"/>
  <c r="D4881" i="7" s="1"/>
  <c r="C4882" i="7"/>
  <c r="D4882" i="7" s="1"/>
  <c r="C4883" i="7"/>
  <c r="D4883" i="7" s="1"/>
  <c r="C4884" i="7"/>
  <c r="D4884" i="7" s="1"/>
  <c r="C4885" i="7"/>
  <c r="D4885" i="7" s="1"/>
  <c r="C4886" i="7"/>
  <c r="D4886" i="7" s="1"/>
  <c r="C4887" i="7"/>
  <c r="D4887" i="7" s="1"/>
  <c r="C4888" i="7"/>
  <c r="D4888" i="7" s="1"/>
  <c r="C4889" i="7"/>
  <c r="D4889" i="7" s="1"/>
  <c r="C4890" i="7"/>
  <c r="D4890" i="7" s="1"/>
  <c r="C4891" i="7"/>
  <c r="D4891" i="7" s="1"/>
  <c r="C4892" i="7"/>
  <c r="D4892" i="7" s="1"/>
  <c r="C4893" i="7"/>
  <c r="D4893" i="7" s="1"/>
  <c r="C4894" i="7"/>
  <c r="D4894" i="7" s="1"/>
  <c r="C4895" i="7"/>
  <c r="D4895" i="7" s="1"/>
  <c r="C4896" i="7"/>
  <c r="D4896" i="7" s="1"/>
  <c r="C4897" i="7"/>
  <c r="D4897" i="7" s="1"/>
  <c r="C4898" i="7"/>
  <c r="D4898" i="7" s="1"/>
  <c r="C4899" i="7"/>
  <c r="D4899" i="7" s="1"/>
  <c r="C4900" i="7"/>
  <c r="D4900" i="7" s="1"/>
  <c r="C4901" i="7"/>
  <c r="D4901" i="7" s="1"/>
  <c r="C4902" i="7"/>
  <c r="D4902" i="7" s="1"/>
  <c r="C4903" i="7"/>
  <c r="D4903" i="7" s="1"/>
  <c r="C4904" i="7"/>
  <c r="D4904" i="7" s="1"/>
  <c r="C4905" i="7"/>
  <c r="D4905" i="7" s="1"/>
  <c r="C4906" i="7"/>
  <c r="D4906" i="7" s="1"/>
  <c r="C4907" i="7"/>
  <c r="D4907" i="7" s="1"/>
  <c r="C4908" i="7"/>
  <c r="D4908" i="7" s="1"/>
  <c r="C4909" i="7"/>
  <c r="D4909" i="7" s="1"/>
  <c r="C4910" i="7"/>
  <c r="D4910" i="7" s="1"/>
  <c r="C4911" i="7"/>
  <c r="D4911" i="7" s="1"/>
  <c r="C4912" i="7"/>
  <c r="D4912" i="7" s="1"/>
  <c r="C4913" i="7"/>
  <c r="D4913" i="7" s="1"/>
  <c r="C4914" i="7"/>
  <c r="D4914" i="7" s="1"/>
  <c r="C4915" i="7"/>
  <c r="D4915" i="7" s="1"/>
  <c r="C4916" i="7"/>
  <c r="D4916" i="7" s="1"/>
  <c r="C4917" i="7"/>
  <c r="D4917" i="7" s="1"/>
  <c r="C4918" i="7"/>
  <c r="D4918" i="7" s="1"/>
  <c r="C4919" i="7"/>
  <c r="D4919" i="7" s="1"/>
  <c r="C4920" i="7"/>
  <c r="D4920" i="7" s="1"/>
  <c r="C4921" i="7"/>
  <c r="D4921" i="7" s="1"/>
  <c r="C4922" i="7"/>
  <c r="D4922" i="7" s="1"/>
  <c r="C4923" i="7"/>
  <c r="D4923" i="7" s="1"/>
  <c r="C4924" i="7"/>
  <c r="D4924" i="7" s="1"/>
  <c r="C4925" i="7"/>
  <c r="D4925" i="7" s="1"/>
  <c r="C4926" i="7"/>
  <c r="D4926" i="7" s="1"/>
  <c r="C4927" i="7"/>
  <c r="D4927" i="7" s="1"/>
  <c r="C4928" i="7"/>
  <c r="D4928" i="7" s="1"/>
  <c r="C4929" i="7"/>
  <c r="D4929" i="7" s="1"/>
  <c r="C4930" i="7"/>
  <c r="D4930" i="7" s="1"/>
  <c r="C4931" i="7"/>
  <c r="D4931" i="7" s="1"/>
  <c r="C4932" i="7"/>
  <c r="D4932" i="7" s="1"/>
  <c r="C4933" i="7"/>
  <c r="D4933" i="7" s="1"/>
  <c r="C4934" i="7"/>
  <c r="D4934" i="7" s="1"/>
  <c r="C4935" i="7"/>
  <c r="D4935" i="7" s="1"/>
  <c r="C4936" i="7"/>
  <c r="D4936" i="7" s="1"/>
  <c r="C4937" i="7"/>
  <c r="D4937" i="7" s="1"/>
  <c r="C4938" i="7"/>
  <c r="D4938" i="7" s="1"/>
  <c r="C4939" i="7"/>
  <c r="D4939" i="7" s="1"/>
  <c r="C4940" i="7"/>
  <c r="D4940" i="7" s="1"/>
  <c r="C4941" i="7"/>
  <c r="D4941" i="7" s="1"/>
  <c r="C4942" i="7"/>
  <c r="D4942" i="7" s="1"/>
  <c r="C4943" i="7"/>
  <c r="D4943" i="7" s="1"/>
  <c r="C4944" i="7"/>
  <c r="D4944" i="7" s="1"/>
  <c r="C4945" i="7"/>
  <c r="D4945" i="7" s="1"/>
  <c r="C4946" i="7"/>
  <c r="D4946" i="7" s="1"/>
  <c r="C4947" i="7"/>
  <c r="D4947" i="7" s="1"/>
  <c r="C4948" i="7"/>
  <c r="D4948" i="7" s="1"/>
  <c r="C4949" i="7"/>
  <c r="D4949" i="7" s="1"/>
  <c r="C4950" i="7"/>
  <c r="D4950" i="7" s="1"/>
  <c r="C4951" i="7"/>
  <c r="D4951" i="7" s="1"/>
  <c r="C4952" i="7"/>
  <c r="D4952" i="7" s="1"/>
  <c r="C4953" i="7"/>
  <c r="D4953" i="7" s="1"/>
  <c r="C4954" i="7"/>
  <c r="D4954" i="7" s="1"/>
  <c r="C4955" i="7"/>
  <c r="D4955" i="7" s="1"/>
  <c r="C4956" i="7"/>
  <c r="D4956" i="7" s="1"/>
  <c r="C4957" i="7"/>
  <c r="D4957" i="7" s="1"/>
  <c r="C4958" i="7"/>
  <c r="D4958" i="7" s="1"/>
  <c r="C4959" i="7"/>
  <c r="D4959" i="7" s="1"/>
  <c r="C4960" i="7"/>
  <c r="D4960" i="7" s="1"/>
  <c r="C4961" i="7"/>
  <c r="D4961" i="7" s="1"/>
  <c r="C4962" i="7"/>
  <c r="D4962" i="7" s="1"/>
  <c r="C4963" i="7"/>
  <c r="D4963" i="7" s="1"/>
  <c r="C4964" i="7"/>
  <c r="D4964" i="7" s="1"/>
  <c r="C4965" i="7"/>
  <c r="D4965" i="7" s="1"/>
  <c r="C4966" i="7"/>
  <c r="D4966" i="7" s="1"/>
  <c r="C4967" i="7"/>
  <c r="D4967" i="7" s="1"/>
  <c r="C4968" i="7"/>
  <c r="D4968" i="7" s="1"/>
  <c r="C4969" i="7"/>
  <c r="D4969" i="7" s="1"/>
  <c r="C4970" i="7"/>
  <c r="D4970" i="7" s="1"/>
  <c r="C4971" i="7"/>
  <c r="D4971" i="7" s="1"/>
  <c r="C4972" i="7"/>
  <c r="D4972" i="7" s="1"/>
  <c r="C4973" i="7"/>
  <c r="D4973" i="7" s="1"/>
  <c r="C4974" i="7"/>
  <c r="D4974" i="7" s="1"/>
  <c r="C4975" i="7"/>
  <c r="D4975" i="7" s="1"/>
  <c r="C4976" i="7"/>
  <c r="D4976" i="7" s="1"/>
  <c r="C4977" i="7"/>
  <c r="D4977" i="7" s="1"/>
  <c r="C4978" i="7"/>
  <c r="D4978" i="7" s="1"/>
  <c r="C4979" i="7"/>
  <c r="D4979" i="7" s="1"/>
  <c r="C4980" i="7"/>
  <c r="D4980" i="7" s="1"/>
  <c r="C4981" i="7"/>
  <c r="D4981" i="7" s="1"/>
  <c r="C4982" i="7"/>
  <c r="D4982" i="7" s="1"/>
  <c r="C4983" i="7"/>
  <c r="D4983" i="7" s="1"/>
  <c r="C4984" i="7"/>
  <c r="D4984" i="7" s="1"/>
  <c r="C4985" i="7"/>
  <c r="D4985" i="7" s="1"/>
  <c r="C4986" i="7"/>
  <c r="D4986" i="7" s="1"/>
  <c r="C4987" i="7"/>
  <c r="D4987" i="7" s="1"/>
  <c r="C4988" i="7"/>
  <c r="D4988" i="7" s="1"/>
  <c r="C4989" i="7"/>
  <c r="D4989" i="7" s="1"/>
  <c r="C4990" i="7"/>
  <c r="D4990" i="7" s="1"/>
  <c r="C4991" i="7"/>
  <c r="D4991" i="7" s="1"/>
  <c r="C4992" i="7"/>
  <c r="D4992" i="7" s="1"/>
  <c r="C4993" i="7"/>
  <c r="D4993" i="7" s="1"/>
  <c r="C4994" i="7"/>
  <c r="D4994" i="7" s="1"/>
  <c r="C4995" i="7"/>
  <c r="D4995" i="7" s="1"/>
  <c r="C4996" i="7"/>
  <c r="D4996" i="7" s="1"/>
  <c r="C4997" i="7"/>
  <c r="D4997" i="7" s="1"/>
  <c r="C4998" i="7"/>
  <c r="D4998" i="7" s="1"/>
  <c r="C4999" i="7"/>
  <c r="D4999" i="7" s="1"/>
  <c r="C5000" i="7"/>
  <c r="D5000" i="7" s="1"/>
  <c r="C5001" i="7"/>
  <c r="D5001" i="7" s="1"/>
  <c r="C5002" i="7"/>
  <c r="D5002" i="7" s="1"/>
  <c r="C5003" i="7"/>
  <c r="D5003" i="7" s="1"/>
  <c r="C5004" i="7"/>
  <c r="D5004" i="7" s="1"/>
  <c r="C5005" i="7"/>
  <c r="D5005" i="7" s="1"/>
  <c r="C5006" i="7"/>
  <c r="D5006" i="7" s="1"/>
  <c r="C5007" i="7"/>
  <c r="D5007" i="7" s="1"/>
  <c r="C5008" i="7"/>
  <c r="D5008" i="7" s="1"/>
  <c r="C5009" i="7"/>
  <c r="D5009" i="7" s="1"/>
  <c r="C5010" i="7"/>
  <c r="D5010" i="7" s="1"/>
  <c r="C5011" i="7"/>
  <c r="D5011" i="7" s="1"/>
  <c r="C5012" i="7"/>
  <c r="D5012" i="7" s="1"/>
  <c r="C5013" i="7"/>
  <c r="D5013" i="7" s="1"/>
  <c r="C5014" i="7"/>
  <c r="D5014" i="7" s="1"/>
  <c r="C5015" i="7"/>
  <c r="D5015" i="7" s="1"/>
  <c r="C5016" i="7"/>
  <c r="D5016" i="7" s="1"/>
  <c r="C5017" i="7"/>
  <c r="D5017" i="7" s="1"/>
  <c r="C5018" i="7"/>
  <c r="D5018" i="7" s="1"/>
  <c r="C5019" i="7"/>
  <c r="D5019" i="7" s="1"/>
  <c r="C5020" i="7"/>
  <c r="D5020" i="7" s="1"/>
  <c r="C5021" i="7"/>
  <c r="D5021" i="7" s="1"/>
  <c r="C5022" i="7"/>
  <c r="D5022" i="7" s="1"/>
  <c r="C5023" i="7"/>
  <c r="D5023" i="7" s="1"/>
  <c r="C5024" i="7"/>
  <c r="D5024" i="7" s="1"/>
  <c r="C5025" i="7"/>
  <c r="D5025" i="7" s="1"/>
  <c r="C5026" i="7"/>
  <c r="D5026" i="7" s="1"/>
  <c r="C5027" i="7"/>
  <c r="D5027" i="7" s="1"/>
  <c r="C5028" i="7"/>
  <c r="D5028" i="7" s="1"/>
  <c r="C5029" i="7"/>
  <c r="D5029" i="7" s="1"/>
  <c r="C5030" i="7"/>
  <c r="D5030" i="7" s="1"/>
  <c r="C5031" i="7"/>
  <c r="D5031" i="7" s="1"/>
  <c r="C5032" i="7"/>
  <c r="D5032" i="7" s="1"/>
  <c r="C5033" i="7"/>
  <c r="D5033" i="7" s="1"/>
  <c r="C5034" i="7"/>
  <c r="D5034" i="7" s="1"/>
  <c r="C5035" i="7"/>
  <c r="D5035" i="7" s="1"/>
  <c r="C5036" i="7"/>
  <c r="D5036" i="7" s="1"/>
  <c r="C5037" i="7"/>
  <c r="D5037" i="7" s="1"/>
  <c r="C5038" i="7"/>
  <c r="D5038" i="7" s="1"/>
  <c r="C5039" i="7"/>
  <c r="D5039" i="7" s="1"/>
  <c r="C5040" i="7"/>
  <c r="D5040" i="7" s="1"/>
  <c r="C5041" i="7"/>
  <c r="D5041" i="7" s="1"/>
  <c r="C5042" i="7"/>
  <c r="D5042" i="7" s="1"/>
  <c r="C5043" i="7"/>
  <c r="D5043" i="7" s="1"/>
  <c r="C5044" i="7"/>
  <c r="D5044" i="7" s="1"/>
  <c r="C5045" i="7"/>
  <c r="D5045" i="7" s="1"/>
  <c r="C5046" i="7"/>
  <c r="D5046" i="7" s="1"/>
  <c r="C5047" i="7"/>
  <c r="D5047" i="7" s="1"/>
  <c r="C5048" i="7"/>
  <c r="D5048" i="7" s="1"/>
  <c r="C5049" i="7"/>
  <c r="D5049" i="7" s="1"/>
  <c r="C5050" i="7"/>
  <c r="D5050" i="7" s="1"/>
  <c r="C5051" i="7"/>
  <c r="D5051" i="7" s="1"/>
  <c r="C5052" i="7"/>
  <c r="D5052" i="7" s="1"/>
  <c r="C5053" i="7"/>
  <c r="D5053" i="7" s="1"/>
  <c r="C5054" i="7"/>
  <c r="D5054" i="7" s="1"/>
  <c r="C5055" i="7"/>
  <c r="D5055" i="7" s="1"/>
  <c r="C5056" i="7"/>
  <c r="D5056" i="7" s="1"/>
  <c r="C5057" i="7"/>
  <c r="D5057" i="7" s="1"/>
  <c r="C5058" i="7"/>
  <c r="D5058" i="7" s="1"/>
  <c r="C5059" i="7"/>
  <c r="D5059" i="7" s="1"/>
  <c r="C5060" i="7"/>
  <c r="D5060" i="7" s="1"/>
  <c r="C5061" i="7"/>
  <c r="D5061" i="7" s="1"/>
  <c r="C5062" i="7"/>
  <c r="D5062" i="7" s="1"/>
  <c r="C5063" i="7"/>
  <c r="D5063" i="7" s="1"/>
  <c r="C5064" i="7"/>
  <c r="D5064" i="7" s="1"/>
  <c r="C5065" i="7"/>
  <c r="D5065" i="7" s="1"/>
  <c r="C5066" i="7"/>
  <c r="D5066" i="7" s="1"/>
  <c r="C5067" i="7"/>
  <c r="D5067" i="7" s="1"/>
  <c r="C5068" i="7"/>
  <c r="D5068" i="7" s="1"/>
  <c r="C5069" i="7"/>
  <c r="D5069" i="7" s="1"/>
  <c r="C5070" i="7"/>
  <c r="D5070" i="7" s="1"/>
  <c r="C5071" i="7"/>
  <c r="D5071" i="7" s="1"/>
  <c r="C5072" i="7"/>
  <c r="D5072" i="7" s="1"/>
  <c r="C5073" i="7"/>
  <c r="D5073" i="7" s="1"/>
  <c r="C5074" i="7"/>
  <c r="D5074" i="7" s="1"/>
  <c r="C5075" i="7"/>
  <c r="D5075" i="7" s="1"/>
  <c r="C5076" i="7"/>
  <c r="D5076" i="7" s="1"/>
  <c r="C5077" i="7"/>
  <c r="D5077" i="7" s="1"/>
  <c r="C5078" i="7"/>
  <c r="D5078" i="7" s="1"/>
  <c r="C5079" i="7"/>
  <c r="D5079" i="7" s="1"/>
  <c r="C5080" i="7"/>
  <c r="D5080" i="7" s="1"/>
  <c r="C5081" i="7"/>
  <c r="D5081" i="7" s="1"/>
  <c r="C5082" i="7"/>
  <c r="D5082" i="7" s="1"/>
  <c r="C5083" i="7"/>
  <c r="D5083" i="7" s="1"/>
  <c r="C5084" i="7"/>
  <c r="D5084" i="7" s="1"/>
  <c r="C5085" i="7"/>
  <c r="D5085" i="7" s="1"/>
  <c r="C5086" i="7"/>
  <c r="D5086" i="7" s="1"/>
  <c r="C5087" i="7"/>
  <c r="D5087" i="7" s="1"/>
  <c r="C5088" i="7"/>
  <c r="D5088" i="7" s="1"/>
  <c r="C5089" i="7"/>
  <c r="D5089" i="7" s="1"/>
  <c r="C5090" i="7"/>
  <c r="D5090" i="7" s="1"/>
  <c r="C5091" i="7"/>
  <c r="D5091" i="7" s="1"/>
  <c r="C5092" i="7"/>
  <c r="D5092" i="7" s="1"/>
  <c r="C5093" i="7"/>
  <c r="D5093" i="7" s="1"/>
  <c r="C5094" i="7"/>
  <c r="D5094" i="7" s="1"/>
  <c r="C5095" i="7"/>
  <c r="D5095" i="7" s="1"/>
  <c r="C5096" i="7"/>
  <c r="D5096" i="7" s="1"/>
  <c r="C5097" i="7"/>
  <c r="D5097" i="7" s="1"/>
  <c r="C5098" i="7"/>
  <c r="D5098" i="7" s="1"/>
  <c r="C5099" i="7"/>
  <c r="D5099" i="7" s="1"/>
  <c r="C5100" i="7"/>
  <c r="D5100" i="7" s="1"/>
  <c r="C5101" i="7"/>
  <c r="D5101" i="7" s="1"/>
  <c r="C5102" i="7"/>
  <c r="D5102" i="7" s="1"/>
  <c r="C5103" i="7"/>
  <c r="D5103" i="7" s="1"/>
  <c r="C5104" i="7"/>
  <c r="D5104" i="7" s="1"/>
  <c r="C5105" i="7"/>
  <c r="D5105" i="7" s="1"/>
  <c r="C5106" i="7"/>
  <c r="D5106" i="7" s="1"/>
  <c r="C5107" i="7"/>
  <c r="D5107" i="7" s="1"/>
  <c r="C5108" i="7"/>
  <c r="D5108" i="7" s="1"/>
  <c r="C5109" i="7"/>
  <c r="D5109" i="7" s="1"/>
  <c r="C5110" i="7"/>
  <c r="D5110" i="7" s="1"/>
  <c r="C5111" i="7"/>
  <c r="D5111" i="7" s="1"/>
  <c r="C5112" i="7"/>
  <c r="D5112" i="7" s="1"/>
  <c r="C5113" i="7"/>
  <c r="D5113" i="7" s="1"/>
  <c r="C5114" i="7"/>
  <c r="D5114" i="7" s="1"/>
  <c r="C5115" i="7"/>
  <c r="D5115" i="7" s="1"/>
  <c r="C5116" i="7"/>
  <c r="D5116" i="7" s="1"/>
  <c r="C5117" i="7"/>
  <c r="D5117" i="7" s="1"/>
  <c r="C5118" i="7"/>
  <c r="D5118" i="7" s="1"/>
  <c r="C5119" i="7"/>
  <c r="D5119" i="7" s="1"/>
  <c r="C5120" i="7"/>
  <c r="D5120" i="7" s="1"/>
  <c r="C5121" i="7"/>
  <c r="D5121" i="7" s="1"/>
  <c r="C5122" i="7"/>
  <c r="D5122" i="7" s="1"/>
  <c r="C5123" i="7"/>
  <c r="D5123" i="7" s="1"/>
  <c r="C5124" i="7"/>
  <c r="D5124" i="7" s="1"/>
  <c r="C5125" i="7"/>
  <c r="D5125" i="7" s="1"/>
  <c r="C5126" i="7"/>
  <c r="D5126" i="7" s="1"/>
  <c r="C5127" i="7"/>
  <c r="D5127" i="7" s="1"/>
  <c r="C5128" i="7"/>
  <c r="D5128" i="7" s="1"/>
  <c r="C5129" i="7"/>
  <c r="D5129" i="7" s="1"/>
  <c r="C5130" i="7"/>
  <c r="D5130" i="7" s="1"/>
  <c r="C5131" i="7"/>
  <c r="D5131" i="7" s="1"/>
  <c r="C5132" i="7"/>
  <c r="D5132" i="7" s="1"/>
  <c r="C5133" i="7"/>
  <c r="D5133" i="7" s="1"/>
  <c r="C5134" i="7"/>
  <c r="D5134" i="7" s="1"/>
  <c r="C5135" i="7"/>
  <c r="D5135" i="7" s="1"/>
  <c r="C5136" i="7"/>
  <c r="D5136" i="7" s="1"/>
  <c r="C5137" i="7"/>
  <c r="D5137" i="7" s="1"/>
  <c r="C5138" i="7"/>
  <c r="D5138" i="7" s="1"/>
  <c r="C5139" i="7"/>
  <c r="D5139" i="7" s="1"/>
  <c r="C5140" i="7"/>
  <c r="D5140" i="7" s="1"/>
  <c r="C5141" i="7"/>
  <c r="D5141" i="7" s="1"/>
  <c r="C5142" i="7"/>
  <c r="D5142" i="7" s="1"/>
  <c r="C5143" i="7"/>
  <c r="D5143" i="7" s="1"/>
  <c r="C5144" i="7"/>
  <c r="D5144" i="7" s="1"/>
  <c r="C5145" i="7"/>
  <c r="D5145" i="7" s="1"/>
  <c r="C5146" i="7"/>
  <c r="D5146" i="7" s="1"/>
  <c r="C5147" i="7"/>
  <c r="D5147" i="7" s="1"/>
  <c r="C5148" i="7"/>
  <c r="D5148" i="7" s="1"/>
  <c r="C5149" i="7"/>
  <c r="D5149" i="7" s="1"/>
  <c r="C5150" i="7"/>
  <c r="D5150" i="7" s="1"/>
  <c r="C5151" i="7"/>
  <c r="D5151" i="7" s="1"/>
  <c r="C5152" i="7"/>
  <c r="D5152" i="7" s="1"/>
  <c r="C5153" i="7"/>
  <c r="D5153" i="7" s="1"/>
  <c r="C5154" i="7"/>
  <c r="D5154" i="7" s="1"/>
  <c r="C5155" i="7"/>
  <c r="D5155" i="7" s="1"/>
  <c r="C5156" i="7"/>
  <c r="D5156" i="7" s="1"/>
  <c r="C5157" i="7"/>
  <c r="D5157" i="7" s="1"/>
  <c r="C5158" i="7"/>
  <c r="D5158" i="7" s="1"/>
  <c r="C5159" i="7"/>
  <c r="D5159" i="7" s="1"/>
  <c r="C5160" i="7"/>
  <c r="D5160" i="7" s="1"/>
  <c r="C5161" i="7"/>
  <c r="D5161" i="7" s="1"/>
  <c r="C5162" i="7"/>
  <c r="D5162" i="7" s="1"/>
  <c r="C5163" i="7"/>
  <c r="D5163" i="7" s="1"/>
  <c r="C5164" i="7"/>
  <c r="D5164" i="7" s="1"/>
  <c r="C5165" i="7"/>
  <c r="D5165" i="7" s="1"/>
  <c r="C5166" i="7"/>
  <c r="D5166" i="7" s="1"/>
  <c r="C5167" i="7"/>
  <c r="D5167" i="7" s="1"/>
  <c r="C5168" i="7"/>
  <c r="D5168" i="7" s="1"/>
  <c r="C5169" i="7"/>
  <c r="D5169" i="7" s="1"/>
  <c r="C5170" i="7"/>
  <c r="D5170" i="7" s="1"/>
  <c r="C5171" i="7"/>
  <c r="D5171" i="7" s="1"/>
  <c r="C5172" i="7"/>
  <c r="D5172" i="7" s="1"/>
  <c r="C5173" i="7"/>
  <c r="D5173" i="7" s="1"/>
  <c r="C5174" i="7"/>
  <c r="D5174" i="7" s="1"/>
  <c r="C5175" i="7"/>
  <c r="D5175" i="7" s="1"/>
  <c r="C5176" i="7"/>
  <c r="D5176" i="7" s="1"/>
  <c r="C5177" i="7"/>
  <c r="D5177" i="7" s="1"/>
  <c r="C5178" i="7"/>
  <c r="D5178" i="7" s="1"/>
  <c r="C5179" i="7"/>
  <c r="D5179" i="7" s="1"/>
  <c r="C5180" i="7"/>
  <c r="D5180" i="7" s="1"/>
  <c r="C5181" i="7"/>
  <c r="D5181" i="7" s="1"/>
  <c r="C5182" i="7"/>
  <c r="D5182" i="7" s="1"/>
  <c r="C5183" i="7"/>
  <c r="D5183" i="7" s="1"/>
  <c r="C5184" i="7"/>
  <c r="D5184" i="7" s="1"/>
  <c r="C5185" i="7"/>
  <c r="D5185" i="7" s="1"/>
  <c r="C5186" i="7"/>
  <c r="D5186" i="7" s="1"/>
  <c r="C5187" i="7"/>
  <c r="D5187" i="7" s="1"/>
  <c r="C5188" i="7"/>
  <c r="D5188" i="7" s="1"/>
  <c r="C5189" i="7"/>
  <c r="D5189" i="7" s="1"/>
  <c r="C5190" i="7"/>
  <c r="D5190" i="7" s="1"/>
  <c r="C5191" i="7"/>
  <c r="D5191" i="7" s="1"/>
  <c r="C5192" i="7"/>
  <c r="D5192" i="7" s="1"/>
  <c r="C5193" i="7"/>
  <c r="D5193" i="7" s="1"/>
  <c r="C5194" i="7"/>
  <c r="D5194" i="7" s="1"/>
  <c r="C5195" i="7"/>
  <c r="D5195" i="7" s="1"/>
  <c r="C5196" i="7"/>
  <c r="D5196" i="7" s="1"/>
  <c r="C5197" i="7"/>
  <c r="D5197" i="7" s="1"/>
  <c r="C5198" i="7"/>
  <c r="D5198" i="7" s="1"/>
  <c r="C5199" i="7"/>
  <c r="D5199" i="7" s="1"/>
  <c r="C5200" i="7"/>
  <c r="D5200" i="7" s="1"/>
  <c r="C5201" i="7"/>
  <c r="D5201" i="7" s="1"/>
  <c r="C5202" i="7"/>
  <c r="D5202" i="7" s="1"/>
  <c r="C5203" i="7"/>
  <c r="D5203" i="7" s="1"/>
  <c r="C5204" i="7"/>
  <c r="D5204" i="7" s="1"/>
  <c r="C5205" i="7"/>
  <c r="D5205" i="7" s="1"/>
  <c r="C5206" i="7"/>
  <c r="D5206" i="7" s="1"/>
  <c r="C5207" i="7"/>
  <c r="D5207" i="7" s="1"/>
  <c r="C5208" i="7"/>
  <c r="D5208" i="7" s="1"/>
  <c r="C5209" i="7"/>
  <c r="D5209" i="7" s="1"/>
  <c r="C5210" i="7"/>
  <c r="D5210" i="7" s="1"/>
  <c r="C5211" i="7"/>
  <c r="D5211" i="7" s="1"/>
  <c r="C5212" i="7"/>
  <c r="D5212" i="7" s="1"/>
  <c r="C5213" i="7"/>
  <c r="D5213" i="7" s="1"/>
  <c r="C5214" i="7"/>
  <c r="D5214" i="7" s="1"/>
  <c r="C5215" i="7"/>
  <c r="D5215" i="7" s="1"/>
  <c r="C5216" i="7"/>
  <c r="D5216" i="7" s="1"/>
  <c r="C5217" i="7"/>
  <c r="D5217" i="7" s="1"/>
  <c r="C5218" i="7"/>
  <c r="D5218" i="7" s="1"/>
  <c r="C5219" i="7"/>
  <c r="D5219" i="7" s="1"/>
  <c r="C5220" i="7"/>
  <c r="D5220" i="7" s="1"/>
  <c r="C5221" i="7"/>
  <c r="D5221" i="7" s="1"/>
  <c r="C5222" i="7"/>
  <c r="D5222" i="7" s="1"/>
  <c r="C5223" i="7"/>
  <c r="D5223" i="7" s="1"/>
  <c r="C5224" i="7"/>
  <c r="D5224" i="7" s="1"/>
  <c r="C5225" i="7"/>
  <c r="D5225" i="7" s="1"/>
  <c r="C5226" i="7"/>
  <c r="D5226" i="7" s="1"/>
  <c r="C5227" i="7"/>
  <c r="D5227" i="7" s="1"/>
  <c r="C5228" i="7"/>
  <c r="D5228" i="7" s="1"/>
  <c r="C5229" i="7"/>
  <c r="D5229" i="7" s="1"/>
  <c r="C5230" i="7"/>
  <c r="D5230" i="7" s="1"/>
  <c r="C5231" i="7"/>
  <c r="D5231" i="7" s="1"/>
  <c r="C5232" i="7"/>
  <c r="D5232" i="7" s="1"/>
  <c r="C5233" i="7"/>
  <c r="D5233" i="7" s="1"/>
  <c r="C5234" i="7"/>
  <c r="D5234" i="7" s="1"/>
  <c r="C5235" i="7"/>
  <c r="D5235" i="7" s="1"/>
  <c r="C5236" i="7"/>
  <c r="D5236" i="7" s="1"/>
  <c r="C5237" i="7"/>
  <c r="D5237" i="7" s="1"/>
  <c r="C5238" i="7"/>
  <c r="D5238" i="7" s="1"/>
  <c r="C5239" i="7"/>
  <c r="D5239" i="7" s="1"/>
  <c r="C5240" i="7"/>
  <c r="D5240" i="7" s="1"/>
  <c r="C5241" i="7"/>
  <c r="D5241" i="7" s="1"/>
  <c r="C5242" i="7"/>
  <c r="D5242" i="7" s="1"/>
  <c r="C5243" i="7"/>
  <c r="D5243" i="7" s="1"/>
  <c r="C5244" i="7"/>
  <c r="D5244" i="7" s="1"/>
  <c r="C5245" i="7"/>
  <c r="D5245" i="7" s="1"/>
  <c r="C5246" i="7"/>
  <c r="D5246" i="7" s="1"/>
  <c r="C5247" i="7"/>
  <c r="D5247" i="7" s="1"/>
  <c r="C5248" i="7"/>
  <c r="D5248" i="7" s="1"/>
  <c r="C5249" i="7"/>
  <c r="D5249" i="7" s="1"/>
  <c r="C5250" i="7"/>
  <c r="D5250" i="7" s="1"/>
  <c r="C5251" i="7"/>
  <c r="D5251" i="7" s="1"/>
  <c r="C5252" i="7"/>
  <c r="D5252" i="7" s="1"/>
  <c r="C5253" i="7"/>
  <c r="D5253" i="7" s="1"/>
  <c r="C5254" i="7"/>
  <c r="D5254" i="7" s="1"/>
  <c r="C5255" i="7"/>
  <c r="D5255" i="7" s="1"/>
  <c r="C5256" i="7"/>
  <c r="D5256" i="7" s="1"/>
  <c r="C5257" i="7"/>
  <c r="D5257" i="7" s="1"/>
  <c r="C5258" i="7"/>
  <c r="D5258" i="7" s="1"/>
  <c r="C5259" i="7"/>
  <c r="D5259" i="7" s="1"/>
  <c r="C5260" i="7"/>
  <c r="D5260" i="7" s="1"/>
  <c r="C5261" i="7"/>
  <c r="D5261" i="7" s="1"/>
  <c r="C5262" i="7"/>
  <c r="D5262" i="7" s="1"/>
  <c r="C5263" i="7"/>
  <c r="D5263" i="7" s="1"/>
  <c r="C5264" i="7"/>
  <c r="D5264" i="7" s="1"/>
  <c r="C5265" i="7"/>
  <c r="D5265" i="7" s="1"/>
  <c r="C5266" i="7"/>
  <c r="D5266" i="7" s="1"/>
  <c r="C5267" i="7"/>
  <c r="D5267" i="7" s="1"/>
  <c r="C5268" i="7"/>
  <c r="D5268" i="7" s="1"/>
  <c r="C5269" i="7"/>
  <c r="D5269" i="7" s="1"/>
  <c r="C5270" i="7"/>
  <c r="D5270" i="7" s="1"/>
  <c r="C5271" i="7"/>
  <c r="D5271" i="7" s="1"/>
  <c r="C5272" i="7"/>
  <c r="D5272" i="7" s="1"/>
  <c r="C5273" i="7"/>
  <c r="D5273" i="7" s="1"/>
  <c r="C5274" i="7"/>
  <c r="D5274" i="7" s="1"/>
  <c r="C5275" i="7"/>
  <c r="D5275" i="7" s="1"/>
  <c r="C5276" i="7"/>
  <c r="D5276" i="7" s="1"/>
  <c r="C5277" i="7"/>
  <c r="D5277" i="7" s="1"/>
  <c r="C5278" i="7"/>
  <c r="D5278" i="7" s="1"/>
  <c r="C5279" i="7"/>
  <c r="D5279" i="7" s="1"/>
  <c r="C5280" i="7"/>
  <c r="D5280" i="7" s="1"/>
  <c r="C5281" i="7"/>
  <c r="D5281" i="7" s="1"/>
  <c r="C5282" i="7"/>
  <c r="D5282" i="7" s="1"/>
  <c r="C5283" i="7"/>
  <c r="D5283" i="7" s="1"/>
  <c r="C5284" i="7"/>
  <c r="D5284" i="7" s="1"/>
  <c r="C5285" i="7"/>
  <c r="D5285" i="7" s="1"/>
  <c r="C5286" i="7"/>
  <c r="D5286" i="7" s="1"/>
  <c r="C5287" i="7"/>
  <c r="D5287" i="7" s="1"/>
  <c r="C5288" i="7"/>
  <c r="D5288" i="7" s="1"/>
  <c r="C5289" i="7"/>
  <c r="D5289" i="7" s="1"/>
  <c r="C5290" i="7"/>
  <c r="D5290" i="7" s="1"/>
  <c r="C5291" i="7"/>
  <c r="D5291" i="7" s="1"/>
  <c r="C5292" i="7"/>
  <c r="D5292" i="7" s="1"/>
  <c r="C5293" i="7"/>
  <c r="D5293" i="7" s="1"/>
  <c r="C5294" i="7"/>
  <c r="D5294" i="7" s="1"/>
  <c r="C5295" i="7"/>
  <c r="D5295" i="7" s="1"/>
  <c r="C5296" i="7"/>
  <c r="D5296" i="7" s="1"/>
  <c r="C5297" i="7"/>
  <c r="D5297" i="7" s="1"/>
  <c r="C5298" i="7"/>
  <c r="D5298" i="7" s="1"/>
  <c r="C5299" i="7"/>
  <c r="D5299" i="7" s="1"/>
  <c r="C5300" i="7"/>
  <c r="D5300" i="7" s="1"/>
  <c r="C5301" i="7"/>
  <c r="D5301" i="7" s="1"/>
  <c r="C5302" i="7"/>
  <c r="D5302" i="7" s="1"/>
  <c r="C5303" i="7"/>
  <c r="D5303" i="7" s="1"/>
  <c r="C5304" i="7"/>
  <c r="D5304" i="7" s="1"/>
  <c r="C5305" i="7"/>
  <c r="D5305" i="7" s="1"/>
  <c r="C5306" i="7"/>
  <c r="D5306" i="7" s="1"/>
  <c r="C5307" i="7"/>
  <c r="D5307" i="7" s="1"/>
  <c r="C5308" i="7"/>
  <c r="D5308" i="7" s="1"/>
  <c r="C5309" i="7"/>
  <c r="D5309" i="7" s="1"/>
  <c r="C5310" i="7"/>
  <c r="D5310" i="7" s="1"/>
  <c r="C5311" i="7"/>
  <c r="D5311" i="7" s="1"/>
  <c r="C5312" i="7"/>
  <c r="D5312" i="7" s="1"/>
  <c r="C5313" i="7"/>
  <c r="D5313" i="7" s="1"/>
  <c r="C5314" i="7"/>
  <c r="D5314" i="7" s="1"/>
  <c r="C5315" i="7"/>
  <c r="D5315" i="7" s="1"/>
  <c r="C5316" i="7"/>
  <c r="D5316" i="7" s="1"/>
  <c r="C5317" i="7"/>
  <c r="D5317" i="7" s="1"/>
  <c r="C5318" i="7"/>
  <c r="D5318" i="7" s="1"/>
  <c r="C5319" i="7"/>
  <c r="D5319" i="7" s="1"/>
  <c r="C5320" i="7"/>
  <c r="D5320" i="7" s="1"/>
  <c r="C5321" i="7"/>
  <c r="D5321" i="7" s="1"/>
  <c r="C5322" i="7"/>
  <c r="D5322" i="7" s="1"/>
  <c r="C5323" i="7"/>
  <c r="D5323" i="7" s="1"/>
  <c r="C5324" i="7"/>
  <c r="D5324" i="7" s="1"/>
  <c r="C5325" i="7"/>
  <c r="D5325" i="7" s="1"/>
  <c r="C5326" i="7"/>
  <c r="D5326" i="7" s="1"/>
  <c r="C5327" i="7"/>
  <c r="D5327" i="7" s="1"/>
  <c r="C5328" i="7"/>
  <c r="D5328" i="7" s="1"/>
  <c r="C5329" i="7"/>
  <c r="D5329" i="7" s="1"/>
  <c r="C5330" i="7"/>
  <c r="D5330" i="7" s="1"/>
  <c r="C5331" i="7"/>
  <c r="D5331" i="7" s="1"/>
  <c r="C5332" i="7"/>
  <c r="D5332" i="7" s="1"/>
  <c r="C5333" i="7"/>
  <c r="D5333" i="7" s="1"/>
  <c r="C5334" i="7"/>
  <c r="D5334" i="7" s="1"/>
  <c r="C5335" i="7"/>
  <c r="D5335" i="7" s="1"/>
  <c r="C5336" i="7"/>
  <c r="D5336" i="7" s="1"/>
  <c r="C5337" i="7"/>
  <c r="D5337" i="7" s="1"/>
  <c r="C5338" i="7"/>
  <c r="D5338" i="7" s="1"/>
  <c r="C5339" i="7"/>
  <c r="D5339" i="7" s="1"/>
  <c r="C5340" i="7"/>
  <c r="D5340" i="7" s="1"/>
  <c r="C5341" i="7"/>
  <c r="D5341" i="7" s="1"/>
  <c r="C5342" i="7"/>
  <c r="D5342" i="7" s="1"/>
  <c r="C5343" i="7"/>
  <c r="D5343" i="7" s="1"/>
  <c r="C5344" i="7"/>
  <c r="D5344" i="7" s="1"/>
  <c r="C5345" i="7"/>
  <c r="D5345" i="7" s="1"/>
  <c r="C5346" i="7"/>
  <c r="D5346" i="7" s="1"/>
  <c r="C5347" i="7"/>
  <c r="D5347" i="7" s="1"/>
  <c r="C5348" i="7"/>
  <c r="D5348" i="7" s="1"/>
  <c r="C5349" i="7"/>
  <c r="D5349" i="7" s="1"/>
  <c r="C5350" i="7"/>
  <c r="D5350" i="7" s="1"/>
  <c r="C5351" i="7"/>
  <c r="D5351" i="7" s="1"/>
  <c r="C5352" i="7"/>
  <c r="D5352" i="7" s="1"/>
  <c r="C5353" i="7"/>
  <c r="D5353" i="7" s="1"/>
  <c r="C5354" i="7"/>
  <c r="D5354" i="7" s="1"/>
  <c r="C5355" i="7"/>
  <c r="D5355" i="7" s="1"/>
  <c r="C5356" i="7"/>
  <c r="D5356" i="7" s="1"/>
  <c r="C5357" i="7"/>
  <c r="D5357" i="7" s="1"/>
  <c r="C5358" i="7"/>
  <c r="D5358" i="7" s="1"/>
  <c r="C5359" i="7"/>
  <c r="D5359" i="7" s="1"/>
  <c r="C5360" i="7"/>
  <c r="D5360" i="7" s="1"/>
  <c r="C5361" i="7"/>
  <c r="D5361" i="7" s="1"/>
  <c r="C5362" i="7"/>
  <c r="D5362" i="7" s="1"/>
  <c r="C5363" i="7"/>
  <c r="D5363" i="7" s="1"/>
  <c r="C5364" i="7"/>
  <c r="D5364" i="7" s="1"/>
  <c r="C5365" i="7"/>
  <c r="D5365" i="7" s="1"/>
  <c r="C5366" i="7"/>
  <c r="D5366" i="7" s="1"/>
  <c r="C5367" i="7"/>
  <c r="D5367" i="7" s="1"/>
  <c r="C5368" i="7"/>
  <c r="D5368" i="7" s="1"/>
  <c r="C5369" i="7"/>
  <c r="D5369" i="7" s="1"/>
  <c r="C5370" i="7"/>
  <c r="D5370" i="7" s="1"/>
  <c r="C5371" i="7"/>
  <c r="D5371" i="7" s="1"/>
  <c r="C5372" i="7"/>
  <c r="D5372" i="7" s="1"/>
  <c r="C5373" i="7"/>
  <c r="D5373" i="7" s="1"/>
  <c r="C5374" i="7"/>
  <c r="D5374" i="7" s="1"/>
  <c r="C5375" i="7"/>
  <c r="D5375" i="7" s="1"/>
  <c r="C5376" i="7"/>
  <c r="D5376" i="7" s="1"/>
  <c r="C5377" i="7"/>
  <c r="D5377" i="7" s="1"/>
  <c r="C5378" i="7"/>
  <c r="D5378" i="7" s="1"/>
  <c r="C5379" i="7"/>
  <c r="D5379" i="7" s="1"/>
  <c r="C5380" i="7"/>
  <c r="D5380" i="7" s="1"/>
  <c r="C5381" i="7"/>
  <c r="D5381" i="7" s="1"/>
  <c r="C5382" i="7"/>
  <c r="D5382" i="7" s="1"/>
  <c r="C5383" i="7"/>
  <c r="D5383" i="7" s="1"/>
  <c r="C5384" i="7"/>
  <c r="D5384" i="7" s="1"/>
  <c r="C5385" i="7"/>
  <c r="D5385" i="7" s="1"/>
  <c r="C5386" i="7"/>
  <c r="D5386" i="7" s="1"/>
  <c r="C5387" i="7"/>
  <c r="D5387" i="7" s="1"/>
  <c r="C5388" i="7"/>
  <c r="D5388" i="7" s="1"/>
  <c r="C5389" i="7"/>
  <c r="D5389" i="7" s="1"/>
  <c r="C5390" i="7"/>
  <c r="D5390" i="7" s="1"/>
  <c r="C5391" i="7"/>
  <c r="D5391" i="7" s="1"/>
  <c r="C5392" i="7"/>
  <c r="D5392" i="7" s="1"/>
  <c r="C5393" i="7"/>
  <c r="D5393" i="7" s="1"/>
  <c r="C5394" i="7"/>
  <c r="D5394" i="7" s="1"/>
  <c r="C5395" i="7"/>
  <c r="D5395" i="7" s="1"/>
  <c r="C5396" i="7"/>
  <c r="D5396" i="7" s="1"/>
  <c r="C5397" i="7"/>
  <c r="D5397" i="7" s="1"/>
  <c r="C5398" i="7"/>
  <c r="D5398" i="7" s="1"/>
  <c r="C5399" i="7"/>
  <c r="D5399" i="7" s="1"/>
  <c r="C5400" i="7"/>
  <c r="D5400" i="7" s="1"/>
  <c r="C5401" i="7"/>
  <c r="D5401" i="7" s="1"/>
  <c r="C5402" i="7"/>
  <c r="D5402" i="7" s="1"/>
  <c r="C5403" i="7"/>
  <c r="D5403" i="7" s="1"/>
  <c r="C5404" i="7"/>
  <c r="D5404" i="7" s="1"/>
  <c r="C5405" i="7"/>
  <c r="D5405" i="7" s="1"/>
  <c r="C5406" i="7"/>
  <c r="D5406" i="7" s="1"/>
  <c r="C5407" i="7"/>
  <c r="D5407" i="7" s="1"/>
  <c r="C5408" i="7"/>
  <c r="D5408" i="7" s="1"/>
  <c r="C5409" i="7"/>
  <c r="D5409" i="7" s="1"/>
  <c r="C5410" i="7"/>
  <c r="D5410" i="7" s="1"/>
  <c r="C5411" i="7"/>
  <c r="D5411" i="7" s="1"/>
  <c r="C5412" i="7"/>
  <c r="D5412" i="7" s="1"/>
  <c r="C5413" i="7"/>
  <c r="D5413" i="7" s="1"/>
  <c r="C5414" i="7"/>
  <c r="D5414" i="7" s="1"/>
  <c r="C5415" i="7"/>
  <c r="D5415" i="7" s="1"/>
  <c r="C5416" i="7"/>
  <c r="D5416" i="7" s="1"/>
  <c r="C5417" i="7"/>
  <c r="D5417" i="7" s="1"/>
  <c r="C5418" i="7"/>
  <c r="D5418" i="7" s="1"/>
  <c r="C5419" i="7"/>
  <c r="D5419" i="7" s="1"/>
  <c r="C5420" i="7"/>
  <c r="D5420" i="7" s="1"/>
  <c r="C5421" i="7"/>
  <c r="D5421" i="7" s="1"/>
  <c r="C5422" i="7"/>
  <c r="D5422" i="7" s="1"/>
  <c r="C5423" i="7"/>
  <c r="D5423" i="7" s="1"/>
  <c r="C5424" i="7"/>
  <c r="D5424" i="7" s="1"/>
  <c r="C5425" i="7"/>
  <c r="D5425" i="7" s="1"/>
  <c r="C5426" i="7"/>
  <c r="D5426" i="7" s="1"/>
  <c r="C5427" i="7"/>
  <c r="D5427" i="7" s="1"/>
  <c r="C5428" i="7"/>
  <c r="D5428" i="7" s="1"/>
  <c r="C5429" i="7"/>
  <c r="D5429" i="7" s="1"/>
  <c r="C5430" i="7"/>
  <c r="D5430" i="7" s="1"/>
  <c r="C5431" i="7"/>
  <c r="D5431" i="7" s="1"/>
  <c r="C5432" i="7"/>
  <c r="D5432" i="7" s="1"/>
  <c r="C5433" i="7"/>
  <c r="D5433" i="7" s="1"/>
  <c r="C5434" i="7"/>
  <c r="D5434" i="7" s="1"/>
  <c r="C5435" i="7"/>
  <c r="D5435" i="7" s="1"/>
  <c r="C5436" i="7"/>
  <c r="D5436" i="7" s="1"/>
  <c r="C5437" i="7"/>
  <c r="D5437" i="7" s="1"/>
  <c r="C5438" i="7"/>
  <c r="D5438" i="7" s="1"/>
  <c r="C5439" i="7"/>
  <c r="D5439" i="7" s="1"/>
  <c r="C5440" i="7"/>
  <c r="D5440" i="7" s="1"/>
  <c r="C5441" i="7"/>
  <c r="D5441" i="7" s="1"/>
  <c r="C5442" i="7"/>
  <c r="D5442" i="7" s="1"/>
  <c r="C5443" i="7"/>
  <c r="D5443" i="7" s="1"/>
  <c r="C5444" i="7"/>
  <c r="D5444" i="7" s="1"/>
  <c r="C5445" i="7"/>
  <c r="D5445" i="7" s="1"/>
  <c r="C5446" i="7"/>
  <c r="D5446" i="7" s="1"/>
  <c r="C5447" i="7"/>
  <c r="D5447" i="7" s="1"/>
  <c r="C5448" i="7"/>
  <c r="D5448" i="7" s="1"/>
  <c r="C5449" i="7"/>
  <c r="D5449" i="7" s="1"/>
  <c r="C5450" i="7"/>
  <c r="D5450" i="7" s="1"/>
  <c r="C5451" i="7"/>
  <c r="D5451" i="7" s="1"/>
  <c r="C5452" i="7"/>
  <c r="D5452" i="7" s="1"/>
  <c r="C5453" i="7"/>
  <c r="D5453" i="7" s="1"/>
  <c r="C5454" i="7"/>
  <c r="D5454" i="7" s="1"/>
  <c r="C5455" i="7"/>
  <c r="D5455" i="7" s="1"/>
  <c r="C5456" i="7"/>
  <c r="D5456" i="7" s="1"/>
  <c r="C5457" i="7"/>
  <c r="D5457" i="7" s="1"/>
  <c r="C5458" i="7"/>
  <c r="D5458" i="7" s="1"/>
  <c r="C5459" i="7"/>
  <c r="D5459" i="7" s="1"/>
  <c r="C5460" i="7"/>
  <c r="D5460" i="7" s="1"/>
  <c r="C5461" i="7"/>
  <c r="D5461" i="7" s="1"/>
  <c r="C5462" i="7"/>
  <c r="D5462" i="7" s="1"/>
  <c r="C5463" i="7"/>
  <c r="D5463" i="7" s="1"/>
  <c r="C5464" i="7"/>
  <c r="D5464" i="7" s="1"/>
  <c r="C5465" i="7"/>
  <c r="D5465" i="7" s="1"/>
  <c r="C5466" i="7"/>
  <c r="D5466" i="7" s="1"/>
  <c r="C5467" i="7"/>
  <c r="D5467" i="7" s="1"/>
  <c r="C5468" i="7"/>
  <c r="D5468" i="7" s="1"/>
  <c r="C5469" i="7"/>
  <c r="D5469" i="7" s="1"/>
  <c r="C5470" i="7"/>
  <c r="D5470" i="7" s="1"/>
  <c r="C5471" i="7"/>
  <c r="D5471" i="7" s="1"/>
  <c r="C5472" i="7"/>
  <c r="D5472" i="7" s="1"/>
  <c r="C5473" i="7"/>
  <c r="D5473" i="7" s="1"/>
  <c r="C5474" i="7"/>
  <c r="D5474" i="7" s="1"/>
  <c r="C5475" i="7"/>
  <c r="D5475" i="7" s="1"/>
  <c r="C5476" i="7"/>
  <c r="D5476" i="7" s="1"/>
  <c r="C5477" i="7"/>
  <c r="D5477" i="7" s="1"/>
  <c r="C5478" i="7"/>
  <c r="D5478" i="7" s="1"/>
  <c r="C5479" i="7"/>
  <c r="D5479" i="7" s="1"/>
  <c r="C5480" i="7"/>
  <c r="D5480" i="7" s="1"/>
  <c r="C5481" i="7"/>
  <c r="D5481" i="7" s="1"/>
  <c r="C5482" i="7"/>
  <c r="D5482" i="7" s="1"/>
  <c r="C5483" i="7"/>
  <c r="D5483" i="7" s="1"/>
  <c r="C5484" i="7"/>
  <c r="D5484" i="7" s="1"/>
  <c r="C5485" i="7"/>
  <c r="D5485" i="7" s="1"/>
  <c r="C5486" i="7"/>
  <c r="D5486" i="7" s="1"/>
  <c r="C5487" i="7"/>
  <c r="D5487" i="7" s="1"/>
  <c r="C5488" i="7"/>
  <c r="D5488" i="7" s="1"/>
  <c r="C5489" i="7"/>
  <c r="D5489" i="7" s="1"/>
  <c r="C5490" i="7"/>
  <c r="D5490" i="7" s="1"/>
  <c r="C5491" i="7"/>
  <c r="D5491" i="7" s="1"/>
  <c r="C5492" i="7"/>
  <c r="D5492" i="7" s="1"/>
  <c r="C5493" i="7"/>
  <c r="D5493" i="7" s="1"/>
  <c r="C5494" i="7"/>
  <c r="D5494" i="7" s="1"/>
  <c r="C5495" i="7"/>
  <c r="D5495" i="7" s="1"/>
  <c r="C5496" i="7"/>
  <c r="D5496" i="7" s="1"/>
  <c r="C5497" i="7"/>
  <c r="D5497" i="7" s="1"/>
  <c r="C5498" i="7"/>
  <c r="D5498" i="7" s="1"/>
  <c r="C5499" i="7"/>
  <c r="D5499" i="7" s="1"/>
  <c r="C5500" i="7"/>
  <c r="D5500" i="7" s="1"/>
  <c r="C5501" i="7"/>
  <c r="D5501" i="7" s="1"/>
  <c r="C5502" i="7"/>
  <c r="D5502" i="7" s="1"/>
  <c r="C5503" i="7"/>
  <c r="D5503" i="7" s="1"/>
  <c r="C5504" i="7"/>
  <c r="D5504" i="7" s="1"/>
  <c r="C5505" i="7"/>
  <c r="D5505" i="7" s="1"/>
  <c r="C5506" i="7"/>
  <c r="D5506" i="7" s="1"/>
  <c r="C5507" i="7"/>
  <c r="D5507" i="7" s="1"/>
  <c r="C5508" i="7"/>
  <c r="D5508" i="7" s="1"/>
  <c r="C5509" i="7"/>
  <c r="D5509" i="7" s="1"/>
  <c r="C5510" i="7"/>
  <c r="D5510" i="7" s="1"/>
  <c r="C5511" i="7"/>
  <c r="D5511" i="7" s="1"/>
  <c r="C5512" i="7"/>
  <c r="D5512" i="7" s="1"/>
  <c r="C5513" i="7"/>
  <c r="D5513" i="7" s="1"/>
  <c r="C5514" i="7"/>
  <c r="D5514" i="7" s="1"/>
  <c r="C5515" i="7"/>
  <c r="D5515" i="7" s="1"/>
  <c r="C5516" i="7"/>
  <c r="D5516" i="7" s="1"/>
  <c r="C5517" i="7"/>
  <c r="D5517" i="7" s="1"/>
  <c r="C5518" i="7"/>
  <c r="D5518" i="7" s="1"/>
  <c r="C5519" i="7"/>
  <c r="D5519" i="7" s="1"/>
  <c r="C5520" i="7"/>
  <c r="D5520" i="7" s="1"/>
  <c r="C5521" i="7"/>
  <c r="D5521" i="7" s="1"/>
  <c r="C5522" i="7"/>
  <c r="D5522" i="7" s="1"/>
  <c r="C5523" i="7"/>
  <c r="D5523" i="7" s="1"/>
  <c r="C5524" i="7"/>
  <c r="D5524" i="7" s="1"/>
  <c r="C5525" i="7"/>
  <c r="D5525" i="7" s="1"/>
  <c r="C5526" i="7"/>
  <c r="D5526" i="7" s="1"/>
  <c r="C5527" i="7"/>
  <c r="D5527" i="7" s="1"/>
  <c r="C5528" i="7"/>
  <c r="D5528" i="7" s="1"/>
  <c r="C5529" i="7"/>
  <c r="D5529" i="7" s="1"/>
  <c r="C5530" i="7"/>
  <c r="D5530" i="7" s="1"/>
  <c r="C5531" i="7"/>
  <c r="D5531" i="7" s="1"/>
  <c r="C5532" i="7"/>
  <c r="D5532" i="7" s="1"/>
  <c r="C5533" i="7"/>
  <c r="D5533" i="7" s="1"/>
  <c r="C5534" i="7"/>
  <c r="D5534" i="7" s="1"/>
  <c r="C5535" i="7"/>
  <c r="D5535" i="7" s="1"/>
  <c r="C5536" i="7"/>
  <c r="D5536" i="7" s="1"/>
  <c r="C5537" i="7"/>
  <c r="D5537" i="7" s="1"/>
  <c r="C5538" i="7"/>
  <c r="D5538" i="7" s="1"/>
  <c r="C5539" i="7"/>
  <c r="D5539" i="7" s="1"/>
  <c r="C5540" i="7"/>
  <c r="D5540" i="7" s="1"/>
  <c r="C5541" i="7"/>
  <c r="D5541" i="7" s="1"/>
  <c r="C5542" i="7"/>
  <c r="D5542" i="7" s="1"/>
  <c r="C5543" i="7"/>
  <c r="D5543" i="7" s="1"/>
  <c r="C5544" i="7"/>
  <c r="D5544" i="7" s="1"/>
  <c r="C5545" i="7"/>
  <c r="D5545" i="7" s="1"/>
  <c r="C5546" i="7"/>
  <c r="D5546" i="7" s="1"/>
  <c r="C5547" i="7"/>
  <c r="D5547" i="7" s="1"/>
  <c r="C5548" i="7"/>
  <c r="D5548" i="7" s="1"/>
</calcChain>
</file>

<file path=xl/sharedStrings.xml><?xml version="1.0" encoding="utf-8"?>
<sst xmlns="http://schemas.openxmlformats.org/spreadsheetml/2006/main" count="2183" uniqueCount="1049">
  <si>
    <t>번호</t>
  </si>
  <si>
    <t>소속기관</t>
  </si>
  <si>
    <t>소속부</t>
  </si>
  <si>
    <t>소속부서</t>
  </si>
  <si>
    <t>제  목</t>
  </si>
  <si>
    <t>게재일</t>
  </si>
  <si>
    <t>면</t>
  </si>
  <si>
    <t>8_국립축산과학원</t>
  </si>
  <si>
    <t>0_본원</t>
  </si>
  <si>
    <t>1_기획조정과</t>
  </si>
  <si>
    <t>2_운영지원과</t>
  </si>
  <si>
    <t>3_기술지원과</t>
  </si>
  <si>
    <t>5_가축유전자원센터</t>
  </si>
  <si>
    <t>6_한우연구소</t>
  </si>
  <si>
    <t>1_축산생명환경부</t>
  </si>
  <si>
    <t>2_동물유전체과</t>
  </si>
  <si>
    <t>3_축산물이용과</t>
  </si>
  <si>
    <t>4_축산환경과</t>
  </si>
  <si>
    <t>5_영양생리팀</t>
  </si>
  <si>
    <t>2_축산자원개발부</t>
  </si>
  <si>
    <t>1_가축개량평가과</t>
  </si>
  <si>
    <t>2_낙농과</t>
  </si>
  <si>
    <t>3_양돈과</t>
  </si>
  <si>
    <t>02_TV-지방</t>
  </si>
  <si>
    <t>05_라디오-중앙</t>
  </si>
  <si>
    <t>09_농업전문지</t>
  </si>
  <si>
    <t>09_지방일간지</t>
  </si>
  <si>
    <t>구분</t>
    <phoneticPr fontId="3" type="noConversion"/>
  </si>
  <si>
    <t>7_가금연구소</t>
    <phoneticPr fontId="3" type="noConversion"/>
  </si>
  <si>
    <t>8_국립축산과학원</t>
    <phoneticPr fontId="3" type="noConversion"/>
  </si>
  <si>
    <t>0_본원</t>
    <phoneticPr fontId="3" type="noConversion"/>
  </si>
  <si>
    <t>8_난지축산연구소</t>
    <phoneticPr fontId="3" type="noConversion"/>
  </si>
  <si>
    <t>1_동물바이오공학과</t>
    <phoneticPr fontId="3" type="noConversion"/>
  </si>
  <si>
    <t>4_초지사료과</t>
    <phoneticPr fontId="3" type="noConversion"/>
  </si>
  <si>
    <t>01_TV-중앙</t>
    <phoneticPr fontId="3" type="noConversion"/>
  </si>
  <si>
    <t>02_TV-케이블중앙</t>
    <phoneticPr fontId="6" type="noConversion"/>
  </si>
  <si>
    <t>02_TV-종합편성채널</t>
    <phoneticPr fontId="3" type="noConversion"/>
  </si>
  <si>
    <t>03_TV-케이블지방</t>
    <phoneticPr fontId="6" type="noConversion"/>
  </si>
  <si>
    <t>06_라디오-지방</t>
    <phoneticPr fontId="6" type="noConversion"/>
  </si>
  <si>
    <t>07_중앙일간지</t>
    <phoneticPr fontId="6" type="noConversion"/>
  </si>
  <si>
    <t>08_기타일간지</t>
    <phoneticPr fontId="6" type="noConversion"/>
  </si>
  <si>
    <t>08_스포츠신문</t>
    <phoneticPr fontId="3" type="noConversion"/>
  </si>
  <si>
    <t>10_주간지</t>
    <phoneticPr fontId="3" type="noConversion"/>
  </si>
  <si>
    <t>10_기타전문지</t>
    <phoneticPr fontId="3" type="noConversion"/>
  </si>
  <si>
    <t>11_기타(지역주간지)</t>
    <phoneticPr fontId="3" type="noConversion"/>
  </si>
  <si>
    <t>04_기타(DMB,IPTV)</t>
    <phoneticPr fontId="3" type="noConversion"/>
  </si>
  <si>
    <t>10_월간지</t>
    <phoneticPr fontId="3" type="noConversion"/>
  </si>
  <si>
    <t>10_기타월간지</t>
    <phoneticPr fontId="3" type="noConversion"/>
  </si>
  <si>
    <t>10_무가지</t>
    <phoneticPr fontId="3" type="noConversion"/>
  </si>
  <si>
    <t>13_인터넷포털</t>
    <phoneticPr fontId="3" type="noConversion"/>
  </si>
  <si>
    <t>12_대한민국 정책포털(korea.kr)</t>
    <phoneticPr fontId="3" type="noConversion"/>
  </si>
  <si>
    <t>4_가축질병방역과</t>
    <phoneticPr fontId="3" type="noConversion"/>
  </si>
  <si>
    <t>8_난지축산연구소</t>
  </si>
  <si>
    <t>2019.04. 평가지표 번호 변동</t>
    <phoneticPr fontId="3" type="noConversion"/>
  </si>
  <si>
    <t>기고</t>
    <phoneticPr fontId="3" type="noConversion"/>
  </si>
  <si>
    <t>14_해외홍보(TV,라디오,신문,잡지)</t>
    <phoneticPr fontId="3" type="noConversion"/>
  </si>
  <si>
    <t>15_중앙일간지</t>
    <phoneticPr fontId="3" type="noConversion"/>
  </si>
  <si>
    <t>16_기타일간지</t>
    <phoneticPr fontId="3" type="noConversion"/>
  </si>
  <si>
    <t>16_스포츠신문</t>
    <phoneticPr fontId="3" type="noConversion"/>
  </si>
  <si>
    <t>17_농업전문지</t>
    <phoneticPr fontId="3" type="noConversion"/>
  </si>
  <si>
    <t>17_지방일간지</t>
    <phoneticPr fontId="3" type="noConversion"/>
  </si>
  <si>
    <t>18_월간지</t>
    <phoneticPr fontId="3" type="noConversion"/>
  </si>
  <si>
    <t>18_주간지</t>
    <phoneticPr fontId="3" type="noConversion"/>
  </si>
  <si>
    <t>18_무가지</t>
    <phoneticPr fontId="3" type="noConversion"/>
  </si>
  <si>
    <t>19_기타(지역주간지)</t>
    <phoneticPr fontId="3" type="noConversion"/>
  </si>
  <si>
    <t>20_대한민국 정책포털(korea.kr) 기고</t>
    <phoneticPr fontId="3" type="noConversion"/>
  </si>
  <si>
    <t>21_인터넷포털</t>
    <phoneticPr fontId="3" type="noConversion"/>
  </si>
  <si>
    <t>22_해외홍보(신문,잡지)</t>
    <phoneticPr fontId="3" type="noConversion"/>
  </si>
  <si>
    <t>23_동영상 콘텐츠 포스팅</t>
    <phoneticPr fontId="3" type="noConversion"/>
  </si>
  <si>
    <t>24_이미지 콘텐츠 포스팅</t>
    <phoneticPr fontId="3" type="noConversion"/>
  </si>
  <si>
    <t>25_네이버팜(텍스트 콘텐츠 포스팅)</t>
    <phoneticPr fontId="3" type="noConversion"/>
  </si>
  <si>
    <t>29_원고집필(그린매거진, 농업기술)</t>
    <phoneticPr fontId="3" type="noConversion"/>
  </si>
  <si>
    <t>26_농업기술동영상 포스팅(농사로)</t>
    <phoneticPr fontId="3" type="noConversion"/>
  </si>
  <si>
    <t>27_농업기술 큐레이션 포스팅(농사료)</t>
    <phoneticPr fontId="3" type="noConversion"/>
  </si>
  <si>
    <t>28_농업기술정보 포스팅(농사로)</t>
    <phoneticPr fontId="3" type="noConversion"/>
  </si>
  <si>
    <t>18_기타전문지</t>
    <phoneticPr fontId="3" type="noConversion"/>
  </si>
  <si>
    <t>18_기타월간지</t>
    <phoneticPr fontId="3" type="noConversion"/>
  </si>
  <si>
    <t>7_가금연구소</t>
  </si>
  <si>
    <t>소속기관</t>
    <phoneticPr fontId="3" type="noConversion"/>
  </si>
  <si>
    <t>담당자</t>
    <phoneticPr fontId="3" type="noConversion"/>
  </si>
  <si>
    <t>보도관련</t>
    <phoneticPr fontId="3" type="noConversion"/>
  </si>
  <si>
    <t>보도매체</t>
    <phoneticPr fontId="3" type="noConversion"/>
  </si>
  <si>
    <t>구분 1</t>
    <phoneticPr fontId="3" type="noConversion"/>
  </si>
  <si>
    <t>구분 2(점수)</t>
    <phoneticPr fontId="3" type="noConversion"/>
  </si>
  <si>
    <t>스크랩일</t>
    <phoneticPr fontId="3" type="noConversion"/>
  </si>
  <si>
    <t>행 레이블</t>
  </si>
  <si>
    <t>4_가축질병방역과</t>
  </si>
  <si>
    <t>1_동물바이오공학과</t>
  </si>
  <si>
    <t>6_동물복지연구팀</t>
  </si>
  <si>
    <t>4_초지사료과</t>
  </si>
  <si>
    <t>총합계</t>
  </si>
  <si>
    <t>6_동물복지연구팀</t>
    <phoneticPr fontId="3" type="noConversion"/>
  </si>
  <si>
    <t>5_동물영양생리과</t>
    <phoneticPr fontId="3" type="noConversion"/>
  </si>
  <si>
    <t>25-1_네이버팜(유튜브)</t>
    <phoneticPr fontId="3" type="noConversion"/>
  </si>
  <si>
    <t>YTN 사이언스</t>
  </si>
  <si>
    <t>YTN</t>
  </si>
  <si>
    <t>서울신문</t>
  </si>
  <si>
    <t>전북연합신문</t>
  </si>
  <si>
    <t>현대축산뉴스</t>
  </si>
  <si>
    <t>충청투데이</t>
  </si>
  <si>
    <t>농수축산신문</t>
  </si>
  <si>
    <t>한국농정</t>
  </si>
  <si>
    <t>농민신문</t>
  </si>
  <si>
    <t>죽산신문</t>
  </si>
  <si>
    <t>한국연합신문</t>
  </si>
  <si>
    <t>한우신문</t>
  </si>
  <si>
    <t>새전북신문</t>
  </si>
  <si>
    <t>축산경제신문</t>
  </si>
  <si>
    <t>M메타 TV 뉴스</t>
  </si>
  <si>
    <t>더코리아뉴스</t>
  </si>
  <si>
    <t>제주교통복지신문</t>
  </si>
  <si>
    <t>비즈니스 포스트</t>
  </si>
  <si>
    <t>전업농신문</t>
  </si>
  <si>
    <t>축산신문</t>
  </si>
  <si>
    <t>부산일보</t>
  </si>
  <si>
    <t>낙농신문</t>
  </si>
  <si>
    <t>무진장뉴스i</t>
  </si>
  <si>
    <t>시대일보</t>
  </si>
  <si>
    <t>한국사회복지저널</t>
  </si>
  <si>
    <t>코리아중앙데일리</t>
  </si>
  <si>
    <t>케이에스피뉴스</t>
  </si>
  <si>
    <t>NGTV</t>
  </si>
  <si>
    <t>일반경제신문</t>
  </si>
  <si>
    <t>농업축산신문</t>
  </si>
  <si>
    <t>농업정보신문</t>
  </si>
  <si>
    <t>전북CBS</t>
  </si>
  <si>
    <t>전주KBS RADIO</t>
  </si>
  <si>
    <t>라이브팜뉴스</t>
  </si>
  <si>
    <t>팜&amp;마켓</t>
  </si>
  <si>
    <t>축산경제신문신문</t>
  </si>
  <si>
    <t>광주가톨릭평화방송</t>
  </si>
  <si>
    <t>플러스코리아 타임즈</t>
  </si>
  <si>
    <t>한국영농신문</t>
  </si>
  <si>
    <t>위클리오늘</t>
  </si>
  <si>
    <t>스브스프리미엄</t>
  </si>
  <si>
    <t>EBN 산업경제</t>
  </si>
  <si>
    <t>전북도민일보</t>
  </si>
  <si>
    <t>한국시민기자협회</t>
  </si>
  <si>
    <t>프레시안</t>
  </si>
  <si>
    <t>서울매일</t>
  </si>
  <si>
    <t>푸드아이콘</t>
  </si>
  <si>
    <t>천지일보</t>
  </si>
  <si>
    <t>세계타임즈</t>
  </si>
  <si>
    <t>자치행정신문</t>
  </si>
  <si>
    <t>서울뉴스통신</t>
  </si>
  <si>
    <t>GBS방송</t>
  </si>
  <si>
    <t>신아일보</t>
  </si>
  <si>
    <t>쿠키뉴스</t>
  </si>
  <si>
    <t>경남에나뉴스</t>
  </si>
  <si>
    <t>광주MBC</t>
  </si>
  <si>
    <t>한국농촌경제신문</t>
  </si>
  <si>
    <t>한국농어촌방송</t>
  </si>
  <si>
    <t>보건뉴스</t>
  </si>
  <si>
    <t>데일리벳</t>
  </si>
  <si>
    <t>머니S</t>
  </si>
  <si>
    <t>농축유통신문</t>
  </si>
  <si>
    <t>농기자재신문</t>
  </si>
  <si>
    <t>새만금일보</t>
  </si>
  <si>
    <t>버섯신문</t>
  </si>
  <si>
    <t>영농자재신문</t>
  </si>
  <si>
    <t>전주KBS라디오</t>
  </si>
  <si>
    <t xml:space="preserve">축산신문 </t>
  </si>
  <si>
    <t xml:space="preserve">농어촌경제신문 </t>
  </si>
  <si>
    <t>돼지와사람</t>
  </si>
  <si>
    <t>농어업경제귀농신문</t>
  </si>
  <si>
    <t>JTV</t>
  </si>
  <si>
    <t>이코노미톡 뉴스</t>
  </si>
  <si>
    <t>한국4-H신문</t>
  </si>
  <si>
    <t>보도매체</t>
  </si>
  <si>
    <t>아주경제</t>
  </si>
  <si>
    <t>한겨레신문</t>
  </si>
  <si>
    <t>국민일보</t>
  </si>
  <si>
    <t>연합뉴스</t>
  </si>
  <si>
    <t>파이낸셜뉴스</t>
  </si>
  <si>
    <t>헤럴드경제</t>
  </si>
  <si>
    <t>KBS 라디오</t>
  </si>
  <si>
    <t>SBS 라디오</t>
  </si>
  <si>
    <t>BBS 라디오</t>
  </si>
  <si>
    <t>아시아타임즈</t>
  </si>
  <si>
    <t>아시아일보</t>
  </si>
  <si>
    <t>전주일보</t>
  </si>
  <si>
    <t>전주매일</t>
  </si>
  <si>
    <t>산경일보</t>
  </si>
  <si>
    <t>시민일보</t>
  </si>
  <si>
    <t>경북신문</t>
  </si>
  <si>
    <t>중도일보</t>
  </si>
  <si>
    <t>전라일보</t>
  </si>
  <si>
    <t>전민일보</t>
  </si>
  <si>
    <t>전북일보</t>
  </si>
  <si>
    <t>농촌여성신문</t>
  </si>
  <si>
    <t>농업인신문</t>
  </si>
  <si>
    <t>데일리안</t>
  </si>
  <si>
    <t>머니에스</t>
  </si>
  <si>
    <t>전북제일신문</t>
  </si>
  <si>
    <t>스포츠한국</t>
  </si>
  <si>
    <t>팜인사이트</t>
  </si>
  <si>
    <t>임팩트온</t>
  </si>
  <si>
    <t>미디어펜</t>
  </si>
  <si>
    <t>데일리메디</t>
  </si>
  <si>
    <t>YTN 라디오</t>
  </si>
  <si>
    <t>광주KBC 라디오</t>
  </si>
  <si>
    <t>세계일보</t>
  </si>
  <si>
    <t>내일신문</t>
  </si>
  <si>
    <t>환경일보</t>
  </si>
  <si>
    <t>내외일보</t>
  </si>
  <si>
    <t>일간경기</t>
  </si>
  <si>
    <t>수도권일보</t>
  </si>
  <si>
    <t>수원화성신문</t>
  </si>
  <si>
    <t>중부뉴스</t>
  </si>
  <si>
    <t>경기eTV뉴스</t>
  </si>
  <si>
    <t>메타TV뉴스</t>
  </si>
  <si>
    <t>미디어투데이</t>
  </si>
  <si>
    <t>경기IN</t>
  </si>
  <si>
    <t>데일리와이</t>
  </si>
  <si>
    <t>뉴스후</t>
  </si>
  <si>
    <t>경기인터넷신문</t>
  </si>
  <si>
    <t>미디어이슈</t>
  </si>
  <si>
    <t>경인투데이뉴스</t>
  </si>
  <si>
    <t>경기&amp;뉴스</t>
  </si>
  <si>
    <t>세계뉴스통신</t>
  </si>
  <si>
    <t>경기경제신문</t>
  </si>
  <si>
    <t>공직신문</t>
  </si>
  <si>
    <t>뉴스피크</t>
  </si>
  <si>
    <t>시사코리아</t>
  </si>
  <si>
    <t>미디어연합</t>
  </si>
  <si>
    <t>식약일보</t>
  </si>
  <si>
    <t>광교신문</t>
  </si>
  <si>
    <t>뉴스타운</t>
  </si>
  <si>
    <t>국민정책평가신문</t>
  </si>
  <si>
    <t>포인트데일리</t>
  </si>
  <si>
    <t>뉴스쉐어</t>
  </si>
  <si>
    <t>디지털데일리</t>
  </si>
  <si>
    <t>메디컬투데이</t>
  </si>
  <si>
    <t>노컷뉴스</t>
  </si>
  <si>
    <t>데일리연합</t>
  </si>
  <si>
    <t>한국농어민신문</t>
  </si>
  <si>
    <t>농축환경신문</t>
  </si>
  <si>
    <t>전주매일신문</t>
  </si>
  <si>
    <t>퀸</t>
  </si>
  <si>
    <t>위키트리</t>
  </si>
  <si>
    <t>정책브리핑</t>
  </si>
  <si>
    <t>일간전북</t>
  </si>
  <si>
    <t>검찰연합일보</t>
  </si>
  <si>
    <t>경찰연합신문</t>
  </si>
  <si>
    <t>세계연합신문</t>
  </si>
  <si>
    <t>전북타임즈</t>
  </si>
  <si>
    <t>매일안전신문</t>
  </si>
  <si>
    <t>정필</t>
  </si>
  <si>
    <t>뉴시스</t>
  </si>
  <si>
    <t>매일일보</t>
  </si>
  <si>
    <t>대전일보</t>
  </si>
  <si>
    <t>광주일보</t>
  </si>
  <si>
    <t>전북중앙</t>
  </si>
  <si>
    <t>국제신문</t>
  </si>
  <si>
    <t>대한급식신문</t>
  </si>
  <si>
    <t>헬스조선</t>
  </si>
  <si>
    <t>조선일보</t>
  </si>
  <si>
    <t>이데일리</t>
  </si>
  <si>
    <t>식품저널</t>
  </si>
  <si>
    <t>머니투데이</t>
  </si>
  <si>
    <t>뉴스1</t>
  </si>
  <si>
    <t>대구광역일보</t>
  </si>
  <si>
    <t>호남제일신문</t>
  </si>
  <si>
    <t>전북타임스</t>
  </si>
  <si>
    <t>금융경제</t>
  </si>
  <si>
    <t>포이트데일리</t>
  </si>
  <si>
    <t>YTN-픽</t>
  </si>
  <si>
    <t>뉴스핌</t>
  </si>
  <si>
    <t>키즈맘</t>
  </si>
  <si>
    <t>경향신문</t>
  </si>
  <si>
    <t>이투데이</t>
  </si>
  <si>
    <t>KBS전주-TV</t>
  </si>
  <si>
    <t>연합뉴스-TV</t>
  </si>
  <si>
    <t>SKB전주-TV</t>
  </si>
  <si>
    <t>동양일보</t>
  </si>
  <si>
    <t>이코노뉴스</t>
  </si>
  <si>
    <t>팜앤마켓</t>
  </si>
  <si>
    <t>뉴스웍스</t>
  </si>
  <si>
    <t>아시아투데이</t>
  </si>
  <si>
    <t>투데이안</t>
  </si>
  <si>
    <t>경인투데이</t>
  </si>
  <si>
    <t>국제뉴스</t>
  </si>
  <si>
    <t>더원방송</t>
  </si>
  <si>
    <t>월간축산</t>
  </si>
  <si>
    <t>월간한우</t>
  </si>
  <si>
    <t>월간한돈</t>
  </si>
  <si>
    <t>Pig&amp;Pork한돈</t>
  </si>
  <si>
    <t>월간낙농‧육우</t>
  </si>
  <si>
    <t>월간낙농</t>
  </si>
  <si>
    <t>월간양계</t>
  </si>
  <si>
    <t>월간닭고기</t>
  </si>
  <si>
    <t>월간산란계</t>
  </si>
  <si>
    <t>스포츠서울</t>
  </si>
  <si>
    <t>데일리스포츠한국</t>
  </si>
  <si>
    <t>매일신문</t>
  </si>
  <si>
    <t>경안일보</t>
  </si>
  <si>
    <t>경북매일</t>
  </si>
  <si>
    <t>세명일보</t>
  </si>
  <si>
    <t>NSP통신</t>
  </si>
  <si>
    <t>이코리아</t>
  </si>
  <si>
    <t>한국농업신문</t>
  </si>
  <si>
    <t>핸드메이커</t>
  </si>
  <si>
    <t>에코타임스</t>
  </si>
  <si>
    <t>위기관리경영</t>
  </si>
  <si>
    <t>검찰연합신문</t>
  </si>
  <si>
    <t>유튜브</t>
  </si>
  <si>
    <t>더농부</t>
  </si>
  <si>
    <t>대구신문</t>
  </si>
  <si>
    <t>데일리대구경북뉴스</t>
  </si>
  <si>
    <t>성주신문</t>
  </si>
  <si>
    <t>뉴스줌</t>
  </si>
  <si>
    <t>시니어매일</t>
  </si>
  <si>
    <t>양돈타임스</t>
  </si>
  <si>
    <t>뉴트리션</t>
  </si>
  <si>
    <t>경상투데이</t>
  </si>
  <si>
    <t>한돈신문</t>
  </si>
  <si>
    <t>정보통신신문</t>
  </si>
  <si>
    <t>미디어투에이</t>
  </si>
  <si>
    <t>칠성고라이프</t>
  </si>
  <si>
    <t>월간환경</t>
  </si>
  <si>
    <t>투데이광주전남</t>
  </si>
  <si>
    <t>프레스뉴스통신</t>
  </si>
  <si>
    <t>뉴스깜</t>
  </si>
  <si>
    <t>동아일보</t>
  </si>
  <si>
    <t>광주매일신문</t>
  </si>
  <si>
    <t>남도일보</t>
  </si>
  <si>
    <t>cnb뉴스</t>
  </si>
  <si>
    <t>아시아에이</t>
  </si>
  <si>
    <t>톡톡뉴스</t>
  </si>
  <si>
    <t>일등방송</t>
  </si>
  <si>
    <t>전남인터넷신문</t>
  </si>
  <si>
    <t>한국공보뉴스</t>
  </si>
  <si>
    <t>무등일보</t>
  </si>
  <si>
    <t>광주타임즈</t>
  </si>
  <si>
    <t>대한일보</t>
  </si>
  <si>
    <t>중앙통신뉴스</t>
  </si>
  <si>
    <t>SBS</t>
  </si>
  <si>
    <t>한국경제</t>
  </si>
  <si>
    <t>전국매일신문</t>
  </si>
  <si>
    <t>이코노믹리뷰</t>
  </si>
  <si>
    <t>한국일보</t>
  </si>
  <si>
    <t>우리문화신문</t>
  </si>
  <si>
    <t>뉴스토마토</t>
  </si>
  <si>
    <t>KBS춘천</t>
  </si>
  <si>
    <t>울산광역매일</t>
  </si>
  <si>
    <t>기호일보</t>
  </si>
  <si>
    <t>전남매일</t>
  </si>
  <si>
    <t>TV조선</t>
  </si>
  <si>
    <t>한국농업방송</t>
  </si>
  <si>
    <t>라이브팜</t>
  </si>
  <si>
    <t>연합뉴스TV</t>
  </si>
  <si>
    <t>OBS</t>
  </si>
  <si>
    <t>전북연햡신문</t>
  </si>
  <si>
    <t>충청타임즈</t>
  </si>
  <si>
    <t>서울우유</t>
  </si>
  <si>
    <t>전주MBC RADIO</t>
  </si>
  <si>
    <t>JTBC RADIO</t>
  </si>
  <si>
    <t>뉴스다임</t>
  </si>
  <si>
    <t>한국임업신문</t>
  </si>
  <si>
    <t>뉴스티앤티</t>
  </si>
  <si>
    <t>KBS전주</t>
  </si>
  <si>
    <t>현대건강신문</t>
  </si>
  <si>
    <t>더 코리아</t>
  </si>
  <si>
    <t>MBN RADIO</t>
  </si>
  <si>
    <t>원주투데이</t>
  </si>
  <si>
    <t>아시아경제</t>
  </si>
  <si>
    <t>TBC</t>
  </si>
  <si>
    <t>디지털타임스</t>
  </si>
  <si>
    <t>중앙매일</t>
  </si>
  <si>
    <t>톱클래스</t>
  </si>
  <si>
    <t>이미디어</t>
  </si>
  <si>
    <t>로이슈</t>
  </si>
  <si>
    <t>브레이크뉴스</t>
  </si>
  <si>
    <t>충청매일</t>
  </si>
  <si>
    <t>뉴스워커</t>
  </si>
  <si>
    <t>영남일보</t>
  </si>
  <si>
    <t>BBS NEWS</t>
  </si>
  <si>
    <t>웹이코노미</t>
  </si>
  <si>
    <t>뉴스프리존</t>
  </si>
  <si>
    <t>더퍼블릭</t>
  </si>
  <si>
    <t>청년일보</t>
  </si>
  <si>
    <t>경북일보</t>
  </si>
  <si>
    <t>경상매일신문</t>
  </si>
  <si>
    <t>한국금융</t>
  </si>
  <si>
    <t>중소기업신문</t>
  </si>
  <si>
    <t>폴리뉴스</t>
  </si>
  <si>
    <t>환경미디어</t>
  </si>
  <si>
    <t>창업일보</t>
  </si>
  <si>
    <t>경인매일</t>
  </si>
  <si>
    <t>광남일보</t>
  </si>
  <si>
    <t>전남일보</t>
  </si>
  <si>
    <t>호남매일</t>
  </si>
  <si>
    <t>광주드림</t>
  </si>
  <si>
    <t>원예산업신문</t>
  </si>
  <si>
    <t>광주kbc RADIO</t>
  </si>
  <si>
    <t>위클리 오늘</t>
  </si>
  <si>
    <t>문화매일</t>
  </si>
  <si>
    <t>글로벌경제신문</t>
  </si>
  <si>
    <t>서울일보</t>
  </si>
  <si>
    <t>현대일보</t>
  </si>
  <si>
    <t>경인종합일보</t>
  </si>
  <si>
    <t>한성일보</t>
  </si>
  <si>
    <t>경기도민일보</t>
  </si>
  <si>
    <t>경기매일</t>
  </si>
  <si>
    <t>열린뉴스통신</t>
  </si>
  <si>
    <t>대한경제</t>
  </si>
  <si>
    <t>UPI뉴스</t>
  </si>
  <si>
    <t>스카이데일리</t>
  </si>
  <si>
    <t>호남신문</t>
  </si>
  <si>
    <t>전광투데이</t>
  </si>
  <si>
    <t>일간투데이</t>
  </si>
  <si>
    <t>도민일보</t>
  </si>
  <si>
    <t>동아사이언스</t>
  </si>
  <si>
    <t>시사일보</t>
  </si>
  <si>
    <t>컨슈머타임스</t>
  </si>
  <si>
    <t>통합뉴스</t>
  </si>
  <si>
    <t>국민TV</t>
  </si>
  <si>
    <t>경기북부탑뉴스</t>
  </si>
  <si>
    <t>한국농기계신문</t>
  </si>
  <si>
    <t>농축산기계</t>
  </si>
  <si>
    <t>경기북부포커스</t>
  </si>
  <si>
    <t>메이킹뉴스</t>
  </si>
  <si>
    <t>이코노믹포스트</t>
  </si>
  <si>
    <t>뉴스에이</t>
  </si>
  <si>
    <t>K재널</t>
  </si>
  <si>
    <t>서울시티</t>
  </si>
  <si>
    <t>파퓰러사이언스</t>
  </si>
  <si>
    <t>전라매일</t>
  </si>
  <si>
    <t>매일경제</t>
  </si>
  <si>
    <t>브릿지경제</t>
  </si>
  <si>
    <t>뉴스경남</t>
  </si>
  <si>
    <t>경남도민신문</t>
  </si>
  <si>
    <t>울산신문</t>
  </si>
  <si>
    <t>울산매일신문</t>
  </si>
  <si>
    <t>로컬세계</t>
  </si>
  <si>
    <t>경북도민일보</t>
  </si>
  <si>
    <t>오늘경제</t>
  </si>
  <si>
    <t>전국뉴스</t>
  </si>
  <si>
    <t>경북인터넷뉴스</t>
  </si>
  <si>
    <t>경북TV뉴스</t>
  </si>
  <si>
    <t>일간경북신문</t>
  </si>
  <si>
    <t>경북중앙신문</t>
  </si>
  <si>
    <t>경북제일신문</t>
  </si>
  <si>
    <t>홍천인터넷뉴스</t>
  </si>
  <si>
    <t>제이누리</t>
  </si>
  <si>
    <t>제민일보</t>
  </si>
  <si>
    <t>강원신문</t>
  </si>
  <si>
    <t>소년한국일보</t>
  </si>
  <si>
    <t>동방일보</t>
  </si>
  <si>
    <t>중앙일보</t>
  </si>
  <si>
    <t>잡포스트</t>
  </si>
  <si>
    <t>창원일보</t>
  </si>
  <si>
    <t>C뉴스041</t>
  </si>
  <si>
    <t>뉴스세상</t>
  </si>
  <si>
    <t>비마이펫</t>
  </si>
  <si>
    <t>충청일보</t>
  </si>
  <si>
    <t>경남매일</t>
  </si>
  <si>
    <t>충남일보</t>
  </si>
  <si>
    <t>이뉴스투데이</t>
  </si>
  <si>
    <t>중부신문</t>
  </si>
  <si>
    <t>충남도민일보</t>
  </si>
  <si>
    <t>충남신문</t>
  </si>
  <si>
    <t>대전투데이</t>
  </si>
  <si>
    <t>시사코리아저널</t>
  </si>
  <si>
    <t>담양곡성타임즈</t>
  </si>
  <si>
    <t>예산뉴스</t>
  </si>
  <si>
    <t>불교공뉴스</t>
  </si>
  <si>
    <t>뉴스메이커</t>
  </si>
  <si>
    <t>누리일보</t>
  </si>
  <si>
    <t>서울경제</t>
  </si>
  <si>
    <t>에너지경제</t>
  </si>
  <si>
    <t>CBN뉴스</t>
  </si>
  <si>
    <t>대경일보</t>
  </si>
  <si>
    <t>전기신문</t>
  </si>
  <si>
    <t>경북일일신문</t>
  </si>
  <si>
    <t>프라임경북뉴스</t>
  </si>
  <si>
    <t>한국디지털뉴스</t>
  </si>
  <si>
    <t>소년조선일보</t>
  </si>
  <si>
    <t>포쓰저널</t>
  </si>
  <si>
    <t>경기앤뉴스</t>
  </si>
  <si>
    <t>월간중앙</t>
  </si>
  <si>
    <t>에코저널</t>
  </si>
  <si>
    <t>전자신문</t>
  </si>
  <si>
    <t>여성종합뉴스</t>
  </si>
  <si>
    <t>로봇신문</t>
  </si>
  <si>
    <t>지디넷코리아</t>
  </si>
  <si>
    <t>데일리임팩트</t>
  </si>
  <si>
    <t>전주KBS 라디오</t>
  </si>
  <si>
    <t>조선비즈</t>
  </si>
  <si>
    <t>와이뉴스</t>
  </si>
  <si>
    <t>대한급식식문</t>
  </si>
  <si>
    <t>스타트업엔</t>
  </si>
  <si>
    <t>중부매일</t>
  </si>
  <si>
    <t>프라임경제</t>
  </si>
  <si>
    <t>경인신문</t>
  </si>
  <si>
    <t>이천뉴스</t>
  </si>
  <si>
    <t>중앙신문</t>
  </si>
  <si>
    <t>충청뉴스</t>
  </si>
  <si>
    <t>충청신문</t>
  </si>
  <si>
    <t>수원인터넷뉴스</t>
  </si>
  <si>
    <t>경기데일리</t>
  </si>
  <si>
    <t>시사이천</t>
  </si>
  <si>
    <t>투데이경제</t>
  </si>
  <si>
    <t>서산인터넷뉴스</t>
  </si>
  <si>
    <t>뉴스밴드</t>
  </si>
  <si>
    <t>금강일보</t>
  </si>
  <si>
    <t>한국목재신문</t>
  </si>
  <si>
    <t>천안신문</t>
  </si>
  <si>
    <t>베리타스알파</t>
  </si>
  <si>
    <t>베타뉴스</t>
  </si>
  <si>
    <t>천안일보</t>
  </si>
  <si>
    <t>충청탑뉴스</t>
  </si>
  <si>
    <t>현대경제</t>
  </si>
  <si>
    <t>한우마당</t>
  </si>
  <si>
    <t>KNN</t>
  </si>
  <si>
    <t>디트뉴스24</t>
  </si>
  <si>
    <t>데이터솜</t>
  </si>
  <si>
    <t>뉴스충청인</t>
  </si>
  <si>
    <t>남해미래</t>
  </si>
  <si>
    <t>KBS강릉-TV</t>
  </si>
  <si>
    <t>YTN-TV</t>
  </si>
  <si>
    <t>식품외식경제</t>
  </si>
  <si>
    <t>OBS라디오</t>
  </si>
  <si>
    <t>JTBC-TV</t>
  </si>
  <si>
    <t>KBS강원</t>
  </si>
  <si>
    <t>한라일보</t>
  </si>
  <si>
    <t>제주일보</t>
  </si>
  <si>
    <t>K채널</t>
  </si>
  <si>
    <t>대학저널</t>
  </si>
  <si>
    <t>k스피릿</t>
  </si>
  <si>
    <t>국민매일</t>
  </si>
  <si>
    <t>더팩트</t>
  </si>
  <si>
    <t>아이뉴스24</t>
  </si>
  <si>
    <t>데일리한국</t>
  </si>
  <si>
    <t>이로운넷</t>
  </si>
  <si>
    <t>경남일보</t>
  </si>
  <si>
    <t>일요신문</t>
  </si>
  <si>
    <t>국제i저널</t>
  </si>
  <si>
    <t>백제뉴스</t>
  </si>
  <si>
    <t>중부뉴스통신</t>
  </si>
  <si>
    <t>충청도민일보</t>
  </si>
  <si>
    <t>경남연합일보</t>
  </si>
  <si>
    <t>격월간 사료</t>
  </si>
  <si>
    <t>월간낙농육우</t>
  </si>
  <si>
    <t>시민의 소리</t>
  </si>
  <si>
    <t>시사포커스</t>
  </si>
  <si>
    <t>파이낸스투데이</t>
  </si>
  <si>
    <t>테니스피플</t>
  </si>
  <si>
    <t>시사뉴스24</t>
  </si>
  <si>
    <t>유교신문</t>
  </si>
  <si>
    <t>충북일보</t>
  </si>
  <si>
    <t>농업기술</t>
  </si>
  <si>
    <t>뉴스포털1</t>
  </si>
  <si>
    <t>시사우리신문</t>
  </si>
  <si>
    <t>시사뉴스</t>
  </si>
  <si>
    <t>로컬투데이</t>
  </si>
  <si>
    <t>곡성투데이</t>
  </si>
  <si>
    <t>호남타임즈</t>
  </si>
  <si>
    <t>푸드투데이</t>
  </si>
  <si>
    <t>광주일등뉴스</t>
  </si>
  <si>
    <t>빛가람뉴스</t>
  </si>
  <si>
    <t>여수인터넷뉴스</t>
  </si>
  <si>
    <t>광주리포트</t>
  </si>
  <si>
    <t>광주인</t>
  </si>
  <si>
    <t>전남광역공보뉴스</t>
  </si>
  <si>
    <t>전남제일신문</t>
  </si>
  <si>
    <t>신문고뉴스</t>
  </si>
  <si>
    <t>봉화일보</t>
  </si>
  <si>
    <t>특급뉴스</t>
  </si>
  <si>
    <t>대전경제뉴스</t>
  </si>
  <si>
    <t>세종방송</t>
  </si>
  <si>
    <t>한국강사신문</t>
  </si>
  <si>
    <t>경북연합일보</t>
  </si>
  <si>
    <t>대구경북일보</t>
  </si>
  <si>
    <t>목포KBS 라디오</t>
  </si>
  <si>
    <t>ESG경제</t>
  </si>
  <si>
    <t>농어촌경제신문</t>
  </si>
  <si>
    <t>농어촌신문</t>
  </si>
  <si>
    <t>국토경제뉴스</t>
  </si>
  <si>
    <t>여성동아</t>
  </si>
  <si>
    <t>강원일보</t>
  </si>
  <si>
    <t>경남창원공보뉴스</t>
  </si>
  <si>
    <t>등잔일보</t>
  </si>
  <si>
    <t>이데이뉴스</t>
  </si>
  <si>
    <t>내외통신</t>
  </si>
  <si>
    <t>대한뉴스</t>
  </si>
  <si>
    <t>나눔일보</t>
  </si>
  <si>
    <t>에이빙뉴스</t>
  </si>
  <si>
    <t>NF통신</t>
  </si>
  <si>
    <t>대전MBC</t>
  </si>
  <si>
    <t>한국타임즈</t>
  </si>
  <si>
    <t>엔디엔뉴스</t>
  </si>
  <si>
    <t>뉴스온</t>
  </si>
  <si>
    <t>이슈앤비즈</t>
  </si>
  <si>
    <t>전남함평공보뉴스</t>
  </si>
  <si>
    <t>서울와이어</t>
  </si>
  <si>
    <t>퍼블릭뉴스</t>
  </si>
  <si>
    <t>KBS청주</t>
  </si>
  <si>
    <t>뉴스로</t>
  </si>
  <si>
    <t>대전KBS</t>
  </si>
  <si>
    <t>여수넷통뉴스</t>
  </si>
  <si>
    <t>주간조선</t>
  </si>
  <si>
    <t>한국농정신문</t>
  </si>
  <si>
    <t>뉴시안</t>
  </si>
  <si>
    <t>광주kbc라디오</t>
  </si>
  <si>
    <t>스마트에프엔</t>
  </si>
  <si>
    <t>더나은미래</t>
  </si>
  <si>
    <t>안동MBC</t>
  </si>
  <si>
    <t>경남신문</t>
  </si>
  <si>
    <t xml:space="preserve">서울일보 </t>
  </si>
  <si>
    <t xml:space="preserve">농수축산신문 </t>
  </si>
  <si>
    <t>시사저널</t>
  </si>
  <si>
    <t>LG헬로비전</t>
  </si>
  <si>
    <t>푸드경제</t>
  </si>
  <si>
    <t>식품음료신문</t>
  </si>
  <si>
    <t>KBS</t>
  </si>
  <si>
    <t>AI타임스</t>
  </si>
  <si>
    <t>포항MBC</t>
  </si>
  <si>
    <t>CJB</t>
  </si>
  <si>
    <t>더리포트</t>
  </si>
  <si>
    <t>kbc광주방송</t>
  </si>
  <si>
    <t>새한일보</t>
  </si>
  <si>
    <t>비지니스포스트</t>
  </si>
  <si>
    <t>SR타임스</t>
  </si>
  <si>
    <t>굿모닝경제</t>
  </si>
  <si>
    <t>경인일보</t>
  </si>
  <si>
    <t>강원도민일보</t>
  </si>
  <si>
    <t>안전신문</t>
  </si>
  <si>
    <t>문화일보</t>
  </si>
  <si>
    <t>씨엠비광주방송</t>
  </si>
  <si>
    <t>리얼푸드</t>
  </si>
  <si>
    <t>오마이뉴스</t>
  </si>
  <si>
    <t>중부일보</t>
  </si>
  <si>
    <t>전주MBC</t>
  </si>
  <si>
    <t>KTV</t>
  </si>
  <si>
    <t>하이닥</t>
  </si>
  <si>
    <t>채널A</t>
  </si>
  <si>
    <t>전북제일</t>
  </si>
  <si>
    <t>당진시대</t>
  </si>
  <si>
    <t>뉴데일리</t>
  </si>
  <si>
    <t>SKB전주</t>
  </si>
  <si>
    <t>워크투데이</t>
  </si>
  <si>
    <t>더농부뉴스</t>
  </si>
  <si>
    <t>교수신문</t>
  </si>
  <si>
    <t>MTN(머니투데이방송)</t>
  </si>
  <si>
    <t>한국식품의약신문</t>
  </si>
  <si>
    <t>더소셜뉴스</t>
  </si>
  <si>
    <t>제주KBS</t>
  </si>
  <si>
    <t>위메이크뉴스</t>
  </si>
  <si>
    <t>인사이트</t>
  </si>
  <si>
    <t>CMB광주방송</t>
  </si>
  <si>
    <t>FETV</t>
  </si>
  <si>
    <t>지이코노미</t>
  </si>
  <si>
    <t>스포츠W</t>
  </si>
  <si>
    <t>EBN</t>
  </si>
  <si>
    <t>한국NGO신문</t>
  </si>
  <si>
    <t>스마트투데이</t>
  </si>
  <si>
    <t>더퍼스트</t>
  </si>
  <si>
    <t>민주신문</t>
  </si>
  <si>
    <t>우먼타임스</t>
  </si>
  <si>
    <t>민중의 소리</t>
  </si>
  <si>
    <t>아이티데일리</t>
  </si>
  <si>
    <t>인공지능신문</t>
  </si>
  <si>
    <t>보안뉴스</t>
  </si>
  <si>
    <t>헬로티</t>
  </si>
  <si>
    <t>경기일보</t>
  </si>
  <si>
    <t>뉴제주일보</t>
  </si>
  <si>
    <t>어린이동아</t>
  </si>
  <si>
    <t>마켓뉴스</t>
  </si>
  <si>
    <t>나우타임즈</t>
  </si>
  <si>
    <t>전주KBS</t>
  </si>
  <si>
    <t>국토일보</t>
  </si>
  <si>
    <t>서울파이낸스</t>
  </si>
  <si>
    <t>스포츠동아</t>
  </si>
  <si>
    <t>빅데이터뉴스</t>
  </si>
  <si>
    <t>CEO스코어데일리</t>
  </si>
  <si>
    <t>데일리환경</t>
  </si>
  <si>
    <t>넥스트데일리</t>
  </si>
  <si>
    <t>여성소비자신문</t>
  </si>
  <si>
    <t>월요신문</t>
  </si>
  <si>
    <t>프레스맨</t>
  </si>
  <si>
    <t>비지니스코리아</t>
  </si>
  <si>
    <t>리버티코리아포스트</t>
  </si>
  <si>
    <t>인천일보</t>
  </si>
  <si>
    <t>데일리티</t>
  </si>
  <si>
    <t>백세시대</t>
  </si>
  <si>
    <t>시사오늘</t>
  </si>
  <si>
    <t>S-저널</t>
  </si>
  <si>
    <t>뉴스워치</t>
  </si>
  <si>
    <t>라이센스뉴스</t>
  </si>
  <si>
    <t>업다운뉴스</t>
  </si>
  <si>
    <t>나이스경제</t>
  </si>
  <si>
    <t>하비엔뉴스</t>
  </si>
  <si>
    <t>한국정경신문</t>
  </si>
  <si>
    <t>스포츠경향</t>
  </si>
  <si>
    <t>디스커버리뉴스</t>
  </si>
  <si>
    <t>13_인터넷포털</t>
  </si>
  <si>
    <t>06_라디오-지방</t>
  </si>
  <si>
    <t>11_기타(지역주간지)</t>
  </si>
  <si>
    <t>10_기타전문지</t>
  </si>
  <si>
    <t>02_TV-케이블중앙</t>
  </si>
  <si>
    <t>07_중앙일간지</t>
  </si>
  <si>
    <t>08_기타일간지</t>
  </si>
  <si>
    <t>02_TV-종합편성채널</t>
  </si>
  <si>
    <t>10_주간지</t>
  </si>
  <si>
    <t>29_원고집필(그린매거진, 농업기술)</t>
  </si>
  <si>
    <t>17_농업전문지</t>
  </si>
  <si>
    <t>구분 1</t>
  </si>
  <si>
    <t>구분 2(점수)</t>
  </si>
  <si>
    <t>03_TV-케이블지방</t>
  </si>
  <si>
    <t>10_월간지</t>
  </si>
  <si>
    <t>08_스포츠신문</t>
  </si>
  <si>
    <t>23_동영상 콘텐츠 포스팅</t>
  </si>
  <si>
    <t>24_이미지 콘텐츠 포스팅</t>
  </si>
  <si>
    <t>10_기타월간지</t>
  </si>
  <si>
    <t>01_TV-중앙</t>
  </si>
  <si>
    <t>10_무가지</t>
  </si>
  <si>
    <t>18_월간지</t>
  </si>
  <si>
    <t>3_양돈과</t>
    <phoneticPr fontId="3" type="noConversion"/>
  </si>
  <si>
    <t>1_축산생명환경부</t>
    <phoneticPr fontId="3" type="noConversion"/>
  </si>
  <si>
    <t>3_기술지원과</t>
    <phoneticPr fontId="3" type="noConversion"/>
  </si>
  <si>
    <t>0_본원</t>
    <phoneticPr fontId="6" type="noConversion"/>
  </si>
  <si>
    <t>1_기획조정과</t>
    <phoneticPr fontId="3" type="noConversion"/>
  </si>
  <si>
    <t>2_축산자원개발부</t>
    <phoneticPr fontId="3" type="noConversion"/>
  </si>
  <si>
    <t>2_동물유전체과</t>
    <phoneticPr fontId="3" type="noConversion"/>
  </si>
  <si>
    <t>5_가축유전자원센터</t>
    <phoneticPr fontId="3" type="noConversion"/>
  </si>
  <si>
    <t>2_운영지원과</t>
    <phoneticPr fontId="3" type="noConversion"/>
  </si>
  <si>
    <t>소속부</t>
    <phoneticPr fontId="3" type="noConversion"/>
  </si>
  <si>
    <t>소속부서(복사)</t>
    <phoneticPr fontId="3" type="noConversion"/>
  </si>
  <si>
    <t>02_TV-케이블중앙</t>
    <phoneticPr fontId="3" type="noConversion"/>
  </si>
  <si>
    <t>전민일보</t>
    <phoneticPr fontId="3" type="noConversion"/>
  </si>
  <si>
    <t>선경일보</t>
    <phoneticPr fontId="3" type="noConversion"/>
  </si>
  <si>
    <t>조세일보</t>
    <phoneticPr fontId="3" type="noConversion"/>
  </si>
  <si>
    <t>세정일보</t>
    <phoneticPr fontId="3" type="noConversion"/>
  </si>
  <si>
    <t>일간NTN</t>
    <phoneticPr fontId="3" type="noConversion"/>
  </si>
  <si>
    <t>세이프타임즈</t>
    <phoneticPr fontId="3" type="noConversion"/>
  </si>
  <si>
    <t>이코노미퀸</t>
  </si>
  <si>
    <t>세계비즈</t>
    <phoneticPr fontId="3" type="noConversion"/>
  </si>
  <si>
    <t>와이드경제</t>
    <phoneticPr fontId="3" type="noConversion"/>
  </si>
  <si>
    <t>메타tv</t>
    <phoneticPr fontId="3" type="noConversion"/>
  </si>
  <si>
    <t>GNN뉴스</t>
    <phoneticPr fontId="3" type="noConversion"/>
  </si>
  <si>
    <t>코리아타임뉴스</t>
    <phoneticPr fontId="3" type="noConversion"/>
  </si>
  <si>
    <t>코리아일보</t>
    <phoneticPr fontId="3" type="noConversion"/>
  </si>
  <si>
    <t>전국지방자치뉴스</t>
    <phoneticPr fontId="3" type="noConversion"/>
  </si>
  <si>
    <t>한국시사경제</t>
  </si>
  <si>
    <t>더연합타임즈</t>
    <phoneticPr fontId="3" type="noConversion"/>
  </si>
  <si>
    <t>한국산업안전뉴스</t>
    <phoneticPr fontId="3" type="noConversion"/>
  </si>
  <si>
    <t>13_인터넷포털</t>
    <phoneticPr fontId="3" type="noConversion"/>
  </si>
  <si>
    <t>Ch B TV</t>
  </si>
  <si>
    <t>아투시티뉴스</t>
  </si>
  <si>
    <t>한국농기자재산업</t>
    <phoneticPr fontId="3" type="noConversion"/>
  </si>
  <si>
    <t>LG헬로티비</t>
    <phoneticPr fontId="3" type="noConversion"/>
  </si>
  <si>
    <t>한국농업방송(NBS)</t>
    <phoneticPr fontId="3" type="noConversion"/>
  </si>
  <si>
    <t>팜뉴스</t>
    <phoneticPr fontId="3" type="noConversion"/>
  </si>
  <si>
    <t>팍스경제TV</t>
    <phoneticPr fontId="3" type="noConversion"/>
  </si>
  <si>
    <t>OSEN</t>
    <phoneticPr fontId="3" type="noConversion"/>
  </si>
  <si>
    <t>1코노미뉴스</t>
    <phoneticPr fontId="3" type="noConversion"/>
  </si>
  <si>
    <t>뉴스펭귄</t>
    <phoneticPr fontId="3" type="noConversion"/>
  </si>
  <si>
    <t>삼다일보</t>
    <phoneticPr fontId="3" type="noConversion"/>
  </si>
  <si>
    <t>뉴스캠프</t>
    <phoneticPr fontId="3" type="noConversion"/>
  </si>
  <si>
    <t>1_가축개량평가과</t>
    <phoneticPr fontId="3" type="noConversion"/>
  </si>
  <si>
    <t>2_낙농과</t>
    <phoneticPr fontId="3" type="noConversion"/>
  </si>
  <si>
    <t>NBN미디어</t>
    <phoneticPr fontId="3" type="noConversion"/>
  </si>
  <si>
    <t>헤드라인제주</t>
    <phoneticPr fontId="3" type="noConversion"/>
  </si>
  <si>
    <t>이투뉴스</t>
    <phoneticPr fontId="3" type="noConversion"/>
  </si>
  <si>
    <t>뉴데일리 충청·세종</t>
  </si>
  <si>
    <t>뉴스티앤티충남</t>
    <phoneticPr fontId="3" type="noConversion"/>
  </si>
  <si>
    <t>6_축산자원개발부이전추진팀</t>
    <phoneticPr fontId="3" type="noConversion"/>
  </si>
  <si>
    <t>1_동물바이오유전체과</t>
    <phoneticPr fontId="3" type="noConversion"/>
  </si>
  <si>
    <t>3_축산푸드테크과</t>
    <phoneticPr fontId="3" type="noConversion"/>
  </si>
  <si>
    <t>4_스마트축산환경과</t>
    <phoneticPr fontId="3" type="noConversion"/>
  </si>
  <si>
    <t>5_가축정밀영양과</t>
    <phoneticPr fontId="3" type="noConversion"/>
  </si>
  <si>
    <t>6_동물복지과</t>
    <phoneticPr fontId="3" type="noConversion"/>
  </si>
  <si>
    <t>4_조사료생산시스템과</t>
    <phoneticPr fontId="3" type="noConversion"/>
  </si>
  <si>
    <t>5_한우연구센터</t>
    <phoneticPr fontId="3" type="noConversion"/>
  </si>
  <si>
    <t>6_가금연구센터</t>
    <phoneticPr fontId="3" type="noConversion"/>
  </si>
  <si>
    <t>7_난지축산연구센터</t>
    <phoneticPr fontId="3" type="noConversion"/>
  </si>
  <si>
    <t>언더스트리뉴스</t>
  </si>
  <si>
    <t>브레이킹뉴스</t>
  </si>
  <si>
    <t>Hello tv NEWS</t>
  </si>
  <si>
    <t>서울경제TV</t>
  </si>
  <si>
    <t>씨티21뉴스</t>
  </si>
  <si>
    <t>대구일보</t>
    <phoneticPr fontId="3" type="noConversion"/>
  </si>
  <si>
    <t>KBS대구</t>
    <phoneticPr fontId="3" type="noConversion"/>
  </si>
  <si>
    <t>NBS-TV</t>
    <phoneticPr fontId="3" type="noConversion"/>
  </si>
  <si>
    <t>당진신문</t>
    <phoneticPr fontId="3" type="noConversion"/>
  </si>
  <si>
    <t>라이브뉴스</t>
    <phoneticPr fontId="3" type="noConversion"/>
  </si>
  <si>
    <t>MBC-TV</t>
    <phoneticPr fontId="3" type="noConversion"/>
  </si>
  <si>
    <t>15_중앙일간지</t>
    <phoneticPr fontId="3" type="noConversion"/>
  </si>
  <si>
    <t>울산제일일보</t>
    <phoneticPr fontId="3" type="noConversion"/>
  </si>
  <si>
    <t>투데이신문</t>
    <phoneticPr fontId="3" type="noConversion"/>
  </si>
  <si>
    <t>metro</t>
    <phoneticPr fontId="3" type="noConversion"/>
  </si>
  <si>
    <t>에너지데일리</t>
  </si>
  <si>
    <t>글로벌이코노믹</t>
    <phoneticPr fontId="3" type="noConversion"/>
  </si>
  <si>
    <t>17_지방일간지</t>
    <phoneticPr fontId="3" type="noConversion"/>
  </si>
  <si>
    <t>한국무역신문</t>
    <phoneticPr fontId="3" type="noConversion"/>
  </si>
  <si>
    <t>경기신문</t>
    <phoneticPr fontId="3" type="noConversion"/>
  </si>
  <si>
    <t>농축환경신문</t>
    <phoneticPr fontId="3" type="noConversion"/>
  </si>
  <si>
    <t>국립축산과학원, ‘사료피 신품종 현장 평가 및 수확 연시회’ 개최</t>
    <phoneticPr fontId="3" type="noConversion"/>
  </si>
  <si>
    <t>농진청, ‘한우 교배계획 길라잡이 제38호’ 보급 시작</t>
    <phoneticPr fontId="3" type="noConversion"/>
  </si>
  <si>
    <t>축산경제신문</t>
    <phoneticPr fontId="3" type="noConversion"/>
  </si>
  <si>
    <t>영양 풍부 여름철 보양식 고단백·저지방 칼슘 풍부 체력보강·기력 회복 효과</t>
    <phoneticPr fontId="3" type="noConversion"/>
  </si>
  <si>
    <t>한우 유전체 분석 사업 현장과 함께 개량 가속</t>
    <phoneticPr fontId="3" type="noConversion"/>
  </si>
  <si>
    <t>축과원, ‘가축 유전자 검사 국제 인증’ 받아</t>
    <phoneticPr fontId="3" type="noConversion"/>
  </si>
  <si>
    <t>농축유통신문</t>
    <phoneticPr fontId="3" type="noConversion"/>
  </si>
  <si>
    <t>축과원 가축유전자원센터, 국내 첫 DNA 공인시험기관으로 인정</t>
    <phoneticPr fontId="3" type="noConversion"/>
  </si>
  <si>
    <t>농민신문</t>
    <phoneticPr fontId="3" type="noConversion"/>
  </si>
  <si>
    <t>가축더위지수 연동 제어 기술, 산란계 보호 효과 ‘톡톡’</t>
    <phoneticPr fontId="3" type="noConversion"/>
  </si>
  <si>
    <t>농진청, 사료산업 발전 기술협력 강화</t>
    <phoneticPr fontId="3" type="noConversion"/>
  </si>
  <si>
    <t>2025년 한우 수출액 25억...시장 넓힌다 [농어촌이 미래다-그린 라이프]</t>
    <phoneticPr fontId="3" type="noConversion"/>
  </si>
  <si>
    <t>세계일보</t>
    <phoneticPr fontId="3" type="noConversion"/>
  </si>
  <si>
    <t>‘국산 로봇착유기’ 대만 수출···세계 시장 진출 발판</t>
    <phoneticPr fontId="3" type="noConversion"/>
  </si>
  <si>
    <t>한국농기자재산업</t>
    <phoneticPr fontId="3" type="noConversion"/>
  </si>
  <si>
    <t>경주시, 외동 건초생산 사업장 개소···연간 5천톤 자급 체계 구축</t>
    <phoneticPr fontId="3" type="noConversion"/>
  </si>
  <si>
    <t>검찰연합일보</t>
    <phoneticPr fontId="3" type="noConversion"/>
  </si>
  <si>
    <t>국립축산과학원, 연천군 한우농가 축사로 사용자 교육 실시</t>
    <phoneticPr fontId="3" type="noConversion"/>
  </si>
  <si>
    <t>농촌진흥청, 2025년도 가축인공수정사 면허시험 시행계획 공고</t>
    <phoneticPr fontId="3" type="noConversion"/>
  </si>
  <si>
    <t>청송군, 산불 피해농고 일손돕기 적극 추진</t>
    <phoneticPr fontId="3" type="noConversion"/>
  </si>
  <si>
    <t>농촌진흥청, 논 재배용 사료피 신품종 ‘조온’·‘다온’ 개발</t>
    <phoneticPr fontId="3" type="noConversion"/>
  </si>
  <si>
    <t>농촌진흥청, 저메탄 사료 소재 개발 탄소중립 축산 실현 ‘첫걸음’</t>
    <phoneticPr fontId="3" type="noConversion"/>
  </si>
  <si>
    <t>농촌진흥청, 무더위 성큼 축사 냉방·환기시설 미리 점검하세요</t>
    <phoneticPr fontId="3" type="noConversion"/>
  </si>
  <si>
    <t>경상남도농업기술원,‘난축맛돈’ 육지 상륙! 새로운 도전이 시작된다</t>
    <phoneticPr fontId="3" type="noConversion"/>
  </si>
  <si>
    <t>임실군, 임실N치즈 프리미엄화 발판 마련</t>
    <phoneticPr fontId="3" type="noConversion"/>
  </si>
  <si>
    <t>농촌진흥청, 폭염 속 가축 건강 챙긴다···축종별 대응 요령은?</t>
    <phoneticPr fontId="3" type="noConversion"/>
  </si>
  <si>
    <t>전북자치도, 고질 악취에 정책 중심 종합대책 가동</t>
    <phoneticPr fontId="3" type="noConversion"/>
  </si>
  <si>
    <t>농촌진흥청, 국가대표 풀사료 ‘이탈리안 라이그라스’ 씨앗부터 건초까지 전 과정 국산 기술로 완성</t>
    <phoneticPr fontId="3" type="noConversion"/>
  </si>
  <si>
    <t>농촌진흥청, 고체연료용 가축분뇨 축사 내 3개월 저장이 가장 적절</t>
    <phoneticPr fontId="3" type="noConversion"/>
  </si>
  <si>
    <t>고성군, 알팔파 생산 시스템 구축</t>
    <phoneticPr fontId="3" type="noConversion"/>
  </si>
  <si>
    <t>농촌진흥청, 스마트 축산농장 기록관리 경연대회 참가자 모집</t>
    <phoneticPr fontId="3" type="noConversion"/>
  </si>
  <si>
    <t>농촌진흥청, 여름 장마 대비 사료작물 안정 생산 조건은?</t>
    <phoneticPr fontId="3" type="noConversion"/>
  </si>
  <si>
    <t>천안 축산자원개발부 이전·국가산단 유치기념탑 준공</t>
    <phoneticPr fontId="3" type="noConversion"/>
  </si>
  <si>
    <t>농촌진흥청, 여름철 축사 화재·정전 피해 각별하게 주의해야</t>
    <phoneticPr fontId="3" type="noConversion"/>
  </si>
  <si>
    <t>“한우농가 살리자”···정읍시, 전문가 컨설팅으로 맞춤형 지원</t>
    <phoneticPr fontId="3" type="noConversion"/>
  </si>
  <si>
    <t>[청년농부] ‘갓 짜낸 우유’만...10년째 지켜온 청년농부의 고집</t>
    <phoneticPr fontId="3" type="noConversion"/>
  </si>
  <si>
    <t>YTN</t>
    <phoneticPr fontId="3" type="noConversion"/>
  </si>
  <si>
    <t>염소 신품종 육종 위해 해외 생축 반입 늘어나야</t>
    <phoneticPr fontId="3" type="noConversion"/>
  </si>
  <si>
    <t>농수축산신문</t>
    <phoneticPr fontId="3" type="noConversion"/>
  </si>
  <si>
    <t>가축더위지수 연동 자동제어 기술, 산란계 폐사율 감소</t>
    <phoneticPr fontId="3" type="noConversion"/>
  </si>
  <si>
    <t>가축더위지수 자동제어 기술, 산란계　보호 효과 입증</t>
    <phoneticPr fontId="3" type="noConversion"/>
  </si>
  <si>
    <t>축산신문</t>
    <phoneticPr fontId="3" type="noConversion"/>
  </si>
  <si>
    <t>가축 유전자 검사 국제 인증 획득</t>
    <phoneticPr fontId="3" type="noConversion"/>
  </si>
  <si>
    <t>‘이 지수’ 따라 냉수 자동공급···‘산란계’ 고온스트레스 잡는다</t>
    <phoneticPr fontId="3" type="noConversion"/>
  </si>
  <si>
    <t>축산원, 가축유전정보 검사기관 등록</t>
    <phoneticPr fontId="3" type="noConversion"/>
  </si>
  <si>
    <t>[축산 바로알리기] 토끼고기</t>
    <phoneticPr fontId="3" type="noConversion"/>
  </si>
  <si>
    <t>축산과학원·천하제일, 업무협약 체결</t>
    <phoneticPr fontId="3" type="noConversion"/>
  </si>
  <si>
    <t>농촌진흥청·제일사료, 국내 사료산업 발전에 맞손</t>
    <phoneticPr fontId="3" type="noConversion"/>
  </si>
  <si>
    <t>한국영농신문</t>
    <phoneticPr fontId="3" type="noConversion"/>
  </si>
  <si>
    <t>국립축산과학원, ‘가축 유전자 검사 국제 인증’ 받았다</t>
    <phoneticPr fontId="3" type="noConversion"/>
  </si>
  <si>
    <t>전북중앙</t>
    <phoneticPr fontId="3" type="noConversion"/>
  </si>
  <si>
    <t>경희대, 탄소중립 위한 농업·임업·기타 토지 이용(AFOLU)부문 전문가 워크숍 개최</t>
    <phoneticPr fontId="3" type="noConversion"/>
  </si>
  <si>
    <t>스마트경제</t>
    <phoneticPr fontId="3" type="noConversion"/>
  </si>
  <si>
    <t>경희대, 28일 농업·임업 및 기타 토지 이용 부문 전문가 워크숍 열어</t>
    <phoneticPr fontId="3" type="noConversion"/>
  </si>
  <si>
    <t>뉴시스</t>
    <phoneticPr fontId="3" type="noConversion"/>
  </si>
  <si>
    <t>경희대, AFOLU 부문 탄소중립 전문가 워크숍 개최</t>
    <phoneticPr fontId="3" type="noConversion"/>
  </si>
  <si>
    <t>핀포인트뉴스</t>
    <phoneticPr fontId="3" type="noConversion"/>
  </si>
  <si>
    <t>경희대, 탄소중립 위한 농업·임업 및 기타 토지 이용(AFOLU) 부문 전문가 워크숍 개최</t>
    <phoneticPr fontId="3" type="noConversion"/>
  </si>
  <si>
    <t>중앙이코노미뉴스</t>
  </si>
  <si>
    <t>중앙이코노미뉴스</t>
    <phoneticPr fontId="3" type="noConversion"/>
  </si>
  <si>
    <t>와이드경제</t>
    <phoneticPr fontId="3" type="noConversion"/>
  </si>
  <si>
    <t>농진청 “여름철 돼지 인공수정용 액상정액 위생관리 철저히”</t>
    <phoneticPr fontId="3" type="noConversion"/>
  </si>
  <si>
    <t>경희대, AFOLU 탄소 수지 평가 고도화 워크숍 개최...정책·MRV 개선 논의</t>
    <phoneticPr fontId="3" type="noConversion"/>
  </si>
  <si>
    <t>뉴스티앤티</t>
    <phoneticPr fontId="3" type="noConversion"/>
  </si>
  <si>
    <t>농협 축산경제, ‘논 하계조사료 생산·유통 및 품질관리 교육’ 실시</t>
    <phoneticPr fontId="3" type="noConversion"/>
  </si>
  <si>
    <t>팜인사이트</t>
    <phoneticPr fontId="3" type="noConversion"/>
  </si>
  <si>
    <t>축산물처리협회, ‘동물복지축산 정기교육’ 실시</t>
    <phoneticPr fontId="3" type="noConversion"/>
  </si>
  <si>
    <t>이성윤 의원, “농생명 수도 전북 지켜내겠다”</t>
    <phoneticPr fontId="3" type="noConversion"/>
  </si>
  <si>
    <t>뉴스프리존</t>
    <phoneticPr fontId="3" type="noConversion"/>
  </si>
  <si>
    <t>“정액 위생이 돼지 임신율 좌우”...여름철 위생 관리 ‘필수’</t>
    <phoneticPr fontId="3" type="noConversion"/>
  </si>
  <si>
    <t>뉴스1</t>
    <phoneticPr fontId="3" type="noConversion"/>
  </si>
  <si>
    <t>농업인신문</t>
    <phoneticPr fontId="3" type="noConversion"/>
  </si>
  <si>
    <t>사료피, 수확기 따라 품질·생산성 달라져</t>
    <phoneticPr fontId="3" type="noConversion"/>
  </si>
  <si>
    <t>염소고기 수입폭증, 지육·탕·진액 등 국내시장잠식 우려</t>
    <phoneticPr fontId="3" type="noConversion"/>
  </si>
  <si>
    <t>전라매일</t>
    <phoneticPr fontId="3" type="noConversion"/>
  </si>
  <si>
    <t>여름철 돼지 임신율, ‘정액 위생’이 성패 가른다</t>
    <phoneticPr fontId="3" type="noConversion"/>
  </si>
  <si>
    <t>국산 ‘로봇착유기’ 대만 수출</t>
    <phoneticPr fontId="3" type="noConversion"/>
  </si>
  <si>
    <t>농업정보신문</t>
    <phoneticPr fontId="3" type="noConversion"/>
  </si>
  <si>
    <t>국립축산과학원, ‘가축 유전자 검사 국제 인증’</t>
    <phoneticPr fontId="3" type="noConversion"/>
  </si>
  <si>
    <t>전업농신문</t>
    <phoneticPr fontId="3" type="noConversion"/>
  </si>
  <si>
    <t>동아일보</t>
    <phoneticPr fontId="3" type="noConversion"/>
  </si>
  <si>
    <t>경희대, 탄소중립  위한 농업 임업 및 기타 토지 이용(AFOLYU)부문 전문가 워크숍 개최</t>
    <phoneticPr fontId="3" type="noConversion"/>
  </si>
  <si>
    <t>농생명 수도 전북, 농협과 미래 열자</t>
    <phoneticPr fontId="3" type="noConversion"/>
  </si>
  <si>
    <t>전북도 축산연구소 ‘OPU’ 자체 생산</t>
    <phoneticPr fontId="3" type="noConversion"/>
  </si>
  <si>
    <t>브레이크뉴스</t>
    <phoneticPr fontId="3" type="noConversion"/>
  </si>
  <si>
    <t>‘돼지 임신율’ 정액 위생이 관건...여름철 세균 오염 주의해야</t>
    <phoneticPr fontId="3" type="noConversion"/>
  </si>
  <si>
    <t>한국농촌경제신문</t>
    <phoneticPr fontId="3" type="noConversion"/>
  </si>
  <si>
    <t>中연구진, ‘돼지 폐’ 인간에게 이식 세계 첫 성공</t>
    <phoneticPr fontId="3" type="noConversion"/>
  </si>
  <si>
    <t>한국경제</t>
    <phoneticPr fontId="3" type="noConversion"/>
  </si>
  <si>
    <t>돼지 임신율, 정액 위생이 관건...여름철 세균 오염 주의</t>
    <phoneticPr fontId="3" type="noConversion"/>
  </si>
  <si>
    <t>농기자재신문</t>
    <phoneticPr fontId="3" type="noConversion"/>
  </si>
  <si>
    <t>돼지 정액, 여름철 세균 오염 주의</t>
    <phoneticPr fontId="3" type="noConversion"/>
  </si>
  <si>
    <t>매일일보</t>
    <phoneticPr fontId="3" type="noConversion"/>
  </si>
  <si>
    <t>팜앤마켓</t>
    <phoneticPr fontId="3" type="noConversion"/>
  </si>
  <si>
    <t>여름철 돼지 인공 수정용 액상 정액 위생 관리</t>
    <phoneticPr fontId="3" type="noConversion"/>
  </si>
  <si>
    <t>전북도, 임실서 저지종 젖소 수정란 첫 생산...전문목장 육성 기술지원</t>
    <phoneticPr fontId="3" type="noConversion"/>
  </si>
  <si>
    <t>뉴스후플러스</t>
    <phoneticPr fontId="3" type="noConversion"/>
  </si>
  <si>
    <t>돼지 인공수정용 액상 정액 위생 관리 주의해야</t>
    <phoneticPr fontId="3" type="noConversion"/>
  </si>
  <si>
    <t>[축산 신기술] 축산 LED 조명, 생산성 향상 이끄는 미래의 빛 / 월간축산</t>
    <phoneticPr fontId="3" type="noConversion"/>
  </si>
  <si>
    <t>4_조사료생산시스템과</t>
  </si>
  <si>
    <t>박형수</t>
  </si>
  <si>
    <t>보도자료81</t>
  </si>
  <si>
    <t>이경은</t>
    <phoneticPr fontId="3" type="noConversion"/>
  </si>
  <si>
    <t>박성민</t>
  </si>
  <si>
    <t>즉시52</t>
  </si>
  <si>
    <t>김승창</t>
  </si>
  <si>
    <t>즉시53</t>
  </si>
  <si>
    <t>백선영</t>
    <phoneticPr fontId="3" type="noConversion"/>
  </si>
  <si>
    <t>보도자료83</t>
    <phoneticPr fontId="3" type="noConversion"/>
  </si>
  <si>
    <t>6_동물복지과</t>
  </si>
  <si>
    <t>김찬호</t>
  </si>
  <si>
    <t>보도자료80</t>
  </si>
  <si>
    <t>성하승</t>
  </si>
  <si>
    <t>보도자료76</t>
  </si>
  <si>
    <t>3_축산푸드테크과</t>
  </si>
  <si>
    <t>강선문</t>
  </si>
  <si>
    <t>보도자료78</t>
  </si>
  <si>
    <t>박병호</t>
    <phoneticPr fontId="3" type="noConversion"/>
  </si>
  <si>
    <t>5_가축정밀영양과</t>
  </si>
  <si>
    <t>강환구</t>
  </si>
  <si>
    <t>즉시54</t>
  </si>
  <si>
    <t>이성신</t>
  </si>
  <si>
    <t>보도자료46</t>
  </si>
  <si>
    <t>강선문</t>
    <phoneticPr fontId="3" type="noConversion"/>
  </si>
  <si>
    <t>고하늘</t>
  </si>
  <si>
    <t>이승인</t>
  </si>
  <si>
    <t>보도자료42</t>
  </si>
  <si>
    <t>전승일</t>
    <phoneticPr fontId="3" type="noConversion"/>
  </si>
  <si>
    <t>보도자료47</t>
    <phoneticPr fontId="3" type="noConversion"/>
  </si>
  <si>
    <t>김병현</t>
    <phoneticPr fontId="3" type="noConversion"/>
  </si>
  <si>
    <t>4_스마트축산환경과</t>
  </si>
  <si>
    <t>조인철</t>
    <phoneticPr fontId="3" type="noConversion"/>
  </si>
  <si>
    <t>즉시26</t>
    <phoneticPr fontId="3" type="noConversion"/>
  </si>
  <si>
    <t>이지환</t>
  </si>
  <si>
    <t>김정현</t>
  </si>
  <si>
    <t>보도자료49</t>
  </si>
  <si>
    <t>허태영</t>
  </si>
  <si>
    <t>보도자료50</t>
  </si>
  <si>
    <t>김조은</t>
  </si>
  <si>
    <t>보도자료51</t>
  </si>
  <si>
    <t>6_가금연구센터</t>
  </si>
  <si>
    <t>홍의철</t>
  </si>
  <si>
    <t>보도자료52</t>
  </si>
  <si>
    <t>우제훈</t>
  </si>
  <si>
    <t>즉시31</t>
  </si>
  <si>
    <t>이동준</t>
  </si>
  <si>
    <t>보도자료54</t>
  </si>
  <si>
    <t>정종성</t>
  </si>
  <si>
    <t>보도자료56</t>
  </si>
  <si>
    <t>보도자료57</t>
  </si>
  <si>
    <t>6_축산자원개발부이전추진팀</t>
  </si>
  <si>
    <t>임은아</t>
    <phoneticPr fontId="3" type="noConversion"/>
  </si>
  <si>
    <t>장동화</t>
  </si>
  <si>
    <t>보도자료58</t>
  </si>
  <si>
    <t>김창한</t>
  </si>
  <si>
    <t>김창한</t>
    <phoneticPr fontId="3" type="noConversion"/>
  </si>
  <si>
    <t>김관우</t>
  </si>
  <si>
    <t>즉시53</t>
    <phoneticPr fontId="3" type="noConversion"/>
  </si>
  <si>
    <t>김승창</t>
    <phoneticPr fontId="3" type="noConversion"/>
  </si>
  <si>
    <t>배인선</t>
    <phoneticPr fontId="3" type="noConversion"/>
  </si>
  <si>
    <t>김재은</t>
  </si>
  <si>
    <t>김재은</t>
    <phoneticPr fontId="3" type="noConversion"/>
  </si>
  <si>
    <t>고하늘</t>
    <phoneticPr fontId="3" type="noConversion"/>
  </si>
  <si>
    <t>이우도</t>
    <phoneticPr fontId="3" type="noConversion"/>
  </si>
  <si>
    <t>김정현</t>
    <phoneticPr fontId="3" type="noConversion"/>
  </si>
  <si>
    <t>보도자료78</t>
    <phoneticPr fontId="3" type="noConversion"/>
  </si>
  <si>
    <t>3_기술지원과</t>
    <phoneticPr fontId="3" type="noConversion"/>
  </si>
  <si>
    <t>박성민</t>
    <phoneticPr fontId="3" type="noConversion"/>
  </si>
  <si>
    <t>김다혜</t>
    <phoneticPr fontId="3" type="noConversion"/>
  </si>
  <si>
    <t>1_동물바이오유전체과</t>
  </si>
  <si>
    <t>신승철</t>
    <phoneticPr fontId="3" type="noConversion"/>
  </si>
  <si>
    <t>90-93</t>
    <phoneticPr fontId="3" type="noConversion"/>
  </si>
  <si>
    <t>한우마당</t>
    <phoneticPr fontId="3" type="noConversion"/>
  </si>
  <si>
    <t>한우사육 100문 100답</t>
    <phoneticPr fontId="3" type="noConversion"/>
  </si>
  <si>
    <t>정진영</t>
    <phoneticPr fontId="3" type="noConversion"/>
  </si>
  <si>
    <t>306-310</t>
    <phoneticPr fontId="3" type="noConversion"/>
  </si>
  <si>
    <t>Pig&amp;Pork한돈</t>
    <phoneticPr fontId="3" type="noConversion"/>
  </si>
  <si>
    <t>불확실성의 시대, 종돈업계의 생존 방정식은?</t>
    <phoneticPr fontId="3" type="noConversion"/>
  </si>
  <si>
    <t>김영신</t>
    <phoneticPr fontId="3" type="noConversion"/>
  </si>
  <si>
    <t>월간한돈</t>
    <phoneticPr fontId="3" type="noConversion"/>
  </si>
  <si>
    <t>농진청, ‘청년 축산인을 위한 영농승계 지원 모델’ 발간</t>
    <phoneticPr fontId="3" type="noConversion"/>
  </si>
  <si>
    <t>보도자료24</t>
  </si>
  <si>
    <t>442-443</t>
    <phoneticPr fontId="3" type="noConversion"/>
  </si>
  <si>
    <r>
      <t>우리 흑돼지 시장 확장 ‘청신호’…대형마트 진출</t>
    </r>
    <r>
      <rPr>
        <sz val="10"/>
        <color theme="1"/>
        <rFont val="맑은 고딕 Semilight"/>
        <family val="3"/>
        <charset val="129"/>
      </rPr>
      <t>‧</t>
    </r>
    <r>
      <rPr>
        <sz val="10"/>
        <color theme="1"/>
        <rFont val="돋움"/>
        <family val="3"/>
        <charset val="129"/>
      </rPr>
      <t>토종인증까지</t>
    </r>
    <phoneticPr fontId="3" type="noConversion"/>
  </si>
  <si>
    <t>보도자료30</t>
  </si>
  <si>
    <t>백수현</t>
  </si>
  <si>
    <t>‘난축맛돈’으로 맛과 소득 모두 잡는다…경남서 흑돼지 주목</t>
    <phoneticPr fontId="3" type="noConversion"/>
  </si>
  <si>
    <t>보도자료29</t>
  </si>
  <si>
    <t>강용준</t>
  </si>
  <si>
    <t>7_난지축산연구센터</t>
  </si>
  <si>
    <t>392-397</t>
    <phoneticPr fontId="3" type="noConversion"/>
  </si>
  <si>
    <t>이유자돈 병원성 미생물 제어를 위한 박테리오파지 활용 기술</t>
    <phoneticPr fontId="3" type="noConversion"/>
  </si>
  <si>
    <t>최요한</t>
  </si>
  <si>
    <t>월간산란계</t>
    <phoneticPr fontId="3" type="noConversion"/>
  </si>
  <si>
    <t>가축 면역력 떨어지는 환절기, 축산농장 환경관리 요령</t>
    <phoneticPr fontId="3" type="noConversion"/>
  </si>
  <si>
    <t>보도자료35</t>
    <phoneticPr fontId="3" type="noConversion"/>
  </si>
  <si>
    <t>김정현</t>
    <phoneticPr fontId="3" type="noConversion"/>
  </si>
  <si>
    <t>월간양계</t>
    <phoneticPr fontId="3" type="noConversion"/>
  </si>
  <si>
    <t>우리 가축유전자원, 국제적 인정 기회…등재 후보 모집</t>
    <phoneticPr fontId="3" type="noConversion"/>
  </si>
  <si>
    <t>보도자료37</t>
  </si>
  <si>
    <t>136-139</t>
    <phoneticPr fontId="3" type="noConversion"/>
  </si>
  <si>
    <t>유전체학 및 후성유전체학을 통한 닭의 유전적 특성 규명과 조절</t>
    <phoneticPr fontId="3" type="noConversion"/>
  </si>
  <si>
    <t>김현권</t>
    <phoneticPr fontId="3" type="noConversion"/>
  </si>
  <si>
    <t>비타민 급여의 적정량과 기간</t>
    <phoneticPr fontId="3" type="noConversion"/>
  </si>
  <si>
    <t>지상윤</t>
    <phoneticPr fontId="3" type="noConversion"/>
  </si>
  <si>
    <t>월간닭고기</t>
    <phoneticPr fontId="3" type="noConversion"/>
  </si>
  <si>
    <t>가축다양성정보시스템(DAD-IS) 등재 후보 모집</t>
    <phoneticPr fontId="3" type="noConversion"/>
  </si>
  <si>
    <t>167-170</t>
    <phoneticPr fontId="3" type="noConversion"/>
  </si>
  <si>
    <t>월간낙농육우</t>
    <phoneticPr fontId="3" type="noConversion"/>
  </si>
  <si>
    <t>4월 사양관리</t>
    <phoneticPr fontId="3" type="noConversion"/>
  </si>
  <si>
    <t>김동현</t>
    <phoneticPr fontId="3" type="noConversion"/>
  </si>
  <si>
    <t>144-147</t>
    <phoneticPr fontId="3" type="noConversion"/>
  </si>
  <si>
    <t>부숙?파서블!</t>
    <phoneticPr fontId="3" type="noConversion"/>
  </si>
  <si>
    <t>이동준</t>
    <phoneticPr fontId="3" type="noConversion"/>
  </si>
  <si>
    <t>09_농업전문지</t>
    <phoneticPr fontId="3" type="noConversion"/>
  </si>
  <si>
    <t>월간한우</t>
    <phoneticPr fontId="3" type="noConversion"/>
  </si>
  <si>
    <t>농촌진흥청/‘청년 축산인 위한 영농승계 지원모델’책자 발간</t>
    <phoneticPr fontId="3" type="noConversion"/>
  </si>
  <si>
    <t>농촌진흥청/‘축산기술 접목 우수농장’에 ‘두소 한우공원’ 선정</t>
    <phoneticPr fontId="3" type="noConversion"/>
  </si>
  <si>
    <t>보도자료18</t>
  </si>
  <si>
    <t>이기원</t>
  </si>
  <si>
    <t>임기순 국립축산과학원장, 자가 사료 제조기술 전수 현장방문</t>
    <phoneticPr fontId="3" type="noConversion"/>
  </si>
  <si>
    <t>보도자료34</t>
    <phoneticPr fontId="3" type="noConversion"/>
  </si>
  <si>
    <t>백열창</t>
    <phoneticPr fontId="3" type="noConversion"/>
  </si>
  <si>
    <t>5_한우연구센터</t>
  </si>
  <si>
    <t>희소 한우 체외수정란 생산율 증가 기술 개발</t>
    <phoneticPr fontId="3" type="noConversion"/>
  </si>
  <si>
    <t>보도자료26</t>
  </si>
  <si>
    <t>이세영</t>
  </si>
  <si>
    <t>한우농가 경영 효율 높이는 ‘축사로’활용 교육 추진</t>
    <phoneticPr fontId="3" type="noConversion"/>
  </si>
  <si>
    <t>보도자료31</t>
  </si>
  <si>
    <t>한우 자가 TMR 기술 전수 거점농장 확대</t>
    <phoneticPr fontId="3" type="noConversion"/>
  </si>
  <si>
    <t>보도자료27</t>
  </si>
  <si>
    <t>백열창</t>
  </si>
  <si>
    <t>자가TMR 우수농가 사료 제조 기술 및 영양성분 사례집</t>
    <phoneticPr fontId="3" type="noConversion"/>
  </si>
  <si>
    <t>보도자료25</t>
    <phoneticPr fontId="3" type="noConversion"/>
  </si>
  <si>
    <t>박명선</t>
    <phoneticPr fontId="3" type="noConversion"/>
  </si>
  <si>
    <t>월간축산</t>
    <phoneticPr fontId="3" type="noConversion"/>
  </si>
  <si>
    <t>축산과학원, 치즈 숙성용 친환경 포장필름 개발</t>
    <phoneticPr fontId="3" type="noConversion"/>
  </si>
  <si>
    <t>보도자료22</t>
  </si>
  <si>
    <t>함준상</t>
  </si>
  <si>
    <t>110-113</t>
    <phoneticPr fontId="3" type="noConversion"/>
  </si>
  <si>
    <t>2025 신년 한우 심포지엄</t>
    <phoneticPr fontId="3" type="noConversion"/>
  </si>
  <si>
    <t>98-101</t>
    <phoneticPr fontId="3" type="noConversion"/>
  </si>
  <si>
    <t>축산 연구직 공무원/“혼신 다한 연구가 농가 문제 해결할 때 뿌듯”</t>
    <phoneticPr fontId="3" type="noConversion"/>
  </si>
  <si>
    <t>무창돈사에 바이오커튼 접목해 냄새 민원 해결</t>
    <phoneticPr fontId="3" type="noConversion"/>
  </si>
  <si>
    <t>75-77</t>
    <phoneticPr fontId="3" type="noConversion"/>
  </si>
  <si>
    <t>저지우유/유가공품 위주의 소비 변화 대응한 프리미엄 제품</t>
    <phoneticPr fontId="3" type="noConversion"/>
  </si>
  <si>
    <t>이지환</t>
    <phoneticPr fontId="3" type="noConversion"/>
  </si>
  <si>
    <r>
      <t>축산과학원이 개발한 흑돼지 ‘우리흑돈’/농가 등에 7월</t>
    </r>
    <r>
      <rPr>
        <sz val="10"/>
        <rFont val="맑은 고딕 Semilight"/>
        <family val="3"/>
        <charset val="129"/>
      </rPr>
      <t>‧</t>
    </r>
    <r>
      <rPr>
        <sz val="10"/>
        <rFont val="돋움"/>
        <family val="3"/>
        <charset val="129"/>
      </rPr>
      <t>12월 두 차례 보급한다</t>
    </r>
    <phoneticPr fontId="3" type="noConversion"/>
  </si>
  <si>
    <t>보도자료33</t>
  </si>
  <si>
    <t>32-35</t>
    <phoneticPr fontId="3" type="noConversion"/>
  </si>
  <si>
    <t>사료비 절감과 장기 비육이 외국산과의 경쟁 무기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</si>
</sst>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돋움"/>
      <family val="3"/>
      <charset val="129"/>
    </font>
    <font>
      <b/>
      <sz val="10"/>
      <color theme="0"/>
      <name val="돋움"/>
      <family val="3"/>
      <charset val="129"/>
    </font>
    <font>
      <sz val="8"/>
      <name val="맑은 고딕"/>
      <family val="3"/>
      <charset val="129"/>
    </font>
    <font>
      <sz val="10"/>
      <name val="돋움"/>
      <family val="3"/>
      <charset val="129"/>
    </font>
    <font>
      <sz val="10"/>
      <color theme="4" tint="-0.249977111117893"/>
      <name val="돋움"/>
      <family val="3"/>
      <charset val="129"/>
    </font>
    <font>
      <sz val="10"/>
      <color rgb="FF000000"/>
      <name val="돋움"/>
      <family val="3"/>
      <charset val="129"/>
    </font>
    <font>
      <sz val="10"/>
      <color theme="1"/>
      <name val="맑은 고딕 Semilight"/>
      <family val="3"/>
      <charset val="129"/>
    </font>
    <font>
      <sz val="10"/>
      <name val="맑은 고딕 Semilight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</cellStyleXfs>
  <cellXfs count="85">
    <xf numFmtId="0" fontId="0" fillId="0" borderId="0" xfId="0">
      <alignment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center" vertical="center"/>
    </xf>
    <xf numFmtId="0" fontId="5" fillId="2" borderId="0" xfId="1" applyFont="1" applyFill="1" applyBorder="1" applyAlignment="1">
      <alignment horizontal="center" vertical="center"/>
    </xf>
    <xf numFmtId="14" fontId="5" fillId="2" borderId="0" xfId="1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14" fontId="7" fillId="0" borderId="0" xfId="2" applyNumberFormat="1" applyFont="1" applyFill="1" applyBorder="1" applyAlignment="1">
      <alignment horizontal="left" vertical="center"/>
    </xf>
    <xf numFmtId="0" fontId="7" fillId="0" borderId="0" xfId="3" applyFont="1" applyFill="1" applyBorder="1" applyAlignment="1">
      <alignment horizontal="left" vertical="center" wrapText="1"/>
    </xf>
    <xf numFmtId="0" fontId="7" fillId="0" borderId="0" xfId="2" applyNumberFormat="1" applyFont="1" applyFill="1" applyBorder="1" applyAlignment="1">
      <alignment horizontal="left" vertical="center" wrapText="1"/>
    </xf>
    <xf numFmtId="0" fontId="7" fillId="0" borderId="0" xfId="2" applyFont="1" applyFill="1" applyBorder="1" applyAlignment="1">
      <alignment horizontal="left" vertical="center" wrapText="1"/>
    </xf>
    <xf numFmtId="0" fontId="4" fillId="0" borderId="0" xfId="0" applyFont="1" applyBorder="1">
      <alignment vertical="center"/>
    </xf>
    <xf numFmtId="0" fontId="4" fillId="0" borderId="0" xfId="0" applyFont="1">
      <alignment vertical="center"/>
    </xf>
    <xf numFmtId="0" fontId="5" fillId="2" borderId="0" xfId="2" applyFont="1" applyFill="1" applyBorder="1" applyAlignment="1">
      <alignment horizontal="center" vertical="center"/>
    </xf>
    <xf numFmtId="0" fontId="7" fillId="0" borderId="0" xfId="4" applyNumberFormat="1" applyFont="1" applyFill="1" applyBorder="1" applyAlignment="1">
      <alignment horizontal="left" vertical="center" wrapText="1"/>
    </xf>
    <xf numFmtId="14" fontId="7" fillId="0" borderId="0" xfId="2" applyNumberFormat="1" applyFont="1" applyFill="1" applyBorder="1" applyAlignment="1">
      <alignment horizontal="left" vertical="center" wrapText="1"/>
    </xf>
    <xf numFmtId="0" fontId="4" fillId="4" borderId="0" xfId="0" applyFont="1" applyFill="1">
      <alignment vertical="center"/>
    </xf>
    <xf numFmtId="0" fontId="4" fillId="0" borderId="0" xfId="2" applyFont="1" applyBorder="1" applyAlignment="1">
      <alignment horizontal="left" vertical="center"/>
    </xf>
    <xf numFmtId="0" fontId="8" fillId="0" borderId="0" xfId="0" applyFont="1">
      <alignment vertical="center"/>
    </xf>
    <xf numFmtId="0" fontId="4" fillId="5" borderId="0" xfId="0" applyFont="1" applyFill="1">
      <alignment vertical="center"/>
    </xf>
    <xf numFmtId="0" fontId="4" fillId="5" borderId="0" xfId="0" applyFont="1" applyFill="1" applyBorder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5" fillId="2" borderId="0" xfId="1" applyNumberFormat="1" applyFont="1" applyFill="1" applyBorder="1" applyAlignment="1">
      <alignment horizontal="center" vertical="center"/>
    </xf>
    <xf numFmtId="0" fontId="4" fillId="0" borderId="0" xfId="0" applyNumberFormat="1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/>
    </xf>
    <xf numFmtId="14" fontId="4" fillId="0" borderId="0" xfId="3" applyNumberFormat="1" applyFont="1" applyFill="1" applyBorder="1" applyAlignment="1">
      <alignment horizontal="left" vertical="center" wrapText="1"/>
    </xf>
    <xf numFmtId="0" fontId="4" fillId="0" borderId="0" xfId="2" applyFont="1" applyFill="1" applyBorder="1" applyAlignment="1">
      <alignment horizontal="left" vertical="center"/>
    </xf>
    <xf numFmtId="0" fontId="4" fillId="0" borderId="0" xfId="2" applyNumberFormat="1" applyFont="1" applyFill="1" applyBorder="1" applyAlignment="1">
      <alignment horizontal="left" vertical="center" wrapText="1"/>
    </xf>
    <xf numFmtId="176" fontId="4" fillId="0" borderId="0" xfId="0" applyNumberFormat="1" applyFont="1" applyFill="1" applyBorder="1" applyAlignment="1">
      <alignment horizontal="center" vertical="center"/>
    </xf>
    <xf numFmtId="14" fontId="7" fillId="0" borderId="0" xfId="0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176" fontId="4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14" fontId="4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7" fillId="0" borderId="0" xfId="0" applyFont="1" applyAlignment="1">
      <alignment horizontal="left" vertical="center"/>
    </xf>
    <xf numFmtId="0" fontId="7" fillId="6" borderId="1" xfId="0" applyFont="1" applyFill="1" applyBorder="1" applyAlignment="1">
      <alignment horizontal="center" vertical="center" wrapText="1"/>
    </xf>
    <xf numFmtId="0" fontId="4" fillId="0" borderId="0" xfId="2" applyFont="1" applyFill="1" applyBorder="1" applyAlignment="1">
      <alignment horizontal="left" vertical="center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176" fontId="4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Fill="1" applyBorder="1" applyAlignment="1">
      <alignment horizontal="left" vertical="center"/>
    </xf>
    <xf numFmtId="0" fontId="7" fillId="0" borderId="0" xfId="2" applyFont="1" applyFill="1" applyBorder="1" applyAlignment="1">
      <alignment vertical="center"/>
    </xf>
    <xf numFmtId="0" fontId="7" fillId="6" borderId="1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vertical="center"/>
    </xf>
    <xf numFmtId="0" fontId="7" fillId="0" borderId="1" xfId="0" applyFont="1" applyFill="1" applyBorder="1" applyAlignment="1">
      <alignment vertical="center"/>
    </xf>
    <xf numFmtId="0" fontId="7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176" fontId="5" fillId="2" borderId="0" xfId="1" applyNumberFormat="1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4" fillId="4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7" borderId="0" xfId="2" applyFont="1" applyFill="1" applyBorder="1" applyAlignment="1">
      <alignment horizontal="left" vertical="center"/>
    </xf>
    <xf numFmtId="0" fontId="7" fillId="7" borderId="0" xfId="2" applyFont="1" applyFill="1" applyBorder="1" applyAlignment="1">
      <alignment horizontal="left" vertical="center" wrapText="1"/>
    </xf>
    <xf numFmtId="0" fontId="4" fillId="7" borderId="0" xfId="0" applyFont="1" applyFill="1" applyBorder="1" applyAlignment="1">
      <alignment horizontal="center" vertical="center"/>
    </xf>
    <xf numFmtId="0" fontId="4" fillId="8" borderId="0" xfId="2" applyFont="1" applyFill="1" applyBorder="1" applyAlignment="1">
      <alignment horizontal="left" vertical="center"/>
    </xf>
    <xf numFmtId="0" fontId="7" fillId="8" borderId="0" xfId="2" applyFont="1" applyFill="1" applyBorder="1" applyAlignment="1">
      <alignment horizontal="left" vertical="center" wrapText="1"/>
    </xf>
    <xf numFmtId="0" fontId="4" fillId="8" borderId="0" xfId="0" applyFont="1" applyFill="1" applyBorder="1" applyAlignment="1">
      <alignment horizontal="center" vertical="center"/>
    </xf>
    <xf numFmtId="0" fontId="9" fillId="8" borderId="0" xfId="0" applyFont="1" applyFill="1" applyAlignment="1">
      <alignment horizontal="left" vertical="center"/>
    </xf>
    <xf numFmtId="14" fontId="4" fillId="8" borderId="0" xfId="0" applyNumberFormat="1" applyFont="1" applyFill="1" applyBorder="1" applyAlignment="1">
      <alignment horizontal="center" vertical="center"/>
    </xf>
    <xf numFmtId="0" fontId="4" fillId="8" borderId="0" xfId="0" applyNumberFormat="1" applyFont="1" applyFill="1" applyBorder="1" applyAlignment="1">
      <alignment horizontal="center" vertical="center"/>
    </xf>
    <xf numFmtId="0" fontId="4" fillId="8" borderId="0" xfId="0" applyFont="1" applyFill="1" applyBorder="1" applyAlignment="1">
      <alignment horizontal="left" vertical="center"/>
    </xf>
    <xf numFmtId="176" fontId="4" fillId="8" borderId="0" xfId="0" applyNumberFormat="1" applyFont="1" applyFill="1" applyBorder="1" applyAlignment="1">
      <alignment horizontal="center" vertical="center"/>
    </xf>
    <xf numFmtId="0" fontId="4" fillId="7" borderId="0" xfId="0" applyFont="1" applyFill="1" applyAlignment="1">
      <alignment horizontal="left" vertical="center"/>
    </xf>
    <xf numFmtId="14" fontId="4" fillId="7" borderId="0" xfId="0" applyNumberFormat="1" applyFont="1" applyFill="1" applyBorder="1" applyAlignment="1">
      <alignment horizontal="center" vertical="center"/>
    </xf>
    <xf numFmtId="0" fontId="4" fillId="7" borderId="0" xfId="0" applyNumberFormat="1" applyFont="1" applyFill="1" applyBorder="1" applyAlignment="1">
      <alignment horizontal="center" vertical="center"/>
    </xf>
    <xf numFmtId="0" fontId="4" fillId="7" borderId="0" xfId="0" applyFont="1" applyFill="1" applyBorder="1" applyAlignment="1">
      <alignment horizontal="left" vertical="center"/>
    </xf>
    <xf numFmtId="176" fontId="4" fillId="7" borderId="0" xfId="0" applyNumberFormat="1" applyFont="1" applyFill="1" applyBorder="1" applyAlignment="1">
      <alignment horizontal="center" vertical="center"/>
    </xf>
    <xf numFmtId="0" fontId="9" fillId="7" borderId="0" xfId="0" applyFont="1" applyFill="1" applyAlignment="1">
      <alignment horizontal="left" vertical="center"/>
    </xf>
    <xf numFmtId="0" fontId="4" fillId="0" borderId="0" xfId="0" applyFont="1" applyFill="1" applyBorder="1" applyAlignment="1">
      <alignment horizontal="center" vertical="center" wrapText="1"/>
    </xf>
  </cellXfs>
  <cellStyles count="5">
    <cellStyle name="표준" xfId="0" builtinId="0"/>
    <cellStyle name="표준 12" xfId="2"/>
    <cellStyle name="표준 2" xfId="1"/>
    <cellStyle name="표준 4" xfId="3"/>
    <cellStyle name="표준 5" xfId="4"/>
  </cellStyles>
  <dxfs count="0"/>
  <tableStyles count="0" defaultTableStyle="TableStyleMedium2" defaultPivotStyle="PivotStyleLight16"/>
  <colors>
    <mruColors>
      <color rgb="FFFFFFCC"/>
      <color rgb="FFE1FFE8"/>
      <color rgb="FFE1E1FF"/>
      <color rgb="FFCCCCFF"/>
      <color rgb="FFFDEDFC"/>
      <color rgb="FFFFD5FF"/>
      <color rgb="FFFFCCFF"/>
      <color rgb="FFFFCCCC"/>
      <color rgb="FFECFFD9"/>
      <color rgb="FFD6C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indows 사용자" refreshedDate="43802.570623148145" createdVersion="6" refreshedVersion="6" minRefreshableVersion="3" recordCount="5130">
  <cacheSource type="worksheet">
    <worksheetSource ref="A1:N1" sheet="2022년 누적시트"/>
  </cacheSource>
  <cacheFields count="13">
    <cacheField name="번호" numFmtId="0">
      <sharedItems containsSemiMixedTypes="0" containsString="0" containsNumber="1" containsInteger="1" minValue="1" maxValue="5130"/>
    </cacheField>
    <cacheField name="소속기관" numFmtId="0">
      <sharedItems/>
    </cacheField>
    <cacheField name="소속부" numFmtId="0">
      <sharedItems/>
    </cacheField>
    <cacheField name="소속부서" numFmtId="0">
      <sharedItems count="18">
        <s v="3_양돈과"/>
        <s v="1_동물바이오공학과"/>
        <s v="1_기획조정과"/>
        <s v="4_가축질병방역과"/>
        <s v="7_가금연구소"/>
        <s v="3_축산물이용과"/>
        <s v="4_초지사료과"/>
        <s v="5_영양생리팀"/>
        <s v="1_가축개량평가과"/>
        <s v="4_축산환경과"/>
        <s v="8_난지축산연구소"/>
        <s v="2_운영지원과"/>
        <s v="2_낙농과"/>
        <s v="3_기술지원과"/>
        <s v="6_한우연구소"/>
        <s v="5_가축유전자원센터"/>
        <s v="2_동물유전체과"/>
        <s v="6_동물복지연구팀"/>
      </sharedItems>
    </cacheField>
    <cacheField name="담당자" numFmtId="0">
      <sharedItems containsBlank="1"/>
    </cacheField>
    <cacheField name="보도관련" numFmtId="0">
      <sharedItems containsBlank="1"/>
    </cacheField>
    <cacheField name="제  목" numFmtId="0">
      <sharedItems/>
    </cacheField>
    <cacheField name="보도매체" numFmtId="0">
      <sharedItems/>
    </cacheField>
    <cacheField name="게재일" numFmtId="14">
      <sharedItems containsSemiMixedTypes="0" containsNonDate="0" containsDate="1" containsString="0" minDate="2018-01-05T00:00:00" maxDate="2019-11-30T00:00:00"/>
    </cacheField>
    <cacheField name="면" numFmtId="0">
      <sharedItems containsBlank="1" containsMixedTypes="1" containsNumber="1" containsInteger="1" minValue="1" maxValue="462"/>
    </cacheField>
    <cacheField name="구분 1" numFmtId="0">
      <sharedItems/>
    </cacheField>
    <cacheField name="구분 2(점수)" numFmtId="0">
      <sharedItems containsString="0" containsBlank="1" containsNumber="1" minValue="0.1" maxValue="15"/>
    </cacheField>
    <cacheField name="스크랩일" numFmtId="14">
      <sharedItems containsSemiMixedTypes="0" containsNonDate="0" containsDate="1" containsString="0" minDate="2019-01-02T00:00:00" maxDate="2019-11-30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130">
  <r>
    <n v="1"/>
    <s v="8_국립축산과학원"/>
    <s v="2_축산자원개발부"/>
    <x v="0"/>
    <s v="문홍길"/>
    <s v="기고"/>
    <s v="[기고] 문홍길 과장-돼지 예찬"/>
    <s v="아시아투데이"/>
    <d v="2018-12-31T00:00:00"/>
    <m/>
    <s v="15_중앙일간지"/>
    <n v="15"/>
    <d v="2019-01-02T00:00:00"/>
  </r>
  <r>
    <n v="2"/>
    <s v="8_국립축산과학원"/>
    <s v="2_축산자원개발부"/>
    <x v="0"/>
    <s v="문홍길"/>
    <s v="기고"/>
    <s v="[기고] 문홍길 과장-축산현장 애로기술 해결 위한 돼지 사육[100문 100답] Q79"/>
    <s v="축산신문"/>
    <d v="2018-12-28T00:00:00"/>
    <n v="15"/>
    <s v="17_농업전문지"/>
    <n v="8"/>
    <d v="2019-01-02T00:00:00"/>
  </r>
  <r>
    <n v="3"/>
    <s v="8_국립축산과학원"/>
    <s v="1_축산생명환경부"/>
    <x v="1"/>
    <s v="오건봉"/>
    <m/>
    <s v="‘게으른 돼지?’…‘깨끗하고 똑똑한 돼지!’(오건봉 연구사 인터뷰)[뉴스투데이]"/>
    <s v="MBC"/>
    <d v="2019-01-01T00:00:00"/>
    <m/>
    <s v="01_TV-중앙"/>
    <n v="8"/>
    <d v="2019-01-02T00:00:00"/>
  </r>
  <r>
    <n v="4"/>
    <s v="8_국립축산과학원"/>
    <s v="0_본원"/>
    <x v="2"/>
    <s v="김용민"/>
    <m/>
    <s v="‘게으른 돼지?’…‘깨끗하고 똑똑한 돼지!’(김용민 연구사 인터뷰)[뉴스투데이]"/>
    <s v="MBC"/>
    <d v="2019-01-01T00:00:00"/>
    <m/>
    <s v="01_TV-중앙"/>
    <n v="8"/>
    <d v="2019-01-02T00:00:00"/>
  </r>
  <r>
    <n v="5"/>
    <s v="8_국립축산과학원"/>
    <s v="1_축산생명환경부"/>
    <x v="1"/>
    <s v="오건봉"/>
    <m/>
    <s v="“개보다 IQ 더 높다는”... 2019 황금돼지의 해(오건봉 연구사 인터뷰)"/>
    <s v="YTN"/>
    <d v="2018-12-31T00:00:00"/>
    <m/>
    <s v="02_TV-케이블중앙"/>
    <n v="4"/>
    <d v="2019-01-02T00:00:00"/>
  </r>
  <r>
    <n v="6"/>
    <s v="8_국립축산과학원"/>
    <s v="0_본원"/>
    <x v="2"/>
    <s v="김용민"/>
    <m/>
    <s v="“개보다 IQ 더 높다는”... 2019 황금돼지의 해(김용민 연구사 인터뷰)"/>
    <s v="YTN"/>
    <d v="2018-12-31T00:00:00"/>
    <m/>
    <s v="02_TV-케이블중앙"/>
    <n v="4"/>
    <d v="2019-01-02T00:00:00"/>
  </r>
  <r>
    <n v="7"/>
    <s v="8_국립축산과학원"/>
    <s v="1_축산생명환경부"/>
    <x v="1"/>
    <s v="오건봉"/>
    <m/>
    <s v="황금돼지의 해…식량자원부터 장기이식까지"/>
    <s v="OBS"/>
    <d v="2018-12-31T00:00:00"/>
    <m/>
    <s v="02_TV-지방"/>
    <n v="4"/>
    <d v="2019-01-02T00:00:00"/>
  </r>
  <r>
    <n v="8"/>
    <s v="8_국립축산과학원"/>
    <s v="1_축산생명환경부"/>
    <x v="1"/>
    <s v="오건봉"/>
    <m/>
    <s v="돼지 장기, 원숭이에 이식…사람에게 가능할까(뉴스오늘)"/>
    <s v="연합뉴스TV"/>
    <d v="2019-01-01T00:00:00"/>
    <m/>
    <s v="02_TV-케이블중앙"/>
    <n v="4"/>
    <d v="2019-01-02T00:00:00"/>
  </r>
  <r>
    <n v="9"/>
    <s v="8_국립축산과학원"/>
    <s v="2_축산자원개발부"/>
    <x v="0"/>
    <s v="민예진"/>
    <s v="보도자료168(2018)"/>
    <s v="“기해년, 돼지에 대한 상식 및 오해”"/>
    <s v="MBC대구"/>
    <d v="2019-01-01T00:00:00"/>
    <m/>
    <s v="06_라디오-지방"/>
    <n v="1.5"/>
    <d v="2019-01-02T00:00:00"/>
  </r>
  <r>
    <n v="10"/>
    <s v="8_국립축산과학원"/>
    <s v="0_본원"/>
    <x v="3"/>
    <s v="도윤정"/>
    <s v="보도자료152(2018)"/>
    <s v="[펫카드] 강아지 ‘피부병’ 완치보다 ‘평생관리’ 접근해야"/>
    <s v="뉴스1"/>
    <d v="2018-12-28T00:00:00"/>
    <m/>
    <s v="07_중앙일간지"/>
    <n v="5"/>
    <d v="2019-01-02T00:00:00"/>
  </r>
  <r>
    <n v="11"/>
    <s v="8_국립축산과학원"/>
    <s v="2_축산자원개발부"/>
    <x v="0"/>
    <s v="민예진"/>
    <s v="보도자료168(2018)"/>
    <s v="“공 가져와” 돼지도 한다…우리가 몰랐던 돼지의 인지능력"/>
    <s v="한겨레"/>
    <d v="2018-12-31T00:00:00"/>
    <n v="19"/>
    <s v="07_중앙일간지"/>
    <n v="5"/>
    <d v="2019-01-02T00:00:00"/>
  </r>
  <r>
    <n v="12"/>
    <s v="8_국립축산과학원"/>
    <s v="0_본원"/>
    <x v="4"/>
    <s v="천동원"/>
    <m/>
    <s v="‘날개 펼 틈도 없어’...닭을 ‘해방’하라[개人주의]"/>
    <s v="머니투데이"/>
    <d v="2018-12-28T00:00:00"/>
    <m/>
    <s v="07_중앙일간지"/>
    <n v="5"/>
    <d v="2019-01-02T00:00:00"/>
  </r>
  <r>
    <n v="13"/>
    <s v="8_국립축산과학원"/>
    <s v="2_축산자원개발부"/>
    <x v="0"/>
    <s v="조은석"/>
    <m/>
    <s v="기해년(己亥年) 새해~복 돼지 기운 받으세요!(포토뉴스)"/>
    <s v="파이낸셜뉴스"/>
    <d v="2019-01-01T00:00:00"/>
    <m/>
    <s v="07_중앙일간지"/>
    <n v="5"/>
    <d v="2019-01-02T00:00:00"/>
  </r>
  <r>
    <n v="14"/>
    <s v="8_국립축산과학원"/>
    <s v="2_축산자원개발부"/>
    <x v="0"/>
    <s v="조은석"/>
    <m/>
    <s v="황금돼지 띠의 해가 왔어요~(포토뉴스)"/>
    <s v="아주경제"/>
    <d v="2019-01-01T00:00:00"/>
    <m/>
    <s v="07_중앙일간지"/>
    <n v="5"/>
    <d v="2019-01-02T00:00:00"/>
  </r>
  <r>
    <n v="15"/>
    <s v="8_국립축산과학원"/>
    <s v="2_축산자원개발부"/>
    <x v="0"/>
    <s v="조은석"/>
    <m/>
    <s v="풍요·행운의 ‘황금돼지의 해’ 밝았다(포토뉴스)"/>
    <s v="경향신문"/>
    <d v="2019-01-01T00:00:00"/>
    <n v="14"/>
    <s v="07_중앙일간지"/>
    <n v="5"/>
    <d v="2019-01-02T00:00:00"/>
  </r>
  <r>
    <n v="16"/>
    <s v="8_국립축산과학원"/>
    <s v="2_축산자원개발부"/>
    <x v="0"/>
    <s v="조은석"/>
    <m/>
    <s v="새해, 황금 ‘복’ 돼지의 품으로(포토뉴스)"/>
    <s v="뉴시스"/>
    <d v="2019-01-01T00:00:00"/>
    <m/>
    <s v="07_중앙일간지"/>
    <n v="5"/>
    <d v="2019-01-02T00:00:00"/>
  </r>
  <r>
    <n v="17"/>
    <s v="8_국립축산과학원"/>
    <s v="2_축산자원개발부"/>
    <x v="0"/>
    <s v="조규호"/>
    <m/>
    <s v="한 마리 1억…네가 福돼지로구나"/>
    <s v="조선일보"/>
    <d v="2019-01-01T00:00:00"/>
    <n v="7"/>
    <s v="07_중앙일간지"/>
    <n v="5"/>
    <d v="2019-01-02T00:00:00"/>
  </r>
  <r>
    <n v="18"/>
    <s v="8_국립축산과학원"/>
    <s v="2_축산자원개발부"/>
    <x v="0"/>
    <s v="민예진"/>
    <s v="보도자료168(2018)"/>
    <s v="2019년은 돼지의 해 “생각보다 지능 높고 깔끔해요”"/>
    <s v="이데일리"/>
    <d v="2019-01-01T00:00:00"/>
    <m/>
    <s v="07_중앙일간지"/>
    <n v="5"/>
    <d v="2019-01-02T00:00:00"/>
  </r>
  <r>
    <n v="19"/>
    <s v="8_국립축산과학원"/>
    <s v="2_축산자원개발부"/>
    <x v="0"/>
    <s v="민예진"/>
    <s v="보도자료168(2018)"/>
    <s v="‘개보다 똑똑해요’…황금돼지해에 알아본 돼지의 반전 매력은?"/>
    <s v="뉴스1"/>
    <d v="2019-01-01T00:00:00"/>
    <m/>
    <s v="07_중앙일간지"/>
    <n v="5"/>
    <d v="2019-01-02T00:00:00"/>
  </r>
  <r>
    <n v="20"/>
    <s v="8_국립축산과학원"/>
    <s v="2_축산자원개발부"/>
    <x v="0"/>
    <s v="문홍길"/>
    <m/>
    <s v="돼지에 빠진 3人…박물관장·수의사·흑돈대부"/>
    <s v="매일경제"/>
    <d v="2019-01-02T00:00:00"/>
    <n v="2"/>
    <s v="07_중앙일간지"/>
    <n v="5"/>
    <d v="2019-01-02T00:00:00"/>
  </r>
  <r>
    <n v="21"/>
    <s v="8_국립축산과학원"/>
    <s v="0_본원"/>
    <x v="2"/>
    <s v="김용민"/>
    <m/>
    <s v="달려라 황금돼지야, 풍요와 다산의 새해를 열어주렴"/>
    <s v="중앙일보"/>
    <d v="2019-01-01T00:00:00"/>
    <m/>
    <s v="07_중앙일간지"/>
    <n v="5"/>
    <d v="2019-01-02T00:00:00"/>
  </r>
  <r>
    <n v="22"/>
    <s v="8_국립축산과학원"/>
    <s v="1_축산생명환경부"/>
    <x v="5"/>
    <s v="유자연"/>
    <m/>
    <s v="둘 중 어느것이 차돌박이 일까요? 우삽겹과 다른걸까?(차돌박이 치즈요리)"/>
    <s v="네이버팜"/>
    <d v="2018-12-02T00:00:00"/>
    <m/>
    <s v="25_네이버팜(텍스트 콘텐츠 포스팅)"/>
    <n v="3"/>
    <d v="2019-01-02T00:00:00"/>
  </r>
  <r>
    <n v="23"/>
    <s v="8_국립축산과학원"/>
    <s v="2_축산자원개발부"/>
    <x v="6"/>
    <s v="김원호,최기준,지희정,정종성"/>
    <m/>
    <s v="다 같은 풀이 아니다 소가 먹는 풀사료는 어떤게 있을까"/>
    <s v="네이버팜"/>
    <d v="2018-12-14T00:00:00"/>
    <m/>
    <s v="25_네이버팜(텍스트 콘텐츠 포스팅)"/>
    <n v="3"/>
    <d v="2019-01-02T00:00:00"/>
  </r>
  <r>
    <n v="24"/>
    <s v="8_국립축산과학원"/>
    <s v="1_축산생명환경부"/>
    <x v="7"/>
    <s v="백열창"/>
    <m/>
    <s v="다 같은 풀이 아니다 소가 먹는 풀사료는 어떤게 있을까"/>
    <s v="네이버팜"/>
    <d v="2018-12-14T00:00:00"/>
    <m/>
    <s v="25_네이버팜(텍스트 콘텐츠 포스팅)"/>
    <n v="3"/>
    <d v="2019-01-02T00:00:00"/>
  </r>
  <r>
    <n v="25"/>
    <s v="8_국립축산과학원"/>
    <s v="2_축산자원개발부"/>
    <x v="8"/>
    <s v="김시동"/>
    <m/>
    <s v="농협종돈 파주 AI센터 우수정액처리업체 인증"/>
    <s v="축산신문"/>
    <d v="2018-12-28T00:00:00"/>
    <n v="6"/>
    <s v="09_농업전문지"/>
    <n v="1.5"/>
    <d v="2019-01-02T00:00:00"/>
  </r>
  <r>
    <n v="26"/>
    <s v="8_국립축산과학원"/>
    <s v="1_축산생명환경부"/>
    <x v="9"/>
    <s v="곽정훈"/>
    <m/>
    <s v="토지이용구분·발생원 종류도 이격거리 제시 ha당 분뇨 시용 허용량·사육 가축수 제한"/>
    <s v="농수축산신문"/>
    <d v="2018-12-28T00:00:00"/>
    <n v="8"/>
    <s v="09_농업전문지"/>
    <n v="1.5"/>
    <d v="2019-01-02T00:00:00"/>
  </r>
  <r>
    <n v="27"/>
    <s v="8_국립축산과학원"/>
    <s v="2_축산자원개발부"/>
    <x v="0"/>
    <s v="민예진"/>
    <s v="보도자료168(2018)"/>
    <s v="알아두면 재미있는 돼지 이야기"/>
    <s v="한국농어민신문"/>
    <d v="2018-12-28T00:00:00"/>
    <m/>
    <s v="09_농업전문지"/>
    <n v="1.5"/>
    <d v="2019-01-02T00:00:00"/>
  </r>
  <r>
    <n v="28"/>
    <s v="8_국립축산과학원"/>
    <s v="2_축산자원개발부"/>
    <x v="0"/>
    <s v="조은석"/>
    <m/>
    <s v="‘황금돼지해’의 기운으로 활력 넘치는 한 해 되길(포토뉴스)"/>
    <s v="한국농어민신문"/>
    <d v="2018-12-28T00:00:00"/>
    <m/>
    <s v="09_농업전문지"/>
    <n v="1.5"/>
    <d v="2019-01-02T00:00:00"/>
  </r>
  <r>
    <n v="29"/>
    <s v="8_국립축산과학원"/>
    <s v="2_축산자원개발부"/>
    <x v="0"/>
    <s v="조은석"/>
    <m/>
    <s v="기해년 새해 ‘福 돼지’ 기운 받으세요"/>
    <s v="식품음료신문"/>
    <d v="2019-01-01T00:00:00"/>
    <m/>
    <s v="09_농업전문지"/>
    <n v="1.5"/>
    <d v="2019-01-02T00:00:00"/>
  </r>
  <r>
    <n v="30"/>
    <s v="8_국립축산과학원"/>
    <s v="2_축산자원개발부"/>
    <x v="0"/>
    <s v="조은석"/>
    <m/>
    <s v="새해에는 모두 부자가 ‘돼지’요~(포토뉴스)"/>
    <s v="농수축산신문"/>
    <d v="2019-01-01T00:00:00"/>
    <m/>
    <s v="09_농업전문지"/>
    <n v="1.5"/>
    <d v="2019-01-02T00:00:00"/>
  </r>
  <r>
    <n v="31"/>
    <s v="8_국립축산과학원"/>
    <s v="2_축산자원개발부"/>
    <x v="0"/>
    <s v="조은석"/>
    <m/>
    <s v="‘황금돼지’ 기운 받아 소원 성취하시길…(포토뉴스)"/>
    <s v="울산매일"/>
    <d v="2018-12-31T00:00:00"/>
    <n v="1"/>
    <s v="09_지방일간지"/>
    <n v="1.5"/>
    <d v="2019-01-02T00:00:00"/>
  </r>
  <r>
    <n v="32"/>
    <s v="8_국립축산과학원"/>
    <s v="2_축산자원개발부"/>
    <x v="0"/>
    <s v="조은석"/>
    <m/>
    <s v="황금돼지해 D-1…새해 복 많이 받으세요(포토뉴스)"/>
    <s v="경상일보"/>
    <d v="2018-12-31T00:00:00"/>
    <n v="1"/>
    <s v="09_지방일간지"/>
    <n v="1.5"/>
    <d v="2019-01-02T00:00:00"/>
  </r>
  <r>
    <n v="33"/>
    <s v="8_국립축산과학원"/>
    <s v="2_축산자원개발부"/>
    <x v="0"/>
    <s v="조은석"/>
    <m/>
    <s v="황금돼지해엔 힘찬 기운이 솟구치기를(포토뉴스)"/>
    <s v="국제신문"/>
    <d v="2018-12-31T00:00:00"/>
    <m/>
    <s v="09_지방일간지"/>
    <n v="1.5"/>
    <d v="2019-01-02T00:00:00"/>
  </r>
  <r>
    <n v="34"/>
    <s v="8_국립축산과학원"/>
    <s v="2_축산자원개발부"/>
    <x v="0"/>
    <s v="민예진"/>
    <s v="보도자료168(2018)"/>
    <s v="돼지, 오해하면 안 ‘돼지’"/>
    <s v="전남인터넷신문"/>
    <d v="2018-12-30T00:00:00"/>
    <m/>
    <s v="13_인터넷포털"/>
    <n v="0.1"/>
    <d v="2019-01-02T00:00:00"/>
  </r>
  <r>
    <n v="35"/>
    <s v="8_국립축산과학원"/>
    <s v="2_축산자원개발부"/>
    <x v="0"/>
    <s v="민예진"/>
    <s v="보도자료168(2018)"/>
    <s v="농촌진흥청, 기해년 맞아 돼지 이야기 소개"/>
    <s v="뉴스에이"/>
    <d v="2018-12-31T00:00:00"/>
    <m/>
    <s v="13_인터넷포털"/>
    <n v="0.1"/>
    <d v="2019-01-02T00:00:00"/>
  </r>
  <r>
    <n v="36"/>
    <s v="8_국립축산과학원"/>
    <s v="2_축산자원개발부"/>
    <x v="0"/>
    <s v="조은석"/>
    <m/>
    <s v="기해년(己亥年) 새해를 맞이하는 ‘우리흑돈’ 돼지 가족"/>
    <s v="한국농어촌방송"/>
    <d v="2018-12-31T00:00:00"/>
    <m/>
    <s v="13_인터넷포털"/>
    <n v="0.1"/>
    <d v="2019-01-02T00:00:00"/>
  </r>
  <r>
    <n v="37"/>
    <s v="8_국립축산과학원"/>
    <s v="1_축산생명환경부"/>
    <x v="1"/>
    <s v="오건봉"/>
    <m/>
    <s v="황금돼지의 해, 가능성 주목받아(오건봉 연구사 인터뷰)"/>
    <s v="MBC전주"/>
    <d v="2019-01-01T00:00:00"/>
    <m/>
    <s v="02_TV-지방"/>
    <n v="4"/>
    <d v="2019-01-03T00:00:00"/>
  </r>
  <r>
    <n v="38"/>
    <s v="8_국립축산과학원"/>
    <s v="0_본원"/>
    <x v="2"/>
    <s v="김용민"/>
    <m/>
    <s v="황금돼지의 해, 가능성 주목받아(김용민 연구사 인터뷰) "/>
    <s v="MBC전주"/>
    <d v="2019-01-01T00:00:00"/>
    <m/>
    <s v="02_TV-지방"/>
    <n v="4"/>
    <d v="2019-01-03T00:00:00"/>
  </r>
  <r>
    <n v="39"/>
    <s v="8_국립축산과학원"/>
    <s v="1_축산생명환경부"/>
    <x v="1"/>
    <s v="오건봉"/>
    <m/>
    <s v="개보다 IQ 높은 돼지... 장기도 생산(오건봉 연구사 인터뷰)"/>
    <s v="MBC안동"/>
    <d v="2019-01-01T00:00:00"/>
    <m/>
    <s v="02_TV-지방"/>
    <n v="4"/>
    <d v="2019-01-03T00:00:00"/>
  </r>
  <r>
    <n v="40"/>
    <s v="8_국립축산과학원"/>
    <s v="0_본원"/>
    <x v="2"/>
    <s v="김용민"/>
    <m/>
    <s v="개보다 IQ 높은 돼지... 장기도 생산(김용민 연구사 인터뷰) "/>
    <s v="MBC안동"/>
    <d v="2019-01-01T00:00:00"/>
    <m/>
    <s v="02_TV-지방"/>
    <n v="4"/>
    <d v="2019-01-03T00:00:00"/>
  </r>
  <r>
    <n v="41"/>
    <s v="8_국립축산과학원"/>
    <s v="1_축산생명환경부"/>
    <x v="1"/>
    <s v="오건봉"/>
    <m/>
    <s v="&quot;개보다 IQ 더 높다... 2019 황금돼지의 해(오건봉 연구사 인터뷰)"/>
    <s v="YTN사이언스"/>
    <d v="2019-01-01T00:00:00"/>
    <m/>
    <s v="02_TV-케이블중앙"/>
    <n v="4"/>
    <d v="2019-01-03T00:00:00"/>
  </r>
  <r>
    <n v="42"/>
    <s v="8_국립축산과학원"/>
    <s v="0_본원"/>
    <x v="2"/>
    <s v="김용민"/>
    <m/>
    <s v="&quot;개보다 IQ 더 높다... 2019 황금돼지의 해(김용민 연구사 인터뷰) "/>
    <s v="YTN사이언스"/>
    <d v="2019-01-01T00:00:00"/>
    <m/>
    <s v="02_TV-케이블중앙"/>
    <n v="4"/>
    <d v="2019-01-03T00:00:00"/>
  </r>
  <r>
    <n v="43"/>
    <s v="8_국립축산과학원"/>
    <s v="1_축산생명환경부"/>
    <x v="1"/>
    <s v="오건봉"/>
    <m/>
    <s v="돼지 무시하면 안 되지... 2019 황금돼지의 해(오건봉 연구사 인터뷰)"/>
    <s v="YTN"/>
    <d v="2019-01-01T00:00:00"/>
    <m/>
    <s v="02_TV-케이블중앙"/>
    <n v="4"/>
    <d v="2019-01-03T00:00:00"/>
  </r>
  <r>
    <n v="44"/>
    <s v="8_국립축산과학원"/>
    <s v="1_축산생명환경부"/>
    <x v="1"/>
    <s v="오건봉"/>
    <m/>
    <s v="십이지신 중 12번째 돼지... &quot;청결하고 IQ도 높아요&quot;(오건봉 연구사 인터뷰)"/>
    <s v="MBN"/>
    <d v="2019-01-02T00:00:00"/>
    <m/>
    <s v="02_TV-종합편성채널"/>
    <n v="4"/>
    <d v="2019-01-03T00:00:00"/>
  </r>
  <r>
    <n v="45"/>
    <s v="8_국립축산과학원"/>
    <s v="0_본원"/>
    <x v="2"/>
    <s v="김용민"/>
    <m/>
    <s v="십이지신 중 12번째 돼지... &quot;청결하고 IQ도 높아요&quot;(김용민 연구사 인터뷰) "/>
    <s v="MBN"/>
    <d v="2019-01-02T00:00:00"/>
    <m/>
    <s v="02_TV-종합편성채널"/>
    <n v="4"/>
    <d v="2019-01-03T00:00:00"/>
  </r>
  <r>
    <n v="46"/>
    <s v="8_국립축산과학원"/>
    <s v="2_축산자원개발부"/>
    <x v="0"/>
    <s v="조은석"/>
    <m/>
    <s v="己亥年, 경제에도 다산과 풍요가…(포토뉴스)"/>
    <s v="이투데이"/>
    <d v="2019-01-01T00:00:00"/>
    <n v="1"/>
    <s v="07_중앙일간지"/>
    <n v="5"/>
    <d v="2019-01-03T00:00:00"/>
  </r>
  <r>
    <n v="47"/>
    <s v="8_국립축산과학원"/>
    <s v="2_축산자원개발부"/>
    <x v="0"/>
    <s v="김두완"/>
    <s v="보도자료1"/>
    <s v="우리 돼지 4총사 “돼지해 대표 먹거리는 나야 나”"/>
    <s v="경향신문"/>
    <d v="2019-01-03T00:00:00"/>
    <n v="21"/>
    <s v="07_중앙일간지"/>
    <n v="5"/>
    <d v="2019-01-03T00:00:00"/>
  </r>
  <r>
    <n v="48"/>
    <s v="8_국립축산과학원"/>
    <s v="0_본원"/>
    <x v="10"/>
    <s v="양병철"/>
    <s v="보도자료2"/>
    <s v="우리 돼지 4총사 “돼지해 대표 먹거리는 나야 나”"/>
    <s v="경향신문"/>
    <d v="2019-01-03T00:00:00"/>
    <n v="21"/>
    <s v="07_중앙일간지"/>
    <n v="5"/>
    <d v="2019-01-03T00:00:00"/>
  </r>
  <r>
    <n v="49"/>
    <s v="8_국립축산과학원"/>
    <s v="2_축산자원개발부"/>
    <x v="0"/>
    <s v="김두완"/>
    <s v="보도자료1"/>
    <s v="농진청이 자체 개발한 돼지는 어떤 품종이 있나?"/>
    <s v="서울경제"/>
    <d v="2019-01-02T00:00:00"/>
    <m/>
    <s v="07_중앙일간지"/>
    <n v="5"/>
    <d v="2019-01-03T00:00:00"/>
  </r>
  <r>
    <n v="50"/>
    <s v="8_국립축산과학원"/>
    <s v="0_본원"/>
    <x v="10"/>
    <s v="양병철"/>
    <s v="보도자료2"/>
    <s v="농진청이 자체 개발한 돼지는 어떤 품종이 있나?"/>
    <s v="서울경제"/>
    <d v="2019-01-02T00:00:00"/>
    <m/>
    <s v="07_중앙일간지"/>
    <n v="5"/>
    <d v="2019-01-03T00:00:00"/>
  </r>
  <r>
    <n v="51"/>
    <s v="8_국립축산과학원"/>
    <s v="2_축산자원개발부"/>
    <x v="0"/>
    <s v="김두완"/>
    <s v="보도자료1"/>
    <s v="농진청, 기해년 맞아 자체 복원·개발한 돼지 4개 품종 소개"/>
    <s v="파이낸셜뉴스"/>
    <d v="2019-01-02T00:00:00"/>
    <m/>
    <s v="07_중앙일간지"/>
    <n v="5"/>
    <d v="2019-01-03T00:00:00"/>
  </r>
  <r>
    <n v="52"/>
    <s v="8_국립축산과학원"/>
    <s v="0_본원"/>
    <x v="10"/>
    <s v="양병철"/>
    <s v="보도자료2"/>
    <s v="농진청, 기해년 맞아 자체 복원·개발한 돼지 4개 품종 소개"/>
    <s v="파이낸셜뉴스"/>
    <d v="2019-01-02T00:00:00"/>
    <m/>
    <s v="07_중앙일간지"/>
    <n v="5"/>
    <d v="2019-01-03T00:00:00"/>
  </r>
  <r>
    <n v="53"/>
    <s v="8_국립축산과학원"/>
    <s v="2_축산자원개발부"/>
    <x v="0"/>
    <s v="김두완"/>
    <s v="보도자료1"/>
    <s v="농진청 “돼지 국산 품종 애용해주세요”"/>
    <s v="이데일리"/>
    <d v="2019-01-02T00:00:00"/>
    <m/>
    <s v="07_중앙일간지"/>
    <n v="5"/>
    <d v="2019-01-03T00:00:00"/>
  </r>
  <r>
    <n v="54"/>
    <s v="8_국립축산과학원"/>
    <s v="0_본원"/>
    <x v="10"/>
    <s v="양병철"/>
    <s v="보도자료2"/>
    <s v="농진청 “돼지 국산 품종 애용해주세요”"/>
    <s v="이데일리"/>
    <d v="2019-01-02T00:00:00"/>
    <m/>
    <s v="07_중앙일간지"/>
    <n v="5"/>
    <d v="2019-01-03T00:00:00"/>
  </r>
  <r>
    <n v="55"/>
    <s v="8_국립축산과학원"/>
    <s v="2_축산자원개발부"/>
    <x v="0"/>
    <s v="김두완"/>
    <s v="보도자료1"/>
    <s v="올해 황금돼지해...우리 돼지는 얼마나 아시나요"/>
    <s v="연합뉴스"/>
    <d v="2019-01-02T00:00:00"/>
    <m/>
    <s v="07_중앙일간지"/>
    <n v="5"/>
    <d v="2019-01-03T00:00:00"/>
  </r>
  <r>
    <n v="56"/>
    <s v="8_국립축산과학원"/>
    <s v="0_본원"/>
    <x v="10"/>
    <s v="양병철"/>
    <s v="보도자료2"/>
    <s v="올해 황금돼지해...우리 돼지는 얼마나 아시나요"/>
    <s v="연합뉴스"/>
    <d v="2019-01-02T00:00:00"/>
    <m/>
    <s v="07_중앙일간지"/>
    <n v="5"/>
    <d v="2019-01-03T00:00:00"/>
  </r>
  <r>
    <n v="57"/>
    <s v="8_국립축산과학원"/>
    <s v="2_축산자원개발부"/>
    <x v="0"/>
    <s v="민예진"/>
    <s v="보도자료168(2018)"/>
    <s v="돼지는 똑똑해(향이네 식탁)"/>
    <s v="한겨레"/>
    <d v="2019-01-03T00:00:00"/>
    <n v="2"/>
    <s v="07_중앙일간지"/>
    <n v="5"/>
    <d v="2019-01-03T00:00:00"/>
  </r>
  <r>
    <n v="58"/>
    <s v="8_국립축산과학원"/>
    <s v="0_본원"/>
    <x v="2"/>
    <s v="양창범"/>
    <m/>
    <s v="(신년사) 축산기술 혁시 미래가치 만드는데 노력"/>
    <s v="농수축산신문"/>
    <d v="2019-01-01T00:00:00"/>
    <n v="19"/>
    <s v="09_농업전문지"/>
    <n v="1.5"/>
    <d v="2019-01-03T00:00:00"/>
  </r>
  <r>
    <n v="59"/>
    <s v="8_국립축산과학원"/>
    <s v="0_본원"/>
    <x v="2"/>
    <s v="양창범"/>
    <m/>
    <s v="(신년사) 축산업 기술혁신으로 어려움 해결 지속가능한 미래 가치 창출 역점"/>
    <s v="축산신문"/>
    <d v="2019-01-01T00:00:00"/>
    <n v="26"/>
    <s v="09_농업전문지"/>
    <n v="1.5"/>
    <d v="2019-01-03T00:00:00"/>
  </r>
  <r>
    <n v="60"/>
    <s v="8_국립축산과학원"/>
    <s v="2_축산자원개발부"/>
    <x v="0"/>
    <s v="조은석"/>
    <m/>
    <s v="‘우리흑돈’과 붉은 해 맞이(포토뉴스)"/>
    <s v="축산신문"/>
    <d v="2019-01-01T00:00:00"/>
    <n v="1"/>
    <s v="09_농업전문지"/>
    <n v="1.5"/>
    <d v="2019-01-03T00:00:00"/>
  </r>
  <r>
    <n v="61"/>
    <s v="8_국립축산과학원"/>
    <s v="0_본원"/>
    <x v="11"/>
    <s v="김태정"/>
    <s v="보도자료166(2018)"/>
    <s v="축산과학원, 사랑의 연탄 나눔 봉사"/>
    <s v="농축환경신문"/>
    <d v="2018-12-20T00:00:00"/>
    <n v="5"/>
    <s v="09_농업전문지"/>
    <n v="1.5"/>
    <d v="2019-01-03T00:00:00"/>
  </r>
  <r>
    <n v="62"/>
    <s v="8_국립축산과학원"/>
    <s v="1_축산생명환경부"/>
    <x v="9"/>
    <s v="곽정훈"/>
    <m/>
    <s v="내년 말까지 축사환경 통합시스템 고도화 연구 진행"/>
    <s v="농수축산신문"/>
    <d v="2019-01-01T00:00:00"/>
    <n v="11"/>
    <s v="09_농업전문지"/>
    <n v="1.5"/>
    <d v="2019-01-03T00:00:00"/>
  </r>
  <r>
    <n v="63"/>
    <s v="8_국립축산과학원"/>
    <s v="2_축산자원개발부"/>
    <x v="12"/>
    <s v="기광석"/>
    <m/>
    <s v="따라만 가면 뒤처지기 마련…“공부해야 앞서 가죠”"/>
    <s v="축산신문"/>
    <d v="2019-01-01T00:00:00"/>
    <n v="11"/>
    <s v="09_농업전문지"/>
    <n v="1.5"/>
    <d v="2019-01-03T00:00:00"/>
  </r>
  <r>
    <n v="64"/>
    <s v="8_국립축산과학원"/>
    <s v="2_축산자원개발부"/>
    <x v="0"/>
    <s v="조은석"/>
    <m/>
    <s v="황금빛 己亥年이 열렸다(포토뉴스)"/>
    <s v="전북일보"/>
    <d v="2019-01-02T00:00:00"/>
    <n v="1"/>
    <s v="09_지방일간지"/>
    <n v="1.5"/>
    <d v="2019-01-03T00:00:00"/>
  </r>
  <r>
    <n v="65"/>
    <s v="8_국립축산과학원"/>
    <s v="2_축산자원개발부"/>
    <x v="0"/>
    <s v="조은석"/>
    <m/>
    <s v="출발 2019, 포용의 사회로(포토뉴스)"/>
    <s v="금강일보"/>
    <d v="2019-01-02T00:00:00"/>
    <n v="1"/>
    <s v="09_지방일간지"/>
    <n v="1.5"/>
    <d v="2019-01-03T00:00:00"/>
  </r>
  <r>
    <n v="66"/>
    <s v="8_국립축산과학원"/>
    <s v="2_축산자원개발부"/>
    <x v="0"/>
    <s v="조은석"/>
    <m/>
    <s v="60년 만에 밝은 황금돼지해(포토뉴스)"/>
    <s v="인천일보"/>
    <d v="2019-01-02T00:00:00"/>
    <n v="18"/>
    <s v="09_지방일간지"/>
    <n v="1.5"/>
    <d v="2019-01-03T00:00:00"/>
  </r>
  <r>
    <n v="67"/>
    <s v="8_국립축산과학원"/>
    <s v="2_축산자원개발부"/>
    <x v="0"/>
    <s v="조은석"/>
    <m/>
    <s v="황금 ‘복’ 돼지 가족의 익살(포토뉴스)"/>
    <s v="무등일보"/>
    <d v="2019-01-02T00:00:00"/>
    <n v="19"/>
    <s v="09_지방일간지"/>
    <n v="1.5"/>
    <d v="2019-01-03T00:00:00"/>
  </r>
  <r>
    <n v="68"/>
    <s v="8_국립축산과학원"/>
    <s v="2_축산자원개발부"/>
    <x v="0"/>
    <s v="조은석"/>
    <m/>
    <s v="황금 돼지해 밝았다(포토뉴스)"/>
    <s v="전남매일"/>
    <d v="2019-01-02T00:00:00"/>
    <n v="1"/>
    <s v="09_지방일간지"/>
    <n v="1.5"/>
    <d v="2019-01-03T00:00:00"/>
  </r>
  <r>
    <n v="69"/>
    <s v="8_국립축산과학원"/>
    <s v="2_축산자원개발부"/>
    <x v="0"/>
    <s v="조은석"/>
    <m/>
    <s v="“돼지꿈 꾸셨나요”(포토뉴스)"/>
    <s v="충청신문"/>
    <d v="2019-01-02T00:00:00"/>
    <n v="1"/>
    <s v="09_지방일간지"/>
    <n v="1.5"/>
    <d v="2019-01-03T00:00:00"/>
  </r>
  <r>
    <n v="70"/>
    <s v="8_국립축산과학원"/>
    <s v="2_축산자원개발부"/>
    <x v="0"/>
    <s v="조은석"/>
    <m/>
    <s v="2019년 기해년(己亥年)(포토뉴스)"/>
    <s v="전북연합신문"/>
    <d v="2019-01-02T00:00:00"/>
    <n v="1"/>
    <s v="09_지방일간지"/>
    <n v="1.5"/>
    <d v="2019-01-03T00:00:00"/>
  </r>
  <r>
    <n v="71"/>
    <s v="8_국립축산과학원"/>
    <s v="2_축산자원개발부"/>
    <x v="0"/>
    <s v="조은석"/>
    <m/>
    <s v="‘황금돼지의 해’ 풍요로운 2019년(포토뉴스)"/>
    <s v="남도일보"/>
    <d v="2019-01-02T00:00:00"/>
    <n v="17"/>
    <s v="09_지방일간지"/>
    <n v="1.5"/>
    <d v="2019-01-03T00:00:00"/>
  </r>
  <r>
    <n v="72"/>
    <s v="8_국립축산과학원"/>
    <s v="2_축산자원개발부"/>
    <x v="0"/>
    <s v="조은석"/>
    <m/>
    <s v="새해 맞이하는 돼지가족(포토뉴스)"/>
    <s v="전북중앙"/>
    <d v="2019-01-02T00:00:00"/>
    <n v="17"/>
    <s v="09_지방일간지"/>
    <n v="1.5"/>
    <d v="2019-01-03T00:00:00"/>
  </r>
  <r>
    <n v="73"/>
    <s v="8_국립축산과학원"/>
    <s v="2_축산자원개발부"/>
    <x v="0"/>
    <s v="조은석"/>
    <m/>
    <s v="기해년(己亥年) 새 아침(포토뉴스)"/>
    <s v="전민일보"/>
    <d v="2019-01-02T00:00:00"/>
    <n v="1"/>
    <s v="09_지방일간지"/>
    <n v="1.5"/>
    <d v="2019-01-03T00:00:00"/>
  </r>
  <r>
    <n v="74"/>
    <s v="8_국립축산과학원"/>
    <s v="2_축산자원개발부"/>
    <x v="0"/>
    <s v="조은석"/>
    <m/>
    <s v="황금돼지해 밝았다(포토뉴스)"/>
    <s v="전남일보"/>
    <d v="2019-01-02T00:00:00"/>
    <n v="1"/>
    <s v="09_지방일간지"/>
    <n v="1.5"/>
    <d v="2019-01-03T00:00:00"/>
  </r>
  <r>
    <n v="75"/>
    <s v="8_국립축산과학원"/>
    <s v="2_축산자원개발부"/>
    <x v="0"/>
    <s v="조은석"/>
    <m/>
    <s v="기해년(己亥年) 새해 “황금 福돼지 기운 받으세요”(포토뉴스)"/>
    <s v="삼남일보"/>
    <d v="2019-01-02T00:00:00"/>
    <n v="1"/>
    <s v="09_지방일간지"/>
    <n v="1.5"/>
    <d v="2019-01-03T00:00:00"/>
  </r>
  <r>
    <n v="76"/>
    <s v="8_국립축산과학원"/>
    <s v="2_축산자원개발부"/>
    <x v="0"/>
    <s v="조은석"/>
    <m/>
    <s v="기해년(己亥年) 새해~ 복 돼지가 찾아갑니다(포토뉴스)"/>
    <s v="전주일보"/>
    <d v="2019-01-02T00:00:00"/>
    <n v="1"/>
    <s v="09_지방일간지"/>
    <n v="1.5"/>
    <d v="2019-01-03T00:00:00"/>
  </r>
  <r>
    <n v="77"/>
    <s v="8_국립축산과학원"/>
    <s v="2_축산자원개발부"/>
    <x v="0"/>
    <s v="조은석"/>
    <m/>
    <s v="기해년 황금돼지 해 희망찬 새 아침…풍요로움을 몰고 오거라(포토뉴스)"/>
    <s v="전북도민일보"/>
    <d v="2019-01-02T00:00:00"/>
    <n v="1"/>
    <s v="09_지방일간지"/>
    <n v="1.5"/>
    <d v="2019-01-03T00:00:00"/>
  </r>
  <r>
    <n v="78"/>
    <s v="8_국립축산과학원"/>
    <s v="2_축산자원개발부"/>
    <x v="0"/>
    <s v="조은석"/>
    <m/>
    <s v="기해년(己亥年) 새해~ 복 돼지 기운 받으세요!(포토뉴스)"/>
    <s v="새만금일보"/>
    <d v="2019-01-02T00:00:00"/>
    <n v="10"/>
    <s v="09_지방일간지"/>
    <n v="1.5"/>
    <d v="2019-01-03T00:00:00"/>
  </r>
  <r>
    <n v="79"/>
    <s v="8_국립축산과학원"/>
    <s v="2_축산자원개발부"/>
    <x v="0"/>
    <s v="조은석"/>
    <m/>
    <s v="60년 만의 ‘황금돼지해’ 풍요와 다산의 시대 열어줄까(포토뉴스)"/>
    <s v="동양일보"/>
    <d v="2019-01-02T00:00:00"/>
    <n v="11"/>
    <s v="09_지방일간지"/>
    <n v="1.5"/>
    <d v="2019-01-03T00:00:00"/>
  </r>
  <r>
    <n v="80"/>
    <s v="8_국립축산과학원"/>
    <s v="0_본원"/>
    <x v="2"/>
    <m/>
    <m/>
    <s v="전남도, 지속가능한 축산기반 구축 ‘속도’"/>
    <s v="광주일보"/>
    <d v="2019-01-02T00:00:00"/>
    <n v="23"/>
    <s v="09_지방일간지"/>
    <n v="1.5"/>
    <d v="2019-01-03T00:00:00"/>
  </r>
  <r>
    <n v="81"/>
    <s v="8_국립축산과학원"/>
    <s v="0_본원"/>
    <x v="13"/>
    <s v="오형규"/>
    <m/>
    <s v="“국제적 위상 펼칠 수있도록 노력”"/>
    <s v="전주일보"/>
    <d v="2019-01-02T00:00:00"/>
    <n v="8"/>
    <s v="09_지방일간지"/>
    <n v="1.5"/>
    <d v="2019-01-03T00:00:00"/>
  </r>
  <r>
    <n v="82"/>
    <s v="8_국립축산과학원"/>
    <s v="0_본원"/>
    <x v="13"/>
    <s v="오형규"/>
    <m/>
    <s v="김옥진 원광대 생명환경학부 교수 국립축산과학원 원장상 수상"/>
    <s v="전라일보"/>
    <d v="2019-01-02T00:00:00"/>
    <n v="14"/>
    <s v="09_지방일간지"/>
    <n v="1.5"/>
    <d v="2019-01-03T00:00:00"/>
  </r>
  <r>
    <n v="83"/>
    <s v="8_국립축산과학원"/>
    <s v="0_본원"/>
    <x v="13"/>
    <s v="오형규"/>
    <m/>
    <s v="축산기술 발전 공로 인정 받아"/>
    <s v="전민일보"/>
    <d v="2019-01-02T00:00:00"/>
    <n v="15"/>
    <s v="09_지방일간지"/>
    <n v="1.5"/>
    <d v="2019-01-03T00:00:00"/>
  </r>
  <r>
    <n v="84"/>
    <s v="8_국립축산과학원"/>
    <s v="0_본원"/>
    <x v="13"/>
    <s v="오형규"/>
    <m/>
    <s v="원광대 김옥진 교수, 국립축산과학원장상 수상"/>
    <s v="내외일보"/>
    <d v="2019-01-02T00:00:00"/>
    <n v="13"/>
    <s v="09_지방일간지"/>
    <n v="1.5"/>
    <d v="2019-01-03T00:00:00"/>
  </r>
  <r>
    <n v="85"/>
    <s v="8_국립축산과학원"/>
    <s v="2_축산자원개발부"/>
    <x v="8"/>
    <s v="이승수"/>
    <s v="보도자료163(2018)"/>
    <s v="농촌진흥청, ‘소유전자’ 검사기관 선정"/>
    <s v="농축산기계"/>
    <d v="2018-12-20T00:00:00"/>
    <n v="12"/>
    <s v="10_기타전문지"/>
    <n v="1"/>
    <d v="2019-01-03T00:00:00"/>
  </r>
  <r>
    <n v="86"/>
    <s v="8_국립축산과학원"/>
    <s v="2_축산자원개발부"/>
    <x v="12"/>
    <s v="기광석"/>
    <m/>
    <s v="(젖소육종번식연구실) “수정란 이용 고능력 청정우군 종축조성”"/>
    <s v="농축산기계"/>
    <d v="2018-12-20T00:00:00"/>
    <n v="9"/>
    <s v="10_기타전문지"/>
    <n v="1"/>
    <d v="2019-01-03T00:00:00"/>
  </r>
  <r>
    <n v="87"/>
    <s v="8_국립축산과학원"/>
    <s v="2_축산자원개발부"/>
    <x v="0"/>
    <s v="조은석"/>
    <m/>
    <s v="어서와! 황금돼지의 해(포토뉴스)"/>
    <s v="metro"/>
    <d v="2019-01-02T00:00:00"/>
    <n v="1"/>
    <s v="10_무가지"/>
    <n v="1"/>
    <d v="2019-01-03T00:00:00"/>
  </r>
  <r>
    <n v="88"/>
    <s v="8_국립축산과학원"/>
    <s v="2_축산자원개발부"/>
    <x v="0"/>
    <s v="민예진"/>
    <s v="보도자료168(2018)"/>
    <s v="돼지야, 오해해서 미안해"/>
    <s v="어린이동아"/>
    <d v="2019-01-02T00:00:00"/>
    <n v="1"/>
    <s v="10_기타전문지"/>
    <n v="1"/>
    <d v="2019-01-03T00:00:00"/>
  </r>
  <r>
    <n v="89"/>
    <s v="8_국립축산과학원"/>
    <s v="2_축산자원개발부"/>
    <x v="0"/>
    <s v="민예진"/>
    <s v="보도자료168(2018)"/>
    <s v="복·재물 불러오는 60년 만의 '황금돼지 해'"/>
    <s v="SBS"/>
    <d v="2019-01-02T00:00:00"/>
    <m/>
    <s v="01_TV-중앙"/>
    <n v="8"/>
    <d v="2019-01-04T00:00:00"/>
  </r>
  <r>
    <n v="90"/>
    <s v="8_국립축산과학원"/>
    <s v="1_축산생명환경부"/>
    <x v="9"/>
    <s v="이동현"/>
    <m/>
    <s v="농업의 진화, 농업테크(녹색의 꿈)"/>
    <s v="YTN사이언스"/>
    <d v="2019-01-01T00:00:00"/>
    <m/>
    <s v="02_TV-케이블중앙"/>
    <n v="4"/>
    <d v="2019-01-04T00:00:00"/>
  </r>
  <r>
    <n v="91"/>
    <s v="8_국립축산과학원"/>
    <s v="2_축산자원개발부"/>
    <x v="0"/>
    <s v="조은석"/>
    <m/>
    <s v="황금돼지 띠의 해가 왔어요(포토뉴스)"/>
    <s v="뉴스1"/>
    <d v="2019-01-01T00:00:00"/>
    <m/>
    <s v="07_중앙일간지"/>
    <n v="5"/>
    <d v="2019-01-04T00:00:00"/>
  </r>
  <r>
    <n v="92"/>
    <s v="8_국립축산과학원"/>
    <s v="2_축산자원개발부"/>
    <x v="0"/>
    <s v="조은석"/>
    <m/>
    <s v="황금돼지해 맞은 흑돼지 가족(포토뉴스)"/>
    <s v="이데일리"/>
    <d v="2019-01-01T00:00:00"/>
    <m/>
    <s v="07_중앙일간지"/>
    <n v="5"/>
    <d v="2019-01-04T00:00:00"/>
  </r>
  <r>
    <n v="93"/>
    <s v="8_국립축산과학원"/>
    <s v="2_축산자원개발부"/>
    <x v="0"/>
    <s v="조은석"/>
    <m/>
    <s v="60년 만에 밝아온 ‘황금돼지의 해’(포토뉴스)"/>
    <s v="연합뉴스"/>
    <d v="2019-01-01T00:00:00"/>
    <m/>
    <s v="07_중앙일간지"/>
    <n v="5"/>
    <d v="2019-01-04T00:00:00"/>
  </r>
  <r>
    <n v="94"/>
    <s v="8_국립축산과학원"/>
    <s v="2_축산자원개발부"/>
    <x v="0"/>
    <s v="조은석"/>
    <m/>
    <s v="기해년 새해 맞이하는 돼지 가족(포토뉴스)"/>
    <s v="아시아경제"/>
    <d v="2019-01-01T00:00:00"/>
    <m/>
    <s v="07_중앙일간지"/>
    <n v="5"/>
    <d v="2019-01-04T00:00:00"/>
  </r>
  <r>
    <n v="95"/>
    <s v="8_국립축산과학원"/>
    <s v="2_축산자원개발부"/>
    <x v="0"/>
    <s v="조은석"/>
    <m/>
    <s v="2019년 황금 돼지 해, 더 행복해지길(포토뉴스)"/>
    <s v="디지털타임스"/>
    <d v="2019-01-01T00:00:00"/>
    <m/>
    <s v="08_기타일간지"/>
    <n v="2"/>
    <d v="2019-01-04T00:00:00"/>
  </r>
  <r>
    <n v="96"/>
    <s v="8_국립축산과학원"/>
    <s v="1_축산생명환경부"/>
    <x v="9"/>
    <s v="곽정훈"/>
    <m/>
    <s v="“환경친화적 축산업 자리매김 총력”"/>
    <s v="축산경제"/>
    <d v="2018-12-24T00:00:00"/>
    <n v="1"/>
    <s v="09_농업전문지"/>
    <n v="1.5"/>
    <d v="2019-01-04T00:00:00"/>
  </r>
  <r>
    <n v="97"/>
    <s v="8_국립축산과학원"/>
    <s v="2_축산자원개발부"/>
    <x v="0"/>
    <s v="민예진"/>
    <s v="보도자료168(2018)"/>
    <s v="돼지, 오해하면 안 ‘돼지’"/>
    <s v="팜&amp;마켓매거진"/>
    <d v="2019-01-01T00:00:00"/>
    <m/>
    <s v="09_농업전문지"/>
    <n v="1.5"/>
    <d v="2019-01-04T00:00:00"/>
  </r>
  <r>
    <n v="98"/>
    <s v="8_국립축산과학원"/>
    <s v="2_축산자원개발부"/>
    <x v="0"/>
    <s v="김두완"/>
    <s v="보도자료1"/>
    <s v="‘우리 돼지’ 품종개발 기대"/>
    <s v="새만금일보"/>
    <d v="2019-01-03T00:00:00"/>
    <n v="6"/>
    <s v="09_지방일간지"/>
    <n v="1.5"/>
    <d v="2019-01-04T00:00:00"/>
  </r>
  <r>
    <n v="99"/>
    <s v="8_국립축산과학원"/>
    <s v="0_본원"/>
    <x v="10"/>
    <s v="양병철"/>
    <s v="보도자료2"/>
    <s v="‘우리 돼지’ 품종개발 기대"/>
    <s v="새만금일보"/>
    <d v="2019-01-03T00:00:00"/>
    <n v="6"/>
    <s v="09_지방일간지"/>
    <n v="1.5"/>
    <d v="2019-01-04T00:00:00"/>
  </r>
  <r>
    <n v="100"/>
    <s v="8_국립축산과학원"/>
    <s v="2_축산자원개발부"/>
    <x v="0"/>
    <s v="김두완"/>
    <s v="보도자료1"/>
    <s v="‘돼지해’ 맞아 농진청에서 개발한 우리돼지들"/>
    <s v="전북타임스"/>
    <d v="2019-01-03T00:00:00"/>
    <n v="7"/>
    <s v="09_지방일간지"/>
    <n v="1.5"/>
    <d v="2019-01-04T00:00:00"/>
  </r>
  <r>
    <n v="101"/>
    <s v="8_국립축산과학원"/>
    <s v="0_본원"/>
    <x v="10"/>
    <s v="양병철"/>
    <s v="보도자료2"/>
    <s v="‘돼지해’ 맞아 농진청에서 개발한 우리돼지들"/>
    <s v="전북타임스"/>
    <d v="2019-01-03T00:00:00"/>
    <n v="7"/>
    <s v="09_지방일간지"/>
    <n v="1.5"/>
    <d v="2019-01-04T00:00:00"/>
  </r>
  <r>
    <n v="102"/>
    <s v="8_국립축산과학원"/>
    <s v="2_축산자원개발부"/>
    <x v="0"/>
    <s v="김두완"/>
    <s v="보도자료1"/>
    <s v="“육질·육즙이 풍부해 맛있는 우리 흑돈(黑豚)”"/>
    <s v="전북도민일보"/>
    <d v="2019-01-03T00:00:00"/>
    <n v="6"/>
    <s v="09_지방일간지"/>
    <n v="1.5"/>
    <d v="2019-01-04T00:00:00"/>
  </r>
  <r>
    <n v="103"/>
    <s v="8_국립축산과학원"/>
    <s v="0_본원"/>
    <x v="10"/>
    <s v="양병철"/>
    <s v="보도자료2"/>
    <s v="“육질·육즙이 풍부해 맛있는 우리 흑돈(黑豚)”"/>
    <s v="전북도민일보"/>
    <d v="2019-01-03T00:00:00"/>
    <n v="6"/>
    <s v="09_지방일간지"/>
    <n v="1.5"/>
    <d v="2019-01-04T00:00:00"/>
  </r>
  <r>
    <n v="104"/>
    <s v="8_국립축산과학원"/>
    <s v="2_축산자원개발부"/>
    <x v="0"/>
    <s v="김두완"/>
    <s v="보도자료1"/>
    <s v="기해년 복원·개발 ‘돼지 4품종’ 소개"/>
    <s v="전라일보"/>
    <d v="2019-01-03T00:00:00"/>
    <n v="6"/>
    <s v="09_지방일간지"/>
    <n v="1.5"/>
    <d v="2019-01-04T00:00:00"/>
  </r>
  <r>
    <n v="105"/>
    <s v="8_국립축산과학원"/>
    <s v="0_본원"/>
    <x v="10"/>
    <s v="양병철"/>
    <s v="보도자료2"/>
    <s v="기해년 복원·개발 ‘돼지 4품종’ 소개"/>
    <s v="전라일보"/>
    <d v="2019-01-03T00:00:00"/>
    <n v="6"/>
    <s v="09_지방일간지"/>
    <n v="1.5"/>
    <d v="2019-01-04T00:00:00"/>
  </r>
  <r>
    <n v="106"/>
    <s v="8_국립축산과학원"/>
    <s v="2_축산자원개발부"/>
    <x v="0"/>
    <s v="김두완"/>
    <s v="보도자료1"/>
    <s v="2019 기해년 맞이 돼지 관련 상식 대방출 농진청 복원·개발 품종 ‘축진참돈·축진듀록·우리흑돈·난축맛돈’ 소개"/>
    <s v="전북연합신문"/>
    <d v="2019-01-03T00:00:00"/>
    <n v="5"/>
    <s v="09_지방일간지"/>
    <n v="1.5"/>
    <d v="2019-01-04T00:00:00"/>
  </r>
  <r>
    <n v="107"/>
    <s v="8_국립축산과학원"/>
    <s v="0_본원"/>
    <x v="10"/>
    <s v="양병철"/>
    <s v="보도자료2"/>
    <s v="2019 기해년 맞이 돼지 관련 상식 대방출 농진청 복원·개발 품종 ‘축진참돈·축진듀록·우리흑돈·난축맛돈’ 소개"/>
    <s v="전북연합신문"/>
    <d v="2019-01-03T00:00:00"/>
    <n v="5"/>
    <s v="09_지방일간지"/>
    <n v="1.5"/>
    <d v="2019-01-04T00:00:00"/>
  </r>
  <r>
    <n v="108"/>
    <s v="8_국립축산과학원"/>
    <s v="2_축산자원개발부"/>
    <x v="0"/>
    <s v="문홍길"/>
    <m/>
    <s v="두 발 사람이 무지하게 ‘네 발 가진 돈’ 좆고있다"/>
    <s v="울산매일"/>
    <d v="2019-01-03T00:00:00"/>
    <n v="19"/>
    <s v="09_지방일간지"/>
    <n v="1.5"/>
    <d v="2019-01-04T00:00:00"/>
  </r>
  <r>
    <n v="109"/>
    <s v="8_국립축산과학원"/>
    <s v="2_축산자원개발부"/>
    <x v="0"/>
    <s v="조은석"/>
    <m/>
    <s v="기해년(己亥年) 새해 복 돼지 기운 받으세요(포토뉴스)"/>
    <s v="충북일보"/>
    <d v="2019-01-01T00:00:00"/>
    <m/>
    <s v="09_지방일간지"/>
    <n v="1.5"/>
    <d v="2019-01-04T00:00:00"/>
  </r>
  <r>
    <n v="110"/>
    <s v="8_국립축산과학원"/>
    <s v="2_축산자원개발부"/>
    <x v="0"/>
    <s v="김두완"/>
    <s v="보도자료1"/>
    <s v="농진청, ‘축진참돈’ 등 우리돼지 4품종 소개"/>
    <s v="metro"/>
    <d v="2019-01-03T00:00:00"/>
    <n v="13"/>
    <s v="10_무가지"/>
    <n v="1"/>
    <d v="2019-01-04T00:00:00"/>
  </r>
  <r>
    <n v="111"/>
    <s v="8_국립축산과학원"/>
    <s v="0_본원"/>
    <x v="10"/>
    <s v="양병철"/>
    <s v="보도자료2"/>
    <s v="농진청, ‘축진참돈’ 등 우리돼지 4품종 소개"/>
    <s v="metro"/>
    <d v="2019-01-03T00:00:00"/>
    <n v="13"/>
    <s v="10_무가지"/>
    <n v="1"/>
    <d v="2019-01-04T00:00:00"/>
  </r>
  <r>
    <n v="112"/>
    <s v="8_국립축산과학원"/>
    <s v="1_축산생명환경부"/>
    <x v="9"/>
    <s v="이준엽"/>
    <s v="보도자료162(2018)"/>
    <s v="전기시설 등 축사 시설 미리 점검 당부"/>
    <s v="낙농신문"/>
    <d v="2018-12-27T00:00:00"/>
    <n v="7"/>
    <s v="10_기타전문지"/>
    <n v="1"/>
    <d v="2019-01-04T00:00:00"/>
  </r>
  <r>
    <n v="113"/>
    <s v="8_국립축산과학원"/>
    <s v="2_축산자원개발부"/>
    <x v="12"/>
    <s v="기광석"/>
    <m/>
    <s v="지방산 지나치면 지방간, 간기능 저하"/>
    <s v="낙농신문"/>
    <d v="2018-12-27T00:00:00"/>
    <n v="13"/>
    <s v="10_기타전문지"/>
    <n v="1"/>
    <d v="2019-01-04T00:00:00"/>
  </r>
  <r>
    <n v="114"/>
    <s v="8_국립축산과학원"/>
    <s v="2_축산자원개발부"/>
    <x v="0"/>
    <s v="조은석"/>
    <m/>
    <s v="기해년(己亥年) 올해도 뭐든 잘 돼지(포토뉴스)"/>
    <s v="시사오늘"/>
    <d v="2019-01-01T00:00:00"/>
    <m/>
    <s v="10_기타월간지"/>
    <n v="1"/>
    <d v="2019-01-04T00:00:00"/>
  </r>
  <r>
    <n v="115"/>
    <s v="8_국립축산과학원"/>
    <s v="2_축산자원개발부"/>
    <x v="0"/>
    <s v="조은석"/>
    <m/>
    <s v="2019 기해년 ‘황금돼지 해’(포토뉴스)"/>
    <s v="뉴스웨이"/>
    <d v="2019-01-01T00:00:00"/>
    <m/>
    <s v="10_주간지"/>
    <n v="1"/>
    <d v="2019-01-04T00:00:00"/>
  </r>
  <r>
    <n v="116"/>
    <s v="8_국립축산과학원"/>
    <s v="2_축산자원개발부"/>
    <x v="0"/>
    <s v="조은석"/>
    <m/>
    <s v="기해년(己亥年) 새해 복 돼지 기운 받으세요!(포토뉴스)"/>
    <s v="세계타임즈"/>
    <d v="2019-01-01T00:00:00"/>
    <m/>
    <s v="11_기타(지역주간지)"/>
    <n v="0.5"/>
    <d v="2019-01-04T00:00:00"/>
  </r>
  <r>
    <n v="117"/>
    <s v="8_국립축산과학원"/>
    <s v="2_축산자원개발부"/>
    <x v="0"/>
    <s v="조은석"/>
    <m/>
    <s v="기해년(己亥年) 새해 복 돼지 기운 받으세요(포토뉴스)"/>
    <s v="코리아플러스"/>
    <d v="2019-01-01T00:00:00"/>
    <m/>
    <s v="11_기타(지역주간지)"/>
    <n v="0.5"/>
    <d v="2019-01-04T00:00:00"/>
  </r>
  <r>
    <n v="118"/>
    <s v="8_국립축산과학원"/>
    <s v="2_축산자원개발부"/>
    <x v="0"/>
    <s v="조은석"/>
    <m/>
    <s v="기해년(己亥年) 복 돼지 기운 받으세요!"/>
    <s v="라이브뉴스"/>
    <d v="2019-01-01T00:00:00"/>
    <m/>
    <s v="13_인터넷포털"/>
    <n v="0.1"/>
    <d v="2019-01-04T00:00:00"/>
  </r>
  <r>
    <n v="119"/>
    <s v="8_국립축산과학원"/>
    <s v="2_축산자원개발부"/>
    <x v="0"/>
    <s v="조은석"/>
    <m/>
    <s v="‘기해년 새해야 떠올라라’(포토뉴스)"/>
    <s v="뉴스핌"/>
    <d v="2019-01-01T00:00:00"/>
    <m/>
    <s v="11_기타(지역주간지)"/>
    <n v="0.5"/>
    <d v="2019-01-04T00:00:00"/>
  </r>
  <r>
    <n v="120"/>
    <s v="8_국립축산과학원"/>
    <s v="2_축산자원개발부"/>
    <x v="0"/>
    <s v="조은석"/>
    <m/>
    <s v="한 마리 1억... 네가 福돼지로구나"/>
    <s v="조선비즈"/>
    <d v="2019-01-01T00:00:00"/>
    <m/>
    <s v="11_기타(지역주간지)"/>
    <n v="0.5"/>
    <d v="2019-01-04T00:00:00"/>
  </r>
  <r>
    <n v="121"/>
    <s v="8_국립축산과학원"/>
    <s v="2_축산자원개발부"/>
    <x v="0"/>
    <s v="조은석"/>
    <m/>
    <s v="‘붉게 떠오르는 황금돼지의 해’(포토뉴스)"/>
    <s v="더팩트"/>
    <d v="2019-01-01T00:00:00"/>
    <m/>
    <s v="13_인터넷포털"/>
    <n v="0.1"/>
    <d v="2019-01-04T00:00:00"/>
  </r>
  <r>
    <n v="122"/>
    <s v="8_국립축산과학원"/>
    <s v="2_축산자원개발부"/>
    <x v="0"/>
    <s v="조은석"/>
    <m/>
    <s v="‘2019 기해년 황금돼지의 해가 밝다’(포토뉴스)"/>
    <s v="데일리안"/>
    <d v="2019-01-01T00:00:00"/>
    <m/>
    <s v="13_인터넷포털"/>
    <n v="0.1"/>
    <d v="2019-01-04T00:00:00"/>
  </r>
  <r>
    <n v="123"/>
    <s v="8_국립축산과학원"/>
    <s v="2_축산자원개발부"/>
    <x v="0"/>
    <s v="조은석"/>
    <m/>
    <s v="‘황금돼지해’가 떴습니다(포토뉴스)"/>
    <s v="머니S"/>
    <d v="2019-01-01T00:00:00"/>
    <m/>
    <s v="13_인터넷포털"/>
    <n v="0.1"/>
    <d v="2019-01-04T00:00:00"/>
  </r>
  <r>
    <n v="124"/>
    <s v="8_국립축산과학원"/>
    <s v="2_축산자원개발부"/>
    <x v="0"/>
    <s v="조은석"/>
    <m/>
    <s v="2019년 기해년 황금돼지해(포토뉴스)"/>
    <s v="민중의소리"/>
    <d v="2019-01-01T00:00:00"/>
    <m/>
    <s v="13_인터넷포털"/>
    <n v="0.1"/>
    <d v="2019-01-04T00:00:00"/>
  </r>
  <r>
    <n v="125"/>
    <s v="8_국립축산과학원"/>
    <s v="2_축산자원개발부"/>
    <x v="0"/>
    <s v="조은석"/>
    <m/>
    <s v="기해년 새해~~ 복돼지 기운 받으세요!!(포토뉴스)"/>
    <s v="국제뉴스"/>
    <d v="2019-01-01T00:00:00"/>
    <m/>
    <s v="13_인터넷포털"/>
    <n v="0.1"/>
    <d v="2019-01-04T00:00:00"/>
  </r>
  <r>
    <n v="126"/>
    <s v="8_국립축산과학원"/>
    <s v="2_축산자원개발부"/>
    <x v="0"/>
    <s v="조은석"/>
    <m/>
    <s v="기해년 새해~~ 복돼지 기운 받으세요!!(포토뉴스)"/>
    <s v="KJT뉴스"/>
    <d v="2019-01-01T00:00:00"/>
    <m/>
    <s v="13_인터넷포털"/>
    <n v="0.1"/>
    <d v="2019-01-04T00:00:00"/>
  </r>
  <r>
    <n v="127"/>
    <s v="8_국립축산과학원"/>
    <s v="2_축산자원개발부"/>
    <x v="0"/>
    <s v="조은석"/>
    <m/>
    <s v="“기해년 새해 복 돼지 기운 받으세요”(포토뉴스)"/>
    <s v="충북뉴스"/>
    <d v="2019-01-01T00:00:00"/>
    <m/>
    <s v="13_인터넷포털"/>
    <n v="0.1"/>
    <d v="2019-01-04T00:00:00"/>
  </r>
  <r>
    <n v="128"/>
    <s v="8_국립축산과학원"/>
    <s v="2_축산자원개발부"/>
    <x v="0"/>
    <s v="조은석"/>
    <m/>
    <s v="기해년(己亥年) 새해 복 돼지 기운 받으세요!(포토뉴스)"/>
    <s v="IPN뉴스"/>
    <d v="2019-01-01T00:00:00"/>
    <m/>
    <s v="13_인터넷포털"/>
    <n v="0.1"/>
    <d v="2019-01-04T00:00:00"/>
  </r>
  <r>
    <n v="129"/>
    <s v="8_국립축산과학원"/>
    <s v="2_축산자원개발부"/>
    <x v="0"/>
    <s v="백선영"/>
    <s v="기고"/>
    <s v="[기고] 백선영 연구사-우리가 몰랐던 ‘돼지 이야기’"/>
    <s v="퀸오가닉라이프"/>
    <d v="2019-01-07T00:00:00"/>
    <m/>
    <s v="18_기타월간지"/>
    <n v="4"/>
    <d v="2019-01-07T00:00:00"/>
  </r>
  <r>
    <n v="130"/>
    <s v="8_국립축산과학원"/>
    <s v="2_축산자원개발부"/>
    <x v="0"/>
    <s v="김두완"/>
    <s v="보도자료1"/>
    <s v="중형차 값에 전용 황토방까지…‘귀하신 몸’ 돼지"/>
    <s v="채널A"/>
    <d v="2019-01-04T00:00:00"/>
    <m/>
    <s v="02_TV-종합편성채널"/>
    <n v="4"/>
    <d v="2019-01-07T00:00:00"/>
  </r>
  <r>
    <n v="131"/>
    <s v="8_국립축산과학원"/>
    <s v="0_본원"/>
    <x v="10"/>
    <s v="양병철"/>
    <s v="보도자료2"/>
    <s v="중형차 값에 전용 황토방까지…‘귀하신 몸’ 돼지"/>
    <s v="채널A"/>
    <d v="2019-01-04T00:00:00"/>
    <m/>
    <s v="02_TV-종합편성채널"/>
    <n v="4"/>
    <d v="2019-01-07T00:00:00"/>
  </r>
  <r>
    <n v="132"/>
    <s v="8_국립축산과학원"/>
    <s v="2_축산자원개발부"/>
    <x v="0"/>
    <s v="김두완"/>
    <s v="보도자료1"/>
    <s v="농촌진흥청, 국산 돼지 4개 품종 복원·개발(종합뉴스)"/>
    <s v="YTN"/>
    <d v="2019-01-05T00:00:00"/>
    <m/>
    <s v="02_TV-케이블중앙"/>
    <n v="4"/>
    <d v="2019-01-07T00:00:00"/>
  </r>
  <r>
    <n v="133"/>
    <s v="8_국립축산과학원"/>
    <s v="0_본원"/>
    <x v="10"/>
    <s v="양병철"/>
    <s v="보도자료2"/>
    <s v="농촌진흥청, 국산 돼지 4개 품종 복원·개발(종합뉴스)"/>
    <s v="YTN"/>
    <d v="2019-01-05T00:00:00"/>
    <m/>
    <s v="02_TV-케이블중앙"/>
    <n v="4"/>
    <d v="2019-01-07T00:00:00"/>
  </r>
  <r>
    <n v="134"/>
    <s v="8_국립축산과학원"/>
    <s v="2_축산자원개발부"/>
    <x v="0"/>
    <s v="김두완"/>
    <s v="보도자료1"/>
    <s v="농촌진흥청, 국산 돼지 4개 품종 복원·개발"/>
    <s v="YTN사이언스"/>
    <d v="2019-01-05T00:00:00"/>
    <m/>
    <s v="02_TV-케이블중앙"/>
    <n v="4"/>
    <d v="2019-01-07T00:00:00"/>
  </r>
  <r>
    <n v="135"/>
    <s v="8_국립축산과학원"/>
    <s v="0_본원"/>
    <x v="10"/>
    <s v="양병철"/>
    <s v="보도자료2"/>
    <s v="농촌진흥청, 국산 돼지 4개 품종 복원·개발"/>
    <s v="YTN사이언스"/>
    <d v="2019-01-05T00:00:00"/>
    <m/>
    <s v="02_TV-케이블중앙"/>
    <n v="4"/>
    <d v="2019-01-07T00:00:00"/>
  </r>
  <r>
    <n v="136"/>
    <s v="8_국립축산과학원"/>
    <s v="0_본원"/>
    <x v="13"/>
    <s v="배선아"/>
    <s v="보도자료3"/>
    <s v="농진청 첫 주관, 가축인공수정사 시험 143명 합격"/>
    <s v="서울경제"/>
    <d v="2019-01-06T00:00:00"/>
    <m/>
    <s v="07_중앙일간지"/>
    <n v="5"/>
    <d v="2019-01-07T00:00:00"/>
  </r>
  <r>
    <n v="137"/>
    <s v="8_국립축산과학원"/>
    <s v="0_본원"/>
    <x v="13"/>
    <s v="배선아"/>
    <s v="보도자료3"/>
    <s v="농진청, 가축인공수정사 합격자 발표"/>
    <s v="뉴시스"/>
    <d v="2019-01-06T00:00:00"/>
    <m/>
    <s v="07_중앙일간지"/>
    <n v="5"/>
    <d v="2019-01-07T00:00:00"/>
  </r>
  <r>
    <n v="138"/>
    <s v="8_국립축산과학원"/>
    <s v="1_축산생명환경부"/>
    <x v="9"/>
    <s v="우샘이"/>
    <s v="보도자료167(2018)"/>
    <s v="반려견과 겨울철 여행시 챙겨야 할 것들"/>
    <s v="헤럴드경제"/>
    <d v="2019-01-04T00:00:00"/>
    <m/>
    <s v="07_중앙일간지"/>
    <n v="5"/>
    <d v="2019-01-07T00:00:00"/>
  </r>
  <r>
    <n v="139"/>
    <s v="8_국립축산과학원"/>
    <s v="2_축산자원개발부"/>
    <x v="0"/>
    <s v="민예진"/>
    <s v="보도자료168(2018)"/>
    <s v="‘황금돼지’의 해...그때는 틀리고 지금이 맞다[개人주의]"/>
    <s v="머니투데이"/>
    <d v="2019-01-04T00:00:00"/>
    <m/>
    <s v="07_중앙일간지"/>
    <n v="5"/>
    <d v="2019-01-07T00:00:00"/>
  </r>
  <r>
    <n v="140"/>
    <s v="8_국립축산과학원"/>
    <s v="2_축산자원개발부"/>
    <x v="0"/>
    <s v="김두완"/>
    <s v="보도자료1"/>
    <s v="‘황금돼지’의 해...그때는 틀리고 지금이 맞다[개人주의]"/>
    <s v="머니투데이"/>
    <d v="2019-01-04T00:00:00"/>
    <m/>
    <s v="07_중앙일간지"/>
    <n v="5"/>
    <d v="2019-01-07T00:00:00"/>
  </r>
  <r>
    <n v="141"/>
    <s v="8_국립축산과학원"/>
    <s v="0_본원"/>
    <x v="10"/>
    <s v="양병철"/>
    <s v="보도자료2"/>
    <s v="‘황금돼지’의 해...그때는 틀리고 지금이 맞다[개人주의]"/>
    <s v="머니투데이"/>
    <d v="2019-01-04T00:00:00"/>
    <m/>
    <s v="07_중앙일간지"/>
    <n v="5"/>
    <d v="2019-01-07T00:00:00"/>
  </r>
  <r>
    <n v="142"/>
    <s v="8_국립축산과학원"/>
    <s v="1_축산생명환경부"/>
    <x v="7"/>
    <s v="지상윤"/>
    <m/>
    <s v="농진청, 뻔한 시무식 대신 ‘열린 발표회’"/>
    <s v="머니투데이"/>
    <d v="2019-01-07T00:00:00"/>
    <n v="4"/>
    <s v="07_중앙일간지"/>
    <n v="5"/>
    <d v="2019-01-07T00:00:00"/>
  </r>
  <r>
    <n v="143"/>
    <s v="8_국립축산과학원"/>
    <s v="1_축산생명환경부"/>
    <x v="7"/>
    <s v="지상윤"/>
    <m/>
    <s v="농진청, 시무식 대신 실무자 제언 ‘열린 발표회’"/>
    <s v="이데일리"/>
    <d v="2019-01-06T00:00:00"/>
    <m/>
    <s v="07_중앙일간지"/>
    <n v="5"/>
    <d v="2019-01-07T00:00:00"/>
  </r>
  <r>
    <n v="144"/>
    <s v="8_국립축산과학원"/>
    <s v="1_축산생명환경부"/>
    <x v="9"/>
    <s v="우샘이"/>
    <s v="보도자료167(2018)"/>
    <s v="옷 따뜻하게 입혀 외출, 염화칼슘 삼키지 않게 주의"/>
    <s v="농축환경신문"/>
    <d v="2018-12-27T00:00:00"/>
    <n v="6"/>
    <s v="09_농업전문지"/>
    <n v="1.5"/>
    <d v="2019-01-07T00:00:00"/>
  </r>
  <r>
    <n v="145"/>
    <s v="8_국립축산과학원"/>
    <s v="1_축산생명환경부"/>
    <x v="9"/>
    <s v="곽정훈"/>
    <m/>
    <s v="제1회 청정축산환경대상 시상식 개최"/>
    <s v="전업농신문"/>
    <d v="2019-01-02T00:00:00"/>
    <n v="8"/>
    <s v="09_농업전문지"/>
    <n v="1.5"/>
    <d v="2019-01-07T00:00:00"/>
  </r>
  <r>
    <n v="146"/>
    <s v="8_국립축산과학원"/>
    <s v="1_축산생명환경부"/>
    <x v="9"/>
    <s v="곽정훈"/>
    <m/>
    <s v="농협, 제1회 청정축산환경대상 시상식 개최"/>
    <s v="농축환경신문"/>
    <d v="2018-12-27T00:00:00"/>
    <n v="4"/>
    <s v="09_농업전문지"/>
    <n v="1.5"/>
    <d v="2019-01-07T00:00:00"/>
  </r>
  <r>
    <n v="147"/>
    <s v="8_국립축산과학원"/>
    <s v="2_축산자원개발부"/>
    <x v="0"/>
    <s v="김두완"/>
    <s v="보도자료1"/>
    <s v="“돼지의 해, 우리 돼지와 함께 행복한 한해 되세요”"/>
    <s v="한국영농신문"/>
    <d v="2019-01-03T00:00:00"/>
    <m/>
    <s v="09_농업전문지"/>
    <n v="1.5"/>
    <d v="2019-01-07T00:00:00"/>
  </r>
  <r>
    <n v="148"/>
    <s v="8_국립축산과학원"/>
    <s v="0_본원"/>
    <x v="10"/>
    <s v="양병철"/>
    <s v="보도자료2"/>
    <s v="“돼지의 해, 우리 돼지와 함께 행복한 한해 되세요”"/>
    <s v="한국영농신문"/>
    <d v="2019-01-03T00:00:00"/>
    <m/>
    <s v="09_농업전문지"/>
    <n v="1.5"/>
    <d v="2019-01-07T00:00:00"/>
  </r>
  <r>
    <n v="149"/>
    <s v="8_국립축산과학원"/>
    <s v="2_축산자원개발부"/>
    <x v="8"/>
    <s v="박미나"/>
    <m/>
    <s v="전북도, 대한민국 ‘대표씨수소’ 또 배출"/>
    <s v="삼남일보"/>
    <d v="2019-01-04T00:00:00"/>
    <n v="5"/>
    <s v="09_지방일간지"/>
    <n v="1.5"/>
    <d v="2019-01-07T00:00:00"/>
  </r>
  <r>
    <n v="150"/>
    <s v="8_국립축산과학원"/>
    <s v="2_축산자원개발부"/>
    <x v="8"/>
    <s v="박미나"/>
    <m/>
    <s v="전북 ‘대한민국 대표씨수소’ 또 배출"/>
    <s v="전주매일"/>
    <d v="2019-01-04T00:00:00"/>
    <n v="2"/>
    <s v="09_지방일간지"/>
    <n v="1.5"/>
    <d v="2019-01-07T00:00:00"/>
  </r>
  <r>
    <n v="151"/>
    <s v="8_국립축산과학원"/>
    <s v="2_축산자원개발부"/>
    <x v="8"/>
    <s v="박미나"/>
    <m/>
    <s v="전북한우, 대한민국 대표 씨수소 선발"/>
    <s v="전라매일"/>
    <d v="2019-01-04T00:00:00"/>
    <n v="2"/>
    <s v="09_지방일간지"/>
    <n v="1.5"/>
    <d v="2019-01-07T00:00:00"/>
  </r>
  <r>
    <n v="152"/>
    <s v="8_국립축산과학원"/>
    <s v="2_축산자원개발부"/>
    <x v="8"/>
    <s v="박미나"/>
    <m/>
    <s v="전북 대한민국 ‘대표씨수소’ 또 배출"/>
    <s v="새만금일보"/>
    <d v="2019-01-04T00:00:00"/>
    <n v="3"/>
    <s v="09_지방일간지"/>
    <n v="1.5"/>
    <d v="2019-01-07T00:00:00"/>
  </r>
  <r>
    <n v="153"/>
    <s v="8_국립축산과학원"/>
    <s v="2_축산자원개발부"/>
    <x v="8"/>
    <s v="박미나"/>
    <m/>
    <s v="‘천년전북2호’ 국가 씨수소 선발"/>
    <s v="전라일보"/>
    <d v="2019-01-04T00:00:00"/>
    <n v="6"/>
    <s v="09_지방일간지"/>
    <n v="1.5"/>
    <d v="2019-01-07T00:00:00"/>
  </r>
  <r>
    <n v="154"/>
    <s v="8_국립축산과학원"/>
    <s v="2_축산자원개발부"/>
    <x v="0"/>
    <s v="조은석"/>
    <m/>
    <s v="2019 기해년 “황금돼지 복과 기운 받으세요”(포토뉴스)"/>
    <s v="말산업저널"/>
    <d v="2019-01-02T00:00:00"/>
    <m/>
    <s v="10_기타전문지"/>
    <n v="1"/>
    <d v="2019-01-07T00:00:00"/>
  </r>
  <r>
    <n v="155"/>
    <s v="8_국립축산과학원"/>
    <s v="2_축산자원개발부"/>
    <x v="0"/>
    <s v="김두완"/>
    <s v="보도자료1"/>
    <s v="돼지들의 활약이 기대 ‘돼지’?"/>
    <s v="식약일보"/>
    <d v="2019-01-03T00:00:00"/>
    <m/>
    <s v="10_기타전문지"/>
    <n v="1"/>
    <d v="2019-01-07T00:00:00"/>
  </r>
  <r>
    <n v="156"/>
    <s v="8_국립축산과학원"/>
    <s v="0_본원"/>
    <x v="10"/>
    <s v="양병철"/>
    <s v="보도자료2"/>
    <s v="돼지들의 활약이 기대 ‘돼지’?"/>
    <s v="식약일보"/>
    <d v="2019-01-03T00:00:00"/>
    <m/>
    <s v="10_기타전문지"/>
    <n v="1"/>
    <d v="2019-01-07T00:00:00"/>
  </r>
  <r>
    <n v="157"/>
    <s v="8_국립축산과학원"/>
    <s v="2_축산자원개발부"/>
    <x v="0"/>
    <s v="조은석"/>
    <m/>
    <s v="2019년 기해년(己亥年) 복돼지와 함께 새해 맞으세요(포토뉴스)"/>
    <s v="팜인사이트"/>
    <d v="2019-01-02T00:00:00"/>
    <m/>
    <s v="13_인터넷포털"/>
    <n v="0.1"/>
    <d v="2019-01-07T00:00:00"/>
  </r>
  <r>
    <n v="158"/>
    <s v="8_국립축산과학원"/>
    <s v="2_축산자원개발부"/>
    <x v="0"/>
    <s v="김두완"/>
    <s v="보도자료1"/>
    <s v="농진청, 우리 돼지 4총사 이야기"/>
    <s v="농업경제신문"/>
    <d v="2019-01-02T00:00:00"/>
    <m/>
    <s v="13_인터넷포털"/>
    <n v="0.1"/>
    <d v="2019-01-07T00:00:00"/>
  </r>
  <r>
    <n v="159"/>
    <s v="8_국립축산과학원"/>
    <s v="0_본원"/>
    <x v="10"/>
    <s v="양병철"/>
    <s v="보도자료2"/>
    <s v="농진청, 우리 돼지 4총사 이야기"/>
    <s v="농업경제신문"/>
    <d v="2019-01-02T00:00:00"/>
    <m/>
    <s v="13_인터넷포털"/>
    <n v="0.1"/>
    <d v="2019-01-07T00:00:00"/>
  </r>
  <r>
    <n v="160"/>
    <s v="8_국립축산과학원"/>
    <s v="2_축산자원개발부"/>
    <x v="0"/>
    <s v="김두완"/>
    <s v="보도자료1"/>
    <s v="농촌진흥청, 기해년 맞아 돼지 이야기 소개 ② 품종"/>
    <s v="오가닉라이프"/>
    <d v="2019-01-02T00:00:00"/>
    <m/>
    <s v="13_인터넷포털"/>
    <n v="0.1"/>
    <d v="2019-01-07T00:00:00"/>
  </r>
  <r>
    <n v="161"/>
    <s v="8_국립축산과학원"/>
    <s v="0_본원"/>
    <x v="10"/>
    <s v="양병철"/>
    <s v="보도자료2"/>
    <s v="농촌진흥청, 기해년 맞아 돼지 이야기 소개 ② 품종"/>
    <s v="오가닉라이프"/>
    <d v="2019-01-02T00:00:00"/>
    <m/>
    <s v="13_인터넷포털"/>
    <n v="0.1"/>
    <d v="2019-01-07T00:00:00"/>
  </r>
  <r>
    <n v="162"/>
    <s v="8_국립축산과학원"/>
    <s v="2_축산자원개발부"/>
    <x v="0"/>
    <s v="김두완"/>
    <s v="보도자료1"/>
    <s v="토종돼지 ‘축진참돈’을 아십니까?"/>
    <s v="한국농어촌방송"/>
    <d v="2019-01-02T00:00:00"/>
    <m/>
    <s v="13_인터넷포털"/>
    <n v="0.1"/>
    <d v="2019-01-07T00:00:00"/>
  </r>
  <r>
    <n v="163"/>
    <s v="8_국립축산과학원"/>
    <s v="0_본원"/>
    <x v="10"/>
    <s v="양병철"/>
    <s v="보도자료2"/>
    <s v="토종돼지 ‘축진참돈’을 아십니까?"/>
    <s v="한국농어촌방송"/>
    <d v="2019-01-02T00:00:00"/>
    <m/>
    <s v="13_인터넷포털"/>
    <n v="0.1"/>
    <d v="2019-01-07T00:00:00"/>
  </r>
  <r>
    <n v="164"/>
    <s v="8_국립축산과학원"/>
    <s v="2_축산자원개발부"/>
    <x v="0"/>
    <s v="김두완"/>
    <s v="보도자료1"/>
    <s v="올해도 ‘우리 돼지’들의 활약이 기대 ‘돼지’?"/>
    <s v="메디컬투데이"/>
    <d v="2019-01-02T00:00:00"/>
    <m/>
    <s v="13_인터넷포털"/>
    <n v="0.1"/>
    <d v="2019-01-07T00:00:00"/>
  </r>
  <r>
    <n v="165"/>
    <s v="8_국립축산과학원"/>
    <s v="0_본원"/>
    <x v="10"/>
    <s v="양병철"/>
    <s v="보도자료2"/>
    <s v="올해도 ‘우리 돼지’들의 활약이 기대 ‘돼지’?"/>
    <s v="메디컬투데이"/>
    <d v="2019-01-02T00:00:00"/>
    <m/>
    <s v="13_인터넷포털"/>
    <n v="0.1"/>
    <d v="2019-01-07T00:00:00"/>
  </r>
  <r>
    <n v="166"/>
    <s v="8_국립축산과학원"/>
    <s v="2_축산자원개발부"/>
    <x v="0"/>
    <s v="조은석"/>
    <m/>
    <s v="기해년(己亥年) 새해 복 돼지 기운 받으세요!(포토뉴스)"/>
    <s v="뉴스에이"/>
    <d v="2019-01-02T00:00:00"/>
    <m/>
    <s v="13_인터넷포털"/>
    <n v="0.1"/>
    <d v="2019-01-07T00:00:00"/>
  </r>
  <r>
    <n v="167"/>
    <s v="8_국립축산과학원"/>
    <s v="2_축산자원개발부"/>
    <x v="0"/>
    <s v="김두완"/>
    <s v="보도자료1"/>
    <s v="올해도 ‘우리 돼지’들의 활약이 기대 ‘돼지’?"/>
    <s v="시사매거진"/>
    <d v="2019-01-02T00:00:00"/>
    <m/>
    <s v="13_인터넷포털"/>
    <n v="0.1"/>
    <d v="2019-01-07T00:00:00"/>
  </r>
  <r>
    <n v="168"/>
    <s v="8_국립축산과학원"/>
    <s v="0_본원"/>
    <x v="10"/>
    <s v="양병철"/>
    <s v="보도자료2"/>
    <s v="올해도 ‘우리 돼지’들의 활약이 기대 ‘돼지’?"/>
    <s v="시사매거진"/>
    <d v="2019-01-02T00:00:00"/>
    <m/>
    <s v="13_인터넷포털"/>
    <n v="0.1"/>
    <d v="2019-01-07T00:00:00"/>
  </r>
  <r>
    <n v="169"/>
    <s v="8_국립축산과학원"/>
    <s v="2_축산자원개발부"/>
    <x v="0"/>
    <s v="김두완"/>
    <s v="보도자료1"/>
    <s v="올해도 기대되는 우리나라 품종 돼지들"/>
    <s v="라이브뉴스"/>
    <d v="2019-01-02T00:00:00"/>
    <m/>
    <s v="13_인터넷포털"/>
    <n v="0.1"/>
    <d v="2019-01-07T00:00:00"/>
  </r>
  <r>
    <n v="170"/>
    <s v="8_국립축산과학원"/>
    <s v="0_본원"/>
    <x v="10"/>
    <s v="양병철"/>
    <s v="보도자료2"/>
    <s v="올해도 기대되는 우리나라 품종 돼지들"/>
    <s v="라이브뉴스"/>
    <d v="2019-01-02T00:00:00"/>
    <m/>
    <s v="13_인터넷포털"/>
    <n v="0.1"/>
    <d v="2019-01-07T00:00:00"/>
  </r>
  <r>
    <n v="171"/>
    <s v="8_국립축산과학원"/>
    <s v="2_축산자원개발부"/>
    <x v="0"/>
    <s v="김두완"/>
    <s v="보도자료1"/>
    <s v="농진청, 2019 기해년 맞아 토종 돼지 품종 홍보나서"/>
    <s v="투데이코리아"/>
    <d v="2019-01-03T00:00:00"/>
    <m/>
    <s v="13_인터넷포털"/>
    <n v="0.1"/>
    <d v="2019-01-07T00:00:00"/>
  </r>
  <r>
    <n v="172"/>
    <s v="8_국립축산과학원"/>
    <s v="0_본원"/>
    <x v="10"/>
    <s v="양병철"/>
    <s v="보도자료2"/>
    <s v="농진청, 2019 기해년 맞아 토종 돼지 품종 홍보나서"/>
    <s v="투데이코리아"/>
    <d v="2019-01-03T00:00:00"/>
    <m/>
    <s v="13_인터넷포털"/>
    <n v="0.1"/>
    <d v="2019-01-07T00:00:00"/>
  </r>
  <r>
    <n v="173"/>
    <s v="8_국립축산과학원"/>
    <s v="2_축산자원개발부"/>
    <x v="0"/>
    <s v="김두완"/>
    <s v="보도자료1"/>
    <s v="올해도 ‘우리 돼지’들의 활약이 기대 ‘돼지’?"/>
    <s v="전남인터넷신문"/>
    <d v="2019-01-03T00:00:00"/>
    <m/>
    <s v="13_인터넷포털"/>
    <n v="0.1"/>
    <d v="2019-01-07T00:00:00"/>
  </r>
  <r>
    <n v="174"/>
    <s v="8_국립축산과학원"/>
    <s v="0_본원"/>
    <x v="10"/>
    <s v="양병철"/>
    <s v="보도자료2"/>
    <s v="올해도 ‘우리 돼지’들의 활약이 기대 ‘돼지’?"/>
    <s v="전남인터넷신문"/>
    <d v="2019-01-03T00:00:00"/>
    <m/>
    <s v="13_인터넷포털"/>
    <n v="0.1"/>
    <d v="2019-01-07T00:00:00"/>
  </r>
  <r>
    <n v="175"/>
    <s v="8_국립축산과학원"/>
    <s v="2_축산자원개발부"/>
    <x v="8"/>
    <s v="박미나"/>
    <m/>
    <s v="전북도, 대한민국 ‘대표씨수소’ 또 배출"/>
    <s v="중부뉴스통신"/>
    <d v="2019-01-03T00:00:00"/>
    <m/>
    <s v="13_인터넷포털"/>
    <n v="0.1"/>
    <d v="2019-01-07T00:00:00"/>
  </r>
  <r>
    <n v="176"/>
    <s v="8_국립축산과학원"/>
    <s v="2_축산자원개발부"/>
    <x v="8"/>
    <s v="박미나"/>
    <m/>
    <s v="전북도, 대한민국 ‘대표씨수소’ 또 배출"/>
    <s v="인트로뉴스"/>
    <d v="2019-01-03T00:00:00"/>
    <m/>
    <s v="13_인터넷포털"/>
    <n v="0.1"/>
    <d v="2019-01-07T00:00:00"/>
  </r>
  <r>
    <n v="177"/>
    <s v="8_국립축산과학원"/>
    <s v="2_축산자원개발부"/>
    <x v="8"/>
    <s v="박미나"/>
    <m/>
    <s v="전북도, 대한민국 ‘대표씨수소’ 또 배출"/>
    <s v="투데이안"/>
    <d v="2019-01-03T00:00:00"/>
    <m/>
    <s v="13_인터넷포털"/>
    <n v="0.1"/>
    <d v="2019-01-07T00:00:00"/>
  </r>
  <r>
    <n v="178"/>
    <s v="8_국립축산과학원"/>
    <s v="1_축산생명환경부"/>
    <x v="7"/>
    <s v="지상윤"/>
    <m/>
    <s v="농촌진흥청, 2019 시무식 대신 ‘열린 발표회’로 직원과 소통"/>
    <s v="오가닉라이프"/>
    <d v="2019-01-03T00:00:00"/>
    <m/>
    <s v="13_인터넷포털"/>
    <n v="0.1"/>
    <d v="2019-01-07T00:00:00"/>
  </r>
  <r>
    <n v="179"/>
    <s v="8_국립축산과학원"/>
    <s v="1_축산생명환경부"/>
    <x v="7"/>
    <s v="지상윤"/>
    <m/>
    <s v="농촌진흥청, 시무식 대신 소통의 시간 가져4"/>
    <s v="보건뉴스"/>
    <d v="2019-01-03T00:00:00"/>
    <m/>
    <s v="13_인터넷포털"/>
    <n v="0.1"/>
    <d v="2019-01-07T00:00:00"/>
  </r>
  <r>
    <n v="180"/>
    <s v="8_국립축산과학원"/>
    <s v="2_축산자원개발부"/>
    <x v="8"/>
    <s v="박미나"/>
    <m/>
    <s v="전라북도, 대한민국 ‘대표씨수소’ 2호 배출"/>
    <s v="일간전북"/>
    <d v="2019-01-03T00:00:00"/>
    <m/>
    <s v="13_인터넷포털"/>
    <n v="0.1"/>
    <d v="2019-01-07T00:00:00"/>
  </r>
  <r>
    <n v="181"/>
    <s v="8_국립축산과학원"/>
    <s v="2_축산자원개발부"/>
    <x v="8"/>
    <s v="박미나"/>
    <m/>
    <s v="전북도, 대한민국 ‘대표씨수소’ 또 배출"/>
    <s v="창업일보"/>
    <d v="2019-01-03T00:00:00"/>
    <m/>
    <s v="13_인터넷포털"/>
    <n v="0.1"/>
    <d v="2019-01-07T00:00:00"/>
  </r>
  <r>
    <n v="182"/>
    <s v="8_국립축산과학원"/>
    <s v="2_축산자원개발부"/>
    <x v="8"/>
    <s v="박미나"/>
    <m/>
    <s v="전북도, 대한민국 ‘대표씨수소’ 또 배출"/>
    <s v="한국시민기자협회 "/>
    <d v="2019-01-03T00:00:00"/>
    <m/>
    <s v="13_인터넷포털"/>
    <n v="0.1"/>
    <d v="2019-01-07T00:00:00"/>
  </r>
  <r>
    <n v="183"/>
    <s v="8_국립축산과학원"/>
    <s v="1_축산생명환경부"/>
    <x v="9"/>
    <s v="우샘이"/>
    <s v="보도자료167(2018)"/>
    <s v="반려견과 겨울철 여행시 챙겨야 할 것들"/>
    <s v="리얼푸드"/>
    <d v="2019-01-04T00:00:00"/>
    <m/>
    <s v="13_인터넷포털"/>
    <n v="0.1"/>
    <d v="2019-01-07T00:00:00"/>
  </r>
  <r>
    <n v="184"/>
    <s v="8_국립축산과학원"/>
    <s v="1_축산생명환경부"/>
    <x v="7"/>
    <s v="지상윤"/>
    <m/>
    <s v="농촌진흥청, ‘나의 제안’으로 새해 열다"/>
    <s v="한국농어촌방송"/>
    <d v="2019-01-04T00:00:00"/>
    <m/>
    <s v="13_인터넷포털"/>
    <n v="0.1"/>
    <d v="2019-01-07T00:00:00"/>
  </r>
  <r>
    <n v="185"/>
    <s v="8_국립축산과학원"/>
    <s v="1_축산생명환경부"/>
    <x v="9"/>
    <s v="양창범"/>
    <s v="기고"/>
    <s v="[기고] 양창범 원장-축산 기술에도 감성 입혀야"/>
    <s v="새전북신문"/>
    <d v="2019-01-07T00:00:00"/>
    <n v="10"/>
    <s v="17_지방일간지"/>
    <n v="8"/>
    <d v="2019-01-08T00:00:00"/>
  </r>
  <r>
    <n v="186"/>
    <s v="8_국립축산과학원"/>
    <s v="2_축산자원개발부"/>
    <x v="0"/>
    <s v="문홍길"/>
    <s v="기고"/>
    <s v="[기고] 문홍길 과장-축산현장 애로기술 해결 위한 돼지 사육[100문 100답] Q80~82"/>
    <s v="축산신문"/>
    <d v="2019-01-04T00:00:00"/>
    <n v="17"/>
    <s v="17_농업전문지"/>
    <n v="8"/>
    <d v="2019-01-08T00:00:00"/>
  </r>
  <r>
    <n v="187"/>
    <s v="8_국립축산과학원"/>
    <s v="2_축산자원개발부"/>
    <x v="0"/>
    <s v="김두완"/>
    <m/>
    <s v="“호랑이 똥으로도 못 막아” 산에서 멧돼지 마주친다면"/>
    <s v="중앙일보"/>
    <d v="2018-01-05T00:00:00"/>
    <m/>
    <s v="07_중앙일간지"/>
    <n v="5"/>
    <d v="2019-01-08T00:00:00"/>
  </r>
  <r>
    <n v="188"/>
    <s v="8_국립축산과학원"/>
    <s v="1_축산생명환경부"/>
    <x v="7"/>
    <s v="지상윤"/>
    <m/>
    <s v="농촌진흥청 새해, ‘나의 제안’으로 열다"/>
    <s v="환경일보"/>
    <d v="2019-01-07T00:00:00"/>
    <m/>
    <s v="08_기타일간지"/>
    <n v="2"/>
    <d v="2019-01-08T00:00:00"/>
  </r>
  <r>
    <n v="189"/>
    <s v="8_국립축산과학원"/>
    <s v="2_축산자원개발부"/>
    <x v="0"/>
    <s v="민예진"/>
    <s v="보도자료168(2018)"/>
    <s v="돼지(고기) 제대로 알자"/>
    <s v="양돈타임스"/>
    <d v="2019-01-03T00:00:00"/>
    <n v="2"/>
    <s v="09_농업전문지"/>
    <n v="1.5"/>
    <d v="2019-01-08T00:00:00"/>
  </r>
  <r>
    <n v="190"/>
    <s v="8_국립축산과학원"/>
    <s v="2_축산자원개발부"/>
    <x v="0"/>
    <s v="김두완"/>
    <s v="보도자료1"/>
    <s v="돼지띠해 우리 품종 돼지 활약 기대"/>
    <s v="농업인신문"/>
    <d v="2019-01-07T00:00:00"/>
    <n v="6"/>
    <s v="09_농업전문지"/>
    <n v="1.5"/>
    <d v="2019-01-08T00:00:00"/>
  </r>
  <r>
    <n v="191"/>
    <s v="8_국립축산과학원"/>
    <s v="0_본원"/>
    <x v="10"/>
    <s v="양병철"/>
    <s v="보도자료2"/>
    <s v="돼지띠해 우리 품종 돼지 활약 기대"/>
    <s v="농업인신문"/>
    <d v="2019-01-07T00:00:00"/>
    <n v="6"/>
    <s v="09_농업전문지"/>
    <n v="1.5"/>
    <d v="2019-01-08T00:00:00"/>
  </r>
  <r>
    <n v="192"/>
    <s v="8_국립축산과학원"/>
    <s v="2_축산자원개발부"/>
    <x v="8"/>
    <s v="박미나"/>
    <m/>
    <s v="한우 보증씨수소 13두 신규 선발"/>
    <s v="축산신문"/>
    <d v="2019-01-04T00:00:00"/>
    <n v="2"/>
    <s v="09_농업전문지"/>
    <n v="1.5"/>
    <d v="2019-01-08T00:00:00"/>
  </r>
  <r>
    <n v="193"/>
    <s v="8_국립축산과학원"/>
    <s v="1_축산생명환경부"/>
    <x v="9"/>
    <s v="곽정훈"/>
    <m/>
    <s v="‘깨끗한 목장’ …농가·정부 ‘발등의 불’"/>
    <s v="한국농촌경제신문"/>
    <d v="2018-12-31T00:00:00"/>
    <n v="12"/>
    <s v="09_농업전문지"/>
    <n v="1.5"/>
    <d v="2019-01-08T00:00:00"/>
  </r>
  <r>
    <n v="194"/>
    <s v="8_국립축산과학원"/>
    <s v="2_축산자원개발부"/>
    <x v="8"/>
    <s v="김시동"/>
    <m/>
    <s v="농협 종돈개량사업소 파주유전자센터 우수 정액처리업체 인증"/>
    <s v="축산경제"/>
    <d v="2018-12-31T00:00:00"/>
    <n v="11"/>
    <s v="09_농업전문지"/>
    <n v="1.5"/>
    <d v="2019-01-08T00:00:00"/>
  </r>
  <r>
    <n v="195"/>
    <s v="8_국립축산과학원"/>
    <s v="1_축산생명환경부"/>
    <x v="9"/>
    <s v="곽정훈"/>
    <m/>
    <s v="처치곤란 가축분뇨, 농민․지역주민 소득원 될 수 있다"/>
    <s v="한국농정신문"/>
    <d v="2019-01-01T00:00:00"/>
    <n v="7"/>
    <s v="09_농업전문지"/>
    <n v="1.5"/>
    <d v="2019-01-08T00:00:00"/>
  </r>
  <r>
    <n v="196"/>
    <s v="8_국립축산과학원"/>
    <s v="0_본원"/>
    <x v="11"/>
    <m/>
    <m/>
    <s v="“축산업게 칸막이 없는 융복합 시대로…구심체 역할 최선”"/>
    <s v="축산신문"/>
    <d v="2019-01-04T00:00:00"/>
    <n v="5"/>
    <s v="09_농업전문지"/>
    <n v="1.5"/>
    <d v="2019-01-08T00:00:00"/>
  </r>
  <r>
    <n v="197"/>
    <s v="8_국립축산과학원"/>
    <s v="2_축산자원개발부"/>
    <x v="0"/>
    <s v="조은석"/>
    <m/>
    <s v="“2019년은 재물과 복의 상징, 황금 돼지의 해”(포토뉴스)"/>
    <s v="농축유통신문"/>
    <d v="2019-01-04T00:00:00"/>
    <m/>
    <s v="09_농업전문지"/>
    <n v="1.5"/>
    <d v="2019-01-08T00:00:00"/>
  </r>
  <r>
    <n v="198"/>
    <s v="8_국립축산과학원"/>
    <s v="1_축산생명환경부"/>
    <x v="7"/>
    <s v="지상윤"/>
    <m/>
    <s v="“새해 시작을 ‘나의 제안’으로 열어요”"/>
    <s v="한국영농신문"/>
    <d v="2019-01-04T00:00:00"/>
    <m/>
    <s v="09_농업전문지"/>
    <n v="1.5"/>
    <d v="2019-01-08T00:00:00"/>
  </r>
  <r>
    <n v="199"/>
    <s v="8_국립축산과학원"/>
    <s v="0_본원"/>
    <x v="13"/>
    <s v="배선아"/>
    <s v="보도자료3"/>
    <s v="첫 농진청 주관, 가축인공수정사 시험 143명 합격"/>
    <s v="한국농업신문"/>
    <d v="2019-01-07T00:00:00"/>
    <m/>
    <s v="09_농업전문지"/>
    <n v="1.5"/>
    <d v="2019-01-08T00:00:00"/>
  </r>
  <r>
    <n v="200"/>
    <s v="8_국립축산과학원"/>
    <s v="1_축산생명환경부"/>
    <x v="7"/>
    <s v="지상윤"/>
    <m/>
    <s v="“56년 전통 바탕 세계 최고 농업연구기관 주력”"/>
    <s v="전북도민일보"/>
    <d v="2019-01-07T00:00:00"/>
    <n v="6"/>
    <s v="09_지방일간지"/>
    <n v="1.5"/>
    <d v="2019-01-08T00:00:00"/>
  </r>
  <r>
    <n v="201"/>
    <s v="8_국립축산과학원"/>
    <s v="0_본원"/>
    <x v="13"/>
    <s v="배선아"/>
    <s v="보도자료3"/>
    <s v="가축인공수정사 시험 143명 최종합격"/>
    <s v="전주일보"/>
    <d v="2019-01-07T00:00:00"/>
    <n v="13"/>
    <s v="09_지방일간지"/>
    <n v="1.5"/>
    <d v="2019-01-08T00:00:00"/>
  </r>
  <r>
    <n v="202"/>
    <s v="8_국립축산과학원"/>
    <s v="0_본원"/>
    <x v="13"/>
    <s v="배선아"/>
    <s v="보도자료3"/>
    <s v="농촌진흥청 첫 주관, 가축인공수정사 시험 143명 합격"/>
    <s v="전북타임스"/>
    <d v="2019-01-07T00:00:00"/>
    <n v="7"/>
    <s v="09_지방일간지"/>
    <n v="1.5"/>
    <d v="2019-01-08T00:00:00"/>
  </r>
  <r>
    <n v="203"/>
    <s v="8_국립축산과학원"/>
    <s v="0_본원"/>
    <x v="13"/>
    <s v="배선아"/>
    <s v="보도자료3"/>
    <s v="농진청 첫 주관 가축인공수정사 시험 143명 합격"/>
    <s v="전북중앙"/>
    <d v="2019-01-07T00:00:00"/>
    <n v="8"/>
    <s v="09_지방일간지"/>
    <n v="1.5"/>
    <d v="2019-01-08T00:00:00"/>
  </r>
  <r>
    <n v="204"/>
    <s v="8_국립축산과학원"/>
    <s v="0_본원"/>
    <x v="13"/>
    <s v="배선아"/>
    <s v="보도자료3"/>
    <s v="가축인공수정사 143명 최종 합격"/>
    <s v="전북일보"/>
    <d v="2019-01-07T00:00:00"/>
    <n v="6"/>
    <s v="09_지방일간지"/>
    <n v="1.5"/>
    <d v="2019-01-08T00:00:00"/>
  </r>
  <r>
    <n v="205"/>
    <s v="8_국립축산과학원"/>
    <s v="0_본원"/>
    <x v="13"/>
    <s v="배선아"/>
    <s v="보도자료3"/>
    <s v="농진청 가축인공수정사 시험 143명 최종 합격"/>
    <s v="전북연합신문"/>
    <d v="2019-01-07T00:00:00"/>
    <n v="5"/>
    <s v="09_지방일간지"/>
    <n v="1.5"/>
    <d v="2019-01-08T00:00:00"/>
  </r>
  <r>
    <n v="206"/>
    <s v="8_국립축산과학원"/>
    <s v="0_본원"/>
    <x v="10"/>
    <s v="양병철"/>
    <s v="보도자료2"/>
    <s v="제주흑돼지 개량 ‘난축맛돈’ 주목"/>
    <s v="제주일보"/>
    <d v="2019-01-07T00:00:00"/>
    <n v="6"/>
    <s v="09_지방일간지"/>
    <n v="1.5"/>
    <d v="2019-01-08T00:00:00"/>
  </r>
  <r>
    <n v="207"/>
    <s v="8_국립축산과학원"/>
    <s v="1_축산생명환경부"/>
    <x v="9"/>
    <s v="이준엽"/>
    <s v="보도자료162(2018)"/>
    <s v="축사화재 사전점검 필수"/>
    <s v="호남매일"/>
    <d v="2019-01-07T00:00:00"/>
    <n v="15"/>
    <s v="09_지방일간지"/>
    <n v="1.5"/>
    <d v="2019-01-08T00:00:00"/>
  </r>
  <r>
    <n v="208"/>
    <s v="8_국립축산과학원"/>
    <s v="1_축산생명환경부"/>
    <x v="7"/>
    <s v="지상윤"/>
    <m/>
    <s v="농진청 시무식 대신 “열린 발표회” 새해 열다"/>
    <s v="식약일보"/>
    <d v="2019-01-04T00:00:00"/>
    <m/>
    <s v="10_기타전문지"/>
    <n v="1"/>
    <d v="2019-01-08T00:00:00"/>
  </r>
  <r>
    <n v="209"/>
    <s v="8_국립축산과학원"/>
    <s v="2_축산자원개발부"/>
    <x v="8"/>
    <s v="박미나"/>
    <m/>
    <s v="전북도, 대한민국 ‘대표씨숫소’ 또 배출"/>
    <s v="브릿지경제"/>
    <d v="2019-01-04T00:00:00"/>
    <m/>
    <s v="11_기타(지역주간지)"/>
    <n v="0.5"/>
    <d v="2019-01-08T00:00:00"/>
  </r>
  <r>
    <n v="210"/>
    <s v="8_국립축산과학원"/>
    <s v="1_축산생명환경부"/>
    <x v="7"/>
    <s v="지상윤"/>
    <m/>
    <s v="농촌진흥청의 새해, ‘나의 제안’으로 열다"/>
    <s v="창업일보"/>
    <d v="2019-01-04T00:00:00"/>
    <m/>
    <s v="13_인터넷포털"/>
    <n v="0.1"/>
    <d v="2019-01-08T00:00:00"/>
  </r>
  <r>
    <n v="211"/>
    <s v="8_국립축산과학원"/>
    <s v="2_축산자원개발부"/>
    <x v="0"/>
    <s v="민예진"/>
    <s v="보도자료168(2018)"/>
    <s v="돼지, 똑똑하고 더럽지 않다...농진청, 잘못된 상식 소개"/>
    <s v="뉴스웍스"/>
    <d v="2019-01-05T00:00:00"/>
    <m/>
    <s v="13_인터넷포털"/>
    <n v="0.1"/>
    <d v="2019-01-08T00:00:00"/>
  </r>
  <r>
    <n v="212"/>
    <s v="8_국립축산과학원"/>
    <s v="2_축산자원개발부"/>
    <x v="0"/>
    <s v="김두완"/>
    <m/>
    <s v="기해년 덮친 돼지전염병, GM 모기 날아오른다(포토)"/>
    <s v="동아사이언스"/>
    <d v="2019-01-05T00:00:00"/>
    <m/>
    <s v="13_인터넷포털"/>
    <n v="0.1"/>
    <d v="2019-01-08T00:00:00"/>
  </r>
  <r>
    <n v="213"/>
    <s v="8_국립축산과학원"/>
    <s v="0_본원"/>
    <x v="13"/>
    <s v="배선아"/>
    <s v="보도자료3"/>
    <s v="농촌진흥청, 가축인공수정사 합격자 발표...810명 지원 합격률 23.4%"/>
    <s v="이코노뉴스"/>
    <d v="2019-01-06T00:00:00"/>
    <m/>
    <s v="13_인터넷포털"/>
    <n v="0.1"/>
    <d v="2019-01-08T00:00:00"/>
  </r>
  <r>
    <n v="214"/>
    <s v="8_국립축산과학원"/>
    <s v="0_본원"/>
    <x v="13"/>
    <s v="배선아"/>
    <s v="보도자료3"/>
    <s v="가축인공수정사 시험 143명 최종 합격"/>
    <s v="노컷뉴스"/>
    <d v="2019-01-07T00:00:00"/>
    <m/>
    <s v="13_인터넷포털"/>
    <n v="0.1"/>
    <d v="2019-01-08T00:00:00"/>
  </r>
  <r>
    <n v="215"/>
    <s v="8_국립축산과학원"/>
    <s v="0_본원"/>
    <x v="13"/>
    <s v="배선아"/>
    <s v="보도자료3"/>
    <s v="농진청, 가축인공수정사 시험 ‘143명’ 합격"/>
    <s v="팜인사이트"/>
    <d v="2019-01-07T00:00:00"/>
    <m/>
    <s v="13_인터넷포털"/>
    <n v="0.1"/>
    <d v="2019-01-08T00:00:00"/>
  </r>
  <r>
    <n v="216"/>
    <s v="8_국립축산과학원"/>
    <s v="0_본원"/>
    <x v="13"/>
    <s v="배선아"/>
    <s v="보도자료3"/>
    <s v="농촌진흥청 첫 주관, 가축인공수정사 시험 143명 합격"/>
    <s v="국토매일"/>
    <d v="2019-01-07T00:00:00"/>
    <m/>
    <s v="13_인터넷포털"/>
    <n v="0.1"/>
    <d v="2019-01-08T00:00:00"/>
  </r>
  <r>
    <n v="217"/>
    <s v="8_국립축산과학원"/>
    <s v="0_본원"/>
    <x v="13"/>
    <s v="배선아"/>
    <s v="보도자료3"/>
    <s v="농촌진흥청 첫 주관, 가축인공수정사 시험...‘143명 합격’"/>
    <s v="로컬투데이"/>
    <d v="2019-01-07T00:00:00"/>
    <m/>
    <s v="13_인터넷포털"/>
    <n v="0.1"/>
    <d v="2019-01-08T00:00:00"/>
  </r>
  <r>
    <n v="218"/>
    <s v="8_국립축산과학원"/>
    <s v="0_본원"/>
    <x v="13"/>
    <s v="배선아"/>
    <s v="보도자료3"/>
    <s v="농촌진흥청 첫 주관, 가축인공수정사 시험 143명 합격"/>
    <s v="중부뉴스통신"/>
    <d v="2019-01-07T00:00:00"/>
    <m/>
    <s v="13_인터넷포털"/>
    <n v="0.1"/>
    <d v="2019-01-08T00:00:00"/>
  </r>
  <r>
    <n v="219"/>
    <s v="8_국립축산과학원"/>
    <s v="0_본원"/>
    <x v="13"/>
    <s v="배선아"/>
    <s v="보도자료3"/>
    <s v="가축인공수정사 시험 143명 합격…합격률 23.4%"/>
    <s v="에코저널"/>
    <d v="2019-01-07T00:00:00"/>
    <m/>
    <s v="13_인터넷포털"/>
    <n v="0.1"/>
    <d v="2019-01-08T00:00:00"/>
  </r>
  <r>
    <n v="220"/>
    <s v="8_국립축산과학원"/>
    <s v="0_본원"/>
    <x v="13"/>
    <s v="배선아"/>
    <s v="보도자료3"/>
    <s v="농진청 주관 가축인공수정사 143명 첫 배출"/>
    <s v="라이브뉴스"/>
    <d v="2019-01-07T00:00:00"/>
    <m/>
    <s v="13_인터넷포털"/>
    <n v="0.1"/>
    <d v="2019-01-08T00:00:00"/>
  </r>
  <r>
    <n v="221"/>
    <s v="8_국립축산과학원"/>
    <s v="0_본원"/>
    <x v="2"/>
    <s v="김용민"/>
    <m/>
    <s v="60년 만에 돌아온 황금돼지의 해(김용민 연구사 인터뷰) "/>
    <s v="MBN"/>
    <d v="2019-01-01T00:00:00"/>
    <m/>
    <s v="02_TV-종합편성채널"/>
    <n v="4"/>
    <d v="2019-01-09T00:00:00"/>
  </r>
  <r>
    <n v="222"/>
    <s v="8_국립축산과학원"/>
    <s v="2_축산자원개발부"/>
    <x v="0"/>
    <s v="김두완"/>
    <s v="보도자료1"/>
    <s v="主食이 된 돼지…‘씨’가 문제네"/>
    <s v="아주경제"/>
    <d v="2019-01-09T00:00:00"/>
    <n v="21"/>
    <s v="07_중앙일간지"/>
    <n v="5"/>
    <d v="2019-01-09T00:00:00"/>
  </r>
  <r>
    <n v="223"/>
    <s v="8_국립축산과학원"/>
    <s v="0_본원"/>
    <x v="10"/>
    <s v="양병철"/>
    <s v="보도자료2"/>
    <s v="主食이 된 돼지…‘씨’가 문제네"/>
    <s v="아주경제"/>
    <d v="2019-01-09T00:00:00"/>
    <n v="21"/>
    <s v="07_중앙일간지"/>
    <n v="5"/>
    <d v="2019-01-09T00:00:00"/>
  </r>
  <r>
    <n v="224"/>
    <s v="8_국립축산과학원"/>
    <s v="2_축산자원개발부"/>
    <x v="0"/>
    <s v="조규호"/>
    <m/>
    <s v="“재래돼지 있어야 다양한 품종 만들 수 있어”"/>
    <s v="아주경제"/>
    <d v="2019-01-09T00:00:00"/>
    <n v="21"/>
    <s v="07_중앙일간지"/>
    <n v="5"/>
    <d v="2019-01-09T00:00:00"/>
  </r>
  <r>
    <n v="225"/>
    <s v="8_국립축산과학원"/>
    <s v="2_축산자원개발부"/>
    <x v="0"/>
    <s v="조은석"/>
    <m/>
    <s v="2019년 기해년 새해, 황금 ‘복’ 돼지의 품으로(포토뉴스)"/>
    <s v="중앙일보"/>
    <d v="2019-01-01T00:00:00"/>
    <m/>
    <s v="07_중앙일간지"/>
    <n v="5"/>
    <d v="2019-01-09T00:00:00"/>
  </r>
  <r>
    <n v="226"/>
    <s v="8_국립축산과학원"/>
    <s v="2_축산자원개발부"/>
    <x v="0"/>
    <s v="조은석"/>
    <m/>
    <s v="기해년 새해 “복 돼지 기운 받으세요”(포토뉴스)"/>
    <s v="환경일보"/>
    <d v="2019-01-02T00:00:00"/>
    <m/>
    <s v="08_기타일간지"/>
    <n v="2"/>
    <d v="2019-01-09T00:00:00"/>
  </r>
  <r>
    <n v="227"/>
    <s v="8_국립축산과학원"/>
    <s v="2_축산자원개발부"/>
    <x v="0"/>
    <s v="조은석"/>
    <m/>
    <s v="2019년, ‘福’ 몰러 나간다!(포토뉴스)"/>
    <s v="식품외식경제"/>
    <d v="2019-01-01T00:00:00"/>
    <n v="1"/>
    <s v="09_농업전문지"/>
    <n v="1.5"/>
    <d v="2019-01-09T00:00:00"/>
  </r>
  <r>
    <n v="228"/>
    <s v="8_국립축산과학원"/>
    <s v="2_축산자원개발부"/>
    <x v="0"/>
    <s v="김두완"/>
    <s v="보도자료1"/>
    <s v="돼지해 주목받는 국산돼지 4총사"/>
    <s v="농촌여성신문"/>
    <d v="2019-01-07T00:00:00"/>
    <n v="4"/>
    <s v="09_농업전문지"/>
    <n v="1.5"/>
    <d v="2019-01-09T00:00:00"/>
  </r>
  <r>
    <n v="229"/>
    <s v="8_국립축산과학원"/>
    <s v="0_본원"/>
    <x v="10"/>
    <s v="양병철"/>
    <s v="보도자료2"/>
    <s v="돼지해 주목받는 국산돼지 4총사"/>
    <s v="농촌여성신문"/>
    <d v="2019-01-07T00:00:00"/>
    <n v="4"/>
    <s v="09_농업전문지"/>
    <n v="1.5"/>
    <d v="2019-01-09T00:00:00"/>
  </r>
  <r>
    <n v="230"/>
    <s v="8_국립축산과학원"/>
    <s v="2_축산자원개발부"/>
    <x v="8"/>
    <s v="박미나"/>
    <m/>
    <s v="올해 한우 보증씨수소 13두 선발"/>
    <s v="한국농정신문"/>
    <d v="2019-01-07T00:00:00"/>
    <n v="8"/>
    <s v="09_농업전문지"/>
    <n v="1.5"/>
    <d v="2019-01-09T00:00:00"/>
  </r>
  <r>
    <n v="231"/>
    <s v="8_국립축산과학원"/>
    <s v="2_축산자원개발부"/>
    <x v="0"/>
    <s v="조은석"/>
    <m/>
    <s v="재물과 복의 상징 ‘황금돼지해’, 단체급식이 더 풍성하길...(포토뉴스)"/>
    <s v="대한급식신문"/>
    <d v="2019-01-04T00:00:00"/>
    <m/>
    <s v="09_농업전문지"/>
    <n v="1.5"/>
    <d v="2019-01-09T00:00:00"/>
  </r>
  <r>
    <n v="232"/>
    <s v="8_국립축산과학원"/>
    <s v="2_축산자원개발부"/>
    <x v="0"/>
    <s v="조은석"/>
    <m/>
    <s v="기해년(己亥年) ‘황금돼지의 해’ 희망찬 새아침(포토뉴스)"/>
    <s v="강원일보"/>
    <d v="2019-01-01T00:00:00"/>
    <m/>
    <s v="09_지방일간지"/>
    <n v="1.5"/>
    <d v="2019-01-09T00:00:00"/>
  </r>
  <r>
    <n v="233"/>
    <s v="8_국립축산과학원"/>
    <s v="0_본원"/>
    <x v="13"/>
    <s v="배선아"/>
    <s v="보도자료3"/>
    <s v="농진청 첫 주관, 가축인공수정사 시험 143명 합격"/>
    <s v="식약일보"/>
    <d v="2019-01-07T00:00:00"/>
    <m/>
    <s v="10_기타전문지"/>
    <n v="1"/>
    <d v="2019-01-09T00:00:00"/>
  </r>
  <r>
    <n v="234"/>
    <s v="8_국립축산과학원"/>
    <s v="2_축산자원개발부"/>
    <x v="0"/>
    <s v="조은석"/>
    <m/>
    <s v="눈부시게 밝아온 2019년 ‘황금돼지의 해’(포토뉴스)"/>
    <s v="브릿지경제"/>
    <d v="2019-01-01T00:00:00"/>
    <m/>
    <s v="11_기타(지역주간지)"/>
    <n v="0.5"/>
    <d v="2019-01-09T00:00:00"/>
  </r>
  <r>
    <n v="235"/>
    <s v="8_국립축산과학원"/>
    <s v="0_본원"/>
    <x v="13"/>
    <s v="배선아"/>
    <s v="보도자료3"/>
    <s v="농촌진흥청 첫 주관, 가축인공수정사 시험 143명 합격"/>
    <s v="강원경제신문"/>
    <d v="2019-01-07T00:00:00"/>
    <m/>
    <s v="13_인터넷포털"/>
    <n v="0.1"/>
    <d v="2019-01-09T00:00:00"/>
  </r>
  <r>
    <n v="236"/>
    <s v="8_국립축산과학원"/>
    <s v="0_본원"/>
    <x v="13"/>
    <s v="배선아"/>
    <s v="보도자료3"/>
    <s v="농촌진흥청 첫 주관 가축인공수정사 시험 143명 합격"/>
    <s v="오가닉라이프"/>
    <d v="2019-01-08T00:00:00"/>
    <m/>
    <s v="13_인터넷포털"/>
    <n v="0.1"/>
    <d v="2019-01-09T00:00:00"/>
  </r>
  <r>
    <n v="237"/>
    <s v="8_국립축산과학원"/>
    <s v="0_본원"/>
    <x v="13"/>
    <s v="정성훈"/>
    <s v="보도자료4"/>
    <s v="축산 현장 맞춤형 상담, ‘질병 분야’ 가장 도움된다"/>
    <s v="한국농어촌방송"/>
    <d v="2019-01-09T00:00:00"/>
    <m/>
    <s v="13_인터넷포털"/>
    <n v="0.1"/>
    <d v="2019-01-09T00:00:00"/>
  </r>
  <r>
    <n v="238"/>
    <s v="8_국립축산과학원"/>
    <s v="2_축산자원개발부"/>
    <x v="0"/>
    <s v="조은석"/>
    <m/>
    <s v="60년 만의 ‘황금돼지해’ 기해년이 밝았다(포토뉴스)"/>
    <s v="UPI뉴스"/>
    <d v="2019-01-01T00:00:00"/>
    <m/>
    <s v="13_인터넷포털"/>
    <n v="0.1"/>
    <d v="2019-01-09T00:00:00"/>
  </r>
  <r>
    <n v="239"/>
    <s v="8_국립축산과학원"/>
    <s v="2_축산자원개발부"/>
    <x v="0"/>
    <s v="조은석"/>
    <m/>
    <s v="기해년(己亥年) 새해 복 돼지 기운 받으세요!(포토뉴스)"/>
    <s v="불교공뉴스"/>
    <d v="2019-01-01T00:00:00"/>
    <m/>
    <s v="13_인터넷포털"/>
    <n v="0.1"/>
    <d v="2019-01-09T00:00:00"/>
  </r>
  <r>
    <n v="240"/>
    <s v="8_국립축산과학원"/>
    <s v="2_축산자원개발부"/>
    <x v="0"/>
    <s v="조은석"/>
    <m/>
    <s v="금융위 vs 금감원, 갈등 여진…올해는(포토뉴스)"/>
    <s v="EBN"/>
    <d v="2019-01-02T00:00:00"/>
    <m/>
    <s v="13_인터넷포털"/>
    <n v="0.1"/>
    <d v="2019-01-09T00:00:00"/>
  </r>
  <r>
    <n v="241"/>
    <s v="8_국립축산과학원"/>
    <s v="0_본원"/>
    <x v="13"/>
    <s v="정성훈"/>
    <s v="보도자료4"/>
    <s v="축산현장 맞춤형상담, 질병 분야에 가장 큰 도움"/>
    <s v="라이브뉴스"/>
    <d v="2019-01-09T00:00:00"/>
    <m/>
    <s v="13_인터넷포털"/>
    <n v="0.1"/>
    <d v="2019-01-09T00:00:00"/>
  </r>
  <r>
    <n v="242"/>
    <s v="8_국립축산과학원"/>
    <s v="0_본원"/>
    <x v="13"/>
    <s v="정성훈"/>
    <s v="보도자료4"/>
    <s v="축산 현장 맞춤형 상담 ‘질병 분야’ 가장 도움 돼"/>
    <s v="환경일보"/>
    <d v="2019-01-09T00:00:00"/>
    <m/>
    <s v="08_기타일간지"/>
    <n v="2"/>
    <d v="2019-01-10T00:00:00"/>
  </r>
  <r>
    <n v="243"/>
    <s v="8_국립축산과학원"/>
    <s v="2_축산자원개발부"/>
    <x v="0"/>
    <s v="민예진"/>
    <s v="보도자료168(2018)"/>
    <s v="돼지고기 ‘9가지 필수아미노산 균형있게 함유’"/>
    <s v="농축환경신문"/>
    <d v="2019-01-03T00:00:00"/>
    <n v="5"/>
    <s v="09_농업전문지"/>
    <n v="1.5"/>
    <d v="2019-01-10T00:00:00"/>
  </r>
  <r>
    <n v="244"/>
    <s v="8_국립축산과학원"/>
    <s v="0_본원"/>
    <x v="13"/>
    <s v="오형규"/>
    <m/>
    <s v="원광대 김옥진 교수 축산과학원상 수상"/>
    <s v="농축환경신문"/>
    <d v="2019-01-03T00:00:00"/>
    <n v="5"/>
    <s v="09_농업전문지"/>
    <n v="1.5"/>
    <d v="2019-01-10T00:00:00"/>
  </r>
  <r>
    <n v="245"/>
    <s v="8_국립축산과학원"/>
    <s v="0_본원"/>
    <x v="13"/>
    <s v="정성훈"/>
    <s v="보도자료4"/>
    <s v="축산 현장 맞춤형 상담 ‘질병 분야’ 가장 도움 돼"/>
    <s v="농촌여성신문"/>
    <d v="2019-01-10T00:00:00"/>
    <m/>
    <s v="09_농업전문지"/>
    <n v="1.5"/>
    <d v="2019-01-10T00:00:00"/>
  </r>
  <r>
    <n v="246"/>
    <s v="8_국립축산과학원"/>
    <s v="0_본원"/>
    <x v="13"/>
    <s v="배선아"/>
    <s v="보도자료3"/>
    <s v="농촌진흥청 첫 주관, 가축인공수정사 시험 143명 합격(포토뉴스)"/>
    <s v="새전북신문"/>
    <d v="2019-01-09T00:00:00"/>
    <n v="4"/>
    <s v="09_지방일간지"/>
    <n v="1.5"/>
    <d v="2019-01-10T00:00:00"/>
  </r>
  <r>
    <n v="247"/>
    <s v="8_국립축산과학원"/>
    <s v="0_본원"/>
    <x v="13"/>
    <s v="오형규"/>
    <m/>
    <s v="김옥진 원광대 교수 앨버트 넬슨 평생 공로상 수상"/>
    <s v="전라일보"/>
    <d v="2019-01-09T00:00:00"/>
    <n v="14"/>
    <s v="09_지방일간지"/>
    <n v="1.5"/>
    <d v="2019-01-10T00:00:00"/>
  </r>
  <r>
    <n v="248"/>
    <s v="8_국립축산과학원"/>
    <s v="0_본원"/>
    <x v="13"/>
    <s v="오형규"/>
    <m/>
    <s v="‘앨버트 넬슨 평생 공로상’ 수상자 선정"/>
    <s v="전주일보"/>
    <d v="2019-01-09T00:00:00"/>
    <n v="8"/>
    <s v="09_지방일간지"/>
    <n v="1.5"/>
    <d v="2019-01-10T00:00:00"/>
  </r>
  <r>
    <n v="249"/>
    <s v="8_국립축산과학원"/>
    <s v="0_본원"/>
    <x v="13"/>
    <s v="오형규"/>
    <m/>
    <s v="김옥진 원광대 교수, 앨버트 넬슨 평생 공로상 수상자로 선정"/>
    <s v="전북일보"/>
    <d v="2019-01-09T00:00:00"/>
    <n v="12"/>
    <s v="09_지방일간지"/>
    <n v="1.5"/>
    <d v="2019-01-10T00:00:00"/>
  </r>
  <r>
    <n v="250"/>
    <s v="8_국립축산과학원"/>
    <s v="0_본원"/>
    <x v="13"/>
    <s v="오형규"/>
    <m/>
    <s v="원광대 생명환경학부 김옥진 교수 앨버트 넬슨 평생 공로상 수상"/>
    <s v="전민일보"/>
    <d v="2019-01-09T00:00:00"/>
    <n v="15"/>
    <s v="09_지방일간지"/>
    <n v="1.5"/>
    <d v="2019-01-10T00:00:00"/>
  </r>
  <r>
    <n v="251"/>
    <s v="8_국립축산과학원"/>
    <s v="0_본원"/>
    <x v="13"/>
    <s v="오형규"/>
    <m/>
    <s v="원광대 김옥진 교수, 앨버트 넬슨 평생 공로상 수상자 선정"/>
    <s v="전북타임스"/>
    <d v="2019-01-09T00:00:00"/>
    <n v="8"/>
    <s v="09_지방일간지"/>
    <n v="1.5"/>
    <d v="2019-01-10T00:00:00"/>
  </r>
  <r>
    <n v="252"/>
    <s v="8_국립축산과학원"/>
    <s v="0_본원"/>
    <x v="13"/>
    <s v="오형규"/>
    <m/>
    <s v="원광대 김옥진 교수, 앨버트 넬슨 평생 공로상"/>
    <s v="새전북신문"/>
    <d v="2019-01-09T00:00:00"/>
    <n v="12"/>
    <s v="09_지방일간지"/>
    <n v="1.5"/>
    <d v="2019-01-10T00:00:00"/>
  </r>
  <r>
    <n v="253"/>
    <s v="8_국립축산과학원"/>
    <s v="0_본원"/>
    <x v="13"/>
    <s v="오형규"/>
    <m/>
    <s v="원광대 김옥진 교수, 2019 앨버트 넬슨 평생 공로상"/>
    <s v="전주매일"/>
    <d v="2019-01-09T00:00:00"/>
    <n v="7"/>
    <s v="09_지방일간지"/>
    <n v="1.5"/>
    <d v="2019-01-10T00:00:00"/>
  </r>
  <r>
    <n v="254"/>
    <s v="8_국립축산과학원"/>
    <s v="0_본원"/>
    <x v="13"/>
    <s v="정성훈"/>
    <s v="보도자료4"/>
    <s v="농진청, 축산 현장 맞춤형 상담 만족도 높아"/>
    <s v="팜인사이트"/>
    <d v="2019-01-10T00:00:00"/>
    <m/>
    <s v="13_인터넷포털"/>
    <n v="0.1"/>
    <d v="2019-01-10T00:00:00"/>
  </r>
  <r>
    <n v="255"/>
    <s v="8_국립축산과학원"/>
    <s v="0_본원"/>
    <x v="13"/>
    <s v="정성훈"/>
    <s v="보도자료4"/>
    <s v="농진청, 축산 현장상담 ‘질병분야’ 큰 도움"/>
    <s v="농업경제신문"/>
    <d v="2019-01-10T00:00:00"/>
    <m/>
    <s v="13_인터넷포털"/>
    <n v="0.1"/>
    <d v="2019-01-10T00:00:00"/>
  </r>
  <r>
    <n v="256"/>
    <s v="8_국립축산과학원"/>
    <s v="1_축산생명환경부"/>
    <x v="1"/>
    <s v="윤정희"/>
    <s v="보도자료5"/>
    <s v="의료용 돼지 ‘지노·믿음이·소망이·사랑이’ 이야기"/>
    <s v="농업경제신문"/>
    <d v="2019-01-10T00:00:00"/>
    <m/>
    <s v="13_인터넷포털"/>
    <n v="0.1"/>
    <d v="2019-01-10T00:00:00"/>
  </r>
  <r>
    <n v="257"/>
    <s v="8_국립축산과학원"/>
    <s v="0_본원"/>
    <x v="13"/>
    <s v="정성훈"/>
    <s v="보도자료4"/>
    <s v="축산 현장 맞춤형 상담 ‘질병 분야’ 가장 도움 돼"/>
    <s v="인트로뉴스"/>
    <d v="2019-01-10T00:00:00"/>
    <m/>
    <s v="13_인터넷포털"/>
    <n v="0.1"/>
    <d v="2019-01-10T00:00:00"/>
  </r>
  <r>
    <n v="258"/>
    <s v="8_국립축산과학원"/>
    <s v="0_본원"/>
    <x v="13"/>
    <s v="정성훈"/>
    <s v="보도자료4"/>
    <s v="축산 현장 맞춤형 상담 ‘질병 분야’ 가장 도움 돼"/>
    <s v="경기앤뉴스"/>
    <d v="2019-01-10T00:00:00"/>
    <m/>
    <s v="13_인터넷포털"/>
    <n v="0.1"/>
    <d v="2019-01-10T00:00:00"/>
  </r>
  <r>
    <n v="259"/>
    <s v="8_국립축산과학원"/>
    <s v="0_본원"/>
    <x v="13"/>
    <s v="정성훈"/>
    <s v="보도자료4"/>
    <s v="축산 현장 맞춤형 상담 ‘질병 분야’ 가장 도움 돼"/>
    <s v="중부뉴스통신"/>
    <d v="2019-01-10T00:00:00"/>
    <m/>
    <s v="13_인터넷포털"/>
    <n v="0.1"/>
    <d v="2019-01-10T00:00:00"/>
  </r>
  <r>
    <n v="260"/>
    <s v="8_국립축산과학원"/>
    <s v="1_축산생명환경부"/>
    <x v="1"/>
    <s v="윤정희"/>
    <s v="보도자료5"/>
    <s v="사람 생명 살리는 ‘돼지’...이종(異種) 장기 이식 ‘눈앞’"/>
    <s v="한국농어촌방송"/>
    <d v="2019-01-10T00:00:00"/>
    <m/>
    <s v="13_인터넷포털"/>
    <n v="0.1"/>
    <d v="2019-01-10T00:00:00"/>
  </r>
  <r>
    <n v="261"/>
    <s v="8_국립축산과학원"/>
    <s v="1_축산생명환경부"/>
    <x v="1"/>
    <s v="윤정희"/>
    <s v="보도자료5"/>
    <s v="이종이식 연구, 이렇게 준비하면 ‘돼지’"/>
    <s v="메디컬투데이"/>
    <d v="2019-01-10T00:00:00"/>
    <m/>
    <s v="13_인터넷포털"/>
    <n v="0.1"/>
    <d v="2019-01-10T00:00:00"/>
  </r>
  <r>
    <n v="262"/>
    <s v="8_국립축산과학원"/>
    <s v="1_축산생명환경부"/>
    <x v="1"/>
    <s v="윤정희"/>
    <s v="보도자료5"/>
    <s v="‘장기이식’ 의료용 돼지 실용화 속도"/>
    <s v="경향신문"/>
    <d v="2019-01-11T00:00:00"/>
    <n v="23"/>
    <s v="07_중앙일간지"/>
    <n v="5"/>
    <d v="2019-01-11T00:00:00"/>
  </r>
  <r>
    <n v="263"/>
    <s v="8_국립축산과학원"/>
    <s v="1_축산생명환경부"/>
    <x v="1"/>
    <s v="윤정희"/>
    <s v="보도자료5"/>
    <s v="농진청, 돼지이용 이종이식 연구에 ‘전력질주’"/>
    <s v="서울경제"/>
    <d v="2019-01-10T00:00:00"/>
    <m/>
    <s v="07_중앙일간지"/>
    <n v="5"/>
    <d v="2019-01-11T00:00:00"/>
  </r>
  <r>
    <n v="264"/>
    <s v="8_국립축산과학원"/>
    <s v="1_축산생명환경부"/>
    <x v="1"/>
    <s v="윤정희"/>
    <s v="보도자료5"/>
    <s v="옵티팜, 농진청 바이오 이종장기개발 공개에 상한가"/>
    <s v="아주경제"/>
    <d v="2019-01-10T00:00:00"/>
    <m/>
    <s v="07_중앙일간지"/>
    <n v="5"/>
    <d v="2019-01-11T00:00:00"/>
  </r>
  <r>
    <n v="265"/>
    <s v="8_국립축산과학원"/>
    <s v="1_축산생명환경부"/>
    <x v="1"/>
    <s v="윤정희"/>
    <s v="보도자료5"/>
    <s v="옵티팜, 사람 생명 살리는 ‘돼지’...이종 장기 이식 임박 ‘강세’"/>
    <s v="파이낸셜뉴스"/>
    <d v="2019-01-10T00:00:00"/>
    <m/>
    <s v="07_중앙일간지"/>
    <n v="5"/>
    <d v="2019-01-11T00:00:00"/>
  </r>
  <r>
    <n v="266"/>
    <s v="8_국립축산과학원"/>
    <s v="1_축산생명환경부"/>
    <x v="1"/>
    <s v="윤정희"/>
    <s v="보도자료5"/>
    <s v="농촌진흥청, 바이오 이종장기 분야 희망 ‘돼지’"/>
    <s v="전자신문"/>
    <d v="2019-01-10T00:00:00"/>
    <m/>
    <s v="08_기타일간지"/>
    <n v="2"/>
    <d v="2019-01-11T00:00:00"/>
  </r>
  <r>
    <n v="267"/>
    <s v="8_국립축산과학원"/>
    <s v="2_축산자원개발부"/>
    <x v="0"/>
    <s v="김두완"/>
    <s v="보도자료1"/>
    <s v="자체 개발·복원한 우리 품종, 잘 생기고 맛도 좋아"/>
    <s v="전업농신문"/>
    <d v="2019-01-09T00:00:00"/>
    <n v="11"/>
    <s v="09_농업전문지"/>
    <n v="1.5"/>
    <d v="2019-01-11T00:00:00"/>
  </r>
  <r>
    <n v="268"/>
    <s v="8_국립축산과학원"/>
    <s v="0_본원"/>
    <x v="10"/>
    <s v="양병철"/>
    <s v="보도자료2"/>
    <s v="자체 개발·복원한 우리 품종, 잘 생기고 맛도 좋아"/>
    <s v="전업농신문"/>
    <d v="2019-01-09T00:00:00"/>
    <n v="11"/>
    <s v="09_농업전문지"/>
    <n v="1.5"/>
    <d v="2019-01-11T00:00:00"/>
  </r>
  <r>
    <n v="269"/>
    <s v="8_국립축산과학원"/>
    <s v="2_축산자원개발부"/>
    <x v="0"/>
    <s v="민예진"/>
    <s v="보도자료168(2018)"/>
    <s v="복과 재물의 상징…똑똑하고 천성이 깨끗"/>
    <s v="축산경제"/>
    <d v="2019-01-07T00:00:00"/>
    <n v="15"/>
    <s v="09_농업전문지"/>
    <n v="1.5"/>
    <d v="2019-01-11T00:00:00"/>
  </r>
  <r>
    <n v="270"/>
    <s v="8_국립축산과학원"/>
    <s v="2_축산자원개발부"/>
    <x v="8"/>
    <s v="박미나"/>
    <m/>
    <s v="한우 보증씨수소 13마리 선발"/>
    <s v="축산경제"/>
    <d v="2019-01-07T00:00:00"/>
    <n v="6"/>
    <s v="09_농업전문지"/>
    <n v="1.5"/>
    <d v="2019-01-11T00:00:00"/>
  </r>
  <r>
    <n v="271"/>
    <s v="8_국립축산과학원"/>
    <s v="0_본원"/>
    <x v="13"/>
    <s v="정성훈"/>
    <s v="보도자료4"/>
    <s v="축산 현장 맞춤형 상담 ‘질병 분야’ 가장 도움 돼"/>
    <s v="팜&amp;마켓매거진"/>
    <d v="2019-01-10T00:00:00"/>
    <m/>
    <s v="09_농업전문지"/>
    <n v="1.5"/>
    <d v="2019-01-11T00:00:00"/>
  </r>
  <r>
    <n v="272"/>
    <s v="8_국립축산과학원"/>
    <s v="1_축산생명환경부"/>
    <x v="1"/>
    <s v="윤정희"/>
    <s v="보도자료5"/>
    <s v="의료용 돼지 개발 현주소는…"/>
    <s v="농촌여성신문"/>
    <d v="2019-01-10T00:00:00"/>
    <m/>
    <s v="09_농업전문지"/>
    <n v="1.5"/>
    <d v="2019-01-11T00:00:00"/>
  </r>
  <r>
    <n v="273"/>
    <s v="8_국립축산과학원"/>
    <s v="0_본원"/>
    <x v="13"/>
    <s v="배선아"/>
    <s v="보도자료3"/>
    <s v="농진청, 가축인공수정사 시험 143명 최종 합격"/>
    <s v="농민신문"/>
    <d v="2019-01-11T00:00:00"/>
    <n v="1"/>
    <s v="09_농업전문지"/>
    <n v="1.5"/>
    <d v="2019-01-11T00:00:00"/>
  </r>
  <r>
    <n v="274"/>
    <s v="8_국립축산과학원"/>
    <s v="0_본원"/>
    <x v="13"/>
    <s v="배선아"/>
    <s v="보도자료3"/>
    <s v="가축인공수정사 시험 143명 합격"/>
    <s v="농촌여성신문"/>
    <d v="2019-01-11T00:00:00"/>
    <m/>
    <s v="09_농업전문지"/>
    <n v="1.5"/>
    <d v="2019-01-11T00:00:00"/>
  </r>
  <r>
    <n v="275"/>
    <s v="8_국립축산과학원"/>
    <s v="0_본원"/>
    <x v="13"/>
    <s v="정성훈"/>
    <s v="보도자료4"/>
    <s v="축산 현장 맞춤형 상담 ‘질병 분야’ 29.6% 도움 돼"/>
    <s v="전북타임스"/>
    <d v="2019-01-10T00:00:00"/>
    <n v="7"/>
    <s v="09_지방일간지"/>
    <n v="1.5"/>
    <d v="2019-01-11T00:00:00"/>
  </r>
  <r>
    <n v="276"/>
    <s v="8_국립축산과학원"/>
    <s v="0_본원"/>
    <x v="13"/>
    <s v="정성훈"/>
    <s v="보도자료4"/>
    <s v="농진청, 축산 현장 맞춤형 상담 ‘질병 분야’ 가장 도움 돼"/>
    <s v="삼남일보"/>
    <d v="2019-01-10T00:00:00"/>
    <n v="5"/>
    <s v="09_지방일간지"/>
    <n v="1.5"/>
    <d v="2019-01-11T00:00:00"/>
  </r>
  <r>
    <n v="277"/>
    <s v="8_국립축산과학원"/>
    <s v="0_본원"/>
    <x v="13"/>
    <s v="정성훈"/>
    <s v="보도자료4"/>
    <s v="축산농가 “현장 맞춤형 상담 도움” 94%"/>
    <s v="전라일보"/>
    <d v="2019-01-10T00:00:00"/>
    <n v="6"/>
    <s v="09_지방일간지"/>
    <n v="1.5"/>
    <d v="2019-01-11T00:00:00"/>
  </r>
  <r>
    <n v="278"/>
    <s v="8_국립축산과학원"/>
    <s v="0_본원"/>
    <x v="13"/>
    <s v="정성훈"/>
    <s v="보도자료4"/>
    <s v="축산 맞춤형 종합상담 “질병분야 도움 커”"/>
    <s v="전북중앙"/>
    <d v="2019-01-10T00:00:00"/>
    <n v="6"/>
    <s v="09_지방일간지"/>
    <n v="1.5"/>
    <d v="2019-01-11T00:00:00"/>
  </r>
  <r>
    <n v="279"/>
    <s v="8_국립축산과학원"/>
    <s v="0_본원"/>
    <x v="13"/>
    <s v="정성훈"/>
    <s v="보도자료4"/>
    <s v="농진청 축산현장 맞춤상담 호평"/>
    <s v="전북도민일보"/>
    <d v="2019-01-10T00:00:00"/>
    <n v="6"/>
    <s v="09_지방일간지"/>
    <n v="1.5"/>
    <d v="2019-01-11T00:00:00"/>
  </r>
  <r>
    <n v="280"/>
    <s v="8_국립축산과학원"/>
    <s v="0_본원"/>
    <x v="13"/>
    <s v="정성훈"/>
    <s v="보도자료4"/>
    <s v="축산 상담 ‘질병 분야’ 도움 최고"/>
    <s v="전북연합신문"/>
    <d v="2019-01-10T00:00:00"/>
    <n v="5"/>
    <s v="09_지방일간지"/>
    <n v="1.5"/>
    <d v="2019-01-11T00:00:00"/>
  </r>
  <r>
    <n v="281"/>
    <s v="8_국립축산과학원"/>
    <s v="0_본원"/>
    <x v="13"/>
    <s v="정성훈"/>
    <m/>
    <s v="한국낙농육우협회 사천시지부 연시총회 개최"/>
    <s v="한남일보"/>
    <d v="2019-01-10T00:00:00"/>
    <m/>
    <s v="09_지방일간지"/>
    <n v="1.5"/>
    <d v="2019-01-11T00:00:00"/>
  </r>
  <r>
    <n v="282"/>
    <s v="8_국립축산과학원"/>
    <s v="0_본원"/>
    <x v="13"/>
    <s v="정성훈"/>
    <m/>
    <s v="한국낙농육우협회 사천시지부 연시총회 개최"/>
    <s v="경남도민신문"/>
    <d v="2019-01-10T00:00:00"/>
    <m/>
    <s v="09_지방일간지"/>
    <n v="1.5"/>
    <d v="2019-01-11T00:00:00"/>
  </r>
  <r>
    <n v="283"/>
    <s v="8_국립축산과학원"/>
    <s v="0_본원"/>
    <x v="13"/>
    <s v="정성훈"/>
    <s v="보도자료4"/>
    <s v="축산현장 맞춤형상담 “질병분야” 가장 도움"/>
    <s v="식약일보"/>
    <d v="2019-01-10T00:00:00"/>
    <m/>
    <s v="10_기타전문지"/>
    <n v="1"/>
    <d v="2019-01-11T00:00:00"/>
  </r>
  <r>
    <n v="284"/>
    <s v="8_국립축산과학원"/>
    <s v="0_본원"/>
    <x v="13"/>
    <s v="유지현"/>
    <s v="보도자료164(2018)"/>
    <s v="동물과 교감하니 심리 안정되고 스트레스 줄어"/>
    <s v="현대건강신문"/>
    <d v="2019-01-10T00:00:00"/>
    <m/>
    <s v="10_기타전문지"/>
    <n v="1"/>
    <d v="2019-01-11T00:00:00"/>
  </r>
  <r>
    <n v="285"/>
    <s v="8_국립축산과학원"/>
    <s v="1_축산생명환경부"/>
    <x v="9"/>
    <s v="곽정훈"/>
    <m/>
    <s v="제1회 청정축산환경대상 시상식"/>
    <s v="낙농신문"/>
    <d v="2019-01-10T00:00:00"/>
    <n v="12"/>
    <s v="10_기타전문지"/>
    <n v="1"/>
    <d v="2019-01-11T00:00:00"/>
  </r>
  <r>
    <n v="286"/>
    <s v="8_국립축산과학원"/>
    <s v="1_축산생명환경부"/>
    <x v="1"/>
    <s v="윤정희"/>
    <s v="보도자료5"/>
    <s v="의료용 돼지, “이종이식 연구 계속된다”"/>
    <s v="식약일보"/>
    <d v="2019-01-11T00:00:00"/>
    <m/>
    <s v="10_기타전문지"/>
    <n v="1"/>
    <d v="2019-01-11T00:00:00"/>
  </r>
  <r>
    <n v="287"/>
    <s v="8_국립축산과학원"/>
    <s v="0_본원"/>
    <x v="13"/>
    <s v="정성훈"/>
    <s v="보도자료4"/>
    <s v="축산 현장 맞춤형 상담 ‘질병 분야’ 가장 도움 돼"/>
    <s v="강원경제신문"/>
    <d v="2019-01-10T00:00:00"/>
    <m/>
    <s v="13_인터넷포털"/>
    <n v="0.1"/>
    <d v="2019-01-11T00:00:00"/>
  </r>
  <r>
    <n v="288"/>
    <s v="8_국립축산과학원"/>
    <s v="0_본원"/>
    <x v="13"/>
    <s v="정성훈"/>
    <s v="보도자료4"/>
    <s v="축산 현장 맞춤형 상담 ‘질병 분야’ 가장 도움 돼"/>
    <s v="전남인터넷신문"/>
    <d v="2019-01-10T00:00:00"/>
    <m/>
    <s v="13_인터넷포털"/>
    <n v="0.1"/>
    <d v="2019-01-11T00:00:00"/>
  </r>
  <r>
    <n v="289"/>
    <s v="8_국립축산과학원"/>
    <s v="1_축산생명환경부"/>
    <x v="1"/>
    <s v="윤정희"/>
    <s v="보도자료5"/>
    <s v="인간에게 심장‧각막 이식할 이종장기용 돼지들"/>
    <s v="라이브뉴스"/>
    <d v="2019-01-10T00:00:00"/>
    <m/>
    <s v="13_인터넷포털"/>
    <n v="0.1"/>
    <d v="2019-01-11T00:00:00"/>
  </r>
  <r>
    <n v="290"/>
    <s v="8_국립축산과학원"/>
    <s v="0_본원"/>
    <x v="13"/>
    <s v="정성훈"/>
    <m/>
    <s v="한국낙농육우협회 사천시지부, 10일 연시총회"/>
    <s v="KNS뉴스통신"/>
    <d v="2019-01-10T00:00:00"/>
    <m/>
    <s v="13_인터넷포털"/>
    <n v="0.1"/>
    <d v="2019-01-11T00:00:00"/>
  </r>
  <r>
    <n v="291"/>
    <s v="8_국립축산과학원"/>
    <s v="1_축산생명환경부"/>
    <x v="1"/>
    <s v="윤정희"/>
    <s v="보도자료5"/>
    <s v="농진청, 장기이식 가능한 ‘의료용 돼지’ 개발...현실화 ‘눈앞’"/>
    <s v="데일리안"/>
    <d v="2019-01-10T00:00:00"/>
    <m/>
    <s v="13_인터넷포털"/>
    <n v="0.1"/>
    <d v="2019-01-11T00:00:00"/>
  </r>
  <r>
    <n v="292"/>
    <s v="8_국립축산과학원"/>
    <s v="0_본원"/>
    <x v="13"/>
    <s v="정성훈"/>
    <m/>
    <s v="한국낙농육우협회 사천시지부 연시총회 개최"/>
    <s v="중부뉴스통신"/>
    <d v="2019-01-10T00:00:00"/>
    <m/>
    <s v="13_인터넷포털"/>
    <n v="0.1"/>
    <d v="2019-01-11T00:00:00"/>
  </r>
  <r>
    <n v="293"/>
    <s v="8_국립축산과학원"/>
    <s v="1_축산생명환경부"/>
    <x v="1"/>
    <s v="윤정희"/>
    <s v="보도자료5"/>
    <s v="이종이식 연구, 이렇게 준비하면 ‘돼지’"/>
    <s v="청년일보"/>
    <d v="2019-01-11T00:00:00"/>
    <m/>
    <s v="13_인터넷포털"/>
    <n v="0.1"/>
    <d v="2019-01-11T00:00:00"/>
  </r>
  <r>
    <n v="294"/>
    <s v="8_국립축산과학원"/>
    <s v="1_축산생명환경부"/>
    <x v="1"/>
    <s v="윤정희"/>
    <s v="보도자료5"/>
    <s v="돼지 활용 ‘이종이식 연구’ 어디까지 왔나?"/>
    <s v="에코타임스"/>
    <d v="2019-01-11T00:00:00"/>
    <m/>
    <s v="13_인터넷포털"/>
    <n v="0.1"/>
    <d v="2019-01-11T00:00:00"/>
  </r>
  <r>
    <n v="295"/>
    <s v="8_국립축산과학원"/>
    <s v="1_축산생명환경부"/>
    <x v="1"/>
    <s v="윤정희"/>
    <s v="보도자료5"/>
    <s v="농진청, ‘바이오 이종장기용 돼지’ 개발 지속 연구"/>
    <s v="팜인사이트"/>
    <d v="2019-01-11T00:00:00"/>
    <m/>
    <s v="13_인터넷포털"/>
    <n v="0.1"/>
    <d v="2019-01-11T00:00:00"/>
  </r>
  <r>
    <n v="296"/>
    <s v="8_국립축산과학원"/>
    <s v="2_축산자원개발부"/>
    <x v="0"/>
    <s v="문홍길"/>
    <s v="기고"/>
    <s v="[기고] 문홍길 과장-축산현장 애로기술 해결 위한 돼지 사육[100문 100답] Q83,84"/>
    <s v="축산신문"/>
    <d v="2019-01-11T00:00:00"/>
    <n v="15"/>
    <s v="17_농업전문지"/>
    <n v="8"/>
    <d v="2019-01-14T00:00:00"/>
  </r>
  <r>
    <n v="297"/>
    <s v="8_국립축산과학원"/>
    <s v="1_축산생명환경부"/>
    <x v="9"/>
    <s v="전중환"/>
    <s v="기고"/>
    <s v="[기고] 전중환 연구사-질문으로 알아보는 동물복지"/>
    <s v="축산신문"/>
    <d v="2019-01-11T00:00:00"/>
    <n v="15"/>
    <s v="17_농업전문지"/>
    <n v="8"/>
    <d v="2019-01-14T00:00:00"/>
  </r>
  <r>
    <n v="298"/>
    <s v="8_국립축산과학원"/>
    <s v="1_축산생명환경부"/>
    <x v="1"/>
    <s v="윤정희"/>
    <s v="보도자료5"/>
    <s v="‘돼지심장 사람에게 이식하는 시대 올까’...농진청 이종이식 연구"/>
    <s v="이데일리"/>
    <d v="2019-01-13T00:00:00"/>
    <m/>
    <s v="07_중앙일간지"/>
    <n v="5"/>
    <d v="2019-01-14T00:00:00"/>
  </r>
  <r>
    <n v="299"/>
    <s v="8_국립축산과학원"/>
    <s v="1_축산생명환경부"/>
    <x v="1"/>
    <s v="윤정희"/>
    <s v="보도자료5"/>
    <s v="3년내 ‘각막‧피부’ 사람에 이식…무병장수 꿈 이루게 ‘돼지’"/>
    <s v="머니투데이"/>
    <d v="2019-01-14T00:00:00"/>
    <n v="17"/>
    <s v="07_중앙일간지"/>
    <n v="5"/>
    <d v="2019-01-14T00:00:00"/>
  </r>
  <r>
    <n v="300"/>
    <s v="8_국립축산과학원"/>
    <s v="2_축산자원개발부"/>
    <x v="8"/>
    <s v="박미나"/>
    <s v="보도자료6"/>
    <s v="한우 육량‧육질 높일 수 있는 씨수소 13마리 뽑아"/>
    <s v="환경일보"/>
    <d v="2019-01-14T00:00:00"/>
    <m/>
    <s v="08_기타일간지"/>
    <n v="2"/>
    <d v="2019-01-14T00:00:00"/>
  </r>
  <r>
    <n v="301"/>
    <s v="8_국립축산과학원"/>
    <s v="2_축산자원개발부"/>
    <x v="0"/>
    <s v="김두완"/>
    <s v="보도자료1"/>
    <s v="“올해도 ‘우리 돼지’들 활약 기대해주세요”"/>
    <s v="축산신문"/>
    <d v="2019-01-11T00:00:00"/>
    <n v="3"/>
    <s v="09_농업전문지"/>
    <n v="1.5"/>
    <d v="2019-01-14T00:00:00"/>
  </r>
  <r>
    <n v="302"/>
    <s v="8_국립축산과학원"/>
    <s v="0_본원"/>
    <x v="10"/>
    <s v="양병철"/>
    <s v="보도자료2"/>
    <s v="“올해도 ‘우리 돼지’들 활약 기대해주세요”"/>
    <s v="축산신문"/>
    <d v="2019-01-11T00:00:00"/>
    <n v="3"/>
    <s v="09_농업전문지"/>
    <n v="1.5"/>
    <d v="2019-01-14T00:00:00"/>
  </r>
  <r>
    <n v="303"/>
    <s v="8_국립축산과학원"/>
    <s v="0_본원"/>
    <x v="13"/>
    <s v="배선아"/>
    <s v="보도자료3"/>
    <s v="지난해 가축인공수정사 시험 143명 합격"/>
    <s v="축산신문"/>
    <d v="2019-01-11T00:00:00"/>
    <n v="12"/>
    <s v="09_농업전문지"/>
    <n v="1.5"/>
    <d v="2019-01-14T00:00:00"/>
  </r>
  <r>
    <n v="304"/>
    <s v="8_국립축산과학원"/>
    <s v="2_축산자원개발부"/>
    <x v="0"/>
    <s v="조은석"/>
    <m/>
    <s v="기해년 새해, 복 돼지 기운 받으세요!(포토뉴스)"/>
    <s v="한국식품의약신문"/>
    <d v="2019-01-07T00:00:00"/>
    <n v="1"/>
    <s v="09_농업전문지"/>
    <n v="1.5"/>
    <d v="2019-01-14T00:00:00"/>
  </r>
  <r>
    <n v="305"/>
    <s v="8_국립축산과학원"/>
    <s v="1_축산생명환경부"/>
    <x v="9"/>
    <s v="전중환"/>
    <m/>
    <s v="2019년 전반기 오피니언 필진 구성"/>
    <s v="축산신문"/>
    <d v="2019-01-11T00:00:00"/>
    <n v="1"/>
    <s v="09_농업전문지"/>
    <n v="1.5"/>
    <d v="2019-01-14T00:00:00"/>
  </r>
  <r>
    <n v="306"/>
    <s v="8_국립축산과학원"/>
    <s v="2_축산자원개발부"/>
    <x v="0"/>
    <s v="김두완"/>
    <s v="보도자료1"/>
    <s v="축산과학원, 복원‧개발 우리돼지 4종 선봬"/>
    <s v="한국농어민신문"/>
    <d v="2019-01-11T00:00:00"/>
    <m/>
    <s v="09_농업전문지"/>
    <n v="1.5"/>
    <d v="2019-01-14T00:00:00"/>
  </r>
  <r>
    <n v="307"/>
    <s v="8_국립축산과학원"/>
    <s v="0_본원"/>
    <x v="10"/>
    <s v="양병철"/>
    <s v="보도자료2"/>
    <s v="축산과학원, 복원‧개발 우리돼지 4종 선봬"/>
    <s v="한국농어민신문"/>
    <d v="2019-01-11T00:00:00"/>
    <m/>
    <s v="09_농업전문지"/>
    <n v="1.5"/>
    <d v="2019-01-14T00:00:00"/>
  </r>
  <r>
    <n v="308"/>
    <s v="8_국립축산과학원"/>
    <s v="1_축산생명환경부"/>
    <x v="1"/>
    <s v="윤정희"/>
    <s v="보도자료5"/>
    <s v="‘돼지’가 의료용으로도 쓰인다고?"/>
    <s v="대한급식신문"/>
    <d v="2019-01-11T00:00:00"/>
    <m/>
    <s v="09_농업전문지"/>
    <n v="1.5"/>
    <d v="2019-01-14T00:00:00"/>
  </r>
  <r>
    <n v="309"/>
    <s v="8_국립축산과학원"/>
    <s v="0_본원"/>
    <x v="13"/>
    <s v="정성훈"/>
    <s v="보도자료4"/>
    <s v="농진청, 맞춤형 종합 상담 결과... 축산 농가 가축질병 관심도 높아"/>
    <s v="농수축산신문"/>
    <d v="2019-01-11T00:00:00"/>
    <m/>
    <s v="09_농업전문지"/>
    <n v="1.5"/>
    <d v="2019-01-14T00:00:00"/>
  </r>
  <r>
    <n v="310"/>
    <s v="8_국립축산과학원"/>
    <s v="0_본원"/>
    <x v="13"/>
    <s v="정성훈"/>
    <s v="보도자료4"/>
    <s v="“농진청 맞춤형 종합상담, 축산질병관리 큰 도움”"/>
    <s v="농민신문"/>
    <d v="2019-01-14T00:00:00"/>
    <n v="1"/>
    <s v="09_농업전문지"/>
    <n v="1.5"/>
    <d v="2019-01-14T00:00:00"/>
  </r>
  <r>
    <n v="311"/>
    <s v="8_국립축산과학원"/>
    <s v="0_본원"/>
    <x v="13"/>
    <s v="정성훈"/>
    <s v="보도자료4"/>
    <s v="축산 현장 맞춤형 상담 중 ‘질병 분야’ 가장 도움"/>
    <s v="한국영농신문"/>
    <d v="2019-01-14T00:00:00"/>
    <m/>
    <s v="09_농업전문지"/>
    <n v="1.5"/>
    <d v="2019-01-14T00:00:00"/>
  </r>
  <r>
    <n v="312"/>
    <s v="8_국립축산과학원"/>
    <s v="2_축산자원개발부"/>
    <x v="0"/>
    <s v="김두완"/>
    <s v="보도자료1"/>
    <s v="토종돼지를 복원한 ‘축진참돈’"/>
    <s v="팜&amp;마켓매거진"/>
    <d v="2019-01-14T00:00:00"/>
    <m/>
    <s v="09_농업전문지"/>
    <n v="1.5"/>
    <d v="2019-01-14T00:00:00"/>
  </r>
  <r>
    <n v="313"/>
    <s v="8_국립축산과학원"/>
    <s v="0_본원"/>
    <x v="13"/>
    <s v="배선아"/>
    <s v="보도자료3"/>
    <s v="2019년 첫 가축인공수정사 시험 143명 합격...합격률 23.4%"/>
    <s v="농축유통신문"/>
    <d v="2019-01-14T00:00:00"/>
    <m/>
    <s v="09_농업전문지"/>
    <n v="1.5"/>
    <d v="2019-01-14T00:00:00"/>
  </r>
  <r>
    <n v="314"/>
    <s v="8_국립축산과학원"/>
    <s v="0_본원"/>
    <x v="13"/>
    <s v="정성훈"/>
    <s v="보도자료4"/>
    <s v="축산 현장 맞춤형 상담 ‘질병 분야’ 가장 도움 돼"/>
    <s v="한국농업신문"/>
    <d v="2019-01-14T00:00:00"/>
    <m/>
    <s v="09_농업전문지"/>
    <n v="1.5"/>
    <d v="2019-01-14T00:00:00"/>
  </r>
  <r>
    <n v="315"/>
    <s v="8_국립축산과학원"/>
    <s v="2_축산자원개발부"/>
    <x v="0"/>
    <s v="문홍길"/>
    <m/>
    <s v="한국인 입맛 사로잡은 ‘우리흑돈’ 맛의 비밀"/>
    <s v="그린매거진"/>
    <d v="2019-01-01T00:00:00"/>
    <s v="6,7"/>
    <s v="09_농업전문지"/>
    <n v="1.5"/>
    <d v="2019-01-14T00:00:00"/>
  </r>
  <r>
    <n v="316"/>
    <s v="8_국립축산과학원"/>
    <s v="1_축산생명환경부"/>
    <x v="1"/>
    <s v="윤정희"/>
    <s v="보도자료5"/>
    <s v="식량부터 유전자 연구까지 뭐든 다 ‘돼지’"/>
    <s v="대전일보"/>
    <d v="2019-01-11T00:00:00"/>
    <n v="3"/>
    <s v="09_지방일간지"/>
    <n v="1.5"/>
    <d v="2019-01-14T00:00:00"/>
  </r>
  <r>
    <n v="317"/>
    <s v="8_국립축산과학원"/>
    <s v="1_축산생명환경부"/>
    <x v="1"/>
    <s v="윤정희"/>
    <s v="보도자료5"/>
    <s v="농진청, 장기이식 가능한 ‘의료용 돼지’ 개발"/>
    <s v="전북타임스"/>
    <d v="2019-01-11T00:00:00"/>
    <n v="7"/>
    <s v="09_지방일간지"/>
    <n v="1.5"/>
    <d v="2019-01-14T00:00:00"/>
  </r>
  <r>
    <n v="318"/>
    <s v="8_국립축산과학원"/>
    <s v="1_축산생명환경부"/>
    <x v="1"/>
    <s v="윤정희"/>
    <s v="보도자료5"/>
    <s v="장기부족 해결 대안은 ‘돼지’"/>
    <s v="새만금일보"/>
    <d v="2019-01-11T00:00:00"/>
    <n v="6"/>
    <s v="09_지방일간지"/>
    <n v="1.5"/>
    <d v="2019-01-14T00:00:00"/>
  </r>
  <r>
    <n v="319"/>
    <s v="8_국립축산과학원"/>
    <s v="1_축산생명환경부"/>
    <x v="1"/>
    <s v="윤정희"/>
    <s v="보도자료5"/>
    <s v="식량부터 장기까지…아낌없이 주는 ‘돼지 4총사’"/>
    <s v="전북도민일보"/>
    <d v="2019-01-11T00:00:00"/>
    <n v="6"/>
    <s v="09_지방일간지"/>
    <n v="1.5"/>
    <d v="2019-01-14T00:00:00"/>
  </r>
  <r>
    <n v="320"/>
    <s v="8_국립축산과학원"/>
    <s v="2_축산자원개발부"/>
    <x v="8"/>
    <s v="김시동"/>
    <m/>
    <s v="농협 젖소 씨수소, 유전능력 입증"/>
    <s v="팜인사이트"/>
    <d v="2019-01-11T00:00:00"/>
    <m/>
    <s v="13_인터넷포털"/>
    <n v="0.1"/>
    <d v="2019-01-14T00:00:00"/>
  </r>
  <r>
    <n v="321"/>
    <s v="8_국립축산과학원"/>
    <s v="1_축산생명환경부"/>
    <x v="1"/>
    <s v="윤정희"/>
    <s v="보도자료5"/>
    <s v="돼지, 의료용으로도 쓰인다…장기부족 해결위한 연구박차"/>
    <s v="뉴스토마토"/>
    <d v="2019-01-12T00:00:00"/>
    <m/>
    <s v="13_인터넷포털"/>
    <n v="0.1"/>
    <d v="2019-01-14T00:00:00"/>
  </r>
  <r>
    <n v="322"/>
    <s v="8_국립축산과학원"/>
    <s v="1_축산생명환경부"/>
    <x v="7"/>
    <s v="오영균"/>
    <m/>
    <s v="제일사료, 동물병원 전용 국내 처방식 브랜드 ‘벨릭서’ 출시"/>
    <s v="데일리안"/>
    <d v="2019-01-14T00:00:00"/>
    <m/>
    <s v="13_인터넷포털"/>
    <n v="0.1"/>
    <d v="2019-01-14T00:00:00"/>
  </r>
  <r>
    <n v="323"/>
    <s v="8_국립축산과학원"/>
    <s v="2_축산자원개발부"/>
    <x v="8"/>
    <s v="박미나"/>
    <s v="보도자료6"/>
    <s v="농진청, 우량 한우 씨수소 13마리 뽑아"/>
    <s v="농업경제신문"/>
    <d v="2019-01-14T00:00:00"/>
    <m/>
    <s v="13_인터넷포털"/>
    <n v="0.1"/>
    <d v="2019-01-14T00:00:00"/>
  </r>
  <r>
    <n v="324"/>
    <s v="8_국립축산과학원"/>
    <s v="1_축산생명환경부"/>
    <x v="1"/>
    <s v="윤정희"/>
    <s v="보도자료5"/>
    <s v="‘아낌없이’ 주는 돼지...“‘돼지’장기를 사람 몸에? 꿈이 아니다”"/>
    <s v="스페셜경제"/>
    <d v="2019-01-14T00:00:00"/>
    <m/>
    <s v="13_인터넷포털"/>
    <n v="0.1"/>
    <d v="2019-01-14T00:00:00"/>
  </r>
  <r>
    <n v="325"/>
    <s v="8_국립축산과학원"/>
    <s v="2_축산자원개발부"/>
    <x v="0"/>
    <s v="김두완"/>
    <s v="보도자료1"/>
    <s v="황금돼지의 해, ‘우리 돼지’ 품종을 소개합니다"/>
    <s v="돼지와사람"/>
    <d v="2019-01-03T00:00:00"/>
    <m/>
    <s v="13_인터넷포털"/>
    <n v="0.1"/>
    <d v="2019-01-14T00:00:00"/>
  </r>
  <r>
    <n v="326"/>
    <s v="8_국립축산과학원"/>
    <s v="0_본원"/>
    <x v="10"/>
    <s v="양병철"/>
    <s v="보도자료2"/>
    <s v="황금돼지의 해, ‘우리 돼지’ 품종을 소개합니다"/>
    <s v="돼지와사람"/>
    <d v="2019-01-03T00:00:00"/>
    <m/>
    <s v="13_인터넷포털"/>
    <n v="0.1"/>
    <d v="2019-01-14T00:00:00"/>
  </r>
  <r>
    <n v="327"/>
    <s v="8_국립축산과학원"/>
    <s v="0_본원"/>
    <x v="13"/>
    <s v="정성훈"/>
    <s v="보도자료4"/>
    <s v="축산현장 맞춤형 상담 ‘질병분야’ 가장 도움 돼"/>
    <s v="돼지와사람"/>
    <d v="2019-01-10T00:00:00"/>
    <m/>
    <s v="13_인터넷포털"/>
    <n v="0.1"/>
    <d v="2019-01-14T00:00:00"/>
  </r>
  <r>
    <n v="328"/>
    <s v="8_국립축산과학원"/>
    <s v="1_축산생명환경부"/>
    <x v="1"/>
    <s v="윤정희"/>
    <s v="보도자료5"/>
    <s v="조만간 돼지의 장기를 사람에게 이식한다"/>
    <s v="돼지와사람"/>
    <d v="2019-01-11T00:00:00"/>
    <m/>
    <s v="13_인터넷포털"/>
    <n v="0.1"/>
    <d v="2019-01-14T00:00:00"/>
  </r>
  <r>
    <n v="329"/>
    <s v="8_국립축산과학원"/>
    <s v="2_축산자원개발부"/>
    <x v="8"/>
    <s v="박미나"/>
    <s v="보도자료6"/>
    <s v="“보증씨수소를 아시나요”"/>
    <s v="국민일보"/>
    <d v="2019-01-15T00:00:00"/>
    <n v="16"/>
    <s v="07_중앙일간지"/>
    <n v="5"/>
    <d v="2019-01-15T00:00:00"/>
  </r>
  <r>
    <n v="330"/>
    <s v="8_국립축산과학원"/>
    <s v="1_축산생명환경부"/>
    <x v="9"/>
    <s v="우샘이"/>
    <s v="보도자료167(2018)"/>
    <s v="강아지와 건강한 겨울 보내려면"/>
    <s v="뉴스1"/>
    <d v="2019-01-14T00:00:00"/>
    <m/>
    <s v="07_중앙일간지"/>
    <n v="5"/>
    <d v="2019-01-15T00:00:00"/>
  </r>
  <r>
    <n v="331"/>
    <s v="8_국립축산과학원"/>
    <s v="1_축산생명환경부"/>
    <x v="7"/>
    <s v="오영균"/>
    <m/>
    <s v="제일사료, ‘벨릭서’ 출시...‘수입’ 장악한 처방식 사료에 ‘도전장’"/>
    <s v="뉴스1"/>
    <d v="2019-01-14T00:00:00"/>
    <m/>
    <s v="07_중앙일간지"/>
    <n v="5"/>
    <d v="2019-01-15T00:00:00"/>
  </r>
  <r>
    <n v="332"/>
    <s v="8_국립축산과학원"/>
    <s v="1_축산생명환경부"/>
    <x v="7"/>
    <s v="지상윤"/>
    <m/>
    <s v="농진청 시무식 대신 ‘열린 발표회’로 소통"/>
    <s v="농축환경신문"/>
    <d v="2019-01-10T00:00:00"/>
    <n v="2"/>
    <s v="09_농업전문지"/>
    <n v="1.5"/>
    <d v="2019-01-15T00:00:00"/>
  </r>
  <r>
    <n v="333"/>
    <s v="8_국립축산과학원"/>
    <s v="0_본원"/>
    <x v="13"/>
    <s v="배선아"/>
    <s v="보도자료3"/>
    <s v="농진청, 가축인공수정사 시험 143명 합격"/>
    <s v="농축환경신문"/>
    <d v="2019-01-10T00:00:00"/>
    <n v="5"/>
    <s v="09_농업전문지"/>
    <n v="1.5"/>
    <d v="2019-01-15T00:00:00"/>
  </r>
  <r>
    <n v="334"/>
    <s v="8_국립축산과학원"/>
    <s v="2_축산자원개발부"/>
    <x v="0"/>
    <s v="김두완"/>
    <s v="보도자료1"/>
    <s v="‘축진참돈’ 등 농진청서 복원 개발한 4품종 이야기"/>
    <s v="농축환경신문"/>
    <d v="2019-01-10T00:00:00"/>
    <n v="4"/>
    <s v="09_농업전문지"/>
    <n v="1.5"/>
    <d v="2019-01-15T00:00:00"/>
  </r>
  <r>
    <n v="335"/>
    <s v="8_국립축산과학원"/>
    <s v="0_본원"/>
    <x v="10"/>
    <s v="양병철"/>
    <s v="보도자료2"/>
    <s v="‘축진참돈’ 등 농진청서 복원 개발한 4품종 이야기"/>
    <s v="농축환경신문"/>
    <d v="2019-01-10T00:00:00"/>
    <n v="4"/>
    <s v="09_농업전문지"/>
    <n v="1.5"/>
    <d v="2019-01-15T00:00:00"/>
  </r>
  <r>
    <n v="336"/>
    <s v="8_국립축산과학원"/>
    <s v="2_축산자원개발부"/>
    <x v="8"/>
    <s v="박미나"/>
    <s v="보도자료6"/>
    <s v="보증씨수소 선발로 한우 육량‧육질 높인다"/>
    <s v="전업농신문"/>
    <d v="2019-01-15T00:00:00"/>
    <m/>
    <s v="09_농업전문지"/>
    <n v="1.5"/>
    <d v="2019-01-15T00:00:00"/>
  </r>
  <r>
    <n v="337"/>
    <s v="8_국립축산과학원"/>
    <s v="2_축산자원개발부"/>
    <x v="0"/>
    <s v="김두완"/>
    <s v="보도자료1"/>
    <s v="품질 좋은 우리 돼지, 무엇이 있을까?"/>
    <s v="대한급식신문"/>
    <d v="2019-01-03T00:00:00"/>
    <m/>
    <s v="09_농업전문지"/>
    <n v="1.5"/>
    <d v="2019-01-15T00:00:00"/>
  </r>
  <r>
    <n v="338"/>
    <s v="8_국립축산과학원"/>
    <s v="0_본원"/>
    <x v="10"/>
    <s v="양병철"/>
    <s v="보도자료2"/>
    <s v="품질 좋은 우리 돼지, 무엇이 있을까?"/>
    <s v="대한급식신문"/>
    <d v="2019-01-03T00:00:00"/>
    <m/>
    <s v="09_농업전문지"/>
    <n v="1.5"/>
    <d v="2019-01-15T00:00:00"/>
  </r>
  <r>
    <n v="339"/>
    <s v="8_국립축산과학원"/>
    <s v="2_축산자원개발부"/>
    <x v="0"/>
    <s v="김영화"/>
    <m/>
    <s v="비용 절감과 소득 향상, 해답은 ‘분리 사육’"/>
    <s v="그린매거진"/>
    <d v="2019-01-01T00:00:00"/>
    <s v="10,11"/>
    <s v="09_농업전문지"/>
    <n v="1.5"/>
    <d v="2019-01-15T00:00:00"/>
  </r>
  <r>
    <n v="340"/>
    <s v="8_국립축산과학원"/>
    <s v="2_축산자원개발부"/>
    <x v="0"/>
    <s v="문홍길"/>
    <m/>
    <s v="지리산 청정자연 먹고 자라요"/>
    <s v="그린매거진"/>
    <d v="2019-01-01T00:00:00"/>
    <s v="12-17"/>
    <s v="09_농업전문지"/>
    <n v="1.5"/>
    <d v="2019-01-15T00:00:00"/>
  </r>
  <r>
    <n v="341"/>
    <s v="8_국립축산과학원"/>
    <s v="0_본원"/>
    <x v="13"/>
    <s v="김창한"/>
    <m/>
    <s v="고구마 먹여 키운 돼지를 자연발효한 건강한 소시지"/>
    <s v="그린매거진"/>
    <d v="2019-01-01T00:00:00"/>
    <s v="18-21"/>
    <s v="09_농업전문지"/>
    <n v="1.5"/>
    <d v="2019-01-15T00:00:00"/>
  </r>
  <r>
    <n v="342"/>
    <s v="8_국립축산과학원"/>
    <s v="0_본원"/>
    <x v="13"/>
    <s v="정성훈"/>
    <s v="보도자료4"/>
    <s v="“축산 맞춤형 상담, 질병 분야 가장 도움”"/>
    <s v="경남일보"/>
    <d v="2019-01-14T00:00:00"/>
    <n v="9"/>
    <s v="09_지방일간지"/>
    <n v="1.5"/>
    <d v="2019-01-15T00:00:00"/>
  </r>
  <r>
    <n v="343"/>
    <s v="8_국립축산과학원"/>
    <s v="2_축산자원개발부"/>
    <x v="0"/>
    <s v="김두완"/>
    <s v="보도자료1"/>
    <s v="올해도 ‘우리 돼지’들의 활약이 기대 ‘돼지’?"/>
    <s v="정책브리핑"/>
    <d v="2019-01-03T00:00:00"/>
    <m/>
    <s v="12_대한민국 정책포털(korea.kr)"/>
    <n v="1"/>
    <d v="2019-01-15T00:00:00"/>
  </r>
  <r>
    <n v="344"/>
    <s v="8_국립축산과학원"/>
    <s v="0_본원"/>
    <x v="10"/>
    <s v="양병철"/>
    <s v="보도자료2"/>
    <s v="올해도 ‘우리 돼지’들의 활약이 기대 ‘돼지’?"/>
    <s v="정책브리핑"/>
    <d v="2019-01-03T00:00:00"/>
    <m/>
    <s v="12_대한민국 정책포털(korea.kr)"/>
    <n v="1"/>
    <d v="2019-01-15T00:00:00"/>
  </r>
  <r>
    <n v="345"/>
    <s v="8_국립축산과학원"/>
    <s v="2_축산자원개발부"/>
    <x v="8"/>
    <s v="박미나"/>
    <s v="보도자료6"/>
    <s v="농촌진흥청, 한우 육량‧육질 높일 수 있는 씨수소 13마리 뽑아"/>
    <s v="케이에스피뉴스"/>
    <d v="2019-01-14T00:00:00"/>
    <m/>
    <s v="13_인터넷포털"/>
    <n v="0.1"/>
    <d v="2019-01-15T00:00:00"/>
  </r>
  <r>
    <n v="346"/>
    <s v="8_국립축산과학원"/>
    <s v="2_축산자원개발부"/>
    <x v="8"/>
    <s v="박미나"/>
    <s v="보도자료6"/>
    <s v="한우 육량‧육질 뛰어난 씨수소 13두 선발"/>
    <s v="라이브뉴스"/>
    <d v="2019-01-14T00:00:00"/>
    <m/>
    <s v="13_인터넷포털"/>
    <n v="0.1"/>
    <d v="2019-01-15T00:00:00"/>
  </r>
  <r>
    <n v="347"/>
    <s v="8_국립축산과학원"/>
    <s v="1_축산생명환경부"/>
    <x v="7"/>
    <s v="오영균"/>
    <m/>
    <s v="제일사료, 동물병원 전용 국내 처방식 브랜드 ‘벨릭서’ 출시"/>
    <s v="데일리벳"/>
    <d v="2019-01-15T00:00:00"/>
    <m/>
    <s v="13_인터넷포털"/>
    <n v="0.1"/>
    <d v="2019-01-15T00:00:00"/>
  </r>
  <r>
    <n v="348"/>
    <s v="8_국립축산과학원"/>
    <s v="1_축산생명환경부"/>
    <x v="7"/>
    <s v="오영균"/>
    <m/>
    <s v="제일사료, 동물병원 전용 처방식 ‘벨릭서’ 출시"/>
    <s v="노트펫"/>
    <d v="2019-01-15T00:00:00"/>
    <m/>
    <s v="13_인터넷포털"/>
    <n v="0.1"/>
    <d v="2019-01-15T00:00:00"/>
  </r>
  <r>
    <n v="349"/>
    <s v="8_국립축산과학원"/>
    <s v="2_축산자원개발부"/>
    <x v="8"/>
    <s v="박미나"/>
    <s v="보도자료6"/>
    <s v="한우 육량‧육질 높일 수 있는 씨수소 13마리 뽑아"/>
    <s v="청년일보"/>
    <d v="2019-01-15T00:00:00"/>
    <m/>
    <s v="13_인터넷포털"/>
    <n v="0.1"/>
    <d v="2019-01-15T00:00:00"/>
  </r>
  <r>
    <n v="350"/>
    <s v="8_국립축산과학원"/>
    <s v="2_축산자원개발부"/>
    <x v="8"/>
    <s v="박미나"/>
    <s v="보도자료6"/>
    <s v="한우 육량‧육질 높일 수 있는 씨수소 13마리 뽑아"/>
    <s v="인트로뉴스"/>
    <d v="2019-01-15T00:00:00"/>
    <m/>
    <s v="13_인터넷포털"/>
    <n v="0.1"/>
    <d v="2019-01-15T00:00:00"/>
  </r>
  <r>
    <n v="351"/>
    <s v="8_국립축산과학원"/>
    <s v="2_축산자원개발부"/>
    <x v="8"/>
    <s v="박미나"/>
    <s v="보도자료6"/>
    <s v="한우 개량 이끌 보증씨수소 ‘13마리’ 선정"/>
    <s v="팜인사이트"/>
    <d v="2019-01-15T00:00:00"/>
    <m/>
    <s v="13_인터넷포털"/>
    <n v="0.1"/>
    <d v="2019-01-15T00:00:00"/>
  </r>
  <r>
    <n v="352"/>
    <s v="8_국립축산과학원"/>
    <s v="2_축산자원개발부"/>
    <x v="8"/>
    <s v="박미나"/>
    <s v="보도자료6"/>
    <s v="농진청, 한우 육량‧육질 높일 씨수소 13마리 선정"/>
    <s v="아유경제"/>
    <d v="2019-01-15T00:00:00"/>
    <m/>
    <s v="13_인터넷포털"/>
    <n v="0.1"/>
    <d v="2019-01-15T00:00:00"/>
  </r>
  <r>
    <n v="353"/>
    <s v="8_국립축산과학원"/>
    <s v="2_축산자원개발부"/>
    <x v="0"/>
    <s v="김두완"/>
    <s v="보도자료1"/>
    <s v="올해도 ‘우리 돼지’들의 활약이 기대 ‘돼지’?"/>
    <s v="한국방송뉴스"/>
    <d v="2019-01-03T00:00:00"/>
    <m/>
    <s v="13_인터넷포털"/>
    <n v="0.1"/>
    <d v="2019-01-15T00:00:00"/>
  </r>
  <r>
    <n v="354"/>
    <s v="8_국립축산과학원"/>
    <s v="0_본원"/>
    <x v="10"/>
    <s v="양병철"/>
    <s v="보도자료2"/>
    <s v="올해도 ‘우리 돼지’들의 활약이 기대 ‘돼지’?"/>
    <s v="한국방송뉴스"/>
    <d v="2019-01-03T00:00:00"/>
    <m/>
    <s v="13_인터넷포털"/>
    <n v="0.1"/>
    <d v="2019-01-15T00:00:00"/>
  </r>
  <r>
    <n v="355"/>
    <s v="8_국립축산과학원"/>
    <s v="2_축산자원개발부"/>
    <x v="0"/>
    <s v="김두완"/>
    <s v="보도자료1"/>
    <s v="기해년, 돼지‧돼지고기에 대한 모든 것 ②품종"/>
    <s v="비즈월드"/>
    <d v="2019-01-03T00:00:00"/>
    <m/>
    <s v="13_인터넷포털"/>
    <n v="0.1"/>
    <d v="2019-01-15T00:00:00"/>
  </r>
  <r>
    <n v="356"/>
    <s v="8_국립축산과학원"/>
    <s v="0_본원"/>
    <x v="10"/>
    <s v="양병철"/>
    <s v="보도자료2"/>
    <s v="기해년, 돼지‧돼지고기에 대한 모든 것 ②품종"/>
    <s v="비즈월드"/>
    <d v="2019-01-03T00:00:00"/>
    <m/>
    <s v="13_인터넷포털"/>
    <n v="0.1"/>
    <d v="2019-01-15T00:00:00"/>
  </r>
  <r>
    <n v="357"/>
    <s v="8_국립축산과학원"/>
    <s v="2_축산자원개발부"/>
    <x v="0"/>
    <s v="김두완"/>
    <s v="보도자료1"/>
    <s v="농진청, ‘축진참돈’ 등 복원·개발 우리 돼지 4품종 소개"/>
    <s v="미디어펜"/>
    <d v="2019-01-02T00:00:00"/>
    <m/>
    <s v="13_인터넷포털"/>
    <n v="0.1"/>
    <d v="2019-01-15T00:00:00"/>
  </r>
  <r>
    <n v="358"/>
    <s v="8_국립축산과학원"/>
    <s v="0_본원"/>
    <x v="10"/>
    <s v="양병철"/>
    <s v="보도자료2"/>
    <s v="농진청, ‘축진참돈’ 등 복원·개발 우리 돼지 4품종 소개"/>
    <s v="미디어펜"/>
    <d v="2019-01-02T00:00:00"/>
    <m/>
    <s v="13_인터넷포털"/>
    <n v="0.1"/>
    <d v="2019-01-15T00:00:00"/>
  </r>
  <r>
    <n v="359"/>
    <s v="8_국립축산과학원"/>
    <s v="2_축산자원개발부"/>
    <x v="0"/>
    <s v="김두완"/>
    <s v="보도자료1"/>
    <s v="올해도 ‘우리 돼지’들의 활약이 기대 ‘돼지’?"/>
    <s v="우리문화신문"/>
    <d v="2019-01-02T00:00:00"/>
    <m/>
    <s v="13_인터넷포털"/>
    <n v="0.1"/>
    <d v="2019-01-15T00:00:00"/>
  </r>
  <r>
    <n v="360"/>
    <s v="8_국립축산과학원"/>
    <s v="0_본원"/>
    <x v="10"/>
    <s v="양병철"/>
    <s v="보도자료2"/>
    <s v="올해도 ‘우리 돼지’들의 활약이 기대 ‘돼지’?"/>
    <s v="우리문화신문"/>
    <d v="2019-01-02T00:00:00"/>
    <m/>
    <s v="13_인터넷포털"/>
    <n v="0.1"/>
    <d v="2019-01-15T00:00:00"/>
  </r>
  <r>
    <n v="361"/>
    <s v="8_국립축산과학원"/>
    <s v="2_축산자원개발부"/>
    <x v="0"/>
    <m/>
    <m/>
    <s v="재래종 돼지 활용한 신품종 적극 개발"/>
    <s v="월간축산"/>
    <d v="2019-01-01T00:00:00"/>
    <s v="32-35"/>
    <s v="09_농업전문지"/>
    <n v="1.5"/>
    <d v="2019-01-15T00:00:00"/>
  </r>
  <r>
    <n v="362"/>
    <s v="8_국립축산과학원"/>
    <s v="2_축산자원개발부"/>
    <x v="0"/>
    <s v="조규호"/>
    <m/>
    <s v="우리 재래흑돼지의 가능성을 확인하다"/>
    <s v="월간축산"/>
    <d v="2019-01-01T00:00:00"/>
    <s v="36-39"/>
    <s v="09_농업전문지"/>
    <n v="1.5"/>
    <d v="2019-01-15T00:00:00"/>
  </r>
  <r>
    <n v="363"/>
    <s v="8_국립축산과학원"/>
    <s v="1_축산생명환경부"/>
    <x v="5"/>
    <s v="강선문"/>
    <m/>
    <s v="국산 돼지고기 부위별 소비 불균형 문제 해결"/>
    <s v="월간축산"/>
    <d v="2019-01-01T00:00:00"/>
    <s v="40-43"/>
    <s v="09_농업전문지"/>
    <n v="1.5"/>
    <d v="2019-01-15T00:00:00"/>
  </r>
  <r>
    <n v="364"/>
    <s v="8_국립축산과학원"/>
    <s v="1_축산생명환경부"/>
    <x v="7"/>
    <s v="백열창"/>
    <m/>
    <s v="제주에서 첫 자가 TMR 제조 한라한우촌 양익종 씨"/>
    <s v="월간축산"/>
    <d v="2019-01-01T00:00:00"/>
    <s v="52-55"/>
    <s v="09_농업전문지"/>
    <n v="1.5"/>
    <d v="2019-01-15T00:00:00"/>
  </r>
  <r>
    <n v="365"/>
    <s v="8_국립축산과학원"/>
    <s v="1_축산생명환경부"/>
    <x v="5"/>
    <s v="조수현"/>
    <s v="보도자료158(2018)"/>
    <s v="한우 저지방 부위 건조 숙성"/>
    <s v="월간축산"/>
    <d v="2019-01-01T00:00:00"/>
    <s v="64-67"/>
    <s v="09_농업전문지"/>
    <n v="1.5"/>
    <d v="2019-01-15T00:00:00"/>
  </r>
  <r>
    <n v="366"/>
    <s v="8_국립축산과학원"/>
    <s v="1_축산생명환경부"/>
    <x v="7"/>
    <s v="이현정"/>
    <s v="보도자료137(2018)"/>
    <s v="육질·육량 유지하면서 사육기간 3개월 단축"/>
    <s v="월간축산"/>
    <d v="2019-01-01T00:00:00"/>
    <s v="82-85"/>
    <s v="09_농업전문지"/>
    <n v="1.5"/>
    <d v="2019-01-15T00:00:00"/>
  </r>
  <r>
    <n v="367"/>
    <s v="8_국립축산과학원"/>
    <s v="0_본원"/>
    <x v="14"/>
    <s v="장선식"/>
    <s v="보도자료151(2018)"/>
    <s v="마블링 섬세도, 등지방 두께와 반비례"/>
    <s v="월간축산"/>
    <d v="2019-01-01T00:00:00"/>
    <n v="86"/>
    <s v="09_농업전문지"/>
    <n v="1.5"/>
    <d v="2019-01-15T00:00:00"/>
  </r>
  <r>
    <n v="368"/>
    <s v="8_국립축산과학원"/>
    <s v="1_축산생명환경부"/>
    <x v="9"/>
    <s v="정광화"/>
    <s v="보도자료159(2018)"/>
    <s v="겨울철 가축분뇨처리시설 관리"/>
    <s v="월간축산"/>
    <d v="2019-01-01T00:00:00"/>
    <n v="87"/>
    <s v="09_농업전문지"/>
    <n v="1.5"/>
    <d v="2019-01-15T00:00:00"/>
  </r>
  <r>
    <n v="369"/>
    <s v="8_국립축산과학원"/>
    <s v="2_축산자원개발부"/>
    <x v="0"/>
    <s v="민예진"/>
    <s v="보도자료155(2018)"/>
    <s v="겨울철 돈사 관리"/>
    <s v="월간축산"/>
    <d v="2019-01-01T00:00:00"/>
    <s v="88-89"/>
    <s v="09_농업전문지"/>
    <n v="1.5"/>
    <d v="2019-01-15T00:00:00"/>
  </r>
  <r>
    <n v="370"/>
    <s v="8_국립축산과학원"/>
    <s v="2_축산자원개발부"/>
    <x v="12"/>
    <m/>
    <m/>
    <s v="개별분방착유"/>
    <s v="월간축산"/>
    <d v="2019-01-01T00:00:00"/>
    <s v="90-91"/>
    <s v="09_농업전문지"/>
    <n v="1.5"/>
    <d v="2019-01-15T00:00:00"/>
  </r>
  <r>
    <n v="371"/>
    <s v="8_국립축산과학원"/>
    <s v="0_본원"/>
    <x v="15"/>
    <s v="김찬란"/>
    <s v="보도자료157(2018)"/>
    <s v="겨울철 염소와 사슴 건강관리"/>
    <s v="월간축산"/>
    <d v="2019-01-01T00:00:00"/>
    <s v="92-93"/>
    <s v="09_농업전문지"/>
    <n v="1.5"/>
    <d v="2019-01-15T00:00:00"/>
  </r>
  <r>
    <n v="372"/>
    <s v="8_국립축산과학원"/>
    <s v="0_본원"/>
    <x v="13"/>
    <s v="유지현"/>
    <m/>
    <s v="동물교감치유 가치 인식 조사"/>
    <s v="월간축산"/>
    <d v="2019-01-01T00:00:00"/>
    <s v="108-109"/>
    <s v="09_농업전문지"/>
    <n v="1.5"/>
    <d v="2019-01-15T00:00:00"/>
  </r>
  <r>
    <n v="373"/>
    <s v="8_국립축산과학원"/>
    <s v="2_축산자원개발부"/>
    <x v="8"/>
    <s v="최재관"/>
    <s v="보도자료160(2018)"/>
    <s v="농진청, 2018 하반기 우수 종축업체 3곳 인증"/>
    <s v="월간축산"/>
    <d v="2019-01-01T00:00:00"/>
    <n v="135"/>
    <s v="09_농업전문지"/>
    <n v="1.5"/>
    <d v="2019-01-15T00:00:00"/>
  </r>
  <r>
    <n v="374"/>
    <s v="8_국립축산과학원"/>
    <s v="1_축산생명환경부"/>
    <x v="5"/>
    <s v="김윤석"/>
    <s v="보도자료161(2018)"/>
    <s v="국립축산과학원, '돼지고기 수출 규격 안내서' 발간"/>
    <s v="월간축산"/>
    <d v="2019-01-01T00:00:00"/>
    <n v="135"/>
    <s v="09_농업전문지"/>
    <n v="1.5"/>
    <d v="2019-01-15T00:00:00"/>
  </r>
  <r>
    <n v="375"/>
    <s v="8_국립축산과학원"/>
    <s v="1_축산생명환경부"/>
    <x v="9"/>
    <s v="이준엽"/>
    <s v="보도자료162(2018)"/>
    <s v="&quot;철저한 점검으로 겨울철 화재 미리 예방하자&quot;"/>
    <s v="월간한우"/>
    <d v="2019-01-01T00:00:00"/>
    <n v="152"/>
    <s v="09_농업전문지"/>
    <n v="1.5"/>
    <d v="2019-01-15T00:00:00"/>
  </r>
  <r>
    <n v="376"/>
    <s v="8_국립축산과학원"/>
    <s v="1_축산생명환경부"/>
    <x v="5"/>
    <s v="조수현"/>
    <s v="보도자료158(2018)"/>
    <s v="저지방 부위…건조 숙성으로 맛있게 굽는다"/>
    <s v="월간한우"/>
    <d v="2019-01-01T00:00:00"/>
    <n v="180"/>
    <s v="09_농업전문지"/>
    <n v="1.5"/>
    <d v="2019-01-15T00:00:00"/>
  </r>
  <r>
    <n v="377"/>
    <s v="8_국립축산과학원"/>
    <s v="1_축산생명환경부"/>
    <x v="9"/>
    <s v="정광화"/>
    <s v="보도자료159(2018)"/>
    <s v="가축 분뇨 처리 시설, 겨울엔 '온도 관리'가 핵심"/>
    <s v="월간한우"/>
    <d v="2019-01-01T00:00:00"/>
    <n v="192"/>
    <s v="09_농업전문지"/>
    <n v="1"/>
    <d v="2019-01-15T00:00:00"/>
  </r>
  <r>
    <n v="378"/>
    <s v="8_국립축산과학원"/>
    <s v="0_본원"/>
    <x v="13"/>
    <m/>
    <m/>
    <s v="이달의 할 일"/>
    <s v="월간낙농"/>
    <d v="2019-01-01T00:00:00"/>
    <n v="75"/>
    <s v="10_월간지"/>
    <n v="1"/>
    <d v="2019-01-15T00:00:00"/>
  </r>
  <r>
    <n v="379"/>
    <s v="8_국립축산과학원"/>
    <s v="1_축산생명환경부"/>
    <x v="9"/>
    <s v="곽정훈"/>
    <m/>
    <s v="다음 세대를 위한 축사 시설 및 환경관리"/>
    <s v="월간낙농"/>
    <d v="2019-01-01T00:00:00"/>
    <n v="90"/>
    <s v="10_월간지"/>
    <n v="1"/>
    <d v="2019-01-15T00:00:00"/>
  </r>
  <r>
    <n v="380"/>
    <s v="8_국립축산과학원"/>
    <s v="1_축산생명환경부"/>
    <x v="9"/>
    <s v="이준엽"/>
    <s v="보도자료162(2018)"/>
    <s v="&quot;미리 점검하면 겨울철 축사 화재 막을 수 있어요&quot;"/>
    <s v="월간낙농"/>
    <d v="2019-01-01T00:00:00"/>
    <n v="91"/>
    <s v="10_월간지"/>
    <n v="1"/>
    <d v="2019-01-15T00:00:00"/>
  </r>
  <r>
    <n v="381"/>
    <s v="8_국립축산과학원"/>
    <s v="0_본원"/>
    <x v="13"/>
    <m/>
    <m/>
    <s v="축산현장 애로기술 해결 위한 젖소 사육"/>
    <s v="월간낙농"/>
    <d v="2019-01-01T00:00:00"/>
    <s v="148-154"/>
    <s v="10_월간지"/>
    <n v="1"/>
    <d v="2019-01-15T00:00:00"/>
  </r>
  <r>
    <n v="382"/>
    <s v="8_국립축산과학원"/>
    <s v="0_본원"/>
    <x v="11"/>
    <s v="김태정"/>
    <s v="보도자료166(2018)"/>
    <s v="농촌진흥청 국립축산과학원, 사랑의 연탄 나눔 봉사 가져"/>
    <s v="월간낙농"/>
    <d v="2019-01-01T00:00:00"/>
    <n v="162"/>
    <s v="10_월간지"/>
    <n v="1"/>
    <d v="2019-01-15T00:00:00"/>
  </r>
  <r>
    <n v="383"/>
    <s v="8_국립축산과학원"/>
    <s v="1_축산생명환경부"/>
    <x v="9"/>
    <m/>
    <m/>
    <s v="친환경 축산을 위한 올바른 가축분뇨 퇴비 만들기"/>
    <s v="월간 낙농·육우"/>
    <d v="2019-01-01T00:00:00"/>
    <s v="152-154"/>
    <s v="10_월간지"/>
    <n v="1"/>
    <d v="2019-01-15T00:00:00"/>
  </r>
  <r>
    <n v="384"/>
    <s v="8_국립축산과학원"/>
    <s v="2_축산자원개발부"/>
    <x v="12"/>
    <s v="박성민,허태영"/>
    <m/>
    <s v="1월 사양관리"/>
    <s v="월간 낙농·육우"/>
    <d v="2019-01-01T00:00:00"/>
    <s v="158-161"/>
    <s v="10_월간지"/>
    <n v="1"/>
    <d v="2019-01-15T00:00:00"/>
  </r>
  <r>
    <n v="385"/>
    <s v="8_국립축산과학원"/>
    <s v="2_축산자원개발부"/>
    <x v="12"/>
    <m/>
    <m/>
    <s v="폭설·한파·강풍으로 인한 자연재해를 대비하자"/>
    <s v="월간 낙농·육우"/>
    <d v="2019-01-01T00:00:00"/>
    <s v="162-165"/>
    <s v="10_월간지"/>
    <n v="1"/>
    <d v="2019-01-15T00:00:00"/>
  </r>
  <r>
    <n v="386"/>
    <s v="8_국립축산과학원"/>
    <s v="1_축산생명환경부"/>
    <x v="9"/>
    <s v="정광화"/>
    <s v="보도자료159(2018)"/>
    <s v="가축분뇨처리 시설 월동 준비하세요"/>
    <s v="월간한돈"/>
    <d v="2019-01-01T00:00:00"/>
    <n v="438"/>
    <s v="10_월간지"/>
    <n v="1"/>
    <d v="2019-01-15T00:00:00"/>
  </r>
  <r>
    <n v="387"/>
    <s v="8_국립축산과학원"/>
    <s v="1_축산생명환경부"/>
    <x v="5"/>
    <s v="김윤석"/>
    <m/>
    <s v="축산과학원, '한돈 수출 규격 안내서' 발간"/>
    <s v="월간한돈"/>
    <d v="2019-01-01T00:00:00"/>
    <n v="441"/>
    <s v="10_월간지"/>
    <n v="1"/>
    <d v="2019-01-15T00:00:00"/>
  </r>
  <r>
    <n v="388"/>
    <s v="8_국립축산과학원"/>
    <s v="2_축산자원개발부"/>
    <x v="8"/>
    <s v="최재관"/>
    <s v="보도자료160(2018)"/>
    <s v="농촌진흥청, 우수 씨가축 업체 3곳 인증"/>
    <s v="Pig&amp;Pork 한돈"/>
    <d v="2019-01-01T00:00:00"/>
    <s v="165-166"/>
    <s v="10_월간지"/>
    <n v="1"/>
    <d v="2019-01-15T00:00:00"/>
  </r>
  <r>
    <n v="389"/>
    <s v="8_국립축산과학원"/>
    <s v="2_축산자원개발부"/>
    <x v="0"/>
    <s v="박준철"/>
    <m/>
    <s v="우리 고유의 돼지가 한국 양돈산업의 경쟁력이다!!"/>
    <s v="Pig&amp;Pork 한돈"/>
    <d v="2019-01-01T00:00:00"/>
    <s v="226-230"/>
    <s v="10_월간지"/>
    <n v="1"/>
    <d v="2019-01-15T00:00:00"/>
  </r>
  <r>
    <n v="390"/>
    <s v="8_국립축산과학원"/>
    <s v="2_축산자원개발부"/>
    <x v="0"/>
    <s v="민예진"/>
    <s v="보도자료155(2018)"/>
    <s v="습도 50~60% 유지, 하루 한번 내부 소독 실시"/>
    <s v="Pig&amp;Pork 한돈"/>
    <d v="2019-01-01T00:00:00"/>
    <n v="231"/>
    <s v="10_월간지"/>
    <n v="1"/>
    <d v="2019-01-15T00:00:00"/>
  </r>
  <r>
    <n v="391"/>
    <s v="8_국립축산과학원"/>
    <s v="1_축산생명환경부"/>
    <x v="9"/>
    <s v="정광화"/>
    <s v="보도자료159(2018)"/>
    <s v="가축분뇨 처리 시설, 겨울엔 '온도관리'가 핵심이다!!"/>
    <s v="Pig&amp;Pork 한돈"/>
    <d v="2019-01-01T00:00:00"/>
    <s v="232-233"/>
    <s v="10_월간지"/>
    <n v="1"/>
    <d v="2019-01-15T00:00:00"/>
  </r>
  <r>
    <n v="392"/>
    <s v="8_국립축산과학원"/>
    <s v="1_축산생명환경부"/>
    <x v="9"/>
    <s v="이준엽"/>
    <s v="보도자료162(2018)"/>
    <s v="미리 점검하고 관리하면 겨울철 축사 화재 막을 수 있다!!"/>
    <s v="Pig&amp;Pork 한돈"/>
    <d v="2019-01-01T00:00:00"/>
    <s v="234-235"/>
    <s v="10_월간지"/>
    <n v="1"/>
    <d v="2019-01-15T00:00:00"/>
  </r>
  <r>
    <n v="393"/>
    <s v="8_국립축산과학원"/>
    <s v="0_본원"/>
    <x v="11"/>
    <s v="김태정"/>
    <s v="보도자료166(2018)"/>
    <s v="연탄으로 따뜻한 나눔 실천 장애인 가정에 연탄 1천장 전달"/>
    <s v="현대양돈"/>
    <d v="2019-01-01T00:00:00"/>
    <s v="27-28"/>
    <s v="10_월간지"/>
    <n v="1"/>
    <d v="2019-01-15T00:00:00"/>
  </r>
  <r>
    <n v="394"/>
    <s v="8_국립축산과학원"/>
    <s v="1_축산생명환경부"/>
    <x v="5"/>
    <s v="강선문"/>
    <s v="보도자료165(2018)"/>
    <s v="전북 광역푸드뱅크에 축산물 나눔행사 가져"/>
    <s v="현대양돈"/>
    <d v="2019-01-01T00:00:00"/>
    <n v="29"/>
    <s v="10_월간지"/>
    <n v="1"/>
    <d v="2019-01-15T00:00:00"/>
  </r>
  <r>
    <n v="395"/>
    <s v="8_국립축산과학원"/>
    <s v="1_축산생명환경부"/>
    <x v="9"/>
    <s v="이준엽"/>
    <s v="보도자료162(2018)"/>
    <s v="겨울철 축산농가 가축 및 축사관리 요령"/>
    <s v="월간양계"/>
    <d v="2019-01-01T00:00:00"/>
    <s v="178-179"/>
    <s v="10_월간지"/>
    <n v="1"/>
    <d v="2019-01-15T00:00:00"/>
  </r>
  <r>
    <n v="396"/>
    <s v="8_국립축산과학원"/>
    <s v="1_축산생명환경부"/>
    <x v="9"/>
    <s v="정광화"/>
    <s v="보도자료159(2018)"/>
    <s v="가축 분뇨 처리시설 관리 당부"/>
    <s v="월간양계"/>
    <d v="2019-01-01T00:00:00"/>
    <n v="190"/>
    <s v="10_월간지"/>
    <n v="1"/>
    <d v="2019-01-15T00:00:00"/>
  </r>
  <r>
    <n v="397"/>
    <s v="8_국립축산과학원"/>
    <s v="0_본원"/>
    <x v="11"/>
    <s v="김태정"/>
    <s v="보도자료166(2018)"/>
    <s v="연탄으로 따뜻한 나눔 실천"/>
    <s v="월간양계"/>
    <d v="2019-01-01T00:00:00"/>
    <n v="191"/>
    <s v="10_월간지"/>
    <n v="1"/>
    <d v="2019-01-15T00:00:00"/>
  </r>
  <r>
    <n v="398"/>
    <s v="8_국립축산과학원"/>
    <s v="1_축산생명환경부"/>
    <x v="9"/>
    <s v="이준엽"/>
    <s v="보도자료162(2018)"/>
    <s v="&quot;미리 점검하면 겨울철 축사 화재 막을 수 있어요&quot;"/>
    <s v="월간닭고기"/>
    <d v="2019-01-01T00:00:00"/>
    <n v="33"/>
    <s v="10_월간지"/>
    <n v="1"/>
    <d v="2019-01-15T00:00:00"/>
  </r>
  <r>
    <n v="399"/>
    <s v="8_국립축산과학원"/>
    <s v="2_축산자원개발부"/>
    <x v="0"/>
    <s v="문홍길"/>
    <s v="기고"/>
    <s v="[기고] 문홍길 과장-축산현장 애로기술 해결 위한 돼지 사육[100문 100답] Q85~87"/>
    <s v="축산신문"/>
    <d v="2019-01-15T00:00:00"/>
    <n v="15"/>
    <s v="17_농업전문지"/>
    <n v="8"/>
    <d v="2019-01-17T00:00:00"/>
  </r>
  <r>
    <n v="400"/>
    <s v="8_국립축산과학원"/>
    <s v="0_본원"/>
    <x v="13"/>
    <s v="정성훈"/>
    <s v="보도자료4"/>
    <s v="축산 현장 맞춤형 상담 ‘질병 분야’ 큰 도움"/>
    <s v="축산신문"/>
    <d v="2019-01-15T00:00:00"/>
    <n v="2"/>
    <s v="09_농업전문지"/>
    <n v="1.5"/>
    <d v="2019-01-17T00:00:00"/>
  </r>
  <r>
    <n v="401"/>
    <s v="8_국립축산과학원"/>
    <s v="1_축산생명환경부"/>
    <x v="1"/>
    <s v="윤정희"/>
    <s v="보도자료5"/>
    <s v="바이오·의료소재 활용…다양한 발전방향 제시"/>
    <s v="축산신문"/>
    <d v="2019-01-15T00:00:00"/>
    <n v="3"/>
    <s v="09_농업전문지"/>
    <n v="1.5"/>
    <d v="2019-01-17T00:00:00"/>
  </r>
  <r>
    <n v="402"/>
    <s v="8_국립축산과학원"/>
    <s v="0_본원"/>
    <x v="13"/>
    <s v="배선아"/>
    <s v="보도자료3"/>
    <s v="가축인공수정사 143명 최종 합격"/>
    <s v="한국농어민신문"/>
    <d v="2019-01-15T00:00:00"/>
    <n v="9"/>
    <s v="09_농업전문지"/>
    <n v="1.5"/>
    <d v="2019-01-17T00:00:00"/>
  </r>
  <r>
    <n v="403"/>
    <s v="8_국립축산과학원"/>
    <s v="1_축산생명환경부"/>
    <x v="7"/>
    <s v="오영균"/>
    <m/>
    <s v="사료 안전관리 강화, 축산농가 걱정 덜어줄까"/>
    <s v="한국농정신문"/>
    <d v="2019-01-14T00:00:00"/>
    <n v="9"/>
    <s v="09_농업전문지"/>
    <n v="1.5"/>
    <d v="2019-01-17T00:00:00"/>
  </r>
  <r>
    <n v="404"/>
    <s v="8_국립축산과학원"/>
    <s v="1_축산생명환경부"/>
    <x v="7"/>
    <s v="지상윤"/>
    <m/>
    <s v="“56년 역사의 저력으로 최고 농업연구기관 될 터”"/>
    <s v="식품외식경제"/>
    <d v="2019-01-14T00:00:00"/>
    <n v="2"/>
    <s v="09_농업전문지"/>
    <n v="1.5"/>
    <d v="2019-01-17T00:00:00"/>
  </r>
  <r>
    <n v="405"/>
    <s v="8_국립축산과학원"/>
    <s v="2_축산자원개발부"/>
    <x v="8"/>
    <s v="박미나"/>
    <s v="보도자료6"/>
    <s v="‘천년전북 2호’ 국가 보증씨수소에"/>
    <s v="축산경제"/>
    <d v="2019-01-14T00:00:00"/>
    <n v="10"/>
    <s v="09_농업전문지"/>
    <n v="1.5"/>
    <d v="2019-01-17T00:00:00"/>
  </r>
  <r>
    <n v="406"/>
    <s v="8_국립축산과학원"/>
    <s v="0_본원"/>
    <x v="13"/>
    <s v="배선아"/>
    <s v="보도자료3"/>
    <s v="가축인공수정사 시험 143명 합격…농진청 첫 주관"/>
    <s v="한국영농신문"/>
    <d v="2019-01-14T00:00:00"/>
    <n v="6"/>
    <s v="09_농업전문지"/>
    <n v="1.5"/>
    <d v="2019-01-17T00:00:00"/>
  </r>
  <r>
    <n v="407"/>
    <s v="8_국립축산과학원"/>
    <s v="2_축산자원개발부"/>
    <x v="8"/>
    <s v="박미나"/>
    <s v="보도자료6"/>
    <s v="농진청, 보증씨수소 13마리 선정"/>
    <s v="대한급식신문"/>
    <d v="2019-01-15T00:00:00"/>
    <m/>
    <s v="09_농업전문지"/>
    <n v="1.5"/>
    <d v="2019-01-17T00:00:00"/>
  </r>
  <r>
    <n v="408"/>
    <s v="8_국립축산과학원"/>
    <s v="0_본원"/>
    <x v="13"/>
    <s v="정성훈"/>
    <s v="보도자료4"/>
    <s v="축산 현장 맞춤형 종합상담 “굿~”95%"/>
    <s v="한국농어민신문"/>
    <d v="2019-01-15T00:00:00"/>
    <m/>
    <s v="09_농업전문지"/>
    <n v="1.5"/>
    <d v="2019-01-17T00:00:00"/>
  </r>
  <r>
    <n v="409"/>
    <s v="8_국립축산과학원"/>
    <s v="2_축산자원개발부"/>
    <x v="8"/>
    <s v="김시동"/>
    <m/>
    <s v="농협 젖소 씨수소, 유전 능력 대폭 상승했다"/>
    <s v="한국영농신문"/>
    <d v="2019-01-15T00:00:00"/>
    <m/>
    <s v="09_농업전문지"/>
    <n v="1.5"/>
    <d v="2019-01-17T00:00:00"/>
  </r>
  <r>
    <n v="410"/>
    <s v="8_국립축산과학원"/>
    <s v="1_축산생명환경부"/>
    <x v="1"/>
    <s v="윤정희"/>
    <s v="보도자료5"/>
    <s v="이종 이식 연구, 이렇게 준비한다"/>
    <s v="한국영농신문"/>
    <d v="2019-01-15T00:00:00"/>
    <m/>
    <s v="09_농업전문지"/>
    <n v="1.5"/>
    <d v="2019-01-17T00:00:00"/>
  </r>
  <r>
    <n v="411"/>
    <s v="8_국립축산과학원"/>
    <s v="2_축산자원개발부"/>
    <x v="8"/>
    <s v="김시동"/>
    <m/>
    <s v="농협 젖소 씨수소 유전능력 대폭 향상"/>
    <s v="농수축산신문"/>
    <d v="2019-01-16T00:00:00"/>
    <m/>
    <s v="09_농업전문지"/>
    <n v="1.5"/>
    <d v="2019-01-17T00:00:00"/>
  </r>
  <r>
    <n v="412"/>
    <s v="8_국립축산과학원"/>
    <s v="2_축산자원개발부"/>
    <x v="8"/>
    <s v="박미나"/>
    <s v="보도자료6"/>
    <s v="한우 개량 이끌 보증씨수소 13마리 선발"/>
    <s v="농수축산신문"/>
    <d v="2019-01-16T00:00:00"/>
    <m/>
    <s v="09_농업전문지"/>
    <n v="1.5"/>
    <d v="2019-01-17T00:00:00"/>
  </r>
  <r>
    <n v="413"/>
    <s v="8_국립축산과학원"/>
    <s v="2_축산자원개발부"/>
    <x v="8"/>
    <s v="박미나"/>
    <s v="보도자료6"/>
    <s v="농진청, 한우 개량 이끌 보증씨수소 13마리 뽑아"/>
    <s v="전북타임스"/>
    <d v="2019-01-15T00:00:00"/>
    <n v="7"/>
    <s v="09_지방일간지"/>
    <n v="1.5"/>
    <d v="2019-01-17T00:00:00"/>
  </r>
  <r>
    <n v="414"/>
    <s v="8_국립축산과학원"/>
    <s v="2_축산자원개발부"/>
    <x v="8"/>
    <s v="박미나"/>
    <s v="보도자료6"/>
    <s v="한우 미래 이끌 ‘보증씨수소’ 13마리 선정"/>
    <s v="전북도민일보"/>
    <d v="2019-01-15T00:00:00"/>
    <n v="6"/>
    <s v="09_지방일간지"/>
    <n v="1.5"/>
    <d v="2019-01-17T00:00:00"/>
  </r>
  <r>
    <n v="415"/>
    <s v="8_국립축산과학원"/>
    <s v="2_축산자원개발부"/>
    <x v="8"/>
    <s v="박미나"/>
    <s v="보도자료6"/>
    <s v="농진청, 보증씨수소 13마리 선정"/>
    <s v="전북일보"/>
    <d v="2019-01-15T00:00:00"/>
    <n v="6"/>
    <s v="09_지방일간지"/>
    <n v="1.5"/>
    <d v="2019-01-17T00:00:00"/>
  </r>
  <r>
    <n v="416"/>
    <s v="8_국립축산과학원"/>
    <s v="2_축산자원개발부"/>
    <x v="8"/>
    <s v="박미나"/>
    <s v="보도자료6"/>
    <s v="농진청 한우 개량 이끌 보증씨수소 13마리 선별"/>
    <s v="전북중앙"/>
    <d v="2019-01-15T00:00:00"/>
    <n v="6"/>
    <s v="09_지방일간지"/>
    <n v="1.5"/>
    <d v="2019-01-17T00:00:00"/>
  </r>
  <r>
    <n v="417"/>
    <s v="8_국립축산과학원"/>
    <s v="2_축산자원개발부"/>
    <x v="8"/>
    <s v="박미나"/>
    <s v="보도자료6"/>
    <s v="한우 개량 이끌 씨수소 선발"/>
    <s v="전북연합신문"/>
    <d v="2019-01-15T00:00:00"/>
    <n v="5"/>
    <s v="09_지방일간지"/>
    <n v="1.5"/>
    <d v="2019-01-17T00:00:00"/>
  </r>
  <r>
    <n v="418"/>
    <s v="8_국립축산과학원"/>
    <s v="2_축산자원개발부"/>
    <x v="8"/>
    <s v="박미나"/>
    <s v="보도자료6"/>
    <s v="한우 육량‧육질 높이는 씨수소 13마리 선출"/>
    <s v="식약일보"/>
    <d v="2019-01-15T00:00:00"/>
    <m/>
    <s v="10_기타전문지"/>
    <n v="1"/>
    <d v="2019-01-17T00:00:00"/>
  </r>
  <r>
    <n v="419"/>
    <s v="8_국립축산과학원"/>
    <s v="1_축산생명환경부"/>
    <x v="9"/>
    <s v="이준엽"/>
    <s v="보도자료162(2018)"/>
    <s v="진천소방서, 겨울철 축사 화재...전기 점검 효과 커"/>
    <s v="소방방재신문"/>
    <d v="2019-01-16T00:00:00"/>
    <m/>
    <s v="10_기타전문지"/>
    <n v="1"/>
    <d v="2019-01-17T00:00:00"/>
  </r>
  <r>
    <n v="420"/>
    <s v="8_국립축산과학원"/>
    <s v="1_축산생명환경부"/>
    <x v="1"/>
    <s v="윤정희"/>
    <s v="보도자료5"/>
    <s v="돼지 장기를 사람 몸에 넣는 이유는?"/>
    <s v="어린이동아"/>
    <d v="2019-01-16T00:00:00"/>
    <m/>
    <s v="10_기타전문지"/>
    <n v="1"/>
    <d v="2019-01-17T00:00:00"/>
  </r>
  <r>
    <n v="421"/>
    <s v="8_국립축산과학원"/>
    <s v="2_축산자원개발부"/>
    <x v="8"/>
    <s v="박미나"/>
    <s v="보도자료6"/>
    <s v="한우 육량‧육질 높일 수 있는 씨수소 13마리 뽑아"/>
    <s v="강원경제신문"/>
    <d v="2019-01-15T00:00:00"/>
    <m/>
    <s v="13_인터넷포털"/>
    <n v="0.1"/>
    <d v="2019-01-17T00:00:00"/>
  </r>
  <r>
    <n v="422"/>
    <s v="8_국립축산과학원"/>
    <s v="2_축산자원개발부"/>
    <x v="8"/>
    <s v="박미나"/>
    <s v="보도자료6"/>
    <s v="한우 육량‧육질 높일 수 있는 씨수소 13마리 뽑아"/>
    <s v="전남인터넷신문"/>
    <d v="2019-01-15T00:00:00"/>
    <m/>
    <s v="13_인터넷포털"/>
    <n v="0.1"/>
    <d v="2019-01-17T00:00:00"/>
  </r>
  <r>
    <n v="423"/>
    <s v="8_국립축산과학원"/>
    <s v="1_축산생명환경부"/>
    <x v="9"/>
    <s v="이준엽"/>
    <s v="보도자료162(2018)"/>
    <s v="진천소방서, 겨울철 축사화재 주의 당부"/>
    <s v="국제뉴스"/>
    <d v="2019-01-16T00:00:00"/>
    <m/>
    <s v="13_인터넷포털"/>
    <n v="0.1"/>
    <d v="2019-01-17T00:00:00"/>
  </r>
  <r>
    <n v="424"/>
    <s v="8_국립축산과학원"/>
    <s v="1_축산생명환경부"/>
    <x v="1"/>
    <s v="윤정희"/>
    <s v="보도자료5"/>
    <s v="이종이식의 꿈에 다가서다! 사람 위해 태어난 ‘의료용 돼지들’"/>
    <s v="통플러스"/>
    <d v="2019-01-16T00:00:00"/>
    <m/>
    <s v="13_인터넷포털"/>
    <n v="0.1"/>
    <d v="2019-01-17T00:00:00"/>
  </r>
  <r>
    <n v="425"/>
    <s v="8_국립축산과학원"/>
    <s v="0_본원"/>
    <x v="13"/>
    <s v="배선아"/>
    <s v="보도자료3"/>
    <s v="농진청, 가축인공수정사 합격자 발표"/>
    <s v="중앙일보"/>
    <d v="2019-01-06T00:00:00"/>
    <m/>
    <s v="07_중앙일간지"/>
    <n v="5"/>
    <d v="2019-01-18T00:00:00"/>
  </r>
  <r>
    <n v="426"/>
    <s v="8_국립축산과학원"/>
    <s v="1_축산생명환경부"/>
    <x v="7"/>
    <s v="지상윤"/>
    <m/>
    <s v="시무식 대신한 열린 발표회로 조직 소통 강화 도모"/>
    <s v="전업농신문"/>
    <d v="2019-01-16T00:00:00"/>
    <n v="11"/>
    <s v="09_농업전문지"/>
    <n v="1.5"/>
    <d v="2019-01-18T00:00:00"/>
  </r>
  <r>
    <n v="427"/>
    <s v="8_국립축산과학원"/>
    <s v="0_본원"/>
    <x v="13"/>
    <s v="정성훈"/>
    <s v="보도자료4"/>
    <s v="축산 현장 맞춤형 상담 ‘질병 분야’ 가장 도움 돼"/>
    <s v="농축유통신문"/>
    <d v="2019-01-14T00:00:00"/>
    <n v="9"/>
    <s v="09_농업전문지"/>
    <n v="1.5"/>
    <d v="2019-01-18T00:00:00"/>
  </r>
  <r>
    <n v="428"/>
    <s v="8_국립축산과학원"/>
    <s v="0_본원"/>
    <x v="13"/>
    <s v="정성훈"/>
    <s v="보도자료4"/>
    <s v="축산 농가 현장 상담, ‘질병 분야’에서 가장 큰 도움"/>
    <s v="전업농신문"/>
    <d v="2019-01-16T00:00:00"/>
    <n v="8"/>
    <s v="09_농업전문지"/>
    <n v="1.5"/>
    <d v="2019-01-18T00:00:00"/>
  </r>
  <r>
    <n v="429"/>
    <s v="8_국립축산과학원"/>
    <s v="1_축산생명환경부"/>
    <x v="7"/>
    <s v="오영균"/>
    <m/>
    <s v="정부 축산물 등급판정 세부기준 개정안 공포"/>
    <s v="전업농신문"/>
    <d v="2019-01-16T00:00:00"/>
    <n v="1"/>
    <s v="09_농업전문지"/>
    <n v="1.5"/>
    <d v="2019-01-18T00:00:00"/>
  </r>
  <r>
    <n v="430"/>
    <s v="8_국립축산과학원"/>
    <s v="2_축산자원개발부"/>
    <x v="8"/>
    <s v="박미나"/>
    <s v="보도자료6"/>
    <s v="한우개량사업소-농진청, 우량 씨수소 13마리 뽑아"/>
    <s v="한국영농신문"/>
    <d v="2019-01-18T00:00:00"/>
    <m/>
    <s v="09_농업전문지"/>
    <n v="1.5"/>
    <d v="2019-01-18T00:00:00"/>
  </r>
  <r>
    <n v="431"/>
    <s v="8_국립축산과학원"/>
    <s v="2_축산자원개발부"/>
    <x v="8"/>
    <s v="박미나"/>
    <s v="보도자료6"/>
    <s v="한우 씨수소 13마리 선발...2월부터 씨수소 정액 공급"/>
    <s v="농축유통신문"/>
    <d v="2019-01-18T00:00:00"/>
    <m/>
    <s v="09_농업전문지"/>
    <n v="1.5"/>
    <d v="2019-01-18T00:00:00"/>
  </r>
  <r>
    <n v="432"/>
    <s v="8_국립축산과학원"/>
    <s v="0_본원"/>
    <x v="13"/>
    <s v="배선아"/>
    <s v="보도자료3"/>
    <s v="가축인공수정사 시험 143명 합격"/>
    <s v="한국농촌경제신문"/>
    <d v="2019-01-13T00:00:00"/>
    <m/>
    <s v="09_농업전문지"/>
    <n v="1.5"/>
    <d v="2019-01-18T00:00:00"/>
  </r>
  <r>
    <n v="433"/>
    <s v="8_국립축산과학원"/>
    <s v="0_본원"/>
    <x v="13"/>
    <s v="배선아"/>
    <s v="보도자료3"/>
    <s v="농진청, 가축인공수정사 시험 143명 합격"/>
    <s v="농업인신문"/>
    <d v="2019-01-11T00:00:00"/>
    <m/>
    <s v="09_농업전문지"/>
    <n v="1.5"/>
    <d v="2019-01-18T00:00:00"/>
  </r>
  <r>
    <n v="434"/>
    <s v="8_국립축산과학원"/>
    <s v="0_본원"/>
    <x v="3"/>
    <s v="조아라"/>
    <s v="보도자료7"/>
    <s v="“미세먼지 노출, 가축도 호흡기 질병 증가”"/>
    <s v="식약일보"/>
    <d v="2019-01-18T00:00:00"/>
    <m/>
    <s v="10_기타전문지"/>
    <n v="1"/>
    <d v="2019-01-18T00:00:00"/>
  </r>
  <r>
    <n v="435"/>
    <s v="8_국립축산과학원"/>
    <s v="0_본원"/>
    <x v="13"/>
    <s v="배선아"/>
    <s v="보도자료3"/>
    <s v="농촌진흥청 첫 주관, 가축인공수정사 시험 143명 합격"/>
    <s v="정책브리핑"/>
    <d v="2019-01-07T00:00:00"/>
    <m/>
    <s v="12_대한민국 정책포털(korea.kr)"/>
    <n v="1"/>
    <d v="2019-01-18T00:00:00"/>
  </r>
  <r>
    <n v="436"/>
    <s v="8_국립축산과학원"/>
    <s v="0_본원"/>
    <x v="3"/>
    <s v="조아라"/>
    <s v="보도자료7"/>
    <s v="가축도 미세먼지에 노출되면 질병 걸려"/>
    <s v="프레시안"/>
    <d v="2019-01-18T00:00:00"/>
    <m/>
    <s v="13_인터넷포털"/>
    <n v="0.1"/>
    <d v="2019-01-18T00:00:00"/>
  </r>
  <r>
    <n v="437"/>
    <s v="8_국립축산과학원"/>
    <s v="0_본원"/>
    <x v="3"/>
    <s v="조아라"/>
    <s v="보도자료7"/>
    <s v="미세먼지, 가축 호흡기 질병 증가 유의"/>
    <s v="에코저널"/>
    <d v="2019-01-18T00:00:00"/>
    <m/>
    <s v="13_인터넷포털"/>
    <n v="0.1"/>
    <d v="2019-01-18T00:00:00"/>
  </r>
  <r>
    <n v="438"/>
    <s v="8_국립축산과학원"/>
    <s v="0_본원"/>
    <x v="13"/>
    <s v="배선아"/>
    <s v="보도자료3"/>
    <s v="농촌진흥청, 가축인공수정사 시험 143명 합격"/>
    <s v="케이에스피뉴스"/>
    <d v="2019-01-05T00:00:00"/>
    <m/>
    <s v="13_인터넷포털"/>
    <n v="0.1"/>
    <d v="2019-01-18T00:00:00"/>
  </r>
  <r>
    <n v="439"/>
    <s v="8_국립축산과학원"/>
    <s v="0_본원"/>
    <x v="13"/>
    <s v="배선아"/>
    <s v="보도자료3"/>
    <s v="농진청, 가축인공수정사 시험 143명 합격"/>
    <s v="농업경제신문"/>
    <d v="2019-01-07T00:00:00"/>
    <m/>
    <s v="13_인터넷포털"/>
    <n v="0.1"/>
    <d v="2019-01-18T00:00:00"/>
  </r>
  <r>
    <n v="440"/>
    <s v="8_국립축산과학원"/>
    <s v="0_본원"/>
    <x v="13"/>
    <s v="배선아"/>
    <s v="보도자료3"/>
    <s v="가축인공수정사 시험 최종 합격자 발표"/>
    <s v="쿠키뉴스"/>
    <d v="2019-01-07T00:00:00"/>
    <m/>
    <s v="13_인터넷포털"/>
    <n v="0.1"/>
    <d v="2019-01-18T00:00:00"/>
  </r>
  <r>
    <n v="441"/>
    <s v="8_국립축산과학원"/>
    <s v="0_본원"/>
    <x v="13"/>
    <s v="배선아"/>
    <s v="보도자료3"/>
    <s v="농촌진흥청 첫 주관. 가축인공수정사 시험 143명 합격"/>
    <s v="서울시정일보"/>
    <d v="2019-01-07T00:00:00"/>
    <m/>
    <s v="13_인터넷포털"/>
    <n v="0.1"/>
    <d v="2019-01-18T00:00:00"/>
  </r>
  <r>
    <n v="442"/>
    <s v="8_국립축산과학원"/>
    <s v="0_본원"/>
    <x v="13"/>
    <s v="배선아"/>
    <s v="보도자료3"/>
    <s v="농촌진흥청 첫 주관, 가축인공수정사 시험 143명 합격"/>
    <s v="뉴스브라이트"/>
    <d v="2019-01-07T00:00:00"/>
    <m/>
    <s v="13_인터넷포털"/>
    <n v="0.1"/>
    <d v="2019-01-18T00:00:00"/>
  </r>
  <r>
    <n v="443"/>
    <s v="8_국립축산과학원"/>
    <s v="0_본원"/>
    <x v="13"/>
    <s v="배선아"/>
    <s v="보도자료3"/>
    <s v="가축인공수정사 시험 143명 합격"/>
    <s v="현대축산뉴스"/>
    <d v="2019-01-14T00:00:00"/>
    <m/>
    <s v="13_인터넷포털"/>
    <n v="0.1"/>
    <d v="2019-01-18T00:00:00"/>
  </r>
  <r>
    <n v="444"/>
    <s v="8_국립축산과학원"/>
    <s v="0_본원"/>
    <x v="13"/>
    <s v="배선아"/>
    <s v="보도자료3"/>
    <s v="농촌진흥청, 가축인공수정사 시험 143명 합격"/>
    <s v="정필"/>
    <d v="2019-01-05T00:00:00"/>
    <m/>
    <s v="13_인터넷포털"/>
    <n v="0.1"/>
    <d v="2019-01-18T00:00:00"/>
  </r>
  <r>
    <n v="445"/>
    <s v="8_국립축산과학원"/>
    <s v="0_본원"/>
    <x v="13"/>
    <s v="배선아"/>
    <s v="보도자료3"/>
    <s v="농촌진흥청 주관 가축인공수정사 시험 143명 합격"/>
    <s v="팁팁뉴스"/>
    <d v="2019-01-07T00:00:00"/>
    <m/>
    <s v="13_인터넷포털"/>
    <n v="0.1"/>
    <d v="2019-01-18T00:00:00"/>
  </r>
  <r>
    <n v="446"/>
    <s v="8_국립축산과학원"/>
    <s v="0_본원"/>
    <x v="3"/>
    <s v="조아라"/>
    <s v="보도자료7"/>
    <s v="“미세먼지 심한날은 가축도 힘들어요”"/>
    <s v="라이브뉴스"/>
    <d v="2019-01-18T00:00:00"/>
    <m/>
    <s v="13_인터넷포털"/>
    <n v="0.1"/>
    <d v="2019-01-18T00:00:00"/>
  </r>
  <r>
    <n v="447"/>
    <s v="8_국립축산과학원"/>
    <s v="2_축산자원개발부"/>
    <x v="0"/>
    <s v="문홍길"/>
    <s v="기고"/>
    <s v="[기고] 문홍길 과장-축산현장 애로기술 해결 위한 돼지 사육[100문 100답] Q88,89"/>
    <s v="축산신문"/>
    <d v="2019-01-18T00:00:00"/>
    <n v="15"/>
    <s v="17_농업전문지"/>
    <n v="8"/>
    <d v="2019-01-21T00:00:00"/>
  </r>
  <r>
    <n v="448"/>
    <s v="8_국립축산과학원"/>
    <s v="0_본원"/>
    <x v="3"/>
    <s v="조아라"/>
    <s v="보도자료7"/>
    <s v="미세먼지에 가축도 고통...‘물통 청소‧소독 필요’"/>
    <s v="연합뉴스"/>
    <d v="2019-01-18T00:00:00"/>
    <m/>
    <s v="07_중앙일간지"/>
    <n v="5"/>
    <d v="2019-01-21T00:00:00"/>
  </r>
  <r>
    <n v="449"/>
    <s v="8_국립축산과학원"/>
    <s v="0_본원"/>
    <x v="3"/>
    <s v="조아라"/>
    <s v="보도자료7"/>
    <s v="‘가축도 미세먼지 노출되면 아파요’"/>
    <s v="이데일리"/>
    <d v="2019-01-18T00:00:00"/>
    <m/>
    <s v="07_중앙일간지"/>
    <n v="5"/>
    <d v="2019-01-21T00:00:00"/>
  </r>
  <r>
    <n v="450"/>
    <s v="8_국립축산과학원"/>
    <s v="0_본원"/>
    <x v="3"/>
    <s v="조아라"/>
    <s v="보도자료7"/>
    <s v="“미세먼지 노출되면 가축도 아파요”"/>
    <s v="환경일보"/>
    <d v="2019-01-21T00:00:00"/>
    <m/>
    <s v="08_기타일간지"/>
    <n v="2"/>
    <d v="2019-01-21T00:00:00"/>
  </r>
  <r>
    <n v="451"/>
    <s v="8_국립축산과학원"/>
    <s v="2_축산자원개발부"/>
    <x v="8"/>
    <s v="김시동"/>
    <m/>
    <s v="농협 젖소 씨수소 유전능력 입증"/>
    <s v="축산신문"/>
    <d v="2019-01-18T00:00:00"/>
    <n v="4"/>
    <s v="09_농업전문지"/>
    <n v="1.5"/>
    <d v="2019-01-21T00:00:00"/>
  </r>
  <r>
    <n v="452"/>
    <s v="8_국립축산과학원"/>
    <s v="2_축산자원개발부"/>
    <x v="8"/>
    <s v="김시동"/>
    <m/>
    <s v="“지난해 도입 씨수소 유전능력 향상”"/>
    <s v="한국농어민신문"/>
    <d v="2019-01-18T00:00:00"/>
    <n v="8"/>
    <s v="09_농업전문지"/>
    <n v="1.5"/>
    <d v="2019-01-21T00:00:00"/>
  </r>
  <r>
    <n v="453"/>
    <s v="8_국립축산과학원"/>
    <s v="2_축산자원개발부"/>
    <x v="8"/>
    <s v="박미나"/>
    <s v="보도자료6"/>
    <s v="한우 씨수소 13마리 선발"/>
    <s v="농촌여성신문"/>
    <d v="2019-01-18T00:00:00"/>
    <m/>
    <s v="09_농업전문지"/>
    <n v="1.5"/>
    <d v="2019-01-21T00:00:00"/>
  </r>
  <r>
    <n v="454"/>
    <s v="8_국립축산과학원"/>
    <s v="2_축산자원개발부"/>
    <x v="8"/>
    <s v="김시동"/>
    <m/>
    <s v="종개협 종돈개량부, 돼지능력평가 프로그램 강화‧현장컨설팅 확대키로"/>
    <s v="농수축산신문"/>
    <d v="2019-01-18T00:00:00"/>
    <m/>
    <s v="09_농업전문지"/>
    <n v="1.5"/>
    <d v="2019-01-21T00:00:00"/>
  </r>
  <r>
    <n v="455"/>
    <s v="8_국립축산과학원"/>
    <s v="2_축산자원개발부"/>
    <x v="0"/>
    <s v="김두완"/>
    <s v="보도자료1"/>
    <s v="신년맞이로 돼지고기를 먹으려 하는데…"/>
    <s v="한국농정신문"/>
    <d v="2019-01-20T00:00:00"/>
    <m/>
    <s v="09_농업전문지"/>
    <n v="1.5"/>
    <d v="2019-01-21T00:00:00"/>
  </r>
  <r>
    <n v="456"/>
    <s v="8_국립축산과학원"/>
    <s v="0_본원"/>
    <x v="10"/>
    <s v="양병철"/>
    <s v="보도자료2"/>
    <s v="신년맞이로 돼지고기를 먹으려 하는데…"/>
    <s v="한국농정신문"/>
    <d v="2019-01-20T00:00:00"/>
    <m/>
    <s v="09_농업전문지"/>
    <n v="1.5"/>
    <d v="2019-01-21T00:00:00"/>
  </r>
  <r>
    <n v="457"/>
    <s v="8_국립축산과학원"/>
    <s v="2_축산자원개발부"/>
    <x v="8"/>
    <s v="최연호"/>
    <s v="보도자료8"/>
    <s v="농진청, 젖소 보증씨수소 신규 선발"/>
    <s v="대한급식신문"/>
    <d v="2019-01-20T00:00:00"/>
    <m/>
    <s v="09_농업전문지"/>
    <n v="1.5"/>
    <d v="2019-01-21T00:00:00"/>
  </r>
  <r>
    <n v="458"/>
    <s v="8_국립축산과학원"/>
    <s v="2_축산자원개발부"/>
    <x v="8"/>
    <s v="박미나"/>
    <s v="보도자료6"/>
    <s v="한우 보증씨수소 13마리 선발…2월부터 정액 공급"/>
    <s v="농민신문"/>
    <d v="2019-01-21T00:00:00"/>
    <m/>
    <s v="09_농업전문지"/>
    <n v="1.5"/>
    <d v="2019-01-21T00:00:00"/>
  </r>
  <r>
    <n v="459"/>
    <s v="8_국립축산과학원"/>
    <s v="0_본원"/>
    <x v="13"/>
    <s v="정성훈"/>
    <s v="보도자료4"/>
    <s v="“축산 맞춤형 상담 ‘질병 분야’ 효과 커”"/>
    <s v="농업인신문"/>
    <d v="2019-01-11T00:00:00"/>
    <m/>
    <s v="09_농업전문지"/>
    <n v="1.5"/>
    <d v="2019-01-21T00:00:00"/>
  </r>
  <r>
    <n v="460"/>
    <s v="8_국립축산과학원"/>
    <s v="0_본원"/>
    <x v="14"/>
    <s v="권응기"/>
    <m/>
    <s v="한우산업 안정화 머리맞대…전북한우協 22일 심포지엄"/>
    <s v="전북도민일보"/>
    <d v="2019-01-18T00:00:00"/>
    <n v="6"/>
    <s v="09_지방일간지"/>
    <n v="1.5"/>
    <d v="2019-01-21T00:00:00"/>
  </r>
  <r>
    <n v="461"/>
    <s v="8_국립축산과학원"/>
    <s v="0_본원"/>
    <x v="14"/>
    <s v="권응기"/>
    <m/>
    <s v="한우 선제적 수급조절 통한 경영안정 모색"/>
    <s v="전주매일"/>
    <d v="2019-01-18T00:00:00"/>
    <n v="6"/>
    <s v="09_지방일간지"/>
    <n v="1.5"/>
    <d v="2019-01-21T00:00:00"/>
  </r>
  <r>
    <n v="462"/>
    <s v="8_국립축산과학원"/>
    <s v="0_본원"/>
    <x v="13"/>
    <s v="유지현"/>
    <s v="보도자료164(2018)"/>
    <s v="시교육청 동물사랑교육 확대 필요하다"/>
    <s v="울산매일"/>
    <d v="2019-01-18T00:00:00"/>
    <n v="18"/>
    <s v="09_지방일간지"/>
    <n v="1.5"/>
    <d v="2019-01-21T00:00:00"/>
  </r>
  <r>
    <n v="463"/>
    <s v="8_국립축산과학원"/>
    <s v="0_본원"/>
    <x v="3"/>
    <s v="조아라"/>
    <s v="보도자료7"/>
    <s v="미세먼지 노출…“가축도 호흡기질환 걸려요”"/>
    <s v="광주드림"/>
    <d v="2019-01-20T00:00:00"/>
    <m/>
    <s v="09_지방일간지"/>
    <n v="1.5"/>
    <d v="2019-01-21T00:00:00"/>
  </r>
  <r>
    <n v="464"/>
    <s v="8_국립축산과학원"/>
    <s v="0_본원"/>
    <x v="13"/>
    <s v="정성훈"/>
    <s v="보도자료4"/>
    <s v="축산 현장 맞춤형 상담 ‘질병 분야’ 가장 도움 돼"/>
    <s v="정책브리핑"/>
    <d v="2019-01-10T00:00:00"/>
    <m/>
    <s v="12_대한민국 정책포털(korea.kr)"/>
    <n v="1"/>
    <d v="2019-01-21T00:00:00"/>
  </r>
  <r>
    <n v="465"/>
    <s v="8_국립축산과학원"/>
    <s v="0_본원"/>
    <x v="3"/>
    <s v="조아라"/>
    <s v="보도자료7"/>
    <s v="“미세먼지 노출되면 가축도 아파요”"/>
    <s v="국토매일"/>
    <d v="2019-01-18T00:00:00"/>
    <m/>
    <s v="13_인터넷포털"/>
    <n v="0.1"/>
    <d v="2019-01-21T00:00:00"/>
  </r>
  <r>
    <n v="466"/>
    <s v="8_국립축산과학원"/>
    <s v="0_본원"/>
    <x v="3"/>
    <s v="조아라"/>
    <s v="보도자료7"/>
    <s v="“미세먼지 노출되면 가축도 아파요”"/>
    <s v="인트로뉴스"/>
    <d v="2019-01-18T00:00:00"/>
    <m/>
    <s v="13_인터넷포털"/>
    <n v="0.1"/>
    <d v="2019-01-21T00:00:00"/>
  </r>
  <r>
    <n v="467"/>
    <s v="8_국립축산과학원"/>
    <s v="0_본원"/>
    <x v="3"/>
    <s v="조아라"/>
    <s v="보도자료7"/>
    <s v="“미세먼지 노출되면 가축도 아파요”"/>
    <s v="강원경제신문"/>
    <d v="2019-01-18T00:00:00"/>
    <m/>
    <s v="13_인터넷포털"/>
    <n v="0.1"/>
    <d v="2019-01-21T00:00:00"/>
  </r>
  <r>
    <n v="468"/>
    <s v="8_국립축산과학원"/>
    <s v="0_본원"/>
    <x v="3"/>
    <s v="조아라"/>
    <s v="보도자료7"/>
    <s v="“미세먼지 노출되면 가축도 아파요”"/>
    <s v="서울시정일보"/>
    <d v="2019-01-18T00:00:00"/>
    <m/>
    <s v="13_인터넷포털"/>
    <n v="0.1"/>
    <d v="2019-01-21T00:00:00"/>
  </r>
  <r>
    <n v="469"/>
    <s v="8_국립축산과학원"/>
    <s v="0_본원"/>
    <x v="3"/>
    <s v="조아라"/>
    <s v="보도자료7"/>
    <s v="주말에도 미세먼지 “가축도 영향...폐렴‧결막염 등 가능성 높아져”"/>
    <s v="뉴스웍스"/>
    <d v="2019-01-19T00:00:00"/>
    <m/>
    <s v="13_인터넷포털"/>
    <n v="0.1"/>
    <d v="2019-01-21T00:00:00"/>
  </r>
  <r>
    <n v="470"/>
    <s v="8_국립축산과학원"/>
    <s v="2_축산자원개발부"/>
    <x v="8"/>
    <s v="최연호"/>
    <s v="보도자료8"/>
    <s v="체형‧우유 생산 능력 뛰어난 젖소 씨수소 4두 선발"/>
    <s v="라이브뉴스"/>
    <d v="2019-01-20T00:00:00"/>
    <m/>
    <s v="13_인터넷포털"/>
    <n v="0.1"/>
    <d v="2019-01-21T00:00:00"/>
  </r>
  <r>
    <n v="471"/>
    <s v="8_국립축산과학원"/>
    <s v="2_축산자원개발부"/>
    <x v="8"/>
    <s v="최연호"/>
    <s v="보도자료8"/>
    <s v="농진청, 젖소 보증씨수소 4마리 선발"/>
    <s v="팜인사이트"/>
    <d v="2019-01-21T00:00:00"/>
    <m/>
    <s v="13_인터넷포털"/>
    <n v="0.1"/>
    <d v="2019-01-21T00:00:00"/>
  </r>
  <r>
    <n v="472"/>
    <s v="8_국립축산과학원"/>
    <s v="0_본원"/>
    <x v="3"/>
    <s v="조아라"/>
    <s v="보도자료7"/>
    <s v="농촌진흥청, 미세먼지에 노출된 가축 관리 요령 소개"/>
    <s v="오가닉라이프"/>
    <d v="2019-01-21T00:00:00"/>
    <m/>
    <s v="13_인터넷포털"/>
    <n v="0.1"/>
    <d v="2019-01-21T00:00:00"/>
  </r>
  <r>
    <n v="473"/>
    <s v="8_국립축산과학원"/>
    <s v="2_축산자원개발부"/>
    <x v="8"/>
    <s v="최연호"/>
    <s v="보도자료8"/>
    <s v="우유 생산 능력‧체형 좋은 젖소 씨수소 4마리 선발"/>
    <s v="국토매일"/>
    <d v="2019-01-21T00:00:00"/>
    <m/>
    <s v="13_인터넷포털"/>
    <n v="0.1"/>
    <d v="2019-01-21T00:00:00"/>
  </r>
  <r>
    <n v="474"/>
    <s v="8_국립축산과학원"/>
    <s v="2_축산자원개발부"/>
    <x v="8"/>
    <s v="최연호"/>
    <s v="보도자료8"/>
    <s v="우유 생산 능력‧체형 좋은 젖소 씨수소 4마리 선발"/>
    <s v="중부뉴스통신"/>
    <d v="2019-01-21T00:00:00"/>
    <m/>
    <s v="13_인터넷포털"/>
    <n v="0.1"/>
    <d v="2019-01-21T00:00:00"/>
  </r>
  <r>
    <n v="475"/>
    <s v="8_국립축산과학원"/>
    <s v="2_축산자원개발부"/>
    <x v="8"/>
    <s v="최연호"/>
    <s v="보도자료8"/>
    <s v="우유 생산 능력‧체형 좋은 젖소 씨수소 4마리 선발"/>
    <s v="광주일등뉴스"/>
    <d v="2019-01-21T00:00:00"/>
    <m/>
    <s v="13_인터넷포털"/>
    <n v="0.1"/>
    <d v="2019-01-21T00:00:00"/>
  </r>
  <r>
    <n v="476"/>
    <s v="8_국립축산과학원"/>
    <s v="2_축산자원개발부"/>
    <x v="8"/>
    <s v="최연호"/>
    <s v="보도자료8"/>
    <s v="우유 생산 능력‧체형 좋은 젖소 씨수소 4마리 선발"/>
    <s v="강원경제신문"/>
    <d v="2019-01-21T00:00:00"/>
    <m/>
    <s v="13_인터넷포털"/>
    <n v="0.1"/>
    <d v="2019-01-21T00:00:00"/>
  </r>
  <r>
    <n v="477"/>
    <s v="8_국립축산과학원"/>
    <s v="0_본원"/>
    <x v="3"/>
    <s v="조아라"/>
    <s v="보도자료7"/>
    <s v="미세먼지로 고통받는 가축...“내부관리 필요”"/>
    <s v="농업경제신문"/>
    <d v="2019-01-21T00:00:00"/>
    <m/>
    <s v="13_인터넷포털"/>
    <n v="0.1"/>
    <d v="2019-01-21T00:00:00"/>
  </r>
  <r>
    <n v="478"/>
    <s v="8_국립축산과학원"/>
    <s v="0_본원"/>
    <x v="13"/>
    <s v="정성훈"/>
    <s v="보도자료4"/>
    <s v="축산 현장 맞춤형 상담 ‘질병 분야’ 가장 도움"/>
    <s v="메디컬투데이"/>
    <d v="2019-01-09T00:00:00"/>
    <m/>
    <s v="13_인터넷포털"/>
    <n v="0.1"/>
    <d v="2019-01-21T00:00:00"/>
  </r>
  <r>
    <n v="479"/>
    <s v="8_국립축산과학원"/>
    <s v="0_본원"/>
    <x v="13"/>
    <s v="정성훈"/>
    <s v="보도자료4"/>
    <s v="축산 현장 맞춤형 상담 ‘질병 분야’ 가장 도움 돼"/>
    <s v="KNS뉴스통신"/>
    <d v="2019-01-09T00:00:00"/>
    <m/>
    <s v="13_인터넷포털"/>
    <n v="0.1"/>
    <d v="2019-01-21T00:00:00"/>
  </r>
  <r>
    <n v="480"/>
    <s v="8_국립축산과학원"/>
    <s v="0_본원"/>
    <x v="13"/>
    <s v="정성훈"/>
    <s v="보도자료4"/>
    <s v="축산 현장 맞춤형 상담 ‘질병 분야’ 가장 도움 돼"/>
    <s v="국토매일"/>
    <d v="2019-01-10T00:00:00"/>
    <m/>
    <s v="13_인터넷포털"/>
    <n v="0.1"/>
    <d v="2019-01-21T00:00:00"/>
  </r>
  <r>
    <n v="481"/>
    <s v="8_국립축산과학원"/>
    <s v="0_본원"/>
    <x v="13"/>
    <s v="정성훈"/>
    <s v="보도자료4"/>
    <s v="축산 현장 맞춤형 상담 농가 소득과 연계한다"/>
    <s v="프레시안"/>
    <d v="2019-01-09T00:00:00"/>
    <m/>
    <s v="13_인터넷포털"/>
    <n v="0.1"/>
    <d v="2019-01-21T00:00:00"/>
  </r>
  <r>
    <n v="482"/>
    <s v="8_국립축산과학원"/>
    <s v="0_본원"/>
    <x v="13"/>
    <s v="정성훈"/>
    <s v="보도자료4"/>
    <s v="축산 현장 맞춤형 상담 ‘질병 분야’ 가장 도움 돼"/>
    <s v="한국뉴스"/>
    <d v="2019-01-10T00:00:00"/>
    <m/>
    <s v="13_인터넷포털"/>
    <n v="0.1"/>
    <d v="2019-01-21T00:00:00"/>
  </r>
  <r>
    <n v="483"/>
    <s v="8_국립축산과학원"/>
    <s v="0_본원"/>
    <x v="3"/>
    <s v="조아라"/>
    <s v="보도자료7"/>
    <s v="(싱싱농수산)미세먼지로 인한 질병으로부터 가축을 건강하게 관리하는 요령"/>
    <s v="KBS RADIO"/>
    <d v="2019-01-22T00:00:00"/>
    <m/>
    <s v="05_라디오-중앙"/>
    <n v="3"/>
    <d v="2019-01-22T00:00:00"/>
  </r>
  <r>
    <n v="484"/>
    <s v="8_국립축산과학원"/>
    <s v="2_축산자원개발부"/>
    <x v="8"/>
    <s v="박미나"/>
    <s v="보도자료6"/>
    <s v="한우 육량‧육질 향상 씨수소 13마리 뽑아"/>
    <s v="농업인신문"/>
    <d v="2019-01-21T00:00:00"/>
    <n v="6"/>
    <s v="09_농업전문지"/>
    <n v="1.5"/>
    <d v="2019-01-22T00:00:00"/>
  </r>
  <r>
    <n v="485"/>
    <s v="8_국립축산과학원"/>
    <s v="0_본원"/>
    <x v="13"/>
    <s v="정성훈"/>
    <s v="보도자료4"/>
    <s v="양돈농가 관심은 ‘모돈과 질병’"/>
    <s v="양돈타임스"/>
    <d v="2019-01-17T00:00:00"/>
    <n v="2"/>
    <s v="09_농업전문지"/>
    <n v="1.5"/>
    <d v="2019-01-22T00:00:00"/>
  </r>
  <r>
    <n v="486"/>
    <s v="8_국립축산과학원"/>
    <s v="2_축산자원개발부"/>
    <x v="8"/>
    <s v="최연호"/>
    <s v="보도자료8"/>
    <s v="농진청-젖소개량사업소, 우수 젖소 씨수소 4마리 선발"/>
    <s v="한국영농신문"/>
    <d v="2019-01-21T00:00:00"/>
    <m/>
    <s v="09_농업전문지"/>
    <n v="1.5"/>
    <d v="2019-01-22T00:00:00"/>
  </r>
  <r>
    <n v="487"/>
    <s v="8_국립축산과학원"/>
    <s v="0_본원"/>
    <x v="3"/>
    <s v="조아라"/>
    <s v="보도자료7"/>
    <s v="가축도 미세먼지에 아파요"/>
    <s v="팜&amp;마켓매거진"/>
    <d v="2019-01-22T00:00:00"/>
    <m/>
    <s v="09_농업전문지"/>
    <n v="1.5"/>
    <d v="2019-01-22T00:00:00"/>
  </r>
  <r>
    <n v="488"/>
    <s v="8_국립축산과학원"/>
    <s v="1_축산생명환경부"/>
    <x v="1"/>
    <s v="윤정희"/>
    <s v="보도자료5"/>
    <s v="바이오 이종장기용 돼지 활약 기대"/>
    <s v="농업인신문"/>
    <d v="2019-01-11T00:00:00"/>
    <m/>
    <s v="09_농업전문지"/>
    <n v="1.5"/>
    <d v="2019-01-22T00:00:00"/>
  </r>
  <r>
    <n v="489"/>
    <s v="8_국립축산과학원"/>
    <s v="2_축산자원개발부"/>
    <x v="8"/>
    <s v="최연호"/>
    <s v="보도자료8"/>
    <s v="농진청 우수 체형 젖소 보증씨수소 4마리 선발"/>
    <s v="전북중앙"/>
    <d v="2019-01-21T00:00:00"/>
    <n v="6"/>
    <s v="09_지방일간지"/>
    <n v="1.5"/>
    <d v="2019-01-22T00:00:00"/>
  </r>
  <r>
    <n v="490"/>
    <s v="8_국립축산과학원"/>
    <s v="0_본원"/>
    <x v="3"/>
    <s v="조아라"/>
    <s v="보도자료7"/>
    <s v="농진청, ‘미세먼지 노출되면 가축도 아파요’"/>
    <s v="삼남일보"/>
    <d v="2019-01-21T00:00:00"/>
    <n v="5"/>
    <s v="09_지방일간지"/>
    <n v="1.5"/>
    <d v="2019-01-22T00:00:00"/>
  </r>
  <r>
    <n v="491"/>
    <s v="8_국립축산과학원"/>
    <s v="0_본원"/>
    <x v="3"/>
    <s v="조아라"/>
    <s v="보도자료7"/>
    <s v="가축도 미세먼지 노출 시 ‘아파요’"/>
    <s v="전민일보"/>
    <d v="2019-01-21T00:00:00"/>
    <n v="5"/>
    <s v="09_지방일간지"/>
    <n v="1.5"/>
    <d v="2019-01-22T00:00:00"/>
  </r>
  <r>
    <n v="492"/>
    <s v="8_국립축산과학원"/>
    <s v="0_본원"/>
    <x v="3"/>
    <s v="조아라"/>
    <s v="보도자료7"/>
    <s v="미세먼지 노출시 가축도 질병에 걸리기 쉽다"/>
    <s v="전북타임스"/>
    <d v="2019-01-21T00:00:00"/>
    <n v="7"/>
    <s v="09_지방일간지"/>
    <n v="1.5"/>
    <d v="2019-01-22T00:00:00"/>
  </r>
  <r>
    <n v="493"/>
    <s v="8_국립축산과학원"/>
    <s v="0_본원"/>
    <x v="3"/>
    <s v="조아라"/>
    <s v="보도자료7"/>
    <s v="농진청 “미세먼지 때문에 가축도 아파요”"/>
    <s v="전북도민일보"/>
    <d v="2019-01-21T00:00:00"/>
    <n v="6"/>
    <s v="09_지방일간지"/>
    <n v="1.5"/>
    <d v="2019-01-22T00:00:00"/>
  </r>
  <r>
    <n v="494"/>
    <s v="8_국립축산과학원"/>
    <s v="1_축산생명환경부"/>
    <x v="1"/>
    <s v="윤정희"/>
    <s v="보도자료5"/>
    <s v="농촌진흥청 장기이식용 돼지 연구 활발…임상적용 목표"/>
    <s v="부산일보"/>
    <d v="2019-01-10T00:00:00"/>
    <m/>
    <s v="09_지방일간지"/>
    <n v="1.5"/>
    <d v="2019-01-22T00:00:00"/>
  </r>
  <r>
    <n v="495"/>
    <s v="8_국립축산과학원"/>
    <s v="2_축산자원개발부"/>
    <x v="0"/>
    <s v="민예진"/>
    <s v="보도자료168(2018)"/>
    <s v="돼지야, 오해해서 미안해"/>
    <s v="어린이동아"/>
    <d v="2019-01-21T00:00:00"/>
    <n v="4"/>
    <s v="10_기타전문지"/>
    <n v="1"/>
    <d v="2019-01-22T00:00:00"/>
  </r>
  <r>
    <n v="496"/>
    <s v="8_국립축산과학원"/>
    <s v="2_축산자원개발부"/>
    <x v="8"/>
    <s v="최연호"/>
    <s v="보도자료8"/>
    <s v="상위 2% 젖소 씨수소 4마리 선발"/>
    <s v="식약일보"/>
    <d v="2019-01-21T00:00:00"/>
    <m/>
    <s v="10_기타전문지"/>
    <n v="1"/>
    <d v="2019-01-22T00:00:00"/>
  </r>
  <r>
    <n v="497"/>
    <s v="8_국립축산과학원"/>
    <s v="0_본원"/>
    <x v="13"/>
    <s v="배선아"/>
    <s v="보도자료3"/>
    <s v="가축인공수정사 시험 143명 최종합격"/>
    <s v="한우신문"/>
    <d v="2019-01-15T00:00:00"/>
    <n v="7"/>
    <s v="10_기타전문지"/>
    <n v="1"/>
    <d v="2019-01-22T00:00:00"/>
  </r>
  <r>
    <n v="498"/>
    <s v="8_국립축산과학원"/>
    <s v="2_축산자원개발부"/>
    <x v="8"/>
    <s v="박미나"/>
    <s v="보도자료6"/>
    <s v="올해 한우 보증씨수소 13두 선발"/>
    <s v="한우신문"/>
    <d v="2019-01-15T00:00:00"/>
    <n v="7"/>
    <s v="10_기타전문지"/>
    <n v="1"/>
    <d v="2019-01-22T00:00:00"/>
  </r>
  <r>
    <n v="499"/>
    <s v="8_국립축산과학원"/>
    <s v="0_본원"/>
    <x v="14"/>
    <s v="한만희"/>
    <m/>
    <s v="생후 14개월령이상‧체중 260kg 이상일 때 번식적령기"/>
    <s v="한우신문"/>
    <d v="2019-01-15T00:00:00"/>
    <s v="12,13"/>
    <s v="10_기타전문지"/>
    <n v="1"/>
    <d v="2019-01-22T00:00:00"/>
  </r>
  <r>
    <n v="500"/>
    <s v="8_국립축산과학원"/>
    <s v="0_본원"/>
    <x v="13"/>
    <s v="정성훈"/>
    <s v="보도자료4"/>
    <s v="축산현장 맞춤형 종합상담…“질병분야” 가장 큰 도움"/>
    <s v="한우신문"/>
    <d v="2019-01-15T00:00:00"/>
    <n v="15"/>
    <s v="10_기타전문지"/>
    <n v="1"/>
    <d v="2019-01-22T00:00:00"/>
  </r>
  <r>
    <n v="501"/>
    <s v="8_국립축산과학원"/>
    <s v="0_본원"/>
    <x v="13"/>
    <s v="배선아"/>
    <s v="보도자료3"/>
    <s v="가축인공수정사 시험 143명 합격"/>
    <s v="낙농신문"/>
    <d v="2019-01-17T00:00:00"/>
    <n v="3"/>
    <s v="10_기타전문지"/>
    <n v="1"/>
    <d v="2019-01-22T00:00:00"/>
  </r>
  <r>
    <n v="502"/>
    <s v="8_국립축산과학원"/>
    <s v="2_축산자원개발부"/>
    <x v="12"/>
    <s v="기광석"/>
    <m/>
    <s v="비유기 유방염 치료, 신속히 이뤄져야"/>
    <s v="낙농신문"/>
    <d v="2019-01-17T00:00:00"/>
    <n v="6"/>
    <s v="10_기타전문지"/>
    <n v="1"/>
    <d v="2019-01-22T00:00:00"/>
  </r>
  <r>
    <n v="503"/>
    <s v="8_국립축산과학원"/>
    <s v="2_축산자원개발부"/>
    <x v="12"/>
    <s v="기광석"/>
    <m/>
    <s v="비타민, 세포 대사작용 필수 물질"/>
    <s v="낙농신문"/>
    <d v="2019-01-17T00:00:00"/>
    <n v="13"/>
    <s v="10_기타전문지"/>
    <n v="1"/>
    <d v="2019-01-22T00:00:00"/>
  </r>
  <r>
    <n v="504"/>
    <s v="8_국립축산과학원"/>
    <s v="2_축산자원개발부"/>
    <x v="12"/>
    <s v="기광석"/>
    <m/>
    <s v="손으로 태아 박리, 주의해야"/>
    <s v="낙농신문"/>
    <d v="2019-01-17T00:00:00"/>
    <n v="15"/>
    <s v="10_기타전문지"/>
    <n v="1"/>
    <d v="2019-01-22T00:00:00"/>
  </r>
  <r>
    <n v="505"/>
    <s v="8_국립축산과학원"/>
    <s v="1_축산생명환경부"/>
    <x v="1"/>
    <s v="윤정희"/>
    <s v="보도자료5"/>
    <s v="이종이식 연구, 이렇게 준비하면 ‘돼지’"/>
    <s v="정책브리핑"/>
    <d v="2019-01-11T00:00:00"/>
    <m/>
    <s v="12_대한민국 정책포털(korea.kr)"/>
    <n v="1"/>
    <d v="2019-01-22T00:00:00"/>
  </r>
  <r>
    <n v="506"/>
    <s v="8_국립축산과학원"/>
    <s v="2_축산자원개발부"/>
    <x v="8"/>
    <s v="최연호"/>
    <s v="보도자료8"/>
    <s v="농진청, 상위 2% ‘젖소 씨수소’ 4마리 선발"/>
    <s v="에코저널"/>
    <d v="2019-01-21T00:00:00"/>
    <m/>
    <s v="13_인터넷포털"/>
    <n v="0.1"/>
    <d v="2019-01-22T00:00:00"/>
  </r>
  <r>
    <n v="507"/>
    <s v="8_국립축산과학원"/>
    <s v="0_본원"/>
    <x v="3"/>
    <s v="조아라"/>
    <s v="보도자료7"/>
    <s v="농촌진흥청, “미세먼지 노출되면 가축도 아파요”"/>
    <s v="굿데일리"/>
    <d v="2019-01-21T00:00:00"/>
    <m/>
    <s v="13_인터넷포털"/>
    <n v="0.1"/>
    <d v="2019-01-22T00:00:00"/>
  </r>
  <r>
    <n v="508"/>
    <s v="8_국립축산과학원"/>
    <s v="0_본원"/>
    <x v="3"/>
    <s v="조아라"/>
    <s v="보도자료7"/>
    <s v="“미세먼지 노출되면 가축도 아파요”"/>
    <s v="창업일보"/>
    <d v="2019-01-21T00:00:00"/>
    <m/>
    <s v="13_인터넷포털"/>
    <n v="0.1"/>
    <d v="2019-01-22T00:00:00"/>
  </r>
  <r>
    <n v="509"/>
    <s v="8_국립축산과학원"/>
    <s v="0_본원"/>
    <x v="2"/>
    <m/>
    <m/>
    <s v="전남도, 올해 농정 화두는 ‘미래혁신현장’"/>
    <s v="전남인터넷신문"/>
    <d v="2019-01-22T00:00:00"/>
    <m/>
    <s v="13_인터넷포털"/>
    <n v="0.1"/>
    <d v="2019-01-22T00:00:00"/>
  </r>
  <r>
    <n v="510"/>
    <s v="8_국립축산과학원"/>
    <s v="0_본원"/>
    <x v="2"/>
    <m/>
    <m/>
    <s v="전남도, 올해 농정 화두는 ‘미래혁신현장’"/>
    <s v="뉴스에이"/>
    <d v="2019-01-22T00:00:00"/>
    <m/>
    <s v="13_인터넷포털"/>
    <n v="0.1"/>
    <d v="2019-01-22T00:00:00"/>
  </r>
  <r>
    <n v="511"/>
    <s v="8_국립축산과학원"/>
    <s v="0_본원"/>
    <x v="2"/>
    <m/>
    <m/>
    <s v="전남도, 올해 농정화두는 ‘미래-혁신-현장’"/>
    <s v="톡톡뉴스"/>
    <d v="2019-01-22T00:00:00"/>
    <m/>
    <s v="13_인터넷포털"/>
    <n v="0.1"/>
    <d v="2019-01-22T00:00:00"/>
  </r>
  <r>
    <n v="512"/>
    <s v="8_국립축산과학원"/>
    <s v="0_본원"/>
    <x v="2"/>
    <m/>
    <m/>
    <s v="전남도, 올해 농정 화두는 ‘미래-혁신-현장’"/>
    <s v="위키트리"/>
    <d v="2019-01-22T00:00:00"/>
    <m/>
    <s v="13_인터넷포털"/>
    <n v="0.1"/>
    <d v="2019-01-22T00:00:00"/>
  </r>
  <r>
    <n v="513"/>
    <s v="8_국립축산과학원"/>
    <s v="0_본원"/>
    <x v="2"/>
    <m/>
    <m/>
    <s v="전남도, 올해 농정 화두는 ‘미래‧혁신‧현장’"/>
    <s v="프레시안"/>
    <d v="2019-01-22T00:00:00"/>
    <m/>
    <s v="13_인터넷포털"/>
    <n v="0.1"/>
    <d v="2019-01-22T00:00:00"/>
  </r>
  <r>
    <n v="514"/>
    <s v="8_국립축산과학원"/>
    <s v="1_축산생명환경부"/>
    <x v="1"/>
    <s v="윤정희"/>
    <s v="보도자료5"/>
    <s v="농진청, 이종장기용으로 개발한 돼지 소개"/>
    <s v="프레시안"/>
    <d v="2019-01-10T00:00:00"/>
    <m/>
    <s v="13_인터넷포털"/>
    <n v="0.1"/>
    <d v="2019-01-22T00:00:00"/>
  </r>
  <r>
    <n v="515"/>
    <s v="8_국립축산과학원"/>
    <s v="1_축산생명환경부"/>
    <x v="1"/>
    <s v="윤정희"/>
    <s v="보도자료5"/>
    <s v="기해년, 돼지‧돼지고기에 대한 모든 것 ③의료용 돼지"/>
    <s v="비즈월드"/>
    <d v="2019-01-15T00:00:00"/>
    <m/>
    <s v="13_인터넷포털"/>
    <n v="0.1"/>
    <d v="2019-01-22T00:00:00"/>
  </r>
  <r>
    <n v="516"/>
    <s v="8_국립축산과학원"/>
    <s v="1_축산생명환경부"/>
    <x v="1"/>
    <s v="윤정희"/>
    <s v="보도자료5"/>
    <s v="이종이식 연구, 이렇게 준비하면 ‘돼지’"/>
    <s v="우리문화신문"/>
    <d v="2019-01-10T00:00:00"/>
    <m/>
    <s v="13_인터넷포털"/>
    <n v="0.1"/>
    <d v="2019-01-22T00:00:00"/>
  </r>
  <r>
    <n v="517"/>
    <s v="8_국립축산과학원"/>
    <s v="0_본원"/>
    <x v="2"/>
    <m/>
    <m/>
    <s v="전남도, 올해 농정 화두는 ‘미래.혁신.현장’"/>
    <s v="남도방송"/>
    <d v="2019-01-22T00:00:00"/>
    <m/>
    <s v="13_인터넷포털"/>
    <n v="0.1"/>
    <d v="2019-01-22T00:00:00"/>
  </r>
  <r>
    <n v="518"/>
    <s v="8_국립축산과학원"/>
    <s v="0_본원"/>
    <x v="2"/>
    <s v="양창범"/>
    <s v="기고"/>
    <s v="[기고] 양창범 원장-담근먹이, 우리 풀사료의 가치"/>
    <s v="이투데이"/>
    <d v="2019-01-23T00:00:00"/>
    <n v="22"/>
    <s v="15_중앙일간지"/>
    <n v="15"/>
    <d v="2019-01-23T00:00:00"/>
  </r>
  <r>
    <n v="519"/>
    <s v="8_국립축산과학원"/>
    <s v="2_축산자원개발부"/>
    <x v="0"/>
    <s v="문홍길"/>
    <s v="기고"/>
    <s v="[기고] 문홍길 과장-축산현장 애로기술 해결 위한 돼지 사육[100문 100답] Q90"/>
    <s v="축산신문"/>
    <d v="2019-01-22T00:00:00"/>
    <n v="15"/>
    <s v="17_농업전문지"/>
    <n v="8"/>
    <d v="2019-01-23T00:00:00"/>
  </r>
  <r>
    <n v="520"/>
    <s v="8_국립축산과학원"/>
    <s v="0_본원"/>
    <x v="14"/>
    <s v="권응기"/>
    <m/>
    <s v="22일 익산서 한우산업 안정화 심포지엄"/>
    <s v="축산신문"/>
    <d v="2019-01-22T00:00:00"/>
    <n v="4"/>
    <s v="09_농업전문지"/>
    <n v="1.5"/>
    <d v="2019-01-23T00:00:00"/>
  </r>
  <r>
    <n v="521"/>
    <s v="8_국립축산과학원"/>
    <s v="0_본원"/>
    <x v="3"/>
    <s v="조아라"/>
    <s v="보도자료7"/>
    <s v="소도 미세먼지에 취약...호흡기 질병 유의해야"/>
    <s v="농수축산신문"/>
    <d v="2019-01-22T00:00:00"/>
    <m/>
    <s v="09_농업전문지"/>
    <n v="1.5"/>
    <d v="2019-01-23T00:00:00"/>
  </r>
  <r>
    <n v="522"/>
    <s v="8_국립축산과학원"/>
    <s v="2_축산자원개발부"/>
    <x v="8"/>
    <s v="최연호"/>
    <s v="보도자료8"/>
    <s v="유전적 우수성 입증된 젖소 씨수소 4마리 선발"/>
    <s v="농수축산신문"/>
    <d v="2019-01-22T00:00:00"/>
    <m/>
    <s v="09_농업전문지"/>
    <n v="1.5"/>
    <d v="2019-01-23T00:00:00"/>
  </r>
  <r>
    <n v="523"/>
    <s v="8_국립축산과학원"/>
    <s v="0_본원"/>
    <x v="3"/>
    <s v="조아라"/>
    <s v="보도자료7"/>
    <s v="미세먼지에 농업인-농산물-가축 “못살겠다”"/>
    <s v="전북중앙"/>
    <d v="2019-01-22T00:00:00"/>
    <n v="4"/>
    <s v="09_지방일간지"/>
    <n v="1.5"/>
    <d v="2019-01-23T00:00:00"/>
  </r>
  <r>
    <n v="524"/>
    <s v="8_국립축산과학원"/>
    <s v="0_본원"/>
    <x v="2"/>
    <m/>
    <m/>
    <s v="전남도, 올해 농정 화두 ‘미래·혁신·현장’"/>
    <s v="도민일보"/>
    <d v="2019-01-22T00:00:00"/>
    <m/>
    <s v="09_지방일간지"/>
    <n v="1.5"/>
    <d v="2019-01-23T00:00:00"/>
  </r>
  <r>
    <n v="525"/>
    <s v="8_국립축산과학원"/>
    <s v="0_본원"/>
    <x v="2"/>
    <m/>
    <m/>
    <s v="올해 농정 화두는 ‘미래·혁신·현장’"/>
    <s v="광주타임즈"/>
    <d v="2019-01-22T00:00:00"/>
    <m/>
    <s v="09_지방일간지"/>
    <n v="1.5"/>
    <d v="2019-01-23T00:00:00"/>
  </r>
  <r>
    <n v="526"/>
    <s v="8_국립축산과학원"/>
    <s v="1_축산생명환경부"/>
    <x v="5"/>
    <s v="함준상"/>
    <m/>
    <s v="프로바이오틱스 유산균, 음식 알레르기 예방에 도움"/>
    <s v="일간리더스경제신문"/>
    <d v="2019-01-22T00:00:00"/>
    <m/>
    <s v="09_지방일간지"/>
    <n v="1.5"/>
    <d v="2019-01-23T00:00:00"/>
  </r>
  <r>
    <n v="527"/>
    <s v="8_국립축산과학원"/>
    <s v="0_본원"/>
    <x v="2"/>
    <m/>
    <m/>
    <s v="‘미래·혁신·현장’…“농업 활력시대 활짝”"/>
    <s v="남도일보"/>
    <d v="2019-01-22T00:00:00"/>
    <m/>
    <s v="09_지방일간지"/>
    <n v="1.5"/>
    <d v="2019-01-23T00:00:00"/>
  </r>
  <r>
    <n v="528"/>
    <s v="8_국립축산과학원"/>
    <s v="0_본원"/>
    <x v="2"/>
    <m/>
    <m/>
    <s v="전남도, 올해 농정 화두는 ‘미래혁신현장’"/>
    <s v="내외일보"/>
    <d v="2019-01-23T00:00:00"/>
    <m/>
    <s v="09_지방일간지"/>
    <n v="1.5"/>
    <d v="2019-01-23T00:00:00"/>
  </r>
  <r>
    <n v="529"/>
    <s v="8_국립축산과학원"/>
    <s v="2_축산자원개발부"/>
    <x v="0"/>
    <s v="조은석"/>
    <m/>
    <s v="황금돼지의 기운이 모두에게~!"/>
    <s v="농축산기계"/>
    <d v="2019-01-10T00:00:00"/>
    <n v="1"/>
    <s v="10_기타전문지"/>
    <n v="1"/>
    <d v="2019-01-23T00:00:00"/>
  </r>
  <r>
    <n v="530"/>
    <s v="8_국립축산과학원"/>
    <s v="0_본원"/>
    <x v="2"/>
    <s v="양창범"/>
    <m/>
    <s v="“국민 공감하는 미래축산이 목표”"/>
    <s v="농축산기계"/>
    <d v="2019-01-10T00:00:00"/>
    <n v="16"/>
    <s v="10_기타전문지"/>
    <n v="1"/>
    <d v="2019-01-23T00:00:00"/>
  </r>
  <r>
    <n v="531"/>
    <s v="8_국립축산과학원"/>
    <s v="2_축산자원개발부"/>
    <x v="0"/>
    <s v="문홍길"/>
    <m/>
    <s v="(돼지육종번식연구실) “맛과 생산성 갖춘 ‘우리흑돈’ 개발”"/>
    <s v="농축산기계"/>
    <d v="2019-01-10T00:00:00"/>
    <n v="13"/>
    <s v="10_기타전문지"/>
    <n v="1"/>
    <d v="2019-01-23T00:00:00"/>
  </r>
  <r>
    <n v="532"/>
    <s v="8_국립축산과학원"/>
    <s v="0_본원"/>
    <x v="2"/>
    <m/>
    <m/>
    <s v="전남도, 올해 농정 화두는 ‘미래.혁신.현장’"/>
    <s v="시민의소리"/>
    <d v="2019-01-22T00:00:00"/>
    <m/>
    <s v="11_기타(지역주간지)"/>
    <n v="0.5"/>
    <d v="2019-01-23T00:00:00"/>
  </r>
  <r>
    <n v="533"/>
    <s v="8_국립축산과학원"/>
    <s v="0_본원"/>
    <x v="2"/>
    <m/>
    <m/>
    <s v="전남도, 올해 농정 화두는 ‘미래·혁신·현장’"/>
    <s v="광주리포트"/>
    <d v="2019-01-22T00:00:00"/>
    <m/>
    <s v="13_인터넷포털"/>
    <n v="0.1"/>
    <d v="2019-01-23T00:00:00"/>
  </r>
  <r>
    <n v="534"/>
    <s v="8_국립축산과학원"/>
    <s v="0_본원"/>
    <x v="2"/>
    <m/>
    <m/>
    <s v="전남도, 올해 농정 화두는 ‘미래·혁신·현장’"/>
    <s v="데일리모닝"/>
    <d v="2019-01-22T00:00:00"/>
    <m/>
    <s v="13_인터넷포털"/>
    <n v="0.1"/>
    <d v="2019-01-23T00:00:00"/>
  </r>
  <r>
    <n v="535"/>
    <s v="8_국립축산과학원"/>
    <s v="0_본원"/>
    <x v="2"/>
    <m/>
    <m/>
    <s v="전남도, 올해 농정 화두는 ‘미래.혁신.현장’"/>
    <s v="호남타임즈"/>
    <d v="2019-01-22T00:00:00"/>
    <m/>
    <s v="13_인터넷포털"/>
    <n v="0.1"/>
    <d v="2019-01-23T00:00:00"/>
  </r>
  <r>
    <n v="536"/>
    <s v="8_국립축산과학원"/>
    <s v="0_본원"/>
    <x v="2"/>
    <m/>
    <m/>
    <s v="전남도, 올해 농정 화두는 ‘미래·혁신·현장’"/>
    <s v="NSP통신"/>
    <d v="2019-01-22T00:00:00"/>
    <m/>
    <s v="13_인터넷포털"/>
    <n v="0.1"/>
    <d v="2019-01-23T00:00:00"/>
  </r>
  <r>
    <n v="537"/>
    <s v="8_국립축산과학원"/>
    <s v="0_본원"/>
    <x v="2"/>
    <m/>
    <m/>
    <s v="전남도, 올해 농정 화두는 ‘미래·혁신·현장’"/>
    <s v="굿데일리"/>
    <d v="2019-01-22T00:00:00"/>
    <m/>
    <s v="13_인터넷포털"/>
    <n v="0.1"/>
    <d v="2019-01-23T00:00:00"/>
  </r>
  <r>
    <n v="538"/>
    <s v="8_국립축산과학원"/>
    <s v="0_본원"/>
    <x v="2"/>
    <m/>
    <m/>
    <s v="전남도, 올해 농정 화두는 ‘미래.혁신.현장’"/>
    <s v="곡성투데이"/>
    <d v="2019-01-22T00:00:00"/>
    <m/>
    <s v="13_인터넷포털"/>
    <n v="0.1"/>
    <d v="2019-01-23T00:00:00"/>
  </r>
  <r>
    <n v="539"/>
    <s v="8_국립축산과학원"/>
    <s v="0_본원"/>
    <x v="2"/>
    <m/>
    <m/>
    <s v="전남도, 올해 농정 화두는 ‘미래‧혁신‧현장’"/>
    <s v="창업일보"/>
    <d v="2019-01-22T00:00:00"/>
    <m/>
    <s v="13_인터넷포털"/>
    <n v="0.1"/>
    <d v="2019-01-23T00:00:00"/>
  </r>
  <r>
    <n v="540"/>
    <s v="8_국립축산과학원"/>
    <s v="0_본원"/>
    <x v="4"/>
    <s v="강보석"/>
    <s v="보도자료9"/>
    <s v="토종닭 4품종, FAO 가축다양성정보시스템 등재"/>
    <s v="라이브뉴스"/>
    <d v="2019-01-23T00:00:00"/>
    <m/>
    <s v="13_인터넷포털"/>
    <n v="0.1"/>
    <d v="2019-01-23T00:00:00"/>
  </r>
  <r>
    <n v="541"/>
    <s v="8_국립축산과학원"/>
    <s v="0_본원"/>
    <x v="15"/>
    <s v="노희종"/>
    <s v="보도자료10"/>
    <s v="토종닭 4품종, FAO 가축다양성정보시스템 등재"/>
    <s v="라이브뉴스"/>
    <d v="2019-01-23T00:00:00"/>
    <m/>
    <s v="13_인터넷포털"/>
    <n v="0.1"/>
    <d v="2019-01-23T00:00:00"/>
  </r>
  <r>
    <n v="542"/>
    <s v="8_국립축산과학원"/>
    <s v="0_본원"/>
    <x v="3"/>
    <s v="조아라"/>
    <s v="보도자료7"/>
    <s v="농촌진흥청, 미세먼지 대비 가축 관리 당부(9시 뉴스)"/>
    <s v="KBS전주"/>
    <d v="2019-01-22T00:00:00"/>
    <m/>
    <s v="02_TV-지방"/>
    <n v="4"/>
    <d v="2019-01-24T00:00:00"/>
  </r>
  <r>
    <n v="543"/>
    <s v="8_국립축산과학원"/>
    <s v="0_본원"/>
    <x v="4"/>
    <s v="강보석"/>
    <s v="보도자료9"/>
    <s v="국내 토종닭 4품종, 국제 가축다양성정보시스템 등재"/>
    <s v="연합뉴스"/>
    <d v="2019-01-23T00:00:00"/>
    <m/>
    <s v="07_중앙일간지"/>
    <n v="5"/>
    <d v="2019-01-24T00:00:00"/>
  </r>
  <r>
    <n v="544"/>
    <s v="8_국립축산과학원"/>
    <s v="0_본원"/>
    <x v="15"/>
    <s v="노희종"/>
    <s v="보도자료10"/>
    <s v="국내 토종닭 4품종, 국제 가축다양성정보시스템 등재"/>
    <s v="연합뉴스"/>
    <d v="2019-01-23T00:00:00"/>
    <m/>
    <s v="07_중앙일간지"/>
    <n v="5"/>
    <d v="2019-01-24T00:00:00"/>
  </r>
  <r>
    <n v="545"/>
    <s v="8_국립축산과학원"/>
    <s v="2_축산자원개발부"/>
    <x v="8"/>
    <s v="박미나"/>
    <s v="보도자료6"/>
    <s v="한우 육량 높일 수 있는 ‘씨수소 13마리 선발’"/>
    <s v="농축환경신문"/>
    <d v="2019-01-17T00:00:00"/>
    <n v="5"/>
    <s v="09_농업전문지"/>
    <n v="1.5"/>
    <d v="2019-01-24T00:00:00"/>
  </r>
  <r>
    <n v="546"/>
    <s v="8_국립축산과학원"/>
    <s v="1_축산생명환경부"/>
    <x v="1"/>
    <s v="윤정희"/>
    <s v="보도자료5"/>
    <s v="이종이식 연구 “이렇게 준비하면 ‘돼지’”"/>
    <s v="농축환경신문"/>
    <d v="2019-01-17T00:00:00"/>
    <n v="5"/>
    <s v="09_농업전문지"/>
    <n v="1.5"/>
    <d v="2019-01-24T00:00:00"/>
  </r>
  <r>
    <n v="547"/>
    <s v="8_국립축산과학원"/>
    <s v="0_본원"/>
    <x v="13"/>
    <s v="정성훈"/>
    <s v="보도자료4"/>
    <s v="축산현장 맞춤형 상담 ‘질병 분야’ 가장 도움"/>
    <s v="농축환경신문"/>
    <d v="2019-01-17T00:00:00"/>
    <n v="4"/>
    <s v="09_농업전문지"/>
    <n v="1.5"/>
    <d v="2019-01-24T00:00:00"/>
  </r>
  <r>
    <n v="548"/>
    <s v="8_국립축산과학원"/>
    <s v="2_축산자원개발부"/>
    <x v="8"/>
    <s v="최연호"/>
    <s v="보도자료8"/>
    <s v="한국형 젖소 씨수소, 유전능력 인정받았다"/>
    <s v="한국농정신문"/>
    <d v="2019-01-21T00:00:00"/>
    <n v="8"/>
    <s v="09_농업전문지"/>
    <n v="1.5"/>
    <d v="2019-01-24T00:00:00"/>
  </r>
  <r>
    <n v="549"/>
    <s v="8_국립축산과학원"/>
    <s v="0_본원"/>
    <x v="2"/>
    <m/>
    <m/>
    <s v="전남 저비용 고소득 생명농업 육성"/>
    <s v="광남일보"/>
    <d v="2019-01-23T00:00:00"/>
    <n v="4"/>
    <s v="09_지방일간지"/>
    <n v="1.5"/>
    <d v="2019-01-24T00:00:00"/>
  </r>
  <r>
    <n v="550"/>
    <s v="8_국립축산과학원"/>
    <s v="0_본원"/>
    <x v="2"/>
    <m/>
    <m/>
    <s v="올해 농정 화두는 ‘미래·혁신·현장’"/>
    <s v="시대일보"/>
    <d v="2019-01-23T00:00:00"/>
    <n v="11"/>
    <s v="09_지방일간지"/>
    <n v="1.5"/>
    <d v="2019-01-24T00:00:00"/>
  </r>
  <r>
    <n v="551"/>
    <s v="8_국립축산과학원"/>
    <s v="0_본원"/>
    <x v="2"/>
    <m/>
    <m/>
    <s v="전남도, 올해 농정 화두는 ‘미래·혁신·현장’"/>
    <s v="남도투데이"/>
    <d v="2019-01-23T00:00:00"/>
    <n v="4"/>
    <s v="09_지방일간지"/>
    <n v="1.5"/>
    <d v="2019-01-24T00:00:00"/>
  </r>
  <r>
    <n v="552"/>
    <s v="8_국립축산과학원"/>
    <s v="2_축산자원개발부"/>
    <x v="8"/>
    <s v="박미나"/>
    <s v="보도자료6"/>
    <s v="한우 육량·육질 높일 수 있는 씨수소 13마리 뽑아"/>
    <s v="농식품PLUS신문"/>
    <d v="2019-01-15T00:00:00"/>
    <n v="18"/>
    <s v="10_기타전문지"/>
    <n v="1"/>
    <d v="2019-01-24T00:00:00"/>
  </r>
  <r>
    <n v="553"/>
    <s v="8_국립축산과학원"/>
    <s v="2_축산자원개발부"/>
    <x v="0"/>
    <s v="김두완"/>
    <s v="보도자료1"/>
    <s v="올해도 ‘우리 돼지’들의 활약 기대"/>
    <s v="농식품PLUS신문"/>
    <d v="2019-01-15T00:00:00"/>
    <n v="18"/>
    <s v="10_기타전문지"/>
    <n v="1"/>
    <d v="2019-01-24T00:00:00"/>
  </r>
  <r>
    <n v="554"/>
    <s v="8_국립축산과학원"/>
    <s v="0_본원"/>
    <x v="10"/>
    <s v="양병철"/>
    <s v="보도자료2"/>
    <s v="올해도 ‘우리 돼지’들의 활약 기대"/>
    <s v="농식품PLUS신문"/>
    <d v="2019-01-15T00:00:00"/>
    <n v="18"/>
    <s v="10_기타전문지"/>
    <n v="1"/>
    <d v="2019-01-24T00:00:00"/>
  </r>
  <r>
    <n v="555"/>
    <s v="8_국립축산과학원"/>
    <s v="0_본원"/>
    <x v="4"/>
    <s v="강보석"/>
    <s v="보도자료9"/>
    <s v="농촌진흥청, 토종닭 4품종 가축다양성정보시스템 등재"/>
    <s v="YTN"/>
    <d v="2019-01-24T00:00:00"/>
    <m/>
    <s v="02_TV-케이블중앙"/>
    <n v="4"/>
    <d v="2019-01-25T00:00:00"/>
  </r>
  <r>
    <n v="556"/>
    <s v="8_국립축산과학원"/>
    <s v="0_본원"/>
    <x v="15"/>
    <s v="노희종"/>
    <s v="보도자료10"/>
    <s v="농촌진흥청, 토종닭 4품종 가축다양성정보시스템 등재"/>
    <s v="YTN"/>
    <d v="2019-01-24T00:00:00"/>
    <m/>
    <s v="02_TV-케이블중앙"/>
    <n v="4"/>
    <d v="2019-01-25T00:00:00"/>
  </r>
  <r>
    <n v="557"/>
    <s v="8_국립축산과학원"/>
    <s v="1_축산생명환경부"/>
    <x v="1"/>
    <s v="오건봉"/>
    <m/>
    <s v="기해년 돼지이야기(전북의 발견)"/>
    <s v="JTV"/>
    <d v="2019-01-24T00:00:00"/>
    <m/>
    <s v="02_TV-지방"/>
    <n v="4"/>
    <d v="2019-01-25T00:00:00"/>
  </r>
  <r>
    <n v="558"/>
    <s v="8_국립축산과학원"/>
    <s v="2_축산자원개발부"/>
    <x v="0"/>
    <s v="민예진"/>
    <s v="보도자료168(2018)"/>
    <s v="기해년 돼지이야기(전북의 발견)"/>
    <s v="JTV"/>
    <d v="2019-01-24T00:00:00"/>
    <m/>
    <s v="02_TV-지방"/>
    <n v="4"/>
    <d v="2019-01-25T00:00:00"/>
  </r>
  <r>
    <n v="559"/>
    <s v="8_국립축산과학원"/>
    <s v="2_축산자원개발부"/>
    <x v="6"/>
    <s v="정종성"/>
    <s v="보도자료11"/>
    <s v="겨울사료작물, 자람 상태 좋지만 봄 대비 관리해야"/>
    <s v="환경일보"/>
    <d v="2019-01-24T00:00:00"/>
    <m/>
    <s v="08_기타일간지"/>
    <n v="2"/>
    <d v="2019-01-25T00:00:00"/>
  </r>
  <r>
    <n v="560"/>
    <s v="8_국립축산과학원"/>
    <s v="1_축산생명환경부"/>
    <x v="7"/>
    <s v="백열창"/>
    <s v="보도자료12"/>
    <s v="“사료 영양성분, 농사로에서 확인하세요”"/>
    <s v="환경일보"/>
    <d v="2019-01-24T00:00:00"/>
    <m/>
    <s v="08_기타일간지"/>
    <n v="2"/>
    <d v="2019-01-25T00:00:00"/>
  </r>
  <r>
    <n v="561"/>
    <s v="8_국립축산과학원"/>
    <s v="0_본원"/>
    <x v="14"/>
    <s v="권응기"/>
    <m/>
    <s v="한우 사육두수 300만 시대...‘한우생산·경영안정제’ 뜨거운 도입 여론"/>
    <s v="농축유통신문"/>
    <d v="2019-01-23T00:00:00"/>
    <m/>
    <s v="09_농업전문지"/>
    <n v="1.5"/>
    <d v="2019-01-25T00:00:00"/>
  </r>
  <r>
    <n v="562"/>
    <s v="8_국립축산과학원"/>
    <s v="2_축산자원개발부"/>
    <x v="6"/>
    <s v="정종성"/>
    <s v="보도자료11"/>
    <s v="겨울사료작물, 자람 상태 좋지만 봄 대비 관리해야"/>
    <s v="한국농업신문"/>
    <d v="2019-01-24T00:00:00"/>
    <m/>
    <s v="09_농업전문지"/>
    <n v="1.5"/>
    <d v="2019-01-25T00:00:00"/>
  </r>
  <r>
    <n v="563"/>
    <s v="8_국립축산과학원"/>
    <s v="0_본원"/>
    <x v="3"/>
    <s v="조아라"/>
    <s v="보도자료7"/>
    <s v="미세먼지에 가축들도 곤욕"/>
    <s v="한국영농신문"/>
    <d v="2019-01-24T00:00:00"/>
    <m/>
    <s v="09_농업전문지"/>
    <n v="1.5"/>
    <d v="2019-01-25T00:00:00"/>
  </r>
  <r>
    <n v="564"/>
    <s v="8_국립축산과학원"/>
    <s v="1_축산생명환경부"/>
    <x v="7"/>
    <s v="백열창"/>
    <s v="보도자료12"/>
    <s v="사료 영양성분, 농사로에서 확인하세요~"/>
    <s v="농촌여성신문"/>
    <d v="2019-01-25T00:00:00"/>
    <m/>
    <s v="09_농업전문지"/>
    <n v="1.5"/>
    <d v="2019-01-25T00:00:00"/>
  </r>
  <r>
    <n v="565"/>
    <s v="8_국립축산과학원"/>
    <s v="2_축산자원개발부"/>
    <x v="8"/>
    <s v="박미나"/>
    <m/>
    <s v="“한우산업 성장·농가 소득향상의 중심은 개량이죠”"/>
    <s v="농수축산신문"/>
    <d v="2019-01-25T00:00:00"/>
    <m/>
    <s v="09_농업전문지"/>
    <n v="1.5"/>
    <d v="2019-01-25T00:00:00"/>
  </r>
  <r>
    <n v="566"/>
    <s v="8_국립축산과학원"/>
    <s v="0_본원"/>
    <x v="4"/>
    <s v="강보석"/>
    <s v="보도자료9"/>
    <s v="토종닭 4품종, 국제가축정보시스템 등재"/>
    <s v="전민일보"/>
    <d v="2019-01-24T00:00:00"/>
    <n v="5"/>
    <s v="09_지방일간지"/>
    <n v="1.5"/>
    <d v="2019-01-25T00:00:00"/>
  </r>
  <r>
    <n v="567"/>
    <s v="8_국립축산과학원"/>
    <s v="0_본원"/>
    <x v="15"/>
    <s v="노희종"/>
    <s v="보도자료10"/>
    <s v="토종닭 4품종, 국제가축정보시스템 등재"/>
    <s v="전민일보"/>
    <d v="2019-01-24T00:00:00"/>
    <n v="5"/>
    <s v="09_지방일간지"/>
    <n v="1.5"/>
    <d v="2019-01-25T00:00:00"/>
  </r>
  <r>
    <n v="568"/>
    <s v="8_국립축산과학원"/>
    <s v="0_본원"/>
    <x v="4"/>
    <s v="강보석"/>
    <s v="보도자료9"/>
    <s v="토종닭 4품종, 가축다양성정보시스템에 이름 올려"/>
    <s v="전북타임스"/>
    <d v="2019-01-24T00:00:00"/>
    <n v="7"/>
    <s v="09_지방일간지"/>
    <n v="1.5"/>
    <d v="2019-01-25T00:00:00"/>
  </r>
  <r>
    <n v="569"/>
    <s v="8_국립축산과학원"/>
    <s v="0_본원"/>
    <x v="15"/>
    <s v="노희종"/>
    <s v="보도자료10"/>
    <s v="토종닭 4품종, 가축다양성정보시스템에 이름 올려"/>
    <s v="전북타임스"/>
    <d v="2019-01-24T00:00:00"/>
    <n v="7"/>
    <s v="09_지방일간지"/>
    <n v="1.5"/>
    <d v="2019-01-25T00:00:00"/>
  </r>
  <r>
    <n v="570"/>
    <s v="8_국립축산과학원"/>
    <s v="0_본원"/>
    <x v="4"/>
    <s v="강보석"/>
    <s v="보도자료9"/>
    <s v="토종닭 4품종 DAD-IS 등재…종자산업 탄력"/>
    <s v="새만금일보"/>
    <d v="2019-01-24T00:00:00"/>
    <n v="6"/>
    <s v="09_지방일간지"/>
    <n v="1.5"/>
    <d v="2019-01-25T00:00:00"/>
  </r>
  <r>
    <n v="571"/>
    <s v="8_국립축산과학원"/>
    <s v="0_본원"/>
    <x v="15"/>
    <s v="노희종"/>
    <s v="보도자료10"/>
    <s v="토종닭 4품종 DAD-IS 등재…종자산업 탄력"/>
    <s v="새만금일보"/>
    <d v="2019-01-24T00:00:00"/>
    <n v="6"/>
    <s v="09_지방일간지"/>
    <n v="1.5"/>
    <d v="2019-01-25T00:00:00"/>
  </r>
  <r>
    <n v="572"/>
    <s v="8_국립축산과학원"/>
    <s v="0_본원"/>
    <x v="4"/>
    <s v="강보석"/>
    <s v="보도자료9"/>
    <s v="농진청 토종닭 4품종 DAD-IS 등재 유전자원 풀 넓혀"/>
    <s v="전북중앙"/>
    <d v="2019-01-24T00:00:00"/>
    <n v="6"/>
    <s v="09_지방일간지"/>
    <n v="1.5"/>
    <d v="2019-01-25T00:00:00"/>
  </r>
  <r>
    <n v="573"/>
    <s v="8_국립축산과학원"/>
    <s v="0_본원"/>
    <x v="15"/>
    <s v="노희종"/>
    <s v="보도자료10"/>
    <s v="농진청 토종닭 4품종 DAD-IS 등재 유전자원 풀 넓혀"/>
    <s v="전북중앙"/>
    <d v="2019-01-24T00:00:00"/>
    <n v="6"/>
    <s v="09_지방일간지"/>
    <n v="1.5"/>
    <d v="2019-01-25T00:00:00"/>
  </r>
  <r>
    <n v="574"/>
    <s v="8_국립축산과학원"/>
    <s v="0_본원"/>
    <x v="4"/>
    <s v="강보석"/>
    <s v="보도자료9"/>
    <s v="토종닭 4개 품종, 국제시스템에 등록"/>
    <s v="식약일보"/>
    <d v="2019-01-23T00:00:00"/>
    <m/>
    <s v="10_기타전문지"/>
    <n v="1"/>
    <d v="2019-01-25T00:00:00"/>
  </r>
  <r>
    <n v="575"/>
    <s v="8_국립축산과학원"/>
    <s v="0_본원"/>
    <x v="15"/>
    <s v="노희종"/>
    <s v="보도자료10"/>
    <s v="토종닭 4개 품종, 국제시스템에 등록"/>
    <s v="식약일보"/>
    <d v="2019-01-23T00:00:00"/>
    <m/>
    <s v="10_기타전문지"/>
    <n v="1"/>
    <d v="2019-01-25T00:00:00"/>
  </r>
  <r>
    <n v="576"/>
    <s v="8_국립축산과학원"/>
    <s v="2_축산자원개발부"/>
    <x v="6"/>
    <s v="정종성"/>
    <s v="보도자료11"/>
    <s v="겨울사료작물, 자람상태 좋지만 봄 대비 관리철저"/>
    <s v="식약일보"/>
    <d v="2019-01-24T00:00:00"/>
    <m/>
    <s v="10_기타전문지"/>
    <n v="1"/>
    <d v="2019-01-25T00:00:00"/>
  </r>
  <r>
    <n v="577"/>
    <s v="8_국립축산과학원"/>
    <s v="1_축산생명환경부"/>
    <x v="7"/>
    <s v="백열창"/>
    <s v="보도자료12"/>
    <s v="농사로, 한국표준사료성분표 갱신"/>
    <s v="식약일보"/>
    <d v="2019-01-24T00:00:00"/>
    <m/>
    <s v="10_기타전문지"/>
    <n v="1"/>
    <d v="2019-01-25T00:00:00"/>
  </r>
  <r>
    <n v="578"/>
    <s v="8_국립축산과학원"/>
    <s v="0_본원"/>
    <x v="2"/>
    <m/>
    <m/>
    <s v="전남도 올해 농정 마스터플랜 나왔다"/>
    <s v="무안신문"/>
    <d v="2019-01-24T00:00:00"/>
    <m/>
    <s v="11_기타(지역주간지)"/>
    <n v="0.5"/>
    <d v="2019-01-25T00:00:00"/>
  </r>
  <r>
    <n v="579"/>
    <s v="8_국립축산과학원"/>
    <s v="0_본원"/>
    <x v="4"/>
    <s v="강보석"/>
    <s v="보도자료9"/>
    <s v="우리 토종닭 4품종, 국제 시스템에 등재"/>
    <s v="데일리안"/>
    <d v="2019-01-23T00:00:00"/>
    <m/>
    <s v="13_인터넷포털"/>
    <n v="0.1"/>
    <d v="2019-01-25T00:00:00"/>
  </r>
  <r>
    <n v="580"/>
    <s v="8_국립축산과학원"/>
    <s v="0_본원"/>
    <x v="15"/>
    <s v="노희종"/>
    <s v="보도자료10"/>
    <s v="우리 토종닭 4품종, 국제 시스템에 등재"/>
    <s v="데일리안"/>
    <d v="2019-01-23T00:00:00"/>
    <m/>
    <s v="13_인터넷포털"/>
    <n v="0.1"/>
    <d v="2019-01-25T00:00:00"/>
  </r>
  <r>
    <n v="581"/>
    <s v="8_국립축산과학원"/>
    <s v="0_본원"/>
    <x v="4"/>
    <s v="강보석"/>
    <s v="보도자료9"/>
    <s v="우리나라 토종닭 4품종, 국제 시스템에 이름 올려"/>
    <s v="에코저널"/>
    <d v="2019-01-24T00:00:00"/>
    <m/>
    <s v="13_인터넷포털"/>
    <n v="0.1"/>
    <d v="2019-01-25T00:00:00"/>
  </r>
  <r>
    <n v="582"/>
    <s v="8_국립축산과학원"/>
    <s v="0_본원"/>
    <x v="15"/>
    <s v="노희종"/>
    <s v="보도자료10"/>
    <s v="우리나라 토종닭 4품종, 국제 시스템에 이름 올려"/>
    <s v="에코저널"/>
    <d v="2019-01-24T00:00:00"/>
    <m/>
    <s v="13_인터넷포털"/>
    <n v="0.1"/>
    <d v="2019-01-25T00:00:00"/>
  </r>
  <r>
    <n v="583"/>
    <s v="8_국립축산과학원"/>
    <s v="0_본원"/>
    <x v="4"/>
    <s v="강보석"/>
    <s v="보도자료9"/>
    <s v="토종닭 4품종, 국제 시스템에 이름 올려"/>
    <s v="국토매일"/>
    <d v="2019-01-24T00:00:00"/>
    <m/>
    <s v="13_인터넷포털"/>
    <n v="0.1"/>
    <d v="2019-01-25T00:00:00"/>
  </r>
  <r>
    <n v="584"/>
    <s v="8_국립축산과학원"/>
    <s v="0_본원"/>
    <x v="15"/>
    <s v="노희종"/>
    <s v="보도자료10"/>
    <s v="토종닭 4품종, 국제 시스템에 이름 올려"/>
    <s v="국토매일"/>
    <d v="2019-01-24T00:00:00"/>
    <m/>
    <s v="13_인터넷포털"/>
    <n v="0.1"/>
    <d v="2019-01-25T00:00:00"/>
  </r>
  <r>
    <n v="585"/>
    <s v="8_국립축산과학원"/>
    <s v="0_본원"/>
    <x v="4"/>
    <s v="강보석"/>
    <s v="보도자료9"/>
    <s v="우리나라 토종닭 4품종, 국제 시스템에 이름 올려"/>
    <s v="로컬투데이"/>
    <d v="2019-01-24T00:00:00"/>
    <m/>
    <s v="13_인터넷포털"/>
    <n v="0.1"/>
    <d v="2019-01-25T00:00:00"/>
  </r>
  <r>
    <n v="586"/>
    <s v="8_국립축산과학원"/>
    <s v="0_본원"/>
    <x v="15"/>
    <s v="노희종"/>
    <s v="보도자료10"/>
    <s v="우리나라 토종닭 4품종, 국제 시스템에 이름 올려"/>
    <s v="로컬투데이"/>
    <d v="2019-01-24T00:00:00"/>
    <m/>
    <s v="13_인터넷포털"/>
    <n v="0.1"/>
    <d v="2019-01-25T00:00:00"/>
  </r>
  <r>
    <n v="587"/>
    <s v="8_국립축산과학원"/>
    <s v="0_본원"/>
    <x v="4"/>
    <s v="강보석"/>
    <s v="보도자료9"/>
    <s v="토종닭 4품종, 국제 시스템에 이름 올려"/>
    <s v="중부뉴스통신"/>
    <d v="2019-01-24T00:00:00"/>
    <m/>
    <s v="13_인터넷포털"/>
    <n v="0.1"/>
    <d v="2019-01-25T00:00:00"/>
  </r>
  <r>
    <n v="588"/>
    <s v="8_국립축산과학원"/>
    <s v="0_본원"/>
    <x v="15"/>
    <s v="노희종"/>
    <s v="보도자료10"/>
    <s v="토종닭 4품종, 국제 시스템에 이름 올려"/>
    <s v="중부뉴스통신"/>
    <d v="2019-01-24T00:00:00"/>
    <m/>
    <s v="13_인터넷포털"/>
    <n v="0.1"/>
    <d v="2019-01-25T00:00:00"/>
  </r>
  <r>
    <n v="589"/>
    <s v="8_국립축산과학원"/>
    <s v="0_본원"/>
    <x v="4"/>
    <s v="강보석"/>
    <s v="보도자료9"/>
    <s v="토종닭 4품종, 국제 시스템에 이름 올려"/>
    <s v="인트로뉴스"/>
    <d v="2019-01-24T00:00:00"/>
    <m/>
    <s v="13_인터넷포털"/>
    <n v="0.1"/>
    <d v="2019-01-25T00:00:00"/>
  </r>
  <r>
    <n v="590"/>
    <s v="8_국립축산과학원"/>
    <s v="0_본원"/>
    <x v="15"/>
    <s v="노희종"/>
    <s v="보도자료10"/>
    <s v="토종닭 4품종, 국제 시스템에 이름 올려"/>
    <s v="인트로뉴스"/>
    <d v="2019-01-24T00:00:00"/>
    <m/>
    <s v="13_인터넷포털"/>
    <n v="0.1"/>
    <d v="2019-01-25T00:00:00"/>
  </r>
  <r>
    <n v="591"/>
    <s v="8_국립축산과학원"/>
    <s v="0_본원"/>
    <x v="4"/>
    <s v="강보석"/>
    <s v="보도자료9"/>
    <s v="토종닭 4품종, 국제 시스템에 이름 올려"/>
    <s v="강원경제신문"/>
    <d v="2019-01-24T00:00:00"/>
    <m/>
    <s v="13_인터넷포털"/>
    <n v="0.1"/>
    <d v="2019-01-25T00:00:00"/>
  </r>
  <r>
    <n v="592"/>
    <s v="8_국립축산과학원"/>
    <s v="0_본원"/>
    <x v="15"/>
    <s v="노희종"/>
    <s v="보도자료10"/>
    <s v="토종닭 4품종, 국제 시스템에 이름 올려"/>
    <s v="강원경제신문"/>
    <d v="2019-01-24T00:00:00"/>
    <m/>
    <s v="13_인터넷포털"/>
    <n v="0.1"/>
    <d v="2019-01-25T00:00:00"/>
  </r>
  <r>
    <n v="593"/>
    <s v="8_국립축산과학원"/>
    <s v="0_본원"/>
    <x v="4"/>
    <s v="강보석"/>
    <s v="보도자료9"/>
    <s v="토종닭 4품종, ‘국제가축다양성시스템’에 등재"/>
    <s v="에코타임스"/>
    <d v="2019-01-24T00:00:00"/>
    <m/>
    <s v="13_인터넷포털"/>
    <n v="0.1"/>
    <d v="2019-01-25T00:00:00"/>
  </r>
  <r>
    <n v="594"/>
    <s v="8_국립축산과학원"/>
    <s v="0_본원"/>
    <x v="15"/>
    <s v="노희종"/>
    <s v="보도자료10"/>
    <s v="토종닭 4품종, ‘국제가축다양성시스템’에 등재"/>
    <s v="에코타임스"/>
    <d v="2019-01-24T00:00:00"/>
    <m/>
    <s v="13_인터넷포털"/>
    <n v="0.1"/>
    <d v="2019-01-25T00:00:00"/>
  </r>
  <r>
    <n v="595"/>
    <s v="8_국립축산과학원"/>
    <s v="2_축산자원개발부"/>
    <x v="6"/>
    <s v="정종성"/>
    <s v="보도자료11"/>
    <s v="겨울사료작물, 자람 상태 좋지만 봄 대비 관리해야"/>
    <s v="전남인터넷신문"/>
    <d v="2019-01-25T00:00:00"/>
    <m/>
    <s v="13_인터넷포털"/>
    <n v="0.1"/>
    <d v="2019-01-25T00:00:00"/>
  </r>
  <r>
    <n v="596"/>
    <s v="8_국립축산과학원"/>
    <s v="2_축산자원개발부"/>
    <x v="0"/>
    <s v="문홍길"/>
    <s v="기고"/>
    <s v="[기고] 문홍길 과장-축산현장 애로기술 해결 위한 돼지 사육[100문 100답] Q91~93"/>
    <s v="축산신문"/>
    <d v="2019-01-25T00:00:00"/>
    <n v="15"/>
    <s v="17_농업전문지"/>
    <n v="8"/>
    <d v="2019-01-28T00:00:00"/>
  </r>
  <r>
    <n v="597"/>
    <s v="8_국립축산과학원"/>
    <s v="0_본원"/>
    <x v="2"/>
    <s v="강희설"/>
    <s v="기고"/>
    <s v="[기고] 강희설 단장-GSP 종축사업 2018년 주요성과 및 2019년 주요 추진 계획"/>
    <s v="종돈개량"/>
    <d v="2019-01-01T00:00:00"/>
    <s v="52-55"/>
    <s v="18_월간지"/>
    <n v="4"/>
    <d v="2019-01-28T00:00:00"/>
  </r>
  <r>
    <n v="598"/>
    <s v="8_국립축산과학원"/>
    <s v="0_본원"/>
    <x v="3"/>
    <s v="조아라"/>
    <s v="보도자료7"/>
    <s v="(굿모닝뉴스) 미세먼지...가축도 괴롭다!"/>
    <s v="TBC"/>
    <d v="2019-01-24T00:00:00"/>
    <m/>
    <s v="02_TV-지방"/>
    <n v="4"/>
    <d v="2019-01-28T00:00:00"/>
  </r>
  <r>
    <n v="599"/>
    <s v="8_국립축산과학원"/>
    <s v="0_본원"/>
    <x v="3"/>
    <s v="조아라"/>
    <s v="보도자료7"/>
    <s v="농진청, 미세먼지 대비 가축관리 요령 소개(KBS NEWS)"/>
    <s v="KBS RADIO"/>
    <d v="2019-01-18T00:00:00"/>
    <m/>
    <s v="05_라디오-중앙"/>
    <n v="3"/>
    <d v="2019-01-28T00:00:00"/>
  </r>
  <r>
    <n v="600"/>
    <s v="8_국립축산과학원"/>
    <s v="2_축산자원개발부"/>
    <x v="6"/>
    <s v="정종성"/>
    <s v="보도자료11"/>
    <s v="겨울사료작물, 자람 상태 좋지만 봄 대비 관리해야"/>
    <s v="서울신문"/>
    <d v="2019-01-25T00:00:00"/>
    <m/>
    <s v="07_중앙일간지"/>
    <n v="5"/>
    <d v="2019-01-28T00:00:00"/>
  </r>
  <r>
    <n v="601"/>
    <s v="8_국립축산과학원"/>
    <s v="1_축산생명환경부"/>
    <x v="7"/>
    <s v="백열창"/>
    <s v="보도자료12"/>
    <s v="“사료 영양성분, 농사로에서 확인하세요”"/>
    <s v="서울신문"/>
    <d v="2019-01-25T00:00:00"/>
    <m/>
    <s v="07_중앙일간지"/>
    <n v="5"/>
    <d v="2019-01-28T00:00:00"/>
  </r>
  <r>
    <n v="602"/>
    <s v="8_국립축산과학원"/>
    <s v="1_축산생명환경부"/>
    <x v="5"/>
    <s v="조수현"/>
    <s v="보도자료13"/>
    <s v="눈과 입 사로잡는 ‘알록달록 떡국’ 만들기"/>
    <s v="환경일보"/>
    <d v="2019-01-28T00:00:00"/>
    <m/>
    <s v="08_기타일간지"/>
    <n v="2"/>
    <d v="2019-01-28T00:00:00"/>
  </r>
  <r>
    <n v="603"/>
    <s v="8_국립축산과학원"/>
    <s v="1_축산생명환경부"/>
    <x v="1"/>
    <s v="윤정희"/>
    <s v="보도자료5"/>
    <s v="돼지, 바이오·의료소재로도 활용"/>
    <s v="양돈타임스"/>
    <d v="2019-01-24T00:00:00"/>
    <n v="7"/>
    <s v="09_농업전문지"/>
    <n v="1.5"/>
    <d v="2019-01-28T00:00:00"/>
  </r>
  <r>
    <n v="604"/>
    <s v="8_국립축산과학원"/>
    <s v="2_축산자원개발부"/>
    <x v="8"/>
    <s v="박미나"/>
    <s v="보도자료6"/>
    <s v="한우 보증씨수소 13마리 선발"/>
    <s v="한국농어민신문"/>
    <d v="2019-01-25T00:00:00"/>
    <n v="9"/>
    <s v="09_농업전문지"/>
    <n v="1.5"/>
    <d v="2019-01-28T00:00:00"/>
  </r>
  <r>
    <n v="605"/>
    <s v="8_국립축산과학원"/>
    <s v="0_본원"/>
    <x v="15"/>
    <s v="이성수"/>
    <m/>
    <s v="가야육종 종돈 3개 품종 FAO 가축다양성 정보시스템에 등재"/>
    <s v="축산신문"/>
    <d v="2019-01-25T00:00:00"/>
    <n v="4"/>
    <s v="09_농업전문지"/>
    <n v="1.5"/>
    <d v="2019-01-28T00:00:00"/>
  </r>
  <r>
    <n v="606"/>
    <s v="8_국립축산과학원"/>
    <s v="2_축산자원개발부"/>
    <x v="8"/>
    <s v="최연호"/>
    <s v="보도자료8"/>
    <s v="‘월드클래스’ 국산 젖소 보증씨수소 4마리 선정"/>
    <s v="농민신문"/>
    <d v="2019-01-28T00:00:00"/>
    <m/>
    <s v="09_농업전문지"/>
    <n v="1.5"/>
    <d v="2019-01-28T00:00:00"/>
  </r>
  <r>
    <n v="607"/>
    <s v="8_국립축산과학원"/>
    <s v="0_본원"/>
    <x v="4"/>
    <s v="강보석"/>
    <s v="보도자료9"/>
    <s v="토종닭 4품종, 국제 시스템에 이름 올려"/>
    <s v="한국영농신문"/>
    <d v="2019-01-28T00:00:00"/>
    <m/>
    <s v="09_농업전문지"/>
    <n v="1.5"/>
    <d v="2019-01-28T00:00:00"/>
  </r>
  <r>
    <n v="608"/>
    <s v="8_국립축산과학원"/>
    <s v="0_본원"/>
    <x v="15"/>
    <s v="노희종"/>
    <s v="보도자료10"/>
    <s v="토종닭 4품종, 국제 시스템에 이름 올려"/>
    <s v="한국영농신문"/>
    <d v="2019-01-28T00:00:00"/>
    <m/>
    <s v="09_농업전문지"/>
    <n v="1.5"/>
    <d v="2019-01-28T00:00:00"/>
  </r>
  <r>
    <n v="609"/>
    <s v="8_국립축산과학원"/>
    <s v="1_축산생명환경부"/>
    <x v="5"/>
    <s v="함준상"/>
    <m/>
    <s v="알레르기·아토피 잡는 비피더스균으로 국민건강 기여"/>
    <s v="농촌여성신문"/>
    <d v="2019-01-28T00:00:00"/>
    <m/>
    <s v="09_농업전문지"/>
    <n v="1.5"/>
    <d v="2019-01-28T00:00:00"/>
  </r>
  <r>
    <n v="610"/>
    <s v="8_국립축산과학원"/>
    <s v="2_축산자원개발부"/>
    <x v="6"/>
    <s v="정종성"/>
    <s v="보도자료11"/>
    <s v="겨울 사료 작물, 자람 상태 좋지만 봄 대비 관리해야"/>
    <s v="한국영농신문"/>
    <d v="2019-01-28T00:00:00"/>
    <m/>
    <s v="09_농업전문지"/>
    <n v="1.5"/>
    <d v="2019-01-28T00:00:00"/>
  </r>
  <r>
    <n v="611"/>
    <s v="8_국립축산과학원"/>
    <s v="0_본원"/>
    <x v="3"/>
    <s v="조아라"/>
    <s v="보도자료7"/>
    <s v="미세먼지, 가축 건강에도 악영향 끼쳐"/>
    <s v="전업농신문"/>
    <d v="2019-01-18T00:00:00"/>
    <m/>
    <s v="09_농업전문지"/>
    <n v="1.5"/>
    <d v="2019-01-28T00:00:00"/>
  </r>
  <r>
    <n v="612"/>
    <s v="8_국립축산과학원"/>
    <s v="0_본원"/>
    <x v="3"/>
    <s v="조아라"/>
    <s v="보도자료7"/>
    <s v="농진청, 미세먼지 노출되면 가축도 아파"/>
    <s v="농축유통신문"/>
    <d v="2019-01-25T00:00:00"/>
    <m/>
    <s v="09_농업전문지"/>
    <n v="1.5"/>
    <d v="2019-01-28T00:00:00"/>
  </r>
  <r>
    <n v="613"/>
    <s v="8_국립축산과학원"/>
    <s v="0_본원"/>
    <x v="2"/>
    <m/>
    <m/>
    <s v="올 전남 농정 화두는 ‘미래·혁신·현장’"/>
    <s v="광주매일신문"/>
    <d v="2019-01-25T00:00:00"/>
    <n v="10"/>
    <s v="09_지방일간지"/>
    <n v="1.5"/>
    <d v="2019-01-28T00:00:00"/>
  </r>
  <r>
    <n v="614"/>
    <s v="8_국립축산과학원"/>
    <s v="0_본원"/>
    <x v="3"/>
    <s v="조아라"/>
    <s v="보도자료7"/>
    <s v="“미세먼지 노출되면 가축도 아파요”"/>
    <s v="부산일보"/>
    <d v="2019-01-18T00:00:00"/>
    <m/>
    <s v="09_지방일간지"/>
    <n v="1.5"/>
    <d v="2019-01-28T00:00:00"/>
  </r>
  <r>
    <n v="615"/>
    <s v="8_국립축산과학원"/>
    <s v="0_본원"/>
    <x v="13"/>
    <s v="정성훈"/>
    <s v="보도자료4"/>
    <s v="만족도 조사 결과 발표…올해는 3월부터 실시"/>
    <s v="월간닭고기"/>
    <d v="2019-01-01T00:00:00"/>
    <n v="29"/>
    <s v="10_월간지"/>
    <n v="1"/>
    <d v="2019-01-28T00:00:00"/>
  </r>
  <r>
    <n v="616"/>
    <s v="8_국립축산과학원"/>
    <s v="0_본원"/>
    <x v="13"/>
    <s v="정성훈"/>
    <s v="보도자료4"/>
    <s v="축산현장 맞춤형 종합상담…‘질병분야’ 가장 큰 도움"/>
    <s v="한국양돈신문"/>
    <d v="2019-01-22T00:00:00"/>
    <n v="15"/>
    <s v="10_기타전문지"/>
    <n v="1"/>
    <d v="2019-01-28T00:00:00"/>
  </r>
  <r>
    <n v="617"/>
    <s v="8_국립축산과학원"/>
    <s v="1_축산생명환경부"/>
    <x v="5"/>
    <s v="김윤석"/>
    <s v="보도자료161(2018)"/>
    <s v="축산과학원, ‘돼지고기 수출 규격 안내서’ 발간"/>
    <s v="종돈개량"/>
    <d v="2019-01-01T00:00:00"/>
    <s v="22-23"/>
    <s v="10_월간지"/>
    <n v="1"/>
    <d v="2019-01-28T00:00:00"/>
  </r>
  <r>
    <n v="618"/>
    <s v="8_국립축산과학원"/>
    <s v="2_축산자원개발부"/>
    <x v="8"/>
    <s v="박미나"/>
    <s v="보도자료6"/>
    <s v="한우 육량·육질 높일 수 있는 씨수소 13마리 뽑아"/>
    <s v="정책브리핑"/>
    <d v="2019-01-15T00:00:00"/>
    <m/>
    <s v="12_대한민국 정책포털(korea.kr)"/>
    <n v="1"/>
    <d v="2019-01-28T00:00:00"/>
  </r>
  <r>
    <n v="619"/>
    <s v="8_국립축산과학원"/>
    <s v="2_축산자원개발부"/>
    <x v="6"/>
    <s v="정종성"/>
    <s v="보도자료11"/>
    <s v="겨울사료작물, 배수로·눌러주기로 봄철 관리"/>
    <s v="라이브뉴스"/>
    <d v="2019-01-28T00:00:00"/>
    <m/>
    <s v="13_인터넷포털"/>
    <n v="0.1"/>
    <d v="2019-01-28T00:00:00"/>
  </r>
  <r>
    <n v="620"/>
    <s v="8_국립축산과학원"/>
    <s v="1_축산생명환경부"/>
    <x v="5"/>
    <s v="조수현"/>
    <s v="보도자료13"/>
    <s v="농촌진흥청, 고구마를 활용한 떡국 끓이는 방법 소개"/>
    <s v="오가닉라이프"/>
    <d v="2019-01-28T00:00:00"/>
    <m/>
    <s v="13_인터넷포털"/>
    <n v="0.1"/>
    <d v="2019-01-28T00:00:00"/>
  </r>
  <r>
    <n v="621"/>
    <s v="8_국립축산과학원"/>
    <s v="1_축산생명환경부"/>
    <x v="5"/>
    <s v="조수현"/>
    <s v="보도자료13"/>
    <s v="농진청, ‘고구마를 활용한 떡국 만들기’ 레시피 소개"/>
    <s v="키즈맘"/>
    <d v="2019-01-28T00:00:00"/>
    <m/>
    <s v="13_인터넷포털"/>
    <n v="0.1"/>
    <d v="2019-01-28T00:00:00"/>
  </r>
  <r>
    <n v="622"/>
    <s v="8_국립축산과학원"/>
    <s v="2_축산자원개발부"/>
    <x v="8"/>
    <s v="박미나"/>
    <s v="보도자료6"/>
    <s v="한우 육량·육질 높일 수 있는 씨수소 13마리 뽑아"/>
    <s v="국토매일"/>
    <d v="2019-01-15T00:00:00"/>
    <m/>
    <s v="13_인터넷포털"/>
    <n v="0.1"/>
    <d v="2019-01-28T00:00:00"/>
  </r>
  <r>
    <n v="623"/>
    <s v="8_국립축산과학원"/>
    <s v="2_축산자원개발부"/>
    <x v="8"/>
    <s v="박미나"/>
    <s v="보도자료6"/>
    <s v="한우 육량·육질 높일 수 있는 씨수소 13마리 뽑아"/>
    <s v="경기앤뉴스"/>
    <d v="2019-01-15T00:00:00"/>
    <m/>
    <s v="13_인터넷포털"/>
    <n v="0.1"/>
    <d v="2019-01-28T00:00:00"/>
  </r>
  <r>
    <n v="624"/>
    <s v="8_국립축산과학원"/>
    <s v="2_축산자원개발부"/>
    <x v="8"/>
    <s v="박미나"/>
    <s v="보도자료6"/>
    <s v="한우 육량·육질 높일 수 있는 씨수소 13마리 뽑아"/>
    <s v="뉴스브라이트"/>
    <d v="2019-01-15T00:00:00"/>
    <m/>
    <s v="13_인터넷포털"/>
    <n v="0.1"/>
    <d v="2019-01-28T00:00:00"/>
  </r>
  <r>
    <n v="625"/>
    <s v="8_국립축산과학원"/>
    <s v="2_축산자원개발부"/>
    <x v="8"/>
    <s v="박미나"/>
    <s v="보도자료6"/>
    <s v="한우 육량·육질 높일 수 있는 씨수소 13마리 뽑아"/>
    <s v="우리문화신문"/>
    <d v="2019-01-14T00:00:00"/>
    <m/>
    <s v="13_인터넷포털"/>
    <n v="0.1"/>
    <d v="2019-01-28T00:00:00"/>
  </r>
  <r>
    <n v="626"/>
    <s v="8_국립축산과학원"/>
    <s v="2_축산자원개발부"/>
    <x v="8"/>
    <s v="박미나"/>
    <s v="보도자료6"/>
    <s v="한우 육량·육질 높일 수 있는 씨수소 13마리 뽑아"/>
    <s v="굿뉴스365"/>
    <d v="2019-01-15T00:00:00"/>
    <m/>
    <s v="13_인터넷포털"/>
    <n v="0.1"/>
    <d v="2019-01-28T00:00:00"/>
  </r>
  <r>
    <n v="627"/>
    <s v="8_국립축산과학원"/>
    <s v="0_본원"/>
    <x v="3"/>
    <s v="조아라"/>
    <s v="보도자료7"/>
    <s v="미세먼지 노출되면 가축도 아파요"/>
    <s v="청년일보"/>
    <d v="2019-01-21T00:00:00"/>
    <m/>
    <s v="13_인터넷포털"/>
    <n v="0.1"/>
    <d v="2019-01-28T00:00:00"/>
  </r>
  <r>
    <n v="628"/>
    <s v="8_국립축산과학원"/>
    <s v="0_본원"/>
    <x v="3"/>
    <s v="조아라"/>
    <s v="보도자료7"/>
    <s v="미세먼지에 동물들도 건강 비상...관리는 어떻게?"/>
    <s v="온케이웨더"/>
    <d v="2019-01-23T00:00:00"/>
    <m/>
    <s v="13_인터넷포털"/>
    <n v="0.1"/>
    <d v="2019-01-28T00:00:00"/>
  </r>
  <r>
    <n v="629"/>
    <s v="8_국립축산과학원"/>
    <s v="1_축산생명환경부"/>
    <x v="9"/>
    <s v="이준엽"/>
    <s v="기고"/>
    <s v="[기고] 이준엽 연구사-‘동물복지 축산 정착’, 소비자 역할이 중요"/>
    <s v="농업인신문"/>
    <d v="2019-01-28T00:00:00"/>
    <n v="11"/>
    <s v="17_농업전문지"/>
    <n v="8"/>
    <d v="2019-01-29T00:00:00"/>
  </r>
  <r>
    <n v="630"/>
    <s v="8_국립축산과학원"/>
    <s v="1_축산생명환경부"/>
    <x v="5"/>
    <s v="조수현"/>
    <s v="보도자료13"/>
    <s v="농진청, 눈·입 사로잡는 ‘알록달록 떡국’만들기 소개"/>
    <s v="서울경제"/>
    <d v="2019-01-28T00:00:00"/>
    <m/>
    <s v="07_중앙일간지"/>
    <n v="5"/>
    <d v="2019-01-29T00:00:00"/>
  </r>
  <r>
    <n v="631"/>
    <s v="8_국립축산과학원"/>
    <s v="1_축산생명환경부"/>
    <x v="7"/>
    <s v="백열창"/>
    <s v="보도자료12"/>
    <s v="‘농사로’에서 사료 영양성분 확인"/>
    <s v="농업인신문"/>
    <d v="2019-01-28T00:00:00"/>
    <n v="5"/>
    <s v="09_농업전문지"/>
    <n v="1.5"/>
    <d v="2019-01-29T00:00:00"/>
  </r>
  <r>
    <n v="632"/>
    <s v="8_국립축산과학원"/>
    <s v="0_본원"/>
    <x v="4"/>
    <s v="강보석"/>
    <s v="보도자료9"/>
    <s v="토종닭 4품종, 국제 ‘시스템’에 이름 올려"/>
    <s v="농업인신문"/>
    <d v="2019-01-28T00:00:00"/>
    <n v="5"/>
    <s v="09_농업전문지"/>
    <n v="1.5"/>
    <d v="2019-01-29T00:00:00"/>
  </r>
  <r>
    <n v="633"/>
    <s v="8_국립축산과학원"/>
    <s v="0_본원"/>
    <x v="15"/>
    <s v="노희종"/>
    <s v="보도자료10"/>
    <s v="토종닭 4품종, 국제 ‘시스템’에 이름 올려"/>
    <s v="농업인신문"/>
    <d v="2019-01-28T00:00:00"/>
    <n v="5"/>
    <s v="09_농업전문지"/>
    <n v="1.5"/>
    <d v="2019-01-29T00:00:00"/>
  </r>
  <r>
    <n v="634"/>
    <s v="8_국립축산과학원"/>
    <s v="1_축산생명환경부"/>
    <x v="7"/>
    <s v="백열창"/>
    <s v="보도자료12"/>
    <s v="사료 영양 성분, 농사로에서 확인 가능해져"/>
    <s v="한국영농신문"/>
    <d v="2019-01-29T00:00:00"/>
    <m/>
    <s v="09_농업전문지"/>
    <n v="1.5"/>
    <d v="2019-01-29T00:00:00"/>
  </r>
  <r>
    <n v="635"/>
    <s v="8_국립축산과학원"/>
    <s v="0_본원"/>
    <x v="3"/>
    <s v="조아라"/>
    <s v="보도자료7"/>
    <s v="“미세먼지 노출되면 가축도 아파요”"/>
    <s v="정책브리핑"/>
    <d v="2019-01-18T00:00:00"/>
    <m/>
    <s v="12_대한민국 정책포털(korea.kr)"/>
    <n v="1"/>
    <d v="2019-01-29T00:00:00"/>
  </r>
  <r>
    <n v="636"/>
    <s v="8_국립축산과학원"/>
    <s v="0_본원"/>
    <x v="3"/>
    <s v="조아라"/>
    <s v="보도자료7"/>
    <s v="“미세먼지 노출되면 가축도 아파요”"/>
    <s v="당진신문"/>
    <d v="2019-01-21T00:00:00"/>
    <m/>
    <s v="11_기타(지역주간지)"/>
    <n v="0.5"/>
    <d v="2019-01-29T00:00:00"/>
  </r>
  <r>
    <n v="637"/>
    <s v="8_국립축산과학원"/>
    <s v="0_본원"/>
    <x v="3"/>
    <s v="조아라"/>
    <s v="보도자료7"/>
    <s v="“미세먼지 노출되면 가축도 아파요”"/>
    <s v="광명지역신문"/>
    <d v="2019-01-21T00:00:00"/>
    <m/>
    <s v="11_기타(지역주간지)"/>
    <n v="0.5"/>
    <d v="2019-01-29T00:00:00"/>
  </r>
  <r>
    <n v="638"/>
    <s v="8_국립축산과학원"/>
    <s v="1_축산생명환경부"/>
    <x v="5"/>
    <s v="조수현"/>
    <s v="보도자료13"/>
    <s v="농진청, 기해년 설날 ‘고구마 떡국’ 어떠세요"/>
    <s v="농업경제신문"/>
    <d v="2019-01-28T00:00:00"/>
    <m/>
    <s v="13_인터넷포털"/>
    <n v="0.1"/>
    <d v="2019-01-29T00:00:00"/>
  </r>
  <r>
    <n v="639"/>
    <s v="8_국립축산과학원"/>
    <s v="1_축산생명환경부"/>
    <x v="9"/>
    <s v="이준엽"/>
    <m/>
    <s v="화재가 걱정된다면 누전차단기를 점검하라"/>
    <s v="돼지와사람"/>
    <d v="2019-01-27T00:00:00"/>
    <m/>
    <s v="13_인터넷포털"/>
    <n v="0.1"/>
    <d v="2019-01-29T00:00:00"/>
  </r>
  <r>
    <n v="640"/>
    <s v="8_국립축산과학원"/>
    <s v="0_본원"/>
    <x v="3"/>
    <s v="조아라"/>
    <s v="보도자료7"/>
    <s v="“미세먼지 노출되면 가축도 아파요”"/>
    <s v="업코리아"/>
    <d v="2019-01-19T00:00:00"/>
    <m/>
    <s v="13_인터넷포털"/>
    <n v="0.1"/>
    <d v="2019-01-29T00:00:00"/>
  </r>
  <r>
    <n v="641"/>
    <s v="8_국립축산과학원"/>
    <s v="0_본원"/>
    <x v="3"/>
    <s v="조아라"/>
    <s v="보도자료7"/>
    <s v="농촌진흥청, 「“미세먼지 노출되면 가축도 아파요”」"/>
    <s v="화이트페이퍼"/>
    <d v="2019-01-21T00:00:00"/>
    <m/>
    <s v="13_인터넷포털"/>
    <n v="0.1"/>
    <d v="2019-01-29T00:00:00"/>
  </r>
  <r>
    <n v="642"/>
    <s v="8_국립축산과학원"/>
    <s v="2_축산자원개발부"/>
    <x v="0"/>
    <s v="문홍길"/>
    <s v="기고"/>
    <s v="[기고] 문홍길 과장-축산현장 애로기술 해결 위한 돼지 사육[100문 100답] Q94,95"/>
    <s v="축산신문"/>
    <d v="2019-01-29T00:00:00"/>
    <n v="15"/>
    <s v="17_농업전문지"/>
    <n v="8"/>
    <d v="2019-01-30T00:00:00"/>
  </r>
  <r>
    <n v="643"/>
    <s v="8_국립축산과학원"/>
    <s v="1_축산생명환경부"/>
    <x v="5"/>
    <s v="조수현"/>
    <s v="보도자료13"/>
    <s v="눈과 입 사로잡는 ‘알록달록 떡국’ 만들기"/>
    <s v="서울신문"/>
    <d v="2019-01-29T00:00:00"/>
    <m/>
    <s v="07_중앙일간지"/>
    <n v="5"/>
    <d v="2019-01-30T00:00:00"/>
  </r>
  <r>
    <n v="644"/>
    <s v="8_국립축산과학원"/>
    <s v="0_본원"/>
    <x v="4"/>
    <s v="강보석"/>
    <s v="보도자료9"/>
    <s v="국내 토종닭 4품종, 국제 가축다양성정보시스템 등재"/>
    <s v="매일경제"/>
    <d v="2019-01-23T00:00:00"/>
    <m/>
    <s v="07_중앙일간지"/>
    <n v="5"/>
    <d v="2019-01-30T00:00:00"/>
  </r>
  <r>
    <n v="645"/>
    <s v="8_국립축산과학원"/>
    <s v="0_본원"/>
    <x v="15"/>
    <s v="노희종"/>
    <s v="보도자료10"/>
    <s v="국내 토종닭 4품종, 국제 가축다양성정보시스템 등재"/>
    <s v="매일경제"/>
    <d v="2019-01-23T00:00:00"/>
    <m/>
    <s v="07_중앙일간지"/>
    <n v="5"/>
    <d v="2019-01-30T00:00:00"/>
  </r>
  <r>
    <n v="646"/>
    <s v="8_국립축산과학원"/>
    <s v="1_축산생명환경부"/>
    <x v="5"/>
    <s v="조수현"/>
    <s v="보도자료14"/>
    <s v="“설에 더 인기인 우리 소, 부위 알고 맛있게 먹소”"/>
    <s v="환경일보"/>
    <d v="2019-01-29T00:00:00"/>
    <m/>
    <s v="08_기타일간지"/>
    <n v="2"/>
    <d v="2019-01-30T00:00:00"/>
  </r>
  <r>
    <n v="647"/>
    <s v="8_국립축산과학원"/>
    <s v="2_축산자원개발부"/>
    <x v="6"/>
    <s v="정종성"/>
    <s v="보도자료11"/>
    <s v="겨울사료 작물 생육 양호…봄 대비 관리 필요"/>
    <s v="축산신문"/>
    <d v="2019-01-29T00:00:00"/>
    <n v="2"/>
    <s v="09_농업전문지"/>
    <n v="1.5"/>
    <d v="2019-01-30T00:00:00"/>
  </r>
  <r>
    <n v="648"/>
    <s v="8_국립축산과학원"/>
    <s v="2_축산자원개발부"/>
    <x v="8"/>
    <s v="최연호"/>
    <s v="보도자료8"/>
    <s v="젖소 보증씨수소 4마리 선발"/>
    <s v="축산신문"/>
    <d v="2019-01-29T00:00:00"/>
    <n v="4"/>
    <s v="09_농업전문지"/>
    <n v="1.5"/>
    <d v="2019-01-30T00:00:00"/>
  </r>
  <r>
    <n v="649"/>
    <s v="8_국립축산과학원"/>
    <s v="0_본원"/>
    <x v="3"/>
    <s v="조아라"/>
    <s v="보도자료7"/>
    <s v="“미세먼지 노출되면 가축도 아파요”"/>
    <s v="축산신문"/>
    <d v="2019-01-29T00:00:00"/>
    <n v="3"/>
    <s v="09_농업전문지"/>
    <n v="1.5"/>
    <d v="2019-01-30T00:00:00"/>
  </r>
  <r>
    <n v="650"/>
    <s v="8_국립축산과학원"/>
    <s v="1_축산생명환경부"/>
    <x v="7"/>
    <s v="백열창"/>
    <s v="보도자료12"/>
    <s v="“사료 영양성분, ‘농사로 누리집’서 확인 가능”"/>
    <s v="축산신문"/>
    <d v="2019-01-29T00:00:00"/>
    <n v="2"/>
    <s v="09_농업전문지"/>
    <n v="1.5"/>
    <d v="2019-01-30T00:00:00"/>
  </r>
  <r>
    <n v="651"/>
    <s v="8_국립축산과학원"/>
    <s v="0_본원"/>
    <x v="4"/>
    <s v="강보석"/>
    <s v="보도자료9"/>
    <s v="토종닭 4품종, 국제 시스템에 이름 올려"/>
    <s v="축산신문"/>
    <d v="2019-01-29T00:00:00"/>
    <n v="6"/>
    <s v="09_농업전문지"/>
    <n v="1.5"/>
    <d v="2019-01-30T00:00:00"/>
  </r>
  <r>
    <n v="652"/>
    <s v="8_국립축산과학원"/>
    <s v="0_본원"/>
    <x v="15"/>
    <s v="노희종"/>
    <s v="보도자료10"/>
    <s v="토종닭 4품종, 국제 시스템에 이름 올려"/>
    <s v="축산신문"/>
    <d v="2019-01-29T00:00:00"/>
    <n v="6"/>
    <s v="09_농업전문지"/>
    <n v="1.5"/>
    <d v="2019-01-30T00:00:00"/>
  </r>
  <r>
    <n v="653"/>
    <s v="8_국립축산과학원"/>
    <s v="0_본원"/>
    <x v="14"/>
    <s v="권응기"/>
    <m/>
    <s v="“미경산우 비육산업, 홍수 출하 대책 세워야”"/>
    <s v="한국농어민신문"/>
    <d v="2019-01-29T00:00:00"/>
    <n v="9"/>
    <s v="09_농업전문지"/>
    <n v="1.5"/>
    <d v="2019-01-30T00:00:00"/>
  </r>
  <r>
    <n v="654"/>
    <s v="8_국립축산과학원"/>
    <s v="2_축산자원개발부"/>
    <x v="8"/>
    <s v="최연호"/>
    <s v="보도자료8"/>
    <s v="유전적 우수성 인정받은 젖소 씨수소 4마리 선발"/>
    <s v="전업농신문"/>
    <d v="2019-01-22T00:00:00"/>
    <m/>
    <s v="09_농업전문지"/>
    <n v="1.5"/>
    <d v="2019-01-30T00:00:00"/>
  </r>
  <r>
    <n v="655"/>
    <s v="8_국립축산과학원"/>
    <s v="2_축산자원개발부"/>
    <x v="8"/>
    <s v="최연호"/>
    <s v="보도자료8"/>
    <s v="농진청, 젖소 씨수소 4마리 선발"/>
    <s v="농축유통신문"/>
    <d v="2019-01-25T00:00:00"/>
    <m/>
    <s v="09_농업전문지"/>
    <n v="1.5"/>
    <d v="2019-01-30T00:00:00"/>
  </r>
  <r>
    <n v="656"/>
    <s v="8_국립축산과학원"/>
    <s v="0_본원"/>
    <x v="4"/>
    <s v="강보석"/>
    <s v="보도자료9"/>
    <s v="후반 접어든 GSP, 어떤 성과 남겼나"/>
    <s v="한국농정신문"/>
    <d v="2019-01-27T00:00:00"/>
    <m/>
    <s v="09_농업전문지"/>
    <n v="1.5"/>
    <d v="2019-01-30T00:00:00"/>
  </r>
  <r>
    <n v="657"/>
    <s v="8_국립축산과학원"/>
    <s v="0_본원"/>
    <x v="15"/>
    <s v="노희종"/>
    <s v="보도자료10"/>
    <s v="후반 접어든 GSP, 어떤 성과 남겼나"/>
    <s v="한국농정신문"/>
    <d v="2019-01-27T00:00:00"/>
    <m/>
    <s v="09_농업전문지"/>
    <n v="1.5"/>
    <d v="2019-01-30T00:00:00"/>
  </r>
  <r>
    <n v="658"/>
    <s v="8_국립축산과학원"/>
    <s v="0_본원"/>
    <x v="4"/>
    <s v="강보석"/>
    <s v="보도자료9"/>
    <s v="토종닭 4품종, 국제 시스템에 이름 올려"/>
    <s v="농축유통신문"/>
    <d v="2019-01-30T00:00:00"/>
    <m/>
    <s v="09_농업전문지"/>
    <n v="1.5"/>
    <d v="2019-01-30T00:00:00"/>
  </r>
  <r>
    <n v="659"/>
    <s v="8_국립축산과학원"/>
    <s v="0_본원"/>
    <x v="15"/>
    <s v="노희종"/>
    <s v="보도자료10"/>
    <s v="토종닭 4품종, 국제 시스템에 이름 올려"/>
    <s v="농축유통신문"/>
    <d v="2019-01-30T00:00:00"/>
    <m/>
    <s v="09_농업전문지"/>
    <n v="1.5"/>
    <d v="2019-01-30T00:00:00"/>
  </r>
  <r>
    <n v="660"/>
    <s v="8_국립축산과학원"/>
    <s v="1_축산생명환경부"/>
    <x v="5"/>
    <s v="조수현"/>
    <s v="보도자료13"/>
    <s v="눈과 입 사로잡는 ‘알록달록 떡국’ 만들기"/>
    <s v="삼남일보"/>
    <d v="2019-01-29T00:00:00"/>
    <n v="5"/>
    <s v="09_지방일간지"/>
    <n v="1.5"/>
    <d v="2019-01-30T00:00:00"/>
  </r>
  <r>
    <n v="661"/>
    <s v="8_국립축산과학원"/>
    <s v="0_본원"/>
    <x v="3"/>
    <s v="조아라"/>
    <s v="보도자료7"/>
    <s v="“미세먼지 노출되면 가축도 아파요”"/>
    <s v="인천일보"/>
    <d v="2019-01-21T00:00:00"/>
    <m/>
    <s v="09_지방일간지"/>
    <n v="1.5"/>
    <d v="2019-01-30T00:00:00"/>
  </r>
  <r>
    <n v="662"/>
    <s v="8_국립축산과학원"/>
    <s v="2_축산자원개발부"/>
    <x v="8"/>
    <s v="최연호"/>
    <s v="보도자료8"/>
    <s v="우유 생산 능력·체형 좋은 젖소 씨수소 4마리 선발"/>
    <s v="전북도민일보"/>
    <d v="2019-01-20T00:00:00"/>
    <m/>
    <s v="09_지방일간지"/>
    <n v="1.5"/>
    <d v="2019-01-30T00:00:00"/>
  </r>
  <r>
    <n v="663"/>
    <s v="8_국립축산과학원"/>
    <s v="0_본원"/>
    <x v="4"/>
    <s v="강보석"/>
    <s v="보도자료9"/>
    <s v="토종닭 4품종, 국제 시스템에 이름 올려"/>
    <s v="전북도민일보"/>
    <d v="2019-01-23T00:00:00"/>
    <m/>
    <s v="09_지방일간지"/>
    <n v="1.5"/>
    <d v="2019-01-30T00:00:00"/>
  </r>
  <r>
    <n v="664"/>
    <s v="8_국립축산과학원"/>
    <s v="0_본원"/>
    <x v="15"/>
    <s v="노희종"/>
    <s v="보도자료10"/>
    <s v="토종닭 4품종, 국제 시스템에 이름 올려"/>
    <s v="전북도민일보"/>
    <d v="2019-01-23T00:00:00"/>
    <m/>
    <s v="09_지방일간지"/>
    <n v="1.5"/>
    <d v="2019-01-30T00:00:00"/>
  </r>
  <r>
    <n v="665"/>
    <s v="8_국립축산과학원"/>
    <s v="1_축산생명환경부"/>
    <x v="5"/>
    <s v="조수현"/>
    <s v="보도자료14"/>
    <s v="농진청, 요리별 알맞은 한우 부위와 남은 고기 활용 방법 소개"/>
    <s v="대한뉴스"/>
    <d v="2019-01-30T00:00:00"/>
    <m/>
    <s v="10_기타월간지"/>
    <n v="1"/>
    <d v="2019-01-30T00:00:00"/>
  </r>
  <r>
    <n v="666"/>
    <s v="8_국립축산과학원"/>
    <s v="0_본원"/>
    <x v="3"/>
    <s v="조아라"/>
    <s v="보도자료7"/>
    <s v="“미세먼지 노출되면 가축도 아파요”"/>
    <s v="교통신문"/>
    <d v="2019-01-21T00:00:00"/>
    <m/>
    <s v="10_기타전문지"/>
    <n v="1"/>
    <d v="2019-01-30T00:00:00"/>
  </r>
  <r>
    <n v="667"/>
    <s v="8_국립축산과학원"/>
    <s v="0_본원"/>
    <x v="3"/>
    <s v="조아라"/>
    <s v="보도자료7"/>
    <s v="“미세먼지 노출되면 가축도 아파요”"/>
    <s v="말산업저널"/>
    <d v="2019-01-21T00:00:00"/>
    <m/>
    <s v="10_기타전문지"/>
    <n v="1"/>
    <d v="2019-01-30T00:00:00"/>
  </r>
  <r>
    <n v="668"/>
    <s v="8_국립축산과학원"/>
    <s v="2_축산자원개발부"/>
    <x v="8"/>
    <s v="최연호"/>
    <s v="보도자료8"/>
    <s v="우유 생산 능력·체형 좋은 젖소 씨수소 4마리 선발"/>
    <s v="정책브리핑"/>
    <d v="2019-01-21T00:00:00"/>
    <m/>
    <s v="12_대한민국 정책포털(korea.kr)"/>
    <n v="1"/>
    <d v="2019-01-30T00:00:00"/>
  </r>
  <r>
    <n v="669"/>
    <s v="8_국립축산과학원"/>
    <s v="0_본원"/>
    <x v="4"/>
    <s v="강보석"/>
    <s v="보도자료9"/>
    <s v="토종닭 4품종, 국제 시스템에 이름 올려"/>
    <s v="정책브리핑"/>
    <d v="2019-01-24T00:00:00"/>
    <m/>
    <s v="12_대한민국 정책포털(korea.kr)"/>
    <n v="1"/>
    <d v="2019-01-30T00:00:00"/>
  </r>
  <r>
    <n v="670"/>
    <s v="8_국립축산과학원"/>
    <s v="0_본원"/>
    <x v="15"/>
    <s v="노희종"/>
    <s v="보도자료10"/>
    <s v="토종닭 4품종, 국제 시스템에 이름 올려"/>
    <s v="정책브리핑"/>
    <d v="2019-01-24T00:00:00"/>
    <m/>
    <s v="12_대한민국 정책포털(korea.kr)"/>
    <n v="1"/>
    <d v="2019-01-30T00:00:00"/>
  </r>
  <r>
    <n v="671"/>
    <s v="8_국립축산과학원"/>
    <s v="1_축산생명환경부"/>
    <x v="5"/>
    <s v="조수현"/>
    <s v="보도자료13"/>
    <s v="눈과 입 사로잡는 ‘알록달록 떡국’ 만들기"/>
    <s v="청년일보"/>
    <d v="2019-01-29T00:00:00"/>
    <m/>
    <s v="13_인터넷포털"/>
    <n v="0.1"/>
    <d v="2019-01-30T00:00:00"/>
  </r>
  <r>
    <n v="672"/>
    <s v="8_국립축산과학원"/>
    <s v="1_축산생명환경부"/>
    <x v="5"/>
    <s v="조수현"/>
    <s v="보도자료14"/>
    <s v="설에 더 인기인 우리 소, 부위 알고 맛있게 ‘먹소’"/>
    <s v="메디컬투데이"/>
    <d v="2019-01-29T00:00:00"/>
    <m/>
    <s v="13_인터넷포털"/>
    <n v="0.1"/>
    <d v="2019-01-30T00:00:00"/>
  </r>
  <r>
    <n v="673"/>
    <s v="8_국립축산과학원"/>
    <s v="1_축산생명환경부"/>
    <x v="5"/>
    <s v="조수현"/>
    <s v="보도자료13"/>
    <s v="눈과 입 사로잡는 ‘알록달록 떡국’ 만들기"/>
    <s v="뉴스에이"/>
    <d v="2019-01-29T00:00:00"/>
    <m/>
    <s v="13_인터넷포털"/>
    <n v="0.1"/>
    <d v="2019-01-30T00:00:00"/>
  </r>
  <r>
    <n v="674"/>
    <s v="8_국립축산과학원"/>
    <s v="1_축산생명환경부"/>
    <x v="5"/>
    <s v="조수현"/>
    <s v="보도자료14"/>
    <s v="농촌진흥청, 요리별 알맞은 한우 부위와 남은 고기 활용 방법 소개"/>
    <s v="오가닉라이프"/>
    <d v="2019-01-29T00:00:00"/>
    <m/>
    <s v="13_인터넷포털"/>
    <n v="0.1"/>
    <d v="2019-01-30T00:00:00"/>
  </r>
  <r>
    <n v="675"/>
    <s v="8_국립축산과학원"/>
    <s v="1_축산생명환경부"/>
    <x v="5"/>
    <s v="조수현"/>
    <s v="보도자료14"/>
    <s v="농진청, 설 맞아 한우 부위 활용소개"/>
    <s v="투데이코리아"/>
    <d v="2019-01-30T00:00:00"/>
    <m/>
    <s v="13_인터넷포털"/>
    <n v="0.1"/>
    <d v="2019-01-30T00:00:00"/>
  </r>
  <r>
    <n v="676"/>
    <s v="8_국립축산과학원"/>
    <s v="1_축산생명환경부"/>
    <x v="5"/>
    <s v="조수현"/>
    <s v="보도자료14"/>
    <s v="설 명절 한우 소비 증가...부위별 요리법은?"/>
    <s v="우먼컨슈머"/>
    <d v="2019-01-30T00:00:00"/>
    <m/>
    <s v="13_인터넷포털"/>
    <n v="0.1"/>
    <d v="2019-01-30T00:00:00"/>
  </r>
  <r>
    <n v="677"/>
    <s v="8_국립축산과학원"/>
    <s v="1_축산생명환경부"/>
    <x v="5"/>
    <s v="조수현"/>
    <s v="보도자료14"/>
    <s v="“설에 인기인 우리 소, 부위 알고 맛있게 먹소”"/>
    <s v="로컬세계"/>
    <d v="2019-01-30T00:00:00"/>
    <m/>
    <s v="13_인터넷포털"/>
    <n v="0.1"/>
    <d v="2019-01-30T00:00:00"/>
  </r>
  <r>
    <n v="678"/>
    <s v="8_국립축산과학원"/>
    <s v="0_본원"/>
    <x v="3"/>
    <s v="조아라"/>
    <s v="보도자료7"/>
    <s v="“미세먼지 노출되면 가축도 아파요”"/>
    <s v="제주교통복지신문"/>
    <d v="2019-01-21T00:00:00"/>
    <m/>
    <s v="13_인터넷포털"/>
    <n v="0.1"/>
    <d v="2019-01-30T00:00:00"/>
  </r>
  <r>
    <n v="679"/>
    <s v="8_국립축산과학원"/>
    <s v="0_본원"/>
    <x v="3"/>
    <s v="조아라"/>
    <s v="보도자료7"/>
    <s v="농촌진흥청, “미세먼지 노출되면 가축도 아파요”"/>
    <s v="뉴스페이퍼"/>
    <d v="2019-01-21T00:00:00"/>
    <m/>
    <s v="13_인터넷포털"/>
    <n v="0.1"/>
    <d v="2019-01-30T00:00:00"/>
  </r>
  <r>
    <n v="680"/>
    <s v="8_국립축산과학원"/>
    <s v="0_본원"/>
    <x v="3"/>
    <s v="조아라"/>
    <s v="보도자료7"/>
    <s v="“미세먼지 노출되면 가축도 아파요”"/>
    <s v="공무원저널"/>
    <d v="2019-01-21T00:00:00"/>
    <m/>
    <s v="13_인터넷포털"/>
    <n v="0.1"/>
    <d v="2019-01-30T00:00:00"/>
  </r>
  <r>
    <n v="681"/>
    <s v="8_국립축산과학원"/>
    <s v="0_본원"/>
    <x v="3"/>
    <s v="조아라"/>
    <s v="보도자료7"/>
    <s v="“미세먼지 노출되면 가축도 아파요”"/>
    <s v="블록체인밸리"/>
    <d v="2019-01-21T00:00:00"/>
    <m/>
    <s v="13_인터넷포털"/>
    <n v="0.1"/>
    <d v="2019-01-30T00:00:00"/>
  </r>
  <r>
    <n v="682"/>
    <s v="8_국립축산과학원"/>
    <s v="0_본원"/>
    <x v="3"/>
    <s v="조아라"/>
    <s v="보도자료7"/>
    <s v="“미세먼지 노출되면 가축도 아파요”"/>
    <s v="한국내츄럴타임즈"/>
    <d v="2019-01-18T00:00:00"/>
    <m/>
    <s v="13_인터넷포털"/>
    <n v="0.1"/>
    <d v="2019-01-30T00:00:00"/>
  </r>
  <r>
    <n v="683"/>
    <s v="8_국립축산과학원"/>
    <s v="0_본원"/>
    <x v="3"/>
    <s v="조아라"/>
    <s v="보도자료7"/>
    <s v="가축도 ‘미세먼지 앓이’…농진청, 관리요령 소개"/>
    <s v="세이프타임즈"/>
    <d v="2019-01-18T00:00:00"/>
    <m/>
    <s v="13_인터넷포털"/>
    <n v="0.1"/>
    <d v="2019-01-30T00:00:00"/>
  </r>
  <r>
    <n v="684"/>
    <s v="8_국립축산과학원"/>
    <s v="2_축산자원개발부"/>
    <x v="8"/>
    <s v="최연호"/>
    <s v="보도자료8"/>
    <s v="농촌진흥청, 우유 생산 능력·체형 좋은 젖소 씨수소 4마리 선발"/>
    <s v="일간전북"/>
    <d v="2019-01-18T00:00:00"/>
    <m/>
    <s v="13_인터넷포털"/>
    <n v="0.1"/>
    <d v="2019-01-30T00:00:00"/>
  </r>
  <r>
    <n v="685"/>
    <s v="8_국립축산과학원"/>
    <s v="2_축산자원개발부"/>
    <x v="8"/>
    <s v="최연호"/>
    <s v="보도자료8"/>
    <s v="우유 생산 능력·체형 좋은 젖소 씨수소 4마리 선발"/>
    <s v="청년일보"/>
    <d v="2019-01-21T00:00:00"/>
    <m/>
    <s v="13_인터넷포털"/>
    <n v="0.1"/>
    <d v="2019-01-30T00:00:00"/>
  </r>
  <r>
    <n v="686"/>
    <s v="8_국립축산과학원"/>
    <s v="2_축산자원개발부"/>
    <x v="8"/>
    <s v="최연호"/>
    <s v="보도자료8"/>
    <s v="우유 생산 능력·체형 좋은 젖소 씨수소 4마리 선발"/>
    <s v="인트로뉴스"/>
    <d v="2019-01-21T00:00:00"/>
    <m/>
    <s v="13_인터넷포털"/>
    <n v="0.1"/>
    <d v="2019-01-30T00:00:00"/>
  </r>
  <r>
    <n v="687"/>
    <s v="8_국립축산과학원"/>
    <s v="2_축산자원개발부"/>
    <x v="8"/>
    <s v="최연호"/>
    <s v="보도자료8"/>
    <s v="우유 생산 능력·체형 좋은 젖소 씨수소 4마리 선발"/>
    <s v="경기앤뉴스"/>
    <d v="2019-01-21T00:00:00"/>
    <m/>
    <s v="13_인터넷포털"/>
    <n v="0.1"/>
    <d v="2019-01-30T00:00:00"/>
  </r>
  <r>
    <n v="688"/>
    <s v="8_국립축산과학원"/>
    <s v="2_축산자원개발부"/>
    <x v="8"/>
    <s v="최연호"/>
    <s v="보도자료8"/>
    <s v="우유 생산 능력·체형 좋은 젖소 씨수소 4마리 선발"/>
    <s v="강원경제신문"/>
    <d v="2019-01-21T00:00:00"/>
    <m/>
    <s v="13_인터넷포털"/>
    <n v="0.1"/>
    <d v="2019-01-30T00:00:00"/>
  </r>
  <r>
    <n v="689"/>
    <s v="8_국립축산과학원"/>
    <s v="0_본원"/>
    <x v="4"/>
    <s v="강보석"/>
    <s v="보도자료9"/>
    <s v="우리 토종닭 국제가축다양성정보시스템 등재"/>
    <s v="농업경제신문"/>
    <d v="2019-01-23T00:00:00"/>
    <m/>
    <s v="13_인터넷포털"/>
    <n v="0.1"/>
    <d v="2019-01-30T00:00:00"/>
  </r>
  <r>
    <n v="690"/>
    <s v="8_국립축산과학원"/>
    <s v="0_본원"/>
    <x v="15"/>
    <s v="노희종"/>
    <s v="보도자료10"/>
    <s v="우리 토종닭 국제가축다양성정보시스템 등재"/>
    <s v="농업경제신문"/>
    <d v="2019-01-23T00:00:00"/>
    <m/>
    <s v="13_인터넷포털"/>
    <n v="0.1"/>
    <d v="2019-01-30T00:00:00"/>
  </r>
  <r>
    <n v="691"/>
    <s v="8_국립축산과학원"/>
    <s v="0_본원"/>
    <x v="4"/>
    <s v="강보석"/>
    <s v="보도자료9"/>
    <s v="농진청 토종닭 4품종 DAD-IS 등재"/>
    <s v="노컷뉴스"/>
    <d v="2019-01-24T00:00:00"/>
    <m/>
    <s v="13_인터넷포털"/>
    <n v="0.1"/>
    <d v="2019-01-30T00:00:00"/>
  </r>
  <r>
    <n v="692"/>
    <s v="8_국립축산과학원"/>
    <s v="0_본원"/>
    <x v="15"/>
    <s v="노희종"/>
    <s v="보도자료10"/>
    <s v="농진청 토종닭 4품종 DAD-IS 등재"/>
    <s v="노컷뉴스"/>
    <d v="2019-01-24T00:00:00"/>
    <m/>
    <s v="13_인터넷포털"/>
    <n v="0.1"/>
    <d v="2019-01-30T00:00:00"/>
  </r>
  <r>
    <n v="693"/>
    <s v="8_국립축산과학원"/>
    <s v="0_본원"/>
    <x v="4"/>
    <s v="강보석"/>
    <s v="보도자료9"/>
    <s v="토종닭 4품종, 국제 시스템에 이름 올려"/>
    <s v="청년일보"/>
    <d v="2019-01-24T00:00:00"/>
    <m/>
    <s v="13_인터넷포털"/>
    <n v="0.1"/>
    <d v="2019-01-30T00:00:00"/>
  </r>
  <r>
    <n v="694"/>
    <s v="8_국립축산과학원"/>
    <s v="0_본원"/>
    <x v="15"/>
    <s v="노희종"/>
    <s v="보도자료10"/>
    <s v="토종닭 4품종, 국제 시스템에 이름 올려"/>
    <s v="청년일보"/>
    <d v="2019-01-24T00:00:00"/>
    <m/>
    <s v="13_인터넷포털"/>
    <n v="0.1"/>
    <d v="2019-01-30T00:00:00"/>
  </r>
  <r>
    <n v="695"/>
    <s v="8_국립축산과학원"/>
    <s v="0_본원"/>
    <x v="4"/>
    <s v="강보석"/>
    <s v="보도자료9"/>
    <s v="토종닭 4품종, DAD-IS에 등재"/>
    <s v="현대축산뉴스"/>
    <d v="2019-01-29T00:00:00"/>
    <m/>
    <s v="13_인터넷포털"/>
    <n v="0.1"/>
    <d v="2019-01-30T00:00:00"/>
  </r>
  <r>
    <n v="696"/>
    <s v="8_국립축산과학원"/>
    <s v="0_본원"/>
    <x v="15"/>
    <s v="노희종"/>
    <s v="보도자료10"/>
    <s v="토종닭 4품종, DAD-IS에 등재"/>
    <s v="현대축산뉴스"/>
    <d v="2019-01-29T00:00:00"/>
    <m/>
    <s v="13_인터넷포털"/>
    <n v="0.1"/>
    <d v="2019-01-30T00:00:00"/>
  </r>
  <r>
    <n v="697"/>
    <s v="8_국립축산과학원"/>
    <s v="1_축산생명환경부"/>
    <x v="5"/>
    <s v="조수현"/>
    <s v="보도자료14"/>
    <s v="“설에 더 인기인 우리 소, 부위 알고 맛있게 먹소”"/>
    <s v="서울신문"/>
    <d v="2019-01-30T00:00:00"/>
    <m/>
    <s v="07_중앙일간지"/>
    <n v="5"/>
    <d v="2019-01-31T00:00:00"/>
  </r>
  <r>
    <n v="698"/>
    <s v="8_국립축산과학원"/>
    <s v="2_축산자원개발부"/>
    <x v="6"/>
    <s v="정종성"/>
    <s v="보도자료11"/>
    <s v="겨울사료작물 철저히 관리해 봄 재배 대비해야"/>
    <s v="전업농신문"/>
    <d v="2019-01-29T00:00:00"/>
    <m/>
    <s v="09_농업전문지"/>
    <n v="1.5"/>
    <d v="2019-01-31T00:00:00"/>
  </r>
  <r>
    <n v="699"/>
    <s v="8_국립축산과학원"/>
    <s v="1_축산생명환경부"/>
    <x v="7"/>
    <s v="백열창"/>
    <s v="보도자료12"/>
    <s v="과학적 사료배합 위한 한국표준사료성분표 갱신"/>
    <s v="전업농신문"/>
    <d v="2019-01-29T00:00:00"/>
    <m/>
    <s v="09_농업전문지"/>
    <n v="1.5"/>
    <d v="2019-01-31T00:00:00"/>
  </r>
  <r>
    <n v="700"/>
    <s v="8_국립축산과학원"/>
    <s v="1_축산생명환경부"/>
    <x v="5"/>
    <s v="조수현"/>
    <s v="보도자료14"/>
    <s v="요리별 알맞은 한우 부위와 남은 고기 활용법 소개"/>
    <s v="전북타임스"/>
    <d v="2019-01-30T00:00:00"/>
    <n v="7"/>
    <s v="09_지방일간지"/>
    <n v="1.5"/>
    <d v="2019-01-31T00:00:00"/>
  </r>
  <r>
    <n v="701"/>
    <s v="8_국립축산과학원"/>
    <s v="1_축산생명환경부"/>
    <x v="5"/>
    <s v="조수현"/>
    <s v="보도자료14"/>
    <s v="“한우 부위 알고 먹으면 더 맛있다”"/>
    <s v="전북일보"/>
    <d v="2019-01-30T00:00:00"/>
    <n v="5"/>
    <s v="09_지방일간지"/>
    <n v="1.5"/>
    <d v="2019-01-31T00:00:00"/>
  </r>
  <r>
    <n v="702"/>
    <s v="8_국립축산과학원"/>
    <s v="2_축산자원개발부"/>
    <x v="6"/>
    <s v="정종성"/>
    <s v="보도자료11"/>
    <s v="겨울사료작물, 자람 상태 좋지만 봄 대비 관리해야"/>
    <s v="정책브리핑"/>
    <d v="2019-01-25T00:00:00"/>
    <m/>
    <s v="12_대한민국 정책포털(korea.kr)"/>
    <n v="1"/>
    <d v="2019-01-31T00:00:00"/>
  </r>
  <r>
    <n v="703"/>
    <s v="8_국립축산과학원"/>
    <s v="1_축산생명환경부"/>
    <x v="7"/>
    <s v="백열창"/>
    <s v="보도자료12"/>
    <s v="“사료 영양성분, 농사로에서 확인하세요”"/>
    <s v="정책브리핑"/>
    <d v="2019-01-25T00:00:00"/>
    <m/>
    <s v="12_대한민국 정책포털(korea.kr)"/>
    <n v="1"/>
    <d v="2019-01-31T00:00:00"/>
  </r>
  <r>
    <n v="704"/>
    <s v="8_국립축산과학원"/>
    <s v="1_축산생명환경부"/>
    <x v="5"/>
    <s v="조수현"/>
    <s v="보도자료14"/>
    <s v="농진청, “설에 더 인기인 우리 소, 부위 알고 맛있게 먹소”"/>
    <s v="키즈맘"/>
    <d v="2019-01-31T00:00:00"/>
    <m/>
    <s v="13_인터넷포털"/>
    <n v="0.1"/>
    <d v="2019-01-31T00:00:00"/>
  </r>
  <r>
    <n v="705"/>
    <s v="8_국립축산과학원"/>
    <s v="1_축산생명환경부"/>
    <x v="5"/>
    <s v="조수현"/>
    <s v="보도자료14"/>
    <s v="설에 더 인기인 우리 소, 부위 알고 맛있게 먹소"/>
    <s v="뉴스에이"/>
    <d v="2019-01-31T00:00:00"/>
    <m/>
    <s v="13_인터넷포털"/>
    <n v="0.1"/>
    <d v="2019-01-31T00:00:00"/>
  </r>
  <r>
    <n v="706"/>
    <s v="8_국립축산과학원"/>
    <s v="2_축산자원개발부"/>
    <x v="6"/>
    <s v="정종성"/>
    <s v="보도자료11"/>
    <s v="겨울사료작물, 자람 상태 좋지만 봄 대비 관리해야"/>
    <s v="국토매일"/>
    <d v="2019-01-25T00:00:00"/>
    <m/>
    <s v="13_인터넷포털"/>
    <n v="0.1"/>
    <d v="2019-01-31T00:00:00"/>
  </r>
  <r>
    <n v="707"/>
    <s v="8_국립축산과학원"/>
    <s v="2_축산자원개발부"/>
    <x v="6"/>
    <s v="정종성"/>
    <s v="보도자료11"/>
    <s v="겨울사료작물, 자람 상태 좋지만 봄 대비 관리해야"/>
    <s v="중부뉴스통신"/>
    <d v="2019-01-25T00:00:00"/>
    <m/>
    <s v="13_인터넷포털"/>
    <n v="0.1"/>
    <d v="2019-01-31T00:00:00"/>
  </r>
  <r>
    <n v="708"/>
    <s v="8_국립축산과학원"/>
    <s v="2_축산자원개발부"/>
    <x v="6"/>
    <s v="정종성"/>
    <s v="보도자료11"/>
    <s v="겨울사료작물, 자람 상태 좋지만 봄 대비 관리해야"/>
    <s v="인트로뉴스"/>
    <d v="2019-01-25T00:00:00"/>
    <m/>
    <s v="13_인터넷포털"/>
    <n v="0.1"/>
    <d v="2019-01-31T00:00:00"/>
  </r>
  <r>
    <n v="709"/>
    <s v="8_국립축산과학원"/>
    <s v="2_축산자원개발부"/>
    <x v="6"/>
    <s v="정종성"/>
    <s v="보도자료11"/>
    <s v="겨울사료작물, 자람 상태 좋지만 봄 대비 관리해야"/>
    <s v="강원경제신문"/>
    <d v="2019-01-25T00:00:00"/>
    <m/>
    <s v="13_인터넷포털"/>
    <n v="0.1"/>
    <d v="2019-01-31T00:00:00"/>
  </r>
  <r>
    <n v="710"/>
    <s v="8_국립축산과학원"/>
    <s v="2_축산자원개발부"/>
    <x v="6"/>
    <s v="정종성"/>
    <s v="보도자료11"/>
    <s v="겨울사료작물 ‘눌러주기·배수로관리’ 필요"/>
    <s v="농업경제신문"/>
    <d v="2019-01-24T00:00:00"/>
    <m/>
    <s v="13_인터넷포털"/>
    <n v="0.1"/>
    <d v="2019-01-31T00:00:00"/>
  </r>
  <r>
    <n v="711"/>
    <s v="8_국립축산과학원"/>
    <s v="2_축산자원개발부"/>
    <x v="6"/>
    <s v="정종성"/>
    <s v="보도자료11"/>
    <s v="겨울사료작물, 자람 상태 좋지만 봄 대비 관리해야"/>
    <s v="한국내츄럴타임즈"/>
    <d v="2019-01-25T00:00:00"/>
    <m/>
    <s v="13_인터넷포털"/>
    <n v="0.1"/>
    <d v="2019-01-31T00:00:00"/>
  </r>
  <r>
    <n v="712"/>
    <s v="8_국립축산과학원"/>
    <s v="1_축산생명환경부"/>
    <x v="7"/>
    <s v="백열창"/>
    <s v="보도자료12"/>
    <s v="“사료 영양성분, 농사로에서 확인하세요”"/>
    <s v="국토매일"/>
    <d v="2019-01-25T00:00:00"/>
    <m/>
    <s v="13_인터넷포털"/>
    <n v="0.1"/>
    <d v="2019-01-31T00:00:00"/>
  </r>
  <r>
    <n v="713"/>
    <s v="8_국립축산과학원"/>
    <s v="1_축산생명환경부"/>
    <x v="7"/>
    <s v="백열창"/>
    <s v="보도자료12"/>
    <s v="“사료 영양성분, 농사로에서 확인하세요”"/>
    <s v="인트로뉴스"/>
    <d v="2019-01-25T00:00:00"/>
    <m/>
    <s v="13_인터넷포털"/>
    <n v="0.1"/>
    <d v="2019-01-31T00:00:00"/>
  </r>
  <r>
    <n v="714"/>
    <s v="8_국립축산과학원"/>
    <s v="1_축산생명환경부"/>
    <x v="7"/>
    <s v="백열창"/>
    <s v="보도자료12"/>
    <s v="“사료 영양성분, 농사로에서 확인하세요”"/>
    <s v="중부뉴스통신"/>
    <d v="2019-01-25T00:00:00"/>
    <m/>
    <s v="13_인터넷포털"/>
    <n v="0.1"/>
    <d v="2019-01-31T00:00:00"/>
  </r>
  <r>
    <n v="715"/>
    <s v="8_국립축산과학원"/>
    <s v="1_축산생명환경부"/>
    <x v="7"/>
    <s v="백열창"/>
    <s v="보도자료12"/>
    <s v="“사료 영양성분, 농사로에서 확인하세요”"/>
    <s v="강원경제신문"/>
    <d v="2019-01-25T00:00:00"/>
    <m/>
    <s v="13_인터넷포털"/>
    <n v="0.1"/>
    <d v="2019-01-31T00:00:00"/>
  </r>
  <r>
    <n v="716"/>
    <s v="8_국립축산과학원"/>
    <s v="1_축산생명환경부"/>
    <x v="7"/>
    <s v="백열창"/>
    <s v="보도자료12"/>
    <s v="“사료 영양성분, 농사로에서 확인하세요”"/>
    <s v="굿뉴스365"/>
    <d v="2019-01-25T00:00:00"/>
    <m/>
    <s v="13_인터넷포털"/>
    <n v="0.1"/>
    <d v="2019-01-31T00:00:00"/>
  </r>
  <r>
    <n v="717"/>
    <s v="8_국립축산과학원"/>
    <s v="1_축산생명환경부"/>
    <x v="7"/>
    <s v="백열창"/>
    <s v="보도자료12"/>
    <s v="“사료 영양성분, 농사로에서 확인하세요”"/>
    <s v="한국내츄럴타임즈"/>
    <d v="2019-01-25T00:00:00"/>
    <m/>
    <s v="13_인터넷포털"/>
    <n v="0.1"/>
    <d v="2019-01-31T00:00:00"/>
  </r>
  <r>
    <n v="718"/>
    <s v="8_국립축산과학원"/>
    <s v="0_본원"/>
    <x v="11"/>
    <s v="김보은"/>
    <s v="보도자료18"/>
    <s v="김경규 농촌진흥청장, 전주 사랑의집·전통시장 방문"/>
    <s v="서울신문"/>
    <d v="2019-01-31T00:00:00"/>
    <m/>
    <s v="07_중앙일간지"/>
    <n v="5"/>
    <d v="2019-02-01T00:00:00"/>
  </r>
  <r>
    <n v="719"/>
    <s v="8_국립축산과학원"/>
    <s v="0_본원"/>
    <x v="11"/>
    <s v="김보은"/>
    <s v="보도자료18"/>
    <s v="김경규 농촌진흥청장, 전주 사랑의집·전통시장 방문"/>
    <s v="헤럴드경제"/>
    <d v="2019-01-31T00:00:00"/>
    <m/>
    <s v="07_중앙일간지"/>
    <n v="5"/>
    <d v="2019-02-01T00:00:00"/>
  </r>
  <r>
    <n v="720"/>
    <s v="8_국립축산과학원"/>
    <s v="1_축산생명환경부"/>
    <x v="5"/>
    <s v="조수현"/>
    <s v="보도자료13"/>
    <s v="영양도 풍부하고 더 맛있는 고구마 떡국 만들어볼까"/>
    <s v="헤럴드경제"/>
    <d v="2019-01-31T00:00:00"/>
    <m/>
    <s v="07_중앙일간지"/>
    <n v="5"/>
    <d v="2019-02-01T00:00:00"/>
  </r>
  <r>
    <n v="721"/>
    <s v="8_국립축산과학원"/>
    <s v="1_축산생명환경부"/>
    <x v="7"/>
    <s v="오영균"/>
    <m/>
    <s v="‘멍멍이’ 데리고 고향 갑니다...반려견과 즐거운 설 명절 나기"/>
    <s v="연합뉴스"/>
    <d v="2019-01-31T00:00:00"/>
    <m/>
    <s v="07_중앙일간지"/>
    <n v="5"/>
    <d v="2019-02-01T00:00:00"/>
  </r>
  <r>
    <n v="722"/>
    <s v="8_국립축산과학원"/>
    <s v="2_축산자원개발부"/>
    <x v="0"/>
    <s v="문홍길"/>
    <m/>
    <s v="쫀득쫀득 명품 육질 ‘토종 흑돼지’…제주·김천 등서 겨우 명맥"/>
    <s v="문화일보"/>
    <d v="2019-02-01T00:00:00"/>
    <m/>
    <s v="07_중앙일간지"/>
    <n v="5"/>
    <d v="2019-02-01T00:00:00"/>
  </r>
  <r>
    <n v="723"/>
    <s v="8_국립축산과학원"/>
    <s v="0_본원"/>
    <x v="4"/>
    <s v="강보석"/>
    <s v="보도자료9"/>
    <s v="토종닭 4품종 가축다양성정보시스템에 등재"/>
    <s v="농수축산신문"/>
    <d v="2019-02-01T00:00:00"/>
    <m/>
    <s v="09_농업전문지"/>
    <n v="1.5"/>
    <d v="2019-02-01T00:00:00"/>
  </r>
  <r>
    <n v="724"/>
    <s v="8_국립축산과학원"/>
    <s v="0_본원"/>
    <x v="15"/>
    <s v="노희종"/>
    <s v="보도자료10"/>
    <s v="토종닭 4품종 가축다양성정보시스템에 등재"/>
    <s v="농수축산신문"/>
    <d v="2019-02-01T00:00:00"/>
    <m/>
    <s v="09_농업전문지"/>
    <n v="1.5"/>
    <d v="2019-02-01T00:00:00"/>
  </r>
  <r>
    <n v="725"/>
    <s v="8_국립축산과학원"/>
    <s v="1_축산생명환경부"/>
    <x v="5"/>
    <s v="조수현"/>
    <s v="보도자료14"/>
    <s v="찜·구이·탕·불고기에 적합한 소고기 부위는?"/>
    <s v="대한급식신문"/>
    <d v="2019-02-01T00:00:00"/>
    <m/>
    <s v="09_농업전문지"/>
    <n v="1.5"/>
    <d v="2019-02-01T00:00:00"/>
  </r>
  <r>
    <n v="726"/>
    <s v="8_국립축산과학원"/>
    <s v="1_축산생명환경부"/>
    <x v="5"/>
    <s v="조수현"/>
    <s v="보도자료13"/>
    <s v="알록달록 ‘고구마떡국’, 어렵지 않아요"/>
    <s v="대한급식신문"/>
    <d v="2019-02-01T00:00:00"/>
    <m/>
    <s v="09_농업전문지"/>
    <n v="1.5"/>
    <d v="2019-02-01T00:00:00"/>
  </r>
  <r>
    <n v="727"/>
    <s v="8_국립축산과학원"/>
    <s v="1_축산생명환경부"/>
    <x v="5"/>
    <s v="조수현"/>
    <s v="보도자료13"/>
    <s v="눈·입 사로잡는 “알록달록 떡국” 만들기"/>
    <s v="식약일보"/>
    <d v="2019-01-28T00:00:00"/>
    <m/>
    <s v="10_기타전문지"/>
    <n v="1"/>
    <d v="2019-02-01T00:00:00"/>
  </r>
  <r>
    <n v="728"/>
    <s v="8_국립축산과학원"/>
    <s v="1_축산생명환경부"/>
    <x v="5"/>
    <s v="조수현"/>
    <s v="보도자료14"/>
    <s v="“설맞이 인기만점 소, 부위 알고 맛있게 먹자”"/>
    <s v="농업경제신문"/>
    <d v="2019-01-31T00:00:00"/>
    <m/>
    <s v="13_인터넷포털"/>
    <n v="0.1"/>
    <d v="2019-02-01T00:00:00"/>
  </r>
  <r>
    <n v="729"/>
    <s v="8_국립축산과학원"/>
    <s v="1_축산생명환경부"/>
    <x v="5"/>
    <s v="조수현"/>
    <s v="보도자료13"/>
    <s v="알록달록 고구마 떡국 만들기"/>
    <s v="오피니언뉴스"/>
    <d v="2019-01-29T00:00:00"/>
    <m/>
    <s v="13_인터넷포털"/>
    <n v="0.1"/>
    <d v="2019-02-01T00:00:00"/>
  </r>
  <r>
    <n v="730"/>
    <s v="8_국립축산과학원"/>
    <s v="1_축산생명환경부"/>
    <x v="5"/>
    <s v="조수현"/>
    <s v="보도자료13"/>
    <s v="영양도 풍부하고 더 맛있는 고구마 떡국 만들어볼까"/>
    <s v="리얼푸드"/>
    <d v="2019-01-31T00:00:00"/>
    <m/>
    <s v="13_인터넷포털"/>
    <n v="0.1"/>
    <d v="2019-02-01T00:00:00"/>
  </r>
  <r>
    <n v="731"/>
    <s v="8_국립축산과학원"/>
    <s v="1_축산생명환경부"/>
    <x v="5"/>
    <s v="조수현"/>
    <s v="보도자료13"/>
    <s v="농촌진흥청, 고구마 가래떡을 넣은 알록달록 떡국 만들기 소개"/>
    <s v="핸드메이커"/>
    <d v="2019-01-30T00:00:00"/>
    <m/>
    <s v="13_인터넷포털"/>
    <n v="0.1"/>
    <d v="2019-02-01T00:00:00"/>
  </r>
  <r>
    <n v="732"/>
    <s v="8_국립축산과학원"/>
    <s v="2_축산자원개발부"/>
    <x v="0"/>
    <s v="문홍길"/>
    <s v="기고"/>
    <s v="[기고] 문홍길 과장-축산현장 애로기술 해결 위한 돼지 사육[100문 100답] Q96,97"/>
    <s v="축산신문"/>
    <d v="2019-02-01T00:00:00"/>
    <n v="15"/>
    <s v="17_농업전문지"/>
    <n v="8"/>
    <d v="2019-02-07T00:00:00"/>
  </r>
  <r>
    <n v="733"/>
    <s v="8_국립축산과학원"/>
    <s v="1_축산생명환경부"/>
    <x v="5"/>
    <s v="조수현"/>
    <s v="보도자료14"/>
    <s v="설 음식에 맞는 쇠고기·좋은 사골은?(8시뉴스)"/>
    <s v="OBS"/>
    <d v="2019-02-04T00:00:00"/>
    <m/>
    <s v="02_TV-지방"/>
    <n v="4"/>
    <d v="2019-02-07T00:00:00"/>
  </r>
  <r>
    <n v="734"/>
    <s v="8_국립축산과학원"/>
    <s v="1_축산생명환경부"/>
    <x v="5"/>
    <s v="김진형"/>
    <m/>
    <s v="설 음식에 맞는 쇠고기·좋은 사골은?(8시뉴스)"/>
    <s v="OBS"/>
    <d v="2019-02-04T00:00:00"/>
    <m/>
    <s v="02_TV-지방"/>
    <n v="4"/>
    <d v="2019-02-07T00:00:00"/>
  </r>
  <r>
    <n v="735"/>
    <s v="8_국립축산과학원"/>
    <s v="1_축산생명환경부"/>
    <x v="5"/>
    <s v="김진형"/>
    <m/>
    <s v="설 명절 맛있는 소고기 부위 선택법과 조리법은?(종합뉴스)"/>
    <s v="연합뉴스TV"/>
    <d v="2019-02-02T00:00:00"/>
    <m/>
    <s v="02_TV-케이블중앙"/>
    <n v="4"/>
    <d v="2019-02-07T00:00:00"/>
  </r>
  <r>
    <n v="736"/>
    <s v="8_국립축산과학원"/>
    <s v="1_축산생명환경부"/>
    <x v="5"/>
    <s v="조수현"/>
    <s v="보도자료14"/>
    <s v="구이, 찜, 떡국용…쇠고기 고르는 법(8시뉴스)"/>
    <s v="JTV"/>
    <d v="2019-02-03T00:00:00"/>
    <m/>
    <s v="02_TV-지방"/>
    <n v="4"/>
    <d v="2019-02-07T00:00:00"/>
  </r>
  <r>
    <n v="737"/>
    <s v="8_국립축산과학원"/>
    <s v="1_축산생명환경부"/>
    <x v="5"/>
    <s v="김진형"/>
    <m/>
    <s v="구이, 찜, 떡국용…쇠고기 고르는 법(8시뉴스)"/>
    <s v="JTV"/>
    <d v="2019-02-03T00:00:00"/>
    <m/>
    <s v="02_TV-지방"/>
    <n v="4"/>
    <d v="2019-02-07T00:00:00"/>
  </r>
  <r>
    <n v="738"/>
    <s v="8_국립축산과학원"/>
    <s v="1_축산생명환경부"/>
    <x v="5"/>
    <s v="조수현"/>
    <s v="보도자료14"/>
    <s v="좋은 소고기' 잘 고르는 법(자막뉴스)"/>
    <s v="YTN"/>
    <d v="2019-02-03T00:00:00"/>
    <m/>
    <s v="02_TV-케이블중앙"/>
    <n v="4"/>
    <d v="2019-02-07T00:00:00"/>
  </r>
  <r>
    <n v="739"/>
    <s v="8_국립축산과학원"/>
    <s v="1_축산생명환경부"/>
    <x v="5"/>
    <s v="조수현"/>
    <s v="보도자료14"/>
    <s v="소고기 사용 설명서…잘 골라 맛있게 먹는 방법은?(종합뉴스)"/>
    <s v="YTN"/>
    <d v="2019-02-03T00:00:00"/>
    <m/>
    <s v="02_TV-케이블중앙"/>
    <n v="4"/>
    <d v="2019-02-07T00:00:00"/>
  </r>
  <r>
    <n v="740"/>
    <s v="8_국립축산과학원"/>
    <s v="1_축산생명환경부"/>
    <x v="5"/>
    <s v="김진형"/>
    <m/>
    <s v="소고기 사용 설명서…잘 골라 맛있게 먹는 방법은?(종합뉴스)"/>
    <s v="YTN"/>
    <d v="2019-02-03T00:00:00"/>
    <m/>
    <s v="02_TV-케이블중앙"/>
    <n v="4"/>
    <d v="2019-02-07T00:00:00"/>
  </r>
  <r>
    <n v="741"/>
    <s v="8_국립축산과학원"/>
    <s v="1_축산생명환경부"/>
    <x v="5"/>
    <s v="조수현"/>
    <s v="보도자료14"/>
    <s v="‘한우 갈비, 찜·구이 용도 따라 고르는 법 달라요’"/>
    <s v="이데일리"/>
    <d v="2019-02-04T00:00:00"/>
    <m/>
    <s v="07_중앙일간지"/>
    <n v="5"/>
    <d v="2019-02-07T00:00:00"/>
  </r>
  <r>
    <n v="742"/>
    <s v="8_국립축산과학원"/>
    <s v="1_축산생명환경부"/>
    <x v="5"/>
    <s v="조수현"/>
    <s v="보도자료13"/>
    <s v="고구마 가루 활용 알록달록 오색 떡국 어때요"/>
    <s v="이데일리"/>
    <d v="2019-02-03T00:00:00"/>
    <m/>
    <s v="07_중앙일간지"/>
    <n v="5"/>
    <d v="2019-02-07T00:00:00"/>
  </r>
  <r>
    <n v="743"/>
    <s v="8_국립축산과학원"/>
    <s v="1_축산생명환경부"/>
    <x v="1"/>
    <s v="오건봉"/>
    <m/>
    <s v="돼지각막 사람에게 이식한다"/>
    <s v="뉴스1"/>
    <d v="2019-02-01T00:00:00"/>
    <m/>
    <s v="07_중앙일간지"/>
    <n v="5"/>
    <d v="2019-02-07T00:00:00"/>
  </r>
  <r>
    <n v="744"/>
    <s v="8_국립축산과학원"/>
    <s v="1_축산생명환경부"/>
    <x v="7"/>
    <s v="백열창"/>
    <m/>
    <s v="“한우 살아남으려면 값 20%는 내려야…농가도 비용혁신 절실”"/>
    <s v="매일경제"/>
    <d v="2019-02-02T00:00:00"/>
    <n v="15"/>
    <s v="07_중앙일간지"/>
    <n v="5"/>
    <d v="2019-02-07T00:00:00"/>
  </r>
  <r>
    <n v="745"/>
    <s v="8_국립축산과학원"/>
    <s v="2_축산자원개발부"/>
    <x v="6"/>
    <s v="임은아"/>
    <s v="보도자료17"/>
    <s v="“추위 견딘 풀사료, 봄철 관리로 수확량 늘려요”"/>
    <s v="환경일보"/>
    <d v="2019-02-07T00:00:00"/>
    <m/>
    <s v="08_기타일간지"/>
    <n v="2"/>
    <d v="2019-02-07T00:00:00"/>
  </r>
  <r>
    <n v="746"/>
    <s v="8_국립축산과학원"/>
    <s v="1_축산생명환경부"/>
    <x v="5"/>
    <s v="조수현"/>
    <s v="보도자료14"/>
    <s v="“설에 더 인기인 한우, 부위 알고 더 맛있게”"/>
    <s v="축산신문"/>
    <d v="2019-02-01T00:00:00"/>
    <n v="12"/>
    <s v="09_농업전문지"/>
    <n v="1.5"/>
    <d v="2019-02-07T00:00:00"/>
  </r>
  <r>
    <n v="747"/>
    <s v="8_국립축산과학원"/>
    <s v="0_본원"/>
    <x v="2"/>
    <s v="양창범"/>
    <m/>
    <s v="제6기 축산전문화과정 수료식 개최"/>
    <s v="축산신문"/>
    <d v="2019-02-01T00:00:00"/>
    <n v="11"/>
    <s v="09_농업전문지"/>
    <n v="1.5"/>
    <d v="2019-02-07T00:00:00"/>
  </r>
  <r>
    <n v="748"/>
    <s v="8_국립축산과학원"/>
    <s v="1_축산생명환경부"/>
    <x v="5"/>
    <s v="조수현"/>
    <s v="보도자료13"/>
    <s v="보기에 좋고 맛도 좋은 알록달록 ‘컬러 떡국’"/>
    <s v="한국영농신문"/>
    <d v="2019-02-04T00:00:00"/>
    <m/>
    <s v="09_농업전문지"/>
    <n v="1.5"/>
    <d v="2019-02-07T00:00:00"/>
  </r>
  <r>
    <n v="749"/>
    <s v="8_국립축산과학원"/>
    <s v="1_축산생명환경부"/>
    <x v="5"/>
    <s v="조수현"/>
    <s v="보도자료14"/>
    <s v="“설 식탁엔 한우로”... 부위별 조리법 달라"/>
    <s v="한국영농신문"/>
    <d v="2019-02-04T00:00:00"/>
    <m/>
    <s v="09_농업전문지"/>
    <n v="1.5"/>
    <d v="2019-02-07T00:00:00"/>
  </r>
  <r>
    <n v="750"/>
    <s v="8_국립축산과학원"/>
    <s v="0_본원"/>
    <x v="11"/>
    <s v="김보은"/>
    <s v="보도자료18"/>
    <s v="김경규 농촌진흥청장 전주사랑의집·전통시장 방문"/>
    <s v="전북도민일보"/>
    <d v="2019-02-01T00:00:00"/>
    <n v="14"/>
    <s v="09_지방일간지"/>
    <n v="1.5"/>
    <d v="2019-02-07T00:00:00"/>
  </r>
  <r>
    <n v="751"/>
    <s v="8_국립축산과학원"/>
    <s v="1_축산생명환경부"/>
    <x v="5"/>
    <s v="조수현"/>
    <s v="보도자료15"/>
    <s v="농촌진흥청, 이달의 신간 발간"/>
    <s v="전북타임스"/>
    <d v="2019-02-01T00:00:00"/>
    <n v="7"/>
    <s v="09_지방일간지"/>
    <n v="1.5"/>
    <d v="2019-02-07T00:00:00"/>
  </r>
  <r>
    <n v="752"/>
    <s v="8_국립축산과학원"/>
    <s v="1_축산생명환경부"/>
    <x v="5"/>
    <s v="유자연"/>
    <s v="보도자료16"/>
    <s v="농촌진흥청, 이달의 신간 발간"/>
    <s v="전북타임스"/>
    <d v="2019-02-01T00:00:00"/>
    <n v="7"/>
    <s v="09_지방일간지"/>
    <n v="1.5"/>
    <d v="2019-02-07T00:00:00"/>
  </r>
  <r>
    <n v="753"/>
    <s v="8_국립축산과학원"/>
    <s v="1_축산생명환경부"/>
    <x v="5"/>
    <s v="조수현"/>
    <s v="보도자료13"/>
    <s v="자주·노란·주황색 등 고구마가래떡 영양풍부 소고기·사골 육수로 감칠맛 냉동보관은 필수"/>
    <s v="광주매일신문"/>
    <d v="2019-02-01T00:00:00"/>
    <n v="10"/>
    <s v="09_지방일간지"/>
    <n v="1.5"/>
    <d v="2019-02-07T00:00:00"/>
  </r>
  <r>
    <n v="754"/>
    <s v="8_국립축산과학원"/>
    <s v="1_축산생명환경부"/>
    <x v="5"/>
    <s v="조수현"/>
    <s v="보도자료14"/>
    <s v="갈비·우둔·사태·앞다리 등 명절 애용 부위"/>
    <s v="광주매일신문"/>
    <d v="2019-02-01T00:00:00"/>
    <n v="10"/>
    <s v="09_지방일간지"/>
    <n v="1.5"/>
    <d v="2019-02-07T00:00:00"/>
  </r>
  <r>
    <n v="755"/>
    <s v="8_국립축산과학원"/>
    <s v="0_본원"/>
    <x v="11"/>
    <s v="김보은"/>
    <s v="보도자료18"/>
    <s v="김경규 농촌진흥청장, 전주 사랑의 집과 전통시장 방문"/>
    <s v="부산일보"/>
    <d v="2019-01-31T00:00:00"/>
    <m/>
    <s v="09_지방일간지"/>
    <n v="1.5"/>
    <d v="2019-02-07T00:00:00"/>
  </r>
  <r>
    <n v="756"/>
    <s v="8_국립축산과학원"/>
    <s v="0_본원"/>
    <x v="13"/>
    <s v="정성훈"/>
    <s v="보도자료4"/>
    <s v="여름철 고온 스트레스 예방 관심 높아"/>
    <s v="낙농신문"/>
    <d v="2019-01-31T00:00:00"/>
    <n v="2"/>
    <s v="10_기타전문지"/>
    <n v="1"/>
    <d v="2019-02-07T00:00:00"/>
  </r>
  <r>
    <n v="757"/>
    <s v="8_국립축산과학원"/>
    <s v="2_축산자원개발부"/>
    <x v="8"/>
    <s v="김시동"/>
    <m/>
    <s v="농협 젖소 씨수소, 유전능력 향상"/>
    <s v="낙농신문"/>
    <d v="2019-01-31T00:00:00"/>
    <n v="2"/>
    <s v="10_기타전문지"/>
    <n v="1"/>
    <d v="2019-02-07T00:00:00"/>
  </r>
  <r>
    <n v="758"/>
    <s v="8_국립축산과학원"/>
    <s v="0_본원"/>
    <x v="3"/>
    <s v="조아라"/>
    <s v="보도자료7"/>
    <s v="미세먼지 노출, 폐렴 등 우려 주의 요망"/>
    <s v="낙농신문"/>
    <d v="2019-01-31T00:00:00"/>
    <n v="5"/>
    <s v="10_기타전문지"/>
    <n v="1"/>
    <d v="2019-02-07T00:00:00"/>
  </r>
  <r>
    <n v="759"/>
    <s v="8_국립축산과학원"/>
    <s v="2_축산자원개발부"/>
    <x v="12"/>
    <s v="기광석"/>
    <m/>
    <s v="물 섭취량 중 34% 우유 생산 이용"/>
    <s v="낙농신문"/>
    <d v="2019-01-31T00:00:00"/>
    <n v="13"/>
    <s v="10_기타전문지"/>
    <n v="1"/>
    <d v="2019-02-07T00:00:00"/>
  </r>
  <r>
    <n v="760"/>
    <s v="8_국립축산과학원"/>
    <s v="2_축산자원개발부"/>
    <x v="12"/>
    <s v="기광석"/>
    <m/>
    <s v="염소제제 희석, 물 악취 제거"/>
    <s v="낙농신문"/>
    <d v="2019-01-31T00:00:00"/>
    <n v="15"/>
    <s v="10_기타전문지"/>
    <n v="1"/>
    <d v="2019-02-07T00:00:00"/>
  </r>
  <r>
    <n v="761"/>
    <s v="8_국립축산과학원"/>
    <s v="0_본원"/>
    <x v="11"/>
    <s v="김보은"/>
    <s v="보도자료18"/>
    <s v="김경규 농진청장, 전주 사랑의집 전통시장 방문"/>
    <s v="식약일보"/>
    <d v="2019-02-01T00:00:00"/>
    <m/>
    <s v="10_기타전문지"/>
    <n v="1"/>
    <d v="2019-02-07T00:00:00"/>
  </r>
  <r>
    <n v="762"/>
    <s v="8_국립축산과학원"/>
    <s v="0_본원"/>
    <x v="11"/>
    <s v="김보은"/>
    <s v="보도자료18"/>
    <s v="김경규 농촌진흥청장, 전주 사랑의집·전통시장 방문"/>
    <s v="정책브리핑"/>
    <d v="2019-01-31T00:00:00"/>
    <m/>
    <s v="12_대한민국 정책포털(korea.kr)"/>
    <n v="1"/>
    <d v="2019-02-07T00:00:00"/>
  </r>
  <r>
    <n v="763"/>
    <s v="8_국립축산과학원"/>
    <s v="2_축산자원개발부"/>
    <x v="6"/>
    <s v="임은아"/>
    <s v="보도자료17"/>
    <s v="‘초지에 파종 중’(포토뉴스)"/>
    <s v="연합뉴스"/>
    <d v="2019-02-07T00:00:00"/>
    <m/>
    <s v="07_중앙일간지"/>
    <n v="5"/>
    <d v="2019-02-08T00:00:00"/>
  </r>
  <r>
    <n v="764"/>
    <s v="8_국립축산과학원"/>
    <s v="2_축산자원개발부"/>
    <x v="6"/>
    <s v="임은아"/>
    <s v="보도자료17"/>
    <s v="‘잘 자라라’(포토뉴스)"/>
    <s v="뉴시스"/>
    <d v="2019-02-07T00:00:00"/>
    <m/>
    <s v="07_중앙일간지"/>
    <n v="5"/>
    <d v="2019-02-08T00:00:00"/>
  </r>
  <r>
    <n v="765"/>
    <s v="8_국립축산과학원"/>
    <s v="2_축산자원개발부"/>
    <x v="6"/>
    <s v="임은아"/>
    <s v="보도자료17"/>
    <s v="‘생산량 늘이기 위한 진압기로 초지 누르기’(포토뉴스)"/>
    <s v="뉴스1"/>
    <d v="2019-02-07T00:00:00"/>
    <m/>
    <s v="07_중앙일간지"/>
    <n v="5"/>
    <d v="2019-02-08T00:00:00"/>
  </r>
  <r>
    <n v="766"/>
    <s v="8_국립축산과학원"/>
    <s v="1_축산생명환경부"/>
    <x v="7"/>
    <s v="백열창"/>
    <s v="보도자료12"/>
    <s v="축산과학원, 한국표준사료성분표 갱신"/>
    <s v="한국농어민신문"/>
    <d v="2019-02-05T00:00:00"/>
    <n v="9"/>
    <s v="09_농업전문지"/>
    <n v="1.5"/>
    <d v="2019-02-08T00:00:00"/>
  </r>
  <r>
    <n v="767"/>
    <s v="8_국립축산과학원"/>
    <s v="0_본원"/>
    <x v="4"/>
    <s v="강보석"/>
    <s v="보도자료9"/>
    <s v="토종닭 4품종 ‘가축다양성정보시스템’ 등재"/>
    <s v="한국농어민신문"/>
    <d v="2019-02-07T00:00:00"/>
    <m/>
    <s v="09_농업전문지"/>
    <n v="1.5"/>
    <d v="2019-02-08T00:00:00"/>
  </r>
  <r>
    <n v="768"/>
    <s v="8_국립축산과학원"/>
    <s v="0_본원"/>
    <x v="15"/>
    <s v="노희종"/>
    <s v="보도자료10"/>
    <s v="토종닭 4품종 ‘가축다양성정보시스템’ 등재"/>
    <s v="한국농어민신문"/>
    <d v="2019-02-07T00:00:00"/>
    <m/>
    <s v="09_농업전문지"/>
    <n v="1.5"/>
    <d v="2019-02-08T00:00:00"/>
  </r>
  <r>
    <n v="769"/>
    <s v="8_국립축산과학원"/>
    <s v="1_축산생명환경부"/>
    <x v="5"/>
    <s v="조수현"/>
    <s v="보도자료15"/>
    <s v="‘유기농 오이 재배 매뉴얼’ 등 신간 5권 발행"/>
    <s v="농촌여성신문"/>
    <d v="2019-02-08T00:00:00"/>
    <m/>
    <s v="09_농업전문지"/>
    <n v="1.5"/>
    <d v="2019-02-08T00:00:00"/>
  </r>
  <r>
    <n v="770"/>
    <s v="8_국립축산과학원"/>
    <s v="1_축산생명환경부"/>
    <x v="5"/>
    <s v="유자연"/>
    <s v="보도자료16"/>
    <s v="‘유기농 오이 재배 매뉴얼’ 등 신간 5권 발행"/>
    <s v="농촌여성신문"/>
    <d v="2019-02-08T00:00:00"/>
    <m/>
    <s v="09_농업전문지"/>
    <n v="1.5"/>
    <d v="2019-02-08T00:00:00"/>
  </r>
  <r>
    <n v="771"/>
    <s v="8_국립축산과학원"/>
    <s v="1_축산생명환경부"/>
    <x v="5"/>
    <s v="조수현"/>
    <s v="보도자료14"/>
    <s v="한우 부위별 특징과 고르는 요령"/>
    <s v="농촌여성신문"/>
    <d v="2019-01-30T00:00:00"/>
    <m/>
    <s v="09_농업전문지"/>
    <n v="1.5"/>
    <d v="2019-02-08T00:00:00"/>
  </r>
  <r>
    <n v="772"/>
    <s v="8_국립축산과학원"/>
    <s v="1_축산생명환경부"/>
    <x v="5"/>
    <s v="조수현"/>
    <s v="보도자료13"/>
    <s v="눈과 입 사로잡는 ‘알록달록 떡국’ 만들기"/>
    <s v="전라일보"/>
    <d v="2019-01-28T00:00:00"/>
    <m/>
    <s v="09_지방일간지"/>
    <n v="1.5"/>
    <d v="2019-02-08T00:00:00"/>
  </r>
  <r>
    <n v="773"/>
    <s v="8_국립축산과학원"/>
    <s v="1_축산생명환경부"/>
    <x v="5"/>
    <s v="조수현"/>
    <s v="보도자료14"/>
    <s v="“설날 먹는 한우 어떤 부위가 맛있을까?”"/>
    <s v="전북도민일보"/>
    <d v="2019-01-29T00:00:00"/>
    <m/>
    <s v="09_지방일간지"/>
    <n v="1.5"/>
    <d v="2019-02-08T00:00:00"/>
  </r>
  <r>
    <n v="774"/>
    <s v="8_국립축산과학원"/>
    <s v="1_축산생명환경부"/>
    <x v="5"/>
    <s v="조수현"/>
    <s v="보도자료13"/>
    <s v="눈과 입 사로잡는 ‘알록달록 떡국’ 만들기"/>
    <s v="정책브리핑"/>
    <d v="2019-01-29T00:00:00"/>
    <m/>
    <s v="12_대한민국 정책포털(korea.kr)"/>
    <n v="1"/>
    <d v="2019-02-08T00:00:00"/>
  </r>
  <r>
    <n v="775"/>
    <s v="8_국립축산과학원"/>
    <s v="1_축산생명환경부"/>
    <x v="5"/>
    <s v="조수현"/>
    <s v="보도자료14"/>
    <s v="“설에 인기인 우리 소, 부위 알고 맛있게 먹소~”"/>
    <s v="정책브리핑"/>
    <d v="2019-01-30T00:00:00"/>
    <m/>
    <s v="12_대한민국 정책포털(korea.kr)"/>
    <n v="1"/>
    <d v="2019-02-08T00:00:00"/>
  </r>
  <r>
    <n v="776"/>
    <s v="8_국립축산과학원"/>
    <s v="1_축산생명환경부"/>
    <x v="5"/>
    <s v="조수현"/>
    <s v="보도자료14"/>
    <s v="한우부위와 남은 고기 활용 방법 소개"/>
    <s v="식약일보"/>
    <d v="2019-01-29T00:00:00"/>
    <m/>
    <s v="10_기타전문지"/>
    <n v="1"/>
    <d v="2019-02-08T00:00:00"/>
  </r>
  <r>
    <n v="777"/>
    <s v="8_국립축산과학원"/>
    <s v="2_축산자원개발부"/>
    <x v="6"/>
    <s v="임은아"/>
    <s v="보도자료17"/>
    <s v="“추위 견딘 풀사료, 봄철 꼼꼼히 관리해야 수확량↑”"/>
    <s v="에코타임스"/>
    <d v="2019-02-08T00:00:00"/>
    <m/>
    <s v="13_인터넷포털"/>
    <n v="0.1"/>
    <d v="2019-02-08T00:00:00"/>
  </r>
  <r>
    <n v="778"/>
    <s v="8_국립축산과학원"/>
    <s v="2_축산자원개발부"/>
    <x v="6"/>
    <s v="임은아"/>
    <s v="보도자료17"/>
    <s v="“추위 견딘 풀사료, 봄철 관리로 수확량 늘려요”"/>
    <s v="전남인터넷신문"/>
    <d v="2019-02-08T00:00:00"/>
    <m/>
    <s v="13_인터넷포털"/>
    <n v="0.1"/>
    <d v="2019-02-08T00:00:00"/>
  </r>
  <r>
    <n v="779"/>
    <s v="8_국립축산과학원"/>
    <s v="1_축산생명환경부"/>
    <x v="5"/>
    <s v="조수현"/>
    <s v="보도자료13"/>
    <s v="이번 설날에는 ‘알록 달록 떡국’ 만들어 보아요"/>
    <s v="바끄로"/>
    <d v="2019-02-01T00:00:00"/>
    <m/>
    <s v="13_인터넷포털"/>
    <n v="0.1"/>
    <d v="2019-02-08T00:00:00"/>
  </r>
  <r>
    <n v="780"/>
    <s v="8_국립축산과학원"/>
    <s v="1_축산생명환경부"/>
    <x v="5"/>
    <s v="조수현"/>
    <s v="보도자료13"/>
    <s v="‘알록달록’ 떡국 만들기"/>
    <s v="이웃집과학자"/>
    <d v="2019-02-05T00:00:00"/>
    <m/>
    <s v="13_인터넷포털"/>
    <n v="0.1"/>
    <d v="2019-02-08T00:00:00"/>
  </r>
  <r>
    <n v="781"/>
    <s v="8_국립축산과학원"/>
    <s v="1_축산생명환경부"/>
    <x v="5"/>
    <s v="조수현"/>
    <s v="보도자료13"/>
    <s v="떡국 끓일 때 알아두면 유용해...‘떡국용 육수 고르는 법과 조리법’"/>
    <s v="통플러스"/>
    <d v="2019-02-04T00:00:00"/>
    <m/>
    <s v="13_인터넷포털"/>
    <n v="0.1"/>
    <d v="2019-02-08T00:00:00"/>
  </r>
  <r>
    <n v="782"/>
    <s v="8_국립축산과학원"/>
    <s v="1_축산생명환경부"/>
    <x v="5"/>
    <s v="조수현"/>
    <s v="보도자료14"/>
    <s v="“설에 인기인 우리 소, 부위 알고 맛있게 먹소~”"/>
    <s v="포비즈미디어"/>
    <d v="2019-01-30T00:00:00"/>
    <m/>
    <s v="13_인터넷포털"/>
    <n v="0.1"/>
    <d v="2019-02-08T00:00:00"/>
  </r>
  <r>
    <n v="783"/>
    <s v="8_국립축산과학원"/>
    <s v="1_축산생명환경부"/>
    <x v="5"/>
    <s v="조수현"/>
    <s v="보도자료14"/>
    <s v="한우 고르는 지혜"/>
    <s v="미디어데일"/>
    <d v="2019-01-31T00:00:00"/>
    <m/>
    <s v="13_인터넷포털"/>
    <n v="0.1"/>
    <d v="2019-02-08T00:00:00"/>
  </r>
  <r>
    <n v="784"/>
    <s v="8_국립축산과학원"/>
    <s v="1_축산생명환경부"/>
    <x v="5"/>
    <s v="조수현"/>
    <s v="보도자료14"/>
    <s v="갈비, 찜용은 힘줄 적은 것 고르고... 구이용은?"/>
    <s v="헬스조선"/>
    <d v="2019-01-30T00:00:00"/>
    <m/>
    <s v="13_인터넷포털"/>
    <n v="0.1"/>
    <d v="2019-02-08T00:00:00"/>
  </r>
  <r>
    <n v="785"/>
    <s v="8_국립축산과학원"/>
    <s v="1_축산생명환경부"/>
    <x v="5"/>
    <s v="조수현"/>
    <s v="보도자료14"/>
    <s v="농진청, 한우 부위별 특징과 고르는 요령 소개"/>
    <s v="KNS뉴스통신"/>
    <d v="2019-01-30T00:00:00"/>
    <m/>
    <s v="13_인터넷포털"/>
    <n v="0.1"/>
    <d v="2019-02-08T00:00:00"/>
  </r>
  <r>
    <n v="786"/>
    <s v="8_국립축산과학원"/>
    <s v="2_축산자원개발부"/>
    <x v="0"/>
    <s v="문홍길"/>
    <s v="기고"/>
    <s v="[기고] 문홍길 과장-축산현장 애로기술 해결 위한 돼지 사육[100문 100답] Q98-100"/>
    <s v="축산신문"/>
    <d v="2019-02-08T00:00:00"/>
    <n v="15"/>
    <s v="17_농업전문지"/>
    <n v="8"/>
    <d v="2019-02-11T00:00:00"/>
  </r>
  <r>
    <n v="787"/>
    <s v="8_국립축산과학원"/>
    <s v="2_축산자원개발부"/>
    <x v="6"/>
    <s v="임은아"/>
    <s v="보도자료17"/>
    <s v="“추위 견딘 풀사료, 봄철 관리로 수확량 늘려요”"/>
    <s v="서울신문"/>
    <d v="2019-02-08T00:00:00"/>
    <m/>
    <s v="07_중앙일간지"/>
    <n v="5"/>
    <d v="2019-02-11T00:00:00"/>
  </r>
  <r>
    <n v="788"/>
    <s v="8_국립축산과학원"/>
    <s v="1_축산생명환경부"/>
    <x v="7"/>
    <s v="오영균"/>
    <m/>
    <s v="간식만 달라는 강아지에게 사료 먹이는 방법"/>
    <s v="뉴스1"/>
    <d v="2019-02-08T00:00:00"/>
    <m/>
    <s v="07_중앙일간지"/>
    <n v="5"/>
    <d v="2019-02-11T00:00:00"/>
  </r>
  <r>
    <n v="789"/>
    <s v="8_국립축산과학원"/>
    <s v="2_축산자원개발부"/>
    <x v="6"/>
    <s v="임은아"/>
    <s v="보도자료17"/>
    <s v="“초지에 파종중”(포토뉴스)"/>
    <s v="전국매일신문"/>
    <d v="2019-02-08T00:00:00"/>
    <n v="7"/>
    <s v="08_기타일간지"/>
    <n v="2"/>
    <d v="2019-02-11T00:00:00"/>
  </r>
  <r>
    <n v="790"/>
    <s v="8_국립축산과학원"/>
    <s v="2_축산자원개발부"/>
    <x v="6"/>
    <s v="임은아"/>
    <s v="보도자료17"/>
    <s v="진압기로 초지 누르기(포토뉴스)"/>
    <s v="에너지경제"/>
    <d v="2019-02-08T00:00:00"/>
    <n v="12"/>
    <s v="08_기타일간지"/>
    <n v="2"/>
    <d v="2019-02-11T00:00:00"/>
  </r>
  <r>
    <n v="791"/>
    <s v="8_국립축산과학원"/>
    <s v="2_축산자원개발부"/>
    <x v="8"/>
    <s v="최연호"/>
    <s v="보도자료8"/>
    <s v="우유 생산 능력·체형 좋은 젖소 씨수소 4마리 선발"/>
    <s v="농업축산신문"/>
    <d v="2019-01-28T00:00:00"/>
    <n v="7"/>
    <s v="09_농업전문지"/>
    <n v="1.5"/>
    <d v="2019-02-11T00:00:00"/>
  </r>
  <r>
    <n v="792"/>
    <s v="8_국립축산과학원"/>
    <s v="2_축산자원개발부"/>
    <x v="6"/>
    <s v="임은아"/>
    <s v="보도자료17"/>
    <s v="풀사료, 봄철 관리로 수확량 늘려요"/>
    <s v="팜&amp;마켓매거진"/>
    <d v="2019-02-09T00:00:00"/>
    <m/>
    <s v="09_농업전문지"/>
    <n v="1.5"/>
    <d v="2019-02-11T00:00:00"/>
  </r>
  <r>
    <n v="793"/>
    <s v="8_국립축산과학원"/>
    <s v="2_축산자원개발부"/>
    <x v="6"/>
    <s v="임은아"/>
    <s v="보도자료17"/>
    <s v="추위 견딘 풀 사료, 봄철 관리로 수확량 높여"/>
    <s v="한국영농신문"/>
    <d v="2019-02-10T00:00:00"/>
    <m/>
    <s v="09_농업전문지"/>
    <n v="1.5"/>
    <d v="2019-02-11T00:00:00"/>
  </r>
  <r>
    <n v="794"/>
    <s v="8_국립축산과학원"/>
    <s v="0_본원"/>
    <x v="3"/>
    <s v="류재규"/>
    <m/>
    <s v="잠잠한 구제역 ‘안심은 금물’…확산 방지에 총력 기울여야"/>
    <s v="농민신문"/>
    <d v="2019-02-11T00:00:00"/>
    <m/>
    <s v="09_농업전문지"/>
    <n v="1.5"/>
    <d v="2019-02-11T00:00:00"/>
  </r>
  <r>
    <n v="795"/>
    <s v="8_국립축산과학원"/>
    <s v="2_축산자원개발부"/>
    <x v="6"/>
    <s v="임은아"/>
    <s v="보도자료17"/>
    <s v="겨울 사료작물, 거름 신경 쓰고 땅 눌러줘야"/>
    <s v="농수축산신문"/>
    <d v="2019-02-11T00:00:00"/>
    <m/>
    <s v="09_농업전문지"/>
    <n v="1.5"/>
    <d v="2019-02-11T00:00:00"/>
  </r>
  <r>
    <n v="796"/>
    <s v="8_국립축산과학원"/>
    <s v="1_축산생명환경부"/>
    <x v="5"/>
    <s v="조수현"/>
    <s v="보도자료15"/>
    <s v="소고기 건식 숙성육 생산 가이드북 발간"/>
    <s v="농수축산신문"/>
    <d v="2019-02-11T00:00:00"/>
    <m/>
    <s v="09_농업전문지"/>
    <n v="1.5"/>
    <d v="2019-02-11T00:00:00"/>
  </r>
  <r>
    <n v="797"/>
    <s v="8_국립축산과학원"/>
    <s v="2_축산자원개발부"/>
    <x v="6"/>
    <s v="임은아"/>
    <s v="보도자료17"/>
    <s v="영농준비 분주(포토뉴스)"/>
    <s v="전민일보"/>
    <d v="2019-02-08T00:00:00"/>
    <n v="2"/>
    <s v="09_지방일간지"/>
    <n v="1.5"/>
    <d v="2019-02-11T00:00:00"/>
  </r>
  <r>
    <n v="798"/>
    <s v="8_국립축산과학원"/>
    <s v="1_축산생명환경부"/>
    <x v="7"/>
    <s v="백열창"/>
    <s v="보도자료12"/>
    <s v="농사로에 ‘한국표준사료성분표’ 제공"/>
    <s v="한우신문"/>
    <d v="2019-02-05T00:00:00"/>
    <n v="4"/>
    <s v="10_기타전문지"/>
    <n v="1"/>
    <d v="2019-02-11T00:00:00"/>
  </r>
  <r>
    <n v="799"/>
    <s v="8_국립축산과학원"/>
    <s v="2_축산자원개발부"/>
    <x v="6"/>
    <s v="정종성"/>
    <s v="보도자료11"/>
    <s v="겨울사료작물, 봄철대비 관리 필요"/>
    <s v="한우신문"/>
    <d v="2019-02-05T00:00:00"/>
    <n v="4"/>
    <s v="10_기타전문지"/>
    <n v="1"/>
    <d v="2019-02-11T00:00:00"/>
  </r>
  <r>
    <n v="800"/>
    <s v="8_국립축산과학원"/>
    <s v="0_본원"/>
    <x v="3"/>
    <s v="조아라"/>
    <s v="보도자료7"/>
    <s v="호흡기질병·결막염 등 안구질환 각별 주의"/>
    <s v="한우신문"/>
    <d v="2019-02-05T00:00:00"/>
    <n v="5"/>
    <s v="10_기타전문지"/>
    <n v="1"/>
    <d v="2019-02-11T00:00:00"/>
  </r>
  <r>
    <n v="801"/>
    <s v="8_국립축산과학원"/>
    <s v="2_축산자원개발부"/>
    <x v="6"/>
    <s v="임은아"/>
    <s v="보도자료17"/>
    <s v="“추위 견딘 풀사료, 봄철 관리로 수확량 늘려요”"/>
    <s v="국토매일"/>
    <d v="2019-02-08T00:00:00"/>
    <m/>
    <s v="13_인터넷포털"/>
    <n v="0.1"/>
    <d v="2019-02-11T00:00:00"/>
  </r>
  <r>
    <n v="802"/>
    <s v="8_국립축산과학원"/>
    <s v="2_축산자원개발부"/>
    <x v="6"/>
    <s v="임은아"/>
    <s v="보도자료17"/>
    <s v="“추위 견딘 풀사료, 봄철 관리로 수확량 늘려요”"/>
    <s v="인트로뉴스"/>
    <d v="2019-02-08T00:00:00"/>
    <m/>
    <s v="13_인터넷포털"/>
    <n v="0.1"/>
    <d v="2019-02-11T00:00:00"/>
  </r>
  <r>
    <n v="803"/>
    <s v="8_국립축산과학원"/>
    <s v="2_축산자원개발부"/>
    <x v="6"/>
    <s v="임은아"/>
    <s v="보도자료17"/>
    <s v="“추위 견딘 풀사료, 봄철 관리로 수확량 늘려요”"/>
    <s v="강원경제신문"/>
    <d v="2019-02-08T00:00:00"/>
    <m/>
    <s v="13_인터넷포털"/>
    <n v="0.1"/>
    <d v="2019-02-11T00:00:00"/>
  </r>
  <r>
    <n v="804"/>
    <s v="8_국립축산과학원"/>
    <s v="2_축산자원개발부"/>
    <x v="6"/>
    <s v="임은아"/>
    <s v="보도자료17"/>
    <s v="“평균기온 5~6℃이상 오를 때 웃거름 줘야”"/>
    <s v="라이브뉴스"/>
    <d v="2019-02-08T00:00:00"/>
    <m/>
    <s v="13_인터넷포털"/>
    <n v="0.1"/>
    <d v="2019-02-11T00:00:00"/>
  </r>
  <r>
    <n v="805"/>
    <s v="8_국립축산과학원"/>
    <s v="1_축산생명환경부"/>
    <x v="7"/>
    <s v="백열창"/>
    <s v="보도자료12"/>
    <s v="“사료 영양성분, 농사로서 확인하세요”"/>
    <s v="한국임업신문"/>
    <d v="2019-02-07T00:00:00"/>
    <n v="7"/>
    <s v="09_농업전문지"/>
    <n v="1.5"/>
    <d v="2019-02-12T00:00:00"/>
  </r>
  <r>
    <n v="806"/>
    <s v="8_국립축산과학원"/>
    <s v="1_축산생명환경부"/>
    <x v="7"/>
    <s v="백열창"/>
    <s v="보도자료12"/>
    <s v="사료 영양성분 “농사로에서 확인하세요”"/>
    <s v="농축환경신문"/>
    <d v="2019-01-31T00:00:00"/>
    <n v="2"/>
    <s v="09_농업전문지"/>
    <n v="1.5"/>
    <d v="2019-02-12T00:00:00"/>
  </r>
  <r>
    <n v="807"/>
    <s v="8_국립축산과학원"/>
    <s v="0_본원"/>
    <x v="4"/>
    <s v="강보석"/>
    <s v="보도자료9"/>
    <s v="토종닭 4품종, 국제 시스템에 이름 올려"/>
    <s v="농축환경신문"/>
    <d v="2019-01-31T00:00:00"/>
    <n v="4"/>
    <s v="09_농업전문지"/>
    <n v="1.5"/>
    <d v="2019-02-12T00:00:00"/>
  </r>
  <r>
    <n v="808"/>
    <s v="8_국립축산과학원"/>
    <s v="0_본원"/>
    <x v="15"/>
    <s v="노희종"/>
    <s v="보도자료10"/>
    <s v="토종닭 4품종, 국제 시스템에 이름 올려"/>
    <s v="농축환경신문"/>
    <d v="2019-01-31T00:00:00"/>
    <n v="4"/>
    <s v="09_농업전문지"/>
    <n v="1.5"/>
    <d v="2019-02-12T00:00:00"/>
  </r>
  <r>
    <n v="809"/>
    <s v="8_국립축산과학원"/>
    <s v="2_축산자원개발부"/>
    <x v="8"/>
    <s v="최연호"/>
    <s v="보도자료8"/>
    <s v="능력 체형 좋은 ‘젖소 씨수소 4마리’ 선발"/>
    <s v="농축환경신문"/>
    <d v="2019-01-31T00:00:00"/>
    <n v="6"/>
    <s v="09_농업전문지"/>
    <n v="1.5"/>
    <d v="2019-02-12T00:00:00"/>
  </r>
  <r>
    <n v="810"/>
    <s v="8_국립축산과학원"/>
    <s v="2_축산자원개발부"/>
    <x v="6"/>
    <s v="정종성"/>
    <s v="보도자료11"/>
    <s v="겨울사료작물 ‘상태 좋지만 봄 대비 관리해야’"/>
    <s v="농축환경신문"/>
    <d v="2019-01-31T00:00:00"/>
    <n v="4"/>
    <s v="09_농업전문지"/>
    <n v="1.5"/>
    <d v="2019-02-12T00:00:00"/>
  </r>
  <r>
    <n v="811"/>
    <s v="8_국립축산과학원"/>
    <s v="0_본원"/>
    <x v="14"/>
    <s v="권응기"/>
    <m/>
    <s v="한우 ‘수급조절’ 모색 대안?"/>
    <s v="한국농촌경제신문"/>
    <d v="2019-01-31T00:00:00"/>
    <n v="4"/>
    <s v="09_농업전문지"/>
    <n v="1.5"/>
    <d v="2019-02-12T00:00:00"/>
  </r>
  <r>
    <n v="812"/>
    <s v="8_국립축산과학원"/>
    <s v="1_축산생명환경부"/>
    <x v="5"/>
    <s v="조수현"/>
    <s v="보도자료15"/>
    <s v="농촌진흥청, 이달의 신간"/>
    <s v="농업인신문"/>
    <d v="2019-02-01T00:00:00"/>
    <m/>
    <s v="09_농업전문지"/>
    <n v="1.5"/>
    <d v="2019-02-12T00:00:00"/>
  </r>
  <r>
    <n v="813"/>
    <s v="8_국립축산과학원"/>
    <s v="1_축산생명환경부"/>
    <x v="5"/>
    <s v="유자연"/>
    <s v="보도자료16"/>
    <s v="농촌진흥청, 이달의 신간"/>
    <s v="농업인신문"/>
    <d v="2019-02-01T00:00:00"/>
    <m/>
    <s v="09_농업전문지"/>
    <n v="1.5"/>
    <d v="2019-02-12T00:00:00"/>
  </r>
  <r>
    <n v="814"/>
    <s v="8_국립축산과학원"/>
    <s v="0_본원"/>
    <x v="11"/>
    <s v="김보은"/>
    <s v="보도자료18"/>
    <s v="김경규 농진청장 설 명절 이웃사랑 나눔 실천"/>
    <s v="전북중앙"/>
    <d v="2019-01-31T00:00:00"/>
    <m/>
    <s v="09_지방일간지"/>
    <n v="1.5"/>
    <d v="2019-02-12T00:00:00"/>
  </r>
  <r>
    <n v="815"/>
    <s v="8_국립축산과학원"/>
    <s v="0_본원"/>
    <x v="11"/>
    <s v="김보은"/>
    <s v="보도자료18"/>
    <s v="김경규 농진청장, 사랑 나눔 봉사 실천"/>
    <s v="새전북신문"/>
    <d v="2019-01-31T00:00:00"/>
    <m/>
    <s v="09_지방일간지"/>
    <n v="1.5"/>
    <d v="2019-02-12T00:00:00"/>
  </r>
  <r>
    <n v="816"/>
    <s v="8_국립축산과학원"/>
    <s v="2_축산자원개발부"/>
    <x v="6"/>
    <s v="김원호"/>
    <m/>
    <s v="(초지사료품종개발연구실) “풀사료 수입국에서 수출국으로 추진”"/>
    <s v="농축산기계"/>
    <d v="2019-01-28T00:00:00"/>
    <n v="10"/>
    <s v="10_기타전문지"/>
    <n v="1"/>
    <d v="2019-02-12T00:00:00"/>
  </r>
  <r>
    <n v="817"/>
    <s v="8_국립축산과학원"/>
    <s v="1_축산생명환경부"/>
    <x v="5"/>
    <s v="조수현"/>
    <s v="보도자료15"/>
    <s v="농촌진흥청, 이달의 신간"/>
    <s v="정책브리핑"/>
    <d v="2019-02-01T00:00:00"/>
    <m/>
    <s v="12_대한민국 정책포털(korea.kr)"/>
    <n v="1"/>
    <d v="2019-02-12T00:00:00"/>
  </r>
  <r>
    <n v="818"/>
    <s v="8_국립축산과학원"/>
    <s v="1_축산생명환경부"/>
    <x v="5"/>
    <s v="유자연"/>
    <s v="보도자료16"/>
    <s v="농촌진흥청, 이달의 신간"/>
    <s v="정책브리핑"/>
    <d v="2019-02-01T00:00:00"/>
    <m/>
    <s v="12_대한민국 정책포털(korea.kr)"/>
    <n v="1"/>
    <d v="2019-02-12T00:00:00"/>
  </r>
  <r>
    <n v="819"/>
    <s v="8_국립축산과학원"/>
    <s v="0_본원"/>
    <x v="11"/>
    <s v="김보은"/>
    <s v="보도자료18"/>
    <s v="김경규 농촌진흥청장, 전주 사랑의집·전통시장 방문"/>
    <s v="정책브리핑"/>
    <d v="2019-01-31T00:00:00"/>
    <m/>
    <s v="12_대한민국 정책포털(korea.kr)"/>
    <n v="1"/>
    <d v="2019-02-12T00:00:00"/>
  </r>
  <r>
    <n v="820"/>
    <s v="8_국립축산과학원"/>
    <s v="0_본원"/>
    <x v="4"/>
    <s v="천동원"/>
    <s v="기고"/>
    <s v="[기고] 천동원 소장-축산현장 애로기술 해결 위한 닭 키우기[100문 100답] Q1,2"/>
    <s v="축산신문"/>
    <d v="2019-02-12T00:00:00"/>
    <n v="15"/>
    <s v="17_농업전문지"/>
    <n v="8"/>
    <d v="2019-02-13T00:00:00"/>
  </r>
  <r>
    <n v="821"/>
    <s v="8_국립축산과학원"/>
    <s v="1_축산생명환경부"/>
    <x v="9"/>
    <s v="전중환"/>
    <s v="기고"/>
    <s v="[기고] 전중환 연구사-동물복지 이면에 대한 단상"/>
    <s v="축산신문"/>
    <d v="2019-02-12T00:00:00"/>
    <n v="15"/>
    <s v="17_농업전문지"/>
    <n v="8"/>
    <d v="2019-02-13T00:00:00"/>
  </r>
  <r>
    <n v="822"/>
    <s v="8_국립축산과학원"/>
    <s v="2_축산자원개발부"/>
    <x v="6"/>
    <s v="임은아"/>
    <s v="보도자료17"/>
    <s v="추위 견딘 풀사료, 봄철 관리로 수확량 늘려요(포토뉴스)"/>
    <s v="머니투데이"/>
    <d v="2019-02-07T00:00:00"/>
    <m/>
    <s v="07_중앙일간지"/>
    <n v="5"/>
    <d v="2019-02-13T00:00:00"/>
  </r>
  <r>
    <n v="823"/>
    <s v="8_국립축산과학원"/>
    <s v="2_축산자원개발부"/>
    <x v="6"/>
    <s v="임은아"/>
    <s v="보도자료17"/>
    <s v="“겨울 사료작물, 웃거름·눌러주기 실시를”"/>
    <s v="한국농어민신문"/>
    <d v="2019-02-12T00:00:00"/>
    <n v="7"/>
    <s v="09_농업전문지"/>
    <n v="1.5"/>
    <d v="2019-02-13T00:00:00"/>
  </r>
  <r>
    <n v="824"/>
    <s v="8_국립축산과학원"/>
    <s v="1_축산생명환경부"/>
    <x v="5"/>
    <s v="유자연"/>
    <s v="보도자료16"/>
    <s v="유가공품 생산·판매 사업 운영 활용 가능"/>
    <s v="농수축산신문"/>
    <d v="2019-02-12T00:00:00"/>
    <n v="15"/>
    <s v="09_농업전문지"/>
    <n v="1.5"/>
    <d v="2019-02-13T00:00:00"/>
  </r>
  <r>
    <n v="825"/>
    <s v="8_국립축산과학원"/>
    <s v="1_축산생명환경부"/>
    <x v="7"/>
    <s v="백열창"/>
    <s v="보도자료12"/>
    <s v="사료 영양성분, 농사로에서 확인 당부"/>
    <s v="농식품PLUS신문"/>
    <d v="2019-01-31T00:00:00"/>
    <n v="18"/>
    <s v="10_기타전문지"/>
    <n v="1"/>
    <d v="2019-02-13T00:00:00"/>
  </r>
  <r>
    <n v="826"/>
    <s v="8_국립축산과학원"/>
    <s v="2_축산자원개발부"/>
    <x v="6"/>
    <s v="임은아"/>
    <s v="보도자료17"/>
    <s v="사료작물 생산량, 땅 누르기로 쑥쑥"/>
    <s v="농민신문"/>
    <d v="2019-02-13T00:00:00"/>
    <m/>
    <s v="09_농업전문지"/>
    <n v="1.5"/>
    <d v="2019-02-13T00:00:00"/>
  </r>
  <r>
    <n v="827"/>
    <s v="8_국립축산과학원"/>
    <s v="2_축산자원개발부"/>
    <x v="6"/>
    <s v="임은아"/>
    <s v="보도자료17"/>
    <s v="“추위 견딘 풀사료, 봄철 관리로 수확량 늘려요”"/>
    <s v="정책브리핑"/>
    <d v="2019-02-08T00:00:00"/>
    <m/>
    <s v="12_대한민국 정책포털(korea.kr)"/>
    <n v="1"/>
    <d v="2019-02-13T00:00:00"/>
  </r>
  <r>
    <n v="828"/>
    <s v="8_국립축산과학원"/>
    <s v="2_축산자원개발부"/>
    <x v="6"/>
    <s v="임은아"/>
    <s v="보도자료17"/>
    <s v="“추위 견딘 풀사료, 봄철 관리로 수확량 늘려요”"/>
    <s v="투어타임즈"/>
    <d v="2019-02-08T00:00:00"/>
    <m/>
    <s v="13_인터넷포털"/>
    <n v="0.1"/>
    <d v="2019-02-13T00:00:00"/>
  </r>
  <r>
    <n v="829"/>
    <s v="8_국립축산과학원"/>
    <s v="2_축산자원개발부"/>
    <x v="6"/>
    <s v="임은아"/>
    <s v="보도자료17"/>
    <s v="“추위 견딘 풀사료, 봄철 관리로 수확량 늘려요”"/>
    <s v="현장뉴스"/>
    <d v="2019-02-08T00:00:00"/>
    <m/>
    <s v="13_인터넷포털"/>
    <n v="0.1"/>
    <d v="2019-02-13T00:00:00"/>
  </r>
  <r>
    <n v="830"/>
    <s v="8_국립축산과학원"/>
    <s v="2_축산자원개발부"/>
    <x v="6"/>
    <s v="임은아"/>
    <s v="보도자료17"/>
    <s v="“추위 견딘 풀사료, 봄철 관리로 수확량 늘려요”"/>
    <s v="한국뉴스"/>
    <d v="2019-02-08T00:00:00"/>
    <m/>
    <s v="13_인터넷포털"/>
    <n v="0.1"/>
    <d v="2019-02-13T00:00:00"/>
  </r>
  <r>
    <n v="831"/>
    <s v="8_국립축산과학원"/>
    <s v="2_축산자원개발부"/>
    <x v="6"/>
    <s v="임은아"/>
    <s v="보도자료17"/>
    <s v="월동 사료작물, 봄철 관리가 중요해요!"/>
    <s v="뉴스에이"/>
    <d v="2019-02-13T00:00:00"/>
    <m/>
    <s v="13_인터넷포털"/>
    <n v="0.1"/>
    <d v="2019-02-13T00:00:00"/>
  </r>
  <r>
    <n v="832"/>
    <s v="8_국립축산과학원"/>
    <s v="1_축산생명환경부"/>
    <x v="9"/>
    <s v="김종복"/>
    <s v="보도자료19"/>
    <s v="“축산 정보통신기술 장치, 꼼꼼하게 관리하세요”"/>
    <s v="한국농촌경제신문"/>
    <d v="2019-02-14T00:00:00"/>
    <m/>
    <s v="09_농업전문지"/>
    <n v="1.5"/>
    <d v="2019-02-15T00:00:00"/>
  </r>
  <r>
    <n v="833"/>
    <s v="8_국립축산과학원"/>
    <s v="1_축산생명환경부"/>
    <x v="9"/>
    <s v="김종복"/>
    <s v="보도자료19"/>
    <s v="농진청, 축산 정보통신기술 장비 관리 당부"/>
    <s v="전북타임스"/>
    <d v="2019-02-14T00:00:00"/>
    <n v="7"/>
    <s v="09_지방일간지"/>
    <n v="1.5"/>
    <d v="2019-02-15T00:00:00"/>
  </r>
  <r>
    <n v="834"/>
    <s v="8_국립축산과학원"/>
    <s v="1_축산생명환경부"/>
    <x v="7"/>
    <s v="백열창"/>
    <s v="보도자료12"/>
    <s v="농진청 ‘한국표준사료 성분표’ 갱신"/>
    <s v="낙농신문"/>
    <d v="2019-02-14T00:00:00"/>
    <n v="2"/>
    <s v="10_기타전문지"/>
    <n v="1"/>
    <d v="2019-02-15T00:00:00"/>
  </r>
  <r>
    <n v="835"/>
    <s v="8_국립축산과학원"/>
    <s v="2_축산자원개발부"/>
    <x v="8"/>
    <s v="최연호"/>
    <s v="보도자료8"/>
    <s v="젖소 보증씨수소 4마리 새로 선발"/>
    <s v="낙농신문"/>
    <d v="2019-02-14T00:00:00"/>
    <n v="2"/>
    <s v="10_기타전문지"/>
    <n v="1"/>
    <d v="2019-02-15T00:00:00"/>
  </r>
  <r>
    <n v="836"/>
    <s v="8_국립축산과학원"/>
    <s v="2_축산자원개발부"/>
    <x v="6"/>
    <s v="정종성"/>
    <s v="보도자료11"/>
    <s v="겨울사료작물 양호, 봄 대비 관리 필요"/>
    <s v="낙농신문"/>
    <d v="2019-02-14T00:00:00"/>
    <n v="5"/>
    <s v="10_기타전문지"/>
    <n v="1"/>
    <d v="2019-02-15T00:00:00"/>
  </r>
  <r>
    <n v="837"/>
    <s v="8_국립축산과학원"/>
    <s v="2_축산자원개발부"/>
    <x v="12"/>
    <s v="기광석"/>
    <m/>
    <s v="저수분 사일리지, 급여시 기계화 용이"/>
    <s v="낙농신문"/>
    <d v="2019-02-14T00:00:00"/>
    <n v="13"/>
    <s v="10_기타전문지"/>
    <n v="1"/>
    <d v="2019-02-15T00:00:00"/>
  </r>
  <r>
    <n v="838"/>
    <s v="8_국립축산과학원"/>
    <s v="1_축산생명환경부"/>
    <x v="9"/>
    <s v="김종복"/>
    <s v="보도자료19"/>
    <s v="“축산 정보통신기술 장치, 주기적 관리 당부”"/>
    <s v="식약일보"/>
    <d v="2019-02-13T00:00:00"/>
    <m/>
    <s v="10_기타전문지"/>
    <n v="1"/>
    <d v="2019-02-15T00:00:00"/>
  </r>
  <r>
    <n v="839"/>
    <s v="8_국립축산과학원"/>
    <s v="2_축산자원개발부"/>
    <x v="6"/>
    <s v="임은아"/>
    <s v="보도자료17"/>
    <s v="경기도농업기술원, “월동 사료작물, 봄철 관리가 중요해요!”"/>
    <s v="수원시민신문"/>
    <d v="2019-02-13T00:00:00"/>
    <m/>
    <s v="11_기타(지역주간지)"/>
    <n v="0.5"/>
    <d v="2019-02-15T00:00:00"/>
  </r>
  <r>
    <n v="840"/>
    <s v="8_국립축산과학원"/>
    <s v="2_축산자원개발부"/>
    <x v="6"/>
    <s v="김원호"/>
    <m/>
    <s v="서천군농업기술센터, 겨울사료작물 파종 부진 해결책은 ‘봄 파종’"/>
    <s v="충청탑뉴스"/>
    <d v="2019-02-15T00:00:00"/>
    <m/>
    <s v="13_인터넷포털"/>
    <n v="0.1"/>
    <d v="2019-02-15T00:00:00"/>
  </r>
  <r>
    <n v="841"/>
    <s v="8_국립축산과학원"/>
    <s v="1_축산생명환경부"/>
    <x v="9"/>
    <s v="김종복"/>
    <s v="보도자료19"/>
    <s v="축산 ICT 장치, 관리해야 제대로 오래 쓴다"/>
    <s v="돼지와사람"/>
    <d v="2019-02-15T00:00:00"/>
    <m/>
    <s v="13_인터넷포털"/>
    <n v="0.1"/>
    <d v="2019-02-15T00:00:00"/>
  </r>
  <r>
    <n v="842"/>
    <s v="8_국립축산과학원"/>
    <s v="0_본원"/>
    <x v="4"/>
    <s v="천동원"/>
    <s v="기고"/>
    <s v="[기고] 천동원 소장-축산현장 애로기술 해결 위한 닭 키우기[100문 100답] Q3,4"/>
    <s v="축산신문"/>
    <d v="2019-02-15T00:00:00"/>
    <n v="15"/>
    <s v="17_농업전문지"/>
    <n v="8"/>
    <d v="2019-02-18T00:00:00"/>
  </r>
  <r>
    <n v="843"/>
    <s v="8_국립축산과학원"/>
    <s v="2_축산자원개발부"/>
    <x v="0"/>
    <s v="김영화"/>
    <m/>
    <s v="기획다큐S... 황금돼지의 해, 돼지의 재발견"/>
    <s v="YTN사이언스"/>
    <d v="2019-02-14T00:00:00"/>
    <m/>
    <s v="02_TV-케이블중앙"/>
    <n v="4"/>
    <d v="2019-02-18T00:00:00"/>
  </r>
  <r>
    <n v="844"/>
    <s v="8_국립축산과학원"/>
    <s v="2_축산자원개발부"/>
    <x v="0"/>
    <s v="김영신"/>
    <m/>
    <s v="기획다큐S... 황금돼지의 해, 돼지의 재발견"/>
    <s v="YTN사이언스"/>
    <d v="2019-02-14T00:00:00"/>
    <m/>
    <s v="02_TV-케이블중앙"/>
    <n v="4"/>
    <d v="2019-02-18T00:00:00"/>
  </r>
  <r>
    <n v="845"/>
    <s v="8_국립축산과학원"/>
    <s v="1_축산생명환경부"/>
    <x v="1"/>
    <s v="황성수"/>
    <m/>
    <s v="기획다큐S... 황금돼지의 해, 돼지의 재발견"/>
    <s v="YTN사이언스"/>
    <d v="2019-02-14T00:00:00"/>
    <m/>
    <s v="02_TV-케이블중앙"/>
    <n v="4"/>
    <d v="2019-02-18T00:00:00"/>
  </r>
  <r>
    <n v="846"/>
    <s v="8_국립축산과학원"/>
    <s v="0_본원"/>
    <x v="3"/>
    <s v="류재규"/>
    <m/>
    <s v="이개호 장관 &quot;농수산대 분교 여부, 지역 여론 감안해 결정&quot;(7시 뉴스)"/>
    <s v="KBS전주"/>
    <d v="2019-02-15T00:00:00"/>
    <m/>
    <s v="02_TV-지방"/>
    <n v="4"/>
    <d v="2019-02-18T00:00:00"/>
  </r>
  <r>
    <n v="847"/>
    <s v="8_국립축산과학원"/>
    <s v="0_본원"/>
    <x v="3"/>
    <s v="류재규"/>
    <m/>
    <s v="이개호 장관 &quot;가축자원 지키기 위해 철저한 방역 필요&quot;(8시 뉴스)"/>
    <s v="OBS"/>
    <d v="2019-02-15T00:00:00"/>
    <m/>
    <s v="02_TV-지방"/>
    <n v="4"/>
    <d v="2019-02-18T00:00:00"/>
  </r>
  <r>
    <n v="848"/>
    <s v="8_국립축산과학원"/>
    <s v="0_본원"/>
    <x v="3"/>
    <s v="류재규"/>
    <m/>
    <s v="이개호 장관 ‘소중한 가축자원 지키기 위해 철저한 방역 필요’"/>
    <s v="연합뉴스"/>
    <d v="2019-02-15T00:00:00"/>
    <m/>
    <s v="07_중앙일간지"/>
    <n v="5"/>
    <d v="2019-02-18T00:00:00"/>
  </r>
  <r>
    <n v="849"/>
    <s v="8_국립축산과학원"/>
    <s v="0_본원"/>
    <x v="3"/>
    <s v="류재규"/>
    <m/>
    <s v="이개호 장관 ‘구제역 상황점검 및 대책회의’(포토뉴스)"/>
    <s v="뉴스1"/>
    <d v="2019-02-15T00:00:00"/>
    <m/>
    <s v="07_중앙일간지"/>
    <n v="5"/>
    <d v="2019-02-18T00:00:00"/>
  </r>
  <r>
    <n v="850"/>
    <s v="8_국립축산과학원"/>
    <s v="0_본원"/>
    <x v="3"/>
    <s v="류재규"/>
    <m/>
    <s v="이개호 장관, 방역현장 점검 및 농촌진흥청 업무보고 참석"/>
    <s v="서울신문"/>
    <d v="2019-02-15T00:00:00"/>
    <m/>
    <s v="07_중앙일간지"/>
    <n v="5"/>
    <d v="2019-02-18T00:00:00"/>
  </r>
  <r>
    <n v="851"/>
    <s v="8_국립축산과학원"/>
    <s v="0_본원"/>
    <x v="3"/>
    <s v="류재규"/>
    <m/>
    <s v="이개호 장관 ‘국가 가축유전자원 지키는데 최선 다해야’"/>
    <s v="뉴시스"/>
    <d v="2019-02-15T00:00:00"/>
    <m/>
    <s v="07_중앙일간지"/>
    <n v="5"/>
    <d v="2019-02-18T00:00:00"/>
  </r>
  <r>
    <n v="852"/>
    <s v="8_국립축산과학원"/>
    <s v="2_축산자원개발부"/>
    <x v="8"/>
    <s v="최연호"/>
    <s v="보도자료8"/>
    <s v="젖소 보증씨수소 선발 모하비·그란데 등 4마리"/>
    <s v="한국농어민신문"/>
    <d v="2019-02-15T00:00:00"/>
    <n v="8"/>
    <s v="09_농업전문지"/>
    <n v="1.5"/>
    <d v="2019-02-18T00:00:00"/>
  </r>
  <r>
    <n v="853"/>
    <s v="8_국립축산과학원"/>
    <s v="2_축산자원개발부"/>
    <x v="0"/>
    <s v="문홍길"/>
    <m/>
    <s v="‘우리흑돈’ 브랜드 산업화 도모"/>
    <s v="축산신문"/>
    <d v="2019-02-15T00:00:00"/>
    <n v="6"/>
    <s v="09_농업전문지"/>
    <n v="1.5"/>
    <d v="2019-02-18T00:00:00"/>
  </r>
  <r>
    <n v="854"/>
    <s v="8_국립축산과학원"/>
    <s v="1_축산생명환경부"/>
    <x v="9"/>
    <s v="김종복"/>
    <s v="보도자료19"/>
    <s v="청소만 잘해도 축산 ICT 장비 잔고장 예방 가능"/>
    <s v="농수축산신문"/>
    <d v="2019-02-15T00:00:00"/>
    <m/>
    <s v="09_농업전문지"/>
    <n v="1.5"/>
    <d v="2019-02-18T00:00:00"/>
  </r>
  <r>
    <n v="855"/>
    <s v="8_국립축산과학원"/>
    <s v="0_본원"/>
    <x v="3"/>
    <s v="류재규"/>
    <m/>
    <s v="이개호 장관, 농촌진흥청 업무 보고 참석"/>
    <s v="한국영농신문"/>
    <d v="2019-02-16T00:00:00"/>
    <m/>
    <s v="09_농업전문지"/>
    <n v="1.5"/>
    <d v="2019-02-18T00:00:00"/>
  </r>
  <r>
    <n v="856"/>
    <s v="8_국립축산과학원"/>
    <s v="0_본원"/>
    <x v="3"/>
    <s v="류재규"/>
    <m/>
    <s v="이개호 장관, 국립축산과학원 찾아 미래 농업환경 역할 강조"/>
    <s v="중도일보"/>
    <d v="2019-02-15T00:00:00"/>
    <m/>
    <s v="09_지방일간지"/>
    <n v="1.5"/>
    <d v="2019-02-18T00:00:00"/>
  </r>
  <r>
    <n v="857"/>
    <s v="8_국립축산과학원"/>
    <s v="0_본원"/>
    <x v="3"/>
    <s v="류재규"/>
    <m/>
    <s v="서천군농업기술센터, 겨울사료작물 파종 부진 해결책은 ‘봄 파종’"/>
    <s v="충남일보"/>
    <d v="2019-02-16T00:00:00"/>
    <m/>
    <s v="09_지방일간지"/>
    <n v="1.5"/>
    <d v="2019-02-18T00:00:00"/>
  </r>
  <r>
    <n v="858"/>
    <s v="8_국립축산과학원"/>
    <s v="2_축산자원개발부"/>
    <x v="6"/>
    <s v="김원호"/>
    <m/>
    <s v="겨울사료작물 파종 부진 해결책은 ‘봄 파종’"/>
    <s v="충청투데이"/>
    <d v="2019-02-18T00:00:00"/>
    <m/>
    <s v="09_지방일간지"/>
    <n v="1.5"/>
    <d v="2019-02-18T00:00:00"/>
  </r>
  <r>
    <n v="859"/>
    <s v="8_국립축산과학원"/>
    <s v="2_축산자원개발부"/>
    <x v="6"/>
    <s v="김원호"/>
    <m/>
    <s v="서천군농업기술센터 “겨울사료작물 파종 부진 해결책은 ‘봄 파종’”"/>
    <s v="프라임경제"/>
    <d v="2019-02-16T00:00:00"/>
    <m/>
    <s v="10_주간지"/>
    <n v="1"/>
    <d v="2019-02-18T00:00:00"/>
  </r>
  <r>
    <n v="860"/>
    <s v="8_국립축산과학원"/>
    <s v="2_축산자원개발부"/>
    <x v="6"/>
    <s v="김원호"/>
    <m/>
    <s v="서천군농업기술센터, 겨울사료작물 파종 부진...해결책은 ‘봄파종’"/>
    <s v="로컬투데이"/>
    <d v="2019-02-15T00:00:00"/>
    <m/>
    <s v="13_인터넷포털"/>
    <n v="0.1"/>
    <d v="2019-02-18T00:00:00"/>
  </r>
  <r>
    <n v="861"/>
    <s v="8_국립축산과학원"/>
    <s v="0_본원"/>
    <x v="3"/>
    <s v="류재규"/>
    <m/>
    <s v="이개호 농식품부 장관, 방역현장 점검"/>
    <s v="보건뉴스"/>
    <d v="2019-02-15T00:00:00"/>
    <m/>
    <s v="13_인터넷포털"/>
    <n v="0.1"/>
    <d v="2019-02-18T00:00:00"/>
  </r>
  <r>
    <n v="862"/>
    <s v="8_국립축산과학원"/>
    <s v="0_본원"/>
    <x v="3"/>
    <s v="류재규"/>
    <m/>
    <s v="이개호 장관 “소중한 국가 가축유전자원 지키기 위해 최선 다해야”"/>
    <s v="이코노뉴스"/>
    <d v="2019-02-16T00:00:00"/>
    <m/>
    <s v="13_인터넷포털"/>
    <n v="0.1"/>
    <d v="2019-02-18T00:00:00"/>
  </r>
  <r>
    <n v="863"/>
    <s v="8_국립축산과학원"/>
    <s v="0_본원"/>
    <x v="3"/>
    <s v="류재규"/>
    <m/>
    <s v="이개호 장관, 농촌진흥청 업무보고 참석"/>
    <s v="농업경제신문"/>
    <d v="2019-02-17T00:00:00"/>
    <m/>
    <s v="13_인터넷포털"/>
    <n v="0.1"/>
    <d v="2019-02-18T00:00:00"/>
  </r>
  <r>
    <n v="864"/>
    <s v="8_국립축산과학원"/>
    <s v="1_축산생명환경부"/>
    <x v="9"/>
    <s v="김종복"/>
    <s v="보도자료19"/>
    <s v="축산 정보통신기술 장치, 관리 꼼꼼해야"/>
    <s v="농업인신문"/>
    <d v="2019-02-18T00:00:00"/>
    <n v="7"/>
    <s v="09_농업전문지"/>
    <n v="1.5"/>
    <d v="2019-02-19T00:00:00"/>
  </r>
  <r>
    <n v="865"/>
    <s v="8_국립축산과학원"/>
    <s v="1_축산생명환경부"/>
    <x v="9"/>
    <s v="김종복"/>
    <s v="보도자료19"/>
    <s v="축산 정보통신기술 장치, 꼼꼼하게 관리해야"/>
    <s v="농촌여성신문"/>
    <d v="2019-02-15T00:00:00"/>
    <m/>
    <s v="09_농업전문지"/>
    <n v="1.5"/>
    <d v="2019-02-19T00:00:00"/>
  </r>
  <r>
    <n v="866"/>
    <s v="8_국립축산과학원"/>
    <s v="1_축산생명환경부"/>
    <x v="9"/>
    <s v="김종복"/>
    <s v="보도자료19"/>
    <s v="축산 정보통신기술 장치, 꼼꼼하게 관리 필요"/>
    <s v="농축유통신문"/>
    <d v="2019-02-15T00:00:00"/>
    <m/>
    <s v="09_농업전문지"/>
    <n v="1.5"/>
    <d v="2019-02-19T00:00:00"/>
  </r>
  <r>
    <n v="867"/>
    <s v="8_국립축산과학원"/>
    <s v="0_본원"/>
    <x v="3"/>
    <s v="류재규"/>
    <m/>
    <s v="이개호 농림부장관, 농진청 방역 점검"/>
    <s v="삼남일보"/>
    <d v="2019-02-18T00:00:00"/>
    <n v="1"/>
    <s v="09_지방일간지"/>
    <n v="1.5"/>
    <d v="2019-02-19T00:00:00"/>
  </r>
  <r>
    <n v="868"/>
    <s v="8_국립축산과학원"/>
    <s v="0_본원"/>
    <x v="3"/>
    <s v="류재규"/>
    <m/>
    <s v="“가축질병 예방 위한 축사 환경 개선 중요”"/>
    <s v="전민일보"/>
    <d v="2019-02-18T00:00:00"/>
    <n v="4"/>
    <s v="09_지방일간지"/>
    <n v="1.5"/>
    <d v="2019-02-19T00:00:00"/>
  </r>
  <r>
    <n v="869"/>
    <s v="8_국립축산과학원"/>
    <s v="0_본원"/>
    <x v="3"/>
    <s v="류재규"/>
    <m/>
    <s v="이개호 장관, 사람중심 농정개혁 총력"/>
    <s v="전북연합신문"/>
    <d v="2019-02-18T00:00:00"/>
    <n v="5"/>
    <s v="09_지방일간지"/>
    <n v="1.5"/>
    <d v="2019-02-19T00:00:00"/>
  </r>
  <r>
    <n v="870"/>
    <s v="8_국립축산과학원"/>
    <s v="0_본원"/>
    <x v="3"/>
    <s v="류재규"/>
    <m/>
    <s v="이개호 “가축유전자원에 최선 다해달라”"/>
    <s v="전북중앙"/>
    <d v="2019-02-18T00:00:00"/>
    <n v="6"/>
    <s v="09_지방일간지"/>
    <n v="1.5"/>
    <d v="2019-02-19T00:00:00"/>
  </r>
  <r>
    <n v="871"/>
    <s v="8_국립축산과학원"/>
    <s v="0_본원"/>
    <x v="3"/>
    <s v="류재규"/>
    <m/>
    <s v="이개호 농식품부 장관 전북 방문…구제역 방역 추진상황 등 점검"/>
    <s v="전라일보"/>
    <d v="2019-02-18T00:00:00"/>
    <n v="2"/>
    <s v="09_지방일간지"/>
    <n v="1.5"/>
    <d v="2019-02-19T00:00:00"/>
  </r>
  <r>
    <n v="872"/>
    <s v="8_국립축산과학원"/>
    <s v="0_본원"/>
    <x v="3"/>
    <s v="류재규"/>
    <m/>
    <s v="이개호 농식품부 장관, 농촌진흥청 첫 방문"/>
    <s v="새전북신문"/>
    <d v="2019-02-18T00:00:00"/>
    <n v="4"/>
    <s v="09_지방일간지"/>
    <n v="1.5"/>
    <d v="2019-02-19T00:00:00"/>
  </r>
  <r>
    <n v="873"/>
    <s v="8_국립축산과학원"/>
    <s v="1_축산생명환경부"/>
    <x v="9"/>
    <s v="김종복"/>
    <s v="보도자료19"/>
    <s v="“축산 정보통신기술 장치, 꼼꼼하게 관리하세요”"/>
    <s v="정책브리핑"/>
    <d v="2019-02-14T00:00:00"/>
    <m/>
    <s v="12_대한민국 정책포털(korea.kr)"/>
    <n v="1"/>
    <d v="2019-02-19T00:00:00"/>
  </r>
  <r>
    <n v="874"/>
    <s v="8_국립축산과학원"/>
    <s v="1_축산생명환경부"/>
    <x v="9"/>
    <s v="김종복"/>
    <s v="보도자료19"/>
    <s v="“축산 정보통신기술 장치, 꼼꼼하게 관리하세요”"/>
    <s v="뉴스락"/>
    <d v="2019-02-18T00:00:00"/>
    <m/>
    <s v="13_인터넷포털"/>
    <n v="0.1"/>
    <d v="2019-02-19T00:00:00"/>
  </r>
  <r>
    <n v="875"/>
    <s v="8_국립축산과학원"/>
    <s v="0_본원"/>
    <x v="4"/>
    <s v="천동원"/>
    <s v="기고"/>
    <s v="[기고] 천동원 소장-축산현장 애로기술 해결 위한 닭 키우기[100문 100답] Q5"/>
    <s v="축산신문"/>
    <d v="2019-02-19T00:00:00"/>
    <n v="15"/>
    <s v="17_농업전문지"/>
    <n v="8"/>
    <d v="2019-02-20T00:00:00"/>
  </r>
  <r>
    <n v="876"/>
    <s v="8_국립축산과학원"/>
    <s v="0_본원"/>
    <x v="14"/>
    <s v="한만희"/>
    <m/>
    <s v="(동정) 계통축군 방향설정 회의 개최"/>
    <s v="축산신문"/>
    <d v="2019-02-19T00:00:00"/>
    <n v="12"/>
    <s v="09_농업전문지"/>
    <n v="1.5"/>
    <d v="2019-02-20T00:00:00"/>
  </r>
  <r>
    <n v="877"/>
    <s v="8_국립축산과학원"/>
    <s v="1_축산생명환경부"/>
    <x v="9"/>
    <s v="김종복"/>
    <s v="보도자료19"/>
    <s v="“축산 ICT 장치, 꼼꼼하게 관리하세요”"/>
    <s v="축산신문"/>
    <d v="2019-02-19T00:00:00"/>
    <n v="13"/>
    <s v="09_농업전문지"/>
    <n v="1.5"/>
    <d v="2019-02-20T00:00:00"/>
  </r>
  <r>
    <n v="878"/>
    <s v="8_국립축산과학원"/>
    <s v="2_축산자원개발부"/>
    <x v="6"/>
    <s v="임은아"/>
    <s v="보도자료17"/>
    <s v="겨울 풀사료 ‘봄철 관리로 수확량 늘려야’"/>
    <s v="농축환경신문"/>
    <d v="2019-02-14T00:00:00"/>
    <n v="5"/>
    <s v="09_농업전문지"/>
    <n v="1.5"/>
    <d v="2019-02-20T00:00:00"/>
  </r>
  <r>
    <n v="879"/>
    <s v="8_국립축산과학원"/>
    <s v="0_본원"/>
    <x v="2"/>
    <s v="김용민"/>
    <m/>
    <s v="‘이베리코’ 물렀거라, ‘우리흑돈’ 납신다~"/>
    <s v="농촌여성신문"/>
    <d v="2019-02-18T00:00:00"/>
    <n v="4"/>
    <s v="09_농업전문지"/>
    <n v="1.5"/>
    <d v="2019-02-20T00:00:00"/>
  </r>
  <r>
    <n v="880"/>
    <s v="8_국립축산과학원"/>
    <s v="0_본원"/>
    <x v="3"/>
    <s v="류재규"/>
    <m/>
    <s v="구제역, 사실상 종식 수순…“완전 종료까지 방심은 금물”"/>
    <s v="농민신문"/>
    <d v="2019-02-20T00:00:00"/>
    <m/>
    <s v="09_농업전문지"/>
    <n v="1.5"/>
    <d v="2019-02-20T00:00:00"/>
  </r>
  <r>
    <n v="881"/>
    <s v="8_국립축산과학원"/>
    <s v="1_축산생명환경부"/>
    <x v="9"/>
    <s v="김종복"/>
    <s v="보도자료19"/>
    <s v="축산농가 사용 ICT 장비 점검 꼼꼼히"/>
    <s v="한국농어민신문"/>
    <d v="2019-02-19T00:00:00"/>
    <m/>
    <s v="09_농업전문지"/>
    <n v="1.5"/>
    <d v="2019-02-20T00:00:00"/>
  </r>
  <r>
    <n v="882"/>
    <s v="8_국립축산과학원"/>
    <s v="1_축산생명환경부"/>
    <x v="9"/>
    <s v="김종복"/>
    <s v="보도자료19"/>
    <s v="축산 ICT 기기 주기적 청소를"/>
    <s v="축산경제"/>
    <d v="2019-02-15T00:00:00"/>
    <m/>
    <s v="09_농업전문지"/>
    <n v="1.5"/>
    <d v="2019-02-20T00:00:00"/>
  </r>
  <r>
    <n v="883"/>
    <s v="8_국립축산과학원"/>
    <s v="2_축산자원개발부"/>
    <x v="0"/>
    <s v="문홍길"/>
    <m/>
    <s v="잘 자라고 맛 좋은 ‘우리흑돈’ 분양합니다"/>
    <s v="돼지와사람"/>
    <d v="2019-02-17T00:00:00"/>
    <m/>
    <s v="13_인터넷포털"/>
    <n v="0.1"/>
    <d v="2019-02-20T00:00:00"/>
  </r>
  <r>
    <n v="884"/>
    <s v="8_국립축산과학원"/>
    <s v="2_축산자원개발부"/>
    <x v="0"/>
    <s v="문홍길"/>
    <m/>
    <s v="알쓸맛돈-돼지고기 맛의 선택권"/>
    <s v="조선일보"/>
    <d v="2019-02-21T00:00:00"/>
    <m/>
    <s v="07_중앙일간지"/>
    <n v="5"/>
    <d v="2019-02-22T00:00:00"/>
  </r>
  <r>
    <n v="885"/>
    <s v="8_국립축산과학원"/>
    <s v="2_축산자원개발부"/>
    <x v="6"/>
    <s v="김원호"/>
    <m/>
    <s v="겨울사료작물 파종 부진 해결책은 ‘봄 파종’"/>
    <s v="전업농신문"/>
    <d v="2019-02-20T00:00:00"/>
    <m/>
    <s v="09_농업전문지"/>
    <n v="1.5"/>
    <d v="2019-02-22T00:00:00"/>
  </r>
  <r>
    <n v="886"/>
    <s v="8_국립축산과학원"/>
    <s v="1_축산생명환경부"/>
    <x v="9"/>
    <s v="김종복"/>
    <s v="보도자료19"/>
    <s v="겨울철 축산 ICT장비, 주기적인 청소 필수"/>
    <s v="전업농신문"/>
    <d v="2019-02-13T00:00:00"/>
    <m/>
    <s v="09_농업전문지"/>
    <n v="1.5"/>
    <d v="2019-02-22T00:00:00"/>
  </r>
  <r>
    <n v="887"/>
    <s v="8_국립축산과학원"/>
    <s v="2_축산자원개발부"/>
    <x v="6"/>
    <s v="임은아"/>
    <s v="보도자료17"/>
    <s v="풀사료 수확량, 봄철 관리에서 결정"/>
    <s v="전업농신문"/>
    <d v="2019-02-20T00:00:00"/>
    <n v="11"/>
    <s v="09_농업전문지"/>
    <n v="1.5"/>
    <d v="2019-02-22T00:00:00"/>
  </r>
  <r>
    <n v="888"/>
    <s v="8_국립축산과학원"/>
    <s v="1_축산생명환경부"/>
    <x v="9"/>
    <s v="김종복"/>
    <s v="보도자료19"/>
    <s v="ICT 장비 주기적 관리 필수"/>
    <s v="양돈타임스"/>
    <d v="2019-02-21T00:00:00"/>
    <n v="9"/>
    <s v="09_농업전문지"/>
    <n v="1.5"/>
    <d v="2019-02-22T00:00:00"/>
  </r>
  <r>
    <n v="889"/>
    <s v="8_국립축산과학원"/>
    <s v="0_본원"/>
    <x v="3"/>
    <s v="류재규"/>
    <m/>
    <s v="“소중한 가축자원 지키기 만전”"/>
    <s v="한우신문"/>
    <d v="2019-02-19T00:00:00"/>
    <n v="1"/>
    <s v="10_기타전문지"/>
    <n v="1"/>
    <d v="2019-02-22T00:00:00"/>
  </r>
  <r>
    <n v="890"/>
    <s v="8_국립축산과학원"/>
    <s v="2_축산자원개발부"/>
    <x v="6"/>
    <s v="임은아"/>
    <s v="보도자료17"/>
    <s v="기온 올랐을 때 잘 자라도록 겨울 사료작물 웃거름 줘야"/>
    <s v="한우신문"/>
    <d v="2019-02-19T00:00:00"/>
    <n v="4"/>
    <s v="10_기타전문지"/>
    <n v="1"/>
    <d v="2019-02-22T00:00:00"/>
  </r>
  <r>
    <n v="891"/>
    <s v="8_국립축산과학원"/>
    <s v="1_축산생명환경부"/>
    <x v="5"/>
    <s v="조수현"/>
    <s v="보도자료15"/>
    <s v="쇠고기 숙성기술 가이드 펴내"/>
    <s v="한우신문"/>
    <d v="2019-02-19T00:00:00"/>
    <n v="8"/>
    <s v="10_기타전문지"/>
    <n v="1"/>
    <d v="2019-02-22T00:00:00"/>
  </r>
  <r>
    <n v="892"/>
    <s v="8_국립축산과학원"/>
    <s v="0_본원"/>
    <x v="14"/>
    <s v="한만희"/>
    <m/>
    <s v="한우 번식장애 발생률 7.7% 높은 편…무발정 70% 차지"/>
    <s v="한우신문"/>
    <d v="2019-02-19T00:00:00"/>
    <s v="12,13"/>
    <s v="10_기타전문지"/>
    <n v="1"/>
    <d v="2019-02-22T00:00:00"/>
  </r>
  <r>
    <n v="893"/>
    <s v="8_국립축산과학원"/>
    <s v="1_축산생명환경부"/>
    <x v="9"/>
    <s v="김종복"/>
    <s v="보도자료19"/>
    <s v="CCTV·감지기 등 ICT 장비 일주일에 1회이상 먼지 제거"/>
    <s v="한우신문"/>
    <d v="2019-02-19T00:00:00"/>
    <n v="15"/>
    <s v="10_기타전문지"/>
    <n v="1"/>
    <d v="2019-02-22T00:00:00"/>
  </r>
  <r>
    <n v="894"/>
    <s v="8_국립축산과학원"/>
    <s v="2_축산자원개발부"/>
    <x v="6"/>
    <s v="임은아"/>
    <s v="보도자료17"/>
    <s v="겨울사료 작물 눌러주면 생산량 증가"/>
    <s v="낙농신문"/>
    <d v="2019-02-21T00:00:00"/>
    <n v="5"/>
    <s v="10_기타전문지"/>
    <n v="1"/>
    <d v="2019-02-22T00:00:00"/>
  </r>
  <r>
    <n v="895"/>
    <s v="8_국립축산과학원"/>
    <s v="2_축산자원개발부"/>
    <x v="12"/>
    <s v="기광석"/>
    <m/>
    <s v="칼슘 부족, 뼈 정상발육 저해 유량 저하"/>
    <s v="낙농신문"/>
    <d v="2019-02-21T00:00:00"/>
    <n v="13"/>
    <s v="10_기타전문지"/>
    <n v="1"/>
    <d v="2019-02-22T00:00:00"/>
  </r>
  <r>
    <n v="896"/>
    <s v="8_국립축산과학원"/>
    <s v="0_본원"/>
    <x v="4"/>
    <s v="천동원"/>
    <s v="기고"/>
    <s v="[기고] 천동원 소장-축산현장 애로기술 해결 위한 닭 키우기[100문 100답] Q6,7"/>
    <s v="축산신문"/>
    <d v="2019-02-22T00:00:00"/>
    <n v="15"/>
    <s v="17_농업전문지"/>
    <n v="8"/>
    <d v="2019-02-25T00:00:00"/>
  </r>
  <r>
    <n v="897"/>
    <s v="8_국립축산과학원"/>
    <s v="2_축산자원개발부"/>
    <x v="0"/>
    <s v="김두완"/>
    <m/>
    <s v="골라라, 더 맛있는 돼지고기"/>
    <s v="조선일보"/>
    <d v="2019-02-23T00:00:00"/>
    <n v="8"/>
    <s v="07_중앙일간지"/>
    <n v="5"/>
    <d v="2019-02-25T00:00:00"/>
  </r>
  <r>
    <n v="898"/>
    <s v="8_국립축산과학원"/>
    <s v="0_본원"/>
    <x v="10"/>
    <s v="양병철"/>
    <m/>
    <s v="골라라, 더 맛있는 돼지고기"/>
    <s v="조선일보"/>
    <d v="2019-02-23T00:00:00"/>
    <n v="8"/>
    <s v="07_중앙일간지"/>
    <n v="5"/>
    <d v="2019-02-25T00:00:00"/>
  </r>
  <r>
    <n v="899"/>
    <s v="8_국립축산과학원"/>
    <s v="0_본원"/>
    <x v="3"/>
    <s v="류재규"/>
    <m/>
    <s v="(동정) 농진청 업무 보고받아"/>
    <s v="축산신문"/>
    <d v="2019-02-22T00:00:00"/>
    <n v="12"/>
    <s v="09_농업전문지"/>
    <n v="1.5"/>
    <d v="2019-02-25T00:00:00"/>
  </r>
  <r>
    <n v="900"/>
    <s v="8_국립축산과학원"/>
    <s v="1_축산생명환경부"/>
    <x v="5"/>
    <s v="유자연"/>
    <s v="보도자료16"/>
    <s v="‘목장형 유가공 창업 알리미’ 발간"/>
    <s v="축산신문"/>
    <d v="2019-02-22T00:00:00"/>
    <n v="5"/>
    <s v="09_농업전문지"/>
    <n v="1.5"/>
    <d v="2019-02-25T00:00:00"/>
  </r>
  <r>
    <n v="901"/>
    <s v="8_국립축산과학원"/>
    <s v="0_본원"/>
    <x v="3"/>
    <s v="류재규"/>
    <m/>
    <s v="이개호 농림축산식품부 장관 “해외종자시장 개척”"/>
    <s v="전북도민일보"/>
    <d v="2019-02-17T00:00:00"/>
    <m/>
    <s v="09_지방일간지"/>
    <n v="1.5"/>
    <d v="2019-02-25T00:00:00"/>
  </r>
  <r>
    <n v="902"/>
    <s v="8_국립축산과학원"/>
    <s v="1_축산생명환경부"/>
    <x v="5"/>
    <s v="조수현"/>
    <s v="보도자료15"/>
    <s v="이달의 신간(쇠고기 건식 숙성육 생산을 위한 품질 및 위생 관리 가이드)"/>
    <s v="농식품PLUS신문"/>
    <d v="2019-02-15T00:00:00"/>
    <n v="18"/>
    <s v="10_기타전문지"/>
    <n v="1"/>
    <d v="2019-02-25T00:00:00"/>
  </r>
  <r>
    <n v="903"/>
    <s v="8_국립축산과학원"/>
    <s v="1_축산생명환경부"/>
    <x v="5"/>
    <s v="유자연"/>
    <s v="보도자료16"/>
    <s v="이달의 신간(6차 산업 목장 가이드 ‘목장형 유가공 창업 알리미’)"/>
    <s v="농식품PLUS신문"/>
    <d v="2019-02-15T00:00:00"/>
    <n v="18"/>
    <s v="10_기타전문지"/>
    <n v="1"/>
    <d v="2019-02-25T00:00:00"/>
  </r>
  <r>
    <n v="904"/>
    <s v="8_국립축산과학원"/>
    <s v="0_본원"/>
    <x v="3"/>
    <s v="류재규"/>
    <m/>
    <s v="이개호 장관, 방역현장 점검 및 농촌진흥청 업무보고 참석"/>
    <s v="정책브리핑"/>
    <d v="2019-02-15T00:00:00"/>
    <m/>
    <s v="12_대한민국 정책포털(korea.kr)"/>
    <n v="1"/>
    <d v="2019-02-25T00:00:00"/>
  </r>
  <r>
    <n v="905"/>
    <s v="8_국립축산과학원"/>
    <s v="1_축산생명환경부"/>
    <x v="9"/>
    <s v="김종복"/>
    <s v="보도자료19"/>
    <s v="축산 정보통신 장치, 꼼꼼하게 관리해야"/>
    <s v="한국영농신문"/>
    <d v="2019-02-25T00:00:00"/>
    <m/>
    <s v="09_농업전문지"/>
    <n v="1.5"/>
    <d v="2019-02-26T00:00:00"/>
  </r>
  <r>
    <n v="906"/>
    <s v="8_국립축산과학원"/>
    <s v="0_본원"/>
    <x v="2"/>
    <m/>
    <m/>
    <s v="축산과학원 성환종축장 이전 탄력받나"/>
    <s v="남도일보"/>
    <d v="2019-02-25T00:00:00"/>
    <m/>
    <s v="09_지방일간지"/>
    <n v="1.5"/>
    <d v="2019-02-26T00:00:00"/>
  </r>
  <r>
    <n v="907"/>
    <s v="8_국립축산과학원"/>
    <s v="0_본원"/>
    <x v="2"/>
    <m/>
    <m/>
    <s v="전남도, 성환종축장 함평 이전 지원 ‘총력’"/>
    <s v="전남일보"/>
    <d v="2019-02-25T00:00:00"/>
    <m/>
    <s v="09_지방일간지"/>
    <n v="1.5"/>
    <d v="2019-02-26T00:00:00"/>
  </r>
  <r>
    <n v="908"/>
    <s v="8_국립축산과학원"/>
    <s v="2_축산자원개발부"/>
    <x v="8"/>
    <s v="박미나"/>
    <s v="보도자료20"/>
    <s v="농촌진흥청, 이달의 신간(한우 개량 교배계획, 한국가축사양표준 간편판)"/>
    <s v="정책브리핑"/>
    <d v="2019-02-26T00:00:00"/>
    <m/>
    <s v="12_대한민국 정책포털(korea.kr)"/>
    <n v="1"/>
    <d v="2019-02-26T00:00:00"/>
  </r>
  <r>
    <n v="909"/>
    <s v="8_국립축산과학원"/>
    <s v="1_축산생명환경부"/>
    <x v="7"/>
    <s v="이현정"/>
    <s v="보도자료21"/>
    <s v="농촌진흥청, 이달의 신간(한우 개량 교배계획, 한국가축사양표준 간편판)"/>
    <s v="정책브리핑"/>
    <d v="2019-02-26T00:00:00"/>
    <m/>
    <s v="12_대한민국 정책포털(korea.kr)"/>
    <n v="1"/>
    <d v="2019-02-26T00:00:00"/>
  </r>
  <r>
    <n v="910"/>
    <s v="8_국립축산과학원"/>
    <s v="0_본원"/>
    <x v="4"/>
    <s v="천동원"/>
    <s v="기고"/>
    <s v="[기고] 천동원 소장-축산현장 애로기술 해결 위한 닭 키우기[100문 100답] Q8"/>
    <s v="축산신문"/>
    <d v="2019-02-26T00:00:00"/>
    <n v="13"/>
    <s v="17_농업전문지"/>
    <n v="8"/>
    <d v="2019-02-27T00:00:00"/>
  </r>
  <r>
    <n v="911"/>
    <s v="8_국립축산과학원"/>
    <s v="2_축산자원개발부"/>
    <x v="6"/>
    <s v="김원호"/>
    <s v="기고"/>
    <s v="[기고] 김원호 과장-지역별 특성 맞는 건초 생산방식 보급을"/>
    <s v="축산신문"/>
    <d v="2019-02-26T00:00:00"/>
    <n v="16"/>
    <s v="17_농업전문지"/>
    <n v="8"/>
    <d v="2019-02-27T00:00:00"/>
  </r>
  <r>
    <n v="912"/>
    <s v="8_국립축산과학원"/>
    <s v="1_축산생명환경부"/>
    <x v="1"/>
    <s v="황성수"/>
    <s v="기고"/>
    <s v="[기고] 황성수 연구관-의료용 축산 발전 위해 힘 모아야"/>
    <s v="농수축산신문"/>
    <d v="2019-02-26T00:00:00"/>
    <n v="6"/>
    <s v="17_농업전문지"/>
    <n v="8"/>
    <d v="2019-02-27T00:00:00"/>
  </r>
  <r>
    <n v="913"/>
    <s v="8_국립축산과학원"/>
    <s v="2_축산자원개발부"/>
    <x v="8"/>
    <s v="박미나"/>
    <s v="보도자료20"/>
    <s v="농촌진흥청, 이달의 신간"/>
    <s v="서울신문"/>
    <d v="2019-02-26T00:00:00"/>
    <m/>
    <s v="07_중앙일간지"/>
    <n v="5"/>
    <d v="2019-02-27T00:00:00"/>
  </r>
  <r>
    <n v="914"/>
    <s v="8_국립축산과학원"/>
    <s v="1_축산생명환경부"/>
    <x v="7"/>
    <s v="이현정"/>
    <s v="보도자료21"/>
    <s v="농촌진흥청, 이달의 신간"/>
    <s v="서울신문"/>
    <d v="2019-02-26T00:00:00"/>
    <m/>
    <s v="07_중앙일간지"/>
    <n v="5"/>
    <d v="2019-02-27T00:00:00"/>
  </r>
  <r>
    <n v="915"/>
    <s v="8_국립축산과학원"/>
    <s v="2_축산자원개발부"/>
    <x v="8"/>
    <s v="박미나"/>
    <s v="보도자료20"/>
    <s v="농촌진흥청, 이달의 신간 7권 소개"/>
    <s v="전북타임스"/>
    <d v="2019-02-26T00:00:00"/>
    <n v="7"/>
    <s v="09_지방일간지"/>
    <n v="1.5"/>
    <d v="2019-02-27T00:00:00"/>
  </r>
  <r>
    <n v="916"/>
    <s v="8_국립축산과학원"/>
    <s v="1_축산생명환경부"/>
    <x v="7"/>
    <s v="이현정"/>
    <s v="보도자료21"/>
    <s v="농촌진흥청, 이달의 신간 7권 소개"/>
    <s v="전북타임스"/>
    <d v="2019-02-26T00:00:00"/>
    <n v="7"/>
    <s v="09_지방일간지"/>
    <n v="1.5"/>
    <d v="2019-02-27T00:00:00"/>
  </r>
  <r>
    <n v="917"/>
    <s v="8_국립축산과학원"/>
    <s v="0_본원"/>
    <x v="2"/>
    <m/>
    <m/>
    <s v="천안시 유치경쟁 잇단 고배 책임론 대두"/>
    <s v="대전일보"/>
    <d v="2019-02-26T00:00:00"/>
    <n v="14"/>
    <s v="09_지방일간지"/>
    <n v="1.5"/>
    <d v="2019-02-27T00:00:00"/>
  </r>
  <r>
    <n v="918"/>
    <s v="8_국립축산과학원"/>
    <s v="1_축산생명환경부"/>
    <x v="9"/>
    <s v="김종복"/>
    <s v="보도자료19"/>
    <s v="축산ICT장비, 간단한 청소로 고장줄여"/>
    <s v="농축산기계"/>
    <d v="2019-02-20T00:00:00"/>
    <n v="16"/>
    <s v="10_기타전문지"/>
    <n v="1"/>
    <d v="2019-02-27T00:00:00"/>
  </r>
  <r>
    <n v="919"/>
    <s v="8_국립축산과학원"/>
    <s v="1_축산생명환경부"/>
    <x v="9"/>
    <s v="김종복"/>
    <s v="보도자료19"/>
    <s v="꾹꾹 눌러줘야 잘 자라요~(포토뉴스)"/>
    <s v="농축산기계"/>
    <d v="2019-02-20T00:00:00"/>
    <n v="16"/>
    <s v="10_기타전문지"/>
    <n v="1"/>
    <d v="2019-02-27T00:00:00"/>
  </r>
  <r>
    <n v="920"/>
    <s v="8_국립축산과학원"/>
    <s v="1_축산생명환경부"/>
    <x v="9"/>
    <s v="김종복"/>
    <s v="보도자료19"/>
    <s v="축산 정보통신기술 장치 ‘꼼꼼하게 관리’"/>
    <s v="농축환경신문"/>
    <d v="2019-02-21T00:00:00"/>
    <n v="6"/>
    <s v="09_농업전문지"/>
    <n v="1.5"/>
    <d v="2019-02-28T00:00:00"/>
  </r>
  <r>
    <n v="921"/>
    <s v="8_국립축산과학원"/>
    <s v="0_본원"/>
    <x v="3"/>
    <s v="류재규"/>
    <m/>
    <s v="이개호 장관, 전북혁신도시 방역현장 점검"/>
    <s v="농축환경신문"/>
    <d v="2019-02-21T00:00:00"/>
    <n v="1"/>
    <s v="09_농업전문지"/>
    <n v="1.5"/>
    <d v="2019-02-28T00:00:00"/>
  </r>
  <r>
    <n v="922"/>
    <s v="8_국립축산과학원"/>
    <s v="0_본원"/>
    <x v="14"/>
    <s v="이은미"/>
    <s v="기고"/>
    <s v="[기고] 이은미 연구사-환절기 사양관리 요령"/>
    <s v="월간한우"/>
    <d v="2019-02-01T00:00:00"/>
    <s v="98-101"/>
    <s v="17_농업전문지"/>
    <n v="8"/>
    <d v="2019-02-28T00:00:00"/>
  </r>
  <r>
    <n v="923"/>
    <s v="8_국립축산과학원"/>
    <s v="0_본원"/>
    <x v="2"/>
    <s v="양창범"/>
    <s v="기고"/>
    <s v="[기고] 양창범 원장-한돈산업, 생산성 개선이 답이다"/>
    <s v="월간한돈"/>
    <d v="2019-02-01T00:00:00"/>
    <s v="260-262"/>
    <s v="18_월간지"/>
    <n v="4"/>
    <d v="2019-02-28T00:00:00"/>
  </r>
  <r>
    <n v="924"/>
    <s v="8_국립축산과학원"/>
    <s v="0_본원"/>
    <x v="4"/>
    <s v="권일"/>
    <s v="기고"/>
    <s v="[기고] 권일 연구사-한-아프리카 농업 기술 협의체(KAFACI) 양계 사업"/>
    <s v="월간양계"/>
    <d v="2019-02-01T00:00:00"/>
    <s v="160-163"/>
    <s v="18_월간지"/>
    <n v="4"/>
    <d v="2019-02-28T00:00:00"/>
  </r>
  <r>
    <n v="925"/>
    <s v="8_국립축산과학원"/>
    <s v="2_축산자원개발부"/>
    <x v="6"/>
    <s v="김원호"/>
    <m/>
    <s v="수입 조사료 품질 불량"/>
    <s v="월간축산"/>
    <d v="2019-02-01T00:00:00"/>
    <s v="30-32"/>
    <s v="09_농업전문지"/>
    <n v="1.5"/>
    <d v="2019-02-28T00:00:00"/>
  </r>
  <r>
    <n v="926"/>
    <s v="8_국립축산과학원"/>
    <s v="2_축산자원개발부"/>
    <x v="0"/>
    <s v="민예진"/>
    <m/>
    <s v="돼지, 오해하면 안 '돼지'"/>
    <s v="월간축산"/>
    <d v="2019-02-01T00:00:00"/>
    <n v="54"/>
    <s v="09_농업전문지"/>
    <n v="1.5"/>
    <d v="2019-02-28T00:00:00"/>
  </r>
  <r>
    <n v="927"/>
    <s v="8_국립축산과학원"/>
    <s v="0_본원"/>
    <x v="14"/>
    <s v="정기용"/>
    <m/>
    <s v="한우 유전정보 빅데이터 활용"/>
    <s v="월간축산"/>
    <d v="2019-02-01T00:00:00"/>
    <s v="92-95"/>
    <s v="09_농업전문지"/>
    <n v="1.5"/>
    <d v="2019-02-28T00:00:00"/>
  </r>
  <r>
    <n v="928"/>
    <s v="8_국립축산과학원"/>
    <s v="2_축산자원개발부"/>
    <x v="8"/>
    <s v="박미나"/>
    <s v="보도자료6"/>
    <s v="보증씨수소 13마리 선발"/>
    <s v="월간축산"/>
    <d v="2019-02-01T00:00:00"/>
    <s v="102-103"/>
    <s v="09_농업전문지"/>
    <n v="1.5"/>
    <d v="2019-02-28T00:00:00"/>
  </r>
  <r>
    <n v="929"/>
    <s v="8_국립축산과학원"/>
    <s v="2_축산자원개발부"/>
    <x v="0"/>
    <s v="김영화"/>
    <m/>
    <s v="임신돈 개량 스툴"/>
    <s v="월간축산"/>
    <d v="2019-02-01T00:00:00"/>
    <s v="104-105"/>
    <s v="09_농업전문지"/>
    <n v="1.5"/>
    <d v="2019-02-28T00:00:00"/>
  </r>
  <r>
    <n v="930"/>
    <s v="8_국립축산과학원"/>
    <s v="1_축산생명환경부"/>
    <x v="9"/>
    <m/>
    <m/>
    <s v="가축분뇨액비 품질 향상"/>
    <s v="월간축산"/>
    <d v="2019-02-01T00:00:00"/>
    <s v="106-107"/>
    <s v="09_농업전문지"/>
    <n v="1.5"/>
    <d v="2019-02-28T00:00:00"/>
  </r>
  <r>
    <n v="931"/>
    <s v="8_국립축산과학원"/>
    <s v="2_축산자원개발부"/>
    <x v="6"/>
    <s v="임은아"/>
    <m/>
    <s v="동계 사료작물 진압·거름·배수로 관리"/>
    <s v="월간축산"/>
    <d v="2019-02-01T00:00:00"/>
    <s v="122-123"/>
    <s v="09_농업전문지"/>
    <n v="1.5"/>
    <d v="2019-02-28T00:00:00"/>
  </r>
  <r>
    <n v="932"/>
    <s v="8_국립축산과학원"/>
    <s v="0_본원"/>
    <x v="13"/>
    <s v="배선아"/>
    <s v="보도자료3"/>
    <s v="농진청, 가축인공수정사 시험 143명 최종 합격"/>
    <s v="월간축산"/>
    <d v="2019-02-01T00:00:00"/>
    <n v="130"/>
    <s v="09_농업전문지"/>
    <n v="1.5"/>
    <d v="2019-02-28T00:00:00"/>
  </r>
  <r>
    <n v="933"/>
    <s v="8_국립축산과학원"/>
    <s v="2_축산자원개발부"/>
    <x v="8"/>
    <s v="박미나"/>
    <s v="보도자료6"/>
    <s v="한우 육량·육질 높일 수 있는 씨수소 13마리 선발"/>
    <s v="월간한우"/>
    <d v="2019-02-01T00:00:00"/>
    <n v="106"/>
    <s v="09_농업전문지"/>
    <n v="1.5"/>
    <d v="2019-02-28T00:00:00"/>
  </r>
  <r>
    <n v="934"/>
    <s v="8_국립축산과학원"/>
    <s v="0_본원"/>
    <x v="14"/>
    <s v="권응기"/>
    <m/>
    <s v="한우협 전북도지회, '한우산업 안정화를 위한 심포지엄'"/>
    <s v="월간한우"/>
    <d v="2019-02-01T00:00:00"/>
    <s v="107-111"/>
    <s v="09_농업전문지"/>
    <n v="1.5"/>
    <d v="2019-02-28T00:00:00"/>
  </r>
  <r>
    <n v="935"/>
    <s v="8_국립축산과학원"/>
    <s v="0_본원"/>
    <x v="3"/>
    <s v="조아라"/>
    <s v="보도자료7"/>
    <s v="&quot;미세먼지 노출되면 가축도 아파요&quot;"/>
    <s v="월간한우"/>
    <d v="2019-02-01T00:00:00"/>
    <n v="174"/>
    <s v="09_농업전문지"/>
    <n v="1.5"/>
    <d v="2019-02-28T00:00:00"/>
  </r>
  <r>
    <n v="936"/>
    <s v="8_국립축산과학원"/>
    <s v="1_축산생명환경부"/>
    <x v="7"/>
    <s v="백열창"/>
    <s v="보도자료12"/>
    <s v="&quot;사료 영양성분, 농사로에서 확인하세요&quot;"/>
    <s v="월간한우"/>
    <d v="2019-02-01T00:00:00"/>
    <n v="177"/>
    <s v="09_농업전문지"/>
    <n v="1.5"/>
    <d v="2019-02-28T00:00:00"/>
  </r>
  <r>
    <n v="937"/>
    <s v="8_국립축산과학원"/>
    <s v="0_본원"/>
    <x v="3"/>
    <s v="조아라"/>
    <s v="보도자료7"/>
    <s v="&quot;미세먼지 노출되면 가축도 아파요&quot;"/>
    <s v="월간낙농"/>
    <d v="2019-02-01T00:00:00"/>
    <n v="87"/>
    <s v="10_월간지"/>
    <n v="1"/>
    <d v="2019-02-28T00:00:00"/>
  </r>
  <r>
    <n v="938"/>
    <s v="8_국립축산과학원"/>
    <s v="2_축산자원개발부"/>
    <x v="8"/>
    <s v="최연호"/>
    <s v="보도자료8"/>
    <s v="농촌진흥청, 젖소 씨수소 4마리 선발 완료"/>
    <s v="월간낙농"/>
    <d v="2019-02-01T00:00:00"/>
    <n v="97"/>
    <s v="10_월간지"/>
    <n v="1"/>
    <d v="2019-02-28T00:00:00"/>
  </r>
  <r>
    <n v="939"/>
    <s v="8_국립축산과학원"/>
    <s v="0_본원"/>
    <x v="13"/>
    <s v="배선아"/>
    <s v="보도자료3"/>
    <s v="처음 주관한 '가축인공수정사 시험' 143명 합격"/>
    <s v="월간낙농"/>
    <d v="2019-02-01T00:00:00"/>
    <n v="132"/>
    <s v="10_월간지"/>
    <n v="1"/>
    <d v="2019-02-28T00:00:00"/>
  </r>
  <r>
    <n v="940"/>
    <s v="8_국립축산과학원"/>
    <s v="0_본원"/>
    <x v="13"/>
    <s v="정성훈"/>
    <s v="보도자료4"/>
    <s v="축산 현장 맞춤형 상담 '질병 분야' 가장 도움"/>
    <s v="월간낙농"/>
    <d v="2019-02-01T00:00:00"/>
    <n v="134"/>
    <s v="10_월간지"/>
    <n v="1"/>
    <d v="2019-02-28T00:00:00"/>
  </r>
  <r>
    <n v="941"/>
    <s v="8_국립축산과학원"/>
    <s v="2_축산자원개발부"/>
    <x v="12"/>
    <m/>
    <m/>
    <s v="축산현장 애로기술 해결 위한 젖소 사육 [100문 100답]"/>
    <s v="월간낙농"/>
    <d v="2019-02-01T00:00:00"/>
    <s v="154-160"/>
    <s v="10_월간지"/>
    <n v="1"/>
    <d v="2019-02-28T00:00:00"/>
  </r>
  <r>
    <n v="942"/>
    <s v="8_국립축산과학원"/>
    <s v="2_축산자원개발부"/>
    <x v="12"/>
    <s v="임동현,박지후"/>
    <m/>
    <s v="2월 사양관리"/>
    <s v="월간 낙농·육우"/>
    <d v="2019-02-01T00:00:00"/>
    <s v="173-175"/>
    <s v="10_월간지"/>
    <n v="1"/>
    <d v="2019-02-28T00:00:00"/>
  </r>
  <r>
    <n v="943"/>
    <s v="8_국립축산과학원"/>
    <s v="0_본원"/>
    <x v="13"/>
    <s v="정성훈"/>
    <s v="보도자료4"/>
    <s v="농진청, 맞춤형 종합 상담…가축질병 관심도 높아"/>
    <s v="월간한돈"/>
    <d v="2019-02-01T00:00:00"/>
    <n v="434"/>
    <s v="10_월간지"/>
    <n v="1"/>
    <d v="2019-02-28T00:00:00"/>
  </r>
  <r>
    <n v="944"/>
    <s v="8_국립축산과학원"/>
    <s v="0_본원"/>
    <x v="13"/>
    <s v="정성훈"/>
    <s v="보도자료4"/>
    <s v="농진청, '축산 현장 맞춤형 종합상담' 만족도 조사 결과 '질병 분야' 가장 도움 돼"/>
    <s v="Pig&amp;Pork 한돈"/>
    <d v="2019-02-01T00:00:00"/>
    <n v="174"/>
    <s v="10_월간지"/>
    <n v="1"/>
    <d v="2019-02-28T00:00:00"/>
  </r>
  <r>
    <n v="945"/>
    <s v="8_국립축산과학원"/>
    <s v="0_본원"/>
    <x v="13"/>
    <s v="정성훈"/>
    <s v="보도자료4"/>
    <s v="축산 현장 맞춤형 상담 '질병 분야' 가장 관심 높아"/>
    <s v="현대양돈"/>
    <d v="2019-02-01T00:00:00"/>
    <n v="29"/>
    <s v="10_월간지"/>
    <n v="1"/>
    <d v="2019-02-28T00:00:00"/>
  </r>
  <r>
    <n v="946"/>
    <s v="8_국립축산과학원"/>
    <s v="0_본원"/>
    <x v="4"/>
    <m/>
    <m/>
    <s v="계란의 보관온도에 따른 신선도"/>
    <s v="월간양계"/>
    <d v="2019-02-01T00:00:00"/>
    <n v="121"/>
    <s v="10_월간지"/>
    <n v="1"/>
    <d v="2019-02-28T00:00:00"/>
  </r>
  <r>
    <n v="947"/>
    <s v="8_국립축산과학원"/>
    <s v="0_본원"/>
    <x v="13"/>
    <s v="정성훈"/>
    <s v="보도자료4"/>
    <s v="축산농가 맞춤형 컨설팅 만족도 조사"/>
    <s v="월간양계"/>
    <d v="2019-02-01T00:00:00"/>
    <n v="185"/>
    <s v="10_월간지"/>
    <n v="1"/>
    <d v="2019-02-28T00:00:00"/>
  </r>
  <r>
    <n v="948"/>
    <s v="8_국립축산과학원"/>
    <s v="0_본원"/>
    <x v="15"/>
    <s v="노희종"/>
    <s v="보도자료10"/>
    <s v="토종닭 4품종, 국제 시스템에 이름 올려"/>
    <s v="월간닭고기"/>
    <d v="2019-02-01T00:00:00"/>
    <n v="27"/>
    <s v="10_월간지"/>
    <n v="1"/>
    <d v="2019-02-28T00:00:00"/>
  </r>
  <r>
    <n v="949"/>
    <s v="8_국립축산과학원"/>
    <s v="0_본원"/>
    <x v="4"/>
    <s v="강보석"/>
    <s v="보도자료9"/>
    <s v="토종닭 4품종, 국제 시스템에 이름 올려"/>
    <s v="월간닭고기"/>
    <d v="2019-02-01T00:00:00"/>
    <n v="27"/>
    <s v="10_월간지"/>
    <n v="1"/>
    <d v="2019-02-28T00:00:00"/>
  </r>
  <r>
    <n v="950"/>
    <s v="8_국립축산과학원"/>
    <s v="0_본원"/>
    <x v="14"/>
    <s v="한만희"/>
    <m/>
    <s v="농식품부, 봄 맞아 전국 정기 축사 청소일 한주 앞당겨(포토뉴스)"/>
    <s v="이데일리"/>
    <d v="2019-03-03T00:00:00"/>
    <m/>
    <s v="07_중앙일간지"/>
    <n v="5"/>
    <d v="2019-03-04T00:00:00"/>
  </r>
  <r>
    <n v="951"/>
    <s v="8_국립축산과학원"/>
    <s v="0_본원"/>
    <x v="3"/>
    <s v="김은주"/>
    <s v="보도자료23"/>
    <s v="7세 이상 노령견, 정기 검진 중요"/>
    <s v="환경일보"/>
    <d v="2019-03-04T00:00:00"/>
    <m/>
    <s v="08_기타일간지"/>
    <n v="2"/>
    <d v="2019-03-04T00:00:00"/>
  </r>
  <r>
    <n v="952"/>
    <s v="8_국립축산과학원"/>
    <s v="2_축산자원개발부"/>
    <x v="8"/>
    <s v="박미나"/>
    <s v="보도자료20"/>
    <s v="“고령자에 맞는 영양식 섭취 방법 알려드립니다”(이달의 신간)"/>
    <s v="한국영농신문"/>
    <d v="2019-03-02T00:00:00"/>
    <m/>
    <s v="09_농업전문지"/>
    <n v="1.5"/>
    <d v="2019-03-04T00:00:00"/>
  </r>
  <r>
    <n v="953"/>
    <s v="8_국립축산과학원"/>
    <s v="1_축산생명환경부"/>
    <x v="7"/>
    <s v="이현정"/>
    <s v="보도자료21"/>
    <s v="“고령자에 맞는 영양식 섭취 방법 알려드립니다”(이달의 신간)"/>
    <s v="한국영농신문"/>
    <d v="2019-03-02T00:00:00"/>
    <m/>
    <s v="09_농업전문지"/>
    <n v="1.5"/>
    <d v="2019-03-04T00:00:00"/>
  </r>
  <r>
    <n v="954"/>
    <s v="8_국립축산과학원"/>
    <s v="0_본원"/>
    <x v="4"/>
    <s v="강보석"/>
    <s v="보도자료22"/>
    <s v="‘우리맛닭’ 분양"/>
    <s v="팜&amp;마켓매거진"/>
    <d v="2019-03-04T00:00:00"/>
    <m/>
    <s v="09_농업전문지"/>
    <n v="1.5"/>
    <d v="2019-03-04T00:00:00"/>
  </r>
  <r>
    <n v="955"/>
    <s v="8_국립축산과학원"/>
    <s v="0_본원"/>
    <x v="4"/>
    <s v="강보석"/>
    <s v="보도자료22"/>
    <s v="육질 쫄깃한 ‘우리맛닭’ 분양"/>
    <s v="농촌여성신문"/>
    <d v="2019-03-04T00:00:00"/>
    <m/>
    <s v="09_농업전문지"/>
    <n v="1.5"/>
    <d v="2019-03-04T00:00:00"/>
  </r>
  <r>
    <n v="956"/>
    <s v="8_국립축산과학원"/>
    <s v="0_본원"/>
    <x v="3"/>
    <s v="김은주"/>
    <s v="보도자료23"/>
    <s v="나이 든 반려견 어떻게 키울까요…농촌진흥청 질병과 특징 소개"/>
    <s v="부산일보"/>
    <d v="2019-03-04T00:00:00"/>
    <m/>
    <s v="09_지방일간지"/>
    <n v="1.5"/>
    <d v="2019-03-04T00:00:00"/>
  </r>
  <r>
    <n v="957"/>
    <s v="8_국립축산과학원"/>
    <s v="0_본원"/>
    <x v="4"/>
    <s v="강보석"/>
    <s v="보도자료22"/>
    <s v="농진청, 토종닭 특성 살린 ‘우리맛닭’ 분양 신청 받아"/>
    <s v="대구신문"/>
    <d v="2019-03-03T00:00:00"/>
    <m/>
    <s v="09_지방일간지"/>
    <n v="1.5"/>
    <d v="2019-03-04T00:00:00"/>
  </r>
  <r>
    <n v="958"/>
    <s v="8_국립축산과학원"/>
    <s v="0_본원"/>
    <x v="4"/>
    <s v="강보석"/>
    <s v="보도자료22"/>
    <s v="콜라겐 함량높아 육질 쫄깃 ‘우리맛닭’ 분양"/>
    <s v="라이브뉴스"/>
    <d v="2019-03-04T00:00:00"/>
    <m/>
    <s v="13_인터넷포털"/>
    <n v="0.1"/>
    <d v="2019-03-04T00:00:00"/>
  </r>
  <r>
    <n v="959"/>
    <s v="8_국립축산과학원"/>
    <s v="0_본원"/>
    <x v="3"/>
    <s v="김은주"/>
    <s v="보도자료23"/>
    <s v="7세 이상 노령견, 심장질환·신장질환 주의해야"/>
    <s v="한국농어촌방송"/>
    <d v="2019-03-04T00:00:00"/>
    <m/>
    <s v="13_인터넷포털"/>
    <n v="0.1"/>
    <d v="2019-03-04T00:00:00"/>
  </r>
  <r>
    <n v="960"/>
    <s v="8_국립축산과학원"/>
    <s v="0_본원"/>
    <x v="4"/>
    <s v="강보석"/>
    <s v="보도자료22"/>
    <s v="육질이 쫄깃하고 빨리 크는 ‘우리맛닭’ 분양"/>
    <s v="전남인터넷신문"/>
    <d v="2019-03-04T00:00:00"/>
    <m/>
    <s v="13_인터넷포털"/>
    <n v="0.1"/>
    <d v="2019-03-04T00:00:00"/>
  </r>
  <r>
    <n v="961"/>
    <s v="8_국립축산과학원"/>
    <s v="0_본원"/>
    <x v="4"/>
    <s v="천동원"/>
    <s v="기고"/>
    <s v="[기고] 천동원 소장-축산현장 애로기술 해결 위한 닭 키우기[100문 100답] Q9,10"/>
    <s v="축산신문"/>
    <d v="2019-03-01T00:00:00"/>
    <n v="15"/>
    <s v="17_농업전문지"/>
    <n v="8"/>
    <d v="2019-03-05T00:00:00"/>
  </r>
  <r>
    <n v="962"/>
    <s v="8_국립축산과학원"/>
    <s v="0_본원"/>
    <x v="3"/>
    <s v="김은주"/>
    <s v="보도자료23"/>
    <s v="‘7세 이상 노령견 심장질환·백내장 위험...정기검진 필요’"/>
    <s v="연합뉴스"/>
    <d v="2019-03-04T00:00:00"/>
    <m/>
    <s v="07_중앙일간지"/>
    <n v="5"/>
    <d v="2019-03-05T00:00:00"/>
  </r>
  <r>
    <n v="963"/>
    <s v="8_국립축산과학원"/>
    <s v="0_본원"/>
    <x v="3"/>
    <s v="김은주"/>
    <s v="보도자료23"/>
    <s v="농진청, 노령 반려견 주요 질병 특징 소개"/>
    <s v="서울경제"/>
    <d v="2019-03-04T00:00:00"/>
    <m/>
    <s v="07_중앙일간지"/>
    <n v="5"/>
    <d v="2019-03-05T00:00:00"/>
  </r>
  <r>
    <n v="964"/>
    <s v="8_국립축산과학원"/>
    <s v="0_본원"/>
    <x v="3"/>
    <s v="김은주"/>
    <s v="보도자료23"/>
    <s v="반려견 7살 넘으면 질병 증가 “정기검진 필수”"/>
    <s v="광주드림"/>
    <d v="2019-03-05T00:00:00"/>
    <m/>
    <s v="09_지방일간지"/>
    <n v="1.5"/>
    <d v="2019-03-05T00:00:00"/>
  </r>
  <r>
    <n v="965"/>
    <s v="8_국립축산과학원"/>
    <s v="0_본원"/>
    <x v="3"/>
    <s v="김은주"/>
    <s v="보도자료23"/>
    <s v="(카드뉴스) ‘7세 이상’ 반려견 정기검진 권장"/>
    <s v="금강일보"/>
    <d v="2019-03-04T00:00:00"/>
    <m/>
    <s v="09_지방일간지"/>
    <n v="1.5"/>
    <d v="2019-03-05T00:00:00"/>
  </r>
  <r>
    <n v="966"/>
    <s v="8_국립축산과학원"/>
    <s v="1_축산생명환경부"/>
    <x v="9"/>
    <s v="김종복"/>
    <s v="보도자료19"/>
    <s v="CCTV·감지기 등 ICT 장비 일주일에 1회이상 먼지 제거"/>
    <s v="한국양돈신문"/>
    <d v="2019-02-26T00:00:00"/>
    <n v="15"/>
    <s v="10_기타전문지"/>
    <n v="1"/>
    <d v="2019-03-05T00:00:00"/>
  </r>
  <r>
    <n v="967"/>
    <s v="8_국립축산과학원"/>
    <s v="0_본원"/>
    <x v="3"/>
    <s v="김은주"/>
    <s v="보도자료23"/>
    <s v="7세 이상 노령견, 세심한 관심과 정기검진 중요"/>
    <s v="에코저널"/>
    <d v="2019-03-05T00:00:00"/>
    <m/>
    <s v="13_인터넷포털"/>
    <n v="0.1"/>
    <d v="2019-03-05T00:00:00"/>
  </r>
  <r>
    <n v="968"/>
    <s v="8_국립축산과학원"/>
    <s v="0_본원"/>
    <x v="3"/>
    <s v="김은주"/>
    <s v="보도자료23"/>
    <s v="‘낯선 행동’, 노령 반려견 건강 ‘적신호’"/>
    <s v="에코타임스"/>
    <d v="2019-03-05T00:00:00"/>
    <m/>
    <s v="13_인터넷포털"/>
    <n v="0.1"/>
    <d v="2019-03-05T00:00:00"/>
  </r>
  <r>
    <n v="969"/>
    <s v="8_국립축산과학원"/>
    <s v="0_본원"/>
    <x v="3"/>
    <s v="김은주"/>
    <s v="보도자료23"/>
    <s v="7세 이상 노령견...정기검진, 조기치료 필요"/>
    <s v="시선뉴스"/>
    <d v="2019-03-04T00:00:00"/>
    <m/>
    <s v="13_인터넷포털"/>
    <n v="0.1"/>
    <d v="2019-03-05T00:00:00"/>
  </r>
  <r>
    <n v="970"/>
    <s v="8_국립축산과학원"/>
    <s v="0_본원"/>
    <x v="3"/>
    <s v="김은주"/>
    <s v="보도자료23"/>
    <s v="7세 이상 노령견, 정기검진 등 세심한 관심 중요"/>
    <s v="프레시안"/>
    <d v="2019-03-04T00:00:00"/>
    <m/>
    <s v="13_인터넷포털"/>
    <n v="0.1"/>
    <d v="2019-03-05T00:00:00"/>
  </r>
  <r>
    <n v="971"/>
    <s v="8_국립축산과학원"/>
    <s v="0_본원"/>
    <x v="4"/>
    <s v="천동원"/>
    <s v="기고"/>
    <s v="[기고] 천동원 소장-축산현장 애로기술 해결 위한 닭 키우기[100문 100답] Q11~14"/>
    <s v="축산신문"/>
    <d v="2019-03-05T00:00:00"/>
    <n v="15"/>
    <s v="17_농업전문지"/>
    <n v="8"/>
    <d v="2019-03-06T00:00:00"/>
  </r>
  <r>
    <n v="972"/>
    <s v="8_국립축산과학원"/>
    <s v="0_본원"/>
    <x v="3"/>
    <s v="김은주"/>
    <s v="보도자료23"/>
    <s v="나이 든 반려견, 건강 챙겨주세요"/>
    <s v="서울신문"/>
    <d v="2019-03-05T00:00:00"/>
    <m/>
    <s v="07_중앙일간지"/>
    <n v="5"/>
    <d v="2019-03-06T00:00:00"/>
  </r>
  <r>
    <n v="973"/>
    <s v="8_국립축산과학원"/>
    <s v="0_본원"/>
    <x v="2"/>
    <s v="강희설"/>
    <m/>
    <s v="우리 토종닭, 미얀마 진출 초석 마련"/>
    <s v="축산신문"/>
    <d v="2019-03-05T00:00:00"/>
    <n v="16"/>
    <s v="09_농업전문지"/>
    <n v="1.5"/>
    <d v="2019-03-06T00:00:00"/>
  </r>
  <r>
    <n v="974"/>
    <s v="8_국립축산과학원"/>
    <s v="2_축산자원개발부"/>
    <x v="12"/>
    <s v="기광석"/>
    <m/>
    <s v="한농대 조광현 교수 가축개량대상 수상"/>
    <s v="축산신문"/>
    <d v="2019-03-05T00:00:00"/>
    <n v="4"/>
    <s v="09_농업전문지"/>
    <n v="1.5"/>
    <d v="2019-03-06T00:00:00"/>
  </r>
  <r>
    <n v="975"/>
    <s v="8_국립축산과학원"/>
    <s v="2_축산자원개발부"/>
    <x v="12"/>
    <s v="기광석"/>
    <m/>
    <s v="가축개량대상에 조광현 씨 영예"/>
    <s v="한국농어민신문"/>
    <d v="2019-03-05T00:00:00"/>
    <m/>
    <s v="09_농업전문지"/>
    <n v="1.5"/>
    <d v="2019-03-06T00:00:00"/>
  </r>
  <r>
    <n v="976"/>
    <s v="8_국립축산과학원"/>
    <s v="0_본원"/>
    <x v="4"/>
    <s v="강보석"/>
    <s v="보도자료22"/>
    <s v="토종닭 특성 개량해 육질 쫄깃한 ‘우리맛닭’ 분양"/>
    <s v="전업농신문"/>
    <d v="2019-03-06T00:00:00"/>
    <m/>
    <s v="09_농업전문지"/>
    <n v="1.5"/>
    <d v="2019-03-06T00:00:00"/>
  </r>
  <r>
    <n v="977"/>
    <s v="8_국립축산과학원"/>
    <s v="0_본원"/>
    <x v="4"/>
    <s v="강보석"/>
    <s v="보도자료22"/>
    <s v="육질이 쫄깃하고 빨리 크는 ‘우리맛닭’ 분양"/>
    <s v="정책브리핑"/>
    <d v="2019-03-04T00:00:00"/>
    <m/>
    <s v="12_대한민국 정책포털(korea.kr)"/>
    <n v="1"/>
    <d v="2019-03-06T00:00:00"/>
  </r>
  <r>
    <n v="978"/>
    <s v="8_국립축산과학원"/>
    <s v="0_본원"/>
    <x v="3"/>
    <s v="김은주"/>
    <s v="보도자료23"/>
    <s v="7세 이상 노령견, 보호자 세심한 관심과 정기검진 중요"/>
    <s v="식약일보"/>
    <d v="2019-03-04T00:00:00"/>
    <m/>
    <s v="10_기타전문지"/>
    <n v="1"/>
    <d v="2019-03-06T00:00:00"/>
  </r>
  <r>
    <n v="979"/>
    <s v="8_국립축산과학원"/>
    <s v="0_본원"/>
    <x v="3"/>
    <s v="김은주"/>
    <s v="보도자료23"/>
    <s v="나이 든 반려견, 건강 챙겨주세요"/>
    <s v="정책브리핑"/>
    <d v="2019-03-05T00:00:00"/>
    <m/>
    <s v="12_대한민국 정책포털(korea.kr)"/>
    <n v="1"/>
    <d v="2019-03-06T00:00:00"/>
  </r>
  <r>
    <n v="980"/>
    <s v="8_국립축산과학원"/>
    <s v="0_본원"/>
    <x v="3"/>
    <s v="김은주"/>
    <s v="보도자료23"/>
    <s v="나이 든 반려견, 건강 챙겨주세요"/>
    <s v="국토매일"/>
    <d v="2019-03-05T00:00:00"/>
    <m/>
    <s v="13_인터넷포털"/>
    <n v="0.1"/>
    <d v="2019-03-06T00:00:00"/>
  </r>
  <r>
    <n v="981"/>
    <s v="8_국립축산과학원"/>
    <s v="0_본원"/>
    <x v="3"/>
    <s v="김은주"/>
    <s v="보도자료23"/>
    <s v="나이 든 반려견, 건강 챙겨주세요"/>
    <s v="인트로뉴스"/>
    <d v="2019-03-05T00:00:00"/>
    <m/>
    <s v="13_인터넷포털"/>
    <n v="0.1"/>
    <d v="2019-03-06T00:00:00"/>
  </r>
  <r>
    <n v="982"/>
    <s v="8_국립축산과학원"/>
    <s v="0_본원"/>
    <x v="3"/>
    <s v="김은주"/>
    <s v="보도자료23"/>
    <s v="나이 든 반려견, 건강 챙겨주세요"/>
    <s v="중부뉴스통신"/>
    <d v="2019-03-05T00:00:00"/>
    <m/>
    <s v="13_인터넷포털"/>
    <n v="0.1"/>
    <d v="2019-03-06T00:00:00"/>
  </r>
  <r>
    <n v="983"/>
    <s v="8_국립축산과학원"/>
    <s v="0_본원"/>
    <x v="3"/>
    <s v="김은주"/>
    <s v="보도자료23"/>
    <s v="나이 든 반려견, 건강 챙겨주세요"/>
    <s v="강원경제신문"/>
    <d v="2019-03-05T00:00:00"/>
    <m/>
    <s v="13_인터넷포털"/>
    <n v="0.1"/>
    <d v="2019-03-06T00:00:00"/>
  </r>
  <r>
    <n v="984"/>
    <s v="8_국립축산과학원"/>
    <s v="0_본원"/>
    <x v="3"/>
    <s v="김은주"/>
    <s v="보도자료23"/>
    <s v="나이 든 반려견, 건강 챙겨주세요"/>
    <s v="뉴스에이"/>
    <d v="2019-03-05T00:00:00"/>
    <m/>
    <s v="13_인터넷포털"/>
    <n v="0.1"/>
    <d v="2019-03-06T00:00:00"/>
  </r>
  <r>
    <n v="985"/>
    <s v="8_국립축산과학원"/>
    <s v="0_본원"/>
    <x v="3"/>
    <s v="김은주"/>
    <s v="보도자료23"/>
    <s v="7세 이상 노령 반려견, 정기 검진 등 건강 챙겨줘야"/>
    <s v="바끄로"/>
    <d v="2019-03-06T00:00:00"/>
    <m/>
    <s v="13_인터넷포털"/>
    <n v="0.1"/>
    <d v="2019-03-06T00:00:00"/>
  </r>
  <r>
    <n v="986"/>
    <s v="8_국립축산과학원"/>
    <s v="0_본원"/>
    <x v="4"/>
    <s v="강보석"/>
    <s v="보도자료22"/>
    <s v="쫄깃하고 빨리 크는 ‘우리맛닭’ 분양"/>
    <s v="현대축산뉴스"/>
    <d v="2019-03-05T00:00:00"/>
    <m/>
    <s v="13_인터넷포털"/>
    <n v="0.1"/>
    <d v="2019-03-06T00:00:00"/>
  </r>
  <r>
    <n v="987"/>
    <s v="8_국립축산과학원"/>
    <s v="0_본원"/>
    <x v="3"/>
    <s v="김은주"/>
    <s v="보도자료23"/>
    <s v="나이 든 반려견, 건강은 괜찮을까?"/>
    <s v="하이닥"/>
    <d v="2019-03-05T00:00:00"/>
    <m/>
    <s v="13_인터넷포털"/>
    <n v="0.1"/>
    <d v="2019-03-06T00:00:00"/>
  </r>
  <r>
    <n v="988"/>
    <s v="8_국립축산과학원"/>
    <s v="0_본원"/>
    <x v="3"/>
    <s v="김은주"/>
    <s v="보도자료23"/>
    <s v="나이 든 반려견, 건강 챙겨주세요"/>
    <s v="시사N라이프"/>
    <d v="2019-03-06T00:00:00"/>
    <m/>
    <s v="13_인터넷포털"/>
    <n v="0.1"/>
    <d v="2019-03-06T00:00:00"/>
  </r>
  <r>
    <n v="989"/>
    <s v="8_국립축산과학원"/>
    <s v="0_본원"/>
    <x v="2"/>
    <s v="양창범"/>
    <s v="기고"/>
    <s v="[기고] 양창범 원장-우리 풀사료의 가치, 주목해야"/>
    <s v="아시아투데이"/>
    <d v="2019-03-06T00:00:00"/>
    <m/>
    <s v="15_중앙일간지"/>
    <n v="15"/>
    <d v="2019-03-07T00:00:00"/>
  </r>
  <r>
    <n v="990"/>
    <s v="8_국립축산과학원"/>
    <s v="1_축산생명환경부"/>
    <x v="7"/>
    <s v="이현정"/>
    <s v="보도자료21"/>
    <s v="‘한국가축사양표준 간편판’ 발간"/>
    <s v="농업인신문"/>
    <d v="2019-03-04T00:00:00"/>
    <n v="12"/>
    <s v="09_농업전문지"/>
    <n v="1.5"/>
    <d v="2019-03-07T00:00:00"/>
  </r>
  <r>
    <n v="991"/>
    <s v="8_국립축산과학원"/>
    <s v="0_본원"/>
    <x v="3"/>
    <s v="김은주"/>
    <s v="보도자료23"/>
    <s v="나이 든 반려견, 건강 챙겨주세요"/>
    <s v="현장뉴스"/>
    <d v="2019-03-05T00:00:00"/>
    <m/>
    <s v="13_인터넷포털"/>
    <n v="0.1"/>
    <d v="2019-03-07T00:00:00"/>
  </r>
  <r>
    <n v="992"/>
    <s v="8_국립축산과학원"/>
    <s v="1_축산생명환경부"/>
    <x v="5"/>
    <s v="이은선"/>
    <s v="보도자료24"/>
    <s v="농진청 개발 세척액 쓰면 우유 수송관 세균 ‘저감’"/>
    <s v="팜인사이트"/>
    <d v="2019-03-07T00:00:00"/>
    <m/>
    <s v="13_인터넷포털"/>
    <n v="0.1"/>
    <d v="2019-03-07T00:00:00"/>
  </r>
  <r>
    <n v="993"/>
    <s v="8_국립축산과학원"/>
    <s v="1_축산생명환경부"/>
    <x v="5"/>
    <s v="이은선"/>
    <s v="보도자료24"/>
    <s v="우유 수송관, 더 안전하고 깨끗하게 세척하세요"/>
    <s v="전남인터넷신문"/>
    <d v="2019-03-07T00:00:00"/>
    <m/>
    <s v="13_인터넷포털"/>
    <n v="0.1"/>
    <d v="2019-03-07T00:00:00"/>
  </r>
  <r>
    <n v="994"/>
    <s v="8_국립축산과학원"/>
    <s v="1_축산생명환경부"/>
    <x v="5"/>
    <s v="이은선"/>
    <s v="보도자료24"/>
    <s v="우유 수송관, 더 안전하고 깨끗하게 세척하세요"/>
    <s v="서울신문"/>
    <d v="2019-03-07T00:00:00"/>
    <m/>
    <s v="07_중앙일간지"/>
    <n v="5"/>
    <d v="2019-03-08T00:00:00"/>
  </r>
  <r>
    <n v="995"/>
    <s v="8_국립축산과학원"/>
    <s v="2_축산자원개발부"/>
    <x v="6"/>
    <s v="지희정"/>
    <m/>
    <s v="‘봄맞아 초지에 비료를’(포토뉴스)"/>
    <s v="연합뉴스"/>
    <d v="2019-03-07T00:00:00"/>
    <m/>
    <s v="07_중앙일간지"/>
    <n v="5"/>
    <d v="2019-03-08T00:00:00"/>
  </r>
  <r>
    <n v="996"/>
    <s v="8_국립축산과학원"/>
    <s v="2_축산자원개발부"/>
    <x v="6"/>
    <s v="지희정"/>
    <m/>
    <s v="봄을 준비하는 들녘(포토뉴스)"/>
    <s v="뉴시스"/>
    <d v="2019-03-07T00:00:00"/>
    <m/>
    <s v="07_중앙일간지"/>
    <n v="5"/>
    <d v="2019-03-08T00:00:00"/>
  </r>
  <r>
    <n v="997"/>
    <s v="8_국립축산과학원"/>
    <s v="1_축산생명환경부"/>
    <x v="5"/>
    <s v="이은선"/>
    <s v="보도자료24"/>
    <s v="우유 수송관, 더 안전하고 깨끗하게 세척하세요"/>
    <s v="대한급식신문"/>
    <d v="2019-03-07T00:00:00"/>
    <m/>
    <s v="09_농업전문지"/>
    <n v="1.5"/>
    <d v="2019-03-08T00:00:00"/>
  </r>
  <r>
    <n v="998"/>
    <s v="8_국립축산과학원"/>
    <s v="0_본원"/>
    <x v="4"/>
    <s v="강보석"/>
    <s v="보도자료22"/>
    <s v="“우리맛닭 분양 받으세요”"/>
    <s v="한국영농신문"/>
    <d v="2019-03-08T00:00:00"/>
    <m/>
    <s v="09_농업전문지"/>
    <n v="1.5"/>
    <d v="2019-03-08T00:00:00"/>
  </r>
  <r>
    <n v="999"/>
    <s v="8_국립축산과학원"/>
    <s v="1_축산생명환경부"/>
    <x v="5"/>
    <s v="이은선"/>
    <s v="보도자료24"/>
    <s v="안전하고 깨끗한 우유 수송관 자가세척법은…"/>
    <s v="농촌여성신문"/>
    <d v="2019-03-07T00:00:00"/>
    <m/>
    <s v="09_농업전문지"/>
    <n v="1.5"/>
    <d v="2019-03-08T00:00:00"/>
  </r>
  <r>
    <n v="1000"/>
    <s v="8_국립축산과학원"/>
    <s v="1_축산생명환경부"/>
    <x v="5"/>
    <s v="이은선"/>
    <s v="보도자료24"/>
    <s v="우유 수송관 세척, 세정제 흘려보내는 방식 세균저감 2배 효과"/>
    <s v="식약일보"/>
    <d v="2019-03-06T00:00:00"/>
    <m/>
    <s v="10_기타전문지"/>
    <n v="1"/>
    <d v="2019-03-08T00:00:00"/>
  </r>
  <r>
    <n v="1001"/>
    <s v="8_국립축산과학원"/>
    <s v="0_본원"/>
    <x v="3"/>
    <s v="김은주"/>
    <s v="보도자료23"/>
    <s v="(카드뉴스) 당신의 늙은 개가 남길 단서들"/>
    <s v="뉴스웨이"/>
    <d v="2019-03-08T00:00:00"/>
    <m/>
    <s v="10_주간지"/>
    <n v="1"/>
    <d v="2019-03-08T00:00:00"/>
  </r>
  <r>
    <n v="1002"/>
    <s v="8_국립축산과학원"/>
    <s v="2_축산자원개발부"/>
    <x v="6"/>
    <s v="지희정"/>
    <m/>
    <s v="‘봄맞이 비료 뿌리기’(포토뉴스)"/>
    <s v="브릿지경제"/>
    <d v="2019-03-07T00:00:00"/>
    <m/>
    <s v="11_기타(지역주간지)"/>
    <n v="0.5"/>
    <d v="2019-03-08T00:00:00"/>
  </r>
  <r>
    <n v="1003"/>
    <s v="8_국립축산과학원"/>
    <s v="2_축산자원개발부"/>
    <x v="6"/>
    <s v="지희정"/>
    <m/>
    <s v="경칩도 지났으니...‘본격 봄맞이 밭갈기’(포토뉴스)"/>
    <s v="라이브뉴스"/>
    <d v="2019-03-08T00:00:00"/>
    <m/>
    <s v="13_인터넷포털"/>
    <n v="0.1"/>
    <d v="2019-03-08T00:00:00"/>
  </r>
  <r>
    <n v="1004"/>
    <s v="8_국립축산과학원"/>
    <s v="0_본원"/>
    <x v="4"/>
    <s v="천동원"/>
    <s v="기고"/>
    <s v="[기고] 천동원 소장-축산현장 애로기술 해결 위한 닭 키우기[100문 100답] Q15~17"/>
    <s v="축산신문"/>
    <d v="2019-03-08T00:00:00"/>
    <n v="15"/>
    <s v="17_농업전문지"/>
    <n v="8"/>
    <d v="2019-03-11T00:00:00"/>
  </r>
  <r>
    <n v="1005"/>
    <s v="8_국립축산과학원"/>
    <s v="0_본원"/>
    <x v="3"/>
    <s v="김은주"/>
    <s v="보도자료23"/>
    <s v="‘주인 모르게 아파요’..반려견 7살때부터 정기검진"/>
    <s v="이데일리"/>
    <d v="2019-03-09T00:00:00"/>
    <m/>
    <s v="07_중앙일간지"/>
    <n v="5"/>
    <d v="2019-03-11T00:00:00"/>
  </r>
  <r>
    <n v="1006"/>
    <s v="8_국립축산과학원"/>
    <s v="0_본원"/>
    <x v="4"/>
    <s v="강보석"/>
    <s v="보도자료22"/>
    <s v="농진청 육질 쫄깃하고 빨리 크는 ‘우리맛닭’ 분양"/>
    <s v="축산신문"/>
    <d v="2019-03-08T00:00:00"/>
    <n v="7"/>
    <s v="09_농업전문지"/>
    <n v="1.5"/>
    <d v="2019-03-11T00:00:00"/>
  </r>
  <r>
    <n v="1007"/>
    <s v="8_국립축산과학원"/>
    <s v="0_본원"/>
    <x v="3"/>
    <s v="김은주"/>
    <s v="보도자료23"/>
    <s v="반려견도 사람하고 똑같아... 나이들면 병 많아져"/>
    <s v="한국영농신문"/>
    <d v="2019-03-10T00:00:00"/>
    <m/>
    <s v="09_농업전문지"/>
    <n v="1.5"/>
    <d v="2019-03-11T00:00:00"/>
  </r>
  <r>
    <n v="1008"/>
    <s v="8_국립축산과학원"/>
    <s v="2_축산자원개발부"/>
    <x v="6"/>
    <s v="지희정"/>
    <m/>
    <s v="초지도 봄맞이 한창(포토뉴스)"/>
    <s v="한라일보"/>
    <d v="2019-03-08T00:00:00"/>
    <n v="6"/>
    <s v="09_지방일간지"/>
    <n v="1.5"/>
    <d v="2019-03-11T00:00:00"/>
  </r>
  <r>
    <n v="1009"/>
    <s v="8_국립축산과학원"/>
    <s v="1_축산생명환경부"/>
    <x v="7"/>
    <s v="김기현"/>
    <s v="보도자료25"/>
    <s v="반려동물 ‘집밥’, 동영상 보며 더 쉽게 만들어요"/>
    <s v="메디컬투데이"/>
    <d v="2019-03-11T00:00:00"/>
    <m/>
    <s v="13_인터넷포털"/>
    <n v="0.1"/>
    <d v="2019-03-11T00:00:00"/>
  </r>
  <r>
    <n v="1010"/>
    <s v="8_국립축산과학원"/>
    <s v="0_본원"/>
    <x v="3"/>
    <s v="조아라"/>
    <s v="보도자료7"/>
    <s v="“먹는 미세먼지가 더 나빠(?)"/>
    <s v="KBS RADIO"/>
    <d v="2019-03-11T00:00:00"/>
    <m/>
    <s v="05_라디오-중앙"/>
    <n v="3"/>
    <d v="2019-03-12T00:00:00"/>
  </r>
  <r>
    <n v="1011"/>
    <s v="8_국립축산과학원"/>
    <s v="1_축산생명환경부"/>
    <x v="7"/>
    <s v="김기현"/>
    <s v="보도자료25"/>
    <s v="농진청, 반려동물 ‘집밥’ 쉽게 만드는 방법 소개"/>
    <s v="서울경제"/>
    <d v="2019-03-11T00:00:00"/>
    <m/>
    <s v="07_중앙일간지"/>
    <n v="5"/>
    <d v="2019-03-12T00:00:00"/>
  </r>
  <r>
    <n v="1012"/>
    <s v="8_국립축산과학원"/>
    <s v="1_축산생명환경부"/>
    <x v="7"/>
    <s v="김기현"/>
    <s v="보도자료25"/>
    <s v="반려동물 ‘집밥’, ‘동영상 보며 쉽게 만드세요’"/>
    <s v="뉴시스"/>
    <d v="2019-03-11T00:00:00"/>
    <m/>
    <s v="07_중앙일간지"/>
    <n v="5"/>
    <d v="2019-03-12T00:00:00"/>
  </r>
  <r>
    <n v="1013"/>
    <s v="8_국립축산과학원"/>
    <s v="1_축산생명환경부"/>
    <x v="7"/>
    <s v="김기현"/>
    <s v="보도자료25"/>
    <s v="‘난 멍냥이한테 집밥 먹인다’...농촌진흥청, 수제사료 제작영상 공개"/>
    <s v="뉴스1"/>
    <d v="2019-03-11T00:00:00"/>
    <m/>
    <s v="07_중앙일간지"/>
    <n v="5"/>
    <d v="2019-03-12T00:00:00"/>
  </r>
  <r>
    <n v="1014"/>
    <s v="8_국립축산과학원"/>
    <s v="1_축산생명환경부"/>
    <x v="7"/>
    <s v="김기현"/>
    <s v="보도자료25"/>
    <s v="영양까지 고려한 반려동물 집밥 직접 만들어볼까"/>
    <s v="이데일리"/>
    <d v="2019-03-11T00:00:00"/>
    <m/>
    <s v="07_중앙일간지"/>
    <n v="5"/>
    <d v="2019-03-12T00:00:00"/>
  </r>
  <r>
    <n v="1015"/>
    <s v="8_국립축산과학원"/>
    <s v="1_축산생명환경부"/>
    <x v="7"/>
    <s v="김기현"/>
    <s v="보도자료25"/>
    <s v="반려동물 ‘집밥’, 동영상 보면서 쉽게 만드세요"/>
    <s v="환경일보"/>
    <d v="2019-03-11T00:00:00"/>
    <m/>
    <s v="08_기타일간지"/>
    <n v="2"/>
    <d v="2019-03-12T00:00:00"/>
  </r>
  <r>
    <n v="1016"/>
    <s v="8_국립축산과학원"/>
    <s v="1_축산생명환경부"/>
    <x v="5"/>
    <s v="이은선"/>
    <s v="보도자료24"/>
    <s v="우유 ‘원유’ 수송관 세척요령(?)"/>
    <s v="한국농촌경제신문"/>
    <d v="2019-03-11T00:00:00"/>
    <m/>
    <s v="09_농업전문지"/>
    <n v="1.5"/>
    <d v="2019-03-12T00:00:00"/>
  </r>
  <r>
    <n v="1017"/>
    <s v="8_국립축산과학원"/>
    <s v="1_축산생명환경부"/>
    <x v="7"/>
    <s v="김기현"/>
    <s v="보도자료25"/>
    <s v="반려동물 ‘사료’, 동영상 보며 만들어요!"/>
    <s v="농촌여성신문"/>
    <d v="2019-03-12T00:00:00"/>
    <m/>
    <s v="09_농업전문지"/>
    <n v="1.5"/>
    <d v="2019-03-12T00:00:00"/>
  </r>
  <r>
    <n v="1018"/>
    <s v="8_국립축산과학원"/>
    <s v="0_본원"/>
    <x v="3"/>
    <s v="김은주"/>
    <s v="보도자료23"/>
    <s v="증상 없이 다가오는 질병…7세 이상 나이 든 반려견 ‘주의’"/>
    <s v="광주일보"/>
    <d v="2019-03-12T00:00:00"/>
    <m/>
    <s v="09_지방일간지"/>
    <n v="1.5"/>
    <d v="2019-03-12T00:00:00"/>
  </r>
  <r>
    <n v="1019"/>
    <s v="8_국립축산과학원"/>
    <s v="1_축산생명환경부"/>
    <x v="7"/>
    <s v="김기현"/>
    <s v="보도자료25"/>
    <s v="농진청, 반려동물 ‘집밥 만들기’ 동영상 소개"/>
    <s v="프레시안"/>
    <d v="2019-03-11T00:00:00"/>
    <m/>
    <s v="13_인터넷포털"/>
    <n v="0.1"/>
    <d v="2019-03-12T00:00:00"/>
  </r>
  <r>
    <n v="1020"/>
    <s v="8_국립축산과학원"/>
    <s v="1_축산생명환경부"/>
    <x v="7"/>
    <s v="김기현"/>
    <s v="보도자료25"/>
    <s v="반려동물, 비싼 사료 먹이지말고 ‘집밥’ 만들어 먹여요"/>
    <s v="한국농어촌방송"/>
    <d v="2019-03-11T00:00:00"/>
    <m/>
    <s v="13_인터넷포털"/>
    <n v="0.1"/>
    <d v="2019-03-12T00:00:00"/>
  </r>
  <r>
    <n v="1021"/>
    <s v="8_국립축산과학원"/>
    <s v="1_축산생명환경부"/>
    <x v="7"/>
    <s v="김기현"/>
    <s v="보도자료25"/>
    <s v="“반려동물도 ‘집밥’ 만들어 먹이세요”"/>
    <s v="라이브뉴스"/>
    <d v="2019-03-11T00:00:00"/>
    <m/>
    <s v="13_인터넷포털"/>
    <n v="0.1"/>
    <d v="2019-03-12T00:00:00"/>
  </r>
  <r>
    <n v="1022"/>
    <s v="8_국립축산과학원"/>
    <s v="1_축산생명환경부"/>
    <x v="7"/>
    <s v="김기현"/>
    <s v="보도자료25"/>
    <s v="반려동물 ‘집밥’, 동영상 쉽게 소개"/>
    <s v="보건뉴스"/>
    <d v="2019-03-11T00:00:00"/>
    <m/>
    <s v="13_인터넷포털"/>
    <n v="0.1"/>
    <d v="2019-03-12T00:00:00"/>
  </r>
  <r>
    <n v="1023"/>
    <s v="8_국립축산과학원"/>
    <s v="1_축산생명환경부"/>
    <x v="7"/>
    <s v="김기현"/>
    <s v="보도자료25"/>
    <s v="반려동물 ‘집밥’, 동영상 보며 쉽게 만들어요"/>
    <s v="스트레이트뉴스"/>
    <d v="2019-03-12T00:00:00"/>
    <m/>
    <s v="13_인터넷포털"/>
    <n v="0.1"/>
    <d v="2019-03-12T00:00:00"/>
  </r>
  <r>
    <n v="1024"/>
    <s v="8_국립축산과학원"/>
    <s v="0_본원"/>
    <x v="3"/>
    <s v="김은주"/>
    <s v="보도자료23"/>
    <s v="나이 든 반려견을 돌볼 때 주의해야 할 주요 질병과 그 특징!"/>
    <s v="소믈리에타임즈"/>
    <d v="2019-03-07T00:00:00"/>
    <m/>
    <s v="13_인터넷포털"/>
    <n v="0.1"/>
    <d v="2019-03-12T00:00:00"/>
  </r>
  <r>
    <n v="1025"/>
    <s v="8_국립축산과학원"/>
    <s v="0_본원"/>
    <x v="3"/>
    <s v="김은주"/>
    <s v="보도자료23"/>
    <s v="우리나라 노령견, 6대 질환과 증상은?"/>
    <s v="노트펫"/>
    <d v="2019-03-08T00:00:00"/>
    <m/>
    <s v="13_인터넷포털"/>
    <n v="0.1"/>
    <d v="2019-03-12T00:00:00"/>
  </r>
  <r>
    <n v="1026"/>
    <s v="8_국립축산과학원"/>
    <s v="0_본원"/>
    <x v="4"/>
    <s v="천동원"/>
    <s v="기고"/>
    <s v="[기고] 천동원 소장-축산현장 애로기술 해결 위한 닭 키우기[100문 100답] Q18~20"/>
    <s v="축산신문"/>
    <d v="2019-03-12T00:00:00"/>
    <n v="15"/>
    <s v="17_농업전문지"/>
    <n v="8"/>
    <d v="2019-03-13T00:00:00"/>
  </r>
  <r>
    <n v="1027"/>
    <s v="8_국립축산과학원"/>
    <s v="1_축산생명환경부"/>
    <x v="7"/>
    <s v="백열창"/>
    <s v="기고"/>
    <s v="[기고] 백열창 연구사-한우 TMR 자가 제조 기술 보급"/>
    <s v="농수축산신문"/>
    <d v="2019-03-12T00:00:00"/>
    <n v="7"/>
    <s v="17_농업전문지"/>
    <n v="8"/>
    <d v="2019-03-13T00:00:00"/>
  </r>
  <r>
    <n v="1028"/>
    <s v="8_국립축산과학원"/>
    <s v="0_본원"/>
    <x v="3"/>
    <s v="류재규"/>
    <m/>
    <s v="잦은 미세먼지에 축산현장도 ‘비상’"/>
    <s v="축산신문"/>
    <d v="2019-03-12T00:00:00"/>
    <n v="1"/>
    <s v="09_농업전문지"/>
    <n v="1.5"/>
    <d v="2019-03-13T00:00:00"/>
  </r>
  <r>
    <n v="1029"/>
    <s v="8_국립축산과학원"/>
    <s v="1_축산생명환경부"/>
    <x v="7"/>
    <s v="김기현"/>
    <s v="보도자료25"/>
    <s v="농진청, 반려동물 집밥 만들기 동영상 소개"/>
    <s v="전북타임스"/>
    <d v="2019-03-12T00:00:00"/>
    <n v="7"/>
    <s v="09_지방일간지"/>
    <n v="1.5"/>
    <d v="2019-03-13T00:00:00"/>
  </r>
  <r>
    <n v="1030"/>
    <s v="8_국립축산과학원"/>
    <s v="1_축산생명환경부"/>
    <x v="7"/>
    <s v="김기현"/>
    <s v="보도자료25"/>
    <s v="“반려동물 집밥 쉽게 만드세요”"/>
    <s v="경기도민일보"/>
    <d v="2019-03-12T00:00:00"/>
    <n v="7"/>
    <s v="09_지방일간지"/>
    <n v="1.5"/>
    <d v="2019-03-13T00:00:00"/>
  </r>
  <r>
    <n v="1031"/>
    <s v="8_국립축산과학원"/>
    <s v="1_축산생명환경부"/>
    <x v="7"/>
    <s v="김기현"/>
    <s v="보도자료25"/>
    <s v="“반려동물 건강 책임질 집밥 직접 만들어봐요”"/>
    <s v="전북중앙"/>
    <d v="2019-03-12T00:00:00"/>
    <n v="6"/>
    <s v="09_지방일간지"/>
    <n v="1.5"/>
    <d v="2019-03-13T00:00:00"/>
  </r>
  <r>
    <n v="1032"/>
    <s v="8_국립축산과학원"/>
    <s v="0_본원"/>
    <x v="2"/>
    <s v="이근석"/>
    <m/>
    <s v="성주군의회, 우수 자치단체 비교 견학"/>
    <s v="매일신문"/>
    <d v="2019-03-12T00:00:00"/>
    <m/>
    <s v="09_지방일간지"/>
    <n v="1.5"/>
    <d v="2019-03-13T00:00:00"/>
  </r>
  <r>
    <n v="1033"/>
    <s v="8_국립축산과학원"/>
    <s v="0_본원"/>
    <x v="2"/>
    <s v="이근석"/>
    <m/>
    <s v="성주군의회, 우수자치단체 비교 견학 실시"/>
    <s v="도민일보"/>
    <d v="2019-03-13T00:00:00"/>
    <m/>
    <s v="09_지방일간지"/>
    <n v="1.5"/>
    <d v="2019-03-13T00:00:00"/>
  </r>
  <r>
    <n v="1034"/>
    <s v="8_국립축산과학원"/>
    <s v="0_본원"/>
    <x v="2"/>
    <s v="이근석"/>
    <m/>
    <s v="성주군의회, 우수자치단체 비교 견학을 위해 전주시 방문"/>
    <s v="경북도민일보"/>
    <d v="2019-03-13T00:00:00"/>
    <m/>
    <s v="09_지방일간지"/>
    <n v="1.5"/>
    <d v="2019-03-13T00:00:00"/>
  </r>
  <r>
    <n v="1035"/>
    <s v="8_국립축산과학원"/>
    <s v="0_본원"/>
    <x v="4"/>
    <s v="강보석"/>
    <s v="보도자료22"/>
    <s v="육질 쫄깃 ‘우리맛닭’ 분양"/>
    <s v="농축산기계"/>
    <d v="2019-03-08T00:00:00"/>
    <n v="12"/>
    <s v="10_기타전문지"/>
    <n v="1"/>
    <d v="2019-03-13T00:00:00"/>
  </r>
  <r>
    <n v="1036"/>
    <s v="8_국립축산과학원"/>
    <s v="1_축산생명환경부"/>
    <x v="7"/>
    <s v="김기현"/>
    <s v="보도자료25"/>
    <s v="반려동물 ‘집밥’, 동영상 보며 더 쉽게 만들어요"/>
    <s v="강원경제신문"/>
    <d v="2019-03-12T00:00:00"/>
    <m/>
    <s v="13_인터넷포털"/>
    <n v="0.1"/>
    <d v="2019-03-13T00:00:00"/>
  </r>
  <r>
    <n v="1037"/>
    <s v="8_국립축산과학원"/>
    <s v="0_본원"/>
    <x v="2"/>
    <s v="이근석"/>
    <m/>
    <s v="성주군의회, 우수자치단체 비교 견학을 위해 전주시 방문"/>
    <s v="내외뉴스통신"/>
    <d v="2019-03-12T00:00:00"/>
    <m/>
    <s v="13_인터넷포털"/>
    <n v="0.1"/>
    <d v="2019-03-13T00:00:00"/>
  </r>
  <r>
    <n v="1038"/>
    <s v="8_국립축산과학원"/>
    <s v="0_본원"/>
    <x v="2"/>
    <s v="이근석"/>
    <m/>
    <s v="성주군의회, 우수자치단체 비교 견학을 위해 전주시 방문"/>
    <s v="브레이크뉴스"/>
    <d v="2019-03-12T00:00:00"/>
    <m/>
    <s v="13_인터넷포털"/>
    <n v="0.1"/>
    <d v="2019-03-13T00:00:00"/>
  </r>
  <r>
    <n v="1039"/>
    <s v="8_국립축산과학원"/>
    <s v="1_축산생명환경부"/>
    <x v="7"/>
    <s v="김기현"/>
    <s v="보도자료25"/>
    <s v="반려동물 천만 시대 ‘집밥’, 동영상 보며 더 쉽게 만들어보자"/>
    <s v="서울시정일보"/>
    <d v="2019-03-12T00:00:00"/>
    <m/>
    <s v="13_인터넷포털"/>
    <n v="0.1"/>
    <d v="2019-03-13T00:00:00"/>
  </r>
  <r>
    <n v="1040"/>
    <s v="8_국립축산과학원"/>
    <s v="2_축산자원개발부"/>
    <x v="0"/>
    <s v="문홍길"/>
    <m/>
    <s v="골라먹는 아이스크림? 아니, 골라먹는 돼지고기!"/>
    <s v="오마이뉴스"/>
    <d v="2019-03-13T00:00:00"/>
    <m/>
    <s v="13_인터넷포털"/>
    <n v="0.1"/>
    <d v="2019-03-13T00:00:00"/>
  </r>
  <r>
    <n v="1041"/>
    <s v="8_국립축산과학원"/>
    <s v="0_본원"/>
    <x v="4"/>
    <s v="강보석"/>
    <s v="보도자료22"/>
    <s v="맛 좋고 알 잘낳는 ‘우리맛닭’ 분양받으세요"/>
    <s v="농업경제신문"/>
    <d v="2019-03-13T00:00:00"/>
    <m/>
    <s v="13_인터넷포털"/>
    <n v="0.1"/>
    <d v="2019-03-13T00:00:00"/>
  </r>
  <r>
    <n v="1042"/>
    <s v="8_국립축산과학원"/>
    <s v="0_본원"/>
    <x v="13"/>
    <s v="유지현"/>
    <m/>
    <s v="동물 돌보기만 해도 우울증 ‘쏙’ 사회성 ‘쑥’"/>
    <s v="세계일보"/>
    <d v="2019-03-14T00:00:00"/>
    <n v="8"/>
    <s v="07_중앙일간지"/>
    <n v="5"/>
    <d v="2019-03-14T00:00:00"/>
  </r>
  <r>
    <n v="1043"/>
    <s v="8_국립축산과학원"/>
    <s v="1_축산생명환경부"/>
    <x v="5"/>
    <s v="이은선"/>
    <s v="보도자료24"/>
    <s v="원유 수송관 ‘차아염소산나트륨·구연산’ 세척효과 우수"/>
    <s v="전업농신문"/>
    <d v="2019-03-07T00:00:00"/>
    <m/>
    <s v="09_농업전문지"/>
    <n v="1.5"/>
    <d v="2019-03-14T00:00:00"/>
  </r>
  <r>
    <n v="1044"/>
    <s v="8_국립축산과학원"/>
    <s v="0_본원"/>
    <x v="3"/>
    <s v="김은주"/>
    <s v="보도자료23"/>
    <s v="반려 ‘노령견’ 케어요령"/>
    <s v="한국농촌경제신문"/>
    <d v="2019-03-14T00:00:00"/>
    <m/>
    <s v="09_농업전문지"/>
    <n v="1.5"/>
    <d v="2019-03-14T00:00:00"/>
  </r>
  <r>
    <n v="1045"/>
    <s v="8_국립축산과학원"/>
    <s v="0_본원"/>
    <x v="2"/>
    <s v="이근석"/>
    <m/>
    <s v="성주군의회, 전주시 우수자치단체 비교 견학"/>
    <s v="경상매일신문"/>
    <d v="2019-03-13T00:00:00"/>
    <n v="17"/>
    <s v="09_지방일간지"/>
    <n v="1.5"/>
    <d v="2019-03-14T00:00:00"/>
  </r>
  <r>
    <n v="1046"/>
    <s v="8_국립축산과학원"/>
    <s v="0_본원"/>
    <x v="2"/>
    <s v="이근석"/>
    <m/>
    <s v="우수자치단체 비교 전주시 방문 견학"/>
    <s v="대구경북일보"/>
    <d v="2019-03-13T00:00:00"/>
    <n v="4"/>
    <s v="11_기타(지역주간지)"/>
    <n v="0.5"/>
    <d v="2019-03-14T00:00:00"/>
  </r>
  <r>
    <n v="1047"/>
    <s v="8_국립축산과학원"/>
    <s v="0_본원"/>
    <x v="2"/>
    <s v="이근석"/>
    <m/>
    <s v="성주군의회, 우수자치단체 견학"/>
    <s v="경안일보"/>
    <d v="2019-03-13T00:00:00"/>
    <m/>
    <s v="09_지방일간지"/>
    <n v="1.5"/>
    <d v="2019-03-14T00:00:00"/>
  </r>
  <r>
    <n v="1048"/>
    <s v="8_국립축산과학원"/>
    <s v="1_축산생명환경부"/>
    <x v="7"/>
    <s v="김기현"/>
    <s v="보도자료25"/>
    <s v="“내 강아지 밥은 내가 만든다” 반려동물 집밥 만들기 동영상 인기"/>
    <s v="영남일보"/>
    <d v="2019-03-14T00:00:00"/>
    <m/>
    <s v="09_지방일간지"/>
    <n v="1.5"/>
    <d v="2019-03-14T00:00:00"/>
  </r>
  <r>
    <n v="1049"/>
    <s v="8_국립축산과학원"/>
    <s v="1_축산생명환경부"/>
    <x v="7"/>
    <s v="이현정"/>
    <s v="보도자료21"/>
    <s v="축산과학원, ‘한국가축사양표준’ 발간"/>
    <s v="한우신문"/>
    <d v="2019-03-05T00:00:00"/>
    <n v="2"/>
    <s v="10_기타전문지"/>
    <n v="1"/>
    <d v="2019-03-14T00:00:00"/>
  </r>
  <r>
    <n v="1050"/>
    <s v="8_국립축산과학원"/>
    <s v="2_축산자원개발부"/>
    <x v="8"/>
    <s v="박미나"/>
    <s v="보도자료20"/>
    <s v="‘2019 상반기 한우교배계획 길라잡이 25호’ 보급-알맞은 정액 선택하는데 도움"/>
    <s v="한우신문"/>
    <d v="2019-03-05T00:00:00"/>
    <n v="8"/>
    <s v="10_기타전문지"/>
    <n v="1"/>
    <d v="2019-03-14T00:00:00"/>
  </r>
  <r>
    <n v="1051"/>
    <s v="8_국립축산과학원"/>
    <s v="2_축산자원개발부"/>
    <x v="12"/>
    <s v="기광석"/>
    <m/>
    <s v="칼륨·나트륨 부족시 무기력해져"/>
    <s v="낙농신문"/>
    <d v="2019-03-07T00:00:00"/>
    <n v="13"/>
    <s v="10_기타전문지"/>
    <n v="1"/>
    <d v="2019-03-14T00:00:00"/>
  </r>
  <r>
    <n v="1052"/>
    <s v="8_국립축산과학원"/>
    <s v="1_축산생명환경부"/>
    <x v="5"/>
    <s v="이은선"/>
    <s v="보도자료24"/>
    <s v="우유 수송관, 더 안전하고 깨끗하게 세척하세요"/>
    <s v="정책브리핑"/>
    <d v="2019-03-07T00:00:00"/>
    <m/>
    <s v="12_대한민국 정책포털(korea.kr)"/>
    <n v="1"/>
    <d v="2019-03-14T00:00:00"/>
  </r>
  <r>
    <n v="1053"/>
    <s v="8_국립축산과학원"/>
    <s v="1_축산생명환경부"/>
    <x v="7"/>
    <s v="김기현"/>
    <s v="보도자료25"/>
    <s v="반려동물 균형 잡힌 식단·활용 방법 등 쉽게 소개"/>
    <s v="식약일보"/>
    <d v="2019-03-11T00:00:00"/>
    <m/>
    <s v="10_기타전문지"/>
    <n v="1"/>
    <d v="2019-03-14T00:00:00"/>
  </r>
  <r>
    <n v="1054"/>
    <s v="8_국립축산과학원"/>
    <s v="1_축산생명환경부"/>
    <x v="7"/>
    <s v="김기현"/>
    <s v="보도자료25"/>
    <s v="반려동물 ‘집밥’, 동영상 보며 더 쉽게 만들어요!"/>
    <s v="정책브리핑"/>
    <d v="2019-03-12T00:00:00"/>
    <m/>
    <s v="12_대한민국 정책포털(korea.kr)"/>
    <n v="1"/>
    <d v="2019-03-14T00:00:00"/>
  </r>
  <r>
    <n v="1055"/>
    <s v="8_국립축산과학원"/>
    <s v="0_본원"/>
    <x v="3"/>
    <s v="김은주"/>
    <s v="보도자료23"/>
    <s v="7세 이상 노령견 심장질환·종양 위험...정기 검진 받아야"/>
    <s v="농업경제신문"/>
    <d v="2019-03-13T00:00:00"/>
    <m/>
    <s v="13_인터넷포털"/>
    <n v="0.1"/>
    <d v="2019-03-14T00:00:00"/>
  </r>
  <r>
    <n v="1056"/>
    <s v="8_국립축산과학원"/>
    <s v="1_축산생명환경부"/>
    <x v="5"/>
    <s v="이은선"/>
    <s v="보도자료24"/>
    <s v="농촌진흥청, ‘우유 수송관’ 효과적인 세균 제거 방법 소개"/>
    <s v="농업경제신문"/>
    <d v="2019-03-13T00:00:00"/>
    <m/>
    <s v="13_인터넷포털"/>
    <n v="0.1"/>
    <d v="2019-03-14T00:00:00"/>
  </r>
  <r>
    <n v="1057"/>
    <s v="8_국립축산과학원"/>
    <s v="1_축산생명환경부"/>
    <x v="7"/>
    <s v="김기현"/>
    <s v="보도자료25"/>
    <s v="농진청, 반려동물 사료 직접 만들기 동영상 소개"/>
    <s v="농업경제신문"/>
    <d v="2019-03-11T00:00:00"/>
    <m/>
    <s v="13_인터넷포털"/>
    <n v="0.1"/>
    <d v="2019-03-14T00:00:00"/>
  </r>
  <r>
    <n v="1058"/>
    <s v="8_국립축산과학원"/>
    <s v="1_축산생명환경부"/>
    <x v="7"/>
    <s v="김기현"/>
    <s v="보도자료25"/>
    <s v="농촌진흥청, 반려동물 ‘집밥(사료)’, “동영상 보며 쉽게 만드세요”"/>
    <s v="이코노뉴스"/>
    <d v="2019-03-11T00:00:00"/>
    <m/>
    <s v="13_인터넷포털"/>
    <n v="0.1"/>
    <d v="2019-03-14T00:00:00"/>
  </r>
  <r>
    <n v="1059"/>
    <s v="8_국립축산과학원"/>
    <s v="1_축산생명환경부"/>
    <x v="7"/>
    <s v="김기현"/>
    <s v="보도자료25"/>
    <s v="반려동물 ‘집밥’, 동영상 보며 더 쉽게 만들어요"/>
    <s v="국토매일"/>
    <d v="2019-03-12T00:00:00"/>
    <m/>
    <s v="13_인터넷포털"/>
    <n v="0.1"/>
    <d v="2019-03-14T00:00:00"/>
  </r>
  <r>
    <n v="1060"/>
    <s v="8_국립축산과학원"/>
    <s v="1_축산생명환경부"/>
    <x v="7"/>
    <s v="김기현"/>
    <s v="보도자료25"/>
    <s v="반려동물 ‘집밥’, 동영상 보며 더 쉽게 만들어요"/>
    <s v="인트로뉴스"/>
    <d v="2019-03-12T00:00:00"/>
    <m/>
    <s v="13_인터넷포털"/>
    <n v="0.1"/>
    <d v="2019-03-14T00:00:00"/>
  </r>
  <r>
    <n v="1061"/>
    <s v="8_국립축산과학원"/>
    <s v="1_축산생명환경부"/>
    <x v="7"/>
    <s v="김기현"/>
    <s v="보도자료25"/>
    <s v="반려동물 ‘집밥’, 동영상 보며 더 쉽게 만들어요"/>
    <s v="중부뉴스통신"/>
    <d v="2019-03-12T00:00:00"/>
    <m/>
    <s v="13_인터넷포털"/>
    <n v="0.1"/>
    <d v="2019-03-14T00:00:00"/>
  </r>
  <r>
    <n v="1062"/>
    <s v="8_국립축산과학원"/>
    <s v="1_축산생명환경부"/>
    <x v="7"/>
    <s v="김기현"/>
    <s v="보도자료25"/>
    <s v="반려동물 ‘집밥’, 동영상 보며 더 쉽게 만들어요"/>
    <s v="투어타임즈"/>
    <d v="2019-03-12T00:00:00"/>
    <m/>
    <s v="13_인터넷포털"/>
    <n v="0.1"/>
    <d v="2019-03-14T00:00:00"/>
  </r>
  <r>
    <n v="1063"/>
    <s v="8_국립축산과학원"/>
    <s v="0_본원"/>
    <x v="4"/>
    <s v="천동원"/>
    <s v="기고"/>
    <s v="[기고] 천동원 소장-축산현장 애로기술 해결 위한 닭 키우기[100문 100답] Q21"/>
    <s v="축산신문"/>
    <d v="2019-03-15T00:00:00"/>
    <n v="15"/>
    <s v="17_농업전문지"/>
    <n v="8"/>
    <d v="2019-03-18T00:00:00"/>
  </r>
  <r>
    <n v="1064"/>
    <s v="8_국립축산과학원"/>
    <s v="1_축산생명환경부"/>
    <x v="9"/>
    <s v="전중환"/>
    <m/>
    <s v="[기고] 전중환 연구사-산란계농장 인증 기준"/>
    <s v="축산신문"/>
    <d v="2019-03-15T00:00:00"/>
    <n v="15"/>
    <s v="09_농업전문지"/>
    <n v="1.5"/>
    <d v="2019-03-18T00:00:00"/>
  </r>
  <r>
    <n v="1065"/>
    <s v="8_국립축산과학원"/>
    <s v="1_축산생명환경부"/>
    <x v="16"/>
    <s v="박종은"/>
    <s v="보도자료26"/>
    <s v="농진청, 환경변화와 닭의 스트레스·면역 반응 차이 밝혀"/>
    <s v="서울경제"/>
    <d v="2019-03-14T00:00:00"/>
    <m/>
    <s v="07_중앙일간지"/>
    <n v="5"/>
    <d v="2019-03-18T00:00:00"/>
  </r>
  <r>
    <n v="1066"/>
    <s v="8_국립축산과학원"/>
    <s v="0_본원"/>
    <x v="13"/>
    <s v="유지현"/>
    <m/>
    <s v="또 하나의 가족...인간에게 얻지 못하는 행복에 빠지다"/>
    <s v="세계일보"/>
    <d v="2019-03-15T00:00:00"/>
    <m/>
    <s v="07_중앙일간지"/>
    <n v="5"/>
    <d v="2019-03-18T00:00:00"/>
  </r>
  <r>
    <n v="1067"/>
    <s v="8_국립축산과학원"/>
    <s v="0_본원"/>
    <x v="2"/>
    <s v="전익수"/>
    <s v="보도자료27"/>
    <s v="국립축산과학원 축산자원개발부 이전사업 업무 협약"/>
    <s v="서울신문"/>
    <d v="2019-03-15T00:00:00"/>
    <m/>
    <s v="07_중앙일간지"/>
    <n v="5"/>
    <d v="2019-03-18T00:00:00"/>
  </r>
  <r>
    <n v="1068"/>
    <s v="8_국립축산과학원"/>
    <s v="0_본원"/>
    <x v="2"/>
    <s v="전익수"/>
    <s v="보도자료27"/>
    <s v="농진청 축산자원개발부, 전남 함평군에 새 둥지 튼다"/>
    <s v="아시아투데이"/>
    <d v="2019-03-17T00:00:00"/>
    <m/>
    <s v="07_중앙일간지"/>
    <n v="5"/>
    <d v="2019-03-18T00:00:00"/>
  </r>
  <r>
    <n v="1069"/>
    <s v="8_국립축산과학원"/>
    <s v="0_본원"/>
    <x v="2"/>
    <s v="전익수"/>
    <s v="보도자료27"/>
    <s v="국립축산과학원 축산자원개발부 이전 업무협약"/>
    <s v="뉴스1"/>
    <d v="2019-03-15T00:00:00"/>
    <m/>
    <s v="07_중앙일간지"/>
    <n v="5"/>
    <d v="2019-03-18T00:00:00"/>
  </r>
  <r>
    <n v="1070"/>
    <s v="8_국립축산과학원"/>
    <s v="1_축산생명환경부"/>
    <x v="16"/>
    <s v="박종은"/>
    <s v="보도자료26"/>
    <s v="환경변화와 닭의 스트레스·면역 반응 차이 밝혀"/>
    <s v="서울신문"/>
    <d v="2019-03-15T00:00:00"/>
    <m/>
    <s v="07_중앙일간지"/>
    <n v="5"/>
    <d v="2019-03-18T00:00:00"/>
  </r>
  <r>
    <n v="1071"/>
    <s v="8_국립축산과학원"/>
    <s v="1_축산생명환경부"/>
    <x v="16"/>
    <s v="박종은"/>
    <s v="보도자료26"/>
    <s v="닭의 스트레스·면역 반응 차이 밝혀"/>
    <s v="환경일보"/>
    <d v="2019-03-14T00:00:00"/>
    <m/>
    <s v="08_기타일간지"/>
    <n v="2"/>
    <d v="2019-03-18T00:00:00"/>
  </r>
  <r>
    <n v="1072"/>
    <s v="8_국립축산과학원"/>
    <s v="0_본원"/>
    <x v="2"/>
    <s v="전익수"/>
    <s v="보도자료27"/>
    <s v="전남도, 축산과학원 축산자원개발부 이전"/>
    <s v="에너지경제"/>
    <d v="2019-03-15T00:00:00"/>
    <m/>
    <s v="08_기타일간지"/>
    <n v="2"/>
    <d v="2019-03-18T00:00:00"/>
  </r>
  <r>
    <n v="1073"/>
    <s v="8_국립축산과학원"/>
    <s v="0_본원"/>
    <x v="4"/>
    <s v="강보석"/>
    <s v="보도자료22"/>
    <s v="쫄깃하고 빨리 크는 ‘우리맛닭’ 분양"/>
    <s v="농축환경신문"/>
    <d v="2019-03-07T00:00:00"/>
    <n v="5"/>
    <s v="09_농업전문지"/>
    <n v="1.5"/>
    <d v="2019-03-18T00:00:00"/>
  </r>
  <r>
    <n v="1074"/>
    <s v="8_국립축산과학원"/>
    <s v="2_축산자원개발부"/>
    <x v="8"/>
    <s v="박미나"/>
    <s v="보도자료20"/>
    <s v="‘가축사양표준’ 간편판 발간"/>
    <s v="양돈타임스"/>
    <d v="2019-03-07T00:00:00"/>
    <n v="10"/>
    <s v="09_농업전문지"/>
    <n v="1.5"/>
    <d v="2019-03-18T00:00:00"/>
  </r>
  <r>
    <n v="1075"/>
    <s v="8_국립축산과학원"/>
    <s v="1_축산생명환경부"/>
    <x v="7"/>
    <s v="김기현"/>
    <s v="보도자료25"/>
    <s v="“반려동물 ‘집밥’, 동영상 보며 쉽게 만드세요”"/>
    <s v="축산신문"/>
    <d v="2019-03-15T00:00:00"/>
    <n v="13"/>
    <s v="09_농업전문지"/>
    <n v="1.5"/>
    <d v="2019-03-18T00:00:00"/>
  </r>
  <r>
    <n v="1076"/>
    <s v="8_국립축산과학원"/>
    <s v="1_축산생명환경부"/>
    <x v="5"/>
    <s v="이은선"/>
    <s v="보도자료24"/>
    <s v="“원유수송관 안전하고 깨끗하게 세척하세요”"/>
    <s v="농민신문"/>
    <d v="2019-03-15T00:00:00"/>
    <n v="7"/>
    <s v="09_농업전문지"/>
    <n v="1.5"/>
    <d v="2019-03-18T00:00:00"/>
  </r>
  <r>
    <n v="1077"/>
    <s v="8_국립축산과학원"/>
    <s v="1_축산생명환경부"/>
    <x v="5"/>
    <s v="이은선"/>
    <s v="보도자료24"/>
    <s v="“우유 수송관, 안전하고 깨끗하게”"/>
    <s v="축산신문"/>
    <d v="2019-03-15T00:00:00"/>
    <n v="5"/>
    <s v="09_농업전문지"/>
    <n v="1.5"/>
    <d v="2019-03-18T00:00:00"/>
  </r>
  <r>
    <n v="1078"/>
    <s v="8_국립축산과학원"/>
    <s v="2_축산자원개발부"/>
    <x v="6"/>
    <s v="지희정"/>
    <m/>
    <s v="초지 밑거름, 축분 퇴비 살포(포토뉴스)"/>
    <s v="축산신문"/>
    <d v="2019-03-15T00:00:00"/>
    <n v="1"/>
    <s v="09_농업전문지"/>
    <n v="1.5"/>
    <d v="2019-03-18T00:00:00"/>
  </r>
  <r>
    <n v="1079"/>
    <s v="8_국립축산과학원"/>
    <s v="1_축산생명환경부"/>
    <x v="16"/>
    <s v="박종은"/>
    <s v="보도자료26"/>
    <s v="환경변화와 닭의 스트레스·면역 반응 차이 밝혀"/>
    <s v="대한급식신문"/>
    <d v="2019-03-14T00:00:00"/>
    <m/>
    <s v="09_농업전문지"/>
    <n v="1.5"/>
    <d v="2019-03-18T00:00:00"/>
  </r>
  <r>
    <n v="1080"/>
    <s v="8_국립축산과학원"/>
    <s v="1_축산생명환경부"/>
    <x v="7"/>
    <s v="김기현"/>
    <s v="보도자료25"/>
    <s v="“내 강아지 밥은 내가 만든다” 반려동물 집밥 만들기 동영상 인기"/>
    <s v="영남일보"/>
    <d v="2019-03-14T00:00:00"/>
    <n v="23"/>
    <s v="09_지방일간지"/>
    <n v="1.5"/>
    <d v="2019-03-18T00:00:00"/>
  </r>
  <r>
    <n v="1081"/>
    <s v="8_국립축산과학원"/>
    <s v="1_축산생명환경부"/>
    <x v="16"/>
    <s v="박종은"/>
    <s v="보도자료26"/>
    <s v="환경변화와 닭 스트레스·면역 반응 차이 밝혀"/>
    <s v="전민일보"/>
    <d v="2019-03-15T00:00:00"/>
    <n v="5"/>
    <s v="09_지방일간지"/>
    <n v="1.5"/>
    <d v="2019-03-18T00:00:00"/>
  </r>
  <r>
    <n v="1082"/>
    <s v="8_국립축산과학원"/>
    <s v="1_축산생명환경부"/>
    <x v="16"/>
    <s v="박종은"/>
    <s v="보도자료26"/>
    <s v="“닭의 환경차 메커니즘 확인”"/>
    <s v="새만금일보"/>
    <d v="2019-03-15T00:00:00"/>
    <n v="6"/>
    <s v="09_지방일간지"/>
    <n v="1.5"/>
    <d v="2019-03-18T00:00:00"/>
  </r>
  <r>
    <n v="1083"/>
    <s v="8_국립축산과학원"/>
    <s v="1_축산생명환경부"/>
    <x v="16"/>
    <s v="박종은"/>
    <s v="보도자료26"/>
    <s v="농진청 고온 노출된 닭 유전자 발현차이 밝혀"/>
    <s v="전북중앙"/>
    <d v="2019-03-15T00:00:00"/>
    <n v="8"/>
    <s v="09_지방일간지"/>
    <n v="1.5"/>
    <d v="2019-03-18T00:00:00"/>
  </r>
  <r>
    <n v="1084"/>
    <s v="8_국립축산과학원"/>
    <s v="2_축산자원개발부"/>
    <x v="8"/>
    <s v="박미나"/>
    <s v="보도자료20"/>
    <s v="2019 상반기 한우 교배계획 길라잡이 25호"/>
    <s v="농식품PLUS신문"/>
    <d v="2019-02-28T00:00:00"/>
    <n v="21"/>
    <s v="10_기타전문지"/>
    <n v="1"/>
    <d v="2019-03-18T00:00:00"/>
  </r>
  <r>
    <n v="1085"/>
    <s v="8_국립축산과학원"/>
    <s v="1_축산생명환경부"/>
    <x v="7"/>
    <s v="이현정"/>
    <s v="보도자료21"/>
    <s v="한국가축사양표준 간편판"/>
    <s v="농식품PLUS신문"/>
    <d v="2019-02-28T00:00:00"/>
    <n v="21"/>
    <s v="10_기타전문지"/>
    <n v="1"/>
    <d v="2019-03-18T00:00:00"/>
  </r>
  <r>
    <n v="1086"/>
    <s v="8_국립축산과학원"/>
    <s v="1_축산생명환경부"/>
    <x v="16"/>
    <s v="박종은"/>
    <s v="보도자료26"/>
    <s v="닭 성장 알맞은 온도는 15℃~25℃"/>
    <s v="식약일보"/>
    <d v="2019-03-14T00:00:00"/>
    <m/>
    <s v="10_기타전문지"/>
    <n v="1"/>
    <d v="2019-03-18T00:00:00"/>
  </r>
  <r>
    <n v="1087"/>
    <s v="8_국립축산과학원"/>
    <s v="1_축산생명환경부"/>
    <x v="16"/>
    <s v="박종은"/>
    <s v="보도자료26"/>
    <s v="농촌진흥청, 환경변화와 닭의 스트레스·면역 반응 차이 밝혀 화제"/>
    <s v="일간전북"/>
    <d v="2019-03-14T00:00:00"/>
    <m/>
    <s v="13_인터넷포털"/>
    <n v="0.1"/>
    <d v="2019-03-18T00:00:00"/>
  </r>
  <r>
    <n v="1088"/>
    <s v="8_국립축산과학원"/>
    <s v="1_축산생명환경부"/>
    <x v="16"/>
    <s v="박종은"/>
    <s v="보도자료26"/>
    <s v="농진청, 고온에 노출된 닭 유전자 발현 차이 확인"/>
    <s v="라이브뉴스"/>
    <d v="2019-03-14T00:00:00"/>
    <m/>
    <s v="13_인터넷포털"/>
    <n v="0.1"/>
    <d v="2019-03-18T00:00:00"/>
  </r>
  <r>
    <n v="1089"/>
    <s v="8_국립축산과학원"/>
    <s v="1_축산생명환경부"/>
    <x v="16"/>
    <s v="박종은"/>
    <s v="보도자료26"/>
    <s v="고온 노출시 닭의 스트레스·면역기능 변화"/>
    <s v="에코타임스"/>
    <d v="2019-03-15T00:00:00"/>
    <m/>
    <s v="13_인터넷포털"/>
    <n v="0.1"/>
    <d v="2019-03-18T00:00:00"/>
  </r>
  <r>
    <n v="1090"/>
    <s v="8_국립축산과학원"/>
    <s v="1_축산생명환경부"/>
    <x v="16"/>
    <s v="박종은"/>
    <s v="보도자료26"/>
    <s v="농진청, 환경변화와 닭의 스트레스·면역 반응 차이 밝혀"/>
    <s v="아유경제"/>
    <d v="2019-03-15T00:00:00"/>
    <m/>
    <s v="13_인터넷포털"/>
    <n v="0.1"/>
    <d v="2019-03-18T00:00:00"/>
  </r>
  <r>
    <n v="1091"/>
    <s v="8_국립축산과학원"/>
    <s v="1_축산생명환경부"/>
    <x v="16"/>
    <s v="박종은"/>
    <s v="보도자료26"/>
    <s v="환경변화와 닭의 스트레스·면역 반응 차이 밝혀"/>
    <s v="인트로뉴스"/>
    <d v="2019-03-15T00:00:00"/>
    <m/>
    <s v="13_인터넷포털"/>
    <n v="0.1"/>
    <d v="2019-03-18T00:00:00"/>
  </r>
  <r>
    <n v="1092"/>
    <s v="8_국립축산과학원"/>
    <s v="1_축산생명환경부"/>
    <x v="16"/>
    <s v="박종은"/>
    <s v="보도자료26"/>
    <s v="환경변화와 닭의 스트레스·면역 반응 차이 밝혀"/>
    <s v="중부뉴스통신"/>
    <d v="2019-03-15T00:00:00"/>
    <m/>
    <s v="13_인터넷포털"/>
    <n v="0.1"/>
    <d v="2019-03-18T00:00:00"/>
  </r>
  <r>
    <n v="1093"/>
    <s v="8_국립축산과학원"/>
    <s v="1_축산생명환경부"/>
    <x v="16"/>
    <s v="박종은"/>
    <s v="보도자료26"/>
    <s v="농진청. 환경변화와 닭의 스트레스·면역 반응 차이 밝혀...30℃ 이상의 고온이 계속되면 체온이 올라 위험"/>
    <s v="서울시정일보"/>
    <d v="2019-03-15T00:00:00"/>
    <m/>
    <s v="13_인터넷포털"/>
    <n v="0.1"/>
    <d v="2019-03-18T00:00:00"/>
  </r>
  <r>
    <n v="1094"/>
    <s v="8_국립축산과학원"/>
    <s v="1_축산생명환경부"/>
    <x v="16"/>
    <s v="박종은"/>
    <s v="보도자료26"/>
    <s v="환경변화와 닭의 스트레스·면역 반응 차이 밝혀"/>
    <s v="강원경제신문"/>
    <d v="2019-03-15T00:00:00"/>
    <m/>
    <s v="13_인터넷포털"/>
    <n v="0.1"/>
    <d v="2019-03-18T00:00:00"/>
  </r>
  <r>
    <n v="1095"/>
    <s v="8_국립축산과학원"/>
    <s v="0_본원"/>
    <x v="2"/>
    <s v="전익수"/>
    <s v="보도자료27"/>
    <s v="전남도, 축산과학원 축산자원개발부 이전 잰걸음"/>
    <s v="톡톡뉴스"/>
    <d v="2019-03-15T00:00:00"/>
    <m/>
    <s v="13_인터넷포털"/>
    <n v="0.1"/>
    <d v="2019-03-18T00:00:00"/>
  </r>
  <r>
    <n v="1096"/>
    <s v="8_국립축산과학원"/>
    <s v="0_본원"/>
    <x v="2"/>
    <s v="전익수"/>
    <s v="보도자료27"/>
    <s v="전남도, 축산과학원 축산자원개발부 이전 ‘잰걸음’"/>
    <s v="로컬투데이"/>
    <d v="2019-03-15T00:00:00"/>
    <m/>
    <s v="13_인터넷포털"/>
    <n v="0.1"/>
    <d v="2019-03-18T00:00:00"/>
  </r>
  <r>
    <n v="1097"/>
    <s v="8_국립축산과학원"/>
    <s v="0_본원"/>
    <x v="2"/>
    <s v="전익수"/>
    <s v="보도자료27"/>
    <s v="전남도, 축산과학원 축산자원개발부 이전 잰걸음"/>
    <s v="인트로뉴스"/>
    <d v="2019-03-15T00:00:00"/>
    <m/>
    <s v="13_인터넷포털"/>
    <n v="0.1"/>
    <d v="2019-03-18T00:00:00"/>
  </r>
  <r>
    <n v="1098"/>
    <s v="8_국립축산과학원"/>
    <s v="0_본원"/>
    <x v="2"/>
    <s v="전익수"/>
    <s v="보도자료27"/>
    <s v="전남도, 축산과학원 축산자원개발부 이전 잰걸음"/>
    <s v="중부뉴스통신"/>
    <d v="2019-03-15T00:00:00"/>
    <m/>
    <s v="13_인터넷포털"/>
    <n v="0.1"/>
    <d v="2019-03-18T00:00:00"/>
  </r>
  <r>
    <n v="1099"/>
    <s v="8_국립축산과학원"/>
    <s v="1_축산생명환경부"/>
    <x v="16"/>
    <s v="박종은"/>
    <s v="보도자료26"/>
    <s v="농진청, 국제 공동연구 통해 ‘닭 유전자’ 생물학적 기능 밝혀"/>
    <s v="투데이코리아"/>
    <d v="2019-03-15T00:00:00"/>
    <m/>
    <s v="13_인터넷포털"/>
    <n v="0.1"/>
    <d v="2019-03-18T00:00:00"/>
  </r>
  <r>
    <n v="1100"/>
    <s v="8_국립축산과학원"/>
    <s v="0_본원"/>
    <x v="2"/>
    <s v="전익수"/>
    <s v="보도자료27"/>
    <s v="전남도, 축산과학원 축산자원개발부 이전 잰걸음"/>
    <s v="호남타임즈"/>
    <d v="2019-03-15T00:00:00"/>
    <m/>
    <s v="13_인터넷포털"/>
    <n v="0.1"/>
    <d v="2019-03-18T00:00:00"/>
  </r>
  <r>
    <n v="1101"/>
    <s v="8_국립축산과학원"/>
    <s v="0_본원"/>
    <x v="2"/>
    <s v="전익수"/>
    <s v="보도자료27"/>
    <s v="전남도, 축산과학원 축산자원개발부 이전 ‘잰걸음’"/>
    <s v="프레시안"/>
    <d v="2019-03-15T00:00:00"/>
    <m/>
    <s v="13_인터넷포털"/>
    <n v="0.1"/>
    <d v="2019-03-18T00:00:00"/>
  </r>
  <r>
    <n v="1102"/>
    <s v="8_국립축산과학원"/>
    <s v="0_본원"/>
    <x v="2"/>
    <s v="전익수"/>
    <s v="보도자료27"/>
    <s v="전남도, 축산과학원 축산자원개발부 이전 잰걸음"/>
    <s v="플러스코리아"/>
    <d v="2019-03-15T00:00:00"/>
    <m/>
    <s v="13_인터넷포털"/>
    <n v="0.1"/>
    <d v="2019-03-18T00:00:00"/>
  </r>
  <r>
    <n v="1103"/>
    <s v="8_국립축산과학원"/>
    <s v="0_본원"/>
    <x v="2"/>
    <s v="전익수"/>
    <s v="보도자료27"/>
    <s v="전남도, 축산과학원 축산자원개발부 이전 잰걸음"/>
    <s v="아시아일보"/>
    <d v="2019-03-18T00:00:00"/>
    <n v="13"/>
    <s v="08_기타일간지"/>
    <n v="2"/>
    <d v="2019-03-19T00:00:00"/>
  </r>
  <r>
    <n v="1104"/>
    <s v="8_국립축산과학원"/>
    <s v="0_본원"/>
    <x v="2"/>
    <s v="전익수"/>
    <s v="보도자료27"/>
    <s v="국립축산과학원, 함평에 축산자원개발부 이전 추진"/>
    <s v="천지일보"/>
    <d v="2019-03-18T00:00:00"/>
    <n v="14"/>
    <s v="08_기타일간지"/>
    <n v="2"/>
    <d v="2019-03-19T00:00:00"/>
  </r>
  <r>
    <n v="1105"/>
    <s v="8_국립축산과학원"/>
    <s v="1_축산생명환경부"/>
    <x v="16"/>
    <s v="박종은"/>
    <s v="보도자료26"/>
    <s v="닭 스트레스·면역 반응 차이 왜?"/>
    <s v="농업인신문"/>
    <d v="2019-03-18T00:00:00"/>
    <n v="5"/>
    <s v="09_농업전문지"/>
    <n v="1.5"/>
    <d v="2019-03-19T00:00:00"/>
  </r>
  <r>
    <n v="1106"/>
    <s v="8_국립축산과학원"/>
    <s v="1_축산생명환경부"/>
    <x v="5"/>
    <s v="이은선"/>
    <s v="보도자료24"/>
    <s v="농진청, 우유 수송관 내부 세척용액 제조법 소개"/>
    <s v="한국영농신문"/>
    <d v="2019-03-16T00:00:00"/>
    <m/>
    <s v="09_농업전문지"/>
    <n v="1.5"/>
    <d v="2019-03-19T00:00:00"/>
  </r>
  <r>
    <n v="1107"/>
    <s v="8_국립축산과학원"/>
    <s v="1_축산생명환경부"/>
    <x v="7"/>
    <s v="김기현"/>
    <s v="보도자료25"/>
    <s v="동영상 보며 만드는 반려동물 ‘집밥’"/>
    <s v="한국영농신문"/>
    <d v="2019-03-16T00:00:00"/>
    <m/>
    <s v="09_농업전문지"/>
    <n v="1.5"/>
    <d v="2019-03-19T00:00:00"/>
  </r>
  <r>
    <n v="1108"/>
    <s v="8_국립축산과학원"/>
    <s v="0_본원"/>
    <x v="2"/>
    <s v="전익수"/>
    <s v="보도자료27"/>
    <s v="국립축산과학원 축산자원개발부, 함평군 이전 협의 시작"/>
    <s v="한국영농신문"/>
    <d v="2019-03-17T00:00:00"/>
    <m/>
    <s v="09_농업전문지"/>
    <n v="1.5"/>
    <d v="2019-03-19T00:00:00"/>
  </r>
  <r>
    <n v="1109"/>
    <s v="8_국립축산과학원"/>
    <s v="0_본원"/>
    <x v="2"/>
    <s v="전익수"/>
    <s v="보도자료27"/>
    <s v="축산과학원 축산자원개발부 이전 업무 협약"/>
    <s v="식품저널"/>
    <d v="2019-03-18T00:00:00"/>
    <m/>
    <s v="09_농업전문지"/>
    <n v="1.5"/>
    <d v="2019-03-19T00:00:00"/>
  </r>
  <r>
    <n v="1110"/>
    <s v="8_국립축산과학원"/>
    <s v="0_본원"/>
    <x v="2"/>
    <s v="전익수"/>
    <s v="보도자료27"/>
    <s v="축과원 축산자원개발부 이전사업 업무 협약 체결"/>
    <s v="전업농신문"/>
    <d v="2019-03-18T00:00:00"/>
    <m/>
    <s v="09_농업전문지"/>
    <n v="1.5"/>
    <d v="2019-03-19T00:00:00"/>
  </r>
  <r>
    <n v="1111"/>
    <s v="8_국립축산과학원"/>
    <s v="0_본원"/>
    <x v="2"/>
    <s v="전익수"/>
    <s v="보도자료27"/>
    <s v="국립축산과학원 축산자원개발부 이전사업 가속도 날 듯"/>
    <s v="한국농촌경제신문"/>
    <d v="2019-03-18T00:00:00"/>
    <m/>
    <s v="09_농업전문지"/>
    <n v="1.5"/>
    <d v="2019-03-19T00:00:00"/>
  </r>
  <r>
    <n v="1112"/>
    <s v="8_국립축산과학원"/>
    <s v="0_본원"/>
    <x v="2"/>
    <s v="전익수"/>
    <s v="보도자료27"/>
    <s v="축산자원개발부 함평 이전 ‘첩첩산중’"/>
    <s v="남도일보"/>
    <d v="2019-03-18T00:00:00"/>
    <n v="2"/>
    <s v="09_지방일간지"/>
    <n v="1.5"/>
    <d v="2019-03-19T00:00:00"/>
  </r>
  <r>
    <n v="1113"/>
    <s v="8_국립축산과학원"/>
    <s v="0_본원"/>
    <x v="2"/>
    <s v="전익수"/>
    <s v="보도자료27"/>
    <s v="전남도, 축산과학원 축산자원개발부 이전 잰걸음"/>
    <s v="광주타임즈"/>
    <d v="2019-03-18T00:00:00"/>
    <n v="3"/>
    <s v="09_지방일간지"/>
    <n v="1.5"/>
    <d v="2019-03-19T00:00:00"/>
  </r>
  <r>
    <n v="1114"/>
    <s v="8_국립축산과학원"/>
    <s v="0_본원"/>
    <x v="2"/>
    <s v="전익수"/>
    <s v="보도자료27"/>
    <s v="축산자원개발부 함평 이전 ‘속도’"/>
    <s v="전남매일"/>
    <d v="2019-03-18T00:00:00"/>
    <n v="2"/>
    <s v="09_지방일간지"/>
    <n v="1.5"/>
    <d v="2019-03-19T00:00:00"/>
  </r>
  <r>
    <n v="1115"/>
    <s v="8_국립축산과학원"/>
    <s v="0_본원"/>
    <x v="2"/>
    <s v="전익수"/>
    <s v="보도자료27"/>
    <s v="道, 축산과학원 축산자원개발부 이전 잰걸음"/>
    <s v="광주매일신문"/>
    <d v="2019-03-18T00:00:00"/>
    <n v="2"/>
    <s v="09_지방일간지"/>
    <n v="1.5"/>
    <d v="2019-03-19T00:00:00"/>
  </r>
  <r>
    <n v="1116"/>
    <s v="8_국립축산과학원"/>
    <s v="0_본원"/>
    <x v="2"/>
    <s v="전익수"/>
    <s v="보도자료27"/>
    <s v="국립축산과학원 축산자원개발부 함평 이전 속도"/>
    <s v="광주일보"/>
    <d v="2019-03-18T00:00:00"/>
    <n v="2"/>
    <s v="09_지방일간지"/>
    <n v="1.5"/>
    <d v="2019-03-19T00:00:00"/>
  </r>
  <r>
    <n v="1117"/>
    <s v="8_국립축산과학원"/>
    <s v="0_본원"/>
    <x v="2"/>
    <s v="전익수"/>
    <s v="보도자료27"/>
    <s v="전남도, 축산과학원 축산자원개발부 이전 잰걸음"/>
    <s v="남도투데이"/>
    <d v="2019-03-18T00:00:00"/>
    <n v="4"/>
    <s v="09_지방일간지"/>
    <n v="1.5"/>
    <d v="2019-03-19T00:00:00"/>
  </r>
  <r>
    <n v="1118"/>
    <s v="8_국립축산과학원"/>
    <s v="0_본원"/>
    <x v="2"/>
    <s v="전익수"/>
    <s v="보도자료27"/>
    <s v="축산과학원 축산자원개발부 이전 속도"/>
    <s v="광남일보"/>
    <d v="2019-03-18T00:00:00"/>
    <n v="3"/>
    <s v="09_지방일간지"/>
    <n v="1.5"/>
    <d v="2019-03-19T00:00:00"/>
  </r>
  <r>
    <n v="1119"/>
    <s v="8_국립축산과학원"/>
    <s v="0_본원"/>
    <x v="2"/>
    <s v="전익수"/>
    <s v="보도자료27"/>
    <s v="전남도, 축산자원개발부 함평 이전 업무협약 체결"/>
    <s v="중도일보"/>
    <d v="2019-03-18T00:00:00"/>
    <m/>
    <s v="09_지방일간지"/>
    <n v="1.5"/>
    <d v="2019-03-19T00:00:00"/>
  </r>
  <r>
    <n v="1120"/>
    <s v="8_국립축산과학원"/>
    <s v="0_본원"/>
    <x v="2"/>
    <s v="전익수"/>
    <s v="보도자료27"/>
    <s v="전남도, 축산과학원 축산자원개발부 이전 잰걸음"/>
    <s v="대한뉴스"/>
    <d v="2019-03-16T00:00:00"/>
    <m/>
    <s v="10_기타월간지"/>
    <n v="1"/>
    <d v="2019-03-19T00:00:00"/>
  </r>
  <r>
    <n v="1121"/>
    <s v="8_국립축산과학원"/>
    <s v="0_본원"/>
    <x v="2"/>
    <s v="전익수"/>
    <s v="보도자료27"/>
    <s v="국립축산과학원 축산자원개발부 이전사업 업무 협약"/>
    <s v="식약일보"/>
    <d v="2019-03-18T00:00:00"/>
    <m/>
    <s v="10_기타전문지"/>
    <n v="1"/>
    <d v="2019-03-19T00:00:00"/>
  </r>
  <r>
    <n v="1122"/>
    <s v="8_국립축산과학원"/>
    <s v="0_본원"/>
    <x v="2"/>
    <s v="전익수"/>
    <s v="보도자료27"/>
    <s v="전남도, 축산과학원 축산자원개발부 이전 잰걸음"/>
    <s v="전남인터넷신문"/>
    <d v="2019-03-15T00:00:00"/>
    <m/>
    <s v="13_인터넷포털"/>
    <n v="0.1"/>
    <d v="2019-03-19T00:00:00"/>
  </r>
  <r>
    <n v="1123"/>
    <s v="8_국립축산과학원"/>
    <s v="0_본원"/>
    <x v="2"/>
    <s v="전익수"/>
    <s v="보도자료27"/>
    <s v="전남도, 축산과학원 축산자원개발부 이전 잰걸음"/>
    <s v="남도방송"/>
    <d v="2019-03-15T00:00:00"/>
    <m/>
    <s v="13_인터넷포털"/>
    <n v="0.1"/>
    <d v="2019-03-19T00:00:00"/>
  </r>
  <r>
    <n v="1124"/>
    <s v="8_국립축산과학원"/>
    <s v="0_본원"/>
    <x v="2"/>
    <s v="전익수"/>
    <s v="보도자료27"/>
    <s v="전남도, 축산과학원 축산자원개발부 이전 잰걸음"/>
    <s v="더코리아"/>
    <d v="2019-03-15T00:00:00"/>
    <m/>
    <s v="13_인터넷포털"/>
    <n v="0.1"/>
    <d v="2019-03-19T00:00:00"/>
  </r>
  <r>
    <n v="1125"/>
    <s v="8_국립축산과학원"/>
    <s v="0_본원"/>
    <x v="2"/>
    <s v="전익수"/>
    <s v="보도자료27"/>
    <s v="전남도, 축산과학원 축산자원개발부 이전 잰걸음"/>
    <s v="뉴스에이"/>
    <d v="2019-03-15T00:00:00"/>
    <m/>
    <s v="13_인터넷포털"/>
    <n v="0.1"/>
    <d v="2019-03-19T00:00:00"/>
  </r>
  <r>
    <n v="1126"/>
    <s v="8_국립축산과학원"/>
    <s v="0_본원"/>
    <x v="2"/>
    <s v="전익수"/>
    <s v="보도자료27"/>
    <s v="전남도, 축산과학원 축산자원개발부 이전 잰걸음"/>
    <s v="국제뉴스"/>
    <d v="2019-03-15T00:00:00"/>
    <m/>
    <s v="13_인터넷포털"/>
    <n v="0.1"/>
    <d v="2019-03-19T00:00:00"/>
  </r>
  <r>
    <n v="1127"/>
    <s v="8_국립축산과학원"/>
    <s v="0_본원"/>
    <x v="2"/>
    <s v="전익수"/>
    <s v="보도자료27"/>
    <s v="축산과학원 축산자원개발부 이전사업 업무 협약"/>
    <s v="메디컬투데이"/>
    <d v="2019-03-15T00:00:00"/>
    <m/>
    <s v="13_인터넷포털"/>
    <n v="0.1"/>
    <d v="2019-03-19T00:00:00"/>
  </r>
  <r>
    <n v="1128"/>
    <s v="8_국립축산과학원"/>
    <s v="0_본원"/>
    <x v="2"/>
    <s v="전익수"/>
    <s v="보도자료27"/>
    <s v="전남도, 축산과학원 축산개발부 이전 잰걸음"/>
    <s v="광주인"/>
    <d v="2019-03-15T00:00:00"/>
    <m/>
    <s v="13_인터넷포털"/>
    <n v="0.1"/>
    <d v="2019-03-19T00:00:00"/>
  </r>
  <r>
    <n v="1129"/>
    <s v="8_국립축산과학원"/>
    <s v="0_본원"/>
    <x v="2"/>
    <s v="전익수"/>
    <s v="보도자료27"/>
    <s v="전남도, 축산과학원 축산자원개발부 이전 잰걸음"/>
    <s v="시사매거진"/>
    <d v="2019-03-15T00:00:00"/>
    <m/>
    <s v="13_인터넷포털"/>
    <n v="0.1"/>
    <d v="2019-03-19T00:00:00"/>
  </r>
  <r>
    <n v="1130"/>
    <s v="8_국립축산과학원"/>
    <s v="0_본원"/>
    <x v="2"/>
    <s v="전익수"/>
    <s v="보도자료27"/>
    <s v="전남도, 축산과학원 축산자원개발부 이전 잰걸음"/>
    <s v="전남제일신문"/>
    <d v="2019-03-15T00:00:00"/>
    <m/>
    <s v="13_인터넷포털"/>
    <n v="0.1"/>
    <d v="2019-03-19T00:00:00"/>
  </r>
  <r>
    <n v="1131"/>
    <s v="8_국립축산과학원"/>
    <s v="0_본원"/>
    <x v="2"/>
    <s v="전익수"/>
    <s v="보도자료27"/>
    <s v="전남도, 축산과학원 축산자원개발부 이전 잰걸음"/>
    <s v="여성종합뉴스"/>
    <d v="2019-03-16T00:00:00"/>
    <m/>
    <s v="13_인터넷포털"/>
    <n v="0.1"/>
    <d v="2019-03-19T00:00:00"/>
  </r>
  <r>
    <n v="1132"/>
    <s v="8_국립축산과학원"/>
    <s v="0_본원"/>
    <x v="2"/>
    <s v="전익수"/>
    <s v="보도자료27"/>
    <s v="전남도, 축산과학원 축산자원개발부 이전 잰걸음"/>
    <s v="서울뉴스통신"/>
    <d v="2019-03-16T00:00:00"/>
    <m/>
    <s v="13_인터넷포털"/>
    <n v="0.1"/>
    <d v="2019-03-19T00:00:00"/>
  </r>
  <r>
    <n v="1133"/>
    <s v="8_국립축산과학원"/>
    <s v="0_본원"/>
    <x v="2"/>
    <s v="전익수"/>
    <s v="보도자료27"/>
    <s v="전남도, 축산과학원 축산자원개발부 이전 업무협약(MOU) 체결"/>
    <s v="이데이뉴스"/>
    <d v="2019-03-16T00:00:00"/>
    <m/>
    <s v="13_인터넷포털"/>
    <n v="0.1"/>
    <d v="2019-03-19T00:00:00"/>
  </r>
  <r>
    <n v="1134"/>
    <s v="8_국립축산과학원"/>
    <s v="0_본원"/>
    <x v="2"/>
    <s v="전익수"/>
    <s v="보도자료27"/>
    <s v="전남도, 축산과학원 축산자원개발부 이전 잰걸음"/>
    <s v="미래일보"/>
    <d v="2019-03-16T00:00:00"/>
    <m/>
    <s v="13_인터넷포털"/>
    <n v="0.1"/>
    <d v="2019-03-19T00:00:00"/>
  </r>
  <r>
    <n v="1135"/>
    <s v="8_국립축산과학원"/>
    <s v="0_본원"/>
    <x v="2"/>
    <s v="전익수"/>
    <s v="보도자료27"/>
    <s v="전남도, 축산과학원 축산자원개발부 이전 잰걸음"/>
    <s v="전라닷컴"/>
    <d v="2019-03-17T00:00:00"/>
    <m/>
    <s v="13_인터넷포털"/>
    <n v="0.1"/>
    <d v="2019-03-19T00:00:00"/>
  </r>
  <r>
    <n v="1136"/>
    <s v="8_국립축산과학원"/>
    <s v="0_본원"/>
    <x v="2"/>
    <s v="전익수"/>
    <s v="보도자료27"/>
    <s v="전남도, 축산과학원 축산자원개발부 이전 잰걸음"/>
    <s v="위키트리"/>
    <d v="2019-03-17T00:00:00"/>
    <m/>
    <s v="13_인터넷포털"/>
    <n v="0.1"/>
    <d v="2019-03-19T00:00:00"/>
  </r>
  <r>
    <n v="1137"/>
    <s v="8_국립축산과학원"/>
    <s v="0_본원"/>
    <x v="2"/>
    <s v="전익수"/>
    <s v="보도자료27"/>
    <s v="전라남도, 축산과학원 축산자원개발부 이전 추진 관계기관 업무협약"/>
    <s v="우리들뉴스"/>
    <d v="2019-03-17T00:00:00"/>
    <m/>
    <s v="13_인터넷포털"/>
    <n v="0.1"/>
    <d v="2019-03-19T00:00:00"/>
  </r>
  <r>
    <n v="1138"/>
    <s v="8_국립축산과학원"/>
    <s v="0_본원"/>
    <x v="2"/>
    <s v="전익수"/>
    <s v="보도자료27"/>
    <s v="축산과학원 축산자원개발부 이전사업 업무 협약"/>
    <s v="라이브뉴스"/>
    <d v="2019-03-18T00:00:00"/>
    <m/>
    <s v="13_인터넷포털"/>
    <n v="0.1"/>
    <d v="2019-03-19T00:00:00"/>
  </r>
  <r>
    <n v="1139"/>
    <s v="8_국립축산과학원"/>
    <s v="0_본원"/>
    <x v="2"/>
    <s v="전익수"/>
    <s v="보도자료27"/>
    <s v="국립축산과학원 축산자원개발부 이전 추진"/>
    <s v="보건뉴스"/>
    <d v="2019-03-18T00:00:00"/>
    <m/>
    <s v="13_인터넷포털"/>
    <n v="0.1"/>
    <d v="2019-03-19T00:00:00"/>
  </r>
  <r>
    <n v="1140"/>
    <s v="8_국립축산과학원"/>
    <s v="0_본원"/>
    <x v="2"/>
    <s v="전익수"/>
    <s v="보도자료27"/>
    <s v="전남도, ‘축산과학원 축산자원개발부 이전 잰걸음’"/>
    <s v="굿데일리"/>
    <d v="2019-03-18T00:00:00"/>
    <m/>
    <s v="13_인터넷포털"/>
    <n v="0.1"/>
    <d v="2019-03-19T00:00:00"/>
  </r>
  <r>
    <n v="1141"/>
    <s v="8_국립축산과학원"/>
    <s v="0_본원"/>
    <x v="2"/>
    <s v="전익수"/>
    <s v="보도자료27"/>
    <s v="전남도, 축산과학원 축산자원개발부 이전 잰걸음"/>
    <s v="월드투데이"/>
    <d v="2019-03-18T00:00:00"/>
    <m/>
    <s v="13_인터넷포털"/>
    <n v="0.1"/>
    <d v="2019-03-19T00:00:00"/>
  </r>
  <r>
    <n v="1142"/>
    <s v="8_국립축산과학원"/>
    <s v="0_본원"/>
    <x v="4"/>
    <s v="천동원"/>
    <s v="기고"/>
    <s v="[기고] 천동원 소장-축산현장 애로기술 해결 위한 닭 키우기[100문 100답] Q22"/>
    <s v="축산신문"/>
    <d v="2019-03-19T00:00:00"/>
    <n v="15"/>
    <s v="17_농업전문지"/>
    <n v="8"/>
    <d v="2019-03-20T00:00:00"/>
  </r>
  <r>
    <n v="1143"/>
    <s v="8_국립축산과학원"/>
    <s v="0_본원"/>
    <x v="10"/>
    <s v="양병철"/>
    <s v="기고"/>
    <s v="[기고] 양병철 소장-제주흑우의 산업화를 위한 조건"/>
    <s v="농수축산신문"/>
    <d v="2019-03-19T00:00:00"/>
    <n v="7"/>
    <s v="17_농업전문지"/>
    <n v="8"/>
    <d v="2019-03-20T00:00:00"/>
  </r>
  <r>
    <n v="1144"/>
    <s v="8_국립축산과학원"/>
    <s v="0_본원"/>
    <x v="2"/>
    <s v="전익수"/>
    <s v="보도자료27"/>
    <s v="축산자원개발부 함평 이전 본격화...전남도·국립축산과학원 협약"/>
    <s v="연합뉴스"/>
    <d v="2019-03-17T00:00:00"/>
    <m/>
    <s v="07_중앙일간지"/>
    <n v="5"/>
    <d v="2019-03-20T00:00:00"/>
  </r>
  <r>
    <n v="1145"/>
    <s v="8_국립축산과학원"/>
    <s v="1_축산생명환경부"/>
    <x v="5"/>
    <s v="이은선"/>
    <s v="보도자료24"/>
    <s v="우유 수송관, 더 안전하고 깨끗하게 세척"/>
    <s v="한국식품의약신문"/>
    <d v="2019-03-11T00:00:00"/>
    <n v="19"/>
    <s v="09_농업전문지"/>
    <n v="1.5"/>
    <d v="2019-03-20T00:00:00"/>
  </r>
  <r>
    <n v="1146"/>
    <s v="8_국립축산과학원"/>
    <s v="0_본원"/>
    <x v="2"/>
    <s v="이근석"/>
    <m/>
    <s v="우수 지자체 벤치마킹 실시 성주군의회, 전주시 방문"/>
    <s v="경북일보"/>
    <d v="2019-03-19T00:00:00"/>
    <n v="5"/>
    <s v="09_지방일간지"/>
    <n v="1.5"/>
    <d v="2019-03-20T00:00:00"/>
  </r>
  <r>
    <n v="1147"/>
    <s v="8_국립축산과학원"/>
    <s v="1_축산생명환경부"/>
    <x v="7"/>
    <s v="이현정"/>
    <s v="보도자료21"/>
    <s v="축산과학원 ‘한국가축사양표준’ 출간"/>
    <s v="한국양돈신문"/>
    <d v="2019-03-12T00:00:00"/>
    <n v="10"/>
    <s v="10_기타전문지"/>
    <n v="1"/>
    <d v="2019-03-20T00:00:00"/>
  </r>
  <r>
    <n v="1148"/>
    <s v="8_국립축산과학원"/>
    <s v="1_축산생명환경부"/>
    <x v="7"/>
    <s v="이현정"/>
    <s v="보도자료21"/>
    <s v="한국 가축사양표준 간편판 발간"/>
    <s v="낙농신문"/>
    <d v="2019-03-14T00:00:00"/>
    <n v="7"/>
    <s v="10_기타전문지"/>
    <n v="1"/>
    <d v="2019-03-20T00:00:00"/>
  </r>
  <r>
    <n v="1149"/>
    <s v="8_국립축산과학원"/>
    <s v="2_축산자원개발부"/>
    <x v="12"/>
    <s v="기광석"/>
    <m/>
    <s v="마그네슘 부족, 영양소 소화율 감소"/>
    <s v="낙농신문"/>
    <d v="2019-03-14T00:00:00"/>
    <n v="13"/>
    <s v="10_기타전문지"/>
    <n v="1"/>
    <d v="2019-03-20T00:00:00"/>
  </r>
  <r>
    <n v="1150"/>
    <s v="8_국립축산과학원"/>
    <s v="0_본원"/>
    <x v="2"/>
    <s v="전익수"/>
    <s v="보도자료27"/>
    <s v="전남도, 축산과학원 축산자원개발부 이전 잰걸음"/>
    <s v="코리아데일리"/>
    <d v="2019-03-18T00:00:00"/>
    <m/>
    <s v="13_인터넷포털"/>
    <n v="0.1"/>
    <d v="2019-03-20T00:00:00"/>
  </r>
  <r>
    <n v="1151"/>
    <s v="8_국립축산과학원"/>
    <s v="0_본원"/>
    <x v="2"/>
    <s v="전익수"/>
    <s v="보도자료27"/>
    <s v="전남도, 축산과학원 축산자원개발부 이전 잰걸음"/>
    <s v="창업일보"/>
    <d v="2019-03-18T00:00:00"/>
    <m/>
    <s v="13_인터넷포털"/>
    <n v="0.1"/>
    <d v="2019-03-20T00:00:00"/>
  </r>
  <r>
    <n v="1152"/>
    <s v="8_국립축산과학원"/>
    <s v="1_축산생명환경부"/>
    <x v="9"/>
    <s v="곽정훈"/>
    <m/>
    <s v="Like익산포럼 ‘악취포럼’ 개최"/>
    <s v="KNS뉴스통신"/>
    <d v="2019-03-19T00:00:00"/>
    <m/>
    <s v="13_인터넷포털"/>
    <n v="0.1"/>
    <d v="2019-03-20T00:00:00"/>
  </r>
  <r>
    <n v="1153"/>
    <s v="8_국립축산과학원"/>
    <s v="1_축산생명환경부"/>
    <x v="9"/>
    <s v="곽정훈"/>
    <m/>
    <s v="‘익산시 20년 악취’, 전문가들이 나선다"/>
    <s v="그린포스트코리아"/>
    <d v="2019-03-19T00:00:00"/>
    <m/>
    <s v="13_인터넷포털"/>
    <n v="0.1"/>
    <d v="2019-03-20T00:00:00"/>
  </r>
  <r>
    <n v="1154"/>
    <s v="8_국립축산과학원"/>
    <s v="0_본원"/>
    <x v="2"/>
    <s v="전익수"/>
    <s v="보도자료27"/>
    <s v="전남도청, 원활한 협력 위한 4개 기관과 업무협약"/>
    <s v="농업경제신문"/>
    <d v="2019-03-19T00:00:00"/>
    <m/>
    <s v="13_인터넷포털"/>
    <n v="0.1"/>
    <d v="2019-03-20T00:00:00"/>
  </r>
  <r>
    <n v="1155"/>
    <s v="8_국립축산과학원"/>
    <s v="1_축산생명환경부"/>
    <x v="9"/>
    <s v="곽정훈"/>
    <m/>
    <s v="Like익산포럼 ‘악취포럼’ 개최한다"/>
    <s v="국제뉴스"/>
    <d v="2019-03-19T00:00:00"/>
    <m/>
    <s v="13_인터넷포털"/>
    <n v="0.1"/>
    <d v="2019-03-20T00:00:00"/>
  </r>
  <r>
    <n v="1156"/>
    <s v="8_국립축산과학원"/>
    <s v="1_축산생명환경부"/>
    <x v="7"/>
    <s v="김기현"/>
    <s v="보도자료25"/>
    <s v="반려동물 ‘집밥’ 동영상으로 쉽게 만들기"/>
    <s v="농축환경신문"/>
    <d v="2019-03-14T00:00:00"/>
    <n v="5"/>
    <s v="09_농업전문지"/>
    <n v="1.5"/>
    <d v="2019-03-22T00:00:00"/>
  </r>
  <r>
    <n v="1157"/>
    <s v="8_국립축산과학원"/>
    <s v="1_축산생명환경부"/>
    <x v="5"/>
    <s v="이은선"/>
    <s v="보도자료24"/>
    <s v="우유 수송관 “안전하게 세척하세요”"/>
    <s v="농축환경신문"/>
    <d v="2019-03-14T00:00:00"/>
    <n v="5"/>
    <s v="09_농업전문지"/>
    <n v="1.5"/>
    <d v="2019-03-22T00:00:00"/>
  </r>
  <r>
    <n v="1158"/>
    <s v="8_국립축산과학원"/>
    <s v="2_축산자원개발부"/>
    <x v="6"/>
    <s v="지희정"/>
    <m/>
    <s v="농진청, 봄맞이 옥수수 파종을 위한 퇴비뿌려(포토뉴스)"/>
    <s v="농축환경신문"/>
    <d v="2019-03-14T00:00:00"/>
    <n v="6"/>
    <s v="09_농업전문지"/>
    <n v="1.5"/>
    <d v="2019-03-22T00:00:00"/>
  </r>
  <r>
    <n v="1159"/>
    <s v="8_국립축산과학원"/>
    <s v="0_본원"/>
    <x v="2"/>
    <s v="전익수"/>
    <s v="보도자료27"/>
    <s v="전남 함평, 한국축산의 새로운 메카 기대"/>
    <s v="말산업저널"/>
    <d v="2019-03-20T00:00:00"/>
    <m/>
    <s v="10_기타전문지"/>
    <n v="1"/>
    <d v="2019-03-22T00:00:00"/>
  </r>
  <r>
    <n v="1160"/>
    <s v="8_국립축산과학원"/>
    <s v="0_본원"/>
    <x v="14"/>
    <s v="한만희"/>
    <m/>
    <s v="(100문100답) 분만후 45일이내…빠른 것은 30일이내 발정"/>
    <s v="한우신문"/>
    <d v="2019-03-19T00:00:00"/>
    <n v="12"/>
    <s v="10_기타전문지"/>
    <n v="1"/>
    <d v="2019-03-22T00:00:00"/>
  </r>
  <r>
    <n v="1161"/>
    <s v="8_국립축산과학원"/>
    <s v="1_축산생명환경부"/>
    <x v="16"/>
    <s v="박종은"/>
    <s v="보도자료26"/>
    <s v="농진청, ‘닭 유전자’ 생물학적 기능 찾아내"/>
    <s v="동양일보"/>
    <d v="2019-03-20T00:00:00"/>
    <n v="11"/>
    <s v="09_지방일간지"/>
    <n v="1.5"/>
    <d v="2019-03-22T00:00:00"/>
  </r>
  <r>
    <n v="1162"/>
    <s v="8_국립축산과학원"/>
    <s v="1_축산생명환경부"/>
    <x v="9"/>
    <s v="곽정훈"/>
    <m/>
    <s v="익산시 20년 악취, 전문가들이 나선다"/>
    <s v="새만금일보"/>
    <d v="2019-03-20T00:00:00"/>
    <n v="7"/>
    <s v="09_지방일간지"/>
    <n v="1.5"/>
    <d v="2019-03-22T00:00:00"/>
  </r>
  <r>
    <n v="1163"/>
    <s v="8_국립축산과학원"/>
    <s v="0_본원"/>
    <x v="2"/>
    <s v="전익수"/>
    <s v="보도자료27"/>
    <s v="천안 축산과학원 축산자원개발부 함평 이전사업 속도낸다"/>
    <s v="돼지와사람"/>
    <d v="2019-03-19T00:00:00"/>
    <m/>
    <s v="13_인터넷포털"/>
    <n v="0.1"/>
    <d v="2019-03-22T00:00:00"/>
  </r>
  <r>
    <n v="1164"/>
    <s v="8_국립축산과학원"/>
    <s v="1_축산생명환경부"/>
    <x v="9"/>
    <s v="곽정훈"/>
    <m/>
    <s v="악취 원인 규명하는 신기술 사례 발표 및 토론 진행"/>
    <s v="익산시민뉴스"/>
    <d v="2019-03-22T00:00:00"/>
    <m/>
    <s v="13_인터넷포털"/>
    <n v="0.1"/>
    <d v="2019-03-22T00:00:00"/>
  </r>
  <r>
    <n v="1165"/>
    <s v="8_국립축산과학원"/>
    <s v="1_축산생명환경부"/>
    <x v="16"/>
    <s v="박종은"/>
    <s v="보도자료26"/>
    <s v="환경변화와 닭의 면역·스트레스 차이 밝혀"/>
    <s v="농업경제신문"/>
    <d v="2019-03-22T00:00:00"/>
    <m/>
    <s v="13_인터넷포털"/>
    <n v="0.1"/>
    <d v="2019-03-22T00:00:00"/>
  </r>
  <r>
    <n v="1166"/>
    <s v="8_국립축산과학원"/>
    <s v="1_축산생명환경부"/>
    <x v="7"/>
    <s v="김상호"/>
    <m/>
    <s v="피씨엘, 반려동물 시장 진출...올핀과 파트너 계약"/>
    <s v="매일경제"/>
    <d v="2019-03-25T00:00:00"/>
    <m/>
    <s v="07_중앙일간지"/>
    <n v="5"/>
    <d v="2019-03-25T00:00:00"/>
  </r>
  <r>
    <n v="1167"/>
    <s v="8_국립축산과학원"/>
    <s v="1_축산생명환경부"/>
    <x v="7"/>
    <s v="김상호"/>
    <m/>
    <s v="피씨엘, 올핀과 파트너십... 반려동물 시장 진출"/>
    <s v="머니투데이"/>
    <d v="2019-03-25T00:00:00"/>
    <m/>
    <s v="07_중앙일간지"/>
    <n v="5"/>
    <d v="2019-03-25T00:00:00"/>
  </r>
  <r>
    <n v="1168"/>
    <s v="8_국립축산과학원"/>
    <s v="1_축산생명환경부"/>
    <x v="7"/>
    <s v="김상호"/>
    <m/>
    <s v="피씨엘, 올핀과 손잡고 반려동물시장 진출"/>
    <s v="에너지경제"/>
    <d v="2019-03-25T00:00:00"/>
    <m/>
    <s v="08_기타일간지"/>
    <n v="2"/>
    <d v="2019-03-25T00:00:00"/>
  </r>
  <r>
    <n v="1169"/>
    <s v="8_국립축산과학원"/>
    <s v="1_축산생명환경부"/>
    <x v="9"/>
    <s v="김종복"/>
    <s v="보도자료19"/>
    <s v="꼼꼼한 축산 ICT 관리, 효율 높고 고장 낮아"/>
    <s v="한국농기계신문"/>
    <d v="2019-02-28T00:00:00"/>
    <n v="14"/>
    <s v="09_농업전문지"/>
    <n v="1.5"/>
    <d v="2019-03-25T00:00:00"/>
  </r>
  <r>
    <n v="1170"/>
    <s v="8_국립축산과학원"/>
    <s v="1_축산생명환경부"/>
    <x v="16"/>
    <s v="박종은"/>
    <s v="보도자료26"/>
    <s v="농진청, 환경 변화와 닭의 스트레스·면역 반응 차이 밝혀"/>
    <s v="한국영농신문"/>
    <d v="2019-03-24T00:00:00"/>
    <m/>
    <s v="09_농업전문지"/>
    <n v="1.5"/>
    <d v="2019-03-25T00:00:00"/>
  </r>
  <r>
    <n v="1171"/>
    <s v="8_국립축산과학원"/>
    <s v="1_축산생명환경부"/>
    <x v="7"/>
    <s v="김기현"/>
    <s v="보도자료25"/>
    <s v="반려동물 ‘사료’ 동영상 보며 더 쉽게 만들어요!"/>
    <s v="농축유통신문"/>
    <d v="2019-03-15T00:00:00"/>
    <m/>
    <s v="09_농업전문지"/>
    <n v="1.5"/>
    <d v="2019-03-25T00:00:00"/>
  </r>
  <r>
    <n v="1172"/>
    <s v="8_국립축산과학원"/>
    <s v="1_축산생명환경부"/>
    <x v="16"/>
    <s v="박종은"/>
    <s v="보도자료26"/>
    <s v="닭 면역반응·스트레스, 환경변화로 유발"/>
    <s v="전업농신문"/>
    <d v="2019-03-15T00:00:00"/>
    <m/>
    <s v="09_농업전문지"/>
    <n v="1.5"/>
    <d v="2019-03-25T00:00:00"/>
  </r>
  <r>
    <n v="1173"/>
    <s v="8_국립축산과학원"/>
    <s v="0_본원"/>
    <x v="13"/>
    <s v="손지용"/>
    <s v="보도자료28"/>
    <s v="축산 농가 특급 도우미 ‘한우리 시스템’"/>
    <s v="한국영농신문"/>
    <d v="2019-03-25T00:00:00"/>
    <m/>
    <s v="09_농업전문지"/>
    <n v="1.5"/>
    <d v="2019-03-25T00:00:00"/>
  </r>
  <r>
    <n v="1174"/>
    <s v="8_국립축산과학원"/>
    <s v="0_본원"/>
    <x v="11"/>
    <s v="양병준"/>
    <m/>
    <s v="한국가스기술인협회 2019년 정기총회 개최"/>
    <s v="가스신문"/>
    <d v="2019-03-25T00:00:00"/>
    <m/>
    <s v="10_기타전문지"/>
    <n v="1"/>
    <d v="2019-03-25T00:00:00"/>
  </r>
  <r>
    <n v="1175"/>
    <s v="8_국립축산과학원"/>
    <s v="1_축산생명환경부"/>
    <x v="5"/>
    <s v="이은선"/>
    <s v="보도자료24"/>
    <s v="세정제, 흘려보낸 방식으로 세척"/>
    <s v="낙농신문"/>
    <d v="2019-03-21T00:00:00"/>
    <n v="5"/>
    <s v="10_기타전문지"/>
    <n v="1"/>
    <d v="2019-03-25T00:00:00"/>
  </r>
  <r>
    <n v="1176"/>
    <s v="8_국립축산과학원"/>
    <s v="2_축산자원개발부"/>
    <x v="12"/>
    <s v="기광석"/>
    <m/>
    <s v="코발트 결핍 식욕감퇴, 빈혈 등 증상"/>
    <s v="낙농신문"/>
    <d v="2019-03-21T00:00:00"/>
    <n v="13"/>
    <s v="10_기타전문지"/>
    <n v="1"/>
    <d v="2019-03-25T00:00:00"/>
  </r>
  <r>
    <n v="1177"/>
    <s v="8_국립축산과학원"/>
    <s v="2_축산자원개발부"/>
    <x v="12"/>
    <s v="기광석"/>
    <m/>
    <s v="유단백질, 분비상피 세포서 합성"/>
    <s v="낙농신문"/>
    <d v="2019-03-21T00:00:00"/>
    <n v="15"/>
    <s v="10_기타전문지"/>
    <n v="1"/>
    <d v="2019-03-25T00:00:00"/>
  </r>
  <r>
    <n v="1178"/>
    <s v="8_국립축산과학원"/>
    <s v="1_축산생명환경부"/>
    <x v="7"/>
    <s v="김기현"/>
    <s v="보도자료25"/>
    <s v="반려동물 ‘집밥’, 동영상 보며 쉽게 만드는 방법"/>
    <s v="글로벌이코노믹"/>
    <d v="2019-03-11T00:00:00"/>
    <m/>
    <s v="10_주간지"/>
    <n v="1"/>
    <d v="2019-03-25T00:00:00"/>
  </r>
  <r>
    <n v="1179"/>
    <s v="8_국립축산과학원"/>
    <s v="1_축산생명환경부"/>
    <x v="16"/>
    <s v="박종은"/>
    <s v="보도자료26"/>
    <s v="환경변화와 닭의 스트레스·면역 반응 차이 밝혀"/>
    <s v="정책브리핑"/>
    <d v="2019-03-15T00:00:00"/>
    <m/>
    <s v="12_대한민국 정책포털(korea.kr)"/>
    <n v="1"/>
    <d v="2019-03-25T00:00:00"/>
  </r>
  <r>
    <n v="1180"/>
    <s v="8_국립축산과학원"/>
    <s v="1_축산생명환경부"/>
    <x v="7"/>
    <s v="김상호"/>
    <m/>
    <s v="피씨엘, 올핀과 파트너 계약 체결 ‘반려동물시장 진출’"/>
    <s v="프라임경제"/>
    <d v="2019-03-25T00:00:00"/>
    <m/>
    <s v="10_주간지"/>
    <n v="1"/>
    <d v="2019-03-25T00:00:00"/>
  </r>
  <r>
    <n v="1181"/>
    <s v="8_국립축산과학원"/>
    <s v="1_축산생명환경부"/>
    <x v="5"/>
    <s v="이은선"/>
    <s v="보도자료24"/>
    <s v="원유 수송관, 차아염소산나트륨·구연산으로 세척"/>
    <s v="라이브뉴스"/>
    <d v="2019-03-07T00:00:00"/>
    <m/>
    <s v="13_인터넷포털"/>
    <n v="0.1"/>
    <d v="2019-03-25T00:00:00"/>
  </r>
  <r>
    <n v="1182"/>
    <s v="8_국립축산과학원"/>
    <s v="1_축산생명환경부"/>
    <x v="5"/>
    <s v="이은선"/>
    <s v="보도자료24"/>
    <s v="농진청 개발 세척액 쓰면 우유 수송관 세균 ‘저감’"/>
    <s v="팜인사이트"/>
    <d v="2019-03-07T00:00:00"/>
    <m/>
    <s v="13_인터넷포털"/>
    <n v="0.1"/>
    <d v="2019-03-25T00:00:00"/>
  </r>
  <r>
    <n v="1183"/>
    <s v="8_국립축산과학원"/>
    <s v="1_축산생명환경부"/>
    <x v="7"/>
    <s v="김기현"/>
    <s v="보도자료25"/>
    <s v="반려동물 ‘집밥’, 동영상 보며 더 쉽게 만들어요"/>
    <s v="경제투데이"/>
    <d v="2019-03-12T00:00:00"/>
    <m/>
    <s v="13_인터넷포털"/>
    <n v="0.1"/>
    <d v="2019-03-25T00:00:00"/>
  </r>
  <r>
    <n v="1184"/>
    <s v="8_국립축산과학원"/>
    <s v="1_축산생명환경부"/>
    <x v="16"/>
    <s v="박종은"/>
    <s v="보도자료26"/>
    <s v="환경변화와 닭의 스트레스·면역 반응 차이 밝혀"/>
    <s v="국토매일"/>
    <d v="2019-03-15T00:00:00"/>
    <m/>
    <s v="13_인터넷포털"/>
    <n v="0.1"/>
    <d v="2019-03-25T00:00:00"/>
  </r>
  <r>
    <n v="1185"/>
    <s v="8_국립축산과학원"/>
    <s v="1_축산생명환경부"/>
    <x v="16"/>
    <s v="박종은"/>
    <s v="보도자료26"/>
    <s v="환경변화와 닭의 스트레스·면역 반응 차이 밝혀"/>
    <s v="한국내츄럴타임즈"/>
    <d v="2019-03-15T00:00:00"/>
    <m/>
    <s v="13_인터넷포털"/>
    <n v="0.1"/>
    <d v="2019-03-25T00:00:00"/>
  </r>
  <r>
    <n v="1186"/>
    <s v="8_국립축산과학원"/>
    <s v="1_축산생명환경부"/>
    <x v="16"/>
    <s v="박종은"/>
    <s v="보도자료26"/>
    <s v="환경변화와 닭의 스트레스·면역 반응 차이 밝혀"/>
    <s v="한국뉴스"/>
    <d v="2019-03-15T00:00:00"/>
    <m/>
    <s v="13_인터넷포털"/>
    <n v="0.1"/>
    <d v="2019-03-25T00:00:00"/>
  </r>
  <r>
    <n v="1187"/>
    <s v="8_국립축산과학원"/>
    <s v="1_축산생명환경부"/>
    <x v="7"/>
    <s v="김상호"/>
    <m/>
    <s v="피씨엘, 올핀과 파트너 계약...반려동물시장 진출"/>
    <s v="메디칼타임즈"/>
    <d v="2019-03-25T00:00:00"/>
    <m/>
    <s v="13_인터넷포털"/>
    <n v="0.1"/>
    <d v="2019-03-25T00:00:00"/>
  </r>
  <r>
    <n v="1188"/>
    <s v="8_국립축산과학원"/>
    <s v="1_축산생명환경부"/>
    <x v="7"/>
    <s v="김상호"/>
    <m/>
    <s v="피씨엘, 올핀과 맞손...반려동물시장 진출"/>
    <s v="시사브리핑"/>
    <d v="2019-03-25T00:00:00"/>
    <m/>
    <s v="13_인터넷포털"/>
    <n v="0.1"/>
    <d v="2019-03-25T00:00:00"/>
  </r>
  <r>
    <n v="1189"/>
    <s v="8_국립축산과학원"/>
    <s v="0_본원"/>
    <x v="13"/>
    <s v="손지용"/>
    <s v="보도자료28"/>
    <s v="축산농가 가축사육 출하 후까지 한번에 관리"/>
    <s v="농업경제신문"/>
    <d v="2019-03-25T00:00:00"/>
    <m/>
    <s v="13_인터넷포털"/>
    <n v="0.1"/>
    <d v="2019-03-25T00:00:00"/>
  </r>
  <r>
    <n v="1190"/>
    <s v="8_국립축산과학원"/>
    <s v="0_본원"/>
    <x v="13"/>
    <s v="정성훈"/>
    <s v="보도자료29"/>
    <s v="농진청 축산 농가 현장 맞춤형 상담"/>
    <s v="환경일보"/>
    <d v="2019-03-25T00:00:00"/>
    <m/>
    <s v="08_기타일간지"/>
    <n v="2"/>
    <d v="2019-03-26T00:00:00"/>
  </r>
  <r>
    <n v="1191"/>
    <s v="8_국립축산과학원"/>
    <s v="0_본원"/>
    <x v="13"/>
    <s v="손지용"/>
    <s v="보도자료28"/>
    <s v="“축산농가, 한우리로 스마트하게 관리”"/>
    <s v="환경일보"/>
    <d v="2019-03-25T00:00:00"/>
    <m/>
    <s v="08_기타일간지"/>
    <n v="2"/>
    <d v="2019-03-26T00:00:00"/>
  </r>
  <r>
    <n v="1192"/>
    <s v="8_국립축산과학원"/>
    <s v="0_본원"/>
    <x v="13"/>
    <s v="정성훈"/>
    <s v="보도자료29"/>
    <s v="농촌진흥청, 축산 농가 현장 맞춤형 상담 나서"/>
    <s v="한국농촌경제신문"/>
    <d v="2019-03-26T00:00:00"/>
    <m/>
    <s v="09_농업전문지"/>
    <n v="1.5"/>
    <d v="2019-03-26T00:00:00"/>
  </r>
  <r>
    <n v="1193"/>
    <s v="8_국립축산과학원"/>
    <s v="0_본원"/>
    <x v="13"/>
    <s v="손지용"/>
    <s v="보도자료28"/>
    <s v="축산업 관리, ‘한우리’ 시스템으로 스마트하게"/>
    <s v="전업농신문"/>
    <d v="2019-03-26T00:00:00"/>
    <m/>
    <s v="09_농업전문지"/>
    <n v="1.5"/>
    <d v="2019-03-26T00:00:00"/>
  </r>
  <r>
    <n v="1194"/>
    <s v="8_국립축산과학원"/>
    <s v="0_본원"/>
    <x v="2"/>
    <s v="김동훈"/>
    <s v="보도자료30"/>
    <s v="축산과학원, 안전 축산 연구로 축산 기술 혁신"/>
    <s v="식품저널"/>
    <d v="2019-03-26T00:00:00"/>
    <m/>
    <s v="09_농업전문지"/>
    <n v="1.5"/>
    <d v="2019-03-26T00:00:00"/>
  </r>
  <r>
    <n v="1195"/>
    <s v="8_국립축산과학원"/>
    <s v="1_축산생명환경부"/>
    <x v="7"/>
    <s v="김기현"/>
    <s v="보도자료25"/>
    <s v="반려동물 ‘집밥’ 동영상 보며 더 쉽게 만든다"/>
    <s v="농식품PLUS신문"/>
    <d v="2019-03-15T00:00:00"/>
    <n v="18"/>
    <s v="10_기타전문지"/>
    <n v="1"/>
    <d v="2019-03-26T00:00:00"/>
  </r>
  <r>
    <n v="1196"/>
    <s v="8_국립축산과학원"/>
    <s v="0_본원"/>
    <x v="13"/>
    <s v="정성훈"/>
    <s v="보도자료29"/>
    <s v="농촌진흥청, 축산 농가 현장 맞춤형 상담 진행"/>
    <s v="프레시안"/>
    <d v="2019-03-25T00:00:00"/>
    <m/>
    <s v="13_인터넷포털"/>
    <n v="0.1"/>
    <d v="2019-03-26T00:00:00"/>
  </r>
  <r>
    <n v="1197"/>
    <s v="8_국립축산과학원"/>
    <s v="1_축산생명환경부"/>
    <x v="7"/>
    <s v="김상호"/>
    <m/>
    <s v="피씨엘, 반려동물시장 진출...올핀과 파트너 계약 체결"/>
    <s v="뉴스웍스"/>
    <d v="2019-03-25T00:00:00"/>
    <m/>
    <s v="13_인터넷포털"/>
    <n v="0.1"/>
    <d v="2019-03-26T00:00:00"/>
  </r>
  <r>
    <n v="1198"/>
    <s v="8_국립축산과학원"/>
    <s v="1_축산생명환경부"/>
    <x v="7"/>
    <s v="김상호"/>
    <m/>
    <s v="피씨엘, 반려동물시장 진출…올핀과 파트너 계약 체결"/>
    <s v="뉴스토마토"/>
    <d v="2019-03-25T00:00:00"/>
    <m/>
    <s v="13_인터넷포털"/>
    <n v="0.1"/>
    <d v="2019-03-26T00:00:00"/>
  </r>
  <r>
    <n v="1199"/>
    <s v="8_국립축산과학원"/>
    <s v="0_본원"/>
    <x v="13"/>
    <s v="정성훈"/>
    <m/>
    <s v="‘2019년 축산현장 맞춤형 종합컨설팅’ 실시"/>
    <s v="중부뉴스통신"/>
    <d v="2019-03-26T00:00:00"/>
    <m/>
    <s v="13_인터넷포털"/>
    <n v="0.1"/>
    <d v="2019-03-26T00:00:00"/>
  </r>
  <r>
    <n v="1200"/>
    <s v="8_국립축산과학원"/>
    <s v="0_본원"/>
    <x v="13"/>
    <s v="정성훈"/>
    <s v="보도자료29"/>
    <s v="농진청, 축산현장 맞춤형 상담 실시"/>
    <s v="농업경제신문"/>
    <d v="2019-03-26T00:00:00"/>
    <m/>
    <s v="13_인터넷포털"/>
    <n v="0.1"/>
    <d v="2019-03-26T00:00:00"/>
  </r>
  <r>
    <n v="1201"/>
    <s v="8_국립축산과학원"/>
    <s v="0_본원"/>
    <x v="2"/>
    <s v="김동훈"/>
    <s v="보도자료30"/>
    <s v="‘첨단·지속가능·복지·안전축산’ 연구로 축산성장 견인"/>
    <s v="라이브뉴스"/>
    <d v="2019-03-26T00:00:00"/>
    <m/>
    <s v="13_인터넷포털"/>
    <n v="0.1"/>
    <d v="2019-03-26T00:00:00"/>
  </r>
  <r>
    <n v="1202"/>
    <s v="8_국립축산과학원"/>
    <s v="1_축산생명환경부"/>
    <x v="5"/>
    <s v="양창범"/>
    <s v="기고"/>
    <s v="[기고] 양창범 원장-고령자를 위한 축산식품 개발에 관심을"/>
    <s v="헤럴드경제"/>
    <d v="2019-03-27T00:00:00"/>
    <n v="27"/>
    <s v="15_중앙일간지"/>
    <n v="15"/>
    <d v="2019-03-27T00:00:00"/>
  </r>
  <r>
    <n v="1203"/>
    <s v="8_국립축산과학원"/>
    <s v="0_본원"/>
    <x v="4"/>
    <s v="천동원"/>
    <s v="기고"/>
    <s v="[기고] 천동원 소장-축산현장 애로기술 해결 위한 닭 키우기[100문 100답] Q23"/>
    <s v="축산신문"/>
    <d v="2019-03-26T00:00:00"/>
    <n v="15"/>
    <s v="17_농업전문지"/>
    <n v="8"/>
    <d v="2019-03-27T00:00:00"/>
  </r>
  <r>
    <n v="1204"/>
    <s v="8_국립축산과학원"/>
    <s v="1_축산생명환경부"/>
    <x v="9"/>
    <s v="곽정훈"/>
    <m/>
    <s v="봄 농사 준비(포토뉴스)"/>
    <s v="이투데이"/>
    <d v="2019-03-27T00:00:00"/>
    <n v="15"/>
    <s v="07_중앙일간지"/>
    <n v="5"/>
    <d v="2019-03-27T00:00:00"/>
  </r>
  <r>
    <n v="1205"/>
    <s v="8_국립축산과학원"/>
    <s v="1_축산생명환경부"/>
    <x v="9"/>
    <s v="곽정훈"/>
    <m/>
    <s v="퇴비 뿌린 밭 갈기(포토뉴스)"/>
    <s v="연합뉴스"/>
    <d v="2019-03-26T00:00:00"/>
    <m/>
    <s v="07_중앙일간지"/>
    <n v="5"/>
    <d v="2019-03-27T00:00:00"/>
  </r>
  <r>
    <n v="1206"/>
    <s v="8_국립축산과학원"/>
    <s v="0_본원"/>
    <x v="13"/>
    <s v="정성훈"/>
    <m/>
    <s v="울산농기센터 축산현장 맞춤형 종합컨설팅"/>
    <s v="뉴시스"/>
    <d v="2019-03-26T00:00:00"/>
    <m/>
    <s v="07_중앙일간지"/>
    <n v="5"/>
    <d v="2019-03-27T00:00:00"/>
  </r>
  <r>
    <n v="1207"/>
    <s v="8_국립축산과학원"/>
    <s v="1_축산생명환경부"/>
    <x v="7"/>
    <s v="김상호"/>
    <m/>
    <s v="피씨엘, 반려동물시장 진출...올핀과 파트너 계약 체결"/>
    <s v="파이낸셜뉴스"/>
    <d v="2019-03-27T00:00:00"/>
    <m/>
    <s v="07_중앙일간지"/>
    <n v="5"/>
    <d v="2019-03-27T00:00:00"/>
  </r>
  <r>
    <n v="1208"/>
    <s v="8_국립축산과학원"/>
    <s v="0_본원"/>
    <x v="2"/>
    <s v="전익수"/>
    <s v="보도자료27"/>
    <s v="축산자원개발부 함평이전, 속도 낸다"/>
    <s v="축산신문"/>
    <d v="2019-03-26T00:00:00"/>
    <n v="3"/>
    <s v="09_농업전문지"/>
    <n v="1.5"/>
    <d v="2019-03-27T00:00:00"/>
  </r>
  <r>
    <n v="1209"/>
    <s v="8_국립축산과학원"/>
    <s v="0_본원"/>
    <x v="4"/>
    <s v="강보석"/>
    <s v="보도자료22"/>
    <s v="육질 쫄깃하고 빨리 크는 ‘우리맛닭’ 분양"/>
    <s v="농업축산신문"/>
    <d v="2019-03-18T00:00:00"/>
    <n v="7"/>
    <s v="09_농업전문지"/>
    <n v="1.5"/>
    <d v="2019-03-27T00:00:00"/>
  </r>
  <r>
    <n v="1210"/>
    <s v="8_국립축산과학원"/>
    <s v="1_축산생명환경부"/>
    <x v="9"/>
    <s v="곽정훈"/>
    <m/>
    <s v="한해 조사료 생산채비는 밭 갈이부터(포토뉴스)"/>
    <s v="농수축산신문"/>
    <d v="2019-03-26T00:00:00"/>
    <m/>
    <s v="09_농업전문지"/>
    <n v="1.5"/>
    <d v="2019-03-27T00:00:00"/>
  </r>
  <r>
    <n v="1211"/>
    <s v="8_국립축산과학원"/>
    <s v="0_본원"/>
    <x v="13"/>
    <s v="정성훈"/>
    <s v="보도자료29"/>
    <s v="농촌진흥청, 축산 농가 현장 맞춤형 상담 나서"/>
    <s v="한국영농신문"/>
    <d v="2019-03-27T00:00:00"/>
    <m/>
    <s v="09_농업전문지"/>
    <n v="1.5"/>
    <d v="2019-03-27T00:00:00"/>
  </r>
  <r>
    <n v="1212"/>
    <s v="8_국립축산과학원"/>
    <s v="0_본원"/>
    <x v="2"/>
    <s v="김동훈"/>
    <s v="보도자료30"/>
    <s v="양창범 원장 “축산 스마트팜 가속도...기술혁신 현장연구 강화할 것”"/>
    <s v="한국농촌경제신문"/>
    <d v="2019-03-27T00:00:00"/>
    <m/>
    <s v="09_농업전문지"/>
    <n v="1.5"/>
    <d v="2019-03-27T00:00:00"/>
  </r>
  <r>
    <n v="1213"/>
    <s v="8_국립축산과학원"/>
    <s v="0_본원"/>
    <x v="13"/>
    <s v="정성훈"/>
    <s v="보도자료29"/>
    <s v="농진청, ‘축산 현장 맞춤형 종합 상담’ 진행"/>
    <s v="전북타임스"/>
    <d v="2019-03-26T00:00:00"/>
    <n v="7"/>
    <s v="09_지방일간지"/>
    <n v="1.5"/>
    <d v="2019-03-27T00:00:00"/>
  </r>
  <r>
    <n v="1214"/>
    <s v="8_국립축산과학원"/>
    <s v="0_본원"/>
    <x v="13"/>
    <s v="정성훈"/>
    <s v="보도자료29"/>
    <s v="농진청, 축산 현장 맞춤형 상담 나서"/>
    <s v="새전북신문"/>
    <d v="2019-03-26T00:00:00"/>
    <n v="4"/>
    <s v="09_지방일간지"/>
    <n v="1.5"/>
    <d v="2019-03-27T00:00:00"/>
  </r>
  <r>
    <n v="1215"/>
    <s v="8_국립축산과학원"/>
    <s v="0_본원"/>
    <x v="13"/>
    <s v="정성훈"/>
    <s v="보도자료29"/>
    <s v="농진청 축산농가 어려움 해결 ‘앞장’"/>
    <s v="전북도민일보"/>
    <d v="2019-03-26T00:00:00"/>
    <n v="6"/>
    <s v="09_지방일간지"/>
    <n v="1.5"/>
    <d v="2019-03-27T00:00:00"/>
  </r>
  <r>
    <n v="1216"/>
    <s v="8_국립축산과학원"/>
    <s v="0_본원"/>
    <x v="13"/>
    <s v="정성훈"/>
    <s v="보도자료29"/>
    <s v="농진청, 9월까지 축산 현장 맞춤형 종합 상담"/>
    <s v="전라일보"/>
    <d v="2019-03-26T00:00:00"/>
    <n v="6"/>
    <s v="09_지방일간지"/>
    <n v="1.5"/>
    <d v="2019-03-27T00:00:00"/>
  </r>
  <r>
    <n v="1217"/>
    <s v="8_국립축산과학원"/>
    <s v="0_본원"/>
    <x v="13"/>
    <s v="정성훈"/>
    <s v="보도자료29"/>
    <s v="농촌진흥청, 축산 농가 현장 맞춤형 상담 나서"/>
    <s v="국토매일"/>
    <d v="2019-03-26T00:00:00"/>
    <m/>
    <s v="13_인터넷포털"/>
    <n v="0.1"/>
    <d v="2019-03-27T00:00:00"/>
  </r>
  <r>
    <n v="1218"/>
    <s v="8_국립축산과학원"/>
    <s v="0_본원"/>
    <x v="13"/>
    <s v="정성훈"/>
    <s v="보도자료29"/>
    <s v="농촌진흥청, 축산 농가 현장 맞춤형 상담 나서"/>
    <s v="중부뉴스통신"/>
    <d v="2019-03-26T00:00:00"/>
    <m/>
    <s v="13_인터넷포털"/>
    <n v="0.1"/>
    <d v="2019-03-27T00:00:00"/>
  </r>
  <r>
    <n v="1219"/>
    <s v="8_국립축산과학원"/>
    <s v="0_본원"/>
    <x v="13"/>
    <s v="정성훈"/>
    <s v="보도자료29"/>
    <s v="농촌진흥청, 축산 농가 현장 맞춤형 상담 나서"/>
    <s v="인트로뉴스"/>
    <d v="2019-03-26T00:00:00"/>
    <m/>
    <s v="13_인터넷포털"/>
    <n v="0.1"/>
    <d v="2019-03-27T00:00:00"/>
  </r>
  <r>
    <n v="1220"/>
    <s v="8_국립축산과학원"/>
    <s v="0_본원"/>
    <x v="13"/>
    <s v="정성훈"/>
    <s v="보도자료29"/>
    <s v="농진청, ‘축산 현장 맞춤형 종합 상담’ 실시"/>
    <s v="팜인사이트"/>
    <d v="2019-03-26T00:00:00"/>
    <m/>
    <s v="13_인터넷포털"/>
    <n v="0.1"/>
    <d v="2019-03-27T00:00:00"/>
  </r>
  <r>
    <n v="1221"/>
    <s v="8_국립축산과학원"/>
    <s v="0_본원"/>
    <x v="13"/>
    <s v="정성훈"/>
    <s v="보도자료29"/>
    <s v="농촌진흥청, 축산 농가 현장 맞춤형 상담 나서"/>
    <s v="강원경제신문"/>
    <d v="2019-03-26T00:00:00"/>
    <m/>
    <s v="13_인터넷포털"/>
    <n v="0.1"/>
    <d v="2019-03-27T00:00:00"/>
  </r>
  <r>
    <n v="1222"/>
    <s v="8_국립축산과학원"/>
    <s v="1_축산생명환경부"/>
    <x v="9"/>
    <s v="곽정훈"/>
    <m/>
    <s v="농촌진흥청 퇴비살포(포토뉴스)"/>
    <s v="프레시안"/>
    <d v="2019-03-26T00:00:00"/>
    <m/>
    <s v="13_인터넷포털"/>
    <n v="0.1"/>
    <d v="2019-03-27T00:00:00"/>
  </r>
  <r>
    <n v="1223"/>
    <s v="8_국립축산과학원"/>
    <s v="0_본원"/>
    <x v="13"/>
    <s v="정성훈"/>
    <m/>
    <s v="울산광역시청, “2019년 축산현장 맞춤형 종합컨설팅 실시”"/>
    <s v="굿데일리"/>
    <d v="2019-03-26T00:00:00"/>
    <m/>
    <s v="13_인터넷포털"/>
    <n v="0.1"/>
    <d v="2019-03-27T00:00:00"/>
  </r>
  <r>
    <n v="1224"/>
    <s v="8_국립축산과학원"/>
    <s v="0_본원"/>
    <x v="13"/>
    <s v="정성훈"/>
    <m/>
    <s v="‘2019년 축산현장 맞춤형 종합컨설팅’ 실시(울산광역시청)"/>
    <s v="월드투데이"/>
    <d v="2019-03-26T00:00:00"/>
    <m/>
    <s v="13_인터넷포털"/>
    <n v="0.1"/>
    <d v="2019-03-27T00:00:00"/>
  </r>
  <r>
    <n v="1225"/>
    <s v="8_국립축산과학원"/>
    <s v="0_본원"/>
    <x v="13"/>
    <s v="정성훈"/>
    <m/>
    <s v="울산광역시청, ‘2019년 축산현장 맞춤형 종합컨설팅’ 실시"/>
    <s v="코리아데일리"/>
    <d v="2019-03-26T00:00:00"/>
    <m/>
    <s v="13_인터넷포털"/>
    <n v="0.1"/>
    <d v="2019-03-27T00:00:00"/>
  </r>
  <r>
    <n v="1226"/>
    <s v="8_국립축산과학원"/>
    <s v="0_본원"/>
    <x v="13"/>
    <s v="정성훈"/>
    <m/>
    <s v="울산시농업기술센터, 2019년 축산현장 맞춤형 종합컨설팅 실시"/>
    <s v="부울경뉴스"/>
    <d v="2019-03-27T00:00:00"/>
    <m/>
    <s v="13_인터넷포털"/>
    <n v="0.1"/>
    <d v="2019-03-27T00:00:00"/>
  </r>
  <r>
    <n v="1227"/>
    <s v="8_국립축산과학원"/>
    <s v="0_본원"/>
    <x v="14"/>
    <s v="장선식"/>
    <s v="기고"/>
    <s v="[기고] 장선식 연구사-미경산 비육우 사양관리 및 경제성"/>
    <s v="월간한우"/>
    <d v="2019-03-01T00:00:00"/>
    <s v="98-102"/>
    <s v="17_농업전문지"/>
    <n v="8"/>
    <d v="2019-03-27T00:00:00"/>
  </r>
  <r>
    <n v="1228"/>
    <s v="8_국립축산과학원"/>
    <s v="0_본원"/>
    <x v="2"/>
    <s v="양창범"/>
    <s v="기고"/>
    <s v="[기고] 양창범 원장-한국 낙농, 어려울수록 지혜를 모아야"/>
    <s v="월간 낙농·육우"/>
    <d v="2019-03-01T00:00:00"/>
    <s v="90-91"/>
    <s v="18_월간지"/>
    <n v="4"/>
    <d v="2019-03-27T00:00:00"/>
  </r>
  <r>
    <n v="1229"/>
    <s v="8_국립축산과학원"/>
    <s v="2_축산자원개발부"/>
    <x v="12"/>
    <s v="임동현"/>
    <s v="기고"/>
    <s v="[기고] 임동현 연구사-봄철 환절기 젖소 사양관리 요령"/>
    <s v="월간 낙농·육우"/>
    <d v="2019-03-01T00:00:00"/>
    <s v="111-119"/>
    <s v="18_월간지"/>
    <n v="4"/>
    <d v="2019-03-27T00:00:00"/>
  </r>
  <r>
    <n v="1230"/>
    <s v="8_국립축산과학원"/>
    <s v="1_축산생명환경부"/>
    <x v="7"/>
    <s v="백열창"/>
    <m/>
    <s v="자가 TMR로 사료비 37% 줄이고 1++등급 출현율 13%포인트 늘려"/>
    <s v="월간축산"/>
    <d v="2019-03-01T00:00:00"/>
    <s v="50-53"/>
    <s v="09_농업전문지"/>
    <n v="1.5"/>
    <d v="2019-03-27T00:00:00"/>
  </r>
  <r>
    <n v="1231"/>
    <s v="8_국립축산과학원"/>
    <s v="1_축산생명환경부"/>
    <x v="7"/>
    <s v="이현정"/>
    <m/>
    <s v="한우 사양기술 발달로 비육기간 28개월도 충분해"/>
    <s v="월간축산"/>
    <d v="2019-03-01T00:00:00"/>
    <s v="45-47"/>
    <s v="09_농업전문지"/>
    <n v="1.5"/>
    <d v="2019-03-27T00:00:00"/>
  </r>
  <r>
    <n v="1232"/>
    <s v="8_국립축산과학원"/>
    <s v="0_본원"/>
    <x v="14"/>
    <s v="정기용"/>
    <m/>
    <s v="한우 도체중 늘리고 1+등급 출현율 높이는 특효약"/>
    <s v="월간축산"/>
    <d v="2019-03-01T00:00:00"/>
    <s v="78-81"/>
    <s v="09_농업전문지"/>
    <n v="1.5"/>
    <d v="2019-03-27T00:00:00"/>
  </r>
  <r>
    <n v="1233"/>
    <s v="8_국립축산과학원"/>
    <s v="2_축산자원개발부"/>
    <x v="0"/>
    <m/>
    <m/>
    <s v="모돈의 분만 징후"/>
    <s v="월간축산"/>
    <d v="2019-03-01T00:00:00"/>
    <s v="98-99"/>
    <s v="09_농업전문지"/>
    <n v="1.5"/>
    <d v="2019-03-27T00:00:00"/>
  </r>
  <r>
    <n v="1234"/>
    <s v="8_국립축산과학원"/>
    <s v="2_축산자원개발부"/>
    <x v="8"/>
    <s v="최연호"/>
    <s v="보도자료8"/>
    <s v="국산 젖소 보증씨수소 4마리 선정"/>
    <s v="월간축산"/>
    <d v="2019-03-01T00:00:00"/>
    <n v="134"/>
    <s v="09_농업전문지"/>
    <n v="1.5"/>
    <d v="2019-03-27T00:00:00"/>
  </r>
  <r>
    <n v="1235"/>
    <s v="8_국립축산과학원"/>
    <s v="1_축산생명환경부"/>
    <x v="5"/>
    <s v="유자연"/>
    <s v="보도자료16"/>
    <s v="축산과학원, '목장형 유가공 창업 알리미' 발간"/>
    <s v="월간축산"/>
    <d v="2019-03-01T00:00:00"/>
    <n v="134"/>
    <s v="09_농업전문지"/>
    <n v="1.5"/>
    <d v="2019-03-27T00:00:00"/>
  </r>
  <r>
    <n v="1236"/>
    <s v="8_국립축산과학원"/>
    <s v="0_본원"/>
    <x v="15"/>
    <s v="노희종"/>
    <s v="보도자료10"/>
    <s v="토종닭 4품종 가축다양성정보시스템에 등재"/>
    <s v="월간축산"/>
    <d v="2019-03-01T00:00:00"/>
    <n v="135"/>
    <s v="09_농업전문지"/>
    <n v="1.5"/>
    <d v="2019-03-27T00:00:00"/>
  </r>
  <r>
    <n v="1237"/>
    <s v="8_국립축산과학원"/>
    <s v="0_본원"/>
    <x v="4"/>
    <s v="강보석"/>
    <s v="보도자료9"/>
    <s v="토종닭 4품종 가축다양성정보시스템에 등재"/>
    <s v="월간축산"/>
    <d v="2019-03-01T00:00:00"/>
    <n v="135"/>
    <s v="09_농업전문지"/>
    <n v="1.5"/>
    <d v="2019-03-27T00:00:00"/>
  </r>
  <r>
    <n v="1238"/>
    <s v="8_국립축산과학원"/>
    <s v="1_축산생명환경부"/>
    <x v="5"/>
    <s v="조수현"/>
    <s v="보도자료14"/>
    <s v="남은 쇠고기 반드시 4℃이하에서 보관해야"/>
    <s v="월간축산"/>
    <d v="2019-03-01T00:00:00"/>
    <n v="136"/>
    <s v="09_농업전문지"/>
    <n v="1.5"/>
    <d v="2019-03-27T00:00:00"/>
  </r>
  <r>
    <n v="1239"/>
    <s v="8_국립축산과학원"/>
    <s v="1_축산생명환경부"/>
    <x v="9"/>
    <s v="김종복"/>
    <s v="보도자료19"/>
    <s v="&quot;축산 ICT(정보통신기술) 장치, 꼼꼼하게 관리하세요&quot;"/>
    <s v="월간한우"/>
    <d v="2019-03-01T00:00:00"/>
    <n v="162"/>
    <s v="09_농업전문지"/>
    <n v="1.5"/>
    <d v="2019-03-27T00:00:00"/>
  </r>
  <r>
    <n v="1240"/>
    <s v="8_국립축산과학원"/>
    <s v="2_축산자원개발부"/>
    <x v="6"/>
    <s v="임은아"/>
    <s v="보도자료17"/>
    <s v="&quot;추위 견딘 풀사료, 봄철 철저한 관리로 수확량 늘리자&quot;"/>
    <s v="월간한우"/>
    <d v="2019-03-01T00:00:00"/>
    <n v="163"/>
    <s v="09_농업전문지"/>
    <n v="1.5"/>
    <d v="2019-03-27T00:00:00"/>
  </r>
  <r>
    <n v="1241"/>
    <s v="8_국립축산과학원"/>
    <s v="1_축산생명환경부"/>
    <x v="5"/>
    <s v="유자연"/>
    <s v="보도자료16"/>
    <s v="목장형 유가공 창업 알리미"/>
    <s v="월간낙농"/>
    <d v="2019-03-01T00:00:00"/>
    <n v="119"/>
    <s v="10_월간지"/>
    <n v="1"/>
    <d v="2019-03-27T00:00:00"/>
  </r>
  <r>
    <n v="1242"/>
    <s v="8_국립축산과학원"/>
    <s v="2_축산자원개발부"/>
    <x v="6"/>
    <s v="임은아"/>
    <s v="보도자료17"/>
    <s v="&quot;풀사료, 봄철 관리로 수확량 늘려요&quot;"/>
    <s v="월간낙농"/>
    <d v="2019-03-01T00:00:00"/>
    <n v="125"/>
    <s v="10_월간지"/>
    <n v="1"/>
    <d v="2019-03-27T00:00:00"/>
  </r>
  <r>
    <n v="1243"/>
    <s v="8_국립축산과학원"/>
    <s v="1_축산생명환경부"/>
    <x v="9"/>
    <s v="김종복"/>
    <s v="보도자료19"/>
    <s v="&quot;축산 정보통신기술 장치, 꼼꼼하게 관리하세요&quot;"/>
    <s v="월간낙농"/>
    <d v="2019-03-01T00:00:00"/>
    <n v="143"/>
    <s v="10_월간지"/>
    <n v="1"/>
    <d v="2019-03-27T00:00:00"/>
  </r>
  <r>
    <n v="1244"/>
    <s v="8_국립축산과학원"/>
    <s v="2_축산자원개발부"/>
    <x v="12"/>
    <m/>
    <m/>
    <s v="축산현장 애로기술 해결 위한 젖소 사육"/>
    <s v="월간낙농"/>
    <d v="2019-03-01T00:00:00"/>
    <s v="146-152"/>
    <s v="10_월간지"/>
    <n v="1"/>
    <d v="2019-03-27T00:00:00"/>
  </r>
  <r>
    <n v="1245"/>
    <s v="8_국립축산과학원"/>
    <s v="2_축산자원개발부"/>
    <x v="12"/>
    <s v="하승민,박성민"/>
    <m/>
    <s v="3월 사양관리"/>
    <s v="월간낙농"/>
    <d v="2019-03-01T00:00:00"/>
    <s v="185-187"/>
    <s v="10_월간지"/>
    <n v="1"/>
    <d v="2019-03-27T00:00:00"/>
  </r>
  <r>
    <n v="1246"/>
    <s v="8_국립축산과학원"/>
    <s v="1_축산생명환경부"/>
    <x v="9"/>
    <s v="김종복"/>
    <s v="보도자료19"/>
    <s v="축산 ICT 기기 주기적 청소 필요"/>
    <s v="월간한돈"/>
    <d v="2019-03-01T00:00:00"/>
    <n v="450"/>
    <s v="10_월간지"/>
    <n v="1"/>
    <d v="2019-03-27T00:00:00"/>
  </r>
  <r>
    <n v="1247"/>
    <s v="8_국립축산과학원"/>
    <s v="2_축산자원개발부"/>
    <x v="0"/>
    <m/>
    <m/>
    <s v="축산과학원, '우리흑돈' 브랜드 산업화 도모"/>
    <s v="월간한돈"/>
    <d v="2019-03-01T00:00:00"/>
    <n v="166"/>
    <s v="10_월간지"/>
    <n v="1"/>
    <d v="2019-03-27T00:00:00"/>
  </r>
  <r>
    <n v="1248"/>
    <s v="8_국립축산과학원"/>
    <s v="0_본원"/>
    <x v="3"/>
    <s v="조아라"/>
    <s v="보도자료7"/>
    <s v="미세먼지 관리 요령"/>
    <s v="월간양계"/>
    <d v="2019-03-01T00:00:00"/>
    <n v="123"/>
    <s v="10_월간지"/>
    <n v="1"/>
    <d v="2019-03-27T00:00:00"/>
  </r>
  <r>
    <n v="1249"/>
    <s v="8_국립축산과학원"/>
    <s v="0_본원"/>
    <x v="4"/>
    <s v="강보석"/>
    <s v="보도자료22"/>
    <s v="육질이 쫄깃하고 빨리 크는 '우리맛닭' 분양"/>
    <s v="월간닭고기"/>
    <d v="2019-03-01T00:00:00"/>
    <n v="28"/>
    <s v="10_월간지"/>
    <n v="1"/>
    <d v="2019-03-27T00:00:00"/>
  </r>
  <r>
    <n v="1250"/>
    <s v="8_국립축산과학원"/>
    <s v="2_축산자원개발부"/>
    <x v="6"/>
    <s v="지희정"/>
    <m/>
    <s v="음식물쓰레기 말린 가루로 유기질비료 만든다(포토뉴스)"/>
    <s v="이데일리"/>
    <d v="2019-03-27T00:00:00"/>
    <m/>
    <s v="07_중앙일간지"/>
    <n v="5"/>
    <d v="2019-03-28T00:00:00"/>
  </r>
  <r>
    <n v="1251"/>
    <s v="8_국립축산과학원"/>
    <s v="0_본원"/>
    <x v="2"/>
    <s v="전익수"/>
    <s v="보도자료27"/>
    <s v="축산원 축산자원개발부 이전사업 업무협약"/>
    <s v="농축환경신문"/>
    <d v="2019-03-21T00:00:00"/>
    <n v="5"/>
    <s v="09_농업전문지"/>
    <n v="1.5"/>
    <d v="2019-03-28T00:00:00"/>
  </r>
  <r>
    <n v="1252"/>
    <s v="8_국립축산과학원"/>
    <s v="1_축산생명환경부"/>
    <x v="16"/>
    <s v="박종은"/>
    <s v="보도자료26"/>
    <s v="환경변화와 ‘닭의 스트레스·면역 반응’ 밝혀"/>
    <s v="농축환경신문"/>
    <d v="2019-03-21T00:00:00"/>
    <n v="5"/>
    <s v="09_농업전문지"/>
    <n v="1.5"/>
    <d v="2019-03-28T00:00:00"/>
  </r>
  <r>
    <n v="1253"/>
    <s v="8_국립축산과학원"/>
    <s v="0_본원"/>
    <x v="2"/>
    <s v="김동훈"/>
    <s v="보도자료30"/>
    <s v="축산 기술 혁신을 위한 협업·현장 연구 강화"/>
    <s v="팜&amp;마켓매거진"/>
    <d v="2019-03-28T00:00:00"/>
    <m/>
    <s v="09_농업전문지"/>
    <n v="1.5"/>
    <d v="2019-03-28T00:00:00"/>
  </r>
  <r>
    <n v="1254"/>
    <s v="8_국립축산과학원"/>
    <s v="0_본원"/>
    <x v="2"/>
    <s v="김동훈"/>
    <s v="보도자료30"/>
    <s v="고령화시대 대비 맞춤형 축산 가공식품 개발로 소비확대 총력"/>
    <s v="팜&amp;마켓매거진"/>
    <d v="2019-03-28T00:00:00"/>
    <m/>
    <s v="09_농업전문지"/>
    <n v="1.5"/>
    <d v="2019-03-28T00:00:00"/>
  </r>
  <r>
    <n v="1255"/>
    <s v="8_국립축산과학원"/>
    <s v="0_본원"/>
    <x v="2"/>
    <s v="전익수"/>
    <s v="보도자료27"/>
    <s v="축산자원개발부 이전사업 속도낸다"/>
    <s v="농축산기계"/>
    <d v="2019-03-20T00:00:00"/>
    <n v="12"/>
    <s v="10_기타전문지"/>
    <n v="1"/>
    <d v="2019-03-28T00:00:00"/>
  </r>
  <r>
    <n v="1256"/>
    <s v="8_국립축산과학원"/>
    <s v="2_축산자원개발부"/>
    <x v="6"/>
    <s v="지희정"/>
    <m/>
    <s v="땅심이 농심이여~!(포토뉴스)"/>
    <s v="농축산기계"/>
    <d v="2019-03-20T00:00:00"/>
    <n v="12"/>
    <s v="10_기타전문지"/>
    <n v="1"/>
    <d v="2019-03-28T00:00:00"/>
  </r>
  <r>
    <n v="1257"/>
    <s v="8_국립축산과학원"/>
    <s v="0_본원"/>
    <x v="15"/>
    <s v="이성수"/>
    <m/>
    <s v="(가축유전자원관리 평가연구실) “고유자원 15축종 120품종 계통등재”"/>
    <s v="농축산기계"/>
    <d v="2019-03-20T00:00:00"/>
    <n v="9"/>
    <s v="10_기타전문지"/>
    <n v="1"/>
    <d v="2019-03-28T00:00:00"/>
  </r>
  <r>
    <n v="1258"/>
    <s v="8_국립축산과학원"/>
    <s v="0_본원"/>
    <x v="2"/>
    <s v="김동훈"/>
    <s v="보도자료30"/>
    <s v="축산 기술 혁신을 위한 협업·현장 연구 강화"/>
    <s v="국토매일"/>
    <d v="2019-03-27T00:00:00"/>
    <m/>
    <s v="13_인터넷포털"/>
    <n v="0.1"/>
    <d v="2019-03-28T00:00:00"/>
  </r>
  <r>
    <n v="1259"/>
    <s v="8_국립축산과학원"/>
    <s v="0_본원"/>
    <x v="2"/>
    <s v="김동훈"/>
    <s v="보도자료30"/>
    <s v="축산 기술 혁신을 위한 협업·현장 연구 강화"/>
    <s v="중부뉴스통신"/>
    <d v="2019-03-27T00:00:00"/>
    <m/>
    <s v="13_인터넷포털"/>
    <n v="0.1"/>
    <d v="2019-03-28T00:00:00"/>
  </r>
  <r>
    <n v="1260"/>
    <s v="8_국립축산과학원"/>
    <s v="0_본원"/>
    <x v="2"/>
    <s v="김동훈"/>
    <s v="보도자료30"/>
    <s v="축산 기술 혁신을 위한 협업·현장 연구 강화"/>
    <s v="인트로뉴스"/>
    <d v="2019-03-27T00:00:00"/>
    <m/>
    <s v="13_인터넷포털"/>
    <n v="0.1"/>
    <d v="2019-03-28T00:00:00"/>
  </r>
  <r>
    <n v="1261"/>
    <s v="8_국립축산과학원"/>
    <s v="1_축산생명환경부"/>
    <x v="9"/>
    <s v="곽정훈"/>
    <m/>
    <s v="음식물 쓰레기 건조분말, 내달부터 유기질비료 허용(포토뉴스)"/>
    <s v="투데이코리아"/>
    <d v="2019-03-27T00:00:00"/>
    <m/>
    <s v="13_인터넷포털"/>
    <n v="0.1"/>
    <d v="2019-03-28T00:00:00"/>
  </r>
  <r>
    <n v="1262"/>
    <s v="8_국립축산과학원"/>
    <s v="0_본원"/>
    <x v="2"/>
    <s v="김동훈"/>
    <s v="보도자료30"/>
    <s v="축산 기술 혁신을 위한 협업·현장 연구 강화"/>
    <s v="강원경제신문"/>
    <d v="2019-03-27T00:00:00"/>
    <m/>
    <s v="13_인터넷포털"/>
    <n v="0.1"/>
    <d v="2019-03-28T00:00:00"/>
  </r>
  <r>
    <n v="1263"/>
    <s v="8_국립축산과학원"/>
    <s v="0_본원"/>
    <x v="2"/>
    <s v="김동훈"/>
    <s v="보도자료30"/>
    <s v="농촌진흥청, 축산 스마트팜 모델 구축"/>
    <s v="보건뉴스"/>
    <d v="2019-03-27T00:00:00"/>
    <m/>
    <s v="13_인터넷포털"/>
    <n v="0.1"/>
    <d v="2019-03-28T00:00:00"/>
  </r>
  <r>
    <n v="1264"/>
    <s v="8_국립축산과학원"/>
    <s v="0_본원"/>
    <x v="13"/>
    <s v="정성훈"/>
    <s v="보도자료29"/>
    <s v="농진청, 2019 ‘축산현장 맞춤형 종합상담’ 일정 확정...돼지는 2회"/>
    <s v="돼지와사람"/>
    <d v="2019-03-27T00:00:00"/>
    <m/>
    <s v="13_인터넷포털"/>
    <n v="0.1"/>
    <d v="2019-03-28T00:00:00"/>
  </r>
  <r>
    <n v="1265"/>
    <s v="8_국립축산과학원"/>
    <s v="0_본원"/>
    <x v="2"/>
    <s v="전익수"/>
    <s v="보도자료27"/>
    <s v="국립축산과학원 축산자원개발부 함평 이전 추진"/>
    <s v="뉴시스"/>
    <d v="2019-03-15T00:00:00"/>
    <m/>
    <s v="07_중앙일간지"/>
    <n v="5"/>
    <d v="2019-03-29T00:00:00"/>
  </r>
  <r>
    <n v="1266"/>
    <s v="8_국립축산과학원"/>
    <s v="0_본원"/>
    <x v="2"/>
    <s v="김동훈"/>
    <s v="보도자료30"/>
    <s v="축산 기술 혁신을 위한 협업·현장 연구 강화"/>
    <s v="환경일보"/>
    <d v="2019-03-29T00:00:00"/>
    <m/>
    <s v="08_기타일간지"/>
    <n v="2"/>
    <d v="2019-03-29T00:00:00"/>
  </r>
  <r>
    <n v="1267"/>
    <s v="8_국립축산과학원"/>
    <s v="0_본원"/>
    <x v="2"/>
    <s v="김동훈"/>
    <s v="보도자료30"/>
    <s v="농진청 축과원, 첨단·지속·복지·안전 축산 힘쓴다"/>
    <s v="농민신문"/>
    <d v="2019-03-29T00:00:00"/>
    <m/>
    <s v="09_농업전문지"/>
    <n v="1.5"/>
    <d v="2019-03-29T00:00:00"/>
  </r>
  <r>
    <n v="1268"/>
    <s v="8_국립축산과학원"/>
    <s v="0_본원"/>
    <x v="2"/>
    <s v="전익수"/>
    <s v="보도자료27"/>
    <s v="전남도, 축산과학원 축산자원개발부 이전 잰걸음"/>
    <s v="농업인신문"/>
    <d v="2019-03-18T00:00:00"/>
    <m/>
    <s v="09_농업전문지"/>
    <n v="1.5"/>
    <d v="2019-03-29T00:00:00"/>
  </r>
  <r>
    <n v="1269"/>
    <s v="8_국립축산과학원"/>
    <s v="0_본원"/>
    <x v="2"/>
    <s v="김동훈"/>
    <s v="보도자료30"/>
    <s v="축산 기술 혁신을 위한 협업·현장 연구 강화"/>
    <s v="농축유통신문"/>
    <d v="2019-03-29T00:00:00"/>
    <m/>
    <s v="09_농업전문지"/>
    <n v="1.5"/>
    <d v="2019-03-29T00:00:00"/>
  </r>
  <r>
    <n v="1270"/>
    <s v="8_국립축산과학원"/>
    <s v="0_본원"/>
    <x v="2"/>
    <s v="김동훈"/>
    <s v="보도자료30"/>
    <s v="올해 축산연구 키워드 ‘첨단.지속가능.복지.안전’"/>
    <s v="농촌여성신문"/>
    <d v="2019-03-29T00:00:00"/>
    <m/>
    <s v="09_농업전문지"/>
    <n v="1.5"/>
    <d v="2019-03-29T00:00:00"/>
  </r>
  <r>
    <n v="1271"/>
    <s v="8_국립축산과학원"/>
    <s v="0_본원"/>
    <x v="2"/>
    <s v="전익수"/>
    <s v="보도자료27"/>
    <s v="국립축산과학원 축산자원개발부 이전사업 업무 협약"/>
    <s v="정책브리핑"/>
    <d v="2019-03-15T00:00:00"/>
    <m/>
    <s v="12_대한민국 정책포털(korea.kr)"/>
    <n v="1"/>
    <d v="2019-03-29T00:00:00"/>
  </r>
  <r>
    <n v="1272"/>
    <s v="8_국립축산과학원"/>
    <s v="0_본원"/>
    <x v="2"/>
    <s v="전익수"/>
    <s v="보도자료27"/>
    <s v="전남도, 축산과학원 축산자원개발부 이전 잰걸음"/>
    <s v="당진신문"/>
    <d v="2019-03-18T00:00:00"/>
    <m/>
    <s v="11_기타(지역주간지)"/>
    <n v="0.5"/>
    <d v="2019-03-29T00:00:00"/>
  </r>
  <r>
    <n v="1273"/>
    <s v="8_국립축산과학원"/>
    <s v="0_본원"/>
    <x v="2"/>
    <s v="전익수"/>
    <s v="보도자료27"/>
    <s v="전남도, 축산과학원 축산자원개발부 이전 잰걸음"/>
    <s v="광명지역신문"/>
    <d v="2019-03-18T00:00:00"/>
    <m/>
    <s v="11_기타(지역주간지)"/>
    <n v="0.5"/>
    <d v="2019-03-29T00:00:00"/>
  </r>
  <r>
    <n v="1274"/>
    <s v="8_국립축산과학원"/>
    <s v="0_본원"/>
    <x v="2"/>
    <s v="전익수"/>
    <s v="보도자료27"/>
    <s v="전라남도청, 「전남도, 축산과학원 축산자원개발부 이전 잰걸음」"/>
    <s v="화이트페이퍼"/>
    <d v="2019-03-18T00:00:00"/>
    <m/>
    <s v="13_인터넷포털"/>
    <n v="0.1"/>
    <d v="2019-03-29T00:00:00"/>
  </r>
  <r>
    <n v="1275"/>
    <s v="8_국립축산과학원"/>
    <s v="0_본원"/>
    <x v="2"/>
    <s v="전익수"/>
    <s v="보도자료27"/>
    <s v="전남도, 축산과학원 축산자원개발부 이전 잰걸음"/>
    <s v="제주교통복지신문"/>
    <d v="2019-03-18T00:00:00"/>
    <m/>
    <s v="13_인터넷포털"/>
    <n v="0.1"/>
    <d v="2019-03-29T00:00:00"/>
  </r>
  <r>
    <n v="1276"/>
    <s v="8_국립축산과학원"/>
    <s v="0_본원"/>
    <x v="2"/>
    <s v="전익수"/>
    <s v="보도자료27"/>
    <s v="전라남도청, 전남도, 축산과학원 축산자원개발부 이전 잰걸음"/>
    <s v="뉴스페이퍼"/>
    <d v="2019-03-18T00:00:00"/>
    <m/>
    <s v="13_인터넷포털"/>
    <n v="0.1"/>
    <d v="2019-03-29T00:00:00"/>
  </r>
  <r>
    <n v="1277"/>
    <s v="8_국립축산과학원"/>
    <s v="0_본원"/>
    <x v="2"/>
    <s v="전익수"/>
    <s v="보도자료27"/>
    <s v="전남도, 축산과학원 축산자원개발부 이전 잰걸음"/>
    <s v="공무원저널"/>
    <d v="2019-03-18T00:00:00"/>
    <m/>
    <s v="13_인터넷포털"/>
    <n v="0.1"/>
    <d v="2019-03-29T00:00:00"/>
  </r>
  <r>
    <n v="1278"/>
    <s v="8_국립축산과학원"/>
    <s v="0_본원"/>
    <x v="2"/>
    <s v="전익수"/>
    <s v="보도자료27"/>
    <s v="전남도, 축산과학원 축산자원개발부 이전 잰걸음"/>
    <s v="블록체인밸리"/>
    <d v="2019-03-18T00:00:00"/>
    <m/>
    <s v="13_인터넷포털"/>
    <n v="0.1"/>
    <d v="2019-03-29T00:00:00"/>
  </r>
  <r>
    <n v="1279"/>
    <s v="8_국립축산과학원"/>
    <s v="0_본원"/>
    <x v="2"/>
    <s v="전익수"/>
    <s v="보도자료27"/>
    <s v="전남도, 축산과학원 축산자원개발부 이전 잰걸음"/>
    <s v="한국내츄럴타임즈"/>
    <d v="2019-03-15T00:00:00"/>
    <m/>
    <s v="13_인터넷포털"/>
    <n v="0.1"/>
    <d v="2019-03-29T00:00:00"/>
  </r>
  <r>
    <n v="1280"/>
    <s v="8_국립축산과학원"/>
    <s v="0_본원"/>
    <x v="4"/>
    <s v="천동원"/>
    <s v="기고"/>
    <s v="[기고] 천동원 소장-축산현장 애로기술 해결 위한 닭 키우기[100문 100답] Q24"/>
    <s v="축산신문"/>
    <d v="2019-03-29T00:00:00"/>
    <n v="13"/>
    <s v="17_농업전문지"/>
    <n v="8"/>
    <d v="2019-04-01T00:00:00"/>
  </r>
  <r>
    <n v="1281"/>
    <s v="8_국립축산과학원"/>
    <s v="1_축산생명환경부"/>
    <x v="16"/>
    <s v="차지혜"/>
    <s v="기고"/>
    <s v="[기고] 차지혜 연구사-DNA가 알려주는 가축의 발자취"/>
    <s v="농수축산신문"/>
    <d v="2019-03-29T00:00:00"/>
    <n v="6"/>
    <s v="17_농업전문지"/>
    <n v="8"/>
    <d v="2019-04-01T00:00:00"/>
  </r>
  <r>
    <n v="1282"/>
    <s v="8_국립축산과학원"/>
    <s v="2_축산자원개발부"/>
    <x v="0"/>
    <s v="조은석"/>
    <m/>
    <s v="황금돼지해 풍요로운 4차산업혁명을 향해 ‘꿀!’‘꿀!’‘꿀!’(포토뉴스)"/>
    <s v="일간투데이"/>
    <d v="2019-03-29T00:00:00"/>
    <n v="1"/>
    <s v="08_기타일간지"/>
    <n v="2"/>
    <d v="2019-04-01T00:00:00"/>
  </r>
  <r>
    <n v="1283"/>
    <s v="8_국립축산과학원"/>
    <s v="2_축산자원개발부"/>
    <x v="8"/>
    <s v="최연호"/>
    <s v="보도자료31"/>
    <s v="체형 우수 젖소 정액 수입 추천"/>
    <s v="환경일보"/>
    <d v="2019-04-01T00:00:00"/>
    <m/>
    <s v="08_기타일간지"/>
    <n v="2"/>
    <d v="2019-04-01T00:00:00"/>
  </r>
  <r>
    <n v="1284"/>
    <s v="8_국립축산과학원"/>
    <s v="1_축산생명환경부"/>
    <x v="5"/>
    <s v="유자연"/>
    <s v="보도자료32"/>
    <s v="“목장형 자연치즈 제조 기술, 함께 배워요”"/>
    <s v="환경일보"/>
    <d v="2019-04-01T00:00:00"/>
    <m/>
    <s v="08_기타일간지"/>
    <n v="2"/>
    <d v="2019-04-01T00:00:00"/>
  </r>
  <r>
    <n v="1285"/>
    <s v="8_국립축산과학원"/>
    <s v="0_본원"/>
    <x v="2"/>
    <s v="김동훈"/>
    <s v="보도자료30"/>
    <s v="농진청 축과원, 첨단·지속·복지·안전 축산 힘쓴다"/>
    <s v="농민신문"/>
    <d v="2019-03-29T00:00:00"/>
    <n v="8"/>
    <s v="09_농업전문지"/>
    <n v="1.5"/>
    <d v="2019-04-01T00:00:00"/>
  </r>
  <r>
    <n v="1286"/>
    <s v="8_국립축산과학원"/>
    <s v="1_축산생명환경부"/>
    <x v="9"/>
    <s v="곽정훈"/>
    <m/>
    <s v="편의·정확성 ‘업’…축분뇨 자원화 촉진"/>
    <s v="축산신문"/>
    <d v="2019-03-29T00:00:00"/>
    <n v="23"/>
    <s v="09_농업전문지"/>
    <n v="1.5"/>
    <d v="2019-04-01T00:00:00"/>
  </r>
  <r>
    <n v="1287"/>
    <s v="8_국립축산과학원"/>
    <s v="0_본원"/>
    <x v="2"/>
    <s v="김동훈"/>
    <s v="보도자료30"/>
    <s v="국립축산과학원, ‘2019년 업무 계획’ 발표"/>
    <s v="한국영농신문"/>
    <d v="2019-03-31T00:00:00"/>
    <m/>
    <s v="09_농업전문지"/>
    <n v="1.5"/>
    <d v="2019-04-01T00:00:00"/>
  </r>
  <r>
    <n v="1288"/>
    <s v="8_국립축산과학원"/>
    <s v="0_본원"/>
    <x v="2"/>
    <s v="김동훈"/>
    <s v="보도자료30"/>
    <s v="“기술 혁신으로 축산분야 안정 성장 견인할 것”"/>
    <s v="한국농정신문"/>
    <d v="2019-04-01T00:00:00"/>
    <m/>
    <s v="09_농업전문지"/>
    <n v="1.5"/>
    <d v="2019-04-01T00:00:00"/>
  </r>
  <r>
    <n v="1289"/>
    <s v="8_국립축산과학원"/>
    <s v="0_본원"/>
    <x v="2"/>
    <s v="김동훈"/>
    <s v="보도자료30"/>
    <s v="국립축산과학원, 축산기술 혁신 위한 협업·현장 연구 강화"/>
    <s v="농기자재신문"/>
    <d v="2019-04-01T00:00:00"/>
    <m/>
    <s v="09_농업전문지"/>
    <n v="1.5"/>
    <d v="2019-04-01T00:00:00"/>
  </r>
  <r>
    <n v="1290"/>
    <s v="8_국립축산과학원"/>
    <s v="2_축산자원개발부"/>
    <x v="8"/>
    <s v="최연호"/>
    <s v="보도자료31"/>
    <s v="농진청, 체형 우수 젖소 정액 수입 추천"/>
    <s v="전업농신문"/>
    <d v="2019-04-01T00:00:00"/>
    <m/>
    <s v="09_농업전문지"/>
    <n v="1.5"/>
    <d v="2019-04-01T00:00:00"/>
  </r>
  <r>
    <n v="1291"/>
    <s v="8_국립축산과학원"/>
    <s v="1_축산생명환경부"/>
    <x v="9"/>
    <s v="곽정훈"/>
    <m/>
    <s v="농촌진흥청 축산과학원 봄맞이 퇴비 살포(포토뉴스)"/>
    <s v="전북도민일보"/>
    <d v="2019-03-27T00:00:00"/>
    <n v="5"/>
    <s v="09_지방일간지"/>
    <n v="1.5"/>
    <d v="2019-04-01T00:00:00"/>
  </r>
  <r>
    <n v="1292"/>
    <s v="8_국립축산과학원"/>
    <s v="1_축산생명환경부"/>
    <x v="9"/>
    <s v="곽정훈"/>
    <m/>
    <s v="봄맞이 본격 밭 갈기(포토뉴스)"/>
    <s v="대경일보"/>
    <d v="2019-03-27T00:00:00"/>
    <n v="1"/>
    <s v="09_지방일간지"/>
    <n v="1.5"/>
    <d v="2019-04-01T00:00:00"/>
  </r>
  <r>
    <n v="1293"/>
    <s v="8_국립축산과학원"/>
    <s v="1_축산생명환경부"/>
    <x v="9"/>
    <s v="곽정훈"/>
    <m/>
    <s v="밭갈이(포토뉴스)"/>
    <s v="전북일보"/>
    <d v="2019-03-27T00:00:00"/>
    <n v="1"/>
    <s v="09_지방일간지"/>
    <n v="1.5"/>
    <d v="2019-04-01T00:00:00"/>
  </r>
  <r>
    <n v="1294"/>
    <s v="8_국립축산과학원"/>
    <s v="1_축산생명환경부"/>
    <x v="9"/>
    <s v="곽정훈"/>
    <m/>
    <s v="봄 맞아 갈아엎는 땅(포토뉴스)"/>
    <s v="호남신문"/>
    <d v="2019-03-27T00:00:00"/>
    <n v="5"/>
    <s v="09_지방일간지"/>
    <n v="1.5"/>
    <d v="2019-04-01T00:00:00"/>
  </r>
  <r>
    <n v="1295"/>
    <s v="8_국립축산과학원"/>
    <s v="1_축산생명환경부"/>
    <x v="9"/>
    <s v="곽정훈"/>
    <m/>
    <s v="새봄 맞이 갈아엎은 땅(포토뉴스)"/>
    <s v="전민일보"/>
    <d v="2019-03-27T00:00:00"/>
    <n v="6"/>
    <s v="09_지방일간지"/>
    <n v="1.5"/>
    <d v="2019-04-01T00:00:00"/>
  </r>
  <r>
    <n v="1296"/>
    <s v="8_국립축산과학원"/>
    <s v="1_축산생명환경부"/>
    <x v="9"/>
    <s v="곽정훈"/>
    <m/>
    <s v="완주 농진청 봄맞이 퇴비 살포(포토뉴스)"/>
    <s v="전북중앙"/>
    <d v="2019-03-27T00:00:00"/>
    <n v="6"/>
    <s v="09_지방일간지"/>
    <n v="1.5"/>
    <d v="2019-04-01T00:00:00"/>
  </r>
  <r>
    <n v="1297"/>
    <s v="8_국립축산과학원"/>
    <s v="1_축산생명환경부"/>
    <x v="9"/>
    <s v="곽정훈"/>
    <m/>
    <s v="국립축산과학원 초지 밭갈이 한창(포토뉴스)"/>
    <s v="전라일보"/>
    <d v="2019-03-27T00:00:00"/>
    <n v="4"/>
    <s v="09_지방일간지"/>
    <n v="1.5"/>
    <d v="2019-04-01T00:00:00"/>
  </r>
  <r>
    <n v="1298"/>
    <s v="8_국립축산과학원"/>
    <s v="1_축산생명환경부"/>
    <x v="9"/>
    <s v="곽정훈"/>
    <m/>
    <s v="이개호 장관 “미세먼지특별법 취약 대상에 농업인 포함 추진”"/>
    <s v="전광투데이"/>
    <d v="2019-03-27T00:00:00"/>
    <n v="12"/>
    <s v="09_지방일간지"/>
    <n v="1.5"/>
    <d v="2019-04-01T00:00:00"/>
  </r>
  <r>
    <n v="1299"/>
    <s v="8_국립축산과학원"/>
    <s v="0_본원"/>
    <x v="2"/>
    <s v="전익수"/>
    <s v="보도자료27"/>
    <s v="전남도, 성환종축장 이전 위해 축산과학원·함평군 업무협약"/>
    <s v="한국양돈신문"/>
    <d v="2019-03-26T00:00:00"/>
    <n v="5"/>
    <s v="10_기타전문지"/>
    <n v="1"/>
    <d v="2019-04-01T00:00:00"/>
  </r>
  <r>
    <n v="1300"/>
    <s v="8_국립축산과학원"/>
    <s v="2_축산자원개발부"/>
    <x v="8"/>
    <s v="최연호"/>
    <s v="보도자료31"/>
    <s v="농진청, 상위 2% 체형 우수 수입 젖소정액 추천"/>
    <s v="라이브뉴스"/>
    <d v="2019-04-01T00:00:00"/>
    <m/>
    <s v="13_인터넷포털"/>
    <n v="0.1"/>
    <d v="2019-04-01T00:00:00"/>
  </r>
  <r>
    <n v="1301"/>
    <s v="8_국립축산과학원"/>
    <s v="2_축산자원개발부"/>
    <x v="8"/>
    <s v="최연호"/>
    <s v="보도자료31"/>
    <s v="농촌진흥청, 고품질 젖소 정액 1만 220개 농가에 추천"/>
    <s v="농업경제신문"/>
    <d v="2019-04-01T00:00:00"/>
    <m/>
    <s v="13_인터넷포털"/>
    <n v="0.1"/>
    <d v="2019-04-01T00:00:00"/>
  </r>
  <r>
    <n v="1302"/>
    <s v="8_국립축산과학원"/>
    <s v="0_본원"/>
    <x v="13"/>
    <s v="정성훈"/>
    <s v="보도자료29"/>
    <s v="농진청, 축산 현장 맞춤형 종합상담 진행"/>
    <s v="YTN RADIO"/>
    <d v="2019-03-28T00:00:00"/>
    <m/>
    <s v="06_라디오-지방"/>
    <n v="1.5"/>
    <d v="2019-04-02T00:00:00"/>
  </r>
  <r>
    <n v="1303"/>
    <s v="8_국립축산과학원"/>
    <s v="2_축산자원개발부"/>
    <x v="8"/>
    <s v="최연호"/>
    <s v="보도자료31"/>
    <s v="체형 우수 젖소 정액 수입 추천"/>
    <s v="서울신문"/>
    <d v="2019-04-01T00:00:00"/>
    <m/>
    <s v="07_중앙일간지"/>
    <n v="5"/>
    <d v="2019-04-02T00:00:00"/>
  </r>
  <r>
    <n v="1304"/>
    <s v="8_국립축산과학원"/>
    <s v="0_본원"/>
    <x v="13"/>
    <s v="정성훈"/>
    <s v="보도자료29"/>
    <s v="축산 농가 현장 맞춤형 상담 나서"/>
    <s v="농업인신문"/>
    <d v="2019-04-01T00:00:00"/>
    <n v="5"/>
    <s v="09_농업전문지"/>
    <n v="1.5"/>
    <d v="2019-04-02T00:00:00"/>
  </r>
  <r>
    <n v="1305"/>
    <s v="8_국립축산과학원"/>
    <s v="0_본원"/>
    <x v="13"/>
    <s v="손지용"/>
    <s v="보도자료28"/>
    <s v="축산농가, 한우리로 스마트하게…"/>
    <s v="한국농촌경제신문"/>
    <d v="2019-04-01T00:00:00"/>
    <m/>
    <s v="09_농업전문지"/>
    <n v="1.5"/>
    <d v="2019-04-02T00:00:00"/>
  </r>
  <r>
    <n v="1306"/>
    <s v="8_국립축산과학원"/>
    <s v="2_축산자원개발부"/>
    <x v="12"/>
    <s v="기광석"/>
    <m/>
    <s v="농협사료, 낙농분야 축산기술자문회의 개최"/>
    <s v="농수축산신문"/>
    <d v="2019-04-02T00:00:00"/>
    <m/>
    <s v="09_농업전문지"/>
    <n v="1.5"/>
    <d v="2019-04-02T00:00:00"/>
  </r>
  <r>
    <n v="1307"/>
    <s v="8_국립축산과학원"/>
    <s v="0_본원"/>
    <x v="2"/>
    <s v="김동훈"/>
    <s v="보도자료30"/>
    <s v="축산기술 혁신 위한 협업·현장 연구 강화"/>
    <s v="한국농기계신문"/>
    <d v="2019-04-01T00:00:00"/>
    <m/>
    <s v="09_농업전문지"/>
    <n v="1.5"/>
    <d v="2019-04-02T00:00:00"/>
  </r>
  <r>
    <n v="1308"/>
    <s v="8_국립축산과학원"/>
    <s v="2_축산자원개발부"/>
    <x v="8"/>
    <s v="최연호"/>
    <s v="보도자료31"/>
    <s v="체형 우수젖소 178농가 17종 정액 추천"/>
    <s v="식약일보"/>
    <d v="2019-04-01T00:00:00"/>
    <m/>
    <s v="10_기타전문지"/>
    <n v="1"/>
    <d v="2019-04-02T00:00:00"/>
  </r>
  <r>
    <n v="1309"/>
    <s v="8_국립축산과학원"/>
    <s v="0_본원"/>
    <x v="13"/>
    <s v="손지용"/>
    <s v="보도자료28"/>
    <s v="축산농가, 한우리로 스마트하게 관리하세요"/>
    <s v="정책브리핑"/>
    <d v="2019-03-25T00:00:00"/>
    <m/>
    <s v="12_대한민국 정책포털(korea.kr)"/>
    <n v="1"/>
    <d v="2019-04-02T00:00:00"/>
  </r>
  <r>
    <n v="1310"/>
    <s v="8_국립축산과학원"/>
    <s v="0_본원"/>
    <x v="13"/>
    <s v="정성훈"/>
    <s v="보도자료29"/>
    <s v="농진청, 축산 농가 현장 맞춤형 상담"/>
    <s v="식약일보"/>
    <d v="2019-03-25T00:00:00"/>
    <m/>
    <s v="10_기타전문지"/>
    <n v="1"/>
    <d v="2019-04-02T00:00:00"/>
  </r>
  <r>
    <n v="1311"/>
    <s v="8_국립축산과학원"/>
    <s v="0_본원"/>
    <x v="13"/>
    <s v="정성훈"/>
    <s v="보도자료29"/>
    <s v="농촌진흥청, 축산 농가 현장 맞춤형 상담 나서"/>
    <s v="정책브리핑"/>
    <d v="2019-03-26T00:00:00"/>
    <m/>
    <s v="12_대한민국 정책포털(korea.kr)"/>
    <n v="1"/>
    <d v="2019-04-02T00:00:00"/>
  </r>
  <r>
    <n v="1312"/>
    <s v="8_국립축산과학원"/>
    <s v="0_본원"/>
    <x v="2"/>
    <s v="김동훈"/>
    <s v="보도자료30"/>
    <s v="축산기술혁신 협업·현장 연구 강화"/>
    <s v="식약일보"/>
    <d v="2019-03-26T00:00:00"/>
    <m/>
    <s v="10_기타전문지"/>
    <n v="1"/>
    <d v="2019-04-02T00:00:00"/>
  </r>
  <r>
    <n v="1313"/>
    <s v="8_국립축산과학원"/>
    <s v="0_본원"/>
    <x v="2"/>
    <s v="김동훈"/>
    <s v="보도자료30"/>
    <s v="축산 기술 혁신을 위한 협업·현장 연구 강화"/>
    <s v="정책브리핑"/>
    <d v="2019-03-27T00:00:00"/>
    <m/>
    <s v="12_대한민국 정책포털(korea.kr)"/>
    <n v="1"/>
    <d v="2019-04-02T00:00:00"/>
  </r>
  <r>
    <n v="1314"/>
    <s v="8_국립축산과학원"/>
    <s v="1_축산생명환경부"/>
    <x v="5"/>
    <s v="유자연"/>
    <s v="보도자료32"/>
    <s v="농진청, 자연치즈 제조기술 교육"/>
    <s v="농업경제신문"/>
    <d v="2019-04-02T00:00:00"/>
    <m/>
    <s v="13_인터넷포털"/>
    <n v="0.1"/>
    <d v="2019-04-02T00:00:00"/>
  </r>
  <r>
    <n v="1315"/>
    <s v="8_국립축산과학원"/>
    <s v="0_본원"/>
    <x v="13"/>
    <s v="손지용"/>
    <s v="보도자료28"/>
    <s v="8월까지 한우·젖소농가 한우리시스템 활용 교육"/>
    <s v="라이브뉴스"/>
    <d v="2019-03-25T00:00:00"/>
    <m/>
    <s v="13_인터넷포털"/>
    <n v="0.1"/>
    <d v="2019-04-02T00:00:00"/>
  </r>
  <r>
    <n v="1316"/>
    <s v="8_국립축산과학원"/>
    <s v="0_본원"/>
    <x v="13"/>
    <s v="손지용"/>
    <s v="보도자료28"/>
    <s v="농진청, 한우·젖소 농가...‘한우리 시스템’ 활용 교육실시"/>
    <s v="투데이코리아"/>
    <d v="2019-03-26T00:00:00"/>
    <m/>
    <s v="13_인터넷포털"/>
    <n v="0.1"/>
    <d v="2019-04-02T00:00:00"/>
  </r>
  <r>
    <n v="1317"/>
    <s v="8_국립축산과학원"/>
    <s v="0_본원"/>
    <x v="13"/>
    <s v="오형규"/>
    <m/>
    <s v="한우 사육 청년농업인 통해 한우산업 경쟁력 강화"/>
    <s v="프레시안"/>
    <d v="2019-04-02T00:00:00"/>
    <m/>
    <s v="13_인터넷포털"/>
    <n v="0.1"/>
    <d v="2019-04-02T00:00:00"/>
  </r>
  <r>
    <n v="1318"/>
    <s v="8_국립축산과학원"/>
    <s v="0_본원"/>
    <x v="2"/>
    <s v="김동훈"/>
    <s v="보도자료30"/>
    <s v="축산 기술 혁신을 위한 협업·현장 연구 강화"/>
    <s v="현장뉴스"/>
    <d v="2019-03-27T00:00:00"/>
    <m/>
    <s v="13_인터넷포털"/>
    <n v="0.1"/>
    <d v="2019-04-02T00:00:00"/>
  </r>
  <r>
    <n v="1319"/>
    <s v="8_국립축산과학원"/>
    <s v="0_본원"/>
    <x v="2"/>
    <s v="김동훈"/>
    <s v="보도자료30"/>
    <s v="축산 기술 혁신을 위한 협업·현장 연구 강화"/>
    <s v="굿뉴스365"/>
    <d v="2019-03-27T00:00:00"/>
    <m/>
    <s v="13_인터넷포털"/>
    <n v="0.1"/>
    <d v="2019-04-02T00:00:00"/>
  </r>
  <r>
    <n v="1320"/>
    <s v="8_국립축산과학원"/>
    <s v="0_본원"/>
    <x v="4"/>
    <s v="천동원"/>
    <s v="기고"/>
    <s v="[기고] 천동원 소장-축산현장 애로기술 해결 위한 닭 키우기[100문 100답] Q25,26"/>
    <s v="축산신문"/>
    <d v="2019-04-02T00:00:00"/>
    <n v="15"/>
    <s v="17_농업전문지"/>
    <n v="8"/>
    <d v="2019-04-03T00:00:00"/>
  </r>
  <r>
    <n v="1321"/>
    <s v="8_국립축산과학원"/>
    <s v="1_축산생명환경부"/>
    <x v="5"/>
    <s v="유자연"/>
    <s v="보도자료32"/>
    <s v="목장형 자연치즈 제조 기술, 함께 배워 봐요"/>
    <s v="서울신문"/>
    <d v="2019-04-02T00:00:00"/>
    <m/>
    <s v="07_중앙일간지"/>
    <n v="5"/>
    <d v="2019-04-03T00:00:00"/>
  </r>
  <r>
    <n v="1322"/>
    <s v="8_국립축산과학원"/>
    <s v="0_본원"/>
    <x v="13"/>
    <s v="손지용"/>
    <s v="보도자료28"/>
    <s v="농진청 “축우농가, 한우리로 스마트한 사양 관리를”"/>
    <s v="축산신문"/>
    <d v="2019-04-02T00:00:00"/>
    <n v="3"/>
    <s v="09_농업전문지"/>
    <n v="1.5"/>
    <d v="2019-04-03T00:00:00"/>
  </r>
  <r>
    <n v="1323"/>
    <s v="8_국립축산과학원"/>
    <s v="0_본원"/>
    <x v="2"/>
    <s v="김동훈"/>
    <s v="보도자료30"/>
    <s v="“스마트 축산기술 모색·축종별 생산성 향상기술 개발 주력”"/>
    <s v="한국농어민신문"/>
    <d v="2019-04-02T00:00:00"/>
    <n v="9"/>
    <s v="09_농업전문지"/>
    <n v="1.5"/>
    <d v="2019-04-03T00:00:00"/>
  </r>
  <r>
    <n v="1324"/>
    <s v="8_국립축산과학원"/>
    <s v="1_축산생명환경부"/>
    <x v="7"/>
    <s v="김상호"/>
    <m/>
    <s v="“BCS 도입해 농가 개체관리…낙농 수준 업그레이드”"/>
    <s v="농수축산신문"/>
    <d v="2019-04-02T00:00:00"/>
    <n v="7"/>
    <s v="09_농업전문지"/>
    <n v="1.5"/>
    <d v="2019-04-03T00:00:00"/>
  </r>
  <r>
    <n v="1325"/>
    <s v="8_국립축산과학원"/>
    <s v="1_축산생명환경부"/>
    <x v="5"/>
    <s v="유자연"/>
    <s v="보도자료32"/>
    <s v="목장형 자연치즈 제조 기술, 체험하면서 배운다"/>
    <s v="대한급식신문"/>
    <d v="2019-04-02T00:00:00"/>
    <m/>
    <s v="09_농업전문지"/>
    <n v="1.5"/>
    <d v="2019-04-03T00:00:00"/>
  </r>
  <r>
    <n v="1326"/>
    <s v="8_국립축산과학원"/>
    <s v="0_본원"/>
    <x v="4"/>
    <s v="천동원"/>
    <m/>
    <s v="양계협, 산란계 농가 계란 안전성 확보·질병교육 개최"/>
    <s v="농수축산신문"/>
    <d v="2019-04-02T00:00:00"/>
    <m/>
    <s v="09_농업전문지"/>
    <n v="1.5"/>
    <d v="2019-04-03T00:00:00"/>
  </r>
  <r>
    <n v="1327"/>
    <s v="8_국립축산과학원"/>
    <s v="1_축산생명환경부"/>
    <x v="9"/>
    <s v="김종복"/>
    <s v="보도자료33"/>
    <s v="스마트축산, 정밀관리로 축산 경쟁력 강화"/>
    <s v="금강일보"/>
    <d v="2019-04-03T00:00:00"/>
    <m/>
    <s v="09_지방일간지"/>
    <n v="1.5"/>
    <d v="2019-04-03T00:00:00"/>
  </r>
  <r>
    <n v="1328"/>
    <s v="8_국립축산과학원"/>
    <s v="2_축산자원개발부"/>
    <x v="8"/>
    <s v="최연호"/>
    <s v="보도자료31"/>
    <s v="체형 우수 젖소 정액 수입 추천"/>
    <s v="정책브리핑"/>
    <d v="2019-04-01T00:00:00"/>
    <m/>
    <s v="12_대한민국 정책포털(korea.kr)"/>
    <n v="1"/>
    <d v="2019-04-03T00:00:00"/>
  </r>
  <r>
    <n v="1329"/>
    <s v="8_국립축산과학원"/>
    <s v="1_축산생명환경부"/>
    <x v="5"/>
    <s v="유자연"/>
    <s v="보도자료32"/>
    <s v="목장형 자연치즈 제조기술 정기 교육"/>
    <s v="식약일보"/>
    <d v="2019-04-01T00:00:00"/>
    <m/>
    <s v="10_기타전문지"/>
    <n v="1"/>
    <d v="2019-04-03T00:00:00"/>
  </r>
  <r>
    <n v="1330"/>
    <s v="8_국립축산과학원"/>
    <s v="1_축산생명환경부"/>
    <x v="5"/>
    <s v="유자연"/>
    <s v="보도자료32"/>
    <s v="목장형 자연치즈 제조 기술, 함께 배워 봐요"/>
    <s v="정책브리핑"/>
    <d v="2019-04-02T00:00:00"/>
    <m/>
    <s v="12_대한민국 정책포털(korea.kr)"/>
    <n v="1"/>
    <d v="2019-04-03T00:00:00"/>
  </r>
  <r>
    <n v="1331"/>
    <s v="8_국립축산과학원"/>
    <s v="0_본원"/>
    <x v="13"/>
    <s v="정성훈"/>
    <m/>
    <s v="맞춤형 종합컨설팅으로 한우농가 어려움 해결(고창)"/>
    <s v="투데이안"/>
    <d v="2019-04-03T00:00:00"/>
    <m/>
    <s v="13_인터넷포털"/>
    <n v="0.1"/>
    <d v="2019-04-03T00:00:00"/>
  </r>
  <r>
    <n v="1332"/>
    <s v="8_국립축산과학원"/>
    <s v="0_본원"/>
    <x v="13"/>
    <s v="정성훈"/>
    <m/>
    <s v="고창군농업기술센터, 한우농가 25명 대상으로 국립축산과학원 종합컨설팅 진행"/>
    <s v="베타뉴스"/>
    <d v="2019-04-03T00:00:00"/>
    <m/>
    <s v="13_인터넷포털"/>
    <n v="0.1"/>
    <d v="2019-04-03T00:00:00"/>
  </r>
  <r>
    <n v="1333"/>
    <s v="8_국립축산과학원"/>
    <s v="1_축산생명환경부"/>
    <x v="9"/>
    <s v="김종복"/>
    <s v="보도자료33"/>
    <s v="‘스마트축산’ 정밀 관리로 축산업 경쟁력 강화"/>
    <s v="노컷뉴스"/>
    <d v="2019-04-03T00:00:00"/>
    <m/>
    <s v="13_인터넷포털"/>
    <n v="0.1"/>
    <d v="2019-04-03T00:00:00"/>
  </r>
  <r>
    <n v="1334"/>
    <s v="8_국립축산과학원"/>
    <s v="1_축산생명환경부"/>
    <x v="9"/>
    <s v="김종복"/>
    <s v="보도자료33"/>
    <s v="스마트축산, 정밀 관리로 축산업 경쟁력 강화"/>
    <s v="메디컬투데이"/>
    <d v="2019-04-03T00:00:00"/>
    <m/>
    <s v="13_인터넷포털"/>
    <n v="0.1"/>
    <d v="2019-04-03T00:00:00"/>
  </r>
  <r>
    <n v="1335"/>
    <s v="8_국립축산과학원"/>
    <s v="1_축산생명환경부"/>
    <x v="9"/>
    <s v="김종복"/>
    <s v="보도자료33"/>
    <s v="농진청, ‘스마트축산’ 정밀관리 생산성 향상 확인"/>
    <s v="농업경제신문"/>
    <d v="2019-04-03T00:00:00"/>
    <m/>
    <s v="13_인터넷포털"/>
    <n v="0.1"/>
    <d v="2019-04-03T00:00:00"/>
  </r>
  <r>
    <n v="1336"/>
    <s v="8_국립축산과학원"/>
    <s v="1_축산생명환경부"/>
    <x v="9"/>
    <s v="김종복"/>
    <s v="보도자료33"/>
    <s v="‘스마트축산’, 편의성·생산성 향상 효과 입증"/>
    <s v="라이브뉴스"/>
    <d v="2019-04-03T00:00:00"/>
    <m/>
    <s v="13_인터넷포털"/>
    <n v="0.1"/>
    <d v="2019-04-03T00:00:00"/>
  </r>
  <r>
    <n v="1337"/>
    <s v="8_국립축산과학원"/>
    <s v="1_축산생명환경부"/>
    <x v="9"/>
    <s v="김종복"/>
    <s v="보도자료33"/>
    <s v="“스마트 축산, 농가 부담 덜고 생산성은 높아져”"/>
    <s v="조선비즈"/>
    <d v="2019-04-03T00:00:00"/>
    <m/>
    <s v="11_기타(지역주간지)"/>
    <n v="0.5"/>
    <d v="2019-04-03T00:00:00"/>
  </r>
  <r>
    <n v="1338"/>
    <s v="8_국립축산과학원"/>
    <s v="1_축산생명환경부"/>
    <x v="9"/>
    <s v="김종복"/>
    <s v="보도자료33"/>
    <s v="‘스마트 축산’ 편의성과 생산성 향상"/>
    <s v="프레시안"/>
    <d v="2019-04-03T00:00:00"/>
    <m/>
    <s v="13_인터넷포털"/>
    <n v="0.1"/>
    <d v="2019-04-03T00:00:00"/>
  </r>
  <r>
    <n v="1339"/>
    <s v="8_국립축산과학원"/>
    <s v="0_본원"/>
    <x v="13"/>
    <s v="정성훈"/>
    <m/>
    <s v="고창농업기술센터, 한우농가 맞춤형 종합컨설팅으로 어려움 해결"/>
    <s v="로컬세계"/>
    <d v="2019-04-03T00:00:00"/>
    <m/>
    <s v="13_인터넷포털"/>
    <n v="0.1"/>
    <d v="2019-04-03T00:00:00"/>
  </r>
  <r>
    <n v="1340"/>
    <s v="8_국립축산과학원"/>
    <s v="1_축산생명환경부"/>
    <x v="9"/>
    <s v="김종복"/>
    <s v="보도자료33"/>
    <s v="축산농가에도 ICT 바람…고기·우유 생산 늘었다-경제타임(이준엽 연구사 인터뷰)"/>
    <s v="KBS"/>
    <d v="2019-04-03T00:00:00"/>
    <m/>
    <s v="01_TV-중앙"/>
    <n v="8"/>
    <d v="2019-04-05T00:00:00"/>
  </r>
  <r>
    <n v="1341"/>
    <s v="8_국립축산과학원"/>
    <s v="1_축산생명환경부"/>
    <x v="9"/>
    <s v="김종복"/>
    <s v="보도자료33"/>
    <s v="축산농가에도 ICT 바람…고기·우유 생산 늘었다-뉴스9(이준엽 연구사 인터뷰)"/>
    <s v="KBS경인"/>
    <d v="2019-04-03T00:00:00"/>
    <m/>
    <s v="02_TV-지방"/>
    <n v="4"/>
    <d v="2019-04-05T00:00:00"/>
  </r>
  <r>
    <n v="1342"/>
    <s v="8_국립축산과학원"/>
    <s v="1_축산생명환경부"/>
    <x v="9"/>
    <s v="김종복"/>
    <s v="보도자료33"/>
    <s v="축산농가에도 ICT 바람…고기·우유 생산 늘었다-뉴스광장(이준엽 연구사 인터뷰)"/>
    <s v="KBS경인"/>
    <d v="2019-04-04T00:00:00"/>
    <m/>
    <s v="02_TV-지방"/>
    <n v="4"/>
    <d v="2019-04-05T00:00:00"/>
  </r>
  <r>
    <n v="1343"/>
    <s v="8_국립축산과학원"/>
    <s v="1_축산생명환경부"/>
    <x v="9"/>
    <s v="김종복"/>
    <s v="보도자료33"/>
    <s v="스마트폰으로 소·돼지 키웠더니 우유·고기 생산량은 늘고, 질병은 줄고"/>
    <s v="경향신문"/>
    <d v="2019-04-03T00:00:00"/>
    <m/>
    <s v="07_중앙일간지"/>
    <n v="5"/>
    <d v="2019-04-05T00:00:00"/>
  </r>
  <r>
    <n v="1344"/>
    <s v="8_국립축산과학원"/>
    <s v="1_축산생명환경부"/>
    <x v="9"/>
    <s v="김종복"/>
    <s v="보도자료33"/>
    <s v="농진청, ‘스마트축산’개발…농가 부담 덜고 생산성↑"/>
    <s v="서울경제"/>
    <d v="2019-04-03T00:00:00"/>
    <m/>
    <s v="07_중앙일간지"/>
    <n v="5"/>
    <d v="2019-04-05T00:00:00"/>
  </r>
  <r>
    <n v="1345"/>
    <s v="8_국립축산과학원"/>
    <s v="1_축산생명환경부"/>
    <x v="9"/>
    <s v="김종복"/>
    <s v="보도자료33"/>
    <s v="축산도 스마트 시대...빅데이터 활용해 정밀관리"/>
    <s v="아주경제"/>
    <d v="2019-04-03T00:00:00"/>
    <m/>
    <s v="07_중앙일간지"/>
    <n v="5"/>
    <d v="2019-04-05T00:00:00"/>
  </r>
  <r>
    <n v="1346"/>
    <s v="8_국립축산과학원"/>
    <s v="1_축산생명환경부"/>
    <x v="9"/>
    <s v="김종복"/>
    <s v="보도자료33"/>
    <s v="농진청, 스마트 축산 모델 개발...편의·생산성 ‘UP’"/>
    <s v="헤럴드경제"/>
    <d v="2019-04-03T00:00:00"/>
    <m/>
    <s v="07_중앙일간지"/>
    <n v="5"/>
    <d v="2019-04-05T00:00:00"/>
  </r>
  <r>
    <n v="1347"/>
    <s v="8_국립축산과학원"/>
    <s v="1_축산생명환경부"/>
    <x v="9"/>
    <s v="김종복"/>
    <s v="보도자료33"/>
    <s v="스마트축산 해보니 젖소 하루 착유량 43kg 늘어"/>
    <s v="머니투데이"/>
    <d v="2019-04-03T00:00:00"/>
    <m/>
    <s v="07_중앙일간지"/>
    <n v="5"/>
    <d v="2019-04-05T00:00:00"/>
  </r>
  <r>
    <n v="1348"/>
    <s v="8_국립축산과학원"/>
    <s v="1_축산생명환경부"/>
    <x v="9"/>
    <s v="김종복"/>
    <s v="보도자료33"/>
    <s v="농진청, 빅데이터 기반 ‘스마트축산’ 농가 편의성·생산성 향상"/>
    <s v="아시아투데이"/>
    <d v="2019-04-03T00:00:00"/>
    <m/>
    <s v="07_중앙일간지"/>
    <n v="5"/>
    <d v="2019-04-05T00:00:00"/>
  </r>
  <r>
    <n v="1349"/>
    <s v="8_국립축산과학원"/>
    <s v="1_축산생명환경부"/>
    <x v="9"/>
    <s v="김종복"/>
    <s v="보도자료33"/>
    <s v="어디서든 축산 관리 OK...농진청, 스마트 축산 모델 개발"/>
    <s v="연합뉴스"/>
    <d v="2019-04-03T00:00:00"/>
    <m/>
    <s v="07_중앙일간지"/>
    <n v="5"/>
    <d v="2019-04-05T00:00:00"/>
  </r>
  <r>
    <n v="1350"/>
    <s v="8_국립축산과학원"/>
    <s v="1_축산생명환경부"/>
    <x v="9"/>
    <s v="김종복"/>
    <s v="보도자료33"/>
    <s v="‘스마트 축산’ 도입후 생산성 향상...4년간 25% 보급률 목표"/>
    <s v="뉴스1"/>
    <d v="2019-04-03T00:00:00"/>
    <m/>
    <s v="07_중앙일간지"/>
    <n v="5"/>
    <d v="2019-04-05T00:00:00"/>
  </r>
  <r>
    <n v="1351"/>
    <s v="8_국립축산과학원"/>
    <s v="1_축산생명환경부"/>
    <x v="9"/>
    <s v="김종복"/>
    <s v="보도자료33"/>
    <s v="스마트축산, 정밀관리로 축산업 경쟁력 강화"/>
    <s v="뉴시스"/>
    <d v="2019-04-03T00:00:00"/>
    <m/>
    <s v="07_중앙일간지"/>
    <n v="5"/>
    <d v="2019-04-05T00:00:00"/>
  </r>
  <r>
    <n v="1352"/>
    <s v="8_국립축산과학원"/>
    <s v="1_축산생명환경부"/>
    <x v="9"/>
    <s v="김종복"/>
    <s v="보도자료33"/>
    <s v="‘스마트축산’, 정밀 관리로 축산업 경쟁력 강화"/>
    <s v="서울신문"/>
    <d v="2019-04-04T00:00:00"/>
    <m/>
    <s v="07_중앙일간지"/>
    <n v="5"/>
    <d v="2019-04-05T00:00:00"/>
  </r>
  <r>
    <n v="1353"/>
    <s v="8_국립축산과학원"/>
    <s v="1_축산생명환경부"/>
    <x v="9"/>
    <s v="김종복"/>
    <s v="보도자료33"/>
    <s v="스마트축산, 한우·한돈 생산성 높였다"/>
    <s v="전자신문"/>
    <d v="2019-04-04T00:00:00"/>
    <m/>
    <s v="08_기타일간지"/>
    <n v="2"/>
    <d v="2019-04-05T00:00:00"/>
  </r>
  <r>
    <n v="1354"/>
    <s v="8_국립축산과학원"/>
    <s v="1_축산생명환경부"/>
    <x v="9"/>
    <s v="김종복"/>
    <s v="보도자료33"/>
    <s v="‘스마트축산 시대’ 2022년까지 25% 보급"/>
    <s v="신아일보"/>
    <d v="2019-04-04T00:00:00"/>
    <n v="6"/>
    <s v="08_기타일간지"/>
    <n v="2"/>
    <d v="2019-04-05T00:00:00"/>
  </r>
  <r>
    <n v="1355"/>
    <s v="8_국립축산과학원"/>
    <s v="0_본원"/>
    <x v="2"/>
    <s v="전익수"/>
    <s v="보도자료27"/>
    <s v="축과원 이전 위한 업무협약"/>
    <s v="양돈타임스"/>
    <d v="2019-03-28T00:00:00"/>
    <n v="10"/>
    <s v="09_농업전문지"/>
    <n v="1.5"/>
    <d v="2019-04-05T00:00:00"/>
  </r>
  <r>
    <n v="1356"/>
    <s v="8_국립축산과학원"/>
    <s v="0_본원"/>
    <x v="2"/>
    <s v="전익수"/>
    <s v="보도자료27"/>
    <s v="국립축산과학원 축산자원개발부 이전사업 순항"/>
    <s v="한국식품의약신문"/>
    <d v="2019-03-25T00:00:00"/>
    <n v="14"/>
    <s v="09_농업전문지"/>
    <n v="1.5"/>
    <d v="2019-04-05T00:00:00"/>
  </r>
  <r>
    <n v="1357"/>
    <s v="8_국립축산과학원"/>
    <s v="0_본원"/>
    <x v="13"/>
    <s v="정성훈"/>
    <s v="보도자료29"/>
    <s v="농진청, 축산농가 현장 맞춤형 상담 실시"/>
    <s v="농축환경신문"/>
    <d v="2019-03-28T00:00:00"/>
    <n v="5"/>
    <s v="09_농업전문지"/>
    <n v="1.5"/>
    <d v="2019-04-05T00:00:00"/>
  </r>
  <r>
    <n v="1358"/>
    <s v="8_국립축산과학원"/>
    <s v="0_본원"/>
    <x v="13"/>
    <s v="정성훈"/>
    <s v="보도자료29"/>
    <s v="축산 현장 맞춤형 종합 상담 개시"/>
    <s v="한국4H신문"/>
    <d v="2019-04-01T00:00:00"/>
    <n v="3"/>
    <s v="09_농업전문지"/>
    <n v="1.5"/>
    <d v="2019-04-05T00:00:00"/>
  </r>
  <r>
    <n v="1359"/>
    <s v="8_국립축산과학원"/>
    <s v="2_축산자원개발부"/>
    <x v="6"/>
    <s v="지희정"/>
    <m/>
    <s v="축산과학원 초지 ‘퇴비살포’ 현장(포토뉴스)"/>
    <s v="한국농촌경제신문"/>
    <d v="2019-03-29T00:00:00"/>
    <n v="5"/>
    <s v="09_농업전문지"/>
    <n v="1.5"/>
    <d v="2019-04-05T00:00:00"/>
  </r>
  <r>
    <n v="1360"/>
    <s v="8_국립축산과학원"/>
    <s v="0_본원"/>
    <x v="13"/>
    <s v="오형규"/>
    <m/>
    <s v="농진청, 한우 사육 청년농업인 육성한다"/>
    <s v="전업농신문"/>
    <d v="2019-04-04T00:00:00"/>
    <m/>
    <s v="09_농업전문지"/>
    <n v="1.5"/>
    <d v="2019-04-05T00:00:00"/>
  </r>
  <r>
    <n v="1361"/>
    <s v="8_국립축산과학원"/>
    <s v="1_축산생명환경부"/>
    <x v="9"/>
    <s v="김종복"/>
    <s v="보도자료33"/>
    <s v="“스마트축산 도입, 편의성·생산성 향상 효과”"/>
    <s v="전업농신문"/>
    <d v="2019-04-04T00:00:00"/>
    <m/>
    <s v="09_농업전문지"/>
    <n v="1.5"/>
    <d v="2019-04-05T00:00:00"/>
  </r>
  <r>
    <n v="1362"/>
    <s v="8_국립축산과학원"/>
    <s v="2_축산자원개발부"/>
    <x v="8"/>
    <s v="최연호"/>
    <s v="보도자료31"/>
    <s v="농진청, 체형 우수 젖소 정액 수입 추천"/>
    <s v="농축유통신문"/>
    <d v="2019-04-05T00:00:00"/>
    <m/>
    <s v="09_농업전문지"/>
    <n v="1.5"/>
    <d v="2019-04-05T00:00:00"/>
  </r>
  <r>
    <n v="1363"/>
    <s v="8_국립축산과학원"/>
    <s v="0_본원"/>
    <x v="13"/>
    <s v="오형규"/>
    <m/>
    <s v="청년농업인 한우 품목연구모임 육성해 경쟁력 강화 나선다"/>
    <s v="전북타임스"/>
    <d v="2019-04-03T00:00:00"/>
    <n v="7"/>
    <s v="09_지방일간지"/>
    <n v="1.5"/>
    <d v="2019-04-05T00:00:00"/>
  </r>
  <r>
    <n v="1364"/>
    <s v="8_국립축산과학원"/>
    <s v="0_본원"/>
    <x v="13"/>
    <s v="오형규"/>
    <m/>
    <s v="청년농업인 경쟁력 강화 한우산업 ‘공부방’ 육성"/>
    <s v="전북도민일보"/>
    <d v="2019-04-03T00:00:00"/>
    <n v="6"/>
    <s v="09_지방일간지"/>
    <n v="1.5"/>
    <d v="2019-04-05T00:00:00"/>
  </r>
  <r>
    <n v="1365"/>
    <s v="8_국립축산과학원"/>
    <s v="0_본원"/>
    <x v="13"/>
    <s v="오형규"/>
    <m/>
    <s v="농진청, 한우산업 경쟁력 강화 ‘팔걷어’ 청년농업인 한우 품목연구모임 육성"/>
    <s v="새전북신문"/>
    <d v="2019-04-03T00:00:00"/>
    <n v="4"/>
    <s v="09_지방일간지"/>
    <n v="1.5"/>
    <d v="2019-04-05T00:00:00"/>
  </r>
  <r>
    <n v="1366"/>
    <s v="8_국립축산과학원"/>
    <s v="0_본원"/>
    <x v="13"/>
    <s v="오형규"/>
    <m/>
    <s v="“한우 품목연구모임 육성 청년농업인 역량 키워요”"/>
    <s v="전북중앙"/>
    <d v="2019-04-03T00:00:00"/>
    <n v="6"/>
    <s v="09_지방일간지"/>
    <n v="1.5"/>
    <d v="2019-04-05T00:00:00"/>
  </r>
  <r>
    <n v="1367"/>
    <s v="8_국립축산과학원"/>
    <s v="0_본원"/>
    <x v="13"/>
    <s v="오형규"/>
    <m/>
    <s v="청년농 ‘한우 연구모임’ 육성 힘 모은다"/>
    <s v="전라일보"/>
    <d v="2019-04-03T00:00:00"/>
    <n v="6"/>
    <s v="09_지방일간지"/>
    <n v="1.5"/>
    <d v="2019-04-05T00:00:00"/>
  </r>
  <r>
    <n v="1368"/>
    <s v="8_국립축산과학원"/>
    <s v="1_축산생명환경부"/>
    <x v="9"/>
    <s v="김종복"/>
    <s v="보도자료33"/>
    <s v="스마트축산, 정밀 관리로 경쟁력 강화"/>
    <s v="삼남일보"/>
    <d v="2019-04-04T00:00:00"/>
    <n v="5"/>
    <s v="09_지방일간지"/>
    <n v="1.5"/>
    <d v="2019-04-05T00:00:00"/>
  </r>
  <r>
    <n v="1369"/>
    <s v="8_국립축산과학원"/>
    <s v="1_축산생명환경부"/>
    <x v="9"/>
    <s v="김종복"/>
    <s v="보도자료33"/>
    <s v="축산에 첨단 ICT접목 ‘효율화’"/>
    <s v="새만금일보"/>
    <d v="2019-04-04T00:00:00"/>
    <n v="6"/>
    <s v="09_지방일간지"/>
    <n v="1.5"/>
    <d v="2019-04-05T00:00:00"/>
  </r>
  <r>
    <n v="1370"/>
    <s v="8_국립축산과학원"/>
    <s v="1_축산생명환경부"/>
    <x v="9"/>
    <s v="김종복"/>
    <s v="보도자료33"/>
    <s v="축산업도 스마트시대"/>
    <s v="대전일보"/>
    <d v="2019-04-04T00:00:00"/>
    <n v="2"/>
    <s v="09_지방일간지"/>
    <n v="1.5"/>
    <d v="2019-04-05T00:00:00"/>
  </r>
  <r>
    <n v="1371"/>
    <s v="8_국립축산과학원"/>
    <s v="1_축산생명환경부"/>
    <x v="9"/>
    <s v="김종복"/>
    <s v="보도자료33"/>
    <s v="농진청, 스마트축산 모델 개발 빅데이터 기반 정밀축산 구현"/>
    <s v="전북일보"/>
    <d v="2019-04-04T00:00:00"/>
    <n v="6"/>
    <s v="09_지방일간지"/>
    <n v="1.5"/>
    <d v="2019-04-05T00:00:00"/>
  </r>
  <r>
    <n v="1372"/>
    <s v="8_국립축산과학원"/>
    <s v="1_축산생명환경부"/>
    <x v="9"/>
    <s v="김종복"/>
    <s v="보도자료33"/>
    <s v="어디서든 제어 가능한 ‘스마트축산 모델’ 개발"/>
    <s v="경남일보"/>
    <d v="2019-04-04T00:00:00"/>
    <n v="9"/>
    <s v="09_지방일간지"/>
    <n v="1.5"/>
    <d v="2019-04-05T00:00:00"/>
  </r>
  <r>
    <n v="1373"/>
    <s v="8_국립축산과학원"/>
    <s v="1_축산생명환경부"/>
    <x v="9"/>
    <s v="김종복"/>
    <s v="보도자료33"/>
    <s v="농가 편의·생산성 향상 톡톡"/>
    <s v="전라일보"/>
    <d v="2019-04-04T00:00:00"/>
    <n v="6"/>
    <s v="09_지방일간지"/>
    <n v="1.5"/>
    <d v="2019-04-05T00:00:00"/>
  </r>
  <r>
    <n v="1374"/>
    <s v="8_국립축산과학원"/>
    <s v="1_축산생명환경부"/>
    <x v="9"/>
    <s v="김종복"/>
    <s v="보도자료33"/>
    <s v="농진청, 스마트축산 모델 개발 빅데이터 기반 정밀축산 구현 주력"/>
    <s v="새전북신문"/>
    <d v="2019-04-04T00:00:00"/>
    <n v="4"/>
    <s v="09_지방일간지"/>
    <n v="1.5"/>
    <d v="2019-04-05T00:00:00"/>
  </r>
  <r>
    <n v="1375"/>
    <s v="8_국립축산과학원"/>
    <s v="1_축산생명환경부"/>
    <x v="9"/>
    <s v="김종복"/>
    <s v="보도자료33"/>
    <s v="‘스마트축산’으로 축산업 경쟁력 강화"/>
    <s v="전북타임스"/>
    <d v="2019-04-04T00:00:00"/>
    <n v="7"/>
    <s v="09_지방일간지"/>
    <n v="1.5"/>
    <d v="2019-04-05T00:00:00"/>
  </r>
  <r>
    <n v="1376"/>
    <s v="8_국립축산과학원"/>
    <s v="1_축산생명환경부"/>
    <x v="9"/>
    <s v="김종복"/>
    <s v="보도자료33"/>
    <s v="‘스마트 축산’ 시작했더니 일부담 덜고 생산성은 ‘쑥’"/>
    <s v="전북도민일보"/>
    <d v="2019-04-04T00:00:00"/>
    <n v="6"/>
    <s v="09_지방일간지"/>
    <n v="1.5"/>
    <d v="2019-04-05T00:00:00"/>
  </r>
  <r>
    <n v="1377"/>
    <s v="8_국립축산과학원"/>
    <s v="1_축산생명환경부"/>
    <x v="9"/>
    <s v="김종복"/>
    <s v="보도자료33"/>
    <s v="‘스마트 축산모델’ 축산업 경쟁력 강화"/>
    <s v="전북연합신문"/>
    <d v="2019-04-04T00:00:00"/>
    <n v="5"/>
    <s v="09_지방일간지"/>
    <n v="1.5"/>
    <d v="2019-04-05T00:00:00"/>
  </r>
  <r>
    <n v="1378"/>
    <s v="8_국립축산과학원"/>
    <s v="0_본원"/>
    <x v="13"/>
    <s v="정성훈"/>
    <m/>
    <s v="국립축산과학원, 고창 한우농가 대상 종합컨설팅(고창)"/>
    <s v="새전북신문"/>
    <d v="2019-04-04T00:00:00"/>
    <n v="8"/>
    <s v="09_지방일간지"/>
    <n v="1.5"/>
    <d v="2019-04-05T00:00:00"/>
  </r>
  <r>
    <n v="1379"/>
    <s v="8_국립축산과학원"/>
    <s v="0_본원"/>
    <x v="13"/>
    <s v="정성훈"/>
    <m/>
    <s v="맞춤형 종합컨설팅으로 애로사항 해결!"/>
    <s v="삼남일보"/>
    <d v="2019-04-04T00:00:00"/>
    <n v="8"/>
    <s v="09_지방일간지"/>
    <n v="1.5"/>
    <d v="2019-04-05T00:00:00"/>
  </r>
  <r>
    <n v="1380"/>
    <s v="8_국립축산과학원"/>
    <s v="1_축산생명환경부"/>
    <x v="9"/>
    <s v="김종복"/>
    <s v="보도자료33"/>
    <s v="‘스마트축산’ 생산성 UP…농가 25% 보급"/>
    <s v="metro"/>
    <d v="2019-04-04T00:00:00"/>
    <n v="4"/>
    <s v="10_무가지"/>
    <n v="1"/>
    <d v="2019-04-05T00:00:00"/>
  </r>
  <r>
    <n v="1381"/>
    <s v="8_국립축산과학원"/>
    <s v="1_축산생명환경부"/>
    <x v="9"/>
    <s v="김종복"/>
    <s v="보도자료33"/>
    <s v="정밀관리 스마트축산, 축산업 경쟁력 강화"/>
    <s v="식약일보"/>
    <d v="2019-04-03T00:00:00"/>
    <m/>
    <s v="10_기타전문지"/>
    <n v="1"/>
    <d v="2019-04-05T00:00:00"/>
  </r>
  <r>
    <n v="1382"/>
    <s v="8_국립축산과학원"/>
    <s v="0_본원"/>
    <x v="13"/>
    <s v="오형규"/>
    <m/>
    <s v="청년농업인 한우 품목연구모임 육성...한우산업 경쟁력 ‘강화’"/>
    <s v="농업경제신문"/>
    <d v="2019-04-03T00:00:00"/>
    <m/>
    <s v="13_인터넷포털"/>
    <n v="0.1"/>
    <d v="2019-04-05T00:00:00"/>
  </r>
  <r>
    <n v="1383"/>
    <s v="8_국립축산과학원"/>
    <s v="1_축산생명환경부"/>
    <x v="9"/>
    <s v="김종복"/>
    <s v="보도자료33"/>
    <s v="‘스마트축산’, 정밀 관리로 축산업 경쟁력 강화"/>
    <s v="오가닉라이프"/>
    <d v="2019-04-03T00:00:00"/>
    <m/>
    <s v="13_인터넷포털"/>
    <n v="0.1"/>
    <d v="2019-04-05T00:00:00"/>
  </r>
  <r>
    <n v="1384"/>
    <s v="8_국립축산과학원"/>
    <s v="0_본원"/>
    <x v="13"/>
    <s v="정성훈"/>
    <m/>
    <s v="고창군 농기센터, 맞춤형 종합컨설팅...‘한우농가 어려움’ 해결"/>
    <s v="로컬투데이"/>
    <d v="2019-04-03T00:00:00"/>
    <m/>
    <s v="13_인터넷포털"/>
    <n v="0.1"/>
    <d v="2019-04-05T00:00:00"/>
  </r>
  <r>
    <n v="1385"/>
    <s v="8_국립축산과학원"/>
    <s v="1_축산생명환경부"/>
    <x v="9"/>
    <s v="김종복"/>
    <s v="보도자료33"/>
    <s v="농진청, ‘스마트축산’ 농가 편의성*생산성 높여!"/>
    <s v="더코리아뉴스"/>
    <d v="2019-04-03T00:00:00"/>
    <m/>
    <s v="13_인터넷포털"/>
    <n v="0.1"/>
    <d v="2019-04-05T00:00:00"/>
  </r>
  <r>
    <n v="1386"/>
    <s v="8_국립축산과학원"/>
    <s v="1_축산생명환경부"/>
    <x v="9"/>
    <s v="김종복"/>
    <s v="보도자료33"/>
    <s v="농진청, ‘스마트 축산’으로 축산업 경쟁력 강화 추진"/>
    <s v="투데이코리아"/>
    <d v="2019-04-04T00:00:00"/>
    <m/>
    <s v="13_인터넷포털"/>
    <n v="0.1"/>
    <d v="2019-04-05T00:00:00"/>
  </r>
  <r>
    <n v="1387"/>
    <s v="8_국립축산과학원"/>
    <s v="1_축산생명환경부"/>
    <x v="9"/>
    <s v="김종복"/>
    <s v="보도자료33"/>
    <s v="‘스마트축산’, 정밀 관리로 축산업 경쟁력 강화"/>
    <s v="강원경제신문"/>
    <d v="2019-04-04T00:00:00"/>
    <m/>
    <s v="13_인터넷포털"/>
    <n v="0.1"/>
    <d v="2019-04-05T00:00:00"/>
  </r>
  <r>
    <n v="1388"/>
    <s v="8_국립축산과학원"/>
    <s v="1_축산생명환경부"/>
    <x v="9"/>
    <s v="김종복"/>
    <s v="보도자료33"/>
    <s v="농진청, 스마트축산 구현...축산업 경쟁력 강화나서"/>
    <s v="팜인사이트"/>
    <d v="2019-04-04T00:00:00"/>
    <m/>
    <s v="13_인터넷포털"/>
    <n v="0.1"/>
    <d v="2019-04-05T00:00:00"/>
  </r>
  <r>
    <n v="1389"/>
    <s v="8_국립축산과학원"/>
    <s v="2_축산자원개발부"/>
    <x v="8"/>
    <s v="최유림"/>
    <s v="기고"/>
    <s v="[기고] 최유림 연구관-재래가축의 가치를 재조명하자"/>
    <s v="농수축산신문"/>
    <d v="2019-04-05T00:00:00"/>
    <n v="6"/>
    <s v="17_농업전문지"/>
    <n v="8"/>
    <d v="2019-04-08T00:00:00"/>
  </r>
  <r>
    <n v="1390"/>
    <s v="8_국립축산과학원"/>
    <s v="1_축산생명환경부"/>
    <x v="9"/>
    <s v="김종복"/>
    <s v="보도자료33"/>
    <s v="스마트 기술로 축산농가 생산성 향상"/>
    <s v="YTN"/>
    <d v="2019-04-04T00:00:00"/>
    <m/>
    <s v="02_TV-케이블중앙"/>
    <n v="4"/>
    <d v="2019-04-08T00:00:00"/>
  </r>
  <r>
    <n v="1391"/>
    <s v="8_국립축산과학원"/>
    <s v="1_축산생명환경부"/>
    <x v="9"/>
    <s v="김종복"/>
    <s v="보도자료33"/>
    <s v="축산농가도 스마트 시대…소득 향상 입증-뉴스M(이준엽 연구사 인터뷰)"/>
    <s v="OBS"/>
    <d v="2019-04-06T00:00:00"/>
    <m/>
    <s v="02_TV-지방"/>
    <n v="4"/>
    <d v="2019-04-08T00:00:00"/>
  </r>
  <r>
    <n v="1392"/>
    <s v="8_국립축산과학원"/>
    <s v="1_축산생명환경부"/>
    <x v="9"/>
    <s v="김종복"/>
    <s v="보도자료33"/>
    <s v="축산에 빅데이터 활용했더니…농가소득 '쑥쑥'-채널26(이준엽 연구사 인터뷰)"/>
    <s v="연합뉴스TV"/>
    <d v="2019-04-07T00:00:00"/>
    <m/>
    <s v="02_TV-케이블중앙"/>
    <n v="4"/>
    <d v="2019-04-08T00:00:00"/>
  </r>
  <r>
    <n v="1393"/>
    <s v="8_국립축산과학원"/>
    <s v="0_본원"/>
    <x v="10"/>
    <s v="김남영"/>
    <m/>
    <s v="말(馬)의 나쁜 버릇은 잡는데는 이것이 최고. 제주 승용마 방목"/>
    <s v="중앙일보"/>
    <d v="2019-04-05T00:00:00"/>
    <m/>
    <s v="07_중앙일간지"/>
    <n v="5"/>
    <d v="2019-04-08T00:00:00"/>
  </r>
  <r>
    <n v="1394"/>
    <s v="8_국립축산과학원"/>
    <s v="0_본원"/>
    <x v="10"/>
    <s v="김남영"/>
    <m/>
    <s v="봄 맞아 ‘한라마’ 100여 마리 올해 첫 방목"/>
    <s v="연합뉴스"/>
    <d v="2019-04-05T00:00:00"/>
    <m/>
    <s v="07_중앙일간지"/>
    <n v="5"/>
    <d v="2019-04-08T00:00:00"/>
  </r>
  <r>
    <n v="1395"/>
    <s v="8_국립축산과학원"/>
    <s v="0_본원"/>
    <x v="10"/>
    <s v="김남영"/>
    <m/>
    <s v="한국형 승용마 ‘한라마’…올해 첫 방목"/>
    <s v="뉴시스"/>
    <d v="2019-04-05T00:00:00"/>
    <m/>
    <s v="07_중앙일간지"/>
    <n v="5"/>
    <d v="2019-04-08T00:00:00"/>
  </r>
  <r>
    <n v="1396"/>
    <s v="8_국립축산과학원"/>
    <s v="0_본원"/>
    <x v="10"/>
    <s v="김남영"/>
    <m/>
    <s v="한라마 100여마리 올해 첫 방목"/>
    <s v="뉴스1"/>
    <d v="2019-04-05T00:00:00"/>
    <m/>
    <s v="07_중앙일간지"/>
    <n v="5"/>
    <d v="2019-04-08T00:00:00"/>
  </r>
  <r>
    <n v="1397"/>
    <s v="8_국립축산과학원"/>
    <s v="0_본원"/>
    <x v="10"/>
    <s v="김남영"/>
    <m/>
    <s v="국립축산과학원, 국내산 한라마 첫 방목"/>
    <s v="환경일보"/>
    <d v="2019-04-05T00:00:00"/>
    <m/>
    <s v="08_기타일간지"/>
    <n v="2"/>
    <d v="2019-04-08T00:00:00"/>
  </r>
  <r>
    <n v="1398"/>
    <s v="8_국립축산과학원"/>
    <s v="0_본원"/>
    <x v="10"/>
    <s v="김남영"/>
    <m/>
    <s v="‘한라마’ 첫 방목, “한국형 승용마로 개량중”"/>
    <s v="전업농신문"/>
    <d v="2019-04-05T00:00:00"/>
    <m/>
    <s v="09_농업전문지"/>
    <n v="1.5"/>
    <d v="2019-04-08T00:00:00"/>
  </r>
  <r>
    <n v="1399"/>
    <s v="8_국립축산과학원"/>
    <s v="2_축산자원개발부"/>
    <x v="8"/>
    <s v="최연호"/>
    <s v="보도자료31"/>
    <s v="체형 우수 젖소 정액 수입 추천"/>
    <s v="농업인신문"/>
    <d v="2019-04-05T00:00:00"/>
    <m/>
    <s v="09_농업전문지"/>
    <n v="1.5"/>
    <d v="2019-04-08T00:00:00"/>
  </r>
  <r>
    <n v="1400"/>
    <s v="8_국립축산과학원"/>
    <s v="1_축산생명환경부"/>
    <x v="5"/>
    <s v="유자연"/>
    <s v="보도자료32"/>
    <s v="목장형 자연치즈 제조 기술, 함께 배워 봐요"/>
    <s v="농업인신문"/>
    <d v="2019-04-05T00:00:00"/>
    <m/>
    <s v="09_농업전문지"/>
    <n v="1.5"/>
    <d v="2019-04-08T00:00:00"/>
  </r>
  <r>
    <n v="1401"/>
    <s v="8_국립축산과학원"/>
    <s v="1_축산생명환경부"/>
    <x v="9"/>
    <s v="곽정훈"/>
    <m/>
    <s v="농사의 시작은 퇴비살포와 함께(포토뉴스)"/>
    <s v="농축산기계"/>
    <d v="2019-04-01T00:00:00"/>
    <n v="1"/>
    <s v="10_기타전문지"/>
    <n v="1"/>
    <d v="2019-04-08T00:00:00"/>
  </r>
  <r>
    <n v="1402"/>
    <s v="8_국립축산과학원"/>
    <s v="0_본원"/>
    <x v="14"/>
    <s v="한만희"/>
    <m/>
    <s v="(한우육종연구실) “유전다양성 발굴로 근친교배도 낮춰”"/>
    <s v="농축산기계"/>
    <d v="2019-04-01T00:00:00"/>
    <n v="14"/>
    <s v="10_기타전문지"/>
    <n v="1"/>
    <d v="2019-04-08T00:00:00"/>
  </r>
  <r>
    <n v="1403"/>
    <s v="8_국립축산과학원"/>
    <s v="0_본원"/>
    <x v="10"/>
    <s v="김남영"/>
    <m/>
    <s v="국내산 승용마 첫 방목"/>
    <s v="프레시안"/>
    <d v="2019-04-06T00:00:00"/>
    <m/>
    <s v="13_인터넷포털"/>
    <n v="0.1"/>
    <d v="2019-04-08T00:00:00"/>
  </r>
  <r>
    <n v="1404"/>
    <s v="8_국립축산과학원"/>
    <s v="1_축산생명환경부"/>
    <x v="9"/>
    <s v="김종복"/>
    <s v="보도자료33"/>
    <s v="농진청, ‘스마트축산’, 정밀 관리로 축산업 경쟁력 강화 확인"/>
    <s v="헬로티"/>
    <d v="2019-04-06T00:00:00"/>
    <m/>
    <s v="13_인터넷포털"/>
    <n v="0.1"/>
    <d v="2019-04-08T00:00:00"/>
  </r>
  <r>
    <n v="1405"/>
    <s v="8_국립축산과학원"/>
    <s v="2_축산자원개발부"/>
    <x v="6"/>
    <s v="정종성"/>
    <s v="보도자료34"/>
    <s v="산지초지 방목하면 노동력·사료비 절감"/>
    <s v="라이브뉴스"/>
    <d v="2019-04-08T00:00:00"/>
    <m/>
    <s v="13_인터넷포털"/>
    <n v="0.1"/>
    <d v="2019-04-08T00:00:00"/>
  </r>
  <r>
    <n v="1406"/>
    <s v="8_국립축산과학원"/>
    <s v="1_축산생명환경부"/>
    <x v="9"/>
    <s v="김종복"/>
    <s v="보도자료33"/>
    <s v="축산농가도 스마트 시대…소득 향상 입증-경인투데이(이준엽 연구사 인터뷰)"/>
    <s v="OBS"/>
    <d v="2019-04-08T00:00:00"/>
    <m/>
    <s v="02_TV-지방"/>
    <n v="4"/>
    <d v="2019-04-09T00:00:00"/>
  </r>
  <r>
    <n v="1407"/>
    <s v="8_국립축산과학원"/>
    <s v="2_축산자원개발부"/>
    <x v="6"/>
    <s v="정종성"/>
    <s v="보도자료34"/>
    <s v="산지초지 방목 관리로 질 좋은 풀 생산성 높여요"/>
    <s v="환경일보"/>
    <d v="2019-04-08T00:00:00"/>
    <m/>
    <s v="08_기타일간지"/>
    <n v="2"/>
    <d v="2019-04-09T00:00:00"/>
  </r>
  <r>
    <n v="1408"/>
    <s v="8_국립축산과학원"/>
    <s v="1_축산생명환경부"/>
    <x v="9"/>
    <s v="김종복"/>
    <s v="보도자료33"/>
    <s v="‘스마트축산’, 정밀 관리로 축산업 경쟁력 강화"/>
    <s v="농축유통신문"/>
    <d v="2019-04-08T00:00:00"/>
    <m/>
    <s v="09_농업전문지"/>
    <n v="1.5"/>
    <d v="2019-04-09T00:00:00"/>
  </r>
  <r>
    <n v="1409"/>
    <s v="8_국립축산과학원"/>
    <s v="1_축산생명환경부"/>
    <x v="9"/>
    <s v="김종복"/>
    <s v="보도자료33"/>
    <s v="‘스마트축산’, 정밀 관리로 축산업 경쟁력 강화"/>
    <s v="농업인신문"/>
    <d v="2019-04-05T00:00:00"/>
    <m/>
    <s v="09_농업전문지"/>
    <n v="1.5"/>
    <d v="2019-04-09T00:00:00"/>
  </r>
  <r>
    <n v="1410"/>
    <s v="8_국립축산과학원"/>
    <s v="2_축산자원개발부"/>
    <x v="6"/>
    <s v="정종성"/>
    <s v="보도자료34"/>
    <s v="“산지초지, 철저한 방목관리로 반영구적 사용”"/>
    <s v="전업농신문"/>
    <d v="2019-04-09T00:00:00"/>
    <m/>
    <s v="09_농업전문지"/>
    <n v="1.5"/>
    <d v="2019-04-09T00:00:00"/>
  </r>
  <r>
    <n v="1411"/>
    <s v="8_국립축산과학원"/>
    <s v="1_축산생명환경부"/>
    <x v="9"/>
    <s v="김종복"/>
    <s v="보도자료33"/>
    <s v="‘스마트축산’ 정밀관리로 축산업 경쟁력 강화"/>
    <s v="한국농촌경제신문"/>
    <d v="2019-04-09T00:00:00"/>
    <m/>
    <s v="09_농업전문지"/>
    <n v="1.5"/>
    <d v="2019-04-09T00:00:00"/>
  </r>
  <r>
    <n v="1412"/>
    <s v="8_국립축산과학원"/>
    <s v="1_축산생명환경부"/>
    <x v="9"/>
    <s v="김종복"/>
    <s v="보도자료33"/>
    <s v="농촌진흥청, 스마트축산으로 축산업 경쟁력강화 선도"/>
    <s v="중도일보"/>
    <d v="2019-04-03T00:00:00"/>
    <m/>
    <s v="09_지방일간지"/>
    <n v="1.5"/>
    <d v="2019-04-09T00:00:00"/>
  </r>
  <r>
    <n v="1413"/>
    <s v="8_국립축산과학원"/>
    <s v="0_본원"/>
    <x v="10"/>
    <s v="김남영"/>
    <m/>
    <s v="초지 위를 달리는 한국형 승용마 ‘한라마’(포토뉴스)"/>
    <s v="한라일보"/>
    <d v="2019-04-08T00:00:00"/>
    <n v="5"/>
    <s v="09_지방일간지"/>
    <n v="1.5"/>
    <d v="2019-04-09T00:00:00"/>
  </r>
  <r>
    <n v="1414"/>
    <s v="8_국립축산과학원"/>
    <s v="1_축산생명환경부"/>
    <x v="9"/>
    <s v="김종복"/>
    <s v="보도자료33"/>
    <s v="‘스마트축산’, 정밀 관리로 축산업 경쟁력 강화"/>
    <s v="정책브리핑"/>
    <d v="2019-04-04T00:00:00"/>
    <m/>
    <s v="12_대한민국 정책포털(korea.kr)"/>
    <n v="1"/>
    <d v="2019-04-09T00:00:00"/>
  </r>
  <r>
    <n v="1415"/>
    <s v="8_국립축산과학원"/>
    <s v="0_본원"/>
    <x v="13"/>
    <s v="손지용"/>
    <s v="보도자료28"/>
    <s v="농진청, 8월까지 한우리시스템활용 교육"/>
    <s v="한우신문"/>
    <d v="2019-04-02T00:00:00"/>
    <n v="4"/>
    <s v="10_기타전문지"/>
    <n v="1"/>
    <d v="2019-04-09T00:00:00"/>
  </r>
  <r>
    <n v="1416"/>
    <s v="8_국립축산과학원"/>
    <s v="0_본원"/>
    <x v="10"/>
    <s v="김남영"/>
    <m/>
    <s v="봄의 생동감…(포토뉴스)"/>
    <s v="제주신보"/>
    <d v="2019-04-08T00:00:00"/>
    <n v="1"/>
    <s v="11_기타(지역주간지)"/>
    <n v="0.5"/>
    <d v="2019-04-09T00:00:00"/>
  </r>
  <r>
    <n v="1417"/>
    <s v="8_국립축산과학원"/>
    <s v="1_축산생명환경부"/>
    <x v="9"/>
    <s v="김종복"/>
    <s v="보도자료33"/>
    <s v="농진청, ‘스마트 축산’으로 축산업 경쟁력 강화 추진"/>
    <s v="미디어펜"/>
    <d v="2019-04-03T00:00:00"/>
    <m/>
    <s v="13_인터넷포털"/>
    <n v="0.1"/>
    <d v="2019-04-09T00:00:00"/>
  </r>
  <r>
    <n v="1418"/>
    <s v="8_국립축산과학원"/>
    <s v="1_축산생명환경부"/>
    <x v="9"/>
    <s v="김종복"/>
    <s v="보도자료33"/>
    <s v="스마트 축산...통합관리모델 개발로 편의성·생산성↑"/>
    <s v="데일리안"/>
    <d v="2019-04-03T00:00:00"/>
    <m/>
    <s v="13_인터넷포털"/>
    <n v="0.1"/>
    <d v="2019-04-09T00:00:00"/>
  </r>
  <r>
    <n v="1419"/>
    <s v="8_국립축산과학원"/>
    <s v="1_축산생명환경부"/>
    <x v="9"/>
    <s v="김종복"/>
    <s v="보도자료33"/>
    <s v="농진청, ‘스마트축산’ 정밀관리로 축산업 경쟁력 강화"/>
    <s v="아유경제"/>
    <d v="2019-04-04T00:00:00"/>
    <m/>
    <s v="13_인터넷포털"/>
    <n v="0.1"/>
    <d v="2019-04-09T00:00:00"/>
  </r>
  <r>
    <n v="1420"/>
    <s v="8_국립축산과학원"/>
    <s v="1_축산생명환경부"/>
    <x v="9"/>
    <s v="김종복"/>
    <s v="보도자료33"/>
    <s v="‘스마트축산’, 정밀 관리로 축산업 경쟁력 강화"/>
    <s v="포비즈미디어"/>
    <d v="2019-04-04T00:00:00"/>
    <m/>
    <s v="13_인터넷포털"/>
    <n v="0.1"/>
    <d v="2019-04-09T00:00:00"/>
  </r>
  <r>
    <n v="1421"/>
    <s v="8_국립축산과학원"/>
    <s v="1_축산생명환경부"/>
    <x v="9"/>
    <s v="정광화"/>
    <m/>
    <s v="정읍시의회 최낙삼 의장 김해시 공동자원화센터 방문"/>
    <s v="투데이안"/>
    <d v="2019-04-09T00:00:00"/>
    <m/>
    <s v="13_인터넷포털"/>
    <n v="0.1"/>
    <d v="2019-04-09T00:00:00"/>
  </r>
  <r>
    <n v="1422"/>
    <s v="8_국립축산과학원"/>
    <s v="2_축산자원개발부"/>
    <x v="6"/>
    <s v="정종성"/>
    <s v="보도자료34"/>
    <s v="농진청, ‘방목’ 효과적으로 해야 산·초지 부실화 막을수 있어"/>
    <s v="투데이코리아"/>
    <d v="2019-04-09T00:00:00"/>
    <m/>
    <s v="13_인터넷포털"/>
    <n v="0.1"/>
    <d v="2019-04-09T00:00:00"/>
  </r>
  <r>
    <n v="1423"/>
    <s v="8_국립축산과학원"/>
    <s v="2_축산자원개발부"/>
    <x v="6"/>
    <s v="정종성"/>
    <s v="보도자료34"/>
    <s v="산지초지 방목 관리로 질 좋은 풀 생산성 높여요"/>
    <s v="중부뉴스통신"/>
    <d v="2019-04-09T00:00:00"/>
    <m/>
    <s v="13_인터넷포털"/>
    <n v="0.1"/>
    <d v="2019-04-09T00:00:00"/>
  </r>
  <r>
    <n v="1424"/>
    <s v="8_국립축산과학원"/>
    <s v="0_본원"/>
    <x v="4"/>
    <s v="천동원"/>
    <s v="기고"/>
    <s v="[기고] 천동원 소장-축산현장 애로기술 해결 위한 닭 키우기[100문 100답] Q27-30"/>
    <s v="축산신문"/>
    <d v="2019-04-09T00:00:00"/>
    <n v="15"/>
    <s v="17_농업전문지"/>
    <n v="8"/>
    <d v="2019-04-10T00:00:00"/>
  </r>
  <r>
    <n v="1425"/>
    <s v="8_국립축산과학원"/>
    <s v="1_축산생명환경부"/>
    <x v="9"/>
    <s v="김종복"/>
    <s v="보도자료33"/>
    <s v="생산성 늘고 폐사율 줄고'…스마트 축산 도입 확대 추진-네트워크뉴스(이준엽 연구사 인터뷰)"/>
    <s v="TV조선"/>
    <d v="2019-04-09T00:00:00"/>
    <m/>
    <s v="02_TV-종합편성채널"/>
    <n v="4"/>
    <d v="2019-04-10T00:00:00"/>
  </r>
  <r>
    <n v="1426"/>
    <s v="8_국립축산과학원"/>
    <s v="1_축산생명환경부"/>
    <x v="9"/>
    <s v="김종복"/>
    <s v="보도자료33"/>
    <s v="어디서든 축사 관리 OK...농진청, 스마트 축산 모델 개발"/>
    <s v="매일경제"/>
    <d v="2019-04-03T00:00:00"/>
    <m/>
    <s v="07_중앙일간지"/>
    <n v="5"/>
    <d v="2019-04-10T00:00:00"/>
  </r>
  <r>
    <n v="1427"/>
    <s v="8_국립축산과학원"/>
    <s v="0_본원"/>
    <x v="10"/>
    <s v="김남영"/>
    <m/>
    <s v="달려라, 한라마!(포토뉴스)"/>
    <s v="머니투데이"/>
    <d v="2019-04-05T00:00:00"/>
    <m/>
    <s v="07_중앙일간지"/>
    <n v="5"/>
    <d v="2019-04-10T00:00:00"/>
  </r>
  <r>
    <n v="1428"/>
    <s v="8_국립축산과학원"/>
    <s v="2_축산자원개발부"/>
    <x v="8"/>
    <s v="최연호"/>
    <s v="보도자료31"/>
    <s v="농진청, 체형 우수 젖소 정액 수입 추천"/>
    <s v="축산신문"/>
    <d v="2019-04-09T00:00:00"/>
    <n v="5"/>
    <s v="09_농업전문지"/>
    <n v="1.5"/>
    <d v="2019-04-10T00:00:00"/>
  </r>
  <r>
    <n v="1429"/>
    <s v="8_국립축산과학원"/>
    <s v="0_본원"/>
    <x v="13"/>
    <s v="정성훈"/>
    <s v="보도자료29"/>
    <s v="축산과학원 “맞춤형 상담 받으세요”"/>
    <s v="한국농어민신문"/>
    <d v="2019-04-09T00:00:00"/>
    <n v="9"/>
    <s v="09_농업전문지"/>
    <n v="1.5"/>
    <d v="2019-04-10T00:00:00"/>
  </r>
  <r>
    <n v="1430"/>
    <s v="8_국립축산과학원"/>
    <s v="1_축산생명환경부"/>
    <x v="9"/>
    <s v="김종복"/>
    <s v="보도자료33"/>
    <s v="스마트 축사, 가축 정밀관리로 경쟁력 ‘업’"/>
    <s v="축산신문"/>
    <d v="2019-04-09T00:00:00"/>
    <n v="1"/>
    <s v="09_농업전문지"/>
    <n v="1.5"/>
    <d v="2019-04-10T00:00:00"/>
  </r>
  <r>
    <n v="1431"/>
    <s v="8_국립축산과학원"/>
    <s v="2_축산자원개발부"/>
    <x v="6"/>
    <s v="지희정"/>
    <m/>
    <s v="희망을 뿌리다(포토뉴스)"/>
    <s v="한국농기계신문"/>
    <d v="2019-03-31T00:00:00"/>
    <n v="5"/>
    <s v="09_농업전문지"/>
    <n v="1.5"/>
    <d v="2019-04-10T00:00:00"/>
  </r>
  <r>
    <n v="1432"/>
    <s v="8_국립축산과학원"/>
    <s v="0_본원"/>
    <x v="3"/>
    <s v="류재규"/>
    <m/>
    <s v="구제역·AI 방역 개선대책 머리 맞대"/>
    <s v="축산신문"/>
    <d v="2019-04-09T00:00:00"/>
    <n v="2"/>
    <s v="09_농업전문지"/>
    <n v="1.5"/>
    <d v="2019-04-10T00:00:00"/>
  </r>
  <r>
    <n v="1433"/>
    <s v="8_국립축산과학원"/>
    <s v="2_축산자원개발부"/>
    <x v="12"/>
    <s v="기광석"/>
    <m/>
    <s v="전환기 특수사료로 대사성 질병 예방"/>
    <s v="축산신문"/>
    <d v="2019-04-09T00:00:00"/>
    <n v="16"/>
    <s v="09_농업전문지"/>
    <n v="1.5"/>
    <d v="2019-04-10T00:00:00"/>
  </r>
  <r>
    <n v="1434"/>
    <s v="8_국립축산과학원"/>
    <s v="0_본원"/>
    <x v="13"/>
    <s v="손지용"/>
    <s v="보도자료28"/>
    <s v="농진청 축과원, 한우리 시스템 활용 교육...8월까지"/>
    <s v="농수축산신문"/>
    <d v="2019-04-09T00:00:00"/>
    <m/>
    <s v="09_농업전문지"/>
    <n v="1.5"/>
    <d v="2019-04-10T00:00:00"/>
  </r>
  <r>
    <n v="1435"/>
    <s v="8_국립축산과학원"/>
    <s v="2_축산자원개발부"/>
    <x v="6"/>
    <s v="정종성"/>
    <s v="보도자료34"/>
    <s v="산지초지 방목 관리로 질 좋은 풀 만든다"/>
    <s v="한국영농신문"/>
    <d v="2019-04-09T00:00:00"/>
    <m/>
    <s v="09_농업전문지"/>
    <n v="1.5"/>
    <d v="2019-04-10T00:00:00"/>
  </r>
  <r>
    <n v="1436"/>
    <s v="8_국립축산과학원"/>
    <s v="0_본원"/>
    <x v="10"/>
    <s v="김남영"/>
    <m/>
    <s v="농촌진흥청, 한국형 승용마 ‘한라마’ 공개(포토뉴스)"/>
    <s v="부산일보"/>
    <d v="2019-04-05T00:00:00"/>
    <m/>
    <s v="09_지방일간지"/>
    <n v="1.5"/>
    <d v="2019-04-10T00:00:00"/>
  </r>
  <r>
    <n v="1437"/>
    <s v="8_국립축산과학원"/>
    <s v="0_본원"/>
    <x v="10"/>
    <s v="김남영"/>
    <m/>
    <s v="‘한라마, 제주 바람을 가르며’(포토뉴스)"/>
    <s v="말산업저널"/>
    <d v="2019-04-05T00:00:00"/>
    <m/>
    <s v="10_기타전문지"/>
    <n v="1"/>
    <d v="2019-04-10T00:00:00"/>
  </r>
  <r>
    <n v="1438"/>
    <s v="8_국립축산과학원"/>
    <s v="2_축산자원개발부"/>
    <x v="6"/>
    <s v="정종성"/>
    <s v="보도자료34"/>
    <s v="목초 키 20cm 넘으면 방목 시작"/>
    <s v="식약일보"/>
    <d v="2019-04-08T00:00:00"/>
    <m/>
    <s v="10_기타전문지"/>
    <n v="1"/>
    <d v="2019-04-10T00:00:00"/>
  </r>
  <r>
    <n v="1439"/>
    <s v="8_국립축산과학원"/>
    <s v="2_축산자원개발부"/>
    <x v="6"/>
    <s v="정종성"/>
    <s v="보도자료34"/>
    <s v="산지초지 방목 관리로 질 좋은 풀 생산성 높여요"/>
    <s v="강원경제신문"/>
    <d v="2019-04-09T00:00:00"/>
    <m/>
    <s v="13_인터넷포털"/>
    <n v="0.1"/>
    <d v="2019-04-10T00:00:00"/>
  </r>
  <r>
    <n v="1440"/>
    <s v="8_국립축산과학원"/>
    <s v="1_축산생명환경부"/>
    <x v="9"/>
    <s v="김종복"/>
    <s v="보도자료33"/>
    <s v="농진청, ‘스마트축산’ 정밀 관리로 경쟁력 강화"/>
    <s v="한국경찰뉴스"/>
    <d v="2019-04-03T00:00:00"/>
    <m/>
    <s v="13_인터넷포털"/>
    <n v="0.1"/>
    <d v="2019-04-10T00:00:00"/>
  </r>
  <r>
    <n v="1441"/>
    <s v="8_국립축산과학원"/>
    <s v="1_축산생명환경부"/>
    <x v="9"/>
    <s v="김종복"/>
    <s v="보도자료33"/>
    <s v="‘스마트 축산’ 도입후 생산성 향상...4년간 25% 보급률 목표"/>
    <s v="디오데오"/>
    <d v="2019-04-03T00:00:00"/>
    <m/>
    <s v="13_인터넷포털"/>
    <n v="0.1"/>
    <d v="2019-04-10T00:00:00"/>
  </r>
  <r>
    <n v="1442"/>
    <s v="8_국립축산과학원"/>
    <s v="1_축산생명환경부"/>
    <x v="9"/>
    <s v="김종복"/>
    <s v="보도자료33"/>
    <s v="빅데이터기반 ‘스마트축산’ 도입, 농사의 편의성·생산성 향상에 효과"/>
    <s v="비즈월드"/>
    <d v="2019-04-07T00:00:00"/>
    <m/>
    <s v="13_인터넷포털"/>
    <n v="0.1"/>
    <d v="2019-04-10T00:00:00"/>
  </r>
  <r>
    <n v="1443"/>
    <s v="8_국립축산과학원"/>
    <s v="0_본원"/>
    <x v="10"/>
    <s v="김남영"/>
    <m/>
    <s v="한라마 100여마리 올해 첫 방목(포토뉴스)"/>
    <s v="디오데오"/>
    <d v="2019-04-05T00:00:00"/>
    <m/>
    <s v="13_인터넷포털"/>
    <n v="0.1"/>
    <d v="2019-04-10T00:00:00"/>
  </r>
  <r>
    <n v="1444"/>
    <s v="8_국립축산과학원"/>
    <s v="2_축산자원개발부"/>
    <x v="0"/>
    <s v="김두완"/>
    <s v="기고"/>
    <s v="[기고] 김두완 연구사-생산성 하위농장을 극복하기 위한 고려사항"/>
    <s v="Pig&amp;Pork 한돈"/>
    <d v="2019-04-01T00:00:00"/>
    <s v="284-289"/>
    <s v="18_월간지"/>
    <n v="4"/>
    <d v="2019-04-11T00:00:00"/>
  </r>
  <r>
    <n v="1445"/>
    <s v="8_국립축산과학원"/>
    <s v="0_본원"/>
    <x v="13"/>
    <s v="정성훈"/>
    <s v="보도자료29"/>
    <s v="농진청, 축산 농가 현장 맞춤형 상담 나서"/>
    <s v="농업축산신문"/>
    <d v="2019-04-01T00:00:00"/>
    <n v="7"/>
    <s v="09_농업전문지"/>
    <n v="1.5"/>
    <d v="2019-04-11T00:00:00"/>
  </r>
  <r>
    <n v="1446"/>
    <s v="8_국립축산과학원"/>
    <s v="0_본원"/>
    <x v="13"/>
    <s v="정성훈"/>
    <s v="보도자료29"/>
    <s v="양돈현장 맞춤형 상담 진행"/>
    <s v="양돈타임스"/>
    <d v="2019-04-04T00:00:00"/>
    <n v="2"/>
    <s v="09_농업전문지"/>
    <n v="1.5"/>
    <d v="2019-04-11T00:00:00"/>
  </r>
  <r>
    <n v="1447"/>
    <s v="8_국립축산과학원"/>
    <s v="0_본원"/>
    <x v="2"/>
    <s v="김동훈"/>
    <s v="보도자료30"/>
    <s v="“미래 축산 초석 다질 것”"/>
    <s v="축산경제"/>
    <d v="2019-04-01T00:00:00"/>
    <n v="11"/>
    <s v="09_농업전문지"/>
    <n v="1.5"/>
    <d v="2019-04-11T00:00:00"/>
  </r>
  <r>
    <n v="1448"/>
    <s v="8_국립축산과학원"/>
    <s v="0_본원"/>
    <x v="2"/>
    <s v="김동훈"/>
    <s v="보도자료30"/>
    <s v="축산업 4차 산업혁명 기반 다진다"/>
    <s v="양돈타임스"/>
    <d v="2019-04-04T00:00:00"/>
    <n v="10"/>
    <s v="09_농업전문지"/>
    <n v="1.5"/>
    <d v="2019-04-11T00:00:00"/>
  </r>
  <r>
    <n v="1449"/>
    <s v="8_국립축산과학원"/>
    <s v="0_본원"/>
    <x v="2"/>
    <s v="박태완"/>
    <s v="보도자료35"/>
    <s v="축산과학원, 축산정보 ‘온라인 자문단’ 운영"/>
    <s v="식품저널"/>
    <d v="2019-04-11T00:00:00"/>
    <m/>
    <s v="09_농업전문지"/>
    <n v="1.5"/>
    <d v="2019-04-11T00:00:00"/>
  </r>
  <r>
    <n v="1450"/>
    <s v="8_국립축산과학원"/>
    <s v="0_본원"/>
    <x v="13"/>
    <s v="정성훈"/>
    <m/>
    <s v="농협, 축산현장 맞춤형 종합컨설팅 ‘호응’"/>
    <s v="전업농신문"/>
    <d v="2019-04-11T00:00:00"/>
    <m/>
    <s v="09_농업전문지"/>
    <n v="1.5"/>
    <d v="2019-04-11T00:00:00"/>
  </r>
  <r>
    <n v="1451"/>
    <s v="8_국립축산과학원"/>
    <s v="0_본원"/>
    <x v="13"/>
    <s v="정성훈"/>
    <m/>
    <s v="농협, 한우농가 맞춤형 종합컨설팅 실시"/>
    <s v="농축유통신문"/>
    <d v="2019-04-11T00:00:00"/>
    <m/>
    <s v="09_농업전문지"/>
    <n v="1.5"/>
    <d v="2019-04-11T00:00:00"/>
  </r>
  <r>
    <n v="1452"/>
    <s v="8_국립축산과학원"/>
    <s v="1_축산생명환경부"/>
    <x v="9"/>
    <s v="정광화"/>
    <m/>
    <s v="최낙삼 정읍시의회 의장 가축분뇨 에너지화 견학"/>
    <s v="전북중앙"/>
    <d v="2019-04-10T00:00:00"/>
    <n v="11"/>
    <s v="09_지방일간지"/>
    <n v="1.5"/>
    <d v="2019-04-11T00:00:00"/>
  </r>
  <r>
    <n v="1453"/>
    <s v="8_국립축산과학원"/>
    <s v="1_축산생명환경부"/>
    <x v="9"/>
    <s v="정광화"/>
    <m/>
    <s v="정읍시의회 최낙삼 의장, 김해시 공동자원화센터 방문"/>
    <s v="전북타임스"/>
    <d v="2019-04-10T00:00:00"/>
    <n v="8"/>
    <s v="09_지방일간지"/>
    <n v="1.5"/>
    <d v="2019-04-11T00:00:00"/>
  </r>
  <r>
    <n v="1454"/>
    <s v="8_국립축산과학원"/>
    <s v="1_축산생명환경부"/>
    <x v="9"/>
    <s v="정광화"/>
    <m/>
    <s v="가축분뇨 이용 고체연료 개발 타당성 여부 검토"/>
    <s v="삼남일보"/>
    <d v="2019-04-10T00:00:00"/>
    <n v="8"/>
    <s v="09_지방일간지"/>
    <n v="1.5"/>
    <d v="2019-04-11T00:00:00"/>
  </r>
  <r>
    <n v="1455"/>
    <s v="8_국립축산과학원"/>
    <s v="0_본원"/>
    <x v="13"/>
    <s v="정성훈"/>
    <m/>
    <s v="농협, 한우농가 맞춤형 종합컨설팅 실시"/>
    <s v="프라임경제"/>
    <d v="2019-04-10T00:00:00"/>
    <m/>
    <s v="10_주간지"/>
    <n v="1"/>
    <d v="2019-04-11T00:00:00"/>
  </r>
  <r>
    <n v="1456"/>
    <s v="8_국립축산과학원"/>
    <s v="0_본원"/>
    <x v="13"/>
    <s v="정성훈"/>
    <m/>
    <s v="농협, 한우농가 맞춤형 종합컨설팅 실시"/>
    <s v="데일리그리드"/>
    <d v="2019-04-10T00:00:00"/>
    <m/>
    <s v="13_인터넷포털"/>
    <n v="0.1"/>
    <d v="2019-04-11T00:00:00"/>
  </r>
  <r>
    <n v="1457"/>
    <s v="8_국립축산과학원"/>
    <s v="0_본원"/>
    <x v="13"/>
    <s v="정성훈"/>
    <m/>
    <s v="농협, 한우농가 맞춤형 컨설팅...축산현장 애로 해결"/>
    <s v="뉴스핌"/>
    <d v="2019-04-10T00:00:00"/>
    <m/>
    <s v="11_기타(지역주간지)"/>
    <n v="0.5"/>
    <d v="2019-04-11T00:00:00"/>
  </r>
  <r>
    <n v="1458"/>
    <s v="8_국립축산과학원"/>
    <s v="0_본원"/>
    <x v="13"/>
    <s v="정성훈"/>
    <m/>
    <s v="(농협)한우농가 맞춤형 종합컨설팅 실시"/>
    <s v="뉴스워커"/>
    <d v="2019-04-10T00:00:00"/>
    <m/>
    <s v="13_인터넷포털"/>
    <n v="0.1"/>
    <d v="2019-04-11T00:00:00"/>
  </r>
  <r>
    <n v="1459"/>
    <s v="8_국립축산과학원"/>
    <s v="2_축산자원개발부"/>
    <x v="6"/>
    <s v="정종성"/>
    <s v="보도자료34"/>
    <s v="농촌진흥청, 효율적인 방목 관리 요령 제시"/>
    <s v="농업경제신문"/>
    <d v="2019-04-10T00:00:00"/>
    <m/>
    <s v="13_인터넷포털"/>
    <n v="0.1"/>
    <d v="2019-04-11T00:00:00"/>
  </r>
  <r>
    <n v="1460"/>
    <s v="8_국립축산과학원"/>
    <s v="1_축산생명환경부"/>
    <x v="9"/>
    <s v="김종복"/>
    <s v="보도자료33"/>
    <s v="‘스마트축산’, 정밀 관리로 축산업 경쟁력 강화"/>
    <s v="한국임업신문"/>
    <d v="2019-04-11T00:00:00"/>
    <n v="7"/>
    <s v="09_농업전문지"/>
    <n v="1.5"/>
    <d v="2019-04-12T00:00:00"/>
  </r>
  <r>
    <n v="1461"/>
    <s v="8_국립축산과학원"/>
    <s v="0_본원"/>
    <x v="13"/>
    <s v="정성훈"/>
    <m/>
    <s v="농협, 한우 농가 맞춤형 종합 컨설팅 실시"/>
    <s v="한국영농신문"/>
    <d v="2019-04-12T00:00:00"/>
    <m/>
    <s v="09_농업전문지"/>
    <n v="1.5"/>
    <d v="2019-04-12T00:00:00"/>
  </r>
  <r>
    <n v="1462"/>
    <s v="8_국립축산과학원"/>
    <s v="0_본원"/>
    <x v="10"/>
    <s v="김남영"/>
    <m/>
    <s v="국내산 승용마 첫 방목(포토뉴스)"/>
    <s v="농축유통신문"/>
    <d v="2019-04-12T00:00:00"/>
    <m/>
    <s v="09_농업전문지"/>
    <n v="1.5"/>
    <d v="2019-04-12T00:00:00"/>
  </r>
  <r>
    <n v="1463"/>
    <s v="8_국립축산과학원"/>
    <s v="0_본원"/>
    <x v="13"/>
    <s v="손지용"/>
    <s v="보도자료28"/>
    <s v="축산농가, 한우리로 스마트 관리요령"/>
    <s v="농식품PLUS신문"/>
    <d v="2019-03-31T00:00:00"/>
    <n v="18"/>
    <s v="10_기타전문지"/>
    <n v="1"/>
    <d v="2019-04-12T00:00:00"/>
  </r>
  <r>
    <n v="1464"/>
    <s v="8_국립축산과학원"/>
    <s v="0_본원"/>
    <x v="2"/>
    <s v="김동훈"/>
    <s v="보도자료30"/>
    <s v="축산 기술 혁신을 위한 협업·현장 연구 강화"/>
    <s v="농식품PLUS신문"/>
    <d v="2019-03-31T00:00:00"/>
    <n v="18"/>
    <s v="10_기타전문지"/>
    <n v="1"/>
    <d v="2019-04-12T00:00:00"/>
  </r>
  <r>
    <n v="1465"/>
    <s v="8_국립축산과학원"/>
    <s v="1_축산생명환경부"/>
    <x v="9"/>
    <s v="김종복"/>
    <s v="보도자료33"/>
    <s v="‘스마트축산’ 빅데이터 기반…편의·생산성 향상"/>
    <s v="한국양돈신문"/>
    <d v="2019-04-09T00:00:00"/>
    <n v="15"/>
    <s v="10_기타전문지"/>
    <n v="1"/>
    <d v="2019-04-12T00:00:00"/>
  </r>
  <r>
    <n v="1466"/>
    <s v="8_국립축산과학원"/>
    <s v="0_본원"/>
    <x v="13"/>
    <s v="정성훈"/>
    <s v="보도자료29"/>
    <s v="농진청, 축산농가 현장 맞춤형 상담"/>
    <s v="낙농신문"/>
    <d v="2019-04-11T00:00:00"/>
    <n v="5"/>
    <s v="10_기타전문지"/>
    <n v="1"/>
    <d v="2019-04-12T00:00:00"/>
  </r>
  <r>
    <n v="1467"/>
    <s v="8_국립축산과학원"/>
    <s v="0_본원"/>
    <x v="13"/>
    <s v="손지용"/>
    <s v="보도자료28"/>
    <s v="한우리 시스템 활용 교육 실시"/>
    <s v="낙농신문"/>
    <d v="2019-04-11T00:00:00"/>
    <n v="5"/>
    <s v="10_기타전문지"/>
    <n v="1"/>
    <d v="2019-04-12T00:00:00"/>
  </r>
  <r>
    <n v="1468"/>
    <s v="8_국립축산과학원"/>
    <s v="2_축산자원개발부"/>
    <x v="8"/>
    <s v="최연호"/>
    <s v="보도자료31"/>
    <s v="농진청, 178농가 17종 정액 추천"/>
    <s v="낙농신문"/>
    <d v="2019-04-11T00:00:00"/>
    <n v="5"/>
    <s v="10_기타전문지"/>
    <n v="1"/>
    <d v="2019-04-12T00:00:00"/>
  </r>
  <r>
    <n v="1469"/>
    <s v="8_국립축산과학원"/>
    <s v="0_본원"/>
    <x v="2"/>
    <s v="전익수"/>
    <s v="보도자료27"/>
    <s v="축산자원개발부 이전 업무협약 체결"/>
    <s v="버섯신문"/>
    <d v="2019-03-31T00:00:00"/>
    <n v="11"/>
    <s v="09_농업전문지"/>
    <n v="1.5"/>
    <d v="2019-04-12T00:00:00"/>
  </r>
  <r>
    <n v="1470"/>
    <s v="8_국립축산과학원"/>
    <s v="0_본원"/>
    <x v="13"/>
    <s v="정성훈"/>
    <s v="보도자료29"/>
    <s v="농촌진흥청, 축산 농가 현장 맞춤형 상담"/>
    <s v="버섯신문"/>
    <d v="2019-03-31T00:00:00"/>
    <n v="16"/>
    <s v="09_농업전문지"/>
    <n v="1.5"/>
    <d v="2019-04-12T00:00:00"/>
  </r>
  <r>
    <n v="1471"/>
    <s v="8_국립축산과학원"/>
    <s v="0_본원"/>
    <x v="13"/>
    <s v="정성훈"/>
    <m/>
    <s v="농협, ‘한우농가 축산현장’ 종합컨설팅 실시"/>
    <s v="투데이코리아"/>
    <d v="2019-04-11T00:00:00"/>
    <m/>
    <s v="13_인터넷포털"/>
    <n v="0.1"/>
    <d v="2019-04-12T00:00:00"/>
  </r>
  <r>
    <n v="1472"/>
    <s v="8_국립축산과학원"/>
    <s v="0_본원"/>
    <x v="2"/>
    <s v="박태완"/>
    <s v="보도자료35"/>
    <s v="축산정보서비스, ‘온라인 자문단’과 함께 만든다"/>
    <s v="에코타임스"/>
    <d v="2019-04-12T00:00:00"/>
    <m/>
    <s v="13_인터넷포털"/>
    <n v="0.1"/>
    <d v="2019-04-12T00:00:00"/>
  </r>
  <r>
    <n v="1473"/>
    <s v="8_국립축산과학원"/>
    <s v="0_본원"/>
    <x v="2"/>
    <s v="박태완"/>
    <s v="보도자료35"/>
    <s v="농진청, 국민 눈높이 ‘맞춤 축산 정보 서비스’ 제공"/>
    <s v="농업경제신문"/>
    <d v="2019-04-12T00:00:00"/>
    <m/>
    <s v="13_인터넷포털"/>
    <n v="0.1"/>
    <d v="2019-04-12T00:00:00"/>
  </r>
  <r>
    <n v="1474"/>
    <s v="8_국립축산과학원"/>
    <s v="0_본원"/>
    <x v="2"/>
    <s v="박태완"/>
    <s v="보도자료35"/>
    <s v="축산과학원, ‘온라인 자문단’과 함께 축산정보 제공"/>
    <s v="라이브뉴스"/>
    <d v="2019-04-12T00:00:00"/>
    <m/>
    <s v="13_인터넷포털"/>
    <n v="0.1"/>
    <d v="2019-04-12T00:00:00"/>
  </r>
  <r>
    <n v="1475"/>
    <s v="8_국립축산과학원"/>
    <s v="0_본원"/>
    <x v="4"/>
    <s v="천동원"/>
    <s v="기고"/>
    <s v="[기고] 천동원 소장-축산현장 애로기술 해결 위한 닭 키우기[100문 100답] Q31-33"/>
    <s v="축산신문"/>
    <d v="2019-04-12T00:00:00"/>
    <n v="15"/>
    <s v="17_농업전문지"/>
    <n v="8"/>
    <d v="2019-04-15T00:00:00"/>
  </r>
  <r>
    <n v="1476"/>
    <s v="8_국립축산과학원"/>
    <s v="1_축산생명환경부"/>
    <x v="9"/>
    <s v="권경석"/>
    <s v="기고"/>
    <s v="[기고] 권경석 연구사-축사 미세먼지와 작업자 건강"/>
    <s v="농수축산신문"/>
    <d v="2019-04-12T00:00:00"/>
    <n v="8"/>
    <s v="17_농업전문지"/>
    <n v="8"/>
    <d v="2019-04-15T00:00:00"/>
  </r>
  <r>
    <n v="1477"/>
    <s v="8_국립축산과학원"/>
    <s v="0_본원"/>
    <x v="2"/>
    <s v="박태완"/>
    <s v="보도자료35"/>
    <s v="축산정보서비스, ‘온라인 자문단’과 함께 만든다"/>
    <s v="서울신문"/>
    <d v="2019-04-12T00:00:00"/>
    <m/>
    <s v="07_중앙일간지"/>
    <n v="5"/>
    <d v="2019-04-15T00:00:00"/>
  </r>
  <r>
    <n v="1478"/>
    <s v="8_국립축산과학원"/>
    <s v="0_본원"/>
    <x v="4"/>
    <s v="천동원"/>
    <m/>
    <s v="풀무원 “2028년까지 ‘동물복지 달걀’로 100% 전환”"/>
    <s v="신아일보"/>
    <d v="2019-04-12T00:00:00"/>
    <n v="5"/>
    <s v="08_기타일간지"/>
    <n v="2"/>
    <d v="2019-04-15T00:00:00"/>
  </r>
  <r>
    <n v="1479"/>
    <s v="8_국립축산과학원"/>
    <s v="2_축산자원개발부"/>
    <x v="6"/>
    <s v="정종성"/>
    <s v="보도자료34"/>
    <s v="산지초지 방목 관리로 풀 생산성 높인다"/>
    <s v="축산신문"/>
    <d v="2019-04-12T00:00:00"/>
    <n v="3"/>
    <s v="09_농업전문지"/>
    <n v="1.5"/>
    <d v="2019-04-15T00:00:00"/>
  </r>
  <r>
    <n v="1480"/>
    <s v="8_국립축산과학원"/>
    <s v="2_축산자원개발부"/>
    <x v="8"/>
    <s v="최연호"/>
    <s v="보도자료31"/>
    <s v="고능력 젖소 정액 신청 접수"/>
    <s v="농촌여성신문"/>
    <d v="2019-04-08T00:00:00"/>
    <n v="4"/>
    <s v="09_농업전문지"/>
    <n v="1.5"/>
    <d v="2019-04-15T00:00:00"/>
  </r>
  <r>
    <n v="1481"/>
    <s v="8_국립축산과학원"/>
    <s v="2_축산자원개발부"/>
    <x v="8"/>
    <s v="최연호"/>
    <s v="보도자료31"/>
    <s v="농진청, 체형 우수젖소 정액 수입 추천"/>
    <s v="농축환경신문"/>
    <d v="2019-04-04T00:00:00"/>
    <n v="5"/>
    <s v="09_농업전문지"/>
    <n v="1.5"/>
    <d v="2019-04-15T00:00:00"/>
  </r>
  <r>
    <n v="1482"/>
    <s v="8_국립축산과학원"/>
    <s v="1_축산생명환경부"/>
    <x v="16"/>
    <s v="박종은"/>
    <s v="보도자료26"/>
    <s v="닭, 환경변화 따른 스트레스·면역 반응 차이 밝혀"/>
    <s v="축산신문"/>
    <d v="2019-04-12T00:00:00"/>
    <n v="7"/>
    <s v="09_농업전문지"/>
    <n v="1.5"/>
    <d v="2019-04-15T00:00:00"/>
  </r>
  <r>
    <n v="1483"/>
    <s v="8_국립축산과학원"/>
    <s v="2_축산자원개발부"/>
    <x v="8"/>
    <s v="김시동"/>
    <m/>
    <s v="“우리나라 젖소 개량기술 상당한 수준”"/>
    <s v="한국농어민신문"/>
    <d v="2019-04-12T00:00:00"/>
    <n v="19"/>
    <s v="09_농업전문지"/>
    <n v="1.5"/>
    <d v="2019-04-15T00:00:00"/>
  </r>
  <r>
    <n v="1484"/>
    <s v="8_국립축산과학원"/>
    <s v="2_축산자원개발부"/>
    <x v="8"/>
    <s v="김시동"/>
    <m/>
    <s v="한국형 젖소 육성…낙농 선진국으로 ‘성큼성큼’"/>
    <s v="한국농어민신문"/>
    <d v="2019-04-12T00:00:00"/>
    <n v="19"/>
    <s v="09_농업전문지"/>
    <n v="1.5"/>
    <d v="2019-04-15T00:00:00"/>
  </r>
  <r>
    <n v="1485"/>
    <s v="8_국립축산과학원"/>
    <s v="1_축산생명환경부"/>
    <x v="9"/>
    <s v="곽정훈"/>
    <m/>
    <s v="환경규제 강화 중 가축분뇨처리 어떻게 해야하나"/>
    <s v="농수축산신문"/>
    <d v="2019-04-12T00:00:00"/>
    <m/>
    <s v="09_농업전문지"/>
    <n v="1.5"/>
    <d v="2019-04-15T00:00:00"/>
  </r>
  <r>
    <n v="1486"/>
    <s v="8_국립축산과학원"/>
    <s v="0_본원"/>
    <x v="13"/>
    <s v="오형규"/>
    <m/>
    <s v="한우 사육 청년 농업인 육성한다"/>
    <s v="한국영농신문"/>
    <d v="2019-04-12T00:00:00"/>
    <m/>
    <s v="09_농업전문지"/>
    <n v="1.5"/>
    <d v="2019-04-15T00:00:00"/>
  </r>
  <r>
    <n v="1487"/>
    <s v="8_국립축산과학원"/>
    <s v="1_축산생명환경부"/>
    <x v="5"/>
    <s v="유자연"/>
    <s v="보도자료32"/>
    <s v="“목장형 자연 치즈 제주 기술 배워 봐요”"/>
    <s v="한국영농신문"/>
    <d v="2019-04-12T00:00:00"/>
    <m/>
    <s v="09_농업전문지"/>
    <n v="1.5"/>
    <d v="2019-04-15T00:00:00"/>
  </r>
  <r>
    <n v="1488"/>
    <s v="8_국립축산과학원"/>
    <s v="1_축산생명환경부"/>
    <x v="9"/>
    <s v="김종복"/>
    <s v="보도자료33"/>
    <s v="‘스마트 축산’, 축산업 경쟁력 높인다"/>
    <s v="한국영농신문"/>
    <d v="2019-04-13T00:00:00"/>
    <m/>
    <s v="09_농업전문지"/>
    <n v="1.5"/>
    <d v="2019-04-15T00:00:00"/>
  </r>
  <r>
    <n v="1489"/>
    <s v="8_국립축산과학원"/>
    <s v="1_축산생명환경부"/>
    <x v="7"/>
    <s v="김상호"/>
    <m/>
    <s v="“북한서 한창인 ‘부업축산’…남북협력 마중물로 삼자”"/>
    <s v="농민신문"/>
    <d v="2019-04-15T00:00:00"/>
    <m/>
    <s v="09_농업전문지"/>
    <n v="1.5"/>
    <d v="2019-04-15T00:00:00"/>
  </r>
  <r>
    <n v="1490"/>
    <s v="8_국립축산과학원"/>
    <s v="0_본원"/>
    <x v="2"/>
    <s v="박태완"/>
    <s v="보도자료35"/>
    <s v="농진청, 국민 눈높이에 맞는 축산정보 시스템 제공...‘온라인 자문단’ 위촉"/>
    <s v="투데이코리아"/>
    <d v="2019-04-12T00:00:00"/>
    <m/>
    <s v="13_인터넷포털"/>
    <n v="0.1"/>
    <d v="2019-04-15T00:00:00"/>
  </r>
  <r>
    <n v="1491"/>
    <s v="8_국립축산과학원"/>
    <s v="0_본원"/>
    <x v="13"/>
    <s v="정성훈"/>
    <m/>
    <s v="농협 한우농가 맞춤형 종합컨설팅 실시"/>
    <s v="여성소비자신문"/>
    <d v="2019-04-12T00:00:00"/>
    <m/>
    <s v="13_인터넷포털"/>
    <n v="0.1"/>
    <d v="2019-04-15T00:00:00"/>
  </r>
  <r>
    <n v="1492"/>
    <s v="8_국립축산과학원"/>
    <s v="0_본원"/>
    <x v="2"/>
    <s v="박태완"/>
    <s v="보도자료35"/>
    <s v="축산과학원, 축산정보 제공 위한 ‘온라인 자문단’ 위촉"/>
    <s v="국제뉴스"/>
    <d v="2019-04-14T00:00:00"/>
    <m/>
    <s v="13_인터넷포털"/>
    <n v="0.1"/>
    <d v="2019-04-15T00:00:00"/>
  </r>
  <r>
    <n v="1493"/>
    <s v="8_국립축산과학원"/>
    <s v="0_본원"/>
    <x v="13"/>
    <s v="정성훈"/>
    <m/>
    <s v="농협, 한우농가 맞춤형 종합컨설팅..일대일 상담으로 축산현장 애로사항 해결!"/>
    <s v="한국정경신문"/>
    <d v="2019-04-14T00:00:00"/>
    <m/>
    <s v="13_인터넷포털"/>
    <n v="0.1"/>
    <d v="2019-04-15T00:00:00"/>
  </r>
  <r>
    <n v="1494"/>
    <s v="8_국립축산과학원"/>
    <s v="0_본원"/>
    <x v="2"/>
    <s v="박태완"/>
    <s v="보도자료35"/>
    <s v="농진청, 축산 정보 제공 ‘온라인 자문단’ 본격 운영"/>
    <s v="팜인사이트"/>
    <d v="2019-04-15T00:00:00"/>
    <m/>
    <s v="13_인터넷포털"/>
    <n v="0.1"/>
    <d v="2019-04-15T00:00:00"/>
  </r>
  <r>
    <n v="1495"/>
    <s v="8_국립축산과학원"/>
    <s v="1_축산생명환경부"/>
    <x v="7"/>
    <s v="백열창"/>
    <s v="보도자료36"/>
    <s v="농진청, 한우사양표준 사료배합프로그램 개선"/>
    <s v="라이브뉴스"/>
    <d v="2019-04-15T00:00:00"/>
    <m/>
    <s v="13_인터넷포털"/>
    <n v="0.1"/>
    <d v="2019-04-15T00:00:00"/>
  </r>
  <r>
    <n v="1496"/>
    <s v="8_국립축산과학원"/>
    <s v="0_본원"/>
    <x v="14"/>
    <s v="장선식"/>
    <s v="기고"/>
    <s v="[기고] 장선식 연구사-‘한국가축사양표준 한우’의 의미와 활용방안"/>
    <s v="전북타임스"/>
    <d v="2019-04-15T00:00:00"/>
    <n v="15"/>
    <s v="17_지방일간지"/>
    <n v="8"/>
    <d v="2019-04-16T00:00:00"/>
  </r>
  <r>
    <n v="1497"/>
    <s v="8_국립축산과학원"/>
    <s v="1_축산생명환경부"/>
    <x v="5"/>
    <s v="김진형"/>
    <m/>
    <s v="축산도 6차산업화...‘가공.체험으로 승부’(뉴스9)"/>
    <s v="KBS안동"/>
    <d v="2019-04-12T00:00:00"/>
    <m/>
    <s v="02_TV-지방"/>
    <n v="4"/>
    <d v="2019-04-16T00:00:00"/>
  </r>
  <r>
    <n v="1498"/>
    <s v="8_국립축산과학원"/>
    <s v="2_축산자원개발부"/>
    <x v="6"/>
    <s v="정종성"/>
    <s v="보도자료34"/>
    <s v="산지초지 방목 관리로 질 좋고 생산성 높여"/>
    <s v="농업인신문"/>
    <d v="2019-04-15T00:00:00"/>
    <n v="5"/>
    <s v="09_농업전문지"/>
    <n v="1.5"/>
    <d v="2019-04-16T00:00:00"/>
  </r>
  <r>
    <n v="1499"/>
    <s v="8_국립축산과학원"/>
    <s v="0_본원"/>
    <x v="2"/>
    <s v="박태완"/>
    <s v="보도자료35"/>
    <s v="축산정보서비스, ‘온라인 자문단’과 함께 만든다"/>
    <s v="농업인신문"/>
    <d v="2019-04-15T00:00:00"/>
    <n v="5"/>
    <s v="09_농업전문지"/>
    <n v="1.5"/>
    <d v="2019-04-16T00:00:00"/>
  </r>
  <r>
    <n v="1500"/>
    <s v="8_국립축산과학원"/>
    <s v="0_본원"/>
    <x v="13"/>
    <s v="오형규"/>
    <m/>
    <s v="한우 사육 청년농업인 육성 미래발전 도모"/>
    <s v="농업정보신문"/>
    <d v="2019-04-08T00:00:00"/>
    <n v="9"/>
    <s v="09_농업전문지"/>
    <n v="1.5"/>
    <d v="2019-04-16T00:00:00"/>
  </r>
  <r>
    <n v="1501"/>
    <s v="8_국립축산과학원"/>
    <s v="1_축산생명환경부"/>
    <x v="9"/>
    <s v="김종복"/>
    <s v="보도자료33"/>
    <s v="노동력 줄이고 효율은 업! ‘스마트 축산’ 본격화"/>
    <s v="농업정보신문"/>
    <d v="2019-04-08T00:00:00"/>
    <n v="6"/>
    <s v="09_농업전문지"/>
    <n v="1.5"/>
    <d v="2019-04-16T00:00:00"/>
  </r>
  <r>
    <n v="1502"/>
    <s v="8_국립축산과학원"/>
    <s v="2_축산자원개발부"/>
    <x v="6"/>
    <s v="정종성"/>
    <s v="보도자료34"/>
    <s v="산지초지 방목 관리로 질 좋은 풀 생산성 향상"/>
    <s v="농축유통신문"/>
    <d v="2019-04-12T00:00:00"/>
    <m/>
    <s v="09_농업전문지"/>
    <n v="1.5"/>
    <d v="2019-04-16T00:00:00"/>
  </r>
  <r>
    <n v="1503"/>
    <s v="8_국립축산과학원"/>
    <s v="2_축산자원개발부"/>
    <x v="6"/>
    <s v="정종성"/>
    <s v="보도자료34"/>
    <s v="산지초지 방목 관리로 질 좋은 풀 생산성 높여요"/>
    <s v="정책브리핑"/>
    <d v="2019-04-09T00:00:00"/>
    <m/>
    <s v="12_대한민국 정책포털(korea.kr)"/>
    <n v="1"/>
    <d v="2019-04-16T00:00:00"/>
  </r>
  <r>
    <n v="1504"/>
    <s v="8_국립축산과학원"/>
    <s v="0_본원"/>
    <x v="2"/>
    <s v="박태완"/>
    <s v="보도자료35"/>
    <s v="축산정보서비스, ‘온라인 자문단’과 함께 만든다"/>
    <s v="정책브리핑"/>
    <d v="2019-04-12T00:00:00"/>
    <m/>
    <s v="12_대한민국 정책포털(korea.kr)"/>
    <n v="1"/>
    <d v="2019-04-16T00:00:00"/>
  </r>
  <r>
    <n v="1505"/>
    <s v="8_국립축산과학원"/>
    <s v="0_본원"/>
    <x v="2"/>
    <s v="박태완"/>
    <s v="보도자료35"/>
    <s v="축산정보서비스, “온라인 자문단” 운영"/>
    <s v="식약일보"/>
    <d v="2019-04-11T00:00:00"/>
    <m/>
    <s v="10_기타전문지"/>
    <n v="1"/>
    <d v="2019-04-16T00:00:00"/>
  </r>
  <r>
    <n v="1506"/>
    <s v="8_국립축산과학원"/>
    <s v="1_축산생명환경부"/>
    <x v="7"/>
    <s v="백열창"/>
    <s v="보도자료36"/>
    <s v="한우사양표준 사료배합 프로그램 개선"/>
    <s v="식약일보"/>
    <d v="2019-04-16T00:00:00"/>
    <m/>
    <s v="10_기타전문지"/>
    <n v="1"/>
    <d v="2019-04-16T00:00:00"/>
  </r>
  <r>
    <n v="1507"/>
    <s v="8_국립축산과학원"/>
    <s v="2_축산자원개발부"/>
    <x v="6"/>
    <s v="정종성"/>
    <s v="보도자료34"/>
    <s v="산지초지 방목 관리로 질 좋은 풀 생산성 높여요"/>
    <s v="국토매일"/>
    <d v="2019-04-09T00:00:00"/>
    <m/>
    <s v="13_인터넷포털"/>
    <n v="0.1"/>
    <d v="2019-04-16T00:00:00"/>
  </r>
  <r>
    <n v="1508"/>
    <s v="8_국립축산과학원"/>
    <s v="2_축산자원개발부"/>
    <x v="6"/>
    <s v="정종성"/>
    <s v="보도자료34"/>
    <s v="산지초지 방목 관리로 질 좋은 풀 생산성 높여요"/>
    <s v="정필"/>
    <d v="2019-04-09T00:00:00"/>
    <m/>
    <s v="13_인터넷포털"/>
    <n v="0.1"/>
    <d v="2019-04-16T00:00:00"/>
  </r>
  <r>
    <n v="1509"/>
    <s v="8_국립축산과학원"/>
    <s v="2_축산자원개발부"/>
    <x v="6"/>
    <s v="정종성"/>
    <s v="보도자료34"/>
    <s v="산지초지 방목 관리로 질 좋은 풀 생산성 높여요"/>
    <s v="굿뉴스365"/>
    <d v="2019-04-09T00:00:00"/>
    <m/>
    <s v="13_인터넷포털"/>
    <n v="0.1"/>
    <d v="2019-04-16T00:00:00"/>
  </r>
  <r>
    <n v="1510"/>
    <s v="8_국립축산과학원"/>
    <s v="0_본원"/>
    <x v="2"/>
    <s v="박태완"/>
    <s v="보도자료35"/>
    <s v="축산정보서비스, ‘온라인 자문단’과 함께 만든다"/>
    <s v="한국내츄럴타임즈"/>
    <d v="2019-04-12T00:00:00"/>
    <m/>
    <s v="13_인터넷포털"/>
    <n v="0.1"/>
    <d v="2019-04-16T00:00:00"/>
  </r>
  <r>
    <n v="1511"/>
    <s v="8_국립축산과학원"/>
    <s v="0_본원"/>
    <x v="2"/>
    <s v="박태완"/>
    <s v="보도자료35"/>
    <s v="축산정보서비스, ‘온라인 자문단’과 함께 만든다"/>
    <s v="굿뉴스365"/>
    <d v="2019-04-12T00:00:00"/>
    <m/>
    <s v="13_인터넷포털"/>
    <n v="0.1"/>
    <d v="2019-04-16T00:00:00"/>
  </r>
  <r>
    <n v="1512"/>
    <s v="8_국립축산과학원"/>
    <s v="0_본원"/>
    <x v="2"/>
    <s v="박태완"/>
    <s v="보도자료35"/>
    <s v="축산정보서비스, ‘온라인 자문단’과 함께 만든다"/>
    <s v="현장뉴스"/>
    <d v="2019-04-12T00:00:00"/>
    <m/>
    <s v="13_인터넷포털"/>
    <n v="0.1"/>
    <d v="2019-04-16T00:00:00"/>
  </r>
  <r>
    <n v="1513"/>
    <s v="8_국립축산과학원"/>
    <s v="0_본원"/>
    <x v="4"/>
    <s v="천동원"/>
    <s v="기고"/>
    <s v="[기고] 천동원 소장-축산현장 애로기술 해결 위한 닭 키우기[100문 100답] Q34-36"/>
    <s v="축산신문"/>
    <d v="2019-04-16T00:00:00"/>
    <n v="15"/>
    <s v="17_농업전문지"/>
    <n v="8"/>
    <d v="2019-04-17T00:00:00"/>
  </r>
  <r>
    <n v="1514"/>
    <s v="8_국립축산과학원"/>
    <s v="1_축산생명환경부"/>
    <x v="9"/>
    <s v="전중환"/>
    <s v="기고"/>
    <s v="[기고] 전중환 연구사-양돈농장 인증 기준"/>
    <s v="축산신문"/>
    <d v="2019-04-16T00:00:00"/>
    <n v="15"/>
    <s v="17_농업전문지"/>
    <n v="8"/>
    <d v="2019-04-17T00:00:00"/>
  </r>
  <r>
    <n v="1515"/>
    <s v="8_국립축산과학원"/>
    <s v="1_축산생명환경부"/>
    <x v="7"/>
    <s v="백열창"/>
    <s v="보도자료36"/>
    <s v="“더 똑똑해졌네?” 한우 사료 쉽게 만드세요!"/>
    <s v="서울신문"/>
    <d v="2019-04-16T00:00:00"/>
    <m/>
    <s v="07_중앙일간지"/>
    <n v="5"/>
    <d v="2019-04-17T00:00:00"/>
  </r>
  <r>
    <n v="1516"/>
    <s v="8_국립축산과학원"/>
    <s v="1_축산생명환경부"/>
    <x v="5"/>
    <s v="유자연"/>
    <s v="보도자료32"/>
    <s v="“목장형 자연치즈 제조 기술, 함께 배워봐요”"/>
    <s v="축산신문"/>
    <d v="2019-04-16T00:00:00"/>
    <n v="5"/>
    <s v="09_농업전문지"/>
    <n v="1.5"/>
    <d v="2019-04-17T00:00:00"/>
  </r>
  <r>
    <n v="1517"/>
    <s v="8_국립축산과학원"/>
    <s v="0_본원"/>
    <x v="13"/>
    <s v="정성훈"/>
    <m/>
    <s v="맞춤형 1:1 컨설팅…농가 현장애로 해결"/>
    <s v="축산신문"/>
    <d v="2019-04-16T00:00:00"/>
    <n v="3"/>
    <s v="09_농업전문지"/>
    <n v="1.5"/>
    <d v="2019-04-17T00:00:00"/>
  </r>
  <r>
    <n v="1518"/>
    <s v="8_국립축산과학원"/>
    <s v="1_축산생명환경부"/>
    <x v="9"/>
    <s v="김종복"/>
    <s v="보도자료33"/>
    <s v="“ICT 장치 데이터 통합 스마트축산, 생산성 향상 도움”"/>
    <s v="한국농어민신문"/>
    <d v="2019-04-16T00:00:00"/>
    <n v="11"/>
    <s v="09_농업전문지"/>
    <n v="1.5"/>
    <d v="2019-04-17T00:00:00"/>
  </r>
  <r>
    <n v="1519"/>
    <s v="8_국립축산과학원"/>
    <s v="2_축산자원개발부"/>
    <x v="6"/>
    <s v="정종성"/>
    <s v="보도자료34"/>
    <s v="산지초지 ‘방목관리로 풀 생산성 높여야’"/>
    <s v="농축환경신문"/>
    <d v="2019-04-11T00:00:00"/>
    <n v="4"/>
    <s v="09_농업전문지"/>
    <n v="1.5"/>
    <d v="2019-04-17T00:00:00"/>
  </r>
  <r>
    <n v="1520"/>
    <s v="8_국립축산과학원"/>
    <s v="1_축산생명환경부"/>
    <x v="7"/>
    <s v="김상호"/>
    <m/>
    <s v="북한 부업축산 협력 방안 논의"/>
    <s v="축산신문"/>
    <d v="2019-04-16T00:00:00"/>
    <n v="3"/>
    <s v="09_농업전문지"/>
    <n v="1.5"/>
    <d v="2019-04-17T00:00:00"/>
  </r>
  <r>
    <n v="1521"/>
    <s v="8_국립축산과학원"/>
    <s v="1_축산생명환경부"/>
    <x v="7"/>
    <s v="백열창"/>
    <s v="보도자료36"/>
    <s v="“한우 사료 쉽게 만드는 법 알려 드려요”"/>
    <s v="한국영농신문"/>
    <d v="2019-04-16T00:00:00"/>
    <m/>
    <s v="09_농업전문지"/>
    <n v="1.5"/>
    <d v="2019-04-17T00:00:00"/>
  </r>
  <r>
    <n v="1522"/>
    <s v="8_국립축산과학원"/>
    <s v="0_본원"/>
    <x v="2"/>
    <s v="박태완"/>
    <s v="보도자료35"/>
    <s v="축산정보서비스, ‘온라인 자문단’과 함께 만든다"/>
    <s v="한국농촌경제신문"/>
    <d v="2019-04-16T00:00:00"/>
    <m/>
    <s v="09_농업전문지"/>
    <n v="1.5"/>
    <d v="2019-04-17T00:00:00"/>
  </r>
  <r>
    <n v="1523"/>
    <s v="8_국립축산과학원"/>
    <s v="1_축산생명환경부"/>
    <x v="7"/>
    <s v="백열창"/>
    <s v="보도자료36"/>
    <s v="“더 똑똑해졌네?” 한우 사료 쉽게 만드세요!"/>
    <s v="삼남일보"/>
    <d v="2019-04-16T00:00:00"/>
    <n v="5"/>
    <s v="09_지방일간지"/>
    <n v="1.5"/>
    <d v="2019-04-17T00:00:00"/>
  </r>
  <r>
    <n v="1524"/>
    <s v="8_국립축산과학원"/>
    <s v="1_축산생명환경부"/>
    <x v="7"/>
    <s v="백열창"/>
    <s v="보도자료36"/>
    <s v="농진청 “한우사료 배합 더 쉬워졌어요”"/>
    <s v="전북중앙"/>
    <d v="2019-04-16T00:00:00"/>
    <n v="6"/>
    <s v="09_지방일간지"/>
    <n v="1.5"/>
    <d v="2019-04-17T00:00:00"/>
  </r>
  <r>
    <n v="1525"/>
    <s v="8_국립축산과학원"/>
    <s v="1_축산생명환경부"/>
    <x v="7"/>
    <s v="백열창"/>
    <s v="보도자료36"/>
    <s v="‘한우사료’ 이제는 손쉽게 만들어보세요"/>
    <s v="농업경제신문"/>
    <d v="2019-04-17T00:00:00"/>
    <m/>
    <s v="13_인터넷포털"/>
    <n v="0.1"/>
    <d v="2019-04-17T00:00:00"/>
  </r>
  <r>
    <n v="1526"/>
    <s v="8_국립축산과학원"/>
    <s v="2_축산자원개발부"/>
    <x v="0"/>
    <s v="문홍길"/>
    <m/>
    <s v="“재래돼지 통해 소농이 유지되는 새로운 대안 찾겠다”"/>
    <s v="한국농정신문"/>
    <d v="2019-04-15T00:00:00"/>
    <n v="2"/>
    <s v="09_농업전문지"/>
    <n v="1.5"/>
    <d v="2019-04-18T00:00:00"/>
  </r>
  <r>
    <n v="1527"/>
    <s v="8_국립축산과학원"/>
    <s v="2_축산자원개발부"/>
    <x v="0"/>
    <s v="홍준기"/>
    <m/>
    <s v="돼지산업 패러다임 전환될까"/>
    <s v="한국농정신문"/>
    <d v="2019-04-15T00:00:00"/>
    <n v="2"/>
    <s v="09_농업전문지"/>
    <n v="1.5"/>
    <d v="2019-04-18T00:00:00"/>
  </r>
  <r>
    <n v="1528"/>
    <s v="8_국립축산과학원"/>
    <s v="1_축산생명환경부"/>
    <x v="7"/>
    <s v="백열창"/>
    <s v="보도자료36"/>
    <s v="‘한우사료배합프로그램’, 최신정보 수록 개선"/>
    <s v="전업농신문"/>
    <d v="2019-04-17T00:00:00"/>
    <m/>
    <s v="09_농업전문지"/>
    <n v="1.5"/>
    <d v="2019-04-18T00:00:00"/>
  </r>
  <r>
    <n v="1529"/>
    <s v="8_국립축산과학원"/>
    <s v="1_축산생명환경부"/>
    <x v="7"/>
    <s v="백열창"/>
    <s v="보도자료36"/>
    <s v="“더 똑똑해졌네?” 한우 사료 쉽게 만드세요!"/>
    <s v="한국농촌경제신문"/>
    <d v="2019-04-17T00:00:00"/>
    <m/>
    <s v="09_농업전문지"/>
    <n v="1.5"/>
    <d v="2019-04-18T00:00:00"/>
  </r>
  <r>
    <n v="1530"/>
    <s v="8_국립축산과학원"/>
    <s v="2_축산자원개발부"/>
    <x v="6"/>
    <s v="정종성"/>
    <s v="보도자료34"/>
    <s v="초지에 가축 방목하면 노동력·사료비 절감"/>
    <s v="한우신문"/>
    <d v="2019-04-16T00:00:00"/>
    <n v="4"/>
    <s v="10_기타전문지"/>
    <n v="1"/>
    <d v="2019-04-18T00:00:00"/>
  </r>
  <r>
    <n v="1531"/>
    <s v="8_국립축산과학원"/>
    <s v="0_본원"/>
    <x v="14"/>
    <s v="한만희"/>
    <m/>
    <s v="허약한 송아지 비타민 A,D,E 등 주사…저항성 키워야"/>
    <s v="한우신문"/>
    <d v="2019-04-16T00:00:00"/>
    <n v="12"/>
    <s v="10_기타전문지"/>
    <n v="1"/>
    <d v="2019-04-18T00:00:00"/>
  </r>
  <r>
    <n v="1532"/>
    <s v="8_국립축산과학원"/>
    <s v="1_축산생명환경부"/>
    <x v="9"/>
    <s v="김종복"/>
    <s v="보도자료33"/>
    <s v="‘스마트축산’ 농가 편의성·생산성 향상 효과 확인"/>
    <s v="한우신문"/>
    <d v="2019-04-16T00:00:00"/>
    <n v="15"/>
    <s v="10_기타전문지"/>
    <n v="1"/>
    <d v="2019-04-18T00:00:00"/>
  </r>
  <r>
    <n v="1533"/>
    <s v="8_국립축산과학원"/>
    <s v="1_축산생명환경부"/>
    <x v="9"/>
    <s v="김종복"/>
    <s v="보도자료33"/>
    <s v="스마트 축산, 정밀 관리로 경쟁력 강화"/>
    <s v="낙농신문"/>
    <d v="2019-04-18T00:00:00"/>
    <n v="5"/>
    <s v="10_기타전문지"/>
    <n v="1"/>
    <d v="2019-04-18T00:00:00"/>
  </r>
  <r>
    <n v="1534"/>
    <s v="8_국립축산과학원"/>
    <s v="1_축산생명환경부"/>
    <x v="5"/>
    <s v="유자연"/>
    <s v="보도자료32"/>
    <s v="목장형 자연치즈 워크숍 6월 개최"/>
    <s v="낙농신문"/>
    <d v="2019-04-18T00:00:00"/>
    <n v="5"/>
    <s v="10_기타전문지"/>
    <n v="1"/>
    <d v="2019-04-18T00:00:00"/>
  </r>
  <r>
    <n v="1535"/>
    <s v="8_국립축산과학원"/>
    <s v="2_축산자원개발부"/>
    <x v="12"/>
    <s v="기광석"/>
    <m/>
    <s v="망간 결핍, 불임·수태율 저하·유산 발생"/>
    <s v="낙농신문"/>
    <d v="2019-04-18T00:00:00"/>
    <n v="13"/>
    <s v="10_기타전문지"/>
    <n v="1"/>
    <d v="2019-04-18T00:00:00"/>
  </r>
  <r>
    <n v="1536"/>
    <s v="8_국립축산과학원"/>
    <s v="1_축산생명환경부"/>
    <x v="7"/>
    <s v="백열창"/>
    <s v="보도자료36"/>
    <s v="“더 똑똑해졌네?” 한우 사료 쉽게 만드세요!"/>
    <s v="정책브리핑"/>
    <d v="2019-04-16T00:00:00"/>
    <m/>
    <s v="12_대한민국 정책포털(korea.kr)"/>
    <n v="1"/>
    <d v="2019-04-18T00:00:00"/>
  </r>
  <r>
    <n v="1537"/>
    <s v="8_국립축산과학원"/>
    <s v="1_축산생명환경부"/>
    <x v="9"/>
    <s v="정광화"/>
    <m/>
    <s v="정읍 최낙삼 시의장, 김해시 공동자원화센터 방문"/>
    <s v="정읍시사"/>
    <d v="2019-04-18T00:00:00"/>
    <m/>
    <s v="11_기타(지역주간지)"/>
    <n v="0.5"/>
    <d v="2019-04-18T00:00:00"/>
  </r>
  <r>
    <n v="1538"/>
    <s v="8_국립축산과학원"/>
    <s v="1_축산생명환경부"/>
    <x v="7"/>
    <s v="백열창"/>
    <s v="보도자료36"/>
    <s v="한우 사료 쉽게 만드는 법"/>
    <s v="마켓뉴스"/>
    <d v="2019-04-16T00:00:00"/>
    <m/>
    <s v="13_인터넷포털"/>
    <n v="0.1"/>
    <d v="2019-04-18T00:00:00"/>
  </r>
  <r>
    <n v="1539"/>
    <s v="8_국립축산과학원"/>
    <s v="0_본원"/>
    <x v="2"/>
    <s v="이근석"/>
    <m/>
    <s v="축산·가축질병분야 특허기술설명회 개최"/>
    <s v="팜&amp;마켓매거진"/>
    <d v="2019-04-19T00:00:00"/>
    <m/>
    <s v="09_농업전문지"/>
    <n v="1.5"/>
    <d v="2019-04-19T00:00:00"/>
  </r>
  <r>
    <n v="1540"/>
    <s v="8_국립축산과학원"/>
    <s v="0_본원"/>
    <x v="2"/>
    <s v="이근석"/>
    <m/>
    <s v="축산·가축질병분야 특허기술설명회 개최"/>
    <s v="전업농신문"/>
    <d v="2019-04-19T00:00:00"/>
    <m/>
    <s v="09_농업전문지"/>
    <n v="1.5"/>
    <d v="2019-04-19T00:00:00"/>
  </r>
  <r>
    <n v="1541"/>
    <s v="8_국립축산과학원"/>
    <s v="1_축산생명환경부"/>
    <x v="7"/>
    <s v="백열창"/>
    <s v="보도자료36"/>
    <s v="한우사양표준 사료배합 쉽게 만드세요!"/>
    <s v="농업인신문"/>
    <d v="2019-04-19T00:00:00"/>
    <m/>
    <s v="09_농업전문지"/>
    <n v="1.5"/>
    <d v="2019-04-19T00:00:00"/>
  </r>
  <r>
    <n v="1542"/>
    <s v="8_국립축산과학원"/>
    <s v="2_축산자원개발부"/>
    <x v="6"/>
    <s v="최기준"/>
    <m/>
    <s v="강원도, 조사료 자급율 향상을 위한 논에서 사료작물 재배 및 이용 교육"/>
    <s v="뉴스후"/>
    <d v="2019-04-18T00:00:00"/>
    <m/>
    <s v="13_인터넷포털"/>
    <n v="0.1"/>
    <d v="2019-04-19T00:00:00"/>
  </r>
  <r>
    <n v="1543"/>
    <s v="8_국립축산과학원"/>
    <s v="2_축산자원개발부"/>
    <x v="6"/>
    <s v="최기준"/>
    <m/>
    <s v="강원도, 조사료 자급율 향상을 위한 논에서 사료작물 재배 및 이용 교육"/>
    <s v="중부뉴스통신"/>
    <d v="2019-04-18T00:00:00"/>
    <m/>
    <s v="13_인터넷포털"/>
    <n v="0.1"/>
    <d v="2019-04-19T00:00:00"/>
  </r>
  <r>
    <n v="1544"/>
    <s v="8_국립축산과학원"/>
    <s v="2_축산자원개발부"/>
    <x v="6"/>
    <s v="최기준"/>
    <m/>
    <s v="강원도, 조사료 자급율 향상을 위한 논에서 사료작물 재배 및 이용 교육"/>
    <s v="강원경제신문"/>
    <d v="2019-04-18T00:00:00"/>
    <m/>
    <s v="13_인터넷포털"/>
    <n v="0.1"/>
    <d v="2019-04-19T00:00:00"/>
  </r>
  <r>
    <n v="1545"/>
    <s v="8_국립축산과학원"/>
    <s v="0_본원"/>
    <x v="2"/>
    <s v="이근석"/>
    <m/>
    <s v="농림축산검역본부, 농업기술실용화재단·농진청 국립축산과학원과 공동으로 특허 설명회 개최"/>
    <s v="한국공보뉴스"/>
    <d v="2019-04-18T00:00:00"/>
    <m/>
    <s v="13_인터넷포털"/>
    <n v="0.1"/>
    <d v="2019-04-19T00:00:00"/>
  </r>
  <r>
    <n v="1546"/>
    <s v="8_국립축산과학원"/>
    <s v="0_본원"/>
    <x v="2"/>
    <s v="이근석"/>
    <m/>
    <s v="농진청, 검역본부, 실용화재단 공동 특허설명회"/>
    <s v="보건뉴스"/>
    <d v="2019-04-19T00:00:00"/>
    <m/>
    <s v="13_인터넷포털"/>
    <n v="0.1"/>
    <d v="2019-04-19T00:00:00"/>
  </r>
  <r>
    <n v="1547"/>
    <s v="8_국립축산과학원"/>
    <s v="0_본원"/>
    <x v="2"/>
    <s v="이근석"/>
    <m/>
    <s v="23일 축산·가축질병분야 특허기술설명회 개최"/>
    <s v="라이브뉴스"/>
    <d v="2019-04-19T00:00:00"/>
    <m/>
    <s v="13_인터넷포털"/>
    <n v="0.1"/>
    <d v="2019-04-19T00:00:00"/>
  </r>
  <r>
    <n v="1548"/>
    <s v="8_국립축산과학원"/>
    <s v="0_본원"/>
    <x v="4"/>
    <s v="천동원"/>
    <s v="기고"/>
    <s v="[기고] 천동원 소장-축산현장 애로기술 해결 위한 닭 키우기[100문 100답] Q37"/>
    <s v="축산신문"/>
    <d v="2019-04-19T00:00:00"/>
    <n v="15"/>
    <s v="17_농업전문지"/>
    <n v="8"/>
    <d v="2019-04-22T00:00:00"/>
  </r>
  <r>
    <n v="1549"/>
    <s v="8_국립축산과학원"/>
    <s v="2_축산자원개발부"/>
    <x v="6"/>
    <s v="정종성"/>
    <s v="보도자료34"/>
    <s v="초지 방목 관리로 질 좋은 풀 생산성 제고"/>
    <s v="환경일보"/>
    <d v="2019-04-19T00:00:00"/>
    <n v="4"/>
    <s v="08_기타일간지"/>
    <n v="2"/>
    <d v="2019-04-22T00:00:00"/>
  </r>
  <r>
    <n v="1550"/>
    <s v="8_국립축산과학원"/>
    <s v="0_본원"/>
    <x v="10"/>
    <s v="김남영"/>
    <m/>
    <s v="한국형 승용마 ‘한라마’ 방목현장(포토뉴스)"/>
    <s v="축산신문"/>
    <d v="2019-04-19T00:00:00"/>
    <n v="1"/>
    <s v="09_농업전문지"/>
    <n v="1.5"/>
    <d v="2019-04-22T00:00:00"/>
  </r>
  <r>
    <n v="1551"/>
    <s v="8_국립축산과학원"/>
    <s v="0_본원"/>
    <x v="13"/>
    <s v="정성훈"/>
    <m/>
    <s v="농가 맞춤형 종합 컨설팅"/>
    <s v="축산경제"/>
    <d v="2019-04-15T00:00:00"/>
    <n v="11"/>
    <s v="09_농업전문지"/>
    <n v="1.5"/>
    <d v="2019-04-22T00:00:00"/>
  </r>
  <r>
    <n v="1552"/>
    <s v="8_국립축산과학원"/>
    <s v="0_본원"/>
    <x v="2"/>
    <s v="이근석"/>
    <m/>
    <s v="검역본부·축과원, 축산 특허기술설명회 개최"/>
    <s v="농수축산신문"/>
    <d v="2019-04-21T00:00:00"/>
    <m/>
    <s v="09_농업전문지"/>
    <n v="1.5"/>
    <d v="2019-04-22T00:00:00"/>
  </r>
  <r>
    <n v="1553"/>
    <s v="8_국립축산과학원"/>
    <s v="2_축산자원개발부"/>
    <x v="6"/>
    <s v="지희정"/>
    <s v="보도자료37"/>
    <s v="농진청, 국산 풀사료 ‘그린콜 2호’ 개발"/>
    <s v="전업농신문"/>
    <d v="2019-04-22T00:00:00"/>
    <m/>
    <s v="09_농업전문지"/>
    <n v="1.5"/>
    <d v="2019-04-22T00:00:00"/>
  </r>
  <r>
    <n v="1554"/>
    <s v="8_국립축산과학원"/>
    <s v="2_축산자원개발부"/>
    <x v="6"/>
    <s v="지희정"/>
    <s v="보도자료37"/>
    <s v="국내산 풀사료 “그린콜 2호” 개발"/>
    <s v="식약일보"/>
    <d v="2019-04-22T00:00:00"/>
    <m/>
    <s v="10_기타전문지"/>
    <n v="1"/>
    <d v="2019-04-22T00:00:00"/>
  </r>
  <r>
    <n v="1555"/>
    <s v="8_국립축산과학원"/>
    <s v="2_축산자원개발부"/>
    <x v="6"/>
    <s v="지희정"/>
    <s v="보도자료37"/>
    <s v="우리 기후에 딱! 국내산 풀사료 ‘그린콜 2호’ 개발"/>
    <s v="전남인터넷신문"/>
    <d v="2019-04-22T00:00:00"/>
    <m/>
    <s v="13_인터넷포털"/>
    <n v="0.1"/>
    <d v="2019-04-22T00:00:00"/>
  </r>
  <r>
    <n v="1556"/>
    <s v="8_국립축산과학원"/>
    <s v="2_축산자원개발부"/>
    <x v="12"/>
    <s v="최희철"/>
    <s v="기고"/>
    <s v="[기고] 최희철 연구관-소 젖은 누가 짜나? 로봇이 짜지!"/>
    <s v="전북타임스"/>
    <d v="2019-04-22T00:00:00"/>
    <n v="15"/>
    <s v="17_지방일간지"/>
    <n v="8"/>
    <d v="2019-04-23T00:00:00"/>
  </r>
  <r>
    <n v="1557"/>
    <s v="8_국립축산과학원"/>
    <s v="0_본원"/>
    <x v="13"/>
    <s v="유지현"/>
    <m/>
    <s v="동물과 교감해요(포토뉴스)"/>
    <s v="아시아투데이"/>
    <d v="2019-04-23T00:00:00"/>
    <n v="29"/>
    <s v="07_중앙일간지"/>
    <n v="5"/>
    <d v="2019-04-23T00:00:00"/>
  </r>
  <r>
    <n v="1558"/>
    <s v="8_국립축산과학원"/>
    <s v="0_본원"/>
    <x v="13"/>
    <s v="유지현"/>
    <m/>
    <s v="‘동물과 교감해요’ 학교깡총 시범학교(포토뉴스)"/>
    <s v="뉴스1"/>
    <d v="2019-04-22T00:00:00"/>
    <m/>
    <s v="07_중앙일간지"/>
    <n v="5"/>
    <d v="2019-04-23T00:00:00"/>
  </r>
  <r>
    <n v="1559"/>
    <s v="8_국립축산과학원"/>
    <s v="0_본원"/>
    <x v="13"/>
    <s v="유지현"/>
    <m/>
    <s v="‘학교깡총 입학식’(포토뉴스)"/>
    <s v="연합뉴스"/>
    <d v="2019-04-22T00:00:00"/>
    <m/>
    <s v="07_중앙일간지"/>
    <n v="5"/>
    <d v="2019-04-23T00:00:00"/>
  </r>
  <r>
    <n v="1560"/>
    <s v="8_국립축산과학원"/>
    <s v="1_축산생명환경부"/>
    <x v="7"/>
    <s v="백열창"/>
    <s v="보도자료36"/>
    <s v="축산원, 한우사양표준 사료배합 프로그램 개선"/>
    <s v="농축환경신문"/>
    <d v="2019-04-18T00:00:00"/>
    <n v="5"/>
    <s v="09_농업전문지"/>
    <n v="1.5"/>
    <d v="2019-04-23T00:00:00"/>
  </r>
  <r>
    <n v="1561"/>
    <s v="8_국립축산과학원"/>
    <s v="1_축산생명환경부"/>
    <x v="9"/>
    <s v="김종복"/>
    <s v="보도자료33"/>
    <s v="‘스마트축산’, 정밀 관리로 축산업 경쟁력 강화"/>
    <s v="농업축산신문"/>
    <d v="2019-04-15T00:00:00"/>
    <n v="5"/>
    <s v="09_농업전문지"/>
    <n v="1.5"/>
    <d v="2019-04-23T00:00:00"/>
  </r>
  <r>
    <n v="1562"/>
    <s v="8_국립축산과학원"/>
    <s v="0_본원"/>
    <x v="13"/>
    <s v="정성훈"/>
    <m/>
    <s v="농협, 한우농가 맞춤형 종합컨설팅 실시"/>
    <s v="농축환경신문"/>
    <d v="2019-04-18T00:00:00"/>
    <n v="4"/>
    <s v="09_농업전문지"/>
    <n v="1.5"/>
    <d v="2019-04-23T00:00:00"/>
  </r>
  <r>
    <n v="1563"/>
    <s v="8_국립축산과학원"/>
    <s v="2_축산자원개발부"/>
    <x v="6"/>
    <s v="지희정"/>
    <s v="보도자료37"/>
    <s v="농진청, 우리 기후에 알맞은 풀사료 ‘그린콜 2호’ 개발"/>
    <s v="전북타임스"/>
    <d v="2019-04-22T00:00:00"/>
    <n v="7"/>
    <s v="09_지방일간지"/>
    <n v="1.5"/>
    <d v="2019-04-23T00:00:00"/>
  </r>
  <r>
    <n v="1564"/>
    <s v="8_국립축산과학원"/>
    <s v="0_본원"/>
    <x v="13"/>
    <s v="유지현"/>
    <m/>
    <s v="중소가축 활용한 동물농장 상주농기센터 입학식 가져(상주)"/>
    <s v="경북연합일보"/>
    <d v="2019-04-22T00:00:00"/>
    <n v="9"/>
    <s v="09_지방일간지"/>
    <n v="1.5"/>
    <d v="2019-04-23T00:00:00"/>
  </r>
  <r>
    <n v="1565"/>
    <s v="8_국립축산과학원"/>
    <s v="0_본원"/>
    <x v="13"/>
    <s v="유지현"/>
    <m/>
    <s v="상주시, 전국최초 동물농장 입학식 개최(상주)"/>
    <s v="도민일보"/>
    <d v="2019-04-22T00:00:00"/>
    <n v="13"/>
    <s v="09_지방일간지"/>
    <n v="1.5"/>
    <d v="2019-04-23T00:00:00"/>
  </r>
  <r>
    <n v="1566"/>
    <s v="8_국립축산과학원"/>
    <s v="0_본원"/>
    <x v="13"/>
    <s v="유지현"/>
    <m/>
    <s v="상주시농기센터, 전국최초 동물농장 입학식 개최(상주)"/>
    <s v="대구광역일보"/>
    <d v="2019-04-22T00:00:00"/>
    <n v="10"/>
    <s v="09_지방일간지"/>
    <n v="1.5"/>
    <d v="2019-04-23T00:00:00"/>
  </r>
  <r>
    <n v="1567"/>
    <s v="8_국립축산과학원"/>
    <s v="0_본원"/>
    <x v="13"/>
    <s v="유지현"/>
    <m/>
    <s v="상주시, 전국 최초 ‘학교 동물농장’ 입학식(상주)"/>
    <s v="경북매일"/>
    <d v="2019-04-22T00:00:00"/>
    <n v="10"/>
    <s v="09_지방일간지"/>
    <n v="1.5"/>
    <d v="2019-04-23T00:00:00"/>
  </r>
  <r>
    <n v="1568"/>
    <s v="8_국립축산과학원"/>
    <s v="0_본원"/>
    <x v="13"/>
    <s v="유지현"/>
    <m/>
    <s v="“동물친구들 돌보며 생명존중 배워요”(상주)"/>
    <s v="경북일보"/>
    <d v="2019-04-22T00:00:00"/>
    <n v="17"/>
    <s v="09_지방일간지"/>
    <n v="1.5"/>
    <d v="2019-04-23T00:00:00"/>
  </r>
  <r>
    <n v="1569"/>
    <s v="8_국립축산과학원"/>
    <s v="0_본원"/>
    <x v="13"/>
    <s v="유지현"/>
    <m/>
    <s v="상주, 학교 안 동물농장 입학식(상주)"/>
    <s v="경상투데이"/>
    <d v="2019-04-22T00:00:00"/>
    <n v="12"/>
    <s v="09_지방일간지"/>
    <n v="1.5"/>
    <d v="2019-04-23T00:00:00"/>
  </r>
  <r>
    <n v="1570"/>
    <s v="8_국립축산과학원"/>
    <s v="0_본원"/>
    <x v="13"/>
    <s v="유지현"/>
    <m/>
    <s v="“학교에 토끼랑 염소가 입학했어요”(상주)"/>
    <s v="대구일보"/>
    <d v="2019-04-22T00:00:00"/>
    <n v="10"/>
    <s v="09_지방일간지"/>
    <n v="1.5"/>
    <d v="2019-04-23T00:00:00"/>
  </r>
  <r>
    <n v="1571"/>
    <s v="8_국립축산과학원"/>
    <s v="2_축산자원개발부"/>
    <x v="6"/>
    <s v="지희정"/>
    <s v="보도자료37"/>
    <s v="우리 기후에 딱! 국내산 풀사료 ‘그린콜 2호’ 개발"/>
    <s v="정책브리핑"/>
    <d v="2019-04-22T00:00:00"/>
    <m/>
    <s v="12_대한민국 정책포털(korea.kr)"/>
    <n v="1"/>
    <d v="2019-04-23T00:00:00"/>
  </r>
  <r>
    <n v="1572"/>
    <s v="8_국립축산과학원"/>
    <s v="2_축산자원개발부"/>
    <x v="6"/>
    <s v="지희정"/>
    <s v="보도자료37"/>
    <s v="우리 기후에 딱 국내산 풀사료 ‘그린콜 2호’ 개발"/>
    <s v="시사우리신문"/>
    <d v="2019-04-22T00:00:00"/>
    <m/>
    <s v="11_기타(지역주간지)"/>
    <n v="0.5"/>
    <d v="2019-04-23T00:00:00"/>
  </r>
  <r>
    <n v="1573"/>
    <s v="8_국립축산과학원"/>
    <s v="0_본원"/>
    <x v="13"/>
    <s v="유지현"/>
    <m/>
    <s v="반가워 토끼야! 염소야!(상주)"/>
    <s v="대구경북일보"/>
    <d v="2019-04-22T00:00:00"/>
    <n v="7"/>
    <s v="11_기타(지역주간지)"/>
    <n v="0.5"/>
    <d v="2019-04-23T00:00:00"/>
  </r>
  <r>
    <n v="1574"/>
    <s v="8_국립축산과학원"/>
    <s v="0_본원"/>
    <x v="13"/>
    <s v="유지현"/>
    <m/>
    <s v="상주남부初 동물농장 입학식 개최(상주)"/>
    <s v="세명일보"/>
    <d v="2019-04-22T00:00:00"/>
    <n v="7"/>
    <s v="11_기타(지역주간지)"/>
    <n v="0.5"/>
    <d v="2019-04-23T00:00:00"/>
  </r>
  <r>
    <n v="1575"/>
    <s v="8_국립축산과학원"/>
    <s v="2_축산자원개발부"/>
    <x v="6"/>
    <s v="지희정"/>
    <s v="보도자료37"/>
    <s v="우리 기후에 딱 국내산 풀사료 ‘그린콜 2호’ 개발"/>
    <s v="국토매일"/>
    <d v="2019-04-22T00:00:00"/>
    <m/>
    <s v="13_인터넷포털"/>
    <n v="0.1"/>
    <d v="2019-04-23T00:00:00"/>
  </r>
  <r>
    <n v="1576"/>
    <s v="8_국립축산과학원"/>
    <s v="0_본원"/>
    <x v="13"/>
    <s v="유지현"/>
    <m/>
    <s v="김제시농기센터, 토끼 매개 체험수업 ‘학교 깡총’ 입학식"/>
    <s v="투데이안"/>
    <d v="2019-04-22T00:00:00"/>
    <m/>
    <s v="13_인터넷포털"/>
    <n v="0.1"/>
    <d v="2019-04-23T00:00:00"/>
  </r>
  <r>
    <n v="1577"/>
    <s v="8_국립축산과학원"/>
    <s v="0_본원"/>
    <x v="13"/>
    <s v="유지현"/>
    <m/>
    <s v="토끼야 안녕 ‘학교 깡총 입학식’"/>
    <s v="호남타임즈"/>
    <d v="2019-04-22T00:00:00"/>
    <m/>
    <s v="13_인터넷포털"/>
    <n v="0.1"/>
    <d v="2019-04-23T00:00:00"/>
  </r>
  <r>
    <n v="1578"/>
    <s v="8_국립축산과학원"/>
    <s v="2_축산자원개발부"/>
    <x v="6"/>
    <s v="지희정"/>
    <s v="보도자료37"/>
    <s v="우리 기후에 딱 국내산 풀사료 ‘그린콜 2호’ 개발"/>
    <s v="강원경제신문"/>
    <d v="2019-04-22T00:00:00"/>
    <m/>
    <s v="13_인터넷포털"/>
    <n v="0.1"/>
    <d v="2019-04-23T00:00:00"/>
  </r>
  <r>
    <n v="1579"/>
    <s v="8_국립축산과학원"/>
    <s v="0_본원"/>
    <x v="15"/>
    <s v="이성수"/>
    <m/>
    <s v="아까우시와규, 혈통은 한우에서 유래"/>
    <s v="뉴스브라이트"/>
    <d v="2019-04-23T00:00:00"/>
    <m/>
    <s v="13_인터넷포털"/>
    <n v="0.1"/>
    <d v="2019-04-23T00:00:00"/>
  </r>
  <r>
    <n v="1580"/>
    <s v="8_국립축산과학원"/>
    <s v="1_축산생명환경부"/>
    <x v="9"/>
    <s v="곽정훈"/>
    <m/>
    <s v="전북도, 축산시설 악취로 인한 민원해소 총력"/>
    <s v="투데이안"/>
    <d v="2019-04-23T00:00:00"/>
    <m/>
    <s v="13_인터넷포털"/>
    <n v="0.1"/>
    <d v="2019-04-23T00:00:00"/>
  </r>
  <r>
    <n v="1581"/>
    <s v="8_국립축산과학원"/>
    <s v="2_축산자원개발부"/>
    <x v="6"/>
    <s v="지희정"/>
    <s v="보도자료37"/>
    <s v="우리 기후에 딱 국내산 풀사료 ‘그린콜 2호’ 개발"/>
    <s v="현장뉴스"/>
    <d v="2019-04-22T00:00:00"/>
    <m/>
    <s v="13_인터넷포털"/>
    <n v="0.1"/>
    <d v="2019-04-23T00:00:00"/>
  </r>
  <r>
    <n v="1582"/>
    <s v="8_국립축산과학원"/>
    <s v="2_축산자원개발부"/>
    <x v="6"/>
    <s v="지희정"/>
    <s v="보도자료37"/>
    <s v="우리 기후에 딱 국내산 풀사료 ‘그린콜 2호’ 개발"/>
    <s v="굿뉴스365"/>
    <d v="2019-04-22T00:00:00"/>
    <m/>
    <s v="13_인터넷포털"/>
    <n v="0.1"/>
    <d v="2019-04-23T00:00:00"/>
  </r>
  <r>
    <n v="1583"/>
    <s v="8_국립축산과학원"/>
    <s v="0_본원"/>
    <x v="13"/>
    <s v="유지현"/>
    <m/>
    <s v="상주시농업기술센터, 중소가축 활용 동물농장 시범사업 입학식 개최(상주)"/>
    <s v="아시아투데이"/>
    <d v="2019-04-21T00:00:00"/>
    <m/>
    <s v="07_중앙일간지"/>
    <n v="5"/>
    <d v="2019-04-24T00:00:00"/>
  </r>
  <r>
    <n v="1584"/>
    <s v="8_국립축산과학원"/>
    <s v="0_본원"/>
    <x v="3"/>
    <s v="김은주"/>
    <s v="보도자료23"/>
    <s v="노령견 ‘문턱’ 7세 이상 반려견에게 나타나는 주요 질병들"/>
    <s v="뉴시스"/>
    <d v="2019-04-23T00:00:00"/>
    <m/>
    <s v="07_중앙일간지"/>
    <n v="5"/>
    <d v="2019-04-24T00:00:00"/>
  </r>
  <r>
    <n v="1585"/>
    <s v="8_국립축산과학원"/>
    <s v="0_본원"/>
    <x v="13"/>
    <s v="오형규"/>
    <m/>
    <s v="장흥군, 정남진 장흥한우 명품화 ‘시동’"/>
    <s v="머니투데이"/>
    <d v="2019-04-24T00:00:00"/>
    <m/>
    <s v="07_중앙일간지"/>
    <n v="5"/>
    <d v="2019-04-24T00:00:00"/>
  </r>
  <r>
    <n v="1586"/>
    <s v="8_국립축산과학원"/>
    <s v="0_본원"/>
    <x v="13"/>
    <s v="유지현"/>
    <m/>
    <s v="상주농기센터, 전국 첫 중소가축 활용 동물농장 시범사업 추진(상주)"/>
    <s v="신아일보"/>
    <d v="2019-04-21T00:00:00"/>
    <m/>
    <s v="08_기타일간지"/>
    <n v="2"/>
    <d v="2019-04-24T00:00:00"/>
  </r>
  <r>
    <n v="1587"/>
    <s v="8_국립축산과학원"/>
    <s v="0_본원"/>
    <x v="13"/>
    <s v="오형규"/>
    <m/>
    <s v="정남진 장흥한우 명품화 ‘시동’...사양기술교육 실시"/>
    <s v="신아일보"/>
    <d v="2019-04-24T00:00:00"/>
    <m/>
    <s v="08_기타일간지"/>
    <n v="2"/>
    <d v="2019-04-24T00:00:00"/>
  </r>
  <r>
    <n v="1588"/>
    <s v="8_국립축산과학원"/>
    <s v="0_본원"/>
    <x v="13"/>
    <s v="오형규"/>
    <m/>
    <s v="정남진 장흥한우 명품화 ‘시동’…사양기술교육 실시"/>
    <s v="매일일보"/>
    <d v="2019-04-24T00:00:00"/>
    <m/>
    <s v="08_기타일간지"/>
    <n v="2"/>
    <d v="2019-04-24T00:00:00"/>
  </r>
  <r>
    <n v="1589"/>
    <s v="8_국립축산과학원"/>
    <s v="2_축산자원개발부"/>
    <x v="8"/>
    <s v="최연호"/>
    <s v="보도자료31"/>
    <s v="축과원, 젖소 우수 정액 1만여개 추천"/>
    <s v="한국농어민신문"/>
    <d v="2019-04-23T00:00:00"/>
    <n v="8"/>
    <s v="09_농업전문지"/>
    <n v="1.5"/>
    <d v="2019-04-24T00:00:00"/>
  </r>
  <r>
    <n v="1590"/>
    <s v="8_국립축산과학원"/>
    <s v="1_축산생명환경부"/>
    <x v="7"/>
    <s v="백열창"/>
    <s v="보도자료36"/>
    <s v="한우 성장단계별 영양성분 파악 쉽게~"/>
    <s v="한국농어민신문"/>
    <d v="2019-04-23T00:00:00"/>
    <m/>
    <s v="09_농업전문지"/>
    <n v="1.5"/>
    <d v="2019-04-24T00:00:00"/>
  </r>
  <r>
    <n v="1591"/>
    <s v="8_국립축산과학원"/>
    <s v="0_본원"/>
    <x v="13"/>
    <s v="유지현"/>
    <m/>
    <s v="상주시, 전국최초 동물농장 입학식 개최(상주)"/>
    <s v="대경일보"/>
    <d v="2019-04-21T00:00:00"/>
    <m/>
    <s v="09_지방일간지"/>
    <n v="1.5"/>
    <d v="2019-04-24T00:00:00"/>
  </r>
  <r>
    <n v="1592"/>
    <s v="8_국립축산과학원"/>
    <s v="2_축산자원개발부"/>
    <x v="6"/>
    <s v="지희정"/>
    <s v="보도자료37"/>
    <s v="국산 풀사료로 종자 자급률 UP"/>
    <s v="새만금일보"/>
    <d v="2019-04-23T00:00:00"/>
    <n v="6"/>
    <s v="09_지방일간지"/>
    <n v="1.5"/>
    <d v="2019-04-24T00:00:00"/>
  </r>
  <r>
    <n v="1593"/>
    <s v="8_국립축산과학원"/>
    <s v="0_본원"/>
    <x v="13"/>
    <s v="유지현"/>
    <m/>
    <s v="김제농기센터 ‘학교깡총’ 입학식 중소가축 동물매개교육 시범사업"/>
    <s v="새만금일보"/>
    <d v="2019-04-23T00:00:00"/>
    <n v="9"/>
    <s v="09_지방일간지"/>
    <n v="1.5"/>
    <d v="2019-04-24T00:00:00"/>
  </r>
  <r>
    <n v="1594"/>
    <s v="8_국립축산과학원"/>
    <s v="0_본원"/>
    <x v="13"/>
    <s v="유지현"/>
    <m/>
    <s v="‘동물과 교감’ 학교깡총 입학식(포토뉴스)"/>
    <s v="전민일보"/>
    <d v="2019-04-23T00:00:00"/>
    <n v="7"/>
    <s v="09_지방일간지"/>
    <n v="1.5"/>
    <d v="2019-04-24T00:00:00"/>
  </r>
  <r>
    <n v="1595"/>
    <s v="8_국립축산과학원"/>
    <s v="0_본원"/>
    <x v="13"/>
    <s v="유지현"/>
    <m/>
    <s v="김제 청하초 학교깡총 시범학교(포토뉴스)"/>
    <s v="전북중앙"/>
    <d v="2019-04-23T00:00:00"/>
    <n v="7"/>
    <s v="09_지방일간지"/>
    <n v="1.5"/>
    <d v="2019-04-24T00:00:00"/>
  </r>
  <r>
    <n v="1596"/>
    <s v="8_국립축산과학원"/>
    <s v="0_본원"/>
    <x v="13"/>
    <s v="유지현"/>
    <m/>
    <s v="상주시, 전국최초 중소가축 활용 동물농장 시범사업 운영한다(상주)"/>
    <s v="이뉴스투데이"/>
    <d v="2019-04-22T00:00:00"/>
    <m/>
    <s v="10_주간지"/>
    <n v="1"/>
    <d v="2019-04-24T00:00:00"/>
  </r>
  <r>
    <n v="1597"/>
    <s v="8_국립축산과학원"/>
    <s v="2_축산자원개발부"/>
    <x v="6"/>
    <s v="정종성"/>
    <s v="보도자료34"/>
    <s v="산지초지 방목 관리로 질 좋은 풀 생산성 높여"/>
    <s v="농식품PLUS신문"/>
    <d v="2019-04-15T00:00:00"/>
    <n v="18"/>
    <s v="10_기타전문지"/>
    <n v="1"/>
    <d v="2019-04-24T00:00:00"/>
  </r>
  <r>
    <n v="1598"/>
    <s v="8_국립축산과학원"/>
    <s v="1_축산생명환경부"/>
    <x v="9"/>
    <s v="곽정훈"/>
    <m/>
    <s v="전북도, 축산시설 악취로 인한 민원해소 총력"/>
    <s v="브릿지경제"/>
    <d v="2019-04-23T00:00:00"/>
    <m/>
    <s v="11_기타(지역주간지)"/>
    <n v="0.5"/>
    <d v="2019-04-24T00:00:00"/>
  </r>
  <r>
    <n v="1599"/>
    <s v="8_국립축산과학원"/>
    <s v="0_본원"/>
    <x v="13"/>
    <s v="유지현"/>
    <m/>
    <s v="반가워 토끼야! 염소야! 전국최초 동물농장 입학식 개최(상주)"/>
    <s v="세계타임즈"/>
    <d v="2019-04-21T00:00:00"/>
    <m/>
    <s v="11_기타(지역주간지)"/>
    <n v="0.5"/>
    <d v="2019-04-24T00:00:00"/>
  </r>
  <r>
    <n v="1600"/>
    <s v="8_국립축산과학원"/>
    <s v="0_본원"/>
    <x v="13"/>
    <s v="유지현"/>
    <m/>
    <s v="상주시농업기술센터, 학생들에게 토끼와 염소를 직접 돌볼 기회 제공한다(상주)"/>
    <s v="프라임경북뉴스"/>
    <d v="2019-04-19T00:00:00"/>
    <m/>
    <s v="13_인터넷포털"/>
    <n v="0.1"/>
    <d v="2019-04-24T00:00:00"/>
  </r>
  <r>
    <n v="1601"/>
    <s v="8_국립축산과학원"/>
    <s v="0_본원"/>
    <x v="13"/>
    <s v="유지현"/>
    <m/>
    <s v="반가워 토끼야 염소야 전국최초 동물농장 입학식 개최(상주)"/>
    <s v="중부뉴스통신"/>
    <d v="2019-04-19T00:00:00"/>
    <m/>
    <s v="13_인터넷포털"/>
    <n v="0.1"/>
    <d v="2019-04-24T00:00:00"/>
  </r>
  <r>
    <n v="1602"/>
    <s v="8_국립축산과학원"/>
    <s v="0_본원"/>
    <x v="13"/>
    <s v="유지현"/>
    <m/>
    <s v="반가워 토끼야! 염소야! 전국최초 동물농장 입학식 개최(상주)"/>
    <s v="GBN경북방송"/>
    <d v="2019-04-19T00:00:00"/>
    <m/>
    <s v="13_인터넷포털"/>
    <n v="0.1"/>
    <d v="2019-04-24T00:00:00"/>
  </r>
  <r>
    <n v="1603"/>
    <s v="8_국립축산과학원"/>
    <s v="0_본원"/>
    <x v="13"/>
    <s v="유지현"/>
    <m/>
    <s v="상주시, “반가워 토끼야! 염소야”(상주)"/>
    <s v="브레이크뉴스"/>
    <d v="2019-04-19T00:00:00"/>
    <m/>
    <s v="13_인터넷포털"/>
    <n v="0.1"/>
    <d v="2019-04-24T00:00:00"/>
  </r>
  <r>
    <n v="1604"/>
    <s v="8_국립축산과학원"/>
    <s v="0_본원"/>
    <x v="13"/>
    <s v="유지현"/>
    <m/>
    <s v="상주시농업기술센터, 전국최초 동물농장 입학식 개최(상주)"/>
    <s v="프레시안"/>
    <d v="2019-04-19T00:00:00"/>
    <m/>
    <s v="13_인터넷포털"/>
    <n v="0.1"/>
    <d v="2019-04-24T00:00:00"/>
  </r>
  <r>
    <n v="1605"/>
    <s v="8_국립축산과학원"/>
    <s v="0_본원"/>
    <x v="13"/>
    <s v="유지현"/>
    <m/>
    <s v="상주시, 동물농장 시범사업 입학식(상주)"/>
    <s v="국제i저널"/>
    <d v="2019-04-20T00:00:00"/>
    <m/>
    <s v="13_인터넷포털"/>
    <n v="0.1"/>
    <d v="2019-04-24T00:00:00"/>
  </r>
  <r>
    <n v="1606"/>
    <s v="8_국립축산과학원"/>
    <s v="1_축산생명환경부"/>
    <x v="9"/>
    <s v="곽정훈"/>
    <m/>
    <s v="전북도-김제시, 악취유발 퇴·액비화시설 점검 실시"/>
    <s v="동양뉴스통신"/>
    <d v="2019-04-23T00:00:00"/>
    <m/>
    <s v="13_인터넷포털"/>
    <n v="0.1"/>
    <d v="2019-04-24T00:00:00"/>
  </r>
  <r>
    <n v="1607"/>
    <s v="8_국립축산과학원"/>
    <s v="0_본원"/>
    <x v="13"/>
    <s v="오형규"/>
    <m/>
    <s v="장흥군, 정남진 장흥한우 명품화 ‘시동’"/>
    <s v="NSP통신"/>
    <d v="2019-04-24T00:00:00"/>
    <m/>
    <s v="13_인터넷포털"/>
    <n v="0.1"/>
    <d v="2019-04-24T00:00:00"/>
  </r>
  <r>
    <n v="1608"/>
    <s v="8_국립축산과학원"/>
    <s v="0_본원"/>
    <x v="13"/>
    <s v="오형규"/>
    <m/>
    <s v="정남진 장흥한우 명품화 ‘시동’,,,사양기술교육 실시"/>
    <s v="톡톡뉴스"/>
    <d v="2019-04-24T00:00:00"/>
    <m/>
    <s v="13_인터넷포털"/>
    <n v="0.1"/>
    <d v="2019-04-24T00:00:00"/>
  </r>
  <r>
    <n v="1609"/>
    <s v="8_국립축산과학원"/>
    <s v="0_본원"/>
    <x v="13"/>
    <s v="오형규"/>
    <m/>
    <s v="정남진 장흥한우 명품화사업 ‘시동’…사양기술교육 실시"/>
    <s v="뉴스핌"/>
    <d v="2019-04-24T00:00:00"/>
    <m/>
    <s v="11_기타(지역주간지)"/>
    <n v="0.5"/>
    <d v="2019-04-24T00:00:00"/>
  </r>
  <r>
    <n v="1610"/>
    <s v="8_국립축산과학원"/>
    <s v="0_본원"/>
    <x v="13"/>
    <s v="유지현"/>
    <m/>
    <s v="상주 초등학교에 토끼·염소와 교감하는 ‘동물농장’(상주)"/>
    <s v="연합뉴스"/>
    <d v="2019-04-19T00:00:00"/>
    <m/>
    <s v="07_중앙일간지"/>
    <n v="5"/>
    <d v="2019-04-25T00:00:00"/>
  </r>
  <r>
    <n v="1611"/>
    <s v="8_국립축산과학원"/>
    <s v="0_본원"/>
    <x v="13"/>
    <s v="유지현"/>
    <m/>
    <s v="전국최초 동물농장 입학식 개최...“반갑다 토끼 염소야!”(상주)"/>
    <s v="아주경제"/>
    <d v="2019-04-21T00:00:00"/>
    <m/>
    <s v="07_중앙일간지"/>
    <n v="5"/>
    <d v="2019-04-25T00:00:00"/>
  </r>
  <r>
    <n v="1612"/>
    <s v="8_국립축산과학원"/>
    <s v="2_축산자원개발부"/>
    <x v="6"/>
    <s v="지희정"/>
    <s v="보도자료37"/>
    <s v="수확량·내한성↑…‘IRG’ 새 품종 탄생"/>
    <s v="동양일보"/>
    <d v="2019-04-24T00:00:00"/>
    <n v="11"/>
    <s v="09_지방일간지"/>
    <n v="1.5"/>
    <d v="2019-04-25T00:00:00"/>
  </r>
  <r>
    <n v="1613"/>
    <s v="8_국립축산과학원"/>
    <s v="0_본원"/>
    <x v="13"/>
    <s v="오형규"/>
    <m/>
    <s v="정남진 장흥한우 명품화 ‘시동’"/>
    <s v="내외일보"/>
    <d v="2019-04-24T00:00:00"/>
    <m/>
    <s v="09_지방일간지"/>
    <n v="1.5"/>
    <d v="2019-04-25T00:00:00"/>
  </r>
  <r>
    <n v="1614"/>
    <s v="8_국립축산과학원"/>
    <s v="0_본원"/>
    <x v="13"/>
    <s v="오형규"/>
    <m/>
    <s v="장흥군, 2019 장흥한우 사양기술교육 교육"/>
    <s v="선경일보"/>
    <d v="2019-04-24T00:00:00"/>
    <m/>
    <s v="09_지방일간지"/>
    <n v="1.5"/>
    <d v="2019-04-25T00:00:00"/>
  </r>
  <r>
    <n v="1615"/>
    <s v="8_국립축산과학원"/>
    <s v="0_본원"/>
    <x v="13"/>
    <s v="오형규"/>
    <m/>
    <s v="정남진 장흥한우 명품화 시동...사양기술교육 개최"/>
    <s v="중도일보"/>
    <d v="2019-04-25T00:00:00"/>
    <m/>
    <s v="09_지방일간지"/>
    <n v="1.5"/>
    <d v="2019-04-25T00:00:00"/>
  </r>
  <r>
    <n v="1616"/>
    <s v="8_국립축산과학원"/>
    <s v="0_본원"/>
    <x v="13"/>
    <s v="오형규"/>
    <m/>
    <s v="정남진 장흥한우 사양기술교육 실시"/>
    <s v="무등일보"/>
    <d v="2019-04-25T00:00:00"/>
    <m/>
    <s v="09_지방일간지"/>
    <n v="1.5"/>
    <d v="2019-04-25T00:00:00"/>
  </r>
  <r>
    <n v="1617"/>
    <s v="8_국립축산과학원"/>
    <s v="0_본원"/>
    <x v="4"/>
    <s v="허강녕"/>
    <s v="보도자료38"/>
    <s v="5월 2일 오리 먹는 날, 국산 토종 품종 “우리맛오리”"/>
    <s v="식약일보"/>
    <d v="2019-04-25T00:00:00"/>
    <m/>
    <s v="10_기타전문지"/>
    <n v="1"/>
    <d v="2019-04-25T00:00:00"/>
  </r>
  <r>
    <n v="1618"/>
    <s v="8_국립축산과학원"/>
    <s v="2_축산자원개발부"/>
    <x v="8"/>
    <s v="최연호"/>
    <s v="보도자료39"/>
    <s v="체형우수 젖소 정액수입 추천 신청"/>
    <s v="식약일보"/>
    <d v="2019-04-25T00:00:00"/>
    <m/>
    <s v="10_기타전문지"/>
    <n v="1"/>
    <d v="2019-04-25T00:00:00"/>
  </r>
  <r>
    <n v="1619"/>
    <s v="8_국립축산과학원"/>
    <s v="0_본원"/>
    <x v="13"/>
    <s v="유지현"/>
    <m/>
    <s v="반가워 토끼야 염소야 전국최초 동물농장 입학식 개최(상주)"/>
    <s v="업코리아"/>
    <d v="2019-04-19T00:00:00"/>
    <m/>
    <s v="13_인터넷포털"/>
    <n v="0.1"/>
    <d v="2019-04-25T00:00:00"/>
  </r>
  <r>
    <n v="1620"/>
    <s v="8_국립축산과학원"/>
    <s v="0_본원"/>
    <x v="13"/>
    <s v="오형규"/>
    <m/>
    <s v="정남진 장흥한우 명품화 ‘시동’ 사양기술교육 실시"/>
    <s v="일등방송"/>
    <d v="2019-04-24T00:00:00"/>
    <m/>
    <s v="13_인터넷포털"/>
    <n v="0.1"/>
    <d v="2019-04-25T00:00:00"/>
  </r>
  <r>
    <n v="1621"/>
    <s v="8_국립축산과학원"/>
    <s v="0_본원"/>
    <x v="13"/>
    <s v="오형규"/>
    <m/>
    <s v="정남진 장흥한우 명품화 ‘시동’...사양기술교육 실시"/>
    <s v="로컬투데이"/>
    <d v="2019-04-24T00:00:00"/>
    <m/>
    <s v="13_인터넷포털"/>
    <n v="0.1"/>
    <d v="2019-04-25T00:00:00"/>
  </r>
  <r>
    <n v="1622"/>
    <s v="8_국립축산과학원"/>
    <s v="0_본원"/>
    <x v="13"/>
    <s v="오형규"/>
    <m/>
    <s v="정남진 장흥한우 명품화 ‘시동’ 사양기술교육 실시"/>
    <s v="중부뉴스통신"/>
    <d v="2019-04-24T00:00:00"/>
    <m/>
    <s v="13_인터넷포털"/>
    <n v="0.1"/>
    <d v="2019-04-25T00:00:00"/>
  </r>
  <r>
    <n v="1623"/>
    <s v="8_국립축산과학원"/>
    <s v="0_본원"/>
    <x v="13"/>
    <s v="오형규"/>
    <m/>
    <s v="정남진 장흥한우 명품화 ‘시동’…사양기술교육 실시"/>
    <s v="NGTV"/>
    <d v="2019-04-24T00:00:00"/>
    <m/>
    <s v="13_인터넷포털"/>
    <n v="0.1"/>
    <d v="2019-04-25T00:00:00"/>
  </r>
  <r>
    <n v="1624"/>
    <s v="8_국립축산과학원"/>
    <s v="0_본원"/>
    <x v="4"/>
    <s v="허강녕"/>
    <s v="보도자료38"/>
    <s v="5월 2일엔 국산 토종 품종 ‘우리맛오리’"/>
    <s v="보건뉴스"/>
    <d v="2019-04-24T00:00:00"/>
    <m/>
    <s v="13_인터넷포털"/>
    <n v="0.1"/>
    <d v="2019-04-25T00:00:00"/>
  </r>
  <r>
    <n v="1625"/>
    <s v="8_국립축산과학원"/>
    <s v="0_본원"/>
    <x v="13"/>
    <s v="오형규"/>
    <m/>
    <s v="정남진 장흥한우 명품화 ‘시동’...사양기술교육 실시"/>
    <s v="위키트리"/>
    <d v="2019-04-25T00:00:00"/>
    <m/>
    <s v="13_인터넷포털"/>
    <n v="0.1"/>
    <d v="2019-04-25T00:00:00"/>
  </r>
  <r>
    <n v="1626"/>
    <s v="8_국립축산과학원"/>
    <s v="0_본원"/>
    <x v="13"/>
    <s v="오형규"/>
    <m/>
    <s v="정남진 장흥한우 명품화 ‘시동’...사양기술교육 실시"/>
    <s v="전라닷컴"/>
    <d v="2019-04-25T00:00:00"/>
    <m/>
    <s v="13_인터넷포털"/>
    <n v="0.1"/>
    <d v="2019-04-25T00:00:00"/>
  </r>
  <r>
    <n v="1627"/>
    <s v="8_국립축산과학원"/>
    <s v="2_축산자원개발부"/>
    <x v="8"/>
    <s v="최연호"/>
    <s v="보도자료39"/>
    <s v="농진청, 우수 젖소 정액 수입 추천 신청 접수"/>
    <s v="프레시안"/>
    <d v="2019-04-25T00:00:00"/>
    <m/>
    <s v="13_인터넷포털"/>
    <n v="0.1"/>
    <d v="2019-04-25T00:00:00"/>
  </r>
  <r>
    <n v="1628"/>
    <s v="8_국립축산과학원"/>
    <s v="2_축산자원개발부"/>
    <x v="8"/>
    <s v="최연호"/>
    <s v="보도자료39"/>
    <s v="체형 우수 젖소 정액 수입 추천 신청하세요"/>
    <s v="서울신문"/>
    <d v="2019-04-25T00:00:00"/>
    <m/>
    <s v="07_중앙일간지"/>
    <n v="5"/>
    <d v="2019-04-26T00:00:00"/>
  </r>
  <r>
    <n v="1629"/>
    <s v="8_국립축산과학원"/>
    <s v="0_본원"/>
    <x v="4"/>
    <s v="허강녕"/>
    <s v="보도자료38"/>
    <s v="5월 2일은? 오리 먹는 날!"/>
    <s v="대한급식신문"/>
    <d v="2019-04-25T00:00:00"/>
    <m/>
    <s v="09_농업전문지"/>
    <n v="1.5"/>
    <d v="2019-04-26T00:00:00"/>
  </r>
  <r>
    <n v="1630"/>
    <s v="8_국립축산과학원"/>
    <s v="2_축산자원개발부"/>
    <x v="8"/>
    <s v="최연호"/>
    <s v="보도자료39"/>
    <s v="농진청, 체형우수 젖소정액 수입추천 수요조사"/>
    <s v="전업농신문"/>
    <d v="2019-04-26T00:00:00"/>
    <m/>
    <s v="09_농업전문지"/>
    <n v="1.5"/>
    <d v="2019-04-26T00:00:00"/>
  </r>
  <r>
    <n v="1631"/>
    <s v="8_국립축산과학원"/>
    <s v="0_본원"/>
    <x v="13"/>
    <s v="오형규"/>
    <m/>
    <s v="정남진 장흥한우 명품화 ‘시동’…사양기술교육 실시"/>
    <s v="호남신문"/>
    <d v="2019-04-25T00:00:00"/>
    <n v="7"/>
    <s v="09_지방일간지"/>
    <n v="1.5"/>
    <d v="2019-04-26T00:00:00"/>
  </r>
  <r>
    <n v="1632"/>
    <s v="8_국립축산과학원"/>
    <s v="0_본원"/>
    <x v="13"/>
    <s v="오형규"/>
    <m/>
    <s v="정남진 장흥한우 명품화 ‘시동’"/>
    <s v="더대한일보"/>
    <d v="2019-04-25T00:00:00"/>
    <n v="6"/>
    <s v="09_지방일간지"/>
    <n v="1.5"/>
    <d v="2019-04-26T00:00:00"/>
  </r>
  <r>
    <n v="1633"/>
    <s v="8_국립축산과학원"/>
    <s v="0_본원"/>
    <x v="13"/>
    <s v="오형규"/>
    <m/>
    <s v="장흥한우 명품화 ‘시동’ 사양기술교육 1회차 교육"/>
    <s v="호남매일"/>
    <d v="2019-04-25T00:00:00"/>
    <n v="5"/>
    <s v="09_지방일간지"/>
    <n v="1.5"/>
    <d v="2019-04-26T00:00:00"/>
  </r>
  <r>
    <n v="1634"/>
    <s v="8_국립축산과학원"/>
    <s v="0_본원"/>
    <x v="13"/>
    <s v="오형규"/>
    <m/>
    <s v="‘정남진 장흥한우 명품화’ 시동 건다"/>
    <s v="전남도민일보"/>
    <d v="2019-04-25T00:00:00"/>
    <n v="6"/>
    <s v="09_지방일간지"/>
    <n v="1.5"/>
    <d v="2019-04-26T00:00:00"/>
  </r>
  <r>
    <n v="1635"/>
    <s v="8_국립축산과학원"/>
    <s v="0_본원"/>
    <x v="13"/>
    <s v="오형규"/>
    <m/>
    <s v="정남진 장흥한우 명품화 ‘시동’"/>
    <s v="서울매일"/>
    <d v="2019-04-25T00:00:00"/>
    <n v="10"/>
    <s v="09_지방일간지"/>
    <n v="1.5"/>
    <d v="2019-04-26T00:00:00"/>
  </r>
  <r>
    <n v="1636"/>
    <s v="8_국립축산과학원"/>
    <s v="0_본원"/>
    <x v="13"/>
    <s v="오형규"/>
    <m/>
    <s v="장흥군, 정남진 장흥한우 명품화 ‘시동’"/>
    <s v="광전매일신문"/>
    <d v="2019-04-25T00:00:00"/>
    <n v="5"/>
    <s v="11_기타(지역주간지)"/>
    <n v="0.5"/>
    <d v="2019-04-26T00:00:00"/>
  </r>
  <r>
    <n v="1637"/>
    <s v="8_국립축산과학원"/>
    <s v="2_축산자원개발부"/>
    <x v="8"/>
    <s v="최연호"/>
    <s v="보도자료39"/>
    <s v="농진청, 2차 우수 젖소 정액 수입 추천 신청"/>
    <s v="라이브뉴스"/>
    <d v="2019-04-25T00:00:00"/>
    <m/>
    <s v="13_인터넷포털"/>
    <n v="0.1"/>
    <d v="2019-04-26T00:00:00"/>
  </r>
  <r>
    <n v="1638"/>
    <s v="8_국립축산과학원"/>
    <s v="0_본원"/>
    <x v="4"/>
    <s v="허강녕"/>
    <s v="보도자료38"/>
    <s v="농진청, ‘오리 먹는 날’ 맞이 토종오리 품종 소개"/>
    <s v="농업경제신문"/>
    <d v="2019-04-25T00:00:00"/>
    <m/>
    <s v="13_인터넷포털"/>
    <n v="0.1"/>
    <d v="2019-04-26T00:00:00"/>
  </r>
  <r>
    <n v="1639"/>
    <s v="8_국립축산과학원"/>
    <s v="0_본원"/>
    <x v="10"/>
    <s v="김남영"/>
    <m/>
    <s v="[기고] 김남영 연구사-승마로 호연지기를 길러보자"/>
    <s v="농수축산신문"/>
    <d v="2019-04-26T00:00:00"/>
    <n v="6"/>
    <s v="17_농업전문지"/>
    <n v="8"/>
    <d v="2019-04-29T00:00:00"/>
  </r>
  <r>
    <n v="1640"/>
    <s v="8_국립축산과학원"/>
    <s v="0_본원"/>
    <x v="2"/>
    <s v="박태완"/>
    <s v="보도자료35"/>
    <s v="국민 눈높이 맞춘 축산 정보 제공"/>
    <s v="양돈타임스"/>
    <d v="2019-04-25T00:00:00"/>
    <n v="10"/>
    <s v="09_농업전문지"/>
    <n v="1.5"/>
    <d v="2019-04-29T00:00:00"/>
  </r>
  <r>
    <n v="1641"/>
    <s v="8_국립축산과학원"/>
    <s v="1_축산생명환경부"/>
    <x v="9"/>
    <s v="김종복"/>
    <s v="보도자료33"/>
    <s v="양돈, 빅데이터로 생산성 높인다"/>
    <s v="양돈타임스"/>
    <d v="2019-04-25T00:00:00"/>
    <n v="10"/>
    <s v="09_농업전문지"/>
    <n v="1.5"/>
    <d v="2019-04-29T00:00:00"/>
  </r>
  <r>
    <n v="1642"/>
    <s v="8_국립축산과학원"/>
    <s v="1_축산생명환경부"/>
    <x v="9"/>
    <s v="곽정훈"/>
    <m/>
    <s v="‘고온 스트레스 최소화’가 키포인트"/>
    <s v="축산신문"/>
    <d v="2019-04-26T00:00:00"/>
    <n v="15"/>
    <s v="09_농업전문지"/>
    <n v="1.5"/>
    <d v="2019-04-29T00:00:00"/>
  </r>
  <r>
    <n v="1643"/>
    <s v="8_국립축산과학원"/>
    <s v="0_본원"/>
    <x v="13"/>
    <s v="정성훈"/>
    <m/>
    <s v="맞춤형 컨설팅…한우농가 애로 해결(남원축협)"/>
    <s v="축산신문"/>
    <d v="2019-04-26T00:00:00"/>
    <n v="10"/>
    <s v="09_농업전문지"/>
    <n v="1.5"/>
    <d v="2019-04-29T00:00:00"/>
  </r>
  <r>
    <n v="1644"/>
    <s v="8_국립축산과학원"/>
    <s v="0_본원"/>
    <x v="2"/>
    <s v="박태완"/>
    <s v="보도자료35"/>
    <s v="축산 정보 서비스, ‘온라인 자문단’과 함께 만든다"/>
    <s v="한국영농신문"/>
    <d v="2019-04-27T00:00:00"/>
    <m/>
    <s v="09_농업전문지"/>
    <n v="1.5"/>
    <d v="2019-04-29T00:00:00"/>
  </r>
  <r>
    <n v="1645"/>
    <s v="8_국립축산과학원"/>
    <s v="0_본원"/>
    <x v="4"/>
    <s v="허강녕"/>
    <s v="보도자료38"/>
    <s v="5월 2일은 오리데이,,, 국산 토종 품종 ‘우리맛오리’"/>
    <s v="한국영농신문"/>
    <d v="2019-04-27T00:00:00"/>
    <m/>
    <s v="09_농업전문지"/>
    <n v="1.5"/>
    <d v="2019-04-29T00:00:00"/>
  </r>
  <r>
    <n v="1646"/>
    <s v="8_국립축산과학원"/>
    <s v="0_본원"/>
    <x v="2"/>
    <s v="이근석"/>
    <m/>
    <s v="검역본부, 축산분야 특허기술설명회 열어"/>
    <s v="농민신문"/>
    <d v="2019-04-29T00:00:00"/>
    <m/>
    <s v="09_농업전문지"/>
    <n v="1.5"/>
    <d v="2019-04-29T00:00:00"/>
  </r>
  <r>
    <n v="1647"/>
    <s v="8_국립축산과학원"/>
    <s v="2_축산자원개발부"/>
    <x v="6"/>
    <s v="김지혜"/>
    <s v="보도자료40"/>
    <s v="동계 사료작물, 수분 함량 20% 이하로 만들어야"/>
    <s v="전업농신문"/>
    <d v="2019-04-29T00:00:00"/>
    <m/>
    <s v="09_농업전문지"/>
    <n v="1.5"/>
    <d v="2019-04-29T00:00:00"/>
  </r>
  <r>
    <n v="1648"/>
    <s v="8_국립축산과학원"/>
    <s v="0_본원"/>
    <x v="13"/>
    <s v="정성훈"/>
    <m/>
    <s v="강진군농업기술센터 맞춤형 컨설팅...한우농가 애로 해결"/>
    <s v="시민일보"/>
    <d v="2019-04-28T00:00:00"/>
    <m/>
    <s v="09_지방일간지"/>
    <n v="1.5"/>
    <d v="2019-04-29T00:00:00"/>
  </r>
  <r>
    <n v="1649"/>
    <s v="8_국립축산과학원"/>
    <s v="0_본원"/>
    <x v="13"/>
    <s v="오형규"/>
    <m/>
    <s v="장흥한우 사양기술 교육 개강"/>
    <s v="전남매일"/>
    <d v="2019-04-28T00:00:00"/>
    <m/>
    <s v="09_지방일간지"/>
    <n v="1.5"/>
    <d v="2019-04-29T00:00:00"/>
  </r>
  <r>
    <n v="1650"/>
    <s v="8_국립축산과학원"/>
    <s v="0_본원"/>
    <x v="11"/>
    <s v="문규철"/>
    <s v="보도자료41"/>
    <s v="농촌진흥청 5월 행사 풍성…농업과학관 곤충 특별전시회 등"/>
    <s v="부산일보"/>
    <d v="2019-04-28T00:00:00"/>
    <m/>
    <s v="09_지방일간지"/>
    <n v="1.5"/>
    <d v="2019-04-29T00:00:00"/>
  </r>
  <r>
    <n v="1651"/>
    <s v="8_국립축산과학원"/>
    <s v="0_본원"/>
    <x v="13"/>
    <s v="정성훈"/>
    <m/>
    <s v="강진군 농업기술센터, 맞춤형 컨설팅...한우농가 애로 해결"/>
    <s v="CNN21방송"/>
    <d v="2019-04-28T00:00:00"/>
    <m/>
    <s v="13_인터넷포털"/>
    <n v="0.1"/>
    <d v="2019-04-29T00:00:00"/>
  </r>
  <r>
    <n v="1652"/>
    <s v="8_국립축산과학원"/>
    <s v="0_본원"/>
    <x v="13"/>
    <s v="정성훈"/>
    <m/>
    <s v="강진군농업기술센터, 맞춤형 컨설팅…한우농가 애로 해결"/>
    <s v="투데이광주"/>
    <d v="2019-04-29T00:00:00"/>
    <m/>
    <s v="13_인터넷포털"/>
    <n v="0.1"/>
    <d v="2019-04-29T00:00:00"/>
  </r>
  <r>
    <n v="1653"/>
    <s v="8_국립축산과학원"/>
    <s v="0_본원"/>
    <x v="13"/>
    <s v="정성훈"/>
    <m/>
    <s v="강진군 농업기술센터 맞춤형 컨설팅…한우농가 애로 해결"/>
    <s v="전라닷컴"/>
    <d v="2019-04-29T00:00:00"/>
    <m/>
    <s v="13_인터넷포털"/>
    <n v="0.1"/>
    <d v="2019-04-29T00:00:00"/>
  </r>
  <r>
    <n v="1654"/>
    <s v="8_국립축산과학원"/>
    <s v="2_축산자원개발부"/>
    <x v="6"/>
    <s v="김지혜"/>
    <s v="보도자료40"/>
    <s v="농진청, 제조시간 줄여 고품질 건초만드는 기술 개발"/>
    <s v="라이브뉴스"/>
    <d v="2019-04-29T00:00:00"/>
    <m/>
    <s v="13_인터넷포털"/>
    <n v="0.1"/>
    <d v="2019-04-29T00:00:00"/>
  </r>
  <r>
    <n v="1655"/>
    <s v="8_국립축산과학원"/>
    <s v="1_축산생명환경부"/>
    <x v="9"/>
    <s v="이준엽"/>
    <s v="기고"/>
    <s v="[기고] 이준엽 연구사-봄철 양돈장의 사육환경 변화에 대처하기 위한 주요 환경관리 포인트 및 농가 실천사항"/>
    <s v="Pig&amp;Pork 한돈"/>
    <d v="2019-04-01T00:00:00"/>
    <s v="246-251"/>
    <s v="18_월간지"/>
    <n v="4"/>
    <d v="2019-04-29T00:00:00"/>
  </r>
  <r>
    <n v="1656"/>
    <s v="8_국립축산과학원"/>
    <s v="0_본원"/>
    <x v="4"/>
    <s v="박기태"/>
    <s v="기고"/>
    <s v="[기고] 박기태 연구사-HPAI 등 악성전염병 발생 억제를 위한 효율적인 신발 및 손 소독 방안"/>
    <s v="월간양계"/>
    <d v="2019-04-01T00:00:00"/>
    <s v="158-160"/>
    <s v="18_월간지"/>
    <n v="4"/>
    <d v="2019-04-29T00:00:00"/>
  </r>
  <r>
    <n v="1657"/>
    <s v="8_국립축산과학원"/>
    <s v="2_축산자원개발부"/>
    <x v="12"/>
    <s v="박지후"/>
    <m/>
    <s v="1156만 원 추가 소득…사용법에 따라 효과 차이 커"/>
    <s v="월간축산"/>
    <d v="2019-04-01T00:00:00"/>
    <s v="84-87"/>
    <s v="09_농업전문지"/>
    <n v="1.5"/>
    <d v="2019-04-29T00:00:00"/>
  </r>
  <r>
    <n v="1658"/>
    <s v="8_국립축산과학원"/>
    <s v="0_본원"/>
    <x v="13"/>
    <s v="김창한"/>
    <m/>
    <s v="1156만 원 추가 소득…사용법에 따라 효과 차이 커"/>
    <s v="월간축산"/>
    <d v="2019-04-01T00:00:00"/>
    <s v="84-87"/>
    <s v="09_농업전문지"/>
    <n v="1.5"/>
    <d v="2019-04-29T00:00:00"/>
  </r>
  <r>
    <n v="1659"/>
    <s v="8_국립축산과학원"/>
    <s v="2_축산자원개발부"/>
    <x v="0"/>
    <m/>
    <m/>
    <s v="돼지 음수에 미생물제 추가"/>
    <s v="월간축산"/>
    <d v="2019-04-01T00:00:00"/>
    <s v="100-101"/>
    <s v="09_농업전문지"/>
    <n v="1.5"/>
    <d v="2019-04-29T00:00:00"/>
  </r>
  <r>
    <n v="1660"/>
    <s v="8_국립축산과학원"/>
    <s v="0_본원"/>
    <x v="4"/>
    <m/>
    <m/>
    <s v="산란계 적정 사육밀도"/>
    <s v="월간축산"/>
    <d v="2019-04-01T00:00:00"/>
    <s v="102-103"/>
    <s v="09_농업전문지"/>
    <n v="1.5"/>
    <d v="2019-04-29T00:00:00"/>
  </r>
  <r>
    <n v="1661"/>
    <s v="8_국립축산과학원"/>
    <s v="2_축산자원개발부"/>
    <x v="12"/>
    <s v="임동현"/>
    <m/>
    <s v="고능력우, 건유기 없이 차기 비유기 진행"/>
    <s v="월간축산"/>
    <d v="2019-04-01T00:00:00"/>
    <s v="104-105"/>
    <s v="09_농업전문지"/>
    <n v="1.5"/>
    <d v="2019-04-29T00:00:00"/>
  </r>
  <r>
    <n v="1662"/>
    <s v="8_국립축산과학원"/>
    <s v="0_본원"/>
    <x v="3"/>
    <s v="김은주"/>
    <s v="보도자료23"/>
    <s v="나이 든 반려견 관리"/>
    <s v="월간축산"/>
    <d v="2019-04-01T00:00:00"/>
    <n v="107"/>
    <s v="09_농업전문지"/>
    <n v="1.5"/>
    <d v="2019-04-29T00:00:00"/>
  </r>
  <r>
    <n v="1663"/>
    <s v="8_국립축산과학원"/>
    <s v="2_축산자원개발부"/>
    <x v="12"/>
    <m/>
    <m/>
    <s v="축산현장 애로기술 해결 위한 젖소 사육"/>
    <s v="월간낙농"/>
    <d v="2019-04-01T00:00:00"/>
    <s v="148-153"/>
    <s v="10_월간지"/>
    <n v="1"/>
    <d v="2019-04-29T00:00:00"/>
  </r>
  <r>
    <n v="1664"/>
    <s v="8_국립축산과학원"/>
    <s v="2_축산자원개발부"/>
    <x v="12"/>
    <s v="최희철,임현주"/>
    <m/>
    <s v="4월 사양관리"/>
    <s v="월간 낙농·육우"/>
    <d v="2019-04-01T00:00:00"/>
    <s v="113-117"/>
    <s v="10_월간지"/>
    <n v="1"/>
    <d v="2019-04-29T00:00:00"/>
  </r>
  <r>
    <n v="1665"/>
    <s v="8_국립축산과학원"/>
    <s v="1_축산생명환경부"/>
    <x v="7"/>
    <s v="이현정"/>
    <s v="보도자료21"/>
    <s v="농촌진흥청, '한국가축사양표준 간편판' 발간"/>
    <s v="Pig&amp;Pork 한돈"/>
    <d v="2019-04-01T00:00:00"/>
    <n v="179"/>
    <s v="10_월간지"/>
    <n v="1"/>
    <d v="2019-04-29T00:00:00"/>
  </r>
  <r>
    <n v="1666"/>
    <s v="8_국립축산과학원"/>
    <s v="0_본원"/>
    <x v="13"/>
    <s v="정성훈"/>
    <s v="보도자료29"/>
    <s v="농촌진흥청, 9월까지 축산 농가 현장 맞춤형 상담 실시"/>
    <s v="월간닭고기"/>
    <d v="2019-04-01T00:00:00"/>
    <n v="30"/>
    <s v="10_월간지"/>
    <n v="1"/>
    <d v="2019-04-29T00:00:00"/>
  </r>
  <r>
    <n v="1667"/>
    <s v="8_국립축산과학원"/>
    <s v="0_본원"/>
    <x v="2"/>
    <s v="김동훈"/>
    <s v="보도자료30"/>
    <s v="국립축산과학원, 2019년 업무계획 발표"/>
    <s v="월간닭고기"/>
    <d v="2019-04-01T00:00:00"/>
    <n v="31"/>
    <s v="10_월간지"/>
    <n v="1"/>
    <d v="2019-04-29T00:00:00"/>
  </r>
  <r>
    <n v="1668"/>
    <s v="8_국립축산과학원"/>
    <s v="0_본원"/>
    <x v="13"/>
    <s v="유지현"/>
    <m/>
    <s v="상주 초등학교에 토끼·염소와 교감하는 ‘동물농장’"/>
    <s v="매일경제"/>
    <d v="2019-04-19T00:00:00"/>
    <m/>
    <s v="07_중앙일간지"/>
    <n v="5"/>
    <d v="2019-04-30T00:00:00"/>
  </r>
  <r>
    <n v="1669"/>
    <s v="8_국립축산과학원"/>
    <s v="0_본원"/>
    <x v="13"/>
    <s v="유지현"/>
    <m/>
    <s v="‘동물과 교감해요’ 학교깡총 시범 학교(김제)"/>
    <s v="머니투데이"/>
    <d v="2019-04-22T00:00:00"/>
    <m/>
    <s v="07_중앙일간지"/>
    <n v="5"/>
    <d v="2019-04-30T00:00:00"/>
  </r>
  <r>
    <n v="1670"/>
    <s v="8_국립축산과학원"/>
    <s v="1_축산생명환경부"/>
    <x v="5"/>
    <s v="조수현"/>
    <m/>
    <s v="“3등급 소고기, 냉장 숙성하면 육질 부드러워져”"/>
    <s v="이데일리"/>
    <d v="2019-04-30T00:00:00"/>
    <n v="4"/>
    <s v="07_중앙일간지"/>
    <n v="5"/>
    <d v="2019-04-30T00:00:00"/>
  </r>
  <r>
    <n v="1671"/>
    <s v="8_국립축산과학원"/>
    <s v="0_본원"/>
    <x v="14"/>
    <s v="한만희"/>
    <m/>
    <s v="수십년째 ‘마블링’ 많은 한우 생산 집중…외국 사료업체만 배불린 꼴"/>
    <s v="이데일리"/>
    <d v="2019-04-30T00:00:00"/>
    <n v="4"/>
    <s v="07_중앙일간지"/>
    <n v="5"/>
    <d v="2019-04-30T00:00:00"/>
  </r>
  <r>
    <n v="1672"/>
    <s v="8_국립축산과학원"/>
    <s v="0_본원"/>
    <x v="13"/>
    <s v="유지현"/>
    <m/>
    <s v="“동물과의 교감, 토끼로 배우고 있어요”(김제)"/>
    <s v="대한급식신문"/>
    <d v="2019-04-22T00:00:00"/>
    <m/>
    <s v="09_농업전문지"/>
    <n v="1.5"/>
    <d v="2019-04-30T00:00:00"/>
  </r>
  <r>
    <n v="1673"/>
    <s v="8_국립축산과학원"/>
    <s v="2_축산자원개발부"/>
    <x v="6"/>
    <s v="지희정"/>
    <s v="보도자료37"/>
    <s v="농진청, 국내산 풀사료 ‘그린콜 2호’ 개발"/>
    <s v="농축환경신문"/>
    <d v="2019-04-25T00:00:00"/>
    <n v="5"/>
    <s v="09_농업전문지"/>
    <n v="1.5"/>
    <d v="2019-04-30T00:00:00"/>
  </r>
  <r>
    <n v="1674"/>
    <s v="8_국립축산과학원"/>
    <s v="2_축산자원개발부"/>
    <x v="6"/>
    <s v="지희정"/>
    <s v="보도자료37"/>
    <s v="우리 기후에 맞는 국내산 풀사료 ‘그린콜 2호’ 개발"/>
    <s v="전북도민일보"/>
    <d v="2019-04-21T00:00:00"/>
    <m/>
    <s v="09_지방일간지"/>
    <n v="1.5"/>
    <d v="2019-04-30T00:00:00"/>
  </r>
  <r>
    <n v="1675"/>
    <s v="8_국립축산과학원"/>
    <s v="0_본원"/>
    <x v="4"/>
    <s v="허강녕"/>
    <s v="보도자료38"/>
    <s v="‘오리데이’엔 토종오리고기 어떠세요?"/>
    <s v="전북타임스"/>
    <d v="2019-04-29T00:00:00"/>
    <n v="7"/>
    <s v="09_지방일간지"/>
    <n v="1.5"/>
    <d v="2019-04-30T00:00:00"/>
  </r>
  <r>
    <n v="1676"/>
    <s v="8_국립축산과학원"/>
    <s v="0_본원"/>
    <x v="13"/>
    <s v="정성훈"/>
    <m/>
    <s v="강진군, 맞춤형 컨설팅으로 한우농가 애로 해결"/>
    <s v="호남신문"/>
    <d v="2019-04-29T00:00:00"/>
    <n v="7"/>
    <s v="09_지방일간지"/>
    <n v="1.5"/>
    <d v="2019-04-30T00:00:00"/>
  </r>
  <r>
    <n v="1677"/>
    <s v="8_국립축산과학원"/>
    <s v="0_본원"/>
    <x v="13"/>
    <s v="정성훈"/>
    <m/>
    <s v="강진군농업기술센터 맞춤형 컨설팅…한우농가 애로 해결"/>
    <s v="전광투데이"/>
    <d v="2019-04-29T00:00:00"/>
    <n v="8"/>
    <s v="09_지방일간지"/>
    <n v="1.5"/>
    <d v="2019-04-30T00:00:00"/>
  </r>
  <r>
    <n v="1678"/>
    <s v="8_국립축산과학원"/>
    <s v="0_본원"/>
    <x v="13"/>
    <s v="오형규"/>
    <m/>
    <s v="정남진 장흥한우 명품화 ‘잰걸음’"/>
    <s v="남도일보"/>
    <d v="2019-04-29T00:00:00"/>
    <m/>
    <s v="09_지방일간지"/>
    <n v="1.5"/>
    <d v="2019-04-30T00:00:00"/>
  </r>
  <r>
    <n v="1679"/>
    <s v="8_국립축산과학원"/>
    <s v="0_본원"/>
    <x v="4"/>
    <s v="허강녕"/>
    <s v="보도자료38"/>
    <s v="농촌진흥청 5월 2일 ‘오리데이’ 맞아 오리고기 조리법 소개"/>
    <s v="부산일보"/>
    <d v="2019-04-24T00:00:00"/>
    <m/>
    <s v="09_지방일간지"/>
    <n v="1.5"/>
    <d v="2019-04-30T00:00:00"/>
  </r>
  <r>
    <n v="1680"/>
    <s v="8_국립축산과학원"/>
    <s v="2_축산자원개발부"/>
    <x v="6"/>
    <s v="김지혜"/>
    <s v="보도자료40"/>
    <s v="품질 좋은 건초, 수분 함량 20% 이하"/>
    <s v="식약일보"/>
    <d v="2019-04-30T00:00:00"/>
    <m/>
    <s v="10_기타전문지"/>
    <n v="1"/>
    <d v="2019-04-30T00:00:00"/>
  </r>
  <r>
    <n v="1681"/>
    <s v="8_국립축산과학원"/>
    <s v="0_본원"/>
    <x v="4"/>
    <s v="허강녕"/>
    <s v="보도자료38"/>
    <s v="미식남녀를 위한 이색별미 “오리, 오너라!”"/>
    <s v="정책브리핑"/>
    <d v="2019-04-25T00:00:00"/>
    <m/>
    <s v="12_대한민국 정책포털(korea.kr)"/>
    <n v="1"/>
    <d v="2019-04-30T00:00:00"/>
  </r>
  <r>
    <n v="1682"/>
    <s v="8_국립축산과학원"/>
    <s v="2_축산자원개발부"/>
    <x v="8"/>
    <s v="최연호"/>
    <s v="보도자료39"/>
    <s v="체형 우수 젖소 정액 수입 추천 신청하세요"/>
    <s v="정책브리핑"/>
    <d v="2019-04-25T00:00:00"/>
    <m/>
    <s v="12_대한민국 정책포털(korea.kr)"/>
    <n v="1"/>
    <d v="2019-04-30T00:00:00"/>
  </r>
  <r>
    <n v="1683"/>
    <s v="8_국립축산과학원"/>
    <s v="2_축산자원개발부"/>
    <x v="6"/>
    <s v="지희정"/>
    <s v="보도자료37"/>
    <s v="우리 기후에 딱 국내산 풀사료 ‘그린콜 2호’ 개발"/>
    <s v="경제투데이"/>
    <d v="2019-04-22T00:00:00"/>
    <m/>
    <s v="13_인터넷포털"/>
    <n v="0.1"/>
    <d v="2019-04-30T00:00:00"/>
  </r>
  <r>
    <n v="1684"/>
    <s v="8_국립축산과학원"/>
    <s v="0_본원"/>
    <x v="13"/>
    <s v="유지현"/>
    <m/>
    <s v="토끼야 안녕 ‘학교 깡총 입학식’(김제)"/>
    <s v="경기인터넷신문"/>
    <d v="2019-05-31T00:00:00"/>
    <m/>
    <s v="13_인터넷포털"/>
    <n v="0.1"/>
    <d v="2019-04-30T00:00:00"/>
  </r>
  <r>
    <n v="1685"/>
    <s v="8_국립축산과학원"/>
    <s v="0_본원"/>
    <x v="13"/>
    <s v="유지현"/>
    <m/>
    <s v="토끼야 안녕 ‘학교 깡총 입학식’(김제)"/>
    <s v="한국뉴스"/>
    <d v="2019-04-22T00:00:00"/>
    <m/>
    <s v="13_인터넷포털"/>
    <n v="0.1"/>
    <d v="2019-04-30T00:00:00"/>
  </r>
  <r>
    <n v="1686"/>
    <s v="8_국립축산과학원"/>
    <s v="1_축산생명환경부"/>
    <x v="7"/>
    <s v="김상호"/>
    <m/>
    <s v="‘전통 한의학’, 반려동물 맞춤형 건강 기술 개발 나서"/>
    <s v="한국농어촌방송"/>
    <d v="2019-04-29T00:00:00"/>
    <m/>
    <s v="13_인터넷포털"/>
    <n v="0.1"/>
    <d v="2019-04-30T00:00:00"/>
  </r>
  <r>
    <n v="1687"/>
    <s v="8_국립축산과학원"/>
    <s v="1_축산생명환경부"/>
    <x v="9"/>
    <s v="전중환"/>
    <m/>
    <s v="나눔축산운동본부·축산바로알리기연구회 ‘축산업에 대한 오해와 진실’ 심포지엄 성료"/>
    <s v="월드스타"/>
    <d v="2019-04-29T00:00:00"/>
    <m/>
    <s v="13_인터넷포털"/>
    <n v="0.1"/>
    <d v="2019-04-30T00:00:00"/>
  </r>
  <r>
    <n v="1688"/>
    <s v="8_국립축산과학원"/>
    <s v="0_본원"/>
    <x v="4"/>
    <s v="허강녕"/>
    <s v="보도자료38"/>
    <s v="5월 2일은 ‘오리데이’...“오리, 오너라!”"/>
    <s v="라이브뉴스"/>
    <d v="2019-04-25T00:00:00"/>
    <m/>
    <s v="13_인터넷포털"/>
    <n v="0.1"/>
    <d v="2019-04-30T00:00:00"/>
  </r>
  <r>
    <n v="1689"/>
    <s v="8_국립축산과학원"/>
    <s v="0_본원"/>
    <x v="4"/>
    <s v="허강녕"/>
    <s v="보도자료38"/>
    <s v="미식남녀를 위한 이색별미 “오리, 오너라!”"/>
    <s v="우리문화신문"/>
    <d v="2019-04-24T00:00:00"/>
    <m/>
    <s v="13_인터넷포털"/>
    <n v="0.1"/>
    <d v="2019-04-30T00:00:00"/>
  </r>
  <r>
    <n v="1690"/>
    <s v="8_국립축산과학원"/>
    <s v="1_축산생명환경부"/>
    <x v="9"/>
    <s v="전중환"/>
    <m/>
    <s v="“축산업 관련 부정적 선입견 해소해야”"/>
    <s v="내일신문"/>
    <d v="2019-04-30T00:00:00"/>
    <m/>
    <s v="07_중앙일간지"/>
    <n v="5"/>
    <d v="2019-05-02T00:00:00"/>
  </r>
  <r>
    <n v="1691"/>
    <s v="8_국립축산과학원"/>
    <s v="2_축산자원개발부"/>
    <x v="8"/>
    <s v="최연호"/>
    <s v="보도자료39"/>
    <s v="체형 우수 젖소 정액 수입 추천 신청하세요"/>
    <s v="한국농촌경제신문"/>
    <d v="2019-04-30T00:00:00"/>
    <m/>
    <s v="09_농업전문지"/>
    <n v="1.5"/>
    <d v="2019-05-02T00:00:00"/>
  </r>
  <r>
    <n v="1692"/>
    <s v="8_국립축산과학원"/>
    <s v="1_축산생명환경부"/>
    <x v="9"/>
    <s v="전중환"/>
    <m/>
    <s v="동물복지는 채식과는 다르다"/>
    <s v="농수축산신문"/>
    <d v="2019-05-01T00:00:00"/>
    <m/>
    <s v="09_농업전문지"/>
    <n v="1.5"/>
    <d v="2019-05-02T00:00:00"/>
  </r>
  <r>
    <n v="1693"/>
    <s v="8_국립축산과학원"/>
    <s v="1_축산생명환경부"/>
    <x v="5"/>
    <s v="김진형"/>
    <m/>
    <s v="‘축산식품의 지속적 성장을 위한 플랫폼 기술’ 학술대회"/>
    <s v="식품저널"/>
    <d v="2019-05-02T00:00:00"/>
    <m/>
    <s v="09_농업전문지"/>
    <n v="1.5"/>
    <d v="2019-05-02T00:00:00"/>
  </r>
  <r>
    <n v="1694"/>
    <s v="8_국립축산과학원"/>
    <s v="2_축산자원개발부"/>
    <x v="6"/>
    <s v="김지혜"/>
    <s v="보도자료40"/>
    <s v="품질이 좋은 건초, 이렇게 만드세요"/>
    <s v="시사뉴스투데이"/>
    <d v="2019-04-30T00:00:00"/>
    <m/>
    <s v="10_기타월간지"/>
    <n v="1"/>
    <d v="2019-05-02T00:00:00"/>
  </r>
  <r>
    <n v="1695"/>
    <s v="8_국립축산과학원"/>
    <s v="2_축산자원개발부"/>
    <x v="6"/>
    <s v="김지혜"/>
    <s v="보도자료40"/>
    <s v="품질이 좋은 건초, 이렇게 만드세요"/>
    <s v="정책브리핑"/>
    <d v="2019-04-30T00:00:00"/>
    <m/>
    <s v="12_대한민국 정책포털(korea.kr)"/>
    <n v="1"/>
    <d v="2019-05-02T00:00:00"/>
  </r>
  <r>
    <n v="1696"/>
    <s v="8_국립축산과학원"/>
    <s v="0_본원"/>
    <x v="11"/>
    <s v="문규철"/>
    <s v="보도자료41"/>
    <s v="농촌진흥청, ‘5월의 새싹’ 어린이 위한 행사 풍성"/>
    <s v="정책브리핑"/>
    <d v="2019-04-29T00:00:00"/>
    <m/>
    <s v="12_대한민국 정책포털(korea.kr)"/>
    <n v="1"/>
    <d v="2019-05-02T00:00:00"/>
  </r>
  <r>
    <n v="1697"/>
    <s v="8_국립축산과학원"/>
    <s v="2_축산자원개발부"/>
    <x v="8"/>
    <s v="박미나"/>
    <m/>
    <s v="전북 축산시험장! 천년전북한우 1호, 2호 국가 보증씨수소 2두 우량정액 공급 박차"/>
    <s v="브릿지경제"/>
    <d v="2019-05-02T00:00:00"/>
    <m/>
    <s v="11_기타(지역주간지)"/>
    <n v="0.5"/>
    <d v="2019-05-02T00:00:00"/>
  </r>
  <r>
    <n v="1698"/>
    <s v="8_국립축산과학원"/>
    <s v="2_축산자원개발부"/>
    <x v="6"/>
    <s v="김지혜"/>
    <s v="보도자료40"/>
    <s v="품질이 좋은 건초, 이렇게 만드세요"/>
    <s v="강원경제신문"/>
    <d v="2019-04-30T00:00:00"/>
    <m/>
    <s v="13_인터넷포털"/>
    <n v="0.1"/>
    <d v="2019-05-02T00:00:00"/>
  </r>
  <r>
    <n v="1699"/>
    <s v="8_국립축산과학원"/>
    <s v="1_축산생명환경부"/>
    <x v="9"/>
    <s v="전중환"/>
    <m/>
    <s v="국내 축산업 동물복지 어찌하오리까"/>
    <s v="팜인사이트"/>
    <d v="2019-05-02T00:00:00"/>
    <m/>
    <s v="13_인터넷포털"/>
    <n v="0.1"/>
    <d v="2019-05-02T00:00:00"/>
  </r>
  <r>
    <n v="1700"/>
    <s v="8_국립축산과학원"/>
    <s v="1_축산생명환경부"/>
    <x v="5"/>
    <s v="김진형"/>
    <m/>
    <s v="축산식품학회, 23일부터 ‘국제 정기학술대회’ 개최"/>
    <s v="라이브뉴스"/>
    <d v="2019-05-02T00:00:00"/>
    <m/>
    <s v="13_인터넷포털"/>
    <n v="0.1"/>
    <d v="2019-05-02T00:00:00"/>
  </r>
  <r>
    <n v="1701"/>
    <s v="8_국립축산과학원"/>
    <s v="1_축산생명환경부"/>
    <x v="5"/>
    <s v="김진형"/>
    <m/>
    <s v="한국축산식품학회 국제학술발표대회"/>
    <s v="보건뉴스"/>
    <d v="2019-05-02T00:00:00"/>
    <m/>
    <s v="13_인터넷포털"/>
    <n v="0.1"/>
    <d v="2019-05-02T00:00:00"/>
  </r>
  <r>
    <n v="1702"/>
    <s v="8_국립축산과학원"/>
    <s v="0_본원"/>
    <x v="13"/>
    <s v="정성훈"/>
    <m/>
    <s v="전남 보성군, 맞춤형 종합컨설팅, 한우농가 기술 해결!"/>
    <s v="전남인터넷신문"/>
    <d v="2019-05-02T00:00:00"/>
    <m/>
    <s v="13_인터넷포털"/>
    <n v="0.1"/>
    <d v="2019-05-02T00:00:00"/>
  </r>
  <r>
    <n v="1703"/>
    <s v="8_국립축산과학원"/>
    <s v="2_축산자원개발부"/>
    <x v="8"/>
    <s v="박미나"/>
    <m/>
    <s v="전북 축산시험장, 천년전북한우 1호, 2호 우량정액 공급 박차!"/>
    <s v="투데이안"/>
    <d v="2019-05-02T00:00:00"/>
    <m/>
    <s v="13_인터넷포털"/>
    <n v="0.1"/>
    <d v="2019-05-02T00:00:00"/>
  </r>
  <r>
    <n v="1704"/>
    <s v="8_국립축산과학원"/>
    <s v="2_축산자원개발부"/>
    <x v="8"/>
    <s v="박미나"/>
    <m/>
    <s v="전북 축산시험장, 국가 보증씨수소 2두 우량정액 공급"/>
    <s v="일간전북"/>
    <d v="2019-05-02T00:00:00"/>
    <m/>
    <s v="13_인터넷포털"/>
    <n v="0.1"/>
    <d v="2019-05-02T00:00:00"/>
  </r>
  <r>
    <n v="1705"/>
    <s v="8_국립축산과학원"/>
    <s v="2_축산자원개발부"/>
    <x v="6"/>
    <s v="김지혜"/>
    <s v="보도자료40"/>
    <s v="품질이 좋은 건초, 이렇게 만드세요"/>
    <s v="국토매일"/>
    <d v="2019-04-30T00:00:00"/>
    <m/>
    <s v="13_인터넷포털"/>
    <n v="0.1"/>
    <d v="2019-05-02T00:00:00"/>
  </r>
  <r>
    <n v="1706"/>
    <s v="8_국립축산과학원"/>
    <s v="2_축산자원개발부"/>
    <x v="6"/>
    <s v="김지혜"/>
    <s v="보도자료40"/>
    <s v="품질이 좋은 건초, 이렇게 만드세요"/>
    <s v="중부뉴스통신"/>
    <d v="2019-04-30T00:00:00"/>
    <m/>
    <s v="13_인터넷포털"/>
    <n v="0.1"/>
    <d v="2019-05-02T00:00:00"/>
  </r>
  <r>
    <n v="1707"/>
    <s v="8_국립축산과학원"/>
    <s v="2_축산자원개발부"/>
    <x v="6"/>
    <s v="김지혜"/>
    <s v="보도자료40"/>
    <s v="품질이 좋은 건초만드는 법"/>
    <s v="뉴스렙"/>
    <d v="2019-04-30T00:00:00"/>
    <m/>
    <s v="13_인터넷포털"/>
    <n v="0.1"/>
    <d v="2019-05-02T00:00:00"/>
  </r>
  <r>
    <n v="1708"/>
    <s v="8_국립축산과학원"/>
    <s v="2_축산자원개발부"/>
    <x v="6"/>
    <s v="김지혜"/>
    <s v="보도자료40"/>
    <s v="품질이 좋은 건초, 이렇게 만드세요"/>
    <s v="굿뉴스365"/>
    <d v="2019-04-30T00:00:00"/>
    <m/>
    <s v="13_인터넷포털"/>
    <n v="0.1"/>
    <d v="2019-05-02T00:00:00"/>
  </r>
  <r>
    <n v="1709"/>
    <s v="8_국립축산과학원"/>
    <s v="0_본원"/>
    <x v="11"/>
    <s v="문규철"/>
    <s v="보도자료41"/>
    <s v="농촌진흥청, ‘5월의 새싹’ 어린이 위한 행사 풍성"/>
    <s v="서울Pn"/>
    <d v="2019-04-29T00:00:00"/>
    <m/>
    <s v="13_인터넷포털"/>
    <n v="0.1"/>
    <d v="2019-05-02T00:00:00"/>
  </r>
  <r>
    <n v="1710"/>
    <s v="8_국립축산과학원"/>
    <s v="1_축산생명환경부"/>
    <x v="5"/>
    <s v="김진형"/>
    <m/>
    <s v="한국축산식품학회 제51차 국제 정기 학술발표대회"/>
    <s v="식품음료신문"/>
    <d v="2019-05-02T00:00:00"/>
    <m/>
    <s v="09_농업전문지"/>
    <n v="1.5"/>
    <d v="2019-05-03T00:00:00"/>
  </r>
  <r>
    <n v="1711"/>
    <s v="8_국립축산과학원"/>
    <s v="2_축산자원개발부"/>
    <x v="6"/>
    <s v="김지혜"/>
    <s v="보도자료40"/>
    <s v="품질 좋은 건초, 이렇게 만드세요"/>
    <s v="농축유통신문"/>
    <d v="2019-05-03T00:00:00"/>
    <m/>
    <s v="09_농업전문지"/>
    <n v="1.5"/>
    <d v="2019-05-03T00:00:00"/>
  </r>
  <r>
    <n v="1712"/>
    <s v="8_국립축산과학원"/>
    <s v="2_축산자원개발부"/>
    <x v="8"/>
    <s v="최연호"/>
    <s v="보도자료39"/>
    <s v="체형 우수 젖소 정액 수입 추천 신청"/>
    <s v="농축유통신문"/>
    <d v="2019-05-03T00:00:00"/>
    <m/>
    <s v="09_농업전문지"/>
    <n v="1.5"/>
    <d v="2019-05-03T00:00:00"/>
  </r>
  <r>
    <n v="1713"/>
    <s v="8_국립축산과학원"/>
    <s v="0_본원"/>
    <x v="11"/>
    <s v="문규철"/>
    <s v="보도자료41"/>
    <s v="치즈 만들며 축산업 이해해요~"/>
    <s v="농촌여성신문"/>
    <d v="2019-05-03T00:00:00"/>
    <m/>
    <s v="09_농업전문지"/>
    <n v="1.5"/>
    <d v="2019-05-03T00:00:00"/>
  </r>
  <r>
    <n v="1714"/>
    <s v="8_국립축산과학원"/>
    <s v="2_축산자원개발부"/>
    <x v="6"/>
    <s v="김지혜"/>
    <s v="보도자료40"/>
    <s v="농진청, 품질 좋은 건초 만다는 법 소개"/>
    <s v="전라일보"/>
    <d v="2019-04-29T00:00:00"/>
    <m/>
    <s v="09_지방일간지"/>
    <n v="1.5"/>
    <d v="2019-05-03T00:00:00"/>
  </r>
  <r>
    <n v="1715"/>
    <s v="8_국립축산과학원"/>
    <s v="0_본원"/>
    <x v="2"/>
    <s v="박태완"/>
    <s v="보도자료35"/>
    <s v="농진청, ‘온라인 자문단’ 통해 국민 정보 접근 힘쓴다"/>
    <s v="전북일보"/>
    <d v="2019-04-11T00:00:00"/>
    <m/>
    <s v="09_지방일간지"/>
    <n v="1.5"/>
    <d v="2019-05-03T00:00:00"/>
  </r>
  <r>
    <n v="1716"/>
    <s v="8_국립축산과학원"/>
    <s v="0_본원"/>
    <x v="10"/>
    <s v="신상민"/>
    <s v="보도자료42"/>
    <s v="초여름, 진드기 피해를 줄이는 방법"/>
    <s v="정책브리핑"/>
    <d v="2019-05-03T00:00:00"/>
    <m/>
    <s v="12_대한민국 정책포털(korea.kr)"/>
    <n v="1"/>
    <d v="2019-05-03T00:00:00"/>
  </r>
  <r>
    <n v="1717"/>
    <s v="8_국립축산과학원"/>
    <s v="2_축산자원개발부"/>
    <x v="8"/>
    <s v="박미나"/>
    <m/>
    <s v="전북도, 전북 축산시험장! 천년전북한우 1호, 2호 국가보증씨수소 2두 우량 정액 공급 박차!!"/>
    <s v="경인투데이뉴스"/>
    <d v="2019-05-02T00:00:00"/>
    <m/>
    <s v="13_인터넷포털"/>
    <n v="0.1"/>
    <d v="2019-05-03T00:00:00"/>
  </r>
  <r>
    <n v="1718"/>
    <s v="8_국립축산과학원"/>
    <s v="0_본원"/>
    <x v="10"/>
    <s v="신상민"/>
    <s v="보도자료42"/>
    <s v="초여름, 진드기 피해를 줄이는 방법"/>
    <s v="전남인터넷신문"/>
    <d v="2019-05-03T00:00:00"/>
    <m/>
    <s v="13_인터넷포털"/>
    <n v="0.1"/>
    <d v="2019-05-03T00:00:00"/>
  </r>
  <r>
    <n v="1719"/>
    <s v="8_국립축산과학원"/>
    <s v="0_본원"/>
    <x v="2"/>
    <s v="박태완"/>
    <s v="보도자료35"/>
    <s v="축산정보서비스, ‘온라인 자문단’과 함께 만든다"/>
    <s v="한국뉴스"/>
    <d v="2019-04-12T00:00:00"/>
    <m/>
    <s v="13_인터넷포털"/>
    <n v="0.1"/>
    <d v="2019-05-03T00:00:00"/>
  </r>
  <r>
    <n v="1720"/>
    <s v="8_국립축산과학원"/>
    <s v="0_본원"/>
    <x v="4"/>
    <s v="천동원"/>
    <s v="기고"/>
    <s v="[기고] 천동원 소장-축산현장 애로기술 해결 위한 닭 키우기[100문 100답] Q38"/>
    <s v="축산신문"/>
    <d v="2019-04-26T00:00:00"/>
    <m/>
    <s v="17_농업전문지"/>
    <n v="8"/>
    <d v="2019-05-07T00:00:00"/>
  </r>
  <r>
    <n v="1721"/>
    <s v="8_국립축산과학원"/>
    <s v="0_본원"/>
    <x v="4"/>
    <s v="천동원"/>
    <s v="기고"/>
    <s v="[기고] 천동원 소장-축산현장 애로기술 해결 위한 닭 키우기[100문 100답] Q39"/>
    <s v="축산신문"/>
    <d v="2019-05-03T00:00:00"/>
    <n v="15"/>
    <s v="17_농업전문지"/>
    <n v="8"/>
    <d v="2019-05-07T00:00:00"/>
  </r>
  <r>
    <n v="1722"/>
    <s v="8_국립축산과학원"/>
    <s v="1_축산생명환경부"/>
    <x v="5"/>
    <s v="유자연"/>
    <s v="기고"/>
    <s v="[기고] 유자연 연구사-국내치즈산업 돌파구, 목장형 자연치즈"/>
    <s v="농수축산신문"/>
    <d v="2019-05-03T00:00:00"/>
    <n v="7"/>
    <s v="17_농업전문지"/>
    <n v="8"/>
    <d v="2019-05-07T00:00:00"/>
  </r>
  <r>
    <n v="1723"/>
    <s v="8_국립축산과학원"/>
    <s v="0_본원"/>
    <x v="10"/>
    <s v="신상민"/>
    <s v="보도자료42"/>
    <s v="초여름, 진드기 피해를 줄이는 방법"/>
    <s v="서울신문"/>
    <d v="2019-05-03T00:00:00"/>
    <m/>
    <s v="07_중앙일간지"/>
    <n v="5"/>
    <d v="2019-05-07T00:00:00"/>
  </r>
  <r>
    <n v="1724"/>
    <s v="8_국립축산과학원"/>
    <s v="0_본원"/>
    <x v="13"/>
    <s v="유지현"/>
    <m/>
    <s v="토끼와 교감하는 시간이 특별한 ‘학교깡총’(포토뉴스)"/>
    <s v="환경일보"/>
    <d v="2019-05-03T00:00:00"/>
    <n v="11"/>
    <s v="08_기타일간지"/>
    <n v="2"/>
    <d v="2019-05-07T00:00:00"/>
  </r>
  <r>
    <n v="1725"/>
    <s v="8_국립축산과학원"/>
    <s v="2_축산자원개발부"/>
    <x v="8"/>
    <s v="최연호"/>
    <s v="보도자료39"/>
    <s v="“체형 우수 젖소 정액 수입 추천 신청하세요”"/>
    <s v="축산신문"/>
    <d v="2019-05-03T00:00:00"/>
    <n v="12"/>
    <s v="09_농업전문지"/>
    <n v="1.5"/>
    <d v="2019-05-07T00:00:00"/>
  </r>
  <r>
    <n v="1726"/>
    <s v="8_국립축산과학원"/>
    <s v="1_축산생명환경부"/>
    <x v="7"/>
    <s v="백열창"/>
    <s v="보도자료36"/>
    <s v="PC로 쉽게 한우 사료 배합 가능"/>
    <s v="한국농기계신문"/>
    <d v="2019-04-30T00:00:00"/>
    <n v="9"/>
    <s v="09_농업전문지"/>
    <n v="1.5"/>
    <d v="2019-05-07T00:00:00"/>
  </r>
  <r>
    <n v="1727"/>
    <s v="8_국립축산과학원"/>
    <s v="1_축산생명환경부"/>
    <x v="9"/>
    <s v="전중환"/>
    <m/>
    <s v="‘안티축산’ 땜질식 대응 탈피를"/>
    <s v="축산신문"/>
    <d v="2019-05-03T00:00:00"/>
    <n v="1"/>
    <s v="09_농업전문지"/>
    <n v="1.5"/>
    <d v="2019-05-07T00:00:00"/>
  </r>
  <r>
    <n v="1728"/>
    <s v="8_국립축산과학원"/>
    <s v="2_축산자원개발부"/>
    <x v="6"/>
    <s v="지희정"/>
    <s v="보도자료37"/>
    <s v="추위 강하고 수확량 많은 라이그라스 개발"/>
    <s v="한국농어민신문"/>
    <d v="2019-05-03T00:00:00"/>
    <m/>
    <s v="09_농업전문지"/>
    <n v="1.5"/>
    <d v="2019-05-07T00:00:00"/>
  </r>
  <r>
    <n v="1729"/>
    <s v="8_국립축산과학원"/>
    <s v="1_축산생명환경부"/>
    <x v="9"/>
    <s v="전중환"/>
    <m/>
    <s v="동물복지 인증농장, 증가속도 더디다"/>
    <s v="농촌여성신문"/>
    <d v="2019-05-03T00:00:00"/>
    <m/>
    <s v="09_농업전문지"/>
    <n v="1.5"/>
    <d v="2019-05-07T00:00:00"/>
  </r>
  <r>
    <n v="1730"/>
    <s v="8_국립축산과학원"/>
    <s v="2_축산자원개발부"/>
    <x v="6"/>
    <s v="김지혜"/>
    <s v="보도자료40"/>
    <s v="“질 좋은 건초, 이렇게 만드세요”"/>
    <s v="한국영농신문"/>
    <d v="2019-05-06T00:00:00"/>
    <m/>
    <s v="09_농업전문지"/>
    <n v="1.5"/>
    <d v="2019-05-07T00:00:00"/>
  </r>
  <r>
    <n v="1731"/>
    <s v="8_국립축산과학원"/>
    <s v="0_본원"/>
    <x v="10"/>
    <s v="신상민"/>
    <s v="보도자료42"/>
    <s v="초여름, 진드기 피해 줄이는 방법은?"/>
    <s v="한국영농신문"/>
    <d v="2019-05-04T00:00:00"/>
    <m/>
    <s v="09_농업전문지"/>
    <n v="1.5"/>
    <d v="2019-05-07T00:00:00"/>
  </r>
  <r>
    <n v="1732"/>
    <s v="8_국립축산과학원"/>
    <s v="2_축산자원개발부"/>
    <x v="8"/>
    <s v="박미나"/>
    <m/>
    <s v="천년전북한우 1·2호 우량정액, 1만 5천개 공급"/>
    <s v="전라매일"/>
    <d v="2019-05-03T00:00:00"/>
    <n v="2"/>
    <s v="09_지방일간지"/>
    <n v="1.5"/>
    <d v="2019-05-07T00:00:00"/>
  </r>
  <r>
    <n v="1733"/>
    <s v="8_국립축산과학원"/>
    <s v="2_축산자원개발부"/>
    <x v="8"/>
    <s v="박미나"/>
    <m/>
    <s v="도축산시험장, 한우 우량정액 공급 박차"/>
    <s v="전북연합신문"/>
    <d v="2019-05-03T00:00:00"/>
    <n v="5"/>
    <s v="09_지방일간지"/>
    <n v="1.5"/>
    <d v="2019-05-07T00:00:00"/>
  </r>
  <r>
    <n v="1734"/>
    <s v="8_국립축산과학원"/>
    <s v="0_본원"/>
    <x v="11"/>
    <s v="문규철"/>
    <s v="보도자료41"/>
    <s v="농촌진흥청, ‘5월의 새싹’ 어린이 위한 행사 풍성"/>
    <s v="전북도민일보"/>
    <d v="2019-05-03T00:00:00"/>
    <m/>
    <s v="09_지방일간지"/>
    <n v="1.5"/>
    <d v="2019-05-07T00:00:00"/>
  </r>
  <r>
    <n v="1735"/>
    <s v="8_국립축산과학원"/>
    <s v="0_본원"/>
    <x v="10"/>
    <s v="신상민"/>
    <s v="보도자료42"/>
    <s v="말 방목, 진드기 매개 원충성 질병 철저히 예방"/>
    <s v="식약일보"/>
    <d v="2019-05-03T00:00:00"/>
    <m/>
    <s v="10_기타전문지"/>
    <n v="1"/>
    <d v="2019-05-07T00:00:00"/>
  </r>
  <r>
    <n v="1736"/>
    <s v="8_국립축산과학원"/>
    <s v="0_본원"/>
    <x v="10"/>
    <s v="신상민"/>
    <s v="보도자료42"/>
    <s v="농촌진흥청, 초여름, 진드기 피해를 줄이는 예방법 안내"/>
    <s v="한국공보뉴스"/>
    <d v="2019-05-03T00:00:00"/>
    <m/>
    <s v="13_인터넷포털"/>
    <n v="0.1"/>
    <d v="2019-05-07T00:00:00"/>
  </r>
  <r>
    <n v="1737"/>
    <s v="8_국립축산과학원"/>
    <s v="0_본원"/>
    <x v="10"/>
    <s v="신상민"/>
    <s v="보도자료42"/>
    <s v="초여름, 진드기 피해를 줄이는 방법"/>
    <s v="경기앤뉴스"/>
    <d v="2019-05-03T00:00:00"/>
    <m/>
    <s v="13_인터넷포털"/>
    <n v="0.1"/>
    <d v="2019-05-07T00:00:00"/>
  </r>
  <r>
    <n v="1738"/>
    <s v="8_국립축산과학원"/>
    <s v="0_본원"/>
    <x v="10"/>
    <s v="신상민"/>
    <s v="보도자료42"/>
    <s v="초여름, 진드기 피해를 줄이는 방법"/>
    <s v="강원경제신문"/>
    <d v="2019-05-03T00:00:00"/>
    <m/>
    <s v="13_인터넷포털"/>
    <n v="0.1"/>
    <d v="2019-05-07T00:00:00"/>
  </r>
  <r>
    <n v="1739"/>
    <s v="8_국립축산과학원"/>
    <s v="0_본원"/>
    <x v="10"/>
    <s v="신상민"/>
    <s v="보도자료42"/>
    <s v="농진청, “초여름 진드기 피해, 이렇게 해결하세요”"/>
    <s v="스트레이트뉴스"/>
    <d v="2019-05-03T00:00:00"/>
    <m/>
    <s v="13_인터넷포털"/>
    <n v="0.1"/>
    <d v="2019-05-07T00:00:00"/>
  </r>
  <r>
    <n v="1740"/>
    <s v="8_국립축산과학원"/>
    <s v="0_본원"/>
    <x v="10"/>
    <s v="신상민"/>
    <s v="보도자료42"/>
    <s v="“초여름 진드기 피해, 이렇게 예방하세요”"/>
    <s v="국제일보"/>
    <d v="2019-05-03T00:00:00"/>
    <m/>
    <s v="13_인터넷포털"/>
    <n v="0.1"/>
    <d v="2019-05-07T00:00:00"/>
  </r>
  <r>
    <n v="1741"/>
    <s v="8_국립축산과학원"/>
    <s v="0_본원"/>
    <x v="10"/>
    <s v="신상민"/>
    <s v="보도자료42"/>
    <s v="초여름, 진드기 피해를 줄이는 방법"/>
    <s v="국토매일"/>
    <d v="2019-05-03T00:00:00"/>
    <m/>
    <s v="13_인터넷포털"/>
    <n v="0.1"/>
    <d v="2019-05-07T00:00:00"/>
  </r>
  <r>
    <n v="1742"/>
    <s v="8_국립축산과학원"/>
    <s v="0_본원"/>
    <x v="4"/>
    <s v="천동원"/>
    <s v="기고"/>
    <s v="[기고] 천동원 소장-축산현장 애로기술 해결 위한 닭 키우기[100문 100답] Q41-44"/>
    <s v="축산신문"/>
    <d v="2019-05-07T00:00:00"/>
    <n v="15"/>
    <s v="17_농업전문지"/>
    <n v="8"/>
    <d v="2019-05-08T00:00:00"/>
  </r>
  <r>
    <n v="1743"/>
    <s v="8_국립축산과학원"/>
    <s v="2_축산자원개발부"/>
    <x v="8"/>
    <s v="최연호"/>
    <s v="보도자료39"/>
    <s v="체형 우수 젖소 정액 수입 추천 신청하세요!"/>
    <s v="농업인신문"/>
    <d v="2019-05-06T00:00:00"/>
    <n v="4"/>
    <s v="09_농업전문지"/>
    <n v="1.5"/>
    <d v="2019-05-08T00:00:00"/>
  </r>
  <r>
    <n v="1744"/>
    <s v="8_국립축산과학원"/>
    <s v="2_축산자원개발부"/>
    <x v="8"/>
    <s v="박범영"/>
    <m/>
    <s v="종축개량 50년…새도약의 50년 다짐(포토뉴스)"/>
    <s v="축산신문"/>
    <d v="2019-05-07T00:00:00"/>
    <n v="1"/>
    <s v="09_농업전문지"/>
    <n v="1.5"/>
    <d v="2019-05-08T00:00:00"/>
  </r>
  <r>
    <n v="1745"/>
    <s v="8_국립축산과학원"/>
    <s v="2_축산자원개발부"/>
    <x v="8"/>
    <s v="박범영"/>
    <m/>
    <s v="개량으로 한국 축산업 경쟁력 이끈다"/>
    <s v="농수축산신문"/>
    <d v="2019-05-07T00:00:00"/>
    <n v="6"/>
    <s v="09_농업전문지"/>
    <n v="1.5"/>
    <d v="2019-05-08T00:00:00"/>
  </r>
  <r>
    <n v="1746"/>
    <s v="8_국립축산과학원"/>
    <s v="0_본원"/>
    <x v="13"/>
    <s v="오형규"/>
    <m/>
    <s v="장흥한우 사양기술 교육 강화"/>
    <s v="축산신문"/>
    <d v="2019-05-07T00:00:00"/>
    <n v="4"/>
    <s v="09_농업전문지"/>
    <n v="1.5"/>
    <d v="2019-05-08T00:00:00"/>
  </r>
  <r>
    <n v="1747"/>
    <s v="8_국립축산과학원"/>
    <s v="0_본원"/>
    <x v="11"/>
    <s v="문규철"/>
    <s v="보도자료41"/>
    <s v="“연구 현장 보고~ 치즈도 만들고~”"/>
    <s v="대한급식신문"/>
    <d v="2019-05-07T00:00:00"/>
    <m/>
    <s v="09_농업전문지"/>
    <n v="1.5"/>
    <d v="2019-05-08T00:00:00"/>
  </r>
  <r>
    <n v="1748"/>
    <s v="8_국립축산과학원"/>
    <s v="2_축산자원개발부"/>
    <x v="6"/>
    <s v="양승학"/>
    <s v="보도자료43"/>
    <s v="드론, 풀사료 적기 파종"/>
    <s v="팜&amp;마켓매거진"/>
    <d v="2019-05-07T00:00:00"/>
    <m/>
    <s v="09_농업전문지"/>
    <n v="1.5"/>
    <d v="2019-05-08T00:00:00"/>
  </r>
  <r>
    <n v="1749"/>
    <s v="8_국립축산과학원"/>
    <s v="0_본원"/>
    <x v="11"/>
    <s v="문규철"/>
    <s v="보도자료41"/>
    <s v="농진청, 어린이 초청 행사 가져"/>
    <s v="전민일보"/>
    <d v="2019-05-07T00:00:00"/>
    <n v="5"/>
    <s v="09_지방일간지"/>
    <n v="1.5"/>
    <d v="2019-05-08T00:00:00"/>
  </r>
  <r>
    <n v="1750"/>
    <s v="8_국립축산과학원"/>
    <s v="0_본원"/>
    <x v="11"/>
    <s v="문규철"/>
    <s v="보도자료41"/>
    <s v="농진청 축산과학원에 어린이 초청 견학-체험"/>
    <s v="전북중앙"/>
    <d v="2019-05-07T00:00:00"/>
    <n v="6"/>
    <s v="09_지방일간지"/>
    <n v="1.5"/>
    <d v="2019-05-08T00:00:00"/>
  </r>
  <r>
    <n v="1751"/>
    <s v="8_국립축산과학원"/>
    <s v="0_본원"/>
    <x v="11"/>
    <s v="문규철"/>
    <s v="보도자료41"/>
    <s v="농진청, 어린이 날 맞아 견학 행사"/>
    <s v="전북일보"/>
    <d v="2019-05-07T00:00:00"/>
    <n v="6"/>
    <s v="09_지방일간지"/>
    <n v="1.5"/>
    <d v="2019-05-08T00:00:00"/>
  </r>
  <r>
    <n v="1752"/>
    <s v="8_국립축산과학원"/>
    <s v="2_축산자원개발부"/>
    <x v="6"/>
    <s v="양승학"/>
    <s v="보도자료43"/>
    <s v="사료작물 적기파종 “드론이 효자”"/>
    <s v="농업경제신문"/>
    <d v="2019-05-08T00:00:00"/>
    <m/>
    <s v="13_인터넷포털"/>
    <n v="0.1"/>
    <d v="2019-05-08T00:00:00"/>
  </r>
  <r>
    <n v="1753"/>
    <s v="8_국립축산과학원"/>
    <s v="0_본원"/>
    <x v="10"/>
    <s v="신상민"/>
    <s v="보도자료42"/>
    <s v="“초여름 진드기 피해, 이렇게 예방하세요”"/>
    <s v="국제뉴스"/>
    <d v="2019-05-04T00:00:00"/>
    <m/>
    <s v="13_인터넷포털"/>
    <n v="0.1"/>
    <d v="2019-05-08T00:00:00"/>
  </r>
  <r>
    <n v="1754"/>
    <s v="8_국립축산과학원"/>
    <s v="2_축산자원개발부"/>
    <x v="6"/>
    <s v="양승학"/>
    <s v="보도자료43"/>
    <s v="드론으로 한우 사료 재배한다'…고품질 풀사료 첫 수확(뉴스오늘)"/>
    <s v="TV조선"/>
    <d v="2019-05-08T00:00:00"/>
    <m/>
    <s v="02_TV-종합편성채널"/>
    <n v="4"/>
    <d v="2019-05-09T00:00:00"/>
  </r>
  <r>
    <n v="1755"/>
    <s v="8_국립축산과학원"/>
    <s v="2_축산자원개발부"/>
    <x v="6"/>
    <s v="양승학"/>
    <s v="보도자료43"/>
    <s v="열일하는 드론, 풀사료 적기파종에 효자 노릇 톡톡!"/>
    <s v="서울신문"/>
    <d v="2019-05-08T00:00:00"/>
    <m/>
    <s v="07_중앙일간지"/>
    <n v="5"/>
    <d v="2019-05-09T00:00:00"/>
  </r>
  <r>
    <n v="1756"/>
    <s v="8_국립축산과학원"/>
    <s v="2_축산자원개발부"/>
    <x v="6"/>
    <s v="양승학"/>
    <s v="보도자료43"/>
    <s v="‘드론 파종 동계사료작물 수확 연시회’ (포토뉴스)"/>
    <s v="연합뉴스"/>
    <d v="2019-05-08T00:00:00"/>
    <m/>
    <s v="07_중앙일간지"/>
    <n v="5"/>
    <d v="2019-05-09T00:00:00"/>
  </r>
  <r>
    <n v="1757"/>
    <s v="8_국립축산과학원"/>
    <s v="2_축산자원개발부"/>
    <x v="6"/>
    <s v="양승학"/>
    <s v="보도자료43"/>
    <s v="드론 파종 동계사료작물 수확 연시회(포토뉴스)"/>
    <s v="뉴시스"/>
    <d v="2019-05-08T00:00:00"/>
    <m/>
    <s v="07_중앙일간지"/>
    <n v="5"/>
    <d v="2019-05-09T00:00:00"/>
  </r>
  <r>
    <n v="1758"/>
    <s v="8_국립축산과학원"/>
    <s v="2_축산자원개발부"/>
    <x v="6"/>
    <s v="양승학"/>
    <s v="보도자료43"/>
    <s v="‘이탈리안 라이그라스 재배 현황은?’ (포토뉴스)"/>
    <s v="뉴스1"/>
    <d v="2019-05-08T00:00:00"/>
    <m/>
    <s v="07_중앙일간지"/>
    <n v="5"/>
    <d v="2019-05-09T00:00:00"/>
  </r>
  <r>
    <n v="1759"/>
    <s v="8_국립축산과학원"/>
    <s v="2_축산자원개발부"/>
    <x v="6"/>
    <s v="지희정"/>
    <m/>
    <s v="보령시, 양질의 조사료 생산으로 축산경영 개선 도모"/>
    <s v="아주경제"/>
    <d v="2019-05-08T00:00:00"/>
    <m/>
    <s v="07_중앙일간지"/>
    <n v="5"/>
    <d v="2019-05-09T00:00:00"/>
  </r>
  <r>
    <n v="1760"/>
    <s v="8_국립축산과학원"/>
    <s v="2_축산자원개발부"/>
    <x v="6"/>
    <s v="양승학"/>
    <s v="보도자료43"/>
    <s v="드론으로 풀사료 파종"/>
    <s v="환경일보"/>
    <d v="2019-05-09T00:00:00"/>
    <m/>
    <s v="08_기타일간지"/>
    <n v="2"/>
    <d v="2019-05-09T00:00:00"/>
  </r>
  <r>
    <n v="1761"/>
    <s v="8_국립축산과학원"/>
    <s v="0_본원"/>
    <x v="13"/>
    <s v="정성훈"/>
    <m/>
    <s v="경주시농업기술센터-국립축산과학원, 젖소 농가 애로문제 해결"/>
    <s v="아시아일보"/>
    <d v="2019-05-09T00:00:00"/>
    <m/>
    <s v="08_기타일간지"/>
    <n v="2"/>
    <d v="2019-05-09T00:00:00"/>
  </r>
  <r>
    <n v="1762"/>
    <s v="8_국립축산과학원"/>
    <s v="2_축산자원개발부"/>
    <x v="6"/>
    <s v="김지혜"/>
    <s v="보도자료40"/>
    <s v="동계 사료작물 수확 ‘수분량 20% 이하로’"/>
    <s v="농축환경신문"/>
    <d v="2019-05-02T00:00:00"/>
    <n v="5"/>
    <s v="09_농업전문지"/>
    <n v="1.5"/>
    <d v="2019-05-09T00:00:00"/>
  </r>
  <r>
    <n v="1763"/>
    <s v="8_국립축산과학원"/>
    <s v="2_축산자원개발부"/>
    <x v="8"/>
    <s v="최연호"/>
    <s v="보도자료39"/>
    <s v="체형 우수젖소 정액수입 추천 신청 접수"/>
    <s v="농축환경신문"/>
    <d v="2019-05-02T00:00:00"/>
    <n v="5"/>
    <s v="09_농업전문지"/>
    <n v="1.5"/>
    <d v="2019-05-09T00:00:00"/>
  </r>
  <r>
    <n v="1764"/>
    <s v="8_국립축산과학원"/>
    <s v="2_축산자원개발부"/>
    <x v="6"/>
    <s v="김지혜"/>
    <s v="보도자료40"/>
    <s v="축산과학원 “3~4일이면 건초 생산 가능”"/>
    <s v="한국농어민신문"/>
    <d v="2019-05-08T00:00:00"/>
    <m/>
    <s v="09_농업전문지"/>
    <n v="1.5"/>
    <d v="2019-05-09T00:00:00"/>
  </r>
  <r>
    <n v="1765"/>
    <s v="8_국립축산과학원"/>
    <s v="2_축산자원개발부"/>
    <x v="6"/>
    <s v="양승학"/>
    <s v="보도자료43"/>
    <s v="“열일하는 ‘드론’, 풀사료 적기파종에 효자”"/>
    <s v="전업농신문"/>
    <d v="2019-05-08T00:00:00"/>
    <m/>
    <s v="09_농업전문지"/>
    <n v="1.5"/>
    <d v="2019-05-09T00:00:00"/>
  </r>
  <r>
    <n v="1766"/>
    <s v="8_국립축산과학원"/>
    <s v="2_축산자원개발부"/>
    <x v="6"/>
    <s v="양승학"/>
    <s v="보도자료43"/>
    <s v="드론, 사료작물 적기 파종에 좋아"/>
    <s v="농촌여성신문"/>
    <d v="2019-05-09T00:00:00"/>
    <m/>
    <s v="09_농업전문지"/>
    <n v="1.5"/>
    <d v="2019-05-09T00:00:00"/>
  </r>
  <r>
    <n v="1767"/>
    <s v="8_국립축산과학원"/>
    <s v="2_축산자원개발부"/>
    <x v="6"/>
    <s v="양승학"/>
    <s v="보도자료43"/>
    <s v="농진청 드론 농업 활용 조사료 생산 보급 확대"/>
    <s v="전북중앙"/>
    <d v="2019-05-08T00:00:00"/>
    <n v="6"/>
    <s v="09_지방일간지"/>
    <n v="1.5"/>
    <d v="2019-05-09T00:00:00"/>
  </r>
  <r>
    <n v="1768"/>
    <s v="8_국립축산과학원"/>
    <s v="0_본원"/>
    <x v="10"/>
    <s v="신상민"/>
    <s v="보도자료42"/>
    <s v="초여름, 진드기 피해를 줄이는 방법"/>
    <s v="전북도민일보"/>
    <d v="2019-05-02T00:00:00"/>
    <m/>
    <s v="09_지방일간지"/>
    <n v="1.5"/>
    <d v="2019-05-09T00:00:00"/>
  </r>
  <r>
    <n v="1769"/>
    <s v="8_국립축산과학원"/>
    <s v="2_축산자원개발부"/>
    <x v="6"/>
    <s v="양승학"/>
    <s v="보도자료43"/>
    <s v="풀사료 드론 파종 기술 적용"/>
    <s v="식약일보"/>
    <d v="2019-05-08T00:00:00"/>
    <m/>
    <s v="10_기타전문지"/>
    <n v="1"/>
    <d v="2019-05-09T00:00:00"/>
  </r>
  <r>
    <n v="1770"/>
    <s v="8_국립축산과학원"/>
    <s v="2_축산자원개발부"/>
    <x v="6"/>
    <s v="양승학"/>
    <s v="보도자료43"/>
    <s v="열일하는 드론, 풀사료 적기파종에 효자 노릇 톡톡"/>
    <s v="국토매일"/>
    <d v="2019-05-08T00:00:00"/>
    <m/>
    <s v="13_인터넷포털"/>
    <n v="0.1"/>
    <d v="2019-05-09T00:00:00"/>
  </r>
  <r>
    <n v="1771"/>
    <s v="8_국립축산과학원"/>
    <s v="2_축산자원개발부"/>
    <x v="6"/>
    <s v="양승학"/>
    <s v="보도자료43"/>
    <s v="열일하는 드론, 풀사료 적기파종에 효자 노릇 톡톡"/>
    <s v="강원경제신문"/>
    <d v="2019-05-08T00:00:00"/>
    <m/>
    <s v="13_인터넷포털"/>
    <n v="0.1"/>
    <d v="2019-05-09T00:00:00"/>
  </r>
  <r>
    <n v="1772"/>
    <s v="8_국립축산과학원"/>
    <s v="0_본원"/>
    <x v="13"/>
    <s v="정성훈"/>
    <m/>
    <s v="경주시, 전문가 컨설팅으로 젖소 농가 애로문제 해결"/>
    <s v="국제i저널"/>
    <d v="2019-05-09T00:00:00"/>
    <m/>
    <s v="13_인터넷포털"/>
    <n v="0.1"/>
    <d v="2019-05-09T00:00:00"/>
  </r>
  <r>
    <n v="1773"/>
    <s v="8_국립축산과학원"/>
    <s v="0_본원"/>
    <x v="13"/>
    <s v="정성훈"/>
    <m/>
    <s v="경주시, 맞춤형 종합 컨설팅 젖소 농가 애로문제 해결"/>
    <s v="프라임경북뉴스"/>
    <d v="2019-05-09T00:00:00"/>
    <m/>
    <s v="13_인터넷포털"/>
    <n v="0.1"/>
    <d v="2019-05-09T00:00:00"/>
  </r>
  <r>
    <n v="1774"/>
    <s v="8_국립축산과학원"/>
    <s v="0_본원"/>
    <x v="13"/>
    <s v="정성훈"/>
    <m/>
    <s v="경주시, 낙농가 애로사항 ‘맞춤형 종합 컨설팅’으로 해결"/>
    <s v="CBN뉴스"/>
    <d v="2019-05-09T00:00:00"/>
    <m/>
    <s v="13_인터넷포털"/>
    <n v="0.1"/>
    <d v="2019-05-09T00:00:00"/>
  </r>
  <r>
    <n v="1775"/>
    <s v="8_국립축산과학원"/>
    <s v="0_본원"/>
    <x v="13"/>
    <s v="정성훈"/>
    <m/>
    <s v="경주시, 젖소 농가 애로사항 전문가 컨설팅 실시"/>
    <s v="NSP통신"/>
    <d v="2019-05-09T00:00:00"/>
    <m/>
    <s v="13_인터넷포털"/>
    <n v="0.1"/>
    <d v="2019-05-09T00:00:00"/>
  </r>
  <r>
    <n v="1776"/>
    <s v="8_국립축산과학원"/>
    <s v="0_본원"/>
    <x v="13"/>
    <s v="정성훈"/>
    <m/>
    <s v="경주시, 젖소 농가 애로사항 전문가 컨설팅으로 해결"/>
    <s v="드림저널"/>
    <d v="2019-05-09T00:00:00"/>
    <m/>
    <s v="13_인터넷포털"/>
    <n v="0.1"/>
    <d v="2019-05-09T00:00:00"/>
  </r>
  <r>
    <n v="1777"/>
    <s v="8_국립축산과학원"/>
    <s v="0_본원"/>
    <x v="13"/>
    <s v="정성훈"/>
    <m/>
    <s v="경주시 전문가 컨설팅으로 젖소 농가 애로문제 해결"/>
    <s v="GBN경북방송"/>
    <d v="2019-05-09T00:00:00"/>
    <m/>
    <s v="13_인터넷포털"/>
    <n v="0.1"/>
    <d v="2019-05-09T00:00:00"/>
  </r>
  <r>
    <n v="1778"/>
    <s v="8_국립축산과학원"/>
    <s v="0_본원"/>
    <x v="11"/>
    <s v="문규철"/>
    <s v="보도자료44"/>
    <s v="농진청, 축산업 발전 위한 희생 동물 넋 위로"/>
    <s v="프레시안"/>
    <d v="2019-05-09T00:00:00"/>
    <m/>
    <s v="13_인터넷포털"/>
    <n v="0.1"/>
    <d v="2019-05-09T00:00:00"/>
  </r>
  <r>
    <n v="1779"/>
    <s v="8_국립축산과학원"/>
    <s v="0_본원"/>
    <x v="13"/>
    <s v="정성훈"/>
    <m/>
    <s v="경주시농업기술센터, 전문가 컨설팅으로 젖소농가 애로문제 해결"/>
    <s v="내외뉴스통신"/>
    <d v="2019-05-09T00:00:00"/>
    <m/>
    <s v="13_인터넷포털"/>
    <n v="0.1"/>
    <d v="2019-05-09T00:00:00"/>
  </r>
  <r>
    <n v="1780"/>
    <s v="8_국립축산과학원"/>
    <s v="0_본원"/>
    <x v="10"/>
    <s v="신상민"/>
    <s v="보도자료42"/>
    <s v="초여름, 진드기 피해를 줄이는 방법"/>
    <s v="굿뉴스365"/>
    <d v="2019-05-03T00:00:00"/>
    <m/>
    <s v="13_인터넷포털"/>
    <n v="0.1"/>
    <d v="2019-05-09T00:00:00"/>
  </r>
  <r>
    <n v="1781"/>
    <s v="8_국립축산과학원"/>
    <s v="0_본원"/>
    <x v="2"/>
    <s v="양창범"/>
    <s v="기고"/>
    <s v="[기고] 양창범 원장-건강의 출발은 조화로운 식단에서"/>
    <s v="헤럴드경제"/>
    <d v="2019-05-09T00:00:00"/>
    <n v="27"/>
    <s v="15_중앙일간지"/>
    <n v="15"/>
    <d v="2019-05-10T00:00:00"/>
  </r>
  <r>
    <n v="1782"/>
    <s v="8_국립축산과학원"/>
    <s v="2_축산자원개발부"/>
    <x v="6"/>
    <s v="양승학"/>
    <s v="보도자료43"/>
    <s v="소 먹이 풀사료, 이제는 드론으로 재배(8시뉴스)"/>
    <s v="KBC"/>
    <d v="2019-05-08T00:00:00"/>
    <m/>
    <s v="02_TV-지방"/>
    <n v="4"/>
    <d v="2019-05-10T00:00:00"/>
  </r>
  <r>
    <n v="1783"/>
    <s v="8_국립축산과학원"/>
    <s v="2_축산자원개발부"/>
    <x v="6"/>
    <s v="양승학"/>
    <s v="보도자료43"/>
    <s v="드론으로 풀사료 재배(뉴스데스크)"/>
    <s v="MBC광주"/>
    <d v="2019-05-08T00:00:00"/>
    <m/>
    <s v="02_TV-지방"/>
    <n v="4"/>
    <d v="2019-05-10T00:00:00"/>
  </r>
  <r>
    <n v="1784"/>
    <s v="8_국립축산과학원"/>
    <s v="2_축산자원개발부"/>
    <x v="6"/>
    <s v="양승학"/>
    <s v="보도자료43"/>
    <s v="드론으로 가축 풀 사료 생산 성공(네트워크)"/>
    <s v="YTN"/>
    <d v="2019-05-09T00:00:00"/>
    <m/>
    <s v="02_TV-케이블중앙"/>
    <n v="4"/>
    <d v="2019-05-10T00:00:00"/>
  </r>
  <r>
    <n v="1785"/>
    <s v="8_국립축산과학원"/>
    <s v="2_축산자원개발부"/>
    <x v="6"/>
    <s v="지희정"/>
    <m/>
    <s v="보령, 축산 경영 개선 조사료 생산 장려"/>
    <s v="서울일보"/>
    <d v="2019-05-09T00:00:00"/>
    <n v="12"/>
    <s v="08_기타일간지"/>
    <n v="2"/>
    <d v="2019-05-10T00:00:00"/>
  </r>
  <r>
    <n v="1786"/>
    <s v="8_국립축산과학원"/>
    <s v="2_축산자원개발부"/>
    <x v="6"/>
    <s v="지희정"/>
    <m/>
    <s v="보령, 양질의 조사료 생산 돕는다"/>
    <s v="신아일보"/>
    <d v="2019-05-09T00:00:00"/>
    <n v="16"/>
    <s v="08_기타일간지"/>
    <n v="2"/>
    <d v="2019-05-10T00:00:00"/>
  </r>
  <r>
    <n v="1787"/>
    <s v="8_국립축산과학원"/>
    <s v="2_축산자원개발부"/>
    <x v="6"/>
    <s v="지희정"/>
    <m/>
    <s v="보령시, 양질 조사료 생산 ‘축산경영 개선’"/>
    <s v="전국매일신문"/>
    <d v="2019-05-09T00:00:00"/>
    <n v="7"/>
    <s v="08_기타일간지"/>
    <n v="2"/>
    <d v="2019-05-10T00:00:00"/>
  </r>
  <r>
    <n v="1788"/>
    <s v="8_국립축산과학원"/>
    <s v="2_축산자원개발부"/>
    <x v="6"/>
    <s v="양승학"/>
    <s v="보도자료43"/>
    <s v="농진청, 드론 이용 동계 사료작물 수확 연시회"/>
    <s v="전주일보"/>
    <d v="2019-05-09T00:00:00"/>
    <n v="13"/>
    <s v="09_지방일간지"/>
    <n v="1.5"/>
    <d v="2019-05-10T00:00:00"/>
  </r>
  <r>
    <n v="1789"/>
    <s v="8_국립축산과학원"/>
    <s v="2_축산자원개발부"/>
    <x v="6"/>
    <s v="양승학"/>
    <s v="보도자료43"/>
    <s v="드론, 풀사료 적기파종 ‘효자 노릇’"/>
    <s v="호남제일신문"/>
    <d v="2019-05-09T00:00:00"/>
    <n v="5"/>
    <s v="09_지방일간지"/>
    <n v="1.5"/>
    <d v="2019-05-10T00:00:00"/>
  </r>
  <r>
    <n v="1790"/>
    <s v="8_국립축산과학원"/>
    <s v="2_축산자원개발부"/>
    <x v="6"/>
    <s v="지희정"/>
    <m/>
    <s v="라이그라스·그린팜 파종 조사료 지원"/>
    <s v="중부매일"/>
    <d v="2019-05-09T00:00:00"/>
    <n v="14"/>
    <s v="09_지방일간지"/>
    <n v="1.5"/>
    <d v="2019-05-10T00:00:00"/>
  </r>
  <r>
    <n v="1791"/>
    <s v="8_국립축산과학원"/>
    <s v="2_축산자원개발부"/>
    <x v="6"/>
    <s v="지희정"/>
    <m/>
    <s v="보령시, 조사료 생산 축산경영 개선 도모"/>
    <s v="충청신문"/>
    <d v="2019-05-09T00:00:00"/>
    <n v="19"/>
    <s v="09_지방일간지"/>
    <n v="1.5"/>
    <d v="2019-05-10T00:00:00"/>
  </r>
  <r>
    <n v="1792"/>
    <s v="8_국립축산과학원"/>
    <s v="2_축산자원개발부"/>
    <x v="6"/>
    <s v="지희정"/>
    <m/>
    <s v="보령, 조사료로 축산 경영 개선 도모"/>
    <s v="충청투데이"/>
    <d v="2019-05-09T00:00:00"/>
    <n v="13"/>
    <s v="09_지방일간지"/>
    <n v="1.5"/>
    <d v="2019-05-10T00:00:00"/>
  </r>
  <r>
    <n v="1793"/>
    <s v="8_국립축산과학원"/>
    <s v="2_축산자원개발부"/>
    <x v="6"/>
    <s v="지희정"/>
    <m/>
    <s v="양질의 조사료 생산으로 축산경영 개선 도모"/>
    <s v="대전투데이"/>
    <d v="2019-05-09T00:00:00"/>
    <n v="12"/>
    <s v="09_지방일간지"/>
    <n v="1.5"/>
    <d v="2019-05-10T00:00:00"/>
  </r>
  <r>
    <n v="1794"/>
    <s v="8_국립축산과학원"/>
    <s v="2_축산자원개발부"/>
    <x v="6"/>
    <s v="지희정"/>
    <m/>
    <s v="보령시 축산 경영 개선 ‘두 팔 걷었다’"/>
    <s v="충청타임즈"/>
    <d v="2019-05-09T00:00:00"/>
    <n v="11"/>
    <s v="09_지방일간지"/>
    <n v="1.5"/>
    <d v="2019-05-10T00:00:00"/>
  </r>
  <r>
    <n v="1795"/>
    <s v="8_국립축산과학원"/>
    <s v="2_축산자원개발부"/>
    <x v="6"/>
    <s v="지희정"/>
    <m/>
    <s v="보령시, 양질의 조사료 생산 통한 축산경영 개선 도모"/>
    <s v="중앙매일"/>
    <d v="2019-05-09T00:00:00"/>
    <n v="6"/>
    <s v="09_지방일간지"/>
    <n v="1.5"/>
    <d v="2019-05-10T00:00:00"/>
  </r>
  <r>
    <n v="1796"/>
    <s v="8_국립축산과학원"/>
    <s v="2_축산자원개발부"/>
    <x v="6"/>
    <s v="지희정"/>
    <s v="보도자료37"/>
    <s v="국내산 IRG 새 품종 ‘그린콜 2호’ 개발"/>
    <s v="낙농신문"/>
    <d v="2019-05-09T00:00:00"/>
    <n v="5"/>
    <s v="10_기타전문지"/>
    <n v="1"/>
    <d v="2019-05-10T00:00:00"/>
  </r>
  <r>
    <n v="1797"/>
    <s v="8_국립축산과학원"/>
    <s v="2_축산자원개발부"/>
    <x v="6"/>
    <s v="양승학"/>
    <s v="보도자료43"/>
    <s v="풀사료 적기 파종도 드론이 알아서 척척!"/>
    <s v="라이브뉴스"/>
    <d v="2019-05-07T00:00:00"/>
    <m/>
    <s v="13_인터넷포털"/>
    <n v="0.1"/>
    <d v="2019-05-10T00:00:00"/>
  </r>
  <r>
    <n v="1798"/>
    <s v="8_국립축산과학원"/>
    <s v="2_축산자원개발부"/>
    <x v="6"/>
    <s v="양승학"/>
    <s v="보도자료43"/>
    <s v="열일하는 드론, 풀사료 적기파종에 효자 노릇 톡톡"/>
    <s v="굿뉴스365"/>
    <d v="2019-05-08T00:00:00"/>
    <m/>
    <s v="13_인터넷포털"/>
    <n v="0.1"/>
    <d v="2019-05-10T00:00:00"/>
  </r>
  <r>
    <n v="1799"/>
    <s v="8_국립축산과학원"/>
    <s v="2_축산자원개발부"/>
    <x v="0"/>
    <s v="문홍길"/>
    <s v="기고"/>
    <s v="[기고] 문홍길 과장-ASF 뚫리면 피해 막대 차단방역 사활 걸어야"/>
    <s v="축산신문"/>
    <d v="2019-05-10T00:00:00"/>
    <n v="1"/>
    <s v="17_농업전문지"/>
    <n v="8"/>
    <d v="2019-05-13T00:00:00"/>
  </r>
  <r>
    <n v="1800"/>
    <s v="8_국립축산과학원"/>
    <s v="0_본원"/>
    <x v="4"/>
    <s v="천동원"/>
    <s v="기고"/>
    <s v="[기고] 천동원 소장-축산현장 애로기술 해결 위한 닭 키우기[100문 100답] Q45,46"/>
    <s v="축산신문"/>
    <d v="2019-05-10T00:00:00"/>
    <n v="15"/>
    <s v="17_농업전문지"/>
    <n v="8"/>
    <d v="2019-05-13T00:00:00"/>
  </r>
  <r>
    <n v="1801"/>
    <s v="8_국립축산과학원"/>
    <s v="1_축산생명환경부"/>
    <x v="9"/>
    <s v="전중환"/>
    <s v="기고"/>
    <s v="[기고] 전중환 연구사-동물복지 육계농장 인증기준"/>
    <s v="축산신문"/>
    <d v="2019-05-10T00:00:00"/>
    <n v="15"/>
    <s v="17_농업전문지"/>
    <n v="8"/>
    <d v="2019-05-13T00:00:00"/>
  </r>
  <r>
    <n v="1802"/>
    <s v="8_국립축산과학원"/>
    <s v="2_축산자원개발부"/>
    <x v="6"/>
    <s v="양승학"/>
    <s v="보도자료43"/>
    <s v="농촌진흥청, 드론 활용 재배 사료작물 첫 수확(뉴스광장)"/>
    <s v="KBS광주"/>
    <d v="2019-05-09T00:00:00"/>
    <m/>
    <s v="02_TV-지방"/>
    <n v="4"/>
    <d v="2019-05-13T00:00:00"/>
  </r>
  <r>
    <n v="1803"/>
    <s v="8_국립축산과학원"/>
    <s v="2_축산자원개발부"/>
    <x v="6"/>
    <s v="양승학"/>
    <s v="보도자료43"/>
    <s v="드론으로 풀사료 재배(뉴스투데이)"/>
    <s v="MBC여수"/>
    <d v="2019-05-09T00:00:00"/>
    <m/>
    <s v="02_TV-지방"/>
    <n v="4"/>
    <d v="2019-05-13T00:00:00"/>
  </r>
  <r>
    <n v="1804"/>
    <s v="8_국립축산과학원"/>
    <s v="2_축산자원개발부"/>
    <x v="6"/>
    <s v="양승학"/>
    <s v="보도자료43"/>
    <s v="사료용 풀, 드론으로 재배 성공…생산량 '쑥쑥'(뉴스오늘)"/>
    <s v="연합뉴스TV"/>
    <d v="2019-05-10T00:00:00"/>
    <m/>
    <s v="02_TV-케이블중앙"/>
    <n v="4"/>
    <d v="2019-05-13T00:00:00"/>
  </r>
  <r>
    <n v="1805"/>
    <s v="8_국립축산과학원"/>
    <s v="1_축산생명환경부"/>
    <x v="9"/>
    <s v="곽정훈"/>
    <m/>
    <s v="[펫카드] 반려견과 외출할 때 차분히 나가는 방법은?"/>
    <s v="뉴스1"/>
    <d v="2019-05-10T00:00:00"/>
    <m/>
    <s v="07_중앙일간지"/>
    <n v="5"/>
    <d v="2019-05-13T00:00:00"/>
  </r>
  <r>
    <n v="1806"/>
    <s v="8_국립축산과학원"/>
    <s v="0_본원"/>
    <x v="11"/>
    <s v="문규철"/>
    <s v="보도자료44"/>
    <s v="농촌진흥청, 시험 동물 위한 축혼제(포토뉴스)"/>
    <s v="연합뉴스"/>
    <d v="2019-05-10T00:00:00"/>
    <m/>
    <s v="07_중앙일간지"/>
    <n v="5"/>
    <d v="2019-05-13T00:00:00"/>
  </r>
  <r>
    <n v="1807"/>
    <s v="8_국립축산과학원"/>
    <s v="0_본원"/>
    <x v="11"/>
    <s v="문규철"/>
    <s v="보도자료44"/>
    <s v="‘축산업 발전 위해 희생한 가축의 넋을 기리며’(포토뉴스)"/>
    <s v="뉴스1"/>
    <d v="2019-05-10T00:00:00"/>
    <m/>
    <s v="07_중앙일간지"/>
    <n v="5"/>
    <d v="2019-05-13T00:00:00"/>
  </r>
  <r>
    <n v="1808"/>
    <s v="8_국립축산과학원"/>
    <s v="0_본원"/>
    <x v="15"/>
    <s v="이성수"/>
    <m/>
    <s v="해양오염사고 신속대응 민관협의체 출범(경남-칡소 전수조사와 정액 공급사업 실시)"/>
    <s v="연합뉴스"/>
    <d v="2019-05-10T00:00:00"/>
    <m/>
    <s v="07_중앙일간지"/>
    <n v="5"/>
    <d v="2019-05-13T00:00:00"/>
  </r>
  <r>
    <n v="1809"/>
    <s v="8_국립축산과학원"/>
    <s v="0_본원"/>
    <x v="13"/>
    <s v="정성훈"/>
    <m/>
    <s v="경주, 낙농가 맞춤형 종합 컨설팅"/>
    <s v="서울일보"/>
    <d v="2019-05-10T00:00:00"/>
    <n v="16"/>
    <s v="08_기타일간지"/>
    <n v="2"/>
    <d v="2019-05-13T00:00:00"/>
  </r>
  <r>
    <n v="1810"/>
    <s v="8_국립축산과학원"/>
    <s v="0_본원"/>
    <x v="11"/>
    <s v="문규철"/>
    <s v="보도자료41"/>
    <s v="“어린이날, 연구 현장도 보고 치즈도 만들고”"/>
    <s v="축산신문"/>
    <d v="2019-05-10T00:00:00"/>
    <n v="12"/>
    <s v="09_농업전문지"/>
    <n v="1.5"/>
    <d v="2019-05-13T00:00:00"/>
  </r>
  <r>
    <n v="1811"/>
    <s v="8_국립축산과학원"/>
    <s v="1_축산생명환경부"/>
    <x v="9"/>
    <s v="전중환"/>
    <m/>
    <s v="안티축산에 대한 적극적 대응 ‘절실’"/>
    <s v="농축유통신문"/>
    <d v="2019-05-06T00:00:00"/>
    <n v="7"/>
    <s v="09_농업전문지"/>
    <n v="1.5"/>
    <d v="2019-05-13T00:00:00"/>
  </r>
  <r>
    <n v="1812"/>
    <s v="8_국립축산과학원"/>
    <s v="0_본원"/>
    <x v="11"/>
    <s v="문규철"/>
    <s v="보도자료44"/>
    <s v="축산업 발전 위한 희생...동물 넋 위로"/>
    <s v="농축유통신문"/>
    <d v="2019-05-10T00:00:00"/>
    <m/>
    <s v="09_농업전문지"/>
    <n v="1.5"/>
    <d v="2019-05-13T00:00:00"/>
  </r>
  <r>
    <n v="1813"/>
    <s v="8_국립축산과학원"/>
    <s v="0_본원"/>
    <x v="11"/>
    <s v="문규철"/>
    <s v="보도자료44"/>
    <s v="농진청, 국립축산과학원서 축혼제 열어"/>
    <s v="전업농신문"/>
    <d v="2019-05-10T00:00:00"/>
    <m/>
    <s v="09_농업전문지"/>
    <n v="1.5"/>
    <d v="2019-05-13T00:00:00"/>
  </r>
  <r>
    <n v="1814"/>
    <s v="8_국립축산과학원"/>
    <s v="1_축산생명환경부"/>
    <x v="9"/>
    <s v="곽정훈"/>
    <m/>
    <s v="“농촌 암모니아 배출량 실태 파악 필요”"/>
    <s v="전주일보"/>
    <d v="2019-05-10T00:00:00"/>
    <n v="2"/>
    <s v="09_지방일간지"/>
    <n v="1.5"/>
    <d v="2019-05-13T00:00:00"/>
  </r>
  <r>
    <n v="1815"/>
    <s v="8_국립축산과학원"/>
    <s v="0_본원"/>
    <x v="13"/>
    <s v="정성훈"/>
    <m/>
    <s v="지역 낙농가 맞춤형 종합 컨설팅 실시"/>
    <s v="경북연합일보"/>
    <d v="2019-05-10T00:00:00"/>
    <n v="3"/>
    <s v="09_지방일간지"/>
    <n v="1.5"/>
    <d v="2019-05-13T00:00:00"/>
  </r>
  <r>
    <n v="1816"/>
    <s v="8_국립축산과학원"/>
    <s v="0_본원"/>
    <x v="13"/>
    <s v="정성훈"/>
    <m/>
    <s v="낙농농가 컨설팅…현장 문제 해결 앞장"/>
    <s v="경상매일신문"/>
    <d v="2019-05-10T00:00:00"/>
    <n v="9"/>
    <s v="09_지방일간지"/>
    <n v="1.5"/>
    <d v="2019-05-13T00:00:00"/>
  </r>
  <r>
    <n v="1817"/>
    <s v="8_국립축산과학원"/>
    <s v="0_본원"/>
    <x v="13"/>
    <s v="정성훈"/>
    <m/>
    <s v="낙농가 맞춤 종합 컨설팅 ‘호평’ 경주, 분야별 전문가 상담 진행"/>
    <s v="경상투데이"/>
    <d v="2019-05-10T00:00:00"/>
    <n v="5"/>
    <s v="09_지방일간지"/>
    <n v="1.5"/>
    <d v="2019-05-13T00:00:00"/>
  </r>
  <r>
    <n v="1818"/>
    <s v="8_국립축산과학원"/>
    <s v="0_본원"/>
    <x v="13"/>
    <s v="정성훈"/>
    <m/>
    <s v="경주시 전문가 컨설팅으로 젖소 농가 애로문제 해결"/>
    <s v="일간경북신문"/>
    <d v="2019-05-10T00:00:00"/>
    <n v="9"/>
    <s v="09_지방일간지"/>
    <n v="1.5"/>
    <d v="2019-05-13T00:00:00"/>
  </r>
  <r>
    <n v="1819"/>
    <s v="8_국립축산과학원"/>
    <s v="0_본원"/>
    <x v="13"/>
    <s v="정성훈"/>
    <m/>
    <s v="젖소 농가 문제 해결 전문가 컨설팅"/>
    <s v="대구경북일보"/>
    <d v="2019-05-10T00:00:00"/>
    <n v="9"/>
    <s v="11_기타(지역주간지)"/>
    <n v="0.5"/>
    <d v="2019-05-13T00:00:00"/>
  </r>
  <r>
    <n v="1820"/>
    <s v="8_국립축산과학원"/>
    <s v="0_본원"/>
    <x v="13"/>
    <s v="정성훈"/>
    <m/>
    <s v="경주시, 맞춤 컨설팅으로 낙농농가 애로 해소"/>
    <s v="경북도민일보"/>
    <d v="2019-05-10T00:00:00"/>
    <n v="8"/>
    <s v="09_지방일간지"/>
    <n v="1.5"/>
    <d v="2019-05-13T00:00:00"/>
  </r>
  <r>
    <n v="1821"/>
    <s v="8_국립축산과학원"/>
    <s v="0_본원"/>
    <x v="13"/>
    <s v="정성훈"/>
    <m/>
    <s v="경주시, 젖소 농가 애로기술 해결 돌파구 마련"/>
    <s v="도민일보"/>
    <d v="2019-05-10T00:00:00"/>
    <n v="2"/>
    <s v="09_지방일간지"/>
    <n v="1.5"/>
    <d v="2019-05-13T00:00:00"/>
  </r>
  <r>
    <n v="1822"/>
    <s v="8_국립축산과학원"/>
    <s v="0_본원"/>
    <x v="13"/>
    <s v="정성훈"/>
    <m/>
    <s v="경주, 농가맞춤형컨설팅 지역 낙농가 50여명 대상"/>
    <s v="경북신문"/>
    <d v="2019-05-10T00:00:00"/>
    <n v="5"/>
    <s v="09_지방일간지"/>
    <n v="1.5"/>
    <d v="2019-05-13T00:00:00"/>
  </r>
  <r>
    <n v="1823"/>
    <s v="8_국립축산과학원"/>
    <s v="0_본원"/>
    <x v="15"/>
    <s v="이성수"/>
    <m/>
    <s v="경남도, 칡소 개량사업 앞장"/>
    <s v="내외일보"/>
    <d v="2019-05-10T00:00:00"/>
    <m/>
    <s v="09_지방일간지"/>
    <n v="1.5"/>
    <d v="2019-05-13T00:00:00"/>
  </r>
  <r>
    <n v="1824"/>
    <s v="8_국립축산과학원"/>
    <s v="0_본원"/>
    <x v="13"/>
    <s v="정성훈"/>
    <m/>
    <s v="명예사회복지공무원 역량강화 교육실시 外(젖소 농가 애로문제 해결)"/>
    <s v="일요신문"/>
    <d v="2019-05-09T00:00:00"/>
    <m/>
    <s v="10_주간지"/>
    <n v="1"/>
    <d v="2019-05-13T00:00:00"/>
  </r>
  <r>
    <n v="1825"/>
    <s v="8_국립축산과학원"/>
    <s v="0_본원"/>
    <x v="11"/>
    <s v="문규철"/>
    <s v="보도자료44"/>
    <s v="축산업 발전 위해 희생된 동물 넋 위로"/>
    <s v="말산업저널"/>
    <d v="2019-05-10T00:00:00"/>
    <m/>
    <s v="10_기타전문지"/>
    <n v="1"/>
    <d v="2019-05-13T00:00:00"/>
  </r>
  <r>
    <n v="1826"/>
    <s v="8_국립축산과학원"/>
    <s v="0_본원"/>
    <x v="11"/>
    <s v="문규철"/>
    <s v="보도자료44"/>
    <s v="축산업 발전 희생한 동물 넋 위로"/>
    <s v="식약일보"/>
    <d v="2019-05-10T00:00:00"/>
    <m/>
    <s v="10_기타전문지"/>
    <n v="1"/>
    <d v="2019-05-13T00:00:00"/>
  </r>
  <r>
    <n v="1827"/>
    <s v="8_국립축산과학원"/>
    <s v="0_본원"/>
    <x v="13"/>
    <s v="정성훈"/>
    <m/>
    <s v="경주시, 전문가 컨설팅으로 젖소 농가 애로문제 해결"/>
    <s v="경북일일신문"/>
    <d v="2019-05-10T00:00:00"/>
    <n v="3"/>
    <s v="11_기타(지역주간지)"/>
    <n v="0.5"/>
    <d v="2019-05-13T00:00:00"/>
  </r>
  <r>
    <n v="1828"/>
    <s v="8_국립축산과학원"/>
    <s v="0_본원"/>
    <x v="13"/>
    <s v="정성훈"/>
    <m/>
    <s v="경주시, 전문가 컨설팅으로 젖소 농가 애로문제 해결"/>
    <s v="브레이크뉴스"/>
    <d v="2019-05-09T00:00:00"/>
    <m/>
    <s v="13_인터넷포털"/>
    <n v="0.1"/>
    <d v="2019-05-13T00:00:00"/>
  </r>
  <r>
    <n v="1829"/>
    <s v="8_국립축산과학원"/>
    <s v="0_본원"/>
    <x v="13"/>
    <s v="정성훈"/>
    <m/>
    <s v="경주시, 낙농 애로기술 맞춤형 컨설팅 실시"/>
    <s v="동양뉴스통신"/>
    <d v="2019-05-09T00:00:00"/>
    <m/>
    <s v="13_인터넷포털"/>
    <n v="0.1"/>
    <d v="2019-05-13T00:00:00"/>
  </r>
  <r>
    <n v="1830"/>
    <s v="8_국립축산과학원"/>
    <s v="2_축산자원개발부"/>
    <x v="6"/>
    <s v="양승학"/>
    <s v="보도자료43"/>
    <s v="농촌진흥청 동계 사료작물 재배에 드론 기술 적용"/>
    <s v="농업경제신문"/>
    <d v="2019-05-09T00:00:00"/>
    <m/>
    <s v="13_인터넷포털"/>
    <n v="0.1"/>
    <d v="2019-05-13T00:00:00"/>
  </r>
  <r>
    <n v="1831"/>
    <s v="8_국립축산과학원"/>
    <s v="2_축산자원개발부"/>
    <x v="6"/>
    <s v="박형수"/>
    <m/>
    <s v="논 타작물 사료작물 재배 및 이용 교육 실시"/>
    <s v="투데이안"/>
    <d v="2019-05-10T00:00:00"/>
    <m/>
    <s v="13_인터넷포털"/>
    <n v="0.1"/>
    <d v="2019-05-13T00:00:00"/>
  </r>
  <r>
    <n v="1832"/>
    <s v="8_국립축산과학원"/>
    <s v="0_본원"/>
    <x v="11"/>
    <s v="문규철"/>
    <s v="보도자료44"/>
    <s v="축산발전 위해 희생된 동물 넋 위로"/>
    <s v="라이브뉴스"/>
    <d v="2019-05-10T00:00:00"/>
    <m/>
    <s v="13_인터넷포털"/>
    <n v="0.1"/>
    <d v="2019-05-13T00:00:00"/>
  </r>
  <r>
    <n v="1833"/>
    <s v="8_국립축산과학원"/>
    <s v="0_본원"/>
    <x v="15"/>
    <s v="이성수"/>
    <m/>
    <s v="축산硏 “한우 경쟁력 강화” 희귀 품종 ‘칡소’ 개량 추진 "/>
    <s v="한국경제"/>
    <d v="2019-05-14T00:00:00"/>
    <n v="28"/>
    <s v="07_중앙일간지"/>
    <n v="5"/>
    <d v="2019-05-14T00:00:00"/>
  </r>
  <r>
    <n v="1834"/>
    <s v="8_국립축산과학원"/>
    <s v="2_축산자원개발부"/>
    <x v="6"/>
    <s v="양승학"/>
    <s v="보도자료43"/>
    <s v="열일하는 드론, 풀 사료 파종도"/>
    <s v="한국영농신문"/>
    <d v="2019-05-10T00:00:00"/>
    <m/>
    <s v="09_농업전문지"/>
    <n v="1.5"/>
    <d v="2019-05-14T00:00:00"/>
  </r>
  <r>
    <n v="1835"/>
    <s v="8_국립축산과학원"/>
    <s v="2_축산자원개발부"/>
    <x v="6"/>
    <s v="양승학"/>
    <s v="보도자료43"/>
    <s v="드론, 풀사료 적기파종 효자 노릇 톡톡"/>
    <s v="농업인신문"/>
    <d v="2019-05-13T00:00:00"/>
    <n v="4"/>
    <s v="09_농업전문지"/>
    <n v="1.5"/>
    <d v="2019-05-14T00:00:00"/>
  </r>
  <r>
    <n v="1836"/>
    <s v="8_국립축산과학원"/>
    <s v="1_축산생명환경부"/>
    <x v="9"/>
    <s v="곽정훈"/>
    <m/>
    <s v="동물복지와 축산업 발전의 조화를 꿈꾼다"/>
    <s v="한국영농신문"/>
    <d v="2019-05-11T00:00:00"/>
    <m/>
    <s v="09_농업전문지"/>
    <n v="1.5"/>
    <d v="2019-05-14T00:00:00"/>
  </r>
  <r>
    <n v="1837"/>
    <s v="8_국립축산과학원"/>
    <s v="2_축산자원개발부"/>
    <x v="0"/>
    <s v="민예진"/>
    <m/>
    <s v="동물복지와 축산업 발전의 조화를 꿈꾼다"/>
    <s v="한국영농신문"/>
    <d v="2019-05-11T00:00:00"/>
    <m/>
    <s v="09_농업전문지"/>
    <n v="1.5"/>
    <d v="2019-05-14T00:00:00"/>
  </r>
  <r>
    <n v="1838"/>
    <s v="8_국립축산과학원"/>
    <s v="0_본원"/>
    <x v="11"/>
    <s v="문규철"/>
    <s v="보도자료44"/>
    <s v="농진청 축혼제 올려 희생된 가축 넋 위로"/>
    <s v="전북중앙"/>
    <d v="2019-05-13T00:00:00"/>
    <n v="6"/>
    <s v="09_지방일간지"/>
    <n v="1.5"/>
    <d v="2019-05-14T00:00:00"/>
  </r>
  <r>
    <n v="1839"/>
    <s v="8_국립축산과학원"/>
    <s v="0_본원"/>
    <x v="11"/>
    <s v="문규철"/>
    <s v="보도자료44"/>
    <s v="농진청, 축혼제…동물 넋 위로"/>
    <s v="전민일보"/>
    <d v="2019-05-13T00:00:00"/>
    <n v="23"/>
    <s v="09_지방일간지"/>
    <n v="1.5"/>
    <d v="2019-05-14T00:00:00"/>
  </r>
  <r>
    <n v="1840"/>
    <s v="8_국립축산과학원"/>
    <s v="0_본원"/>
    <x v="11"/>
    <s v="문규철"/>
    <s v="보도자료44"/>
    <s v="농진청, 축산과학원서 축혼제 열어"/>
    <s v="전북일보"/>
    <d v="2019-05-13T00:00:00"/>
    <n v="6"/>
    <s v="09_지방일간지"/>
    <n v="1.5"/>
    <d v="2019-05-14T00:00:00"/>
  </r>
  <r>
    <n v="1841"/>
    <s v="8_국립축산과학원"/>
    <s v="0_본원"/>
    <x v="11"/>
    <s v="문규철"/>
    <s v="보도자료44"/>
    <s v="축산업 발전 위해 희생된 동물 넋 위로"/>
    <s v="전북연합신문"/>
    <d v="2019-05-13T00:00:00"/>
    <n v="5"/>
    <s v="09_지방일간지"/>
    <n v="1.5"/>
    <d v="2019-05-14T00:00:00"/>
  </r>
  <r>
    <n v="1842"/>
    <s v="8_국립축산과학원"/>
    <s v="0_본원"/>
    <x v="11"/>
    <s v="문규철"/>
    <s v="보도자료44"/>
    <s v="축산업 발전 위해 희생된 동물 넋 위로"/>
    <s v="전북타임스"/>
    <d v="2019-05-13T00:00:00"/>
    <n v="7"/>
    <s v="09_지방일간지"/>
    <n v="1.5"/>
    <d v="2019-05-14T00:00:00"/>
  </r>
  <r>
    <n v="1843"/>
    <s v="8_국립축산과학원"/>
    <s v="0_본원"/>
    <x v="14"/>
    <s v="김의형"/>
    <m/>
    <s v="장흥군 축산사업소, 한우질병예방 교육"/>
    <s v="호남일보"/>
    <d v="2019-05-13T00:00:00"/>
    <n v="8"/>
    <s v="09_지방일간지"/>
    <n v="1.5"/>
    <d v="2019-05-14T00:00:00"/>
  </r>
  <r>
    <n v="1844"/>
    <s v="8_국립축산과학원"/>
    <s v="0_본원"/>
    <x v="14"/>
    <s v="김의형"/>
    <m/>
    <s v="장흥군, 한우사양기술교육 개최"/>
    <s v="호남신문"/>
    <d v="2019-05-13T00:00:00"/>
    <n v="7"/>
    <s v="09_지방일간지"/>
    <n v="1.5"/>
    <d v="2019-05-14T00:00:00"/>
  </r>
  <r>
    <n v="1845"/>
    <s v="8_국립축산과학원"/>
    <s v="0_본원"/>
    <x v="14"/>
    <s v="김의형"/>
    <m/>
    <s v="장흥, 한우사양기술교육 개최 질병예방·관리기술 주제"/>
    <s v="전남일보"/>
    <d v="2019-05-13T00:00:00"/>
    <n v="11"/>
    <s v="09_지방일간지"/>
    <n v="1.5"/>
    <d v="2019-05-14T00:00:00"/>
  </r>
  <r>
    <n v="1846"/>
    <s v="8_국립축산과학원"/>
    <s v="0_본원"/>
    <x v="14"/>
    <s v="김의형"/>
    <m/>
    <s v="장흥군 한우질병예방 및 관리기술 교육"/>
    <s v="선경일보"/>
    <d v="2019-05-13T00:00:00"/>
    <n v="9"/>
    <s v="09_지방일간지"/>
    <n v="1.5"/>
    <d v="2019-05-14T00:00:00"/>
  </r>
  <r>
    <n v="1847"/>
    <s v="8_국립축산과학원"/>
    <s v="0_본원"/>
    <x v="15"/>
    <s v="이성수"/>
    <m/>
    <s v="도 축산연구소, 칡소 개량사업 앞장선다"/>
    <s v="경남연합일보"/>
    <d v="2019-05-13T00:00:00"/>
    <n v="2"/>
    <s v="09_지방일간지"/>
    <n v="1.5"/>
    <d v="2019-05-14T00:00:00"/>
  </r>
  <r>
    <n v="1848"/>
    <s v="8_국립축산과학원"/>
    <s v="0_본원"/>
    <x v="13"/>
    <s v="정성훈"/>
    <m/>
    <s v="경주시 전문가 컨설팅으로 젖소 농가 애로문제 해결"/>
    <s v="내외일보"/>
    <d v="2019-05-13T00:00:00"/>
    <n v="10"/>
    <s v="09_지방일간지"/>
    <n v="1.5"/>
    <d v="2019-05-14T00:00:00"/>
  </r>
  <r>
    <n v="1849"/>
    <s v="8_국립축산과학원"/>
    <s v="0_본원"/>
    <x v="14"/>
    <s v="김의형"/>
    <m/>
    <s v="장흥한우 더 건강하게... 한우사양기술교육 개최"/>
    <s v="광주타임즈"/>
    <d v="2019-05-13T00:00:00"/>
    <m/>
    <s v="09_지방일간지"/>
    <n v="1.5"/>
    <d v="2019-05-14T00:00:00"/>
  </r>
  <r>
    <n v="1850"/>
    <s v="8_국립축산과학원"/>
    <s v="0_본원"/>
    <x v="13"/>
    <s v="정성훈"/>
    <m/>
    <s v="경주시, 지역 낙농가 대상 종합 컨설팅 실시"/>
    <s v="뉴스웨이"/>
    <d v="2019-05-11T00:00:00"/>
    <m/>
    <s v="10_주간지"/>
    <n v="1"/>
    <d v="2019-05-14T00:00:00"/>
  </r>
  <r>
    <n v="1851"/>
    <s v="8_국립축산과학원"/>
    <s v="0_본원"/>
    <x v="14"/>
    <s v="김의형"/>
    <m/>
    <s v="‘장흥한우 더 건강하게’ 한우사양기술교육 개최"/>
    <s v="뉴스메이커"/>
    <d v="2019-05-11T00:00:00"/>
    <m/>
    <s v="10_기타월간지"/>
    <n v="1"/>
    <d v="2019-05-14T00:00:00"/>
  </r>
  <r>
    <n v="1852"/>
    <s v="8_국립축산과학원"/>
    <s v="1_축산생명환경부"/>
    <x v="7"/>
    <s v="백열창"/>
    <s v="보도자료36"/>
    <s v="사육기간 단축위한 영양소 요구량 추가"/>
    <s v="한우신문"/>
    <d v="2019-05-07T00:00:00"/>
    <n v="4"/>
    <s v="10_기타전문지"/>
    <n v="1"/>
    <d v="2019-05-14T00:00:00"/>
  </r>
  <r>
    <n v="1853"/>
    <s v="8_국립축산과학원"/>
    <s v="0_본원"/>
    <x v="15"/>
    <s v="이성수"/>
    <m/>
    <s v="경남도, 칡소 개량사업에 앞장선다"/>
    <s v="뉴스메이커"/>
    <d v="2019-05-12T00:00:00"/>
    <m/>
    <s v="10_기타월간지"/>
    <n v="1"/>
    <d v="2019-05-14T00:00:00"/>
  </r>
  <r>
    <n v="1854"/>
    <s v="8_국립축산과학원"/>
    <s v="0_본원"/>
    <x v="15"/>
    <s v="이성수"/>
    <m/>
    <s v="경상남도, 칡소 개량사업에 앞장선다"/>
    <s v="세계타임즈"/>
    <d v="2019-05-11T00:00:00"/>
    <m/>
    <s v="11_기타(지역주간지)"/>
    <n v="0.5"/>
    <d v="2019-05-14T00:00:00"/>
  </r>
  <r>
    <n v="1855"/>
    <s v="8_국립축산과학원"/>
    <s v="0_본원"/>
    <x v="15"/>
    <s v="이성수"/>
    <m/>
    <s v="경상남도 축산연구소, 희귀 유전 자원 보존·증식"/>
    <s v="경남데일리"/>
    <d v="2019-05-10T00:00:00"/>
    <m/>
    <s v="13_인터넷포털"/>
    <n v="0.1"/>
    <d v="2019-05-14T00:00:00"/>
  </r>
  <r>
    <n v="1856"/>
    <s v="8_국립축산과학원"/>
    <s v="0_본원"/>
    <x v="15"/>
    <s v="이성수"/>
    <m/>
    <s v="경남도, 희귀 한우 ‘칡소’ 개량 사업 추진"/>
    <s v="노컷뉴스"/>
    <d v="2019-05-10T00:00:00"/>
    <m/>
    <s v="13_인터넷포털"/>
    <n v="0.1"/>
    <d v="2019-05-14T00:00:00"/>
  </r>
  <r>
    <n v="1857"/>
    <s v="8_국립축산과학원"/>
    <s v="0_본원"/>
    <x v="15"/>
    <s v="이성수"/>
    <m/>
    <s v="경남도, 칡소 개량사업 앞장"/>
    <s v="부울경뉴스"/>
    <d v="2019-05-11T00:00:00"/>
    <m/>
    <s v="13_인터넷포털"/>
    <n v="0.1"/>
    <d v="2019-05-14T00:00:00"/>
  </r>
  <r>
    <n v="1858"/>
    <s v="8_국립축산과학원"/>
    <s v="0_본원"/>
    <x v="15"/>
    <s v="이성수"/>
    <m/>
    <s v="경남도, 칡소 동결 정액 무상 공급"/>
    <s v="동양뉴스통신"/>
    <d v="2019-05-11T00:00:00"/>
    <m/>
    <s v="13_인터넷포털"/>
    <n v="0.1"/>
    <d v="2019-05-14T00:00:00"/>
  </r>
  <r>
    <n v="1859"/>
    <s v="8_국립축산과학원"/>
    <s v="0_본원"/>
    <x v="14"/>
    <s v="김의형"/>
    <m/>
    <s v="장흥한우 더 건강하게... 한우사양기술교육 개최"/>
    <s v="위키트리"/>
    <d v="2019-05-11T00:00:00"/>
    <m/>
    <s v="13_인터넷포털"/>
    <n v="0.1"/>
    <d v="2019-05-14T00:00:00"/>
  </r>
  <r>
    <n v="1860"/>
    <s v="8_국립축산과학원"/>
    <s v="0_본원"/>
    <x v="14"/>
    <s v="김의형"/>
    <m/>
    <s v="장흥한우 더 건강하게. 한우 사양기술 교육"/>
    <s v="서울뉴스통신"/>
    <d v="2019-05-12T00:00:00"/>
    <m/>
    <s v="13_인터넷포털"/>
    <n v="0.1"/>
    <d v="2019-05-14T00:00:00"/>
  </r>
  <r>
    <n v="1861"/>
    <s v="8_국립축산과학원"/>
    <s v="0_본원"/>
    <x v="14"/>
    <s v="김의형"/>
    <m/>
    <s v="장흥한우 더 건강하게...한우사양기술교육 개최"/>
    <s v="NGTV"/>
    <d v="2019-05-12T00:00:00"/>
    <m/>
    <s v="13_인터넷포털"/>
    <n v="0.1"/>
    <d v="2019-05-14T00:00:00"/>
  </r>
  <r>
    <n v="1862"/>
    <s v="8_국립축산과학원"/>
    <s v="0_본원"/>
    <x v="15"/>
    <s v="이성수"/>
    <m/>
    <s v="경상남도, 칡소 개량사업에 앞장선다"/>
    <s v="뉴스쉐어"/>
    <d v="2019-05-13T00:00:00"/>
    <m/>
    <s v="13_인터넷포털"/>
    <n v="0.1"/>
    <d v="2019-05-14T00:00:00"/>
  </r>
  <r>
    <n v="1863"/>
    <s v="8_국립축산과학원"/>
    <s v="1_축산생명환경부"/>
    <x v="5"/>
    <s v="김진형"/>
    <m/>
    <s v="한국축산식품학회, 23일 국제정기학술발표대회 개최"/>
    <s v="라이브뉴스"/>
    <d v="2019-05-13T00:00:00"/>
    <m/>
    <s v="13_인터넷포털"/>
    <n v="0.1"/>
    <d v="2019-05-14T00:00:00"/>
  </r>
  <r>
    <n v="1864"/>
    <s v="8_국립축산과학원"/>
    <s v="2_축산자원개발부"/>
    <x v="6"/>
    <s v="최기준"/>
    <s v="보도자료45"/>
    <s v="사료작물 섞어 심기로 생산성 28% 향상"/>
    <s v="오가닉라이프"/>
    <d v="2019-05-13T00:00:00"/>
    <m/>
    <s v="13_인터넷포털"/>
    <n v="0.1"/>
    <d v="2019-05-14T00:00:00"/>
  </r>
  <r>
    <n v="1865"/>
    <s v="8_국립축산과학원"/>
    <s v="0_본원"/>
    <x v="4"/>
    <s v="천동원"/>
    <s v="기고"/>
    <s v="[기고] 천동원 소장-축산현장 애로기술 해결 위한 닭 키우기[100문 100답] Q47"/>
    <s v="축산신문"/>
    <d v="2019-05-14T00:00:00"/>
    <n v="15"/>
    <s v="17_농업전문지"/>
    <n v="8"/>
    <d v="2019-05-15T00:00:00"/>
  </r>
  <r>
    <n v="1866"/>
    <s v="8_국립축산과학원"/>
    <s v="2_축산자원개발부"/>
    <x v="6"/>
    <s v="최기준"/>
    <s v="보도자료45"/>
    <s v="사료작물 섞어 심기로 생산성 28% 향상"/>
    <s v="서울신문"/>
    <d v="2019-05-14T00:00:00"/>
    <m/>
    <s v="07_중앙일간지"/>
    <n v="5"/>
    <d v="2019-05-15T00:00:00"/>
  </r>
  <r>
    <n v="1867"/>
    <s v="8_국립축산과학원"/>
    <s v="2_축산자원개발부"/>
    <x v="6"/>
    <s v="지희정"/>
    <m/>
    <s v="소가 쌀밥을 먹는다고?.. 사료용 총체벼 ‘목양’ 연시회"/>
    <s v="한겨레"/>
    <d v="2019-05-14T00:00:00"/>
    <m/>
    <s v="07_중앙일간지"/>
    <n v="5"/>
    <d v="2019-05-15T00:00:00"/>
  </r>
  <r>
    <n v="1868"/>
    <s v="8_국립축산과학원"/>
    <s v="2_축산자원개발부"/>
    <x v="6"/>
    <s v="지희정"/>
    <m/>
    <s v="충남도, 질 좋은 사료용 벼 생산 돕는다"/>
    <s v="아시아투데이"/>
    <d v="2019-05-14T00:00:00"/>
    <m/>
    <s v="07_중앙일간지"/>
    <n v="5"/>
    <d v="2019-05-15T00:00:00"/>
  </r>
  <r>
    <n v="1869"/>
    <s v="8_국립축산과학원"/>
    <s v="1_축산생명환경부"/>
    <x v="9"/>
    <s v="권경석"/>
    <s v="보도자료46"/>
    <s v="축사 환기·냉방 시설 미리 살피세요"/>
    <s v="매일일보"/>
    <d v="2019-05-14T00:00:00"/>
    <m/>
    <s v="08_기타일간지"/>
    <n v="2"/>
    <d v="2019-05-15T00:00:00"/>
  </r>
  <r>
    <n v="1870"/>
    <s v="8_국립축산과학원"/>
    <s v="2_축산자원개발부"/>
    <x v="6"/>
    <s v="양승학"/>
    <s v="보도자료43"/>
    <s v="조사료 생산현장 ‘드론’ 뜬다(포토뉴스)"/>
    <s v="축산신문"/>
    <d v="2019-05-14T00:00:00"/>
    <n v="1"/>
    <s v="09_농업전문지"/>
    <n v="1.5"/>
    <d v="2019-05-15T00:00:00"/>
  </r>
  <r>
    <n v="1871"/>
    <s v="8_국립축산과학원"/>
    <s v="2_축산자원개발부"/>
    <x v="6"/>
    <s v="최기준"/>
    <s v="보도자료45"/>
    <s v="사료작물 혼파재배 시 생산성 28% 향상"/>
    <s v="전업농신문"/>
    <d v="2019-05-13T00:00:00"/>
    <m/>
    <s v="09_농업전문지"/>
    <n v="1.5"/>
    <d v="2019-05-15T00:00:00"/>
  </r>
  <r>
    <n v="1872"/>
    <s v="8_국립축산과학원"/>
    <s v="0_본원"/>
    <x v="11"/>
    <s v="문규철"/>
    <s v="보도자료44"/>
    <s v="축산업 발전 위해 희생된 가축 위로 ‘축혼제’ 열려"/>
    <s v="농수축산신문"/>
    <d v="2019-05-14T00:00:00"/>
    <m/>
    <s v="09_농업전문지"/>
    <n v="1.5"/>
    <d v="2019-05-15T00:00:00"/>
  </r>
  <r>
    <n v="1873"/>
    <s v="8_국립축산과학원"/>
    <s v="2_축산자원개발부"/>
    <x v="6"/>
    <s v="최기준"/>
    <s v="보도자료45"/>
    <s v="사료 작물 섞어 심기로 생산성 28% 향상"/>
    <s v="한국영농신문"/>
    <d v="2019-05-14T00:00:00"/>
    <m/>
    <s v="09_농업전문지"/>
    <n v="1.5"/>
    <d v="2019-05-15T00:00:00"/>
  </r>
  <r>
    <n v="1874"/>
    <s v="8_국립축산과학원"/>
    <s v="0_본원"/>
    <x v="11"/>
    <s v="문규철"/>
    <s v="보도자료44"/>
    <s v="축산업 발전 위한 희생...동물 넋 위로"/>
    <s v="한국농촌경제신문"/>
    <d v="2019-05-15T00:00:00"/>
    <m/>
    <s v="09_농업전문지"/>
    <n v="1.5"/>
    <d v="2019-05-15T00:00:00"/>
  </r>
  <r>
    <n v="1875"/>
    <s v="8_국립축산과학원"/>
    <s v="2_축산자원개발부"/>
    <x v="6"/>
    <s v="최기준"/>
    <s v="보도자료45"/>
    <s v="‘사료작물 섞어 심기’ 생산성↑·노동력↓"/>
    <s v="새만금일보"/>
    <d v="2019-05-14T00:00:00"/>
    <n v="6"/>
    <s v="09_지방일간지"/>
    <n v="1.5"/>
    <d v="2019-05-15T00:00:00"/>
  </r>
  <r>
    <n v="1876"/>
    <s v="8_국립축산과학원"/>
    <s v="2_축산자원개발부"/>
    <x v="6"/>
    <s v="최기준"/>
    <s v="보도자료45"/>
    <s v="이탈리안 라이그라스·귀리 혼파재배 연시회"/>
    <s v="전북타임스"/>
    <d v="2019-05-14T00:00:00"/>
    <n v="7"/>
    <s v="09_지방일간지"/>
    <n v="1.5"/>
    <d v="2019-05-15T00:00:00"/>
  </r>
  <r>
    <n v="1877"/>
    <s v="8_국립축산과학원"/>
    <s v="1_축산생명환경부"/>
    <x v="1"/>
    <s v="박응우"/>
    <m/>
    <s v="무균 돼지-줄기세포-3D 프린팅, 인체 이식 안전성 심혈"/>
    <s v="매일신문"/>
    <d v="2019-05-14T00:00:00"/>
    <n v="20"/>
    <s v="09_지방일간지"/>
    <n v="1.5"/>
    <d v="2019-05-15T00:00:00"/>
  </r>
  <r>
    <n v="1878"/>
    <s v="8_국립축산과학원"/>
    <s v="0_본원"/>
    <x v="14"/>
    <s v="김의형"/>
    <m/>
    <s v="장흥한우 질병예방·관리기술 교육"/>
    <s v="무등일보"/>
    <d v="2019-05-14T00:00:00"/>
    <n v="10"/>
    <s v="09_지방일간지"/>
    <n v="1.5"/>
    <d v="2019-05-15T00:00:00"/>
  </r>
  <r>
    <n v="1879"/>
    <s v="8_국립축산과학원"/>
    <s v="0_본원"/>
    <x v="14"/>
    <s v="김의형"/>
    <m/>
    <s v="장흥군, 한우 관리기술 교육 김의형 한우연구소 박사 초청"/>
    <s v="남도일보"/>
    <d v="2019-05-14T00:00:00"/>
    <n v="13"/>
    <s v="09_지방일간지"/>
    <n v="1.5"/>
    <d v="2019-05-15T00:00:00"/>
  </r>
  <r>
    <n v="1880"/>
    <s v="8_국립축산과학원"/>
    <s v="0_본원"/>
    <x v="14"/>
    <s v="김의형"/>
    <m/>
    <s v="장흥군 축산사업소, 한우 질병예방 교육"/>
    <s v="광주일보"/>
    <d v="2019-05-14T00:00:00"/>
    <n v="12"/>
    <s v="09_지방일간지"/>
    <n v="1.5"/>
    <d v="2019-05-15T00:00:00"/>
  </r>
  <r>
    <n v="1881"/>
    <s v="8_국립축산과학원"/>
    <s v="2_축산자원개발부"/>
    <x v="6"/>
    <s v="지희정"/>
    <m/>
    <s v="충남도, 14일 사료용 벼 파종 현장 연시회"/>
    <s v="대전일보"/>
    <d v="2019-05-14T00:00:00"/>
    <m/>
    <s v="09_지방일간지"/>
    <n v="1.5"/>
    <d v="2019-05-15T00:00:00"/>
  </r>
  <r>
    <n v="1882"/>
    <s v="8_국립축산과학원"/>
    <s v="2_축산자원개발부"/>
    <x v="6"/>
    <s v="지희정"/>
    <m/>
    <s v="충남농업기술원 질 좋은 사료용 벼 생산 돕는다"/>
    <s v="충청투데이"/>
    <d v="2019-05-15T00:00:00"/>
    <m/>
    <s v="09_지방일간지"/>
    <n v="1.5"/>
    <d v="2019-05-15T00:00:00"/>
  </r>
  <r>
    <n v="1883"/>
    <s v="8_국립축산과학원"/>
    <s v="0_본원"/>
    <x v="14"/>
    <s v="김의형"/>
    <m/>
    <s v="‘장흥한우 더 건겅하게’ 한우사양기술교육 개최"/>
    <s v="광전매일신문"/>
    <d v="2019-05-14T00:00:00"/>
    <n v="5"/>
    <s v="11_기타(지역주간지)"/>
    <n v="0.5"/>
    <d v="2019-05-15T00:00:00"/>
  </r>
  <r>
    <n v="1884"/>
    <s v="8_국립축산과학원"/>
    <s v="2_축산자원개발부"/>
    <x v="6"/>
    <s v="지희정"/>
    <m/>
    <s v="질 좋은 사료용 벼 생산 돕는다"/>
    <s v="세계타임즈"/>
    <d v="2019-05-14T00:00:00"/>
    <m/>
    <s v="11_기타(지역주간지)"/>
    <n v="0.5"/>
    <d v="2019-05-15T00:00:00"/>
  </r>
  <r>
    <n v="1885"/>
    <s v="8_국립축산과학원"/>
    <s v="2_축산자원개발부"/>
    <x v="6"/>
    <s v="지희정"/>
    <m/>
    <s v="충남도 농업기술원, 질 좋은 사료용 벼 생산 돕는다"/>
    <s v="당진신문"/>
    <d v="2019-05-14T00:00:00"/>
    <m/>
    <s v="11_기타(지역주간지)"/>
    <n v="0.5"/>
    <d v="2019-05-15T00:00:00"/>
  </r>
  <r>
    <n v="1886"/>
    <s v="8_국립축산과학원"/>
    <s v="2_축산자원개발부"/>
    <x v="6"/>
    <s v="최기준"/>
    <s v="보도자료45"/>
    <s v="‘이탈리안 라이그라스·귀리 혼파재배’ 연간 3모작 가능"/>
    <s v="라이브뉴스"/>
    <d v="2019-05-13T00:00:00"/>
    <m/>
    <s v="13_인터넷포털"/>
    <n v="0.1"/>
    <d v="2019-05-15T00:00:00"/>
  </r>
  <r>
    <n v="1887"/>
    <s v="8_국립축산과학원"/>
    <s v="1_축산생명환경부"/>
    <x v="9"/>
    <s v="전중환"/>
    <m/>
    <s v="동물복지 축산물 소비 어떻게 늘릴까? 국회 연속토론회 16일 시작"/>
    <s v="데일리벳"/>
    <d v="2019-05-13T00:00:00"/>
    <m/>
    <s v="13_인터넷포털"/>
    <n v="0.1"/>
    <d v="2019-05-15T00:00:00"/>
  </r>
  <r>
    <n v="1888"/>
    <s v="8_국립축산과학원"/>
    <s v="2_축산자원개발부"/>
    <x v="6"/>
    <s v="최기준"/>
    <s v="보도자료45"/>
    <s v="김제시, 동계 사료작물 수확 연시회 개최"/>
    <s v="투데이안"/>
    <d v="2019-05-14T00:00:00"/>
    <m/>
    <s v="13_인터넷포털"/>
    <n v="0.1"/>
    <d v="2019-05-15T00:00:00"/>
  </r>
  <r>
    <n v="1889"/>
    <s v="8_국립축산과학원"/>
    <s v="2_축산자원개발부"/>
    <x v="6"/>
    <s v="지희정"/>
    <m/>
    <s v="질 좋은 사료용 벼 생산 돕는다"/>
    <s v="온양신문"/>
    <d v="2019-05-14T00:00:00"/>
    <m/>
    <s v="13_인터넷포털"/>
    <n v="0.1"/>
    <d v="2019-05-15T00:00:00"/>
  </r>
  <r>
    <n v="1890"/>
    <s v="8_국립축산과학원"/>
    <s v="1_축산생명환경부"/>
    <x v="9"/>
    <s v="권경석"/>
    <s v="보도자료46"/>
    <s v="“여름철 폭염대비 축사 환기·냉방시설 미리 살펴야”"/>
    <s v="라이브뉴스"/>
    <d v="2019-05-14T00:00:00"/>
    <m/>
    <s v="13_인터넷포털"/>
    <n v="0.1"/>
    <d v="2019-05-15T00:00:00"/>
  </r>
  <r>
    <n v="1891"/>
    <s v="8_국립축산과학원"/>
    <s v="1_축산생명환경부"/>
    <x v="9"/>
    <s v="전중환"/>
    <m/>
    <s v="‘지속가능축산과 동물복지, 그 현황과 문제점’ 토론회 오는 16일 개최"/>
    <s v="시사타임즈"/>
    <d v="2019-05-14T00:00:00"/>
    <m/>
    <s v="13_인터넷포털"/>
    <n v="0.1"/>
    <d v="2019-05-15T00:00:00"/>
  </r>
  <r>
    <n v="1892"/>
    <s v="8_국립축산과학원"/>
    <s v="2_축산자원개발부"/>
    <x v="6"/>
    <s v="최기준"/>
    <s v="보도자료45"/>
    <s v="사료작물 섞어 심기로 생산성 28% 향상"/>
    <s v="경기앤뉴스"/>
    <d v="2019-05-14T00:00:00"/>
    <m/>
    <s v="13_인터넷포털"/>
    <n v="0.1"/>
    <d v="2019-05-15T00:00:00"/>
  </r>
  <r>
    <n v="1893"/>
    <s v="8_국립축산과학원"/>
    <s v="2_축산자원개발부"/>
    <x v="6"/>
    <s v="최기준"/>
    <s v="보도자료45"/>
    <s v="사료작물 섞어 심기로 생산성 28% 향상"/>
    <s v="강원경제신문"/>
    <d v="2019-05-14T00:00:00"/>
    <m/>
    <s v="13_인터넷포털"/>
    <n v="0.1"/>
    <d v="2019-05-15T00:00:00"/>
  </r>
  <r>
    <n v="1894"/>
    <s v="8_국립축산과학원"/>
    <s v="2_축산자원개발부"/>
    <x v="6"/>
    <s v="지희정"/>
    <m/>
    <s v="충남도 농업기술원, 질 좋은 사료용 벼 생산 돕는다"/>
    <s v="뉴스웨이브"/>
    <d v="2019-05-14T00:00:00"/>
    <m/>
    <s v="13_인터넷포털"/>
    <n v="0.1"/>
    <d v="2019-05-15T00:00:00"/>
  </r>
  <r>
    <n v="1895"/>
    <s v="8_국립축산과학원"/>
    <s v="2_축산자원개발부"/>
    <x v="6"/>
    <s v="지희정"/>
    <m/>
    <s v="충남도 농업기술원, 질 좋은 사료용 벼 생산 돕는다"/>
    <s v="MBS"/>
    <d v="2019-05-14T00:00:00"/>
    <m/>
    <s v="13_인터넷포털"/>
    <n v="0.1"/>
    <d v="2019-05-15T00:00:00"/>
  </r>
  <r>
    <n v="1896"/>
    <s v="8_국립축산과학원"/>
    <s v="2_축산자원개발부"/>
    <x v="6"/>
    <s v="지희정"/>
    <m/>
    <s v="충남도 농업기술원, 사료용 벼 파종 현장 연시회"/>
    <s v="특급뉴스"/>
    <d v="2019-05-14T00:00:00"/>
    <m/>
    <s v="13_인터넷포털"/>
    <n v="0.1"/>
    <d v="2019-05-15T00:00:00"/>
  </r>
  <r>
    <n v="1897"/>
    <s v="8_국립축산과학원"/>
    <s v="1_축산생명환경부"/>
    <x v="9"/>
    <s v="전중환"/>
    <m/>
    <s v="지속가능축산과 동물복지, 그 현황과 문제점…토론회 개최"/>
    <s v="올치올치"/>
    <d v="2019-05-15T00:00:00"/>
    <m/>
    <s v="13_인터넷포털"/>
    <n v="0.1"/>
    <d v="2019-05-15T00:00:00"/>
  </r>
  <r>
    <n v="1898"/>
    <s v="8_국립축산과학원"/>
    <s v="2_축산자원개발부"/>
    <x v="6"/>
    <s v="최기준"/>
    <s v="보도자료45"/>
    <s v="풀사료 한 번에 파종해 두 번 수확(8시 뉴스)"/>
    <s v="JTV"/>
    <d v="2019-05-14T00:00:00"/>
    <m/>
    <s v="02_TV-지방"/>
    <n v="4"/>
    <d v="2019-05-16T00:00:00"/>
  </r>
  <r>
    <n v="1899"/>
    <s v="8_국립축산과학원"/>
    <s v="2_축산자원개발부"/>
    <x v="0"/>
    <s v="홍준기"/>
    <s v="보도자료47"/>
    <s v="농진청, 국내 종돈장 돼지 다리 건강 연구로 동물복지 실현"/>
    <s v="매일일보"/>
    <d v="2019-05-15T00:00:00"/>
    <m/>
    <s v="08_기타일간지"/>
    <n v="2"/>
    <d v="2019-05-16T00:00:00"/>
  </r>
  <r>
    <n v="1900"/>
    <s v="8_국립축산과학원"/>
    <s v="0_본원"/>
    <x v="13"/>
    <s v="정성훈"/>
    <m/>
    <s v="연천군농업기술센터, 맞춤형 종합 컨설팅으로 육계농가 애로기술 해결"/>
    <s v="매일일보"/>
    <d v="2019-05-15T00:00:00"/>
    <m/>
    <s v="08_기타일간지"/>
    <n v="2"/>
    <d v="2019-05-16T00:00:00"/>
  </r>
  <r>
    <n v="1901"/>
    <s v="8_국립축산과학원"/>
    <s v="2_축산자원개발부"/>
    <x v="6"/>
    <s v="김원호"/>
    <m/>
    <s v="장흥군, 대규모 조사료 생산단지 육성 ‘탄력’"/>
    <s v="신아일보"/>
    <d v="2019-05-15T00:00:00"/>
    <m/>
    <s v="08_기타일간지"/>
    <n v="2"/>
    <d v="2019-05-16T00:00:00"/>
  </r>
  <r>
    <n v="1902"/>
    <s v="8_국립축산과학원"/>
    <s v="0_본원"/>
    <x v="10"/>
    <s v="신상민"/>
    <s v="보도자료42"/>
    <s v="말 방목지 진드기 매개 원충성 질병 예방"/>
    <s v="영농자재신문"/>
    <d v="2019-05-10T00:00:00"/>
    <n v="6"/>
    <s v="09_농업전문지"/>
    <n v="1.5"/>
    <d v="2019-05-16T00:00:00"/>
  </r>
  <r>
    <n v="1903"/>
    <s v="8_국립축산과학원"/>
    <s v="2_축산자원개발부"/>
    <x v="6"/>
    <s v="양승학"/>
    <s v="보도자료43"/>
    <s v="‘드론’으로 동계 사료작물 적기파종 해결"/>
    <s v="영농자재신문"/>
    <d v="2019-05-10T00:00:00"/>
    <n v="12"/>
    <s v="09_농업전문지"/>
    <n v="1.5"/>
    <d v="2019-05-16T00:00:00"/>
  </r>
  <r>
    <n v="1904"/>
    <s v="8_국립축산과학원"/>
    <s v="1_축산생명환경부"/>
    <x v="9"/>
    <s v="권경석"/>
    <s v="보도자료46"/>
    <s v="꼼꼼한 축사 관리로 가축 스트레스 예방해요"/>
    <s v="전북타임스"/>
    <d v="2019-05-15T00:00:00"/>
    <n v="7"/>
    <s v="09_지방일간지"/>
    <n v="1.5"/>
    <d v="2019-05-16T00:00:00"/>
  </r>
  <r>
    <n v="1905"/>
    <s v="8_국립축산과학원"/>
    <s v="1_축산생명환경부"/>
    <x v="9"/>
    <s v="권경석"/>
    <s v="보도자료46"/>
    <s v="무더위 가축 스트레스 ‘원활한 공기 순환이 답’"/>
    <s v="전북도민일보"/>
    <d v="2019-05-15T00:00:00"/>
    <n v="6"/>
    <s v="09_지방일간지"/>
    <n v="1.5"/>
    <d v="2019-05-16T00:00:00"/>
  </r>
  <r>
    <n v="1906"/>
    <s v="8_국립축산과학원"/>
    <s v="1_축산생명환경부"/>
    <x v="9"/>
    <s v="권경석"/>
    <s v="보도자료46"/>
    <s v="무더위 대비 가축 스트레스 예방 당부"/>
    <s v="전라일보"/>
    <d v="2019-05-15T00:00:00"/>
    <n v="6"/>
    <s v="09_지방일간지"/>
    <n v="1.5"/>
    <d v="2019-05-16T00:00:00"/>
  </r>
  <r>
    <n v="1907"/>
    <s v="8_국립축산과학원"/>
    <s v="2_축산자원개발부"/>
    <x v="6"/>
    <s v="최기준"/>
    <s v="보도자료45"/>
    <s v="김제시 IRG-귀리 혼파재배 현장 연시회 개최"/>
    <s v="전북중앙"/>
    <d v="2019-05-15T00:00:00"/>
    <n v="11"/>
    <s v="09_지방일간지"/>
    <n v="1.5"/>
    <d v="2019-05-16T00:00:00"/>
  </r>
  <r>
    <n v="1908"/>
    <s v="8_국립축산과학원"/>
    <s v="2_축산자원개발부"/>
    <x v="6"/>
    <s v="최기준"/>
    <s v="보도자료45"/>
    <s v="김제시, 동계 사료작물 수확 연시회 개최"/>
    <s v="전북타임스"/>
    <d v="2019-05-15T00:00:00"/>
    <n v="9"/>
    <s v="09_지방일간지"/>
    <n v="1.5"/>
    <d v="2019-05-16T00:00:00"/>
  </r>
  <r>
    <n v="1909"/>
    <s v="8_국립축산과학원"/>
    <s v="2_축산자원개발부"/>
    <x v="6"/>
    <s v="최기준"/>
    <s v="보도자료45"/>
    <s v="김제시-국립축산과학원 사료작물 수확 연시회"/>
    <s v="전주일보"/>
    <d v="2019-05-15T00:00:00"/>
    <n v="9"/>
    <s v="09_지방일간지"/>
    <n v="1.5"/>
    <d v="2019-05-16T00:00:00"/>
  </r>
  <r>
    <n v="1910"/>
    <s v="8_국립축산과학원"/>
    <s v="2_축산자원개발부"/>
    <x v="6"/>
    <s v="최기준"/>
    <s v="보도자료45"/>
    <s v="조사료 재배농가에 다양한 기술 보급"/>
    <s v="전민일보"/>
    <d v="2019-05-15T00:00:00"/>
    <n v="9"/>
    <s v="09_지방일간지"/>
    <n v="1.5"/>
    <d v="2019-05-16T00:00:00"/>
  </r>
  <r>
    <n v="1911"/>
    <s v="8_국립축산과학원"/>
    <s v="2_축산자원개발부"/>
    <x v="6"/>
    <s v="최기준"/>
    <s v="보도자료45"/>
    <s v="김제시-국립축산과학원, 동계 사료작물 수확 연시회"/>
    <s v="삼남일보"/>
    <d v="2019-05-15T00:00:00"/>
    <n v="6"/>
    <s v="09_지방일간지"/>
    <n v="1.5"/>
    <d v="2019-05-16T00:00:00"/>
  </r>
  <r>
    <n v="1912"/>
    <s v="8_국립축산과학원"/>
    <s v="0_본원"/>
    <x v="13"/>
    <s v="정성훈"/>
    <m/>
    <s v="연천군 농기센, 맞춤형 종합컨설팅으로 육계농가 기술 해결"/>
    <s v="선경일보"/>
    <d v="2019-05-15T00:00:00"/>
    <m/>
    <s v="09_지방일간지"/>
    <n v="1.5"/>
    <d v="2019-05-16T00:00:00"/>
  </r>
  <r>
    <n v="1913"/>
    <s v="8_국립축산과학원"/>
    <s v="0_본원"/>
    <x v="13"/>
    <s v="정성훈"/>
    <m/>
    <s v="연천군, 축산농가 종합컨설팅 제공"/>
    <s v="일간경기"/>
    <d v="2019-05-15T00:00:00"/>
    <m/>
    <s v="09_지방일간지"/>
    <n v="1.5"/>
    <d v="2019-05-16T00:00:00"/>
  </r>
  <r>
    <n v="1914"/>
    <s v="8_국립축산과학원"/>
    <s v="0_본원"/>
    <x v="13"/>
    <s v="정성훈"/>
    <m/>
    <s v="연천, 맞춤형 종합컨설팅으로 연천 육계농가 애로기술 해결"/>
    <s v="서울매일"/>
    <d v="2019-05-15T00:00:00"/>
    <m/>
    <s v="09_지방일간지"/>
    <n v="1.5"/>
    <d v="2019-05-16T00:00:00"/>
  </r>
  <r>
    <n v="1915"/>
    <s v="8_국립축산과학원"/>
    <s v="2_축산자원개발부"/>
    <x v="6"/>
    <s v="김원호"/>
    <m/>
    <s v="장흥군, 대규모 풀사료 생산단지 육성 ‘박차’"/>
    <s v="전남일보"/>
    <d v="2019-05-15T00:00:00"/>
    <m/>
    <s v="09_지방일간지"/>
    <n v="1.5"/>
    <d v="2019-05-16T00:00:00"/>
  </r>
  <r>
    <n v="1916"/>
    <s v="8_국립축산과학원"/>
    <s v="0_본원"/>
    <x v="13"/>
    <s v="정성훈"/>
    <m/>
    <s v="연천군, 육계농가 맞춤형 종합컨설팅…기술애로 해결"/>
    <s v="수도권일보"/>
    <d v="2019-05-15T00:00:00"/>
    <m/>
    <s v="09_지방일간지"/>
    <n v="1.5"/>
    <d v="2019-05-16T00:00:00"/>
  </r>
  <r>
    <n v="1917"/>
    <s v="8_국립축산과학원"/>
    <s v="2_축산자원개발부"/>
    <x v="6"/>
    <s v="김원호"/>
    <m/>
    <s v="장흥군, 대규모 조사료 생산단지 육성 ‘박차’"/>
    <s v="일요서울"/>
    <d v="2019-05-15T00:00:00"/>
    <m/>
    <s v="10_주간지"/>
    <n v="1"/>
    <d v="2019-05-16T00:00:00"/>
  </r>
  <r>
    <n v="1918"/>
    <s v="8_국립축산과학원"/>
    <s v="0_본원"/>
    <x v="14"/>
    <s v="김의형"/>
    <m/>
    <s v="장흥한우 더 건강하게 ‘한우사양기술교육’"/>
    <s v="문화매일"/>
    <d v="2019-05-15T00:00:00"/>
    <n v="12"/>
    <s v="11_기타(지역주간지)"/>
    <n v="0.5"/>
    <d v="2019-05-16T00:00:00"/>
  </r>
  <r>
    <n v="1919"/>
    <s v="8_국립축산과학원"/>
    <s v="2_축산자원개발부"/>
    <x v="6"/>
    <s v="김원호"/>
    <m/>
    <s v="장흥군, 대규모 조사료 생산단지 육성 ‘박차’"/>
    <s v="브릿지경제"/>
    <d v="2019-05-15T00:00:00"/>
    <m/>
    <s v="11_기타(지역주간지)"/>
    <n v="0.5"/>
    <d v="2019-05-16T00:00:00"/>
  </r>
  <r>
    <n v="1920"/>
    <s v="8_국립축산과학원"/>
    <s v="0_본원"/>
    <x v="13"/>
    <s v="정성훈"/>
    <m/>
    <s v="맞춤형 종합컨설팅으로 연천군 육계농가 애로기술 해결"/>
    <s v="세계타임즈"/>
    <d v="2019-05-15T00:00:00"/>
    <m/>
    <s v="11_기타(지역주간지)"/>
    <n v="0.5"/>
    <d v="2019-05-16T00:00:00"/>
  </r>
  <r>
    <n v="1921"/>
    <s v="8_국립축산과학원"/>
    <s v="0_본원"/>
    <x v="13"/>
    <s v="정성훈"/>
    <m/>
    <s v="연천군, 어려움 겪는 축산농가 돌파구 찾는다"/>
    <s v="경기북부포커스"/>
    <d v="2019-05-15T00:00:00"/>
    <m/>
    <s v="11_기타(지역주간지)"/>
    <n v="0.5"/>
    <d v="2019-05-16T00:00:00"/>
  </r>
  <r>
    <n v="1922"/>
    <s v="8_국립축산과학원"/>
    <s v="0_본원"/>
    <x v="13"/>
    <s v="정성훈"/>
    <m/>
    <s v="맞춤형 종합컨설팅으로 연천군 육계농가 애로기술 해결"/>
    <s v="의양신문"/>
    <d v="2019-05-15T00:00:00"/>
    <m/>
    <s v="13_인터넷포털"/>
    <n v="0.1"/>
    <d v="2019-05-16T00:00:00"/>
  </r>
  <r>
    <n v="1923"/>
    <s v="8_국립축산과학원"/>
    <s v="0_본원"/>
    <x v="13"/>
    <s v="정성훈"/>
    <m/>
    <s v="맞춤형 종합컨설팅으로 연천군 육계농가 애로기술 해결"/>
    <s v="뉴스후"/>
    <d v="2019-05-15T00:00:00"/>
    <m/>
    <s v="13_인터넷포털"/>
    <n v="0.1"/>
    <d v="2019-05-16T00:00:00"/>
  </r>
  <r>
    <n v="1924"/>
    <s v="8_국립축산과학원"/>
    <s v="0_본원"/>
    <x v="13"/>
    <s v="정성훈"/>
    <m/>
    <s v="맞춤형 종합컨설팅으로 연천군 육계농가 애로기술 해결"/>
    <s v="케이에스피뉴스"/>
    <d v="2019-05-15T00:00:00"/>
    <m/>
    <s v="13_인터넷포털"/>
    <n v="0.1"/>
    <d v="2019-05-16T00:00:00"/>
  </r>
  <r>
    <n v="1925"/>
    <s v="8_국립축산과학원"/>
    <s v="0_본원"/>
    <x v="13"/>
    <s v="정성훈"/>
    <m/>
    <s v="맞춤형 종합컨설팅으로 연천군 육계농가 애로기술 해결"/>
    <s v="경기인터넷뉴스"/>
    <d v="2019-05-15T00:00:00"/>
    <m/>
    <s v="13_인터넷포털"/>
    <n v="0.1"/>
    <d v="2019-05-16T00:00:00"/>
  </r>
  <r>
    <n v="1926"/>
    <s v="8_국립축산과학원"/>
    <s v="0_본원"/>
    <x v="13"/>
    <s v="정성훈"/>
    <m/>
    <s v="맞춤형 종합컨설팅으로 연천군 육계농가 애로기술 해결"/>
    <s v="경기인터넷신문"/>
    <d v="2019-05-15T00:00:00"/>
    <m/>
    <s v="13_인터넷포털"/>
    <n v="0.1"/>
    <d v="2019-05-16T00:00:00"/>
  </r>
  <r>
    <n v="1927"/>
    <s v="8_국립축산과학원"/>
    <s v="0_본원"/>
    <x v="13"/>
    <s v="정성훈"/>
    <m/>
    <s v="맞춤형 종합컨설팅으로 연천군 육계농가 애로기술 해결"/>
    <s v="데일리와이"/>
    <d v="2019-05-15T00:00:00"/>
    <m/>
    <s v="13_인터넷포털"/>
    <n v="0.1"/>
    <d v="2019-05-16T00:00:00"/>
  </r>
  <r>
    <n v="1928"/>
    <s v="8_국립축산과학원"/>
    <s v="0_본원"/>
    <x v="13"/>
    <s v="정성훈"/>
    <m/>
    <s v="맞춤형 종합컨설팅으로 연천군 육계농가 애로기술 해결"/>
    <s v="미디어투데이"/>
    <d v="2019-05-15T00:00:00"/>
    <m/>
    <s v="13_인터넷포털"/>
    <n v="0.1"/>
    <d v="2019-05-16T00:00:00"/>
  </r>
  <r>
    <n v="1929"/>
    <s v="8_국립축산과학원"/>
    <s v="0_본원"/>
    <x v="13"/>
    <s v="정성훈"/>
    <m/>
    <s v="맞춤형 종합컨설팅으로 연천군 육계농가 애로기술 해결"/>
    <s v="중부뉴스통신"/>
    <d v="2019-05-15T00:00:00"/>
    <m/>
    <s v="13_인터넷포털"/>
    <n v="0.1"/>
    <d v="2019-05-16T00:00:00"/>
  </r>
  <r>
    <n v="1930"/>
    <s v="8_국립축산과학원"/>
    <s v="0_본원"/>
    <x v="13"/>
    <s v="정성훈"/>
    <m/>
    <s v="연천군, 맞춤형 종합컨설팅으로 육계농가 애로기술 해결"/>
    <s v="오늘뉴스"/>
    <d v="2019-05-15T00:00:00"/>
    <m/>
    <s v="13_인터넷포털"/>
    <n v="0.1"/>
    <d v="2019-05-16T00:00:00"/>
  </r>
  <r>
    <n v="1931"/>
    <s v="8_국립축산과학원"/>
    <s v="0_본원"/>
    <x v="13"/>
    <s v="정성훈"/>
    <m/>
    <s v="맞춤형 종합컨설팅으로 연천군 육계농가 애로기술 해결"/>
    <s v="경기eTV뉴스"/>
    <d v="2019-05-15T00:00:00"/>
    <m/>
    <s v="13_인터넷포털"/>
    <n v="0.1"/>
    <d v="2019-05-16T00:00:00"/>
  </r>
  <r>
    <n v="1932"/>
    <s v="8_국립축산과학원"/>
    <s v="0_본원"/>
    <x v="13"/>
    <s v="정성훈"/>
    <m/>
    <s v="연천군, 육계농가 애로기술 해결"/>
    <s v="메이킹뉴스"/>
    <d v="2019-05-15T00:00:00"/>
    <m/>
    <s v="13_인터넷포털"/>
    <n v="0.1"/>
    <d v="2019-05-16T00:00:00"/>
  </r>
  <r>
    <n v="1933"/>
    <s v="8_국립축산과학원"/>
    <s v="0_본원"/>
    <x v="13"/>
    <s v="정성훈"/>
    <m/>
    <s v="연천군 농업기술센터, 맞춤형 종합컨설팅으로 육계농가 애로기술 해결"/>
    <s v="국제뉴스"/>
    <d v="2019-05-15T00:00:00"/>
    <m/>
    <s v="13_인터넷포털"/>
    <n v="0.1"/>
    <d v="2019-05-16T00:00:00"/>
  </r>
  <r>
    <n v="1934"/>
    <s v="8_국립축산과학원"/>
    <s v="2_축산자원개발부"/>
    <x v="6"/>
    <s v="김원호"/>
    <m/>
    <s v="장흥군, 대구모조사료 생산단지 육성 ‘박차’"/>
    <s v="톡톡뉴스"/>
    <d v="2019-05-15T00:00:00"/>
    <m/>
    <s v="13_인터넷포털"/>
    <n v="0.1"/>
    <d v="2019-05-16T00:00:00"/>
  </r>
  <r>
    <n v="1935"/>
    <s v="8_국립축산과학원"/>
    <s v="2_축산자원개발부"/>
    <x v="6"/>
    <s v="김원호"/>
    <m/>
    <s v="정종순 장흥군수 “장흥 기후 특성 맞는 조사료 품종 생산 노력”"/>
    <s v="머니S"/>
    <d v="2019-05-15T00:00:00"/>
    <m/>
    <s v="13_인터넷포털"/>
    <n v="0.1"/>
    <d v="2019-05-16T00:00:00"/>
  </r>
  <r>
    <n v="1936"/>
    <s v="8_국립축산과학원"/>
    <s v="2_축산자원개발부"/>
    <x v="6"/>
    <s v="김원호"/>
    <m/>
    <s v="장흥군, 대규모 조사료 생산단지 육성 ‘박차’"/>
    <s v="NSP통신"/>
    <d v="2019-05-15T00:00:00"/>
    <m/>
    <s v="13_인터넷포털"/>
    <n v="0.1"/>
    <d v="2019-05-16T00:00:00"/>
  </r>
  <r>
    <n v="1937"/>
    <s v="8_국립축산과학원"/>
    <s v="2_축산자원개발부"/>
    <x v="6"/>
    <s v="김원호"/>
    <m/>
    <s v="장흥군, 대규모 조사료 생산단지 육성 ‘박차’"/>
    <s v="중앙통신뉴스"/>
    <d v="2019-05-15T00:00:00"/>
    <m/>
    <s v="13_인터넷포털"/>
    <n v="0.1"/>
    <d v="2019-05-16T00:00:00"/>
  </r>
  <r>
    <n v="1938"/>
    <s v="8_국립축산과학원"/>
    <s v="0_본원"/>
    <x v="13"/>
    <s v="정성훈"/>
    <m/>
    <s v="맞춤형 종합컨설팅으로 연천군 육계농가 애로기술 해결"/>
    <s v="경인투데이뉴스"/>
    <d v="2019-05-15T00:00:00"/>
    <m/>
    <s v="13_인터넷포털"/>
    <n v="0.1"/>
    <d v="2019-05-16T00:00:00"/>
  </r>
  <r>
    <n v="1939"/>
    <s v="8_국립축산과학원"/>
    <s v="2_축산자원개발부"/>
    <x v="6"/>
    <s v="김원호"/>
    <m/>
    <s v="장흥군, 대규모 조사료 생산단지 육성 ‘박차’"/>
    <s v="NGTV"/>
    <d v="2019-05-15T00:00:00"/>
    <m/>
    <s v="13_인터넷포털"/>
    <n v="0.1"/>
    <d v="2019-05-16T00:00:00"/>
  </r>
  <r>
    <n v="1940"/>
    <s v="8_국립축산과학원"/>
    <s v="2_축산자원개발부"/>
    <x v="6"/>
    <s v="김원호"/>
    <m/>
    <s v="장흥군, 대규모 조사료 생산단지 육성 ‘박차’"/>
    <s v="로컬투데이"/>
    <d v="2019-05-15T00:00:00"/>
    <m/>
    <s v="13_인터넷포털"/>
    <n v="0.1"/>
    <d v="2019-05-16T00:00:00"/>
  </r>
  <r>
    <n v="1941"/>
    <s v="8_국립축산과학원"/>
    <s v="2_축산자원개발부"/>
    <x v="6"/>
    <s v="김원호"/>
    <m/>
    <s v="장흥군, 대규모 조사료 생산단지 육성 ‘박차’"/>
    <s v="중부뉴스통신"/>
    <d v="2019-05-15T00:00:00"/>
    <m/>
    <s v="13_인터넷포털"/>
    <n v="0.1"/>
    <d v="2019-05-16T00:00:00"/>
  </r>
  <r>
    <n v="1942"/>
    <s v="8_국립축산과학원"/>
    <s v="0_본원"/>
    <x v="13"/>
    <s v="정성훈"/>
    <m/>
    <s v="맞춤형 종합컨설팅으로 연천군 육계농가 애로기술 해결"/>
    <s v="서울뉴스통신"/>
    <d v="2019-05-15T00:00:00"/>
    <m/>
    <s v="13_인터넷포털"/>
    <n v="0.1"/>
    <d v="2019-05-16T00:00:00"/>
  </r>
  <r>
    <n v="1943"/>
    <s v="8_국립축산과학원"/>
    <s v="0_본원"/>
    <x v="4"/>
    <s v="천동원"/>
    <s v="기고"/>
    <s v="[기고] 천동원 소장-토종닭 소비시장 확대 노력 관심을"/>
    <s v="축산경제"/>
    <d v="2019-05-13T00:00:00"/>
    <n v="11"/>
    <s v="17_농업전문지"/>
    <n v="8"/>
    <d v="2019-05-17T00:00:00"/>
  </r>
  <r>
    <n v="1944"/>
    <s v="8_국립축산과학원"/>
    <s v="0_본원"/>
    <x v="13"/>
    <s v="정성훈"/>
    <m/>
    <s v="연천군, 맞춤형 종합컨설팅 통해 연육계농가 애로기술 해결"/>
    <s v="아시아타임즈"/>
    <d v="2019-05-15T00:00:00"/>
    <m/>
    <s v="08_기타일간지"/>
    <n v="2"/>
    <d v="2019-05-17T00:00:00"/>
  </r>
  <r>
    <n v="1945"/>
    <s v="8_국립축산과학원"/>
    <s v="0_본원"/>
    <x v="13"/>
    <s v="정성훈"/>
    <m/>
    <s v="연천 육계농가 애로기술 해결"/>
    <s v="아시아일보"/>
    <d v="2019-05-16T00:00:00"/>
    <n v="8"/>
    <s v="08_기타일간지"/>
    <n v="2"/>
    <d v="2019-05-17T00:00:00"/>
  </r>
  <r>
    <n v="1946"/>
    <s v="8_국립축산과학원"/>
    <s v="2_축산자원개발부"/>
    <x v="0"/>
    <s v="홍준기"/>
    <s v="보도자료47"/>
    <s v="“돼지, 다리 튼튼해야 잘 크고 오래 살아”"/>
    <s v="환경일보"/>
    <d v="2019-05-16T00:00:00"/>
    <m/>
    <s v="08_기타일간지"/>
    <n v="2"/>
    <d v="2019-05-17T00:00:00"/>
  </r>
  <r>
    <n v="1947"/>
    <s v="8_국립축산과학원"/>
    <s v="2_축산자원개발부"/>
    <x v="6"/>
    <s v="김원호"/>
    <m/>
    <s v="장흥군, 대규모 조사료 생산단지 육성 ‘박차’"/>
    <s v="아시아일보"/>
    <d v="2019-05-16T00:00:00"/>
    <m/>
    <s v="08_기타일간지"/>
    <n v="2"/>
    <d v="2019-05-17T00:00:00"/>
  </r>
  <r>
    <n v="1948"/>
    <s v="8_국립축산과학원"/>
    <s v="0_본원"/>
    <x v="13"/>
    <s v="정성훈"/>
    <m/>
    <s v="강화군, 한우농가 맞춤형 종합컨설팅 실시"/>
    <s v="서울일보"/>
    <d v="2019-05-16T00:00:00"/>
    <m/>
    <s v="08_기타일간지"/>
    <n v="2"/>
    <d v="2019-05-17T00:00:00"/>
  </r>
  <r>
    <n v="1949"/>
    <s v="8_국립축산과학원"/>
    <s v="2_축산자원개발부"/>
    <x v="6"/>
    <s v="김원호"/>
    <m/>
    <s v="장흥군, 대규모 조사료 생산단지 육성 박차"/>
    <s v="전국매일신문"/>
    <d v="2019-05-17T00:00:00"/>
    <m/>
    <s v="08_기타일간지"/>
    <n v="2"/>
    <d v="2019-05-17T00:00:00"/>
  </r>
  <r>
    <n v="1950"/>
    <s v="8_국립축산과학원"/>
    <s v="2_축산자원개발부"/>
    <x v="8"/>
    <s v="박미나"/>
    <m/>
    <s v="천년전북한우 우량 정액 공급 박차"/>
    <s v="축산경제"/>
    <d v="2019-05-13T00:00:00"/>
    <n v="10"/>
    <s v="09_농업전문지"/>
    <n v="1.5"/>
    <d v="2019-05-17T00:00:00"/>
  </r>
  <r>
    <n v="1951"/>
    <s v="8_국립축산과학원"/>
    <s v="1_축산생명환경부"/>
    <x v="9"/>
    <s v="권경석"/>
    <s v="보도자료46"/>
    <s v="성큼 다가온 여름, 축사 환기·냉방 시설 미리 살펴야"/>
    <s v="한국영농신문"/>
    <d v="2019-05-16T00:00:00"/>
    <m/>
    <s v="09_농업전문지"/>
    <n v="1.5"/>
    <d v="2019-05-17T00:00:00"/>
  </r>
  <r>
    <n v="1952"/>
    <s v="8_국립축산과학원"/>
    <s v="2_축산자원개발부"/>
    <x v="6"/>
    <s v="김원호"/>
    <m/>
    <s v="장흥군, 대규모 조사료 생산단지 조성 ‘속도’"/>
    <s v="전업농신문"/>
    <d v="2019-05-16T00:00:00"/>
    <m/>
    <s v="09_농업전문지"/>
    <n v="1.5"/>
    <d v="2019-05-17T00:00:00"/>
  </r>
  <r>
    <n v="1953"/>
    <s v="8_국립축산과학원"/>
    <s v="2_축산자원개발부"/>
    <x v="0"/>
    <s v="홍준기"/>
    <s v="보도자료47"/>
    <s v="다리 튼튼한 돼지 잘 크고 오래 살아"/>
    <s v="농촌여성신문"/>
    <d v="2019-05-16T00:00:00"/>
    <m/>
    <s v="09_농업전문지"/>
    <n v="1.5"/>
    <d v="2019-05-17T00:00:00"/>
  </r>
  <r>
    <n v="1954"/>
    <s v="8_국립축산과학원"/>
    <s v="2_축산자원개발부"/>
    <x v="6"/>
    <s v="최기준"/>
    <s v="보도자료45"/>
    <s v="사료작물 섞어 심기로 생산성 28% 향상"/>
    <s v="한국농촌경제신문"/>
    <d v="2019-05-16T00:00:00"/>
    <m/>
    <s v="09_농업전문지"/>
    <n v="1.5"/>
    <d v="2019-05-17T00:00:00"/>
  </r>
  <r>
    <n v="1955"/>
    <s v="8_국립축산과학원"/>
    <s v="2_축산자원개발부"/>
    <x v="0"/>
    <s v="홍준기"/>
    <s v="보도자료47"/>
    <s v="돼지, 다리 튼튼해야 잘 크고 오래 살아"/>
    <s v="한국영농신문"/>
    <d v="2019-05-16T00:00:00"/>
    <m/>
    <s v="09_농업전문지"/>
    <n v="1.5"/>
    <d v="2019-05-17T00:00:00"/>
  </r>
  <r>
    <n v="1956"/>
    <s v="8_국립축산과학원"/>
    <s v="2_축산자원개발부"/>
    <x v="6"/>
    <s v="지희정"/>
    <m/>
    <s v="충남도, 사료용 벼 파종 현장 연시회"/>
    <s v="농수축산신문"/>
    <d v="2019-05-17T00:00:00"/>
    <m/>
    <s v="09_농업전문지"/>
    <n v="1.5"/>
    <d v="2019-05-17T00:00:00"/>
  </r>
  <r>
    <n v="1957"/>
    <s v="8_국립축산과학원"/>
    <s v="2_축산자원개발부"/>
    <x v="6"/>
    <s v="김원호"/>
    <m/>
    <s v="장흥군, 조사료 자급률 높이기 온 힘"/>
    <s v="시민일보"/>
    <d v="2019-05-15T00:00:00"/>
    <m/>
    <s v="09_지방일간지"/>
    <n v="1.5"/>
    <d v="2019-05-17T00:00:00"/>
  </r>
  <r>
    <n v="1958"/>
    <s v="8_국립축산과학원"/>
    <s v="0_본원"/>
    <x v="13"/>
    <s v="정성훈"/>
    <m/>
    <s v="맞춤형 종합컨설팅으로 연천군 육계농가 애로기술 해결"/>
    <s v="경기매일"/>
    <d v="2019-05-15T00:00:00"/>
    <m/>
    <s v="09_지방일간지"/>
    <n v="1.5"/>
    <d v="2019-05-17T00:00:00"/>
  </r>
  <r>
    <n v="1959"/>
    <s v="8_국립축산과학원"/>
    <s v="2_축산자원개발부"/>
    <x v="6"/>
    <s v="김원호"/>
    <m/>
    <s v="장흥군, 대규모 조사료 생산단지 육성 ‘박차’"/>
    <s v="남도일보"/>
    <d v="2019-05-15T00:00:00"/>
    <m/>
    <s v="09_지방일간지"/>
    <n v="1.5"/>
    <d v="2019-05-17T00:00:00"/>
  </r>
  <r>
    <n v="1960"/>
    <s v="8_국립축산과학원"/>
    <s v="2_축산자원개발부"/>
    <x v="6"/>
    <s v="김원호"/>
    <m/>
    <s v="장흥군, 대규모 조사료 생산단지 육성 ‘박차’"/>
    <s v="중도일보"/>
    <d v="2019-05-15T00:00:00"/>
    <m/>
    <s v="09_지방일간지"/>
    <n v="1.5"/>
    <d v="2019-05-17T00:00:00"/>
  </r>
  <r>
    <n v="1961"/>
    <s v="8_국립축산과학원"/>
    <s v="2_축산자원개발부"/>
    <x v="6"/>
    <s v="김원호"/>
    <m/>
    <s v="장흥군, 대규모 조사료 생산단지 육성 ‘박차’"/>
    <s v="호남신문"/>
    <d v="2019-05-16T00:00:00"/>
    <n v="7"/>
    <s v="09_지방일간지"/>
    <n v="1.5"/>
    <d v="2019-05-17T00:00:00"/>
  </r>
  <r>
    <n v="1962"/>
    <s v="8_국립축산과학원"/>
    <s v="2_축산자원개발부"/>
    <x v="6"/>
    <s v="김원호"/>
    <m/>
    <s v="장흥군, 대규모 조사료 생산단지 육성 ‘박차’"/>
    <s v="남도투데이"/>
    <d v="2019-05-16T00:00:00"/>
    <n v="7"/>
    <s v="09_지방일간지"/>
    <n v="1.5"/>
    <d v="2019-05-17T00:00:00"/>
  </r>
  <r>
    <n v="1963"/>
    <s v="8_국립축산과학원"/>
    <s v="2_축산자원개발부"/>
    <x v="6"/>
    <s v="김원호"/>
    <m/>
    <s v="장흥군, 대규모 조사료 생산단지 육성"/>
    <s v="산경일보"/>
    <d v="2019-05-16T00:00:00"/>
    <n v="14"/>
    <s v="09_지방일간지"/>
    <n v="1.5"/>
    <d v="2019-05-17T00:00:00"/>
  </r>
  <r>
    <n v="1964"/>
    <s v="8_국립축산과학원"/>
    <s v="2_축산자원개발부"/>
    <x v="6"/>
    <s v="김원호"/>
    <m/>
    <s v="장흥군, 대규모 조사료 생산단지 육성 ‘박차’"/>
    <s v="더대한일보"/>
    <d v="2019-05-16T00:00:00"/>
    <n v="5"/>
    <s v="09_지방일간지"/>
    <n v="1.5"/>
    <d v="2019-05-17T00:00:00"/>
  </r>
  <r>
    <n v="1965"/>
    <s v="8_국립축산과학원"/>
    <s v="2_축산자원개발부"/>
    <x v="6"/>
    <s v="김원호"/>
    <m/>
    <s v="장흥, 대규모 조사료 생산단지 육성"/>
    <s v="전남도민일보"/>
    <d v="2019-05-16T00:00:00"/>
    <n v="6"/>
    <s v="09_지방일간지"/>
    <n v="1.5"/>
    <d v="2019-05-17T00:00:00"/>
  </r>
  <r>
    <n v="1966"/>
    <s v="8_국립축산과학원"/>
    <s v="0_본원"/>
    <x v="14"/>
    <s v="김의형"/>
    <m/>
    <s v="장흥군, 한우 질병 예방·관리기술 교육"/>
    <s v="광주매일신문"/>
    <d v="2019-05-16T00:00:00"/>
    <n v="9"/>
    <s v="09_지방일간지"/>
    <n v="1.5"/>
    <d v="2019-05-17T00:00:00"/>
  </r>
  <r>
    <n v="1967"/>
    <s v="8_국립축산과학원"/>
    <s v="2_축산자원개발부"/>
    <x v="6"/>
    <s v="김원호"/>
    <m/>
    <s v="장흥군 대규모 조사료 생산단지 육성 박차"/>
    <s v="호남매일"/>
    <d v="2019-05-16T00:00:00"/>
    <n v="6"/>
    <s v="09_지방일간지"/>
    <n v="1.5"/>
    <d v="2019-05-17T00:00:00"/>
  </r>
  <r>
    <n v="1968"/>
    <s v="8_국립축산과학원"/>
    <s v="2_축산자원개발부"/>
    <x v="6"/>
    <s v="김원호"/>
    <m/>
    <s v="장흥군, 조사료 생산단지 육성 ‘박차’"/>
    <s v="시대일보"/>
    <d v="2019-05-16T00:00:00"/>
    <n v="10"/>
    <s v="09_지방일간지"/>
    <n v="1.5"/>
    <d v="2019-05-17T00:00:00"/>
  </r>
  <r>
    <n v="1969"/>
    <s v="8_국립축산과학원"/>
    <s v="0_본원"/>
    <x v="13"/>
    <s v="정성훈"/>
    <m/>
    <s v="연천군, 육계농가 애로기술 해결"/>
    <s v="현대일보"/>
    <d v="2019-05-16T00:00:00"/>
    <n v="10"/>
    <s v="09_지방일간지"/>
    <n v="1.5"/>
    <d v="2019-05-17T00:00:00"/>
  </r>
  <r>
    <n v="1970"/>
    <s v="8_국립축산과학원"/>
    <s v="2_축산자원개발부"/>
    <x v="6"/>
    <s v="김원호"/>
    <m/>
    <s v="장흥군, 대규모 조사료 생산단지 육성 ‘박차’"/>
    <s v="도민일보"/>
    <d v="2019-05-16T00:00:00"/>
    <m/>
    <s v="09_지방일간지"/>
    <n v="1.5"/>
    <d v="2019-05-17T00:00:00"/>
  </r>
  <r>
    <n v="1971"/>
    <s v="8_국립축산과학원"/>
    <s v="2_축산자원개발부"/>
    <x v="6"/>
    <s v="김원호"/>
    <m/>
    <s v="장흥군, 대규모 조사료 생산단지 육성 ‘박차’"/>
    <s v="선경일보"/>
    <d v="2019-05-16T00:00:00"/>
    <m/>
    <s v="09_지방일간지"/>
    <n v="1.5"/>
    <d v="2019-05-17T00:00:00"/>
  </r>
  <r>
    <n v="1972"/>
    <s v="8_국립축산과학원"/>
    <s v="0_본원"/>
    <x v="13"/>
    <s v="정성훈"/>
    <m/>
    <s v="인천 강화, ‘한우농가 맞춤형 종합컨설팅’ 실시"/>
    <s v="중도일보"/>
    <d v="2019-05-16T00:00:00"/>
    <m/>
    <s v="09_지방일간지"/>
    <n v="1.5"/>
    <d v="2019-05-17T00:00:00"/>
  </r>
  <r>
    <n v="1973"/>
    <s v="8_국립축산과학원"/>
    <s v="1_축산생명환경부"/>
    <x v="9"/>
    <s v="권경석"/>
    <s v="보도자료46"/>
    <s v="축사 환기·냉방 시설 미리 점검"/>
    <s v="식약일보"/>
    <d v="2019-05-15T00:00:00"/>
    <m/>
    <s v="10_기타전문지"/>
    <n v="1"/>
    <d v="2019-05-17T00:00:00"/>
  </r>
  <r>
    <n v="1974"/>
    <s v="8_국립축산과학원"/>
    <s v="2_축산자원개발부"/>
    <x v="6"/>
    <s v="김원호"/>
    <m/>
    <s v="장흥군, 대규모 조사료 생산단지 육성 ‘박차’"/>
    <s v="글로벌이코노믹"/>
    <d v="2019-05-15T00:00:00"/>
    <m/>
    <s v="10_주간지"/>
    <n v="1"/>
    <d v="2019-05-17T00:00:00"/>
  </r>
  <r>
    <n v="1975"/>
    <s v="8_국립축산과학원"/>
    <s v="0_본원"/>
    <x v="11"/>
    <s v="문규철"/>
    <s v="보도자료44"/>
    <s v="축산연구위해 희생된 동물 넋 위로(포토뉴스)"/>
    <s v="농축산기계"/>
    <d v="2019-05-10T00:00:00"/>
    <n v="11"/>
    <s v="10_기타전문지"/>
    <n v="1"/>
    <d v="2019-05-17T00:00:00"/>
  </r>
  <r>
    <n v="1976"/>
    <s v="8_국립축산과학원"/>
    <s v="0_본원"/>
    <x v="13"/>
    <s v="정성훈"/>
    <m/>
    <s v="국립축산과학원, 맞춤형 종합컨설팅으로 연천군 육계농가 애로기술 해결"/>
    <s v="엔디엔뉴스"/>
    <d v="2019-05-15T00:00:00"/>
    <m/>
    <s v="10_기타월간지"/>
    <n v="1"/>
    <d v="2019-05-17T00:00:00"/>
  </r>
  <r>
    <n v="1977"/>
    <s v="8_국립축산과학원"/>
    <s v="0_본원"/>
    <x v="13"/>
    <s v="정성훈"/>
    <m/>
    <s v="강화군, 한우농가 맞춤형 종합컨설팅 실시"/>
    <s v="일요서울"/>
    <d v="2019-05-16T00:00:00"/>
    <m/>
    <s v="10_주간지"/>
    <n v="1"/>
    <d v="2019-05-17T00:00:00"/>
  </r>
  <r>
    <n v="1978"/>
    <s v="8_국립축산과학원"/>
    <s v="2_축산자원개발부"/>
    <x v="0"/>
    <s v="홍준기"/>
    <s v="보도자료47"/>
    <s v="돼지, 다리 튼튼해야 잘 크고 오래 살아"/>
    <s v="식약일보"/>
    <d v="2019-05-16T00:00:00"/>
    <m/>
    <s v="10_기타전문지"/>
    <n v="1"/>
    <d v="2019-05-17T00:00:00"/>
  </r>
  <r>
    <n v="1979"/>
    <s v="8_국립축산과학원"/>
    <s v="0_본원"/>
    <x v="13"/>
    <s v="정성훈"/>
    <m/>
    <s v="강화군, 한우농가 맞춤형 종합컨설팅 실시"/>
    <s v="엔디엔뉴스"/>
    <d v="2019-05-16T00:00:00"/>
    <m/>
    <s v="10_기타월간지"/>
    <n v="1"/>
    <d v="2019-05-17T00:00:00"/>
  </r>
  <r>
    <n v="1980"/>
    <s v="8_국립축산과학원"/>
    <s v="0_본원"/>
    <x v="13"/>
    <s v="정성훈"/>
    <m/>
    <s v="강화군, 한우농가 맞춤형 종합컨설팅 실시"/>
    <s v="세계타임즈"/>
    <d v="2019-05-16T00:00:00"/>
    <m/>
    <s v="11_기타(지역주간지)"/>
    <n v="0.5"/>
    <d v="2019-05-17T00:00:00"/>
  </r>
  <r>
    <n v="1981"/>
    <s v="8_국립축산과학원"/>
    <s v="2_축산자원개발부"/>
    <x v="6"/>
    <s v="김원호"/>
    <m/>
    <s v="장흥군, 대규모 조사료 생산단지 육성 ‘박차’"/>
    <s v="위키트리"/>
    <d v="2019-05-15T00:00:00"/>
    <m/>
    <s v="13_인터넷포털"/>
    <n v="0.1"/>
    <d v="2019-05-17T00:00:00"/>
  </r>
  <r>
    <n v="1982"/>
    <s v="8_국립축산과학원"/>
    <s v="2_축산자원개발부"/>
    <x v="6"/>
    <s v="김원호"/>
    <m/>
    <s v="장흥군, ‘대규모 조사료 생산단지’ 구축"/>
    <s v="프레시안"/>
    <d v="2019-05-15T00:00:00"/>
    <m/>
    <s v="13_인터넷포털"/>
    <n v="0.1"/>
    <d v="2019-05-17T00:00:00"/>
  </r>
  <r>
    <n v="1983"/>
    <s v="8_국립축산과학원"/>
    <s v="2_축산자원개발부"/>
    <x v="6"/>
    <s v="김원호"/>
    <m/>
    <s v="장흥군, 대규모 조사료 생산단지 육성 ‘박차’"/>
    <s v="일등방송"/>
    <d v="2019-05-15T00:00:00"/>
    <m/>
    <s v="13_인터넷포털"/>
    <n v="0.1"/>
    <d v="2019-05-17T00:00:00"/>
  </r>
  <r>
    <n v="1984"/>
    <s v="8_국립축산과학원"/>
    <s v="2_축산자원개발부"/>
    <x v="0"/>
    <s v="홍준기"/>
    <s v="보도자료47"/>
    <s v="돼지 다리상태 보면 건강 이상유무 확인 가능"/>
    <s v="라이브뉴스"/>
    <d v="2019-05-15T00:00:00"/>
    <m/>
    <s v="13_인터넷포털"/>
    <n v="0.1"/>
    <d v="2019-05-17T00:00:00"/>
  </r>
  <r>
    <n v="1985"/>
    <s v="8_국립축산과학원"/>
    <s v="0_본원"/>
    <x v="13"/>
    <s v="정성훈"/>
    <m/>
    <s v="맞춤형 종합컨설팅으로 연천군 육계농가 애로기술 해결"/>
    <s v="글로벌뉴스통신"/>
    <d v="2019-05-15T00:00:00"/>
    <m/>
    <s v="13_인터넷포털"/>
    <n v="0.1"/>
    <d v="2019-05-17T00:00:00"/>
  </r>
  <r>
    <n v="1986"/>
    <s v="8_국립축산과학원"/>
    <s v="2_축산자원개발부"/>
    <x v="6"/>
    <s v="최기준"/>
    <s v="보도자료45"/>
    <s v="농진청, 이탈리안 라이그라스·귀리 혼파재배 수확 연시회 열어"/>
    <s v="노컷뉴스"/>
    <d v="2019-05-15T00:00:00"/>
    <m/>
    <s v="13_인터넷포털"/>
    <n v="0.1"/>
    <d v="2019-05-17T00:00:00"/>
  </r>
  <r>
    <n v="1987"/>
    <s v="8_국립축산과학원"/>
    <s v="2_축산자원개발부"/>
    <x v="6"/>
    <s v="김원호"/>
    <m/>
    <s v="장흥군, 대규모 조사료 생산단지 육성 박차"/>
    <s v="국제뉴스"/>
    <d v="2019-05-15T00:00:00"/>
    <m/>
    <s v="13_인터넷포털"/>
    <n v="0.1"/>
    <d v="2019-05-17T00:00:00"/>
  </r>
  <r>
    <n v="1988"/>
    <s v="8_국립축산과학원"/>
    <s v="0_본원"/>
    <x v="13"/>
    <s v="정성훈"/>
    <m/>
    <s v="맞춤형 종합컨설팅으로 연천군 육계농가 애로기술 해결"/>
    <s v="경원일보"/>
    <d v="2019-05-16T00:00:00"/>
    <m/>
    <s v="13_인터넷포털"/>
    <n v="0.1"/>
    <d v="2019-05-17T00:00:00"/>
  </r>
  <r>
    <n v="1989"/>
    <s v="8_국립축산과학원"/>
    <s v="0_본원"/>
    <x v="13"/>
    <s v="정성훈"/>
    <m/>
    <s v="강화군, 한우농가 맞춤형 종합컨설팅 진행"/>
    <s v="오늘뉴스"/>
    <d v="2019-05-16T00:00:00"/>
    <m/>
    <s v="13_인터넷포털"/>
    <n v="0.1"/>
    <d v="2019-05-17T00:00:00"/>
  </r>
  <r>
    <n v="1990"/>
    <s v="8_국립축산과학원"/>
    <s v="2_축산자원개발부"/>
    <x v="0"/>
    <s v="홍준기"/>
    <s v="보도자료47"/>
    <s v="돼지, 다리 튼튼해야 잘 크고 오래 살아"/>
    <s v="내외통신"/>
    <d v="2019-05-16T00:00:00"/>
    <m/>
    <s v="13_인터넷포털"/>
    <n v="0.1"/>
    <d v="2019-05-17T00:00:00"/>
  </r>
  <r>
    <n v="1991"/>
    <s v="8_국립축산과학원"/>
    <s v="0_본원"/>
    <x v="13"/>
    <s v="정성훈"/>
    <m/>
    <s v="강화군, 한우농가 맞춤형 종합컨설팅 실시"/>
    <s v="경기eTV뉴스"/>
    <d v="2019-05-16T00:00:00"/>
    <m/>
    <s v="13_인터넷포털"/>
    <n v="0.1"/>
    <d v="2019-05-17T00:00:00"/>
  </r>
  <r>
    <n v="1992"/>
    <s v="8_국립축산과학원"/>
    <s v="0_본원"/>
    <x v="13"/>
    <s v="정성훈"/>
    <m/>
    <s v="강화군, 한우농가 맞춤형 종합컨설팅 실시"/>
    <s v="한국공보뉴스"/>
    <d v="2019-05-16T00:00:00"/>
    <m/>
    <s v="13_인터넷포털"/>
    <n v="0.1"/>
    <d v="2019-05-17T00:00:00"/>
  </r>
  <r>
    <n v="1993"/>
    <s v="8_국립축산과학원"/>
    <s v="0_본원"/>
    <x v="13"/>
    <s v="정성훈"/>
    <m/>
    <s v="강화군, 한우농가 맞춤형 종합컨설팅 실시"/>
    <s v="케이에스피뉴스"/>
    <d v="2019-05-16T00:00:00"/>
    <m/>
    <s v="13_인터넷포털"/>
    <n v="0.1"/>
    <d v="2019-05-17T00:00:00"/>
  </r>
  <r>
    <n v="1994"/>
    <s v="8_국립축산과학원"/>
    <s v="1_축산생명환경부"/>
    <x v="9"/>
    <s v="전중환"/>
    <m/>
    <s v="동물복지 축산물 활성화, 결국 소비 증진이 필수…사회적 합의 必"/>
    <s v="데일리벳"/>
    <d v="2019-05-17T00:00:00"/>
    <m/>
    <s v="13_인터넷포털"/>
    <n v="0.1"/>
    <d v="2019-05-17T00:00:00"/>
  </r>
  <r>
    <n v="1995"/>
    <s v="8_국립축산과학원"/>
    <s v="0_본원"/>
    <x v="4"/>
    <s v="천동원"/>
    <s v="기고"/>
    <s v="[기고] 천동원 소장-축산현장 애로기술 해결 위한 닭 키우기[100문 100답] Q48,49"/>
    <s v="축산신문"/>
    <d v="2019-05-17T00:00:00"/>
    <n v="15"/>
    <s v="17_농업전문지"/>
    <n v="8"/>
    <d v="2019-05-20T00:00:00"/>
  </r>
  <r>
    <n v="1996"/>
    <s v="8_국립축산과학원"/>
    <s v="0_본원"/>
    <x v="15"/>
    <s v="노희종"/>
    <s v="기고"/>
    <s v="[기고] 노희종 연구사-종축의 국제 거래 국가관리 필요성 인식해야"/>
    <s v="농수축산신문"/>
    <d v="2019-05-17T00:00:00"/>
    <n v="6"/>
    <s v="17_농업전문지"/>
    <n v="8"/>
    <d v="2019-05-20T00:00:00"/>
  </r>
  <r>
    <n v="1997"/>
    <s v="8_국립축산과학원"/>
    <s v="2_축산자원개발부"/>
    <x v="6"/>
    <s v="최기준"/>
    <s v="보도자료45"/>
    <s v="한우가 가장 좋아하는 풀... 더 많이 생산하는 법(종합뉴스)"/>
    <s v="YTN"/>
    <d v="2019-05-18T00:00:00"/>
    <m/>
    <s v="02_TV-케이블중앙"/>
    <n v="4"/>
    <d v="2019-05-20T00:00:00"/>
  </r>
  <r>
    <n v="1998"/>
    <s v="8_국립축산과학원"/>
    <s v="2_축산자원개발부"/>
    <x v="6"/>
    <s v="최기준"/>
    <s v="보도자료45"/>
    <s v="한번 파종하고 두번 수확... 풀사료 자급률↑(종합뉴스)"/>
    <s v="연합뉴스TV"/>
    <d v="2019-05-19T00:00:00"/>
    <m/>
    <s v="02_TV-케이블중앙"/>
    <n v="4"/>
    <d v="2019-05-20T00:00:00"/>
  </r>
  <r>
    <n v="1999"/>
    <s v="8_국립축산과학원"/>
    <s v="2_축산자원개발부"/>
    <x v="6"/>
    <s v="최기준"/>
    <s v="보도자료45"/>
    <s v="이탈리안라이그라스-귀리 혼파재배 수확연시회 열려"/>
    <s v="노컷TV"/>
    <d v="2019-05-16T00:00:00"/>
    <m/>
    <s v="04_기타(DMB,IPTV)"/>
    <n v="0.5"/>
    <d v="2019-05-20T00:00:00"/>
  </r>
  <r>
    <n v="2000"/>
    <s v="8_국립축산과학원"/>
    <s v="1_축산생명환경부"/>
    <x v="9"/>
    <s v="곽정훈"/>
    <m/>
    <s v="농진청, ICT 기술로 ‘어미돼지 복지’ 향상"/>
    <s v="아시아투데이"/>
    <d v="2019-05-20T00:00:00"/>
    <n v="10"/>
    <s v="07_중앙일간지"/>
    <n v="5"/>
    <d v="2019-05-20T00:00:00"/>
  </r>
  <r>
    <n v="2001"/>
    <s v="8_국립축산과학원"/>
    <s v="1_축산생명환경부"/>
    <x v="9"/>
    <s v="전중환"/>
    <m/>
    <s v="동물복지 축산 활성화 ‘소비자에 해답…정부, 유통 밀어줘야’"/>
    <s v="뉴스1"/>
    <d v="2019-05-17T00:00:00"/>
    <m/>
    <s v="07_중앙일간지"/>
    <n v="5"/>
    <d v="2019-05-20T00:00:00"/>
  </r>
  <r>
    <n v="2002"/>
    <s v="8_국립축산과학원"/>
    <s v="0_본원"/>
    <x v="13"/>
    <s v="유지현"/>
    <m/>
    <s v="원광대, 동물교감교육 성과 확산 사업 수행"/>
    <s v="머니투데이"/>
    <d v="2019-05-20T00:00:00"/>
    <m/>
    <s v="07_중앙일간지"/>
    <n v="5"/>
    <d v="2019-05-20T00:00:00"/>
  </r>
  <r>
    <n v="2003"/>
    <s v="8_국립축산과학원"/>
    <s v="2_축산자원개발부"/>
    <x v="6"/>
    <s v="양승학"/>
    <s v="보도자료43"/>
    <s v="파종용 드론과 생육 조사용 드론 시연(포토뉴스)"/>
    <s v="머니투데이"/>
    <d v="2019-05-08T00:00:00"/>
    <m/>
    <s v="07_중앙일간지"/>
    <n v="5"/>
    <d v="2019-05-20T00:00:00"/>
  </r>
  <r>
    <n v="2004"/>
    <s v="8_국립축산과학원"/>
    <s v="0_본원"/>
    <x v="11"/>
    <s v="문규철"/>
    <s v="보도자료44"/>
    <s v="축산업 발전을 위해 희생된 가축을 위한 축혼제(포토뉴스)"/>
    <s v="머니투데이"/>
    <d v="2019-05-10T00:00:00"/>
    <m/>
    <s v="07_중앙일간지"/>
    <n v="5"/>
    <d v="2019-05-20T00:00:00"/>
  </r>
  <r>
    <n v="2005"/>
    <s v="8_국립축산과학원"/>
    <s v="2_축산자원개발부"/>
    <x v="6"/>
    <s v="김원호"/>
    <m/>
    <s v="장흥, 대규모 조사료 생산단지 육성 ‘박차’"/>
    <s v="서울일보"/>
    <d v="2019-05-17T00:00:00"/>
    <n v="14"/>
    <s v="08_기타일간지"/>
    <n v="2"/>
    <d v="2019-05-20T00:00:00"/>
  </r>
  <r>
    <n v="2006"/>
    <s v="8_국립축산과학원"/>
    <s v="0_본원"/>
    <x v="13"/>
    <s v="유지현"/>
    <m/>
    <s v="원광대, 동물교감교육 성과 확산 사업 수행"/>
    <s v="신아일보"/>
    <d v="2019-05-20T00:00:00"/>
    <m/>
    <s v="08_기타일간지"/>
    <n v="2"/>
    <d v="2019-05-20T00:00:00"/>
  </r>
  <r>
    <n v="2007"/>
    <s v="8_국립축산과학원"/>
    <s v="1_축산생명환경부"/>
    <x v="9"/>
    <s v="권경석"/>
    <s v="보도자료46"/>
    <s v="무더위 가축 스트레스 줄이려면…"/>
    <s v="농수축산신문"/>
    <d v="2019-05-17T00:00:00"/>
    <m/>
    <s v="09_농업전문지"/>
    <n v="1.5"/>
    <d v="2019-05-20T00:00:00"/>
  </r>
  <r>
    <n v="2008"/>
    <s v="8_국립축산과학원"/>
    <s v="2_축산자원개발부"/>
    <x v="0"/>
    <s v="홍준기"/>
    <s v="보도자료47"/>
    <s v="다리 튼튼한 돼지 유전적 특성 밝힌다"/>
    <s v="전업농신문"/>
    <d v="2019-05-17T00:00:00"/>
    <m/>
    <s v="09_농업전문지"/>
    <n v="1.5"/>
    <d v="2019-05-20T00:00:00"/>
  </r>
  <r>
    <n v="2009"/>
    <s v="8_국립축산과학원"/>
    <s v="1_축산생명환경부"/>
    <x v="9"/>
    <s v="권경석"/>
    <s v="보도자료46"/>
    <s v="축사 환기·냉방 시설 미리 살피세요"/>
    <s v="한국농촌경제신문"/>
    <d v="2019-05-20T00:00:00"/>
    <m/>
    <s v="09_농업전문지"/>
    <n v="1.5"/>
    <d v="2019-05-20T00:00:00"/>
  </r>
  <r>
    <n v="2010"/>
    <s v="8_국립축산과학원"/>
    <s v="1_축산생명환경부"/>
    <x v="9"/>
    <s v="권경석"/>
    <s v="보도자료46"/>
    <s v="축사 환기·냉방 시설 미리 살피세요"/>
    <s v="농축유통신문"/>
    <d v="2019-05-17T00:00:00"/>
    <m/>
    <s v="09_농업전문지"/>
    <n v="1.5"/>
    <d v="2019-05-20T00:00:00"/>
  </r>
  <r>
    <n v="2011"/>
    <s v="8_국립축산과학원"/>
    <s v="2_축산자원개발부"/>
    <x v="6"/>
    <s v="김원호"/>
    <m/>
    <s v="장흥군, 대규모 조사료 생산단지 육성 박차"/>
    <s v="광주매일신문"/>
    <d v="2019-05-17T00:00:00"/>
    <n v="8"/>
    <s v="09_지방일간지"/>
    <n v="1.5"/>
    <d v="2019-05-20T00:00:00"/>
  </r>
  <r>
    <n v="2012"/>
    <s v="8_국립축산과학원"/>
    <s v="2_축산자원개발부"/>
    <x v="6"/>
    <s v="김원호"/>
    <m/>
    <s v="장흥군, 대규모 조사료 생산단지 육성 ‘박차’"/>
    <s v="호남일보"/>
    <d v="2019-05-17T00:00:00"/>
    <n v="7"/>
    <s v="09_지방일간지"/>
    <n v="1.5"/>
    <d v="2019-05-20T00:00:00"/>
  </r>
  <r>
    <n v="2013"/>
    <s v="8_국립축산과학원"/>
    <s v="0_본원"/>
    <x v="11"/>
    <s v="문규철"/>
    <s v="보도자료44"/>
    <s v="농촌진흥청, 국립축산과학원 내 축혼제 열어"/>
    <s v="전북도민일보"/>
    <d v="2019-05-12T00:00:00"/>
    <m/>
    <s v="09_지방일간지"/>
    <n v="1.5"/>
    <d v="2019-05-20T00:00:00"/>
  </r>
  <r>
    <n v="2014"/>
    <s v="8_국립축산과학원"/>
    <s v="2_축산자원개발부"/>
    <x v="6"/>
    <s v="양승학"/>
    <s v="보도자료43"/>
    <s v="열일하는 드론, 풀사료 적기파종에 효자 노릇 톡톡!"/>
    <s v="정책브리핑"/>
    <d v="2019-05-08T00:00:00"/>
    <m/>
    <s v="12_대한민국 정책포털(korea.kr)"/>
    <n v="1"/>
    <d v="2019-05-20T00:00:00"/>
  </r>
  <r>
    <n v="2015"/>
    <s v="8_국립축산과학원"/>
    <s v="0_본원"/>
    <x v="11"/>
    <s v="문규철"/>
    <s v="보도자료44"/>
    <s v="축산업 발전 위한 희생... 동물 넋 위로"/>
    <s v="정책브리핑"/>
    <d v="2019-05-10T00:00:00"/>
    <m/>
    <s v="12_대한민국 정책포털(korea.kr)"/>
    <n v="1"/>
    <d v="2019-05-20T00:00:00"/>
  </r>
  <r>
    <n v="2016"/>
    <s v="8_국립축산과학원"/>
    <s v="2_축산자원개발부"/>
    <x v="6"/>
    <s v="최기준"/>
    <s v="보도자료45"/>
    <s v="사료작물 섞어 심기로 생산성 28% 향상"/>
    <s v="정책브리핑"/>
    <d v="2019-05-14T00:00:00"/>
    <m/>
    <s v="12_대한민국 정책포털(korea.kr)"/>
    <n v="1"/>
    <d v="2019-05-20T00:00:00"/>
  </r>
  <r>
    <n v="2017"/>
    <s v="8_국립축산과학원"/>
    <s v="1_축산생명환경부"/>
    <x v="9"/>
    <s v="권경석"/>
    <s v="보도자료46"/>
    <s v="축사 환기·냉방 시설 미리 살피세요"/>
    <s v="정책브리핑"/>
    <d v="2019-05-15T00:00:00"/>
    <m/>
    <s v="12_대한민국 정책포털(korea.kr)"/>
    <n v="1"/>
    <d v="2019-05-20T00:00:00"/>
  </r>
  <r>
    <n v="2018"/>
    <s v="8_국립축산과학원"/>
    <s v="2_축산자원개발부"/>
    <x v="0"/>
    <s v="홍준기"/>
    <s v="보도자료47"/>
    <s v="농촌진흥청, 다리가 튼튼한 돼지가 오래살아"/>
    <s v="농업경제신문"/>
    <d v="2019-05-20T00:00:00"/>
    <m/>
    <s v="13_인터넷포털"/>
    <n v="0.1"/>
    <d v="2019-05-20T00:00:00"/>
  </r>
  <r>
    <n v="2019"/>
    <s v="8_국립축산과학원"/>
    <s v="0_본원"/>
    <x v="13"/>
    <s v="유지현"/>
    <m/>
    <s v="동물매개심리치료학과, 동물교감교육 성과 확산 사업 수행"/>
    <s v="투데이안"/>
    <d v="2019-05-20T00:00:00"/>
    <m/>
    <s v="13_인터넷포털"/>
    <n v="0.1"/>
    <d v="2019-05-20T00:00:00"/>
  </r>
  <r>
    <n v="2020"/>
    <s v="8_국립축산과학원"/>
    <s v="0_본원"/>
    <x v="13"/>
    <s v="유지현"/>
    <m/>
    <s v="원광대 동물매개심리치료학과, 동물교감교육 성과 확산 사업 수행"/>
    <s v="베리타스알파"/>
    <d v="2019-05-20T00:00:00"/>
    <m/>
    <s v="13_인터넷포털"/>
    <n v="0.1"/>
    <d v="2019-05-20T00:00:00"/>
  </r>
  <r>
    <n v="2021"/>
    <s v="8_국립축산과학원"/>
    <s v="0_본원"/>
    <x v="11"/>
    <s v="문규철"/>
    <s v="보도자료44"/>
    <s v="축산업 발전 위해 희생된 동물 넋 위로"/>
    <s v="미디어피아"/>
    <d v="2019-05-10T00:00:00"/>
    <m/>
    <s v="13_인터넷포털"/>
    <n v="0.1"/>
    <d v="2019-05-20T00:00:00"/>
  </r>
  <r>
    <n v="2022"/>
    <s v="8_국립축산과학원"/>
    <s v="2_축산자원개발부"/>
    <x v="0"/>
    <s v="홍준기"/>
    <s v="보도자료47"/>
    <s v="“눈으로 다리 건강을 판별하는 매뉴얼 만든다”"/>
    <s v="돼지와사람"/>
    <d v="2019-05-19T00:00:00"/>
    <m/>
    <s v="13_인터넷포털"/>
    <n v="0.1"/>
    <d v="2019-05-20T00:00:00"/>
  </r>
  <r>
    <n v="2023"/>
    <s v="8_국립축산과학원"/>
    <s v="2_축산자원개발부"/>
    <x v="6"/>
    <s v="양승학"/>
    <s v="보도자료43"/>
    <s v="드론으로 '가축 풀사료' 재배...생산량 증대(뉴스 네트워크)"/>
    <s v="MBN"/>
    <d v="2019-05-20T00:00:00"/>
    <m/>
    <s v="02_TV-종합편성채널"/>
    <n v="4"/>
    <d v="2019-05-21T00:00:00"/>
  </r>
  <r>
    <n v="2024"/>
    <s v="8_국립축산과학원"/>
    <s v="2_축산자원개발부"/>
    <x v="0"/>
    <s v="홍준기"/>
    <s v="보도자료47"/>
    <s v="돼지, 다리 튼튼해야 잘 크고 오래 살아"/>
    <s v="농업인신문"/>
    <d v="2019-05-20T00:00:00"/>
    <n v="5"/>
    <s v="09_농업전문지"/>
    <n v="1.5"/>
    <d v="2019-05-21T00:00:00"/>
  </r>
  <r>
    <n v="2025"/>
    <s v="8_국립축산과학원"/>
    <s v="2_축산자원개발부"/>
    <x v="8"/>
    <s v="최연호"/>
    <s v="보도자료39"/>
    <s v="체형 우수 젖소 정액 수입 추천 신청하세요"/>
    <s v="농업축산신문"/>
    <d v="2019-05-13T00:00:00"/>
    <n v="6"/>
    <s v="09_농업전문지"/>
    <n v="1.5"/>
    <d v="2019-05-21T00:00:00"/>
  </r>
  <r>
    <n v="2026"/>
    <s v="8_국립축산과학원"/>
    <s v="0_본원"/>
    <x v="2"/>
    <m/>
    <m/>
    <s v="축산·가축질병분야 특허기술설명회 개최"/>
    <s v="농업축산신문"/>
    <d v="2019-05-13T00:00:00"/>
    <n v="6"/>
    <s v="09_농업전문지"/>
    <n v="1.5"/>
    <d v="2019-05-21T00:00:00"/>
  </r>
  <r>
    <n v="2027"/>
    <s v="8_국립축산과학원"/>
    <s v="2_축산자원개발부"/>
    <x v="0"/>
    <s v="홍준기"/>
    <s v="보도자료47"/>
    <s v="‘돼지’ 다리 튼튼해야 잘 큰다"/>
    <s v="한국농촌경제신문"/>
    <d v="2019-05-21T00:00:00"/>
    <m/>
    <s v="09_농업전문지"/>
    <n v="1.5"/>
    <d v="2019-05-21T00:00:00"/>
  </r>
  <r>
    <n v="2028"/>
    <s v="8_국립축산과학원"/>
    <s v="2_축산자원개발부"/>
    <x v="6"/>
    <s v="김원호"/>
    <m/>
    <s v="장흥 대규모 조사료 생산단지 육성"/>
    <s v="전남매일"/>
    <d v="2019-05-20T00:00:00"/>
    <m/>
    <s v="09_지방일간지"/>
    <n v="1.5"/>
    <d v="2019-05-21T00:00:00"/>
  </r>
  <r>
    <n v="2029"/>
    <s v="8_국립축산과학원"/>
    <s v="2_축산자원개발부"/>
    <x v="6"/>
    <s v="김원호"/>
    <m/>
    <s v="삼산간척지 생산단지 구축 사료벼 종자 육성 박차 장흥군, 자급률 향상 기대"/>
    <s v="광주일보"/>
    <d v="2019-05-21T00:00:00"/>
    <m/>
    <s v="09_지방일간지"/>
    <n v="1.5"/>
    <d v="2019-05-21T00:00:00"/>
  </r>
  <r>
    <n v="2030"/>
    <s v="8_국립축산과학원"/>
    <s v="2_축산자원개발부"/>
    <x v="0"/>
    <s v="홍준기"/>
    <s v="보도자료47"/>
    <s v="농촌진흥청, 국내 종돈장 돼지 다리 건강 연구"/>
    <s v="전북도민일보"/>
    <d v="2019-05-15T00:00:00"/>
    <m/>
    <s v="09_지방일간지"/>
    <n v="1.5"/>
    <d v="2019-05-21T00:00:00"/>
  </r>
  <r>
    <n v="2031"/>
    <s v="8_국립축산과학원"/>
    <s v="0_본원"/>
    <x v="13"/>
    <s v="유지현"/>
    <m/>
    <s v="원광대, 동물교감교육 성과 확산 사업 수행"/>
    <s v="새전북신문"/>
    <d v="2019-05-20T00:00:00"/>
    <m/>
    <s v="09_지방일간지"/>
    <n v="1.5"/>
    <d v="2019-05-21T00:00:00"/>
  </r>
  <r>
    <n v="2032"/>
    <s v="8_국립축산과학원"/>
    <s v="0_본원"/>
    <x v="13"/>
    <s v="유지현"/>
    <m/>
    <s v="원광대 동물매개심리치료학과, 동물교감교육 성과 확산 사업 수행"/>
    <s v="전주매일"/>
    <d v="2019-05-20T00:00:00"/>
    <m/>
    <s v="09_지방일간지"/>
    <n v="1.5"/>
    <d v="2019-05-21T00:00:00"/>
  </r>
  <r>
    <n v="2033"/>
    <s v="8_국립축산과학원"/>
    <s v="2_축산자원개발부"/>
    <x v="0"/>
    <s v="홍준기"/>
    <s v="보도자료47"/>
    <s v="돼지, 다리 튼튼해야 잘 크고 오래 살아"/>
    <s v="정책브리핑"/>
    <d v="2019-05-16T00:00:00"/>
    <m/>
    <s v="12_대한민국 정책포털(korea.kr)"/>
    <n v="1"/>
    <d v="2019-05-21T00:00:00"/>
  </r>
  <r>
    <n v="2034"/>
    <s v="8_국립축산과학원"/>
    <s v="2_축산자원개발부"/>
    <x v="0"/>
    <s v="홍준기"/>
    <s v="보도자료47"/>
    <s v="농진청, 국내 종돈장 돼지 다리 건강 연구 추진"/>
    <s v="KNS뉴스통신"/>
    <d v="2019-05-16T00:00:00"/>
    <m/>
    <s v="13_인터넷포털"/>
    <n v="0.1"/>
    <d v="2019-05-21T00:00:00"/>
  </r>
  <r>
    <n v="2035"/>
    <s v="8_국립축산과학원"/>
    <s v="0_본원"/>
    <x v="13"/>
    <s v="유지현"/>
    <m/>
    <s v="원광대 동물심리치료학과, 동물교감교육 성과 사업 수행"/>
    <s v="익산시민뉴스"/>
    <d v="2019-05-21T00:00:00"/>
    <m/>
    <s v="13_인터넷포털"/>
    <n v="0.1"/>
    <d v="2019-05-21T00:00:00"/>
  </r>
  <r>
    <n v="2036"/>
    <s v="8_국립축산과학원"/>
    <s v="0_본원"/>
    <x v="3"/>
    <s v="양창범"/>
    <s v="기고"/>
    <s v="[기고] 양창범 원장-반려동물의 건강을 지켜주고 싶다면"/>
    <s v="대전투데이"/>
    <d v="2019-04-03T00:00:00"/>
    <n v="15"/>
    <s v="17_지방일간지"/>
    <n v="8"/>
    <d v="2019-05-22T00:00:00"/>
  </r>
  <r>
    <n v="2037"/>
    <s v="8_국립축산과학원"/>
    <s v="0_본원"/>
    <x v="4"/>
    <s v="천동원"/>
    <s v="기고"/>
    <s v="[기고] 천동원 소장-축산현장 애로기술 해결 위한 닭 키우기[100문 100답] Q50,51"/>
    <s v="축산신문"/>
    <d v="2019-05-21T00:00:00"/>
    <n v="15"/>
    <s v="17_농업전문지"/>
    <n v="8"/>
    <d v="2019-05-22T00:00:00"/>
  </r>
  <r>
    <n v="2038"/>
    <s v="8_국립축산과학원"/>
    <s v="2_축산자원개발부"/>
    <x v="6"/>
    <s v="양승학"/>
    <s v="보도자료43"/>
    <s v="풀사료 재배법 개발... 2025년까지 100% 자급계획"/>
    <s v="MBC안동"/>
    <d v="2019-05-20T00:00:00"/>
    <m/>
    <s v="02_TV-지방"/>
    <n v="4"/>
    <d v="2019-05-22T00:00:00"/>
  </r>
  <r>
    <n v="2039"/>
    <s v="8_국립축산과학원"/>
    <s v="2_축산자원개발부"/>
    <x v="6"/>
    <s v="최보람"/>
    <s v="보도자료48"/>
    <s v="벼·옥수수 갉아 먹는 ‘멸강나방’ 피해 주의보"/>
    <s v="매일경제"/>
    <d v="2019-05-21T00:00:00"/>
    <m/>
    <s v="07_중앙일간지"/>
    <n v="5"/>
    <d v="2019-05-22T00:00:00"/>
  </r>
  <r>
    <n v="2040"/>
    <s v="8_국립축산과학원"/>
    <s v="2_축산자원개발부"/>
    <x v="6"/>
    <s v="최보람"/>
    <s v="보도자료48"/>
    <s v="벼·옥수수 갉아 먹는 ‘멸강나방’ 피해 주의보"/>
    <s v="연합뉴스"/>
    <d v="2019-05-21T00:00:00"/>
    <m/>
    <s v="07_중앙일간지"/>
    <n v="5"/>
    <d v="2019-05-22T00:00:00"/>
  </r>
  <r>
    <n v="2041"/>
    <s v="8_국립축산과학원"/>
    <s v="1_축산생명환경부"/>
    <x v="9"/>
    <s v="권경석"/>
    <s v="보도자료46"/>
    <s v="부쩍 더워진 날씨…축산현장 ‘비상’"/>
    <s v="축산신문"/>
    <d v="2019-05-21T00:00:00"/>
    <n v="1"/>
    <s v="09_농업전문지"/>
    <n v="1.5"/>
    <d v="2019-05-22T00:00:00"/>
  </r>
  <r>
    <n v="2042"/>
    <s v="8_국립축산과학원"/>
    <s v="1_축산생명환경부"/>
    <x v="9"/>
    <s v="곽정훈"/>
    <m/>
    <s v="30일 한경대서 ‘ICT 활용 젖소 사양관리’ 심포지엄"/>
    <s v="축산신문"/>
    <d v="2019-05-21T00:00:00"/>
    <n v="5"/>
    <s v="09_농업전문지"/>
    <n v="1.5"/>
    <d v="2019-05-22T00:00:00"/>
  </r>
  <r>
    <n v="2043"/>
    <s v="8_국립축산과학원"/>
    <s v="1_축산생명환경부"/>
    <x v="7"/>
    <s v="김상호"/>
    <m/>
    <s v="천하제일사료 낙농·비육우 신제품 출시"/>
    <s v="한국농어민신문"/>
    <d v="2019-05-21T00:00:00"/>
    <n v="8"/>
    <s v="09_농업전문지"/>
    <n v="1.5"/>
    <d v="2019-05-22T00:00:00"/>
  </r>
  <r>
    <n v="2044"/>
    <s v="8_국립축산과학원"/>
    <s v="2_축산자원개발부"/>
    <x v="0"/>
    <s v="홍준기"/>
    <s v="보도자료47"/>
    <s v="눈으로 돼지 다리 건강 판별 ‘매뉴얼’ 만든다"/>
    <s v="한국농어민신문"/>
    <d v="2019-05-21T00:00:00"/>
    <m/>
    <s v="09_농업전문지"/>
    <n v="1.5"/>
    <d v="2019-05-22T00:00:00"/>
  </r>
  <r>
    <n v="2045"/>
    <s v="8_국립축산과학원"/>
    <s v="1_축산생명환경부"/>
    <x v="9"/>
    <s v="곽정훈"/>
    <m/>
    <s v="폭염과 스트레스 관리"/>
    <s v="농수축산신문"/>
    <d v="2019-05-21T00:00:00"/>
    <m/>
    <s v="09_농업전문지"/>
    <n v="1.5"/>
    <d v="2019-05-22T00:00:00"/>
  </r>
  <r>
    <n v="2046"/>
    <s v="8_국립축산과학원"/>
    <s v="1_축산생명환경부"/>
    <x v="5"/>
    <s v="강선문"/>
    <s v="보도자료50"/>
    <s v="‘축산식품의 지속성장을 위한 플랫폼 기술’ 학술대회"/>
    <s v="식품저널"/>
    <d v="2019-05-22T00:00:00"/>
    <m/>
    <s v="09_농업전문지"/>
    <n v="1.5"/>
    <d v="2019-05-22T00:00:00"/>
  </r>
  <r>
    <n v="2047"/>
    <s v="8_국립축산과학원"/>
    <s v="0_본원"/>
    <x v="13"/>
    <s v="유지현"/>
    <m/>
    <s v="원광대 동물매개심리치료학과, 동물교감교육 성과 확산"/>
    <s v="새만금일보"/>
    <d v="2019-05-21T00:00:00"/>
    <n v="7"/>
    <s v="09_지방일간지"/>
    <n v="1.5"/>
    <d v="2019-05-22T00:00:00"/>
  </r>
  <r>
    <n v="2048"/>
    <s v="8_국립축산과학원"/>
    <s v="0_본원"/>
    <x v="13"/>
    <s v="유지현"/>
    <m/>
    <s v="원광대, ‘동물교감교육’ 성과 확산 사업 수행"/>
    <s v="전북타임스"/>
    <d v="2019-05-21T00:00:00"/>
    <n v="5"/>
    <s v="09_지방일간지"/>
    <n v="1.5"/>
    <d v="2019-05-22T00:00:00"/>
  </r>
  <r>
    <n v="2049"/>
    <s v="8_국립축산과학원"/>
    <s v="2_축산자원개발부"/>
    <x v="6"/>
    <s v="양승학"/>
    <s v="보도자료43"/>
    <s v="드론, 풀사료 적기파종에 효자 노릇 톡톡"/>
    <s v="농식품PLUS신문"/>
    <d v="2019-05-15T00:00:00"/>
    <n v="19"/>
    <s v="10_기타전문지"/>
    <n v="1"/>
    <d v="2019-05-22T00:00:00"/>
  </r>
  <r>
    <n v="2050"/>
    <s v="8_국립축산과학원"/>
    <s v="2_축산자원개발부"/>
    <x v="6"/>
    <s v="최기준"/>
    <s v="보도자료45"/>
    <s v="사료작물 섞어 심기로 생산성 28% 향상"/>
    <s v="농식품PLUS신문"/>
    <d v="2019-05-15T00:00:00"/>
    <n v="21"/>
    <s v="10_기타전문지"/>
    <n v="1"/>
    <d v="2019-05-22T00:00:00"/>
  </r>
  <r>
    <n v="2051"/>
    <s v="8_국립축산과학원"/>
    <s v="0_본원"/>
    <x v="10"/>
    <s v="신상민"/>
    <s v="보도자료42"/>
    <s v="초여름, 진드기 피해를 줄이는 방법"/>
    <s v="농식품PLUS신문"/>
    <d v="2019-05-15T00:00:00"/>
    <n v="18"/>
    <s v="10_기타전문지"/>
    <n v="1"/>
    <d v="2019-05-22T00:00:00"/>
  </r>
  <r>
    <n v="2052"/>
    <s v="8_국립축산과학원"/>
    <s v="0_본원"/>
    <x v="11"/>
    <s v="문규철"/>
    <s v="보도자료44"/>
    <s v="축산업 발전 위한 희생…동물 넋 위로"/>
    <s v="버섯신문"/>
    <d v="2019-05-15T00:00:00"/>
    <n v="16"/>
    <s v="09_농업전문지"/>
    <n v="1.5"/>
    <d v="2019-05-22T00:00:00"/>
  </r>
  <r>
    <n v="2053"/>
    <s v="8_국립축산과학원"/>
    <s v="2_축산자원개발부"/>
    <x v="6"/>
    <s v="최보람"/>
    <s v="보도자료48"/>
    <s v="고온다습한 봄날씨... 농가에 병해충 주의보"/>
    <s v="조선비즈"/>
    <d v="2019-05-21T00:00:00"/>
    <m/>
    <s v="11_기타(지역주간지)"/>
    <n v="0.5"/>
    <d v="2019-05-22T00:00:00"/>
  </r>
  <r>
    <n v="2054"/>
    <s v="8_국립축산과학원"/>
    <s v="1_축산생명환경부"/>
    <x v="5"/>
    <s v="강선문"/>
    <s v="보도자료50"/>
    <s v="플랫폼 기술 더한 축산식품산업 만난다"/>
    <s v="라이브뉴스"/>
    <d v="2019-05-22T00:00:00"/>
    <m/>
    <s v="13_인터넷포털"/>
    <n v="0.1"/>
    <d v="2019-05-22T00:00:00"/>
  </r>
  <r>
    <n v="2055"/>
    <s v="8_국립축산과학원"/>
    <s v="0_본원"/>
    <x v="14"/>
    <s v="원정일"/>
    <s v="보도자료49"/>
    <s v="농촌진흥청, 올해 첫 한우 방목…5개월 간 초지 생활"/>
    <s v="더코리아뉴스"/>
    <d v="2019-05-22T00:00:00"/>
    <m/>
    <s v="13_인터넷포털"/>
    <n v="0.1"/>
    <d v="2019-05-22T00:00:00"/>
  </r>
  <r>
    <n v="2056"/>
    <s v="8_국립축산과학원"/>
    <s v="0_본원"/>
    <x v="14"/>
    <s v="원정일"/>
    <s v="보도자료49"/>
    <s v="자연이 좋소' 대관령에 한우 300마리 방목(뉴스오늘)"/>
    <s v="연합뉴스TV"/>
    <d v="2019-05-22T00:00:00"/>
    <m/>
    <s v="02_TV-케이블중앙"/>
    <n v="4"/>
    <d v="2019-05-23T00:00:00"/>
  </r>
  <r>
    <n v="2057"/>
    <s v="8_국립축산과학원"/>
    <s v="0_본원"/>
    <x v="14"/>
    <s v="원정일"/>
    <s v="보도자료49"/>
    <s v="정말로 ‘먼지나게’ 뛰었습니다...우사 빠져나온 소 300마리 풀밭 ‘폭주’"/>
    <s v="경향신문"/>
    <d v="2019-05-22T00:00:00"/>
    <m/>
    <s v="07_중앙일간지"/>
    <n v="5"/>
    <d v="2019-05-23T00:00:00"/>
  </r>
  <r>
    <n v="2058"/>
    <s v="8_국립축산과학원"/>
    <s v="0_본원"/>
    <x v="14"/>
    <s v="원정일"/>
    <s v="보도자료49"/>
    <s v="농진청, 한우 300마리 올해 첫 대관령 초지 방목"/>
    <s v="아시아투데이"/>
    <d v="2019-05-22T00:00:00"/>
    <m/>
    <s v="07_중앙일간지"/>
    <n v="5"/>
    <d v="2019-05-23T00:00:00"/>
  </r>
  <r>
    <n v="2059"/>
    <s v="8_국립축산과학원"/>
    <s v="0_본원"/>
    <x v="14"/>
    <s v="원정일"/>
    <s v="보도자료49"/>
    <s v="농진청, 한우 300마리 대관령 방목"/>
    <s v="이투데이"/>
    <d v="2019-05-23T00:00:00"/>
    <n v="16"/>
    <s v="07_중앙일간지"/>
    <n v="5"/>
    <d v="2019-05-23T00:00:00"/>
  </r>
  <r>
    <n v="2060"/>
    <s v="8_국립축산과학원"/>
    <s v="0_본원"/>
    <x v="14"/>
    <s v="원정일"/>
    <s v="보도자료49"/>
    <s v="500kg 한우 암소 방목하니 하루에 풀 70kg ‘꿀꺽’"/>
    <s v="머니투데이"/>
    <d v="2019-05-22T00:00:00"/>
    <m/>
    <s v="07_중앙일간지"/>
    <n v="5"/>
    <d v="2019-05-23T00:00:00"/>
  </r>
  <r>
    <n v="2061"/>
    <s v="8_국립축산과학원"/>
    <s v="0_본원"/>
    <x v="14"/>
    <s v="원정일"/>
    <s v="보도자료49"/>
    <s v="농진청, 대관령 초지에 올해 한우 300마리 첫 방목"/>
    <s v="파이낸셜뉴스"/>
    <d v="2019-05-22T00:00:00"/>
    <m/>
    <s v="07_중앙일간지"/>
    <n v="5"/>
    <d v="2019-05-23T00:00:00"/>
  </r>
  <r>
    <n v="2062"/>
    <s v="8_국립축산과학원"/>
    <s v="0_본원"/>
    <x v="14"/>
    <s v="원정일"/>
    <s v="보도자료49"/>
    <s v="‘한우 300마리, 올해 처음 대관령 풀밭으로 나왔소’"/>
    <s v="이데일리"/>
    <d v="2019-05-22T00:00:00"/>
    <m/>
    <s v="07_중앙일간지"/>
    <n v="5"/>
    <d v="2019-05-23T00:00:00"/>
  </r>
  <r>
    <n v="2063"/>
    <s v="8_국립축산과학원"/>
    <s v="0_본원"/>
    <x v="14"/>
    <s v="원정일"/>
    <s v="보도자료49"/>
    <s v="올해 첫 대관령 한우 300마리 방목"/>
    <s v="연합뉴스"/>
    <d v="2019-05-22T00:00:00"/>
    <m/>
    <s v="07_중앙일간지"/>
    <n v="5"/>
    <d v="2019-05-23T00:00:00"/>
  </r>
  <r>
    <n v="2064"/>
    <s v="8_국립축산과학원"/>
    <s v="0_본원"/>
    <x v="14"/>
    <s v="원정일"/>
    <s v="보도자료49"/>
    <s v="올 첫 대관령 한우 방목 “나들이 가요”"/>
    <s v="서울경제"/>
    <d v="2019-05-23T00:00:00"/>
    <n v="32"/>
    <s v="07_중앙일간지"/>
    <n v="5"/>
    <d v="2019-05-23T00:00:00"/>
  </r>
  <r>
    <n v="2065"/>
    <s v="8_국립축산과학원"/>
    <s v="0_본원"/>
    <x v="14"/>
    <s v="원정일"/>
    <s v="보도자료49"/>
    <s v="대관령 한우 올해 첫 방목"/>
    <s v="국민일보"/>
    <d v="2019-05-22T00:00:00"/>
    <m/>
    <s v="07_중앙일간지"/>
    <n v="5"/>
    <d v="2019-05-23T00:00:00"/>
  </r>
  <r>
    <n v="2066"/>
    <s v="8_국립축산과학원"/>
    <s v="0_본원"/>
    <x v="14"/>
    <s v="원정일"/>
    <s v="보도자료49"/>
    <s v="농촌진흥청, 올해 첫 방목"/>
    <s v="뉴시스"/>
    <d v="2019-05-22T00:00:00"/>
    <m/>
    <s v="07_중앙일간지"/>
    <n v="5"/>
    <d v="2019-05-23T00:00:00"/>
  </r>
  <r>
    <n v="2067"/>
    <s v="8_국립축산과학원"/>
    <s v="0_본원"/>
    <x v="14"/>
    <s v="원정일"/>
    <s v="보도자료49"/>
    <s v="‘한우 외출’"/>
    <s v="뉴스1"/>
    <d v="2019-05-22T00:00:00"/>
    <m/>
    <s v="07_중앙일간지"/>
    <n v="5"/>
    <d v="2019-05-23T00:00:00"/>
  </r>
  <r>
    <n v="2068"/>
    <s v="8_국립축산과학원"/>
    <s v="1_축산생명환경부"/>
    <x v="5"/>
    <s v="강선문"/>
    <s v="보도자료50"/>
    <s v="농진청·축산식품학회, 23~25일 전남대서 국제학술대회"/>
    <s v="연합뉴스"/>
    <d v="2019-05-22T00:00:00"/>
    <m/>
    <s v="07_중앙일간지"/>
    <n v="5"/>
    <d v="2019-05-23T00:00:00"/>
  </r>
  <r>
    <n v="2069"/>
    <s v="8_국립축산과학원"/>
    <s v="0_본원"/>
    <x v="14"/>
    <s v="원정일"/>
    <s v="보도자료49"/>
    <s v="봄 나들이 나온 대관령 한우"/>
    <s v="아주경제"/>
    <d v="2019-05-22T00:00:00"/>
    <m/>
    <s v="07_중앙일간지"/>
    <n v="5"/>
    <d v="2019-05-23T00:00:00"/>
  </r>
  <r>
    <n v="2070"/>
    <s v="8_국립축산과학원"/>
    <s v="0_본원"/>
    <x v="14"/>
    <s v="원정일"/>
    <s v="보도자료49"/>
    <s v="한우 300마리, “우~ 대관령 풀밭으로 나왔소!”"/>
    <s v="매일일보"/>
    <d v="2019-05-22T00:00:00"/>
    <m/>
    <s v="08_기타일간지"/>
    <n v="2"/>
    <d v="2019-05-23T00:00:00"/>
  </r>
  <r>
    <n v="2071"/>
    <s v="8_국립축산과학원"/>
    <s v="1_축산생명환경부"/>
    <x v="5"/>
    <s v="강선문"/>
    <s v="보도자료50"/>
    <s v="첨단 기술 더한 축산식품의 미래를 만나다"/>
    <s v="매일일보"/>
    <d v="2019-05-22T00:00:00"/>
    <m/>
    <s v="08_기타일간지"/>
    <n v="2"/>
    <d v="2019-05-23T00:00:00"/>
  </r>
  <r>
    <n v="2072"/>
    <s v="8_국립축산과학원"/>
    <s v="2_축산자원개발부"/>
    <x v="6"/>
    <s v="최보람"/>
    <s v="보도자료48"/>
    <s v="농촌진흥청, ‘멸강나방’ 피해 주의 당부"/>
    <s v="매일일보"/>
    <d v="2019-05-22T00:00:00"/>
    <m/>
    <s v="08_기타일간지"/>
    <n v="2"/>
    <d v="2019-05-23T00:00:00"/>
  </r>
  <r>
    <n v="2073"/>
    <s v="8_국립축산과학원"/>
    <s v="0_본원"/>
    <x v="14"/>
    <s v="원정일"/>
    <s v="보도자료49"/>
    <s v="농진청, 올해 첫 대관령 한우 300마리 방목"/>
    <s v="디지털타임스"/>
    <d v="2019-05-22T00:00:00"/>
    <m/>
    <s v="08_기타일간지"/>
    <n v="2"/>
    <d v="2019-05-23T00:00:00"/>
  </r>
  <r>
    <n v="2074"/>
    <s v="8_국립축산과학원"/>
    <s v="0_본원"/>
    <x v="14"/>
    <s v="원정일"/>
    <s v="보도자료49"/>
    <s v="대관령 한우 300마리 올해 첫 방목"/>
    <s v="전업농신문"/>
    <d v="2019-05-22T00:00:00"/>
    <m/>
    <s v="09_농업전문지"/>
    <n v="1.5"/>
    <d v="2019-05-23T00:00:00"/>
  </r>
  <r>
    <n v="2075"/>
    <s v="8_국립축산과학원"/>
    <s v="0_본원"/>
    <x v="14"/>
    <s v="원정일"/>
    <s v="보도자료49"/>
    <s v="대관령 풀밭으로 나온 한우 300마리"/>
    <s v="농촌여성신문"/>
    <d v="2019-05-23T00:00:00"/>
    <m/>
    <s v="09_농업전문지"/>
    <n v="1.5"/>
    <d v="2019-05-23T00:00:00"/>
  </r>
  <r>
    <n v="2076"/>
    <s v="8_국립축산과학원"/>
    <s v="0_본원"/>
    <x v="14"/>
    <s v="원정일"/>
    <s v="보도자료49"/>
    <s v="대관령 풀밭으로 나온 한우 300마리"/>
    <s v="농기자재신문"/>
    <d v="2019-05-23T00:00:00"/>
    <m/>
    <s v="09_농업전문지"/>
    <n v="1.5"/>
    <d v="2019-05-23T00:00:00"/>
  </r>
  <r>
    <n v="2077"/>
    <s v="8_국립축산과학원"/>
    <s v="2_축산자원개발부"/>
    <x v="6"/>
    <s v="최보람"/>
    <s v="보도자료48"/>
    <s v="전년比 5.2배 늘어난 멸강나방 몰려온다"/>
    <s v="전북중앙"/>
    <d v="2019-05-22T00:00:00"/>
    <n v="6"/>
    <s v="09_지방일간지"/>
    <n v="1.5"/>
    <d v="2019-05-23T00:00:00"/>
  </r>
  <r>
    <n v="2078"/>
    <s v="8_국립축산과학원"/>
    <s v="2_축산자원개발부"/>
    <x v="6"/>
    <s v="최보람"/>
    <s v="보도자료48"/>
    <s v="농진청, ‘멸강나방’ 피해 주의 당부"/>
    <s v="전북타임스"/>
    <d v="2019-05-22T00:00:00"/>
    <n v="7"/>
    <s v="09_지방일간지"/>
    <n v="1.5"/>
    <d v="2019-05-23T00:00:00"/>
  </r>
  <r>
    <n v="2079"/>
    <s v="8_국립축산과학원"/>
    <s v="2_축산자원개발부"/>
    <x v="6"/>
    <s v="최보람"/>
    <s v="보도자료48"/>
    <s v="봄철 고온 작물 피해주는 ‘멸강나방’ 주의보"/>
    <s v="전북연합신문"/>
    <d v="2019-05-22T00:00:00"/>
    <n v="5"/>
    <s v="09_지방일간지"/>
    <n v="1.5"/>
    <d v="2019-05-23T00:00:00"/>
  </r>
  <r>
    <n v="2080"/>
    <s v="8_국립축산과학원"/>
    <s v="2_축산자원개발부"/>
    <x v="6"/>
    <s v="최보람"/>
    <s v="보도자료48"/>
    <s v="봄철 이상고온…볏과 해충 ‘멸강나방’ 주의보"/>
    <s v="경기신문"/>
    <d v="2019-05-22T00:00:00"/>
    <n v="5"/>
    <s v="09_지방일간지"/>
    <n v="1.5"/>
    <d v="2019-05-23T00:00:00"/>
  </r>
  <r>
    <n v="2081"/>
    <s v="8_국립축산과학원"/>
    <s v="2_축산자원개발부"/>
    <x v="6"/>
    <s v="최보람"/>
    <s v="보도자료48"/>
    <s v="농진청, 올봄 평균기온 높아 ‘멸강나방’ 피해 주의 당부"/>
    <s v="삼남일보"/>
    <d v="2019-05-22T00:00:00"/>
    <n v="5"/>
    <s v="09_지방일간지"/>
    <n v="1.5"/>
    <d v="2019-05-23T00:00:00"/>
  </r>
  <r>
    <n v="2082"/>
    <s v="8_국립축산과학원"/>
    <s v="0_본원"/>
    <x v="14"/>
    <s v="원정일"/>
    <s v="보도자료49"/>
    <s v="올해 첫 한우 300마리 대관령 조치에 방목 ‘친환경·노동력·사료비 절감’"/>
    <s v="금강일보"/>
    <d v="2019-05-22T00:00:00"/>
    <m/>
    <s v="09_지방일간지"/>
    <n v="1.5"/>
    <d v="2019-05-23T00:00:00"/>
  </r>
  <r>
    <n v="2083"/>
    <s v="8_국립축산과학원"/>
    <s v="0_본원"/>
    <x v="14"/>
    <s v="원정일"/>
    <s v="보도자료49"/>
    <s v="농진청, 올해 첫 한우 방목…대관령 초지에 300마리 대상"/>
    <s v="국제신문"/>
    <d v="2019-05-22T00:00:00"/>
    <m/>
    <s v="09_지방일간지"/>
    <n v="1.5"/>
    <d v="2019-05-23T00:00:00"/>
  </r>
  <r>
    <n v="2084"/>
    <s v="8_국립축산과학원"/>
    <s v="0_본원"/>
    <x v="14"/>
    <s v="원정일"/>
    <s v="보도자료49"/>
    <s v="한우 300마리 대관령 들판에서 방목 시작"/>
    <s v="중도일보"/>
    <d v="2019-05-22T00:00:00"/>
    <m/>
    <s v="09_지방일간지"/>
    <n v="1.5"/>
    <d v="2019-05-23T00:00:00"/>
  </r>
  <r>
    <n v="2085"/>
    <s v="8_국립축산과학원"/>
    <s v="0_본원"/>
    <x v="10"/>
    <s v="양병철"/>
    <m/>
    <s v="한라산 말방목 이후 생태계 다양성 ‘좋아졌다’"/>
    <s v="한라일보"/>
    <d v="2019-05-23T00:00:00"/>
    <m/>
    <s v="09_지방일간지"/>
    <n v="1.5"/>
    <d v="2019-05-23T00:00:00"/>
  </r>
  <r>
    <n v="2086"/>
    <s v="8_국립축산과학원"/>
    <s v="0_본원"/>
    <x v="14"/>
    <s v="원정일"/>
    <s v="보도자료49"/>
    <s v="푸른 초원으로 달려가는 대관령 한우"/>
    <s v="이뉴스투데이"/>
    <d v="2019-05-22T00:00:00"/>
    <m/>
    <s v="10_주간지"/>
    <n v="1"/>
    <d v="2019-05-23T00:00:00"/>
  </r>
  <r>
    <n v="2087"/>
    <s v="8_국립축산과학원"/>
    <s v="0_본원"/>
    <x v="10"/>
    <s v="양병철"/>
    <m/>
    <s v="한라산 95% 뒤덮은 제주조릿대, 말 방목 효과보는 중?"/>
    <s v="뉴스제주"/>
    <d v="2019-05-23T00:00:00"/>
    <m/>
    <s v="11_기타(지역주간지)"/>
    <n v="0.5"/>
    <d v="2019-05-23T00:00:00"/>
  </r>
  <r>
    <n v="2088"/>
    <s v="8_국립축산과학원"/>
    <s v="0_본원"/>
    <x v="14"/>
    <s v="원정일"/>
    <s v="보도자료49"/>
    <s v="농진청, 올해 첫 한우 방목...300마리 5개월 간 대관령 초지 생활"/>
    <s v="데일리안"/>
    <d v="2019-05-22T00:00:00"/>
    <m/>
    <s v="13_인터넷포털"/>
    <n v="0.1"/>
    <d v="2019-05-23T00:00:00"/>
  </r>
  <r>
    <n v="2089"/>
    <s v="8_국립축산과학원"/>
    <s v="0_본원"/>
    <x v="14"/>
    <s v="원정일"/>
    <s v="보도자료49"/>
    <s v="한우 300마리, “우~ 대관령 풀밭으로 나왔소!”"/>
    <s v="오가닉라이프"/>
    <d v="2019-05-22T00:00:00"/>
    <m/>
    <s v="13_인터넷포털"/>
    <n v="0.1"/>
    <d v="2019-05-23T00:00:00"/>
  </r>
  <r>
    <n v="2090"/>
    <s v="8_국립축산과학원"/>
    <s v="1_축산생명환경부"/>
    <x v="5"/>
    <s v="강선문"/>
    <s v="보도자료50"/>
    <s v="첨단 기술 더한 축산식품의 미래를 만나다"/>
    <s v="오가닉라이프"/>
    <d v="2019-05-22T00:00:00"/>
    <m/>
    <s v="13_인터넷포털"/>
    <n v="0.1"/>
    <d v="2019-05-23T00:00:00"/>
  </r>
  <r>
    <n v="2091"/>
    <s v="8_국립축산과학원"/>
    <s v="0_본원"/>
    <x v="14"/>
    <s v="원정일"/>
    <s v="보도자료49"/>
    <s v="한우 300마리, “우~ 대관령 풀밭으로 나왔소!”"/>
    <s v="시사매거진"/>
    <d v="2019-05-22T00:00:00"/>
    <m/>
    <s v="13_인터넷포털"/>
    <n v="0.1"/>
    <d v="2019-05-23T00:00:00"/>
  </r>
  <r>
    <n v="2092"/>
    <s v="8_국립축산과학원"/>
    <s v="0_본원"/>
    <x v="14"/>
    <s v="원정일"/>
    <s v="보도자료49"/>
    <s v="대관령 한우 300마리, 올해 첫 초지 방목 시작"/>
    <s v="오마이뉴스"/>
    <d v="2019-05-22T00:00:00"/>
    <m/>
    <s v="13_인터넷포털"/>
    <n v="0.1"/>
    <d v="2019-05-23T00:00:00"/>
  </r>
  <r>
    <n v="2093"/>
    <s v="8_국립축산과학원"/>
    <s v="0_본원"/>
    <x v="10"/>
    <s v="양병철"/>
    <m/>
    <s v="한라산국립공원 95.3% 뒤덮은 제주 조릿대...생태계 교란 파괴"/>
    <s v="국제뉴스"/>
    <d v="2019-05-23T00:00:00"/>
    <m/>
    <s v="13_인터넷포털"/>
    <n v="0.1"/>
    <d v="2019-05-23T00:00:00"/>
  </r>
  <r>
    <n v="2094"/>
    <s v="8_국립축산과학원"/>
    <s v="0_본원"/>
    <x v="10"/>
    <s v="양병철"/>
    <m/>
    <s v="한라산 제주조릿대 관리방안 4년차 연구 본격화"/>
    <s v="헤드라인제주"/>
    <d v="2019-05-23T00:00:00"/>
    <m/>
    <s v="13_인터넷포털"/>
    <n v="0.1"/>
    <d v="2019-05-23T00:00:00"/>
  </r>
  <r>
    <n v="2095"/>
    <s v="8_국립축산과학원"/>
    <s v="0_본원"/>
    <x v="14"/>
    <s v="원정일"/>
    <s v="보도자료49"/>
    <s v="한우 300마리, “우~ 대관령 풀밭으로 나왔소!”"/>
    <s v="전남인터넷신문"/>
    <d v="2019-05-23T00:00:00"/>
    <m/>
    <s v="13_인터넷포털"/>
    <n v="0.1"/>
    <d v="2019-05-23T00:00:00"/>
  </r>
  <r>
    <n v="2096"/>
    <s v="8_국립축산과학원"/>
    <s v="0_본원"/>
    <x v="14"/>
    <s v="원정일"/>
    <s v="보도자료49"/>
    <s v="대관령 한우 방목... 더 건강하고 사료비도 저렴(뉴스투데이)"/>
    <s v="MBC"/>
    <d v="2019-05-23T00:00:00"/>
    <m/>
    <s v="01_TV-중앙"/>
    <n v="8"/>
    <d v="2019-05-24T00:00:00"/>
  </r>
  <r>
    <n v="2097"/>
    <s v="8_국립축산과학원"/>
    <s v="0_본원"/>
    <x v="14"/>
    <s v="원정일"/>
    <s v="보도자료49"/>
    <s v="비좁은 축사 벗어나... 대관령 한우 봄 나들이(8시뉴스)"/>
    <s v="G1(강원방송)"/>
    <d v="2019-05-22T00:00:00"/>
    <m/>
    <s v="02_TV-지방"/>
    <n v="4"/>
    <d v="2019-05-24T00:00:00"/>
  </r>
  <r>
    <n v="2098"/>
    <s v="8_국립축산과학원"/>
    <s v="0_본원"/>
    <x v="14"/>
    <s v="원정일"/>
    <s v="보도자료49"/>
    <s v="비좁은 축사 벗어나... 대관령 한우 봄 나들이 (9시뉴스)"/>
    <s v="KBS강릉"/>
    <d v="2019-05-22T00:00:00"/>
    <m/>
    <s v="02_TV-지방"/>
    <n v="4"/>
    <d v="2019-05-24T00:00:00"/>
  </r>
  <r>
    <n v="2099"/>
    <s v="8_국립축산과학원"/>
    <s v="0_본원"/>
    <x v="14"/>
    <s v="원정일"/>
    <s v="보도자료49"/>
    <s v="대관령 한우 '나들이'... 올 들어 300마리 첫 방목(뉴스룸)"/>
    <s v="JTBC"/>
    <d v="2019-05-22T00:00:00"/>
    <m/>
    <s v="02_TV-종합편성채널"/>
    <n v="4"/>
    <d v="2019-05-24T00:00:00"/>
  </r>
  <r>
    <n v="2100"/>
    <s v="8_국립축산과학원"/>
    <s v="0_본원"/>
    <x v="14"/>
    <s v="원정일"/>
    <s v="보도자료49"/>
    <s v="우사 빠져나온 300마리 소... '먼지나게' 뛰었습니다(영상뉴스)"/>
    <s v="경향신문"/>
    <d v="2019-05-22T00:00:00"/>
    <m/>
    <s v="07_중앙일간지"/>
    <n v="5"/>
    <d v="2019-05-24T00:00:00"/>
  </r>
  <r>
    <n v="2101"/>
    <s v="8_국립축산과학원"/>
    <s v="0_본원"/>
    <x v="2"/>
    <s v="이준엽"/>
    <s v="보도자료51"/>
    <s v="국립축산과학원, ‘최우수 책임운영기관’으로 선정"/>
    <s v="서울신문"/>
    <d v="2019-05-23T00:00:00"/>
    <m/>
    <s v="07_중앙일간지"/>
    <n v="5"/>
    <d v="2019-05-24T00:00:00"/>
  </r>
  <r>
    <n v="2102"/>
    <s v="8_국립축산과학원"/>
    <s v="0_본원"/>
    <x v="2"/>
    <s v="이준엽"/>
    <s v="보도자료51"/>
    <s v="농진청 국립축산과학원, 최우수 책임운영기관 선정"/>
    <s v="아시아투데이"/>
    <d v="2019-05-23T00:00:00"/>
    <m/>
    <s v="07_중앙일간지"/>
    <n v="5"/>
    <d v="2019-05-24T00:00:00"/>
  </r>
  <r>
    <n v="2103"/>
    <s v="8_국립축산과학원"/>
    <s v="1_축산생명환경부"/>
    <x v="5"/>
    <s v="강선문"/>
    <s v="보도자료50"/>
    <s v="첨단 기술 더한 축산식품의 미래를 만나다"/>
    <s v="서울신문"/>
    <d v="2019-05-23T00:00:00"/>
    <m/>
    <s v="07_중앙일간지"/>
    <n v="5"/>
    <d v="2019-05-24T00:00:00"/>
  </r>
  <r>
    <n v="2104"/>
    <s v="8_국립축산과학원"/>
    <s v="0_본원"/>
    <x v="14"/>
    <s v="원정일"/>
    <s v="보도자료49"/>
    <s v="한우 300마리, “우~ 대관령 풀밭으로 나왔소!”"/>
    <s v="서울신문"/>
    <d v="2019-05-23T00:00:00"/>
    <m/>
    <s v="07_중앙일간지"/>
    <n v="5"/>
    <d v="2019-05-24T00:00:00"/>
  </r>
  <r>
    <n v="2105"/>
    <s v="8_국립축산과학원"/>
    <s v="0_본원"/>
    <x v="10"/>
    <s v="양병철"/>
    <m/>
    <s v="‘제주조릿대 탄소저장 가치는?’...제주도, 4년째 연구용역 시행"/>
    <s v="뉴시스"/>
    <d v="2019-05-23T00:00:00"/>
    <m/>
    <s v="07_중앙일간지"/>
    <n v="5"/>
    <d v="2019-05-24T00:00:00"/>
  </r>
  <r>
    <n v="2106"/>
    <s v="8_국립축산과학원"/>
    <s v="0_본원"/>
    <x v="2"/>
    <s v="이준엽"/>
    <m/>
    <s v="국립축산과학원 등 5곳 최우수 책임운영기관 선정"/>
    <s v="파이낸셜뉴스"/>
    <d v="2019-05-23T00:00:00"/>
    <m/>
    <s v="07_중앙일간지"/>
    <n v="5"/>
    <d v="2019-05-24T00:00:00"/>
  </r>
  <r>
    <n v="2107"/>
    <s v="8_국립축산과학원"/>
    <s v="0_본원"/>
    <x v="10"/>
    <s v="양병철"/>
    <m/>
    <s v="한 폭의 그림같은 제주마 방목지"/>
    <s v="동아일보"/>
    <d v="2019-05-23T00:00:00"/>
    <m/>
    <s v="07_중앙일간지"/>
    <n v="5"/>
    <d v="2019-05-24T00:00:00"/>
  </r>
  <r>
    <n v="2108"/>
    <s v="8_국립축산과학원"/>
    <s v="0_본원"/>
    <x v="14"/>
    <s v="원정일"/>
    <s v="보도자료49"/>
    <s v="초원 위 풀 뜯는 한우들"/>
    <s v="에너지경제"/>
    <d v="2019-05-23T00:00:00"/>
    <n v="11"/>
    <s v="08_기타일간지"/>
    <n v="2"/>
    <d v="2019-05-24T00:00:00"/>
  </r>
  <r>
    <n v="2109"/>
    <s v="8_국립축산과학원"/>
    <s v="0_본원"/>
    <x v="2"/>
    <s v="이준엽"/>
    <s v="보도자료51"/>
    <s v="국립축산과학원, ‘최우수 책임운영기관’으로 선정"/>
    <s v="매일일보"/>
    <d v="2019-05-23T00:00:00"/>
    <m/>
    <s v="08_기타일간지"/>
    <n v="2"/>
    <d v="2019-05-24T00:00:00"/>
  </r>
  <r>
    <n v="2110"/>
    <s v="8_국립축산과학원"/>
    <s v="0_본원"/>
    <x v="14"/>
    <s v="원정일"/>
    <s v="보도자료49"/>
    <s v="한우 300마리 대관령 초원에 방목"/>
    <s v="환경일보"/>
    <d v="2019-05-23T00:00:00"/>
    <m/>
    <s v="08_기타일간지"/>
    <n v="2"/>
    <d v="2019-05-24T00:00:00"/>
  </r>
  <r>
    <n v="2111"/>
    <s v="8_국립축산과학원"/>
    <s v="0_본원"/>
    <x v="2"/>
    <s v="이준엽"/>
    <s v="보도자료51"/>
    <s v="국립축산과학원, ‘최우수 책임운영기관’으로 선정"/>
    <s v="농촌여성신문"/>
    <d v="2019-05-23T00:00:00"/>
    <m/>
    <s v="09_농업전문지"/>
    <n v="1.5"/>
    <d v="2019-05-24T00:00:00"/>
  </r>
  <r>
    <n v="2112"/>
    <s v="8_국립축산과학원"/>
    <s v="2_축산자원개발부"/>
    <x v="6"/>
    <s v="양승학"/>
    <s v="보도자료43"/>
    <s v="열일하는 드론, 풀사료 적기파종에 효자 노릇 톡톡!"/>
    <s v="농기자재신문"/>
    <d v="2019-05-16T00:00:00"/>
    <n v="24"/>
    <s v="09_농업전문지"/>
    <n v="1.5"/>
    <d v="2019-05-24T00:00:00"/>
  </r>
  <r>
    <n v="2113"/>
    <s v="8_국립축산과학원"/>
    <s v="2_축산자원개발부"/>
    <x v="6"/>
    <s v="최기준"/>
    <s v="보도자료45"/>
    <s v="사료작물 ‘섞어 심기로 생산성 28% 향상’"/>
    <s v="농축환경신문"/>
    <d v="2019-05-16T00:00:00"/>
    <n v="5"/>
    <s v="09_농업전문지"/>
    <n v="1.5"/>
    <d v="2019-05-24T00:00:00"/>
  </r>
  <r>
    <n v="2114"/>
    <s v="8_국립축산과학원"/>
    <s v="0_본원"/>
    <x v="11"/>
    <s v="문규철"/>
    <s v="보도자료44"/>
    <s v="‘축산업 발전 위한 희생…동물 넋 위로’"/>
    <s v="농축환경신문"/>
    <d v="2019-05-16T00:00:00"/>
    <n v="5"/>
    <s v="09_농업전문지"/>
    <n v="1.5"/>
    <d v="2019-05-24T00:00:00"/>
  </r>
  <r>
    <n v="2115"/>
    <s v="8_국립축산과학원"/>
    <s v="0_본원"/>
    <x v="2"/>
    <s v="강희설"/>
    <m/>
    <s v="한국종축개량협회, 창립 50주년 기념식 열어"/>
    <s v="한국영농신문"/>
    <d v="2019-05-20T00:00:00"/>
    <n v="5"/>
    <s v="09_농업전문지"/>
    <n v="1.5"/>
    <d v="2019-05-24T00:00:00"/>
  </r>
  <r>
    <n v="2116"/>
    <s v="8_국립축산과학원"/>
    <s v="0_본원"/>
    <x v="2"/>
    <s v="강희설"/>
    <m/>
    <s v="한종협, 창립 50주년 기념행사 성료"/>
    <s v="농축환경신문"/>
    <d v="2019-05-16T00:00:00"/>
    <n v="5"/>
    <s v="09_농업전문지"/>
    <n v="1.5"/>
    <d v="2019-05-24T00:00:00"/>
  </r>
  <r>
    <n v="2117"/>
    <s v="8_국립축산과학원"/>
    <s v="0_본원"/>
    <x v="2"/>
    <s v="이준엽"/>
    <s v="보도자료51"/>
    <s v="축산과학원, ‘최우수 책임운영기관’ 선정"/>
    <s v="식품저널"/>
    <d v="2019-05-24T00:00:00"/>
    <m/>
    <s v="09_농업전문지"/>
    <n v="1.5"/>
    <d v="2019-05-24T00:00:00"/>
  </r>
  <r>
    <n v="2118"/>
    <s v="8_국립축산과학원"/>
    <s v="0_본원"/>
    <x v="2"/>
    <s v="이준엽"/>
    <s v="보도자료51"/>
    <s v="국립축산과학원, ‘최우수 책임운영기관’ 선정 쾌거"/>
    <s v="전업농신문"/>
    <d v="2019-05-24T00:00:00"/>
    <m/>
    <s v="09_농업전문지"/>
    <n v="1.5"/>
    <d v="2019-05-24T00:00:00"/>
  </r>
  <r>
    <n v="2119"/>
    <s v="8_국립축산과학원"/>
    <s v="0_본원"/>
    <x v="10"/>
    <s v="양병철"/>
    <m/>
    <s v="제주 한라산 말방목 조릿대 벌채로 생태계 복원 효과"/>
    <s v="제민일보"/>
    <d v="2019-05-23T00:00:00"/>
    <m/>
    <s v="09_지방일간지"/>
    <n v="1.5"/>
    <d v="2019-05-24T00:00:00"/>
  </r>
  <r>
    <n v="2120"/>
    <s v="8_국립축산과학원"/>
    <s v="1_축산생명환경부"/>
    <x v="5"/>
    <s v="강선문"/>
    <s v="보도자료50"/>
    <s v="축산식품 지속 성장 ‘머리맞대’"/>
    <s v="전라일보"/>
    <d v="2019-05-23T00:00:00"/>
    <n v="6"/>
    <s v="09_지방일간지"/>
    <n v="1.5"/>
    <d v="2019-05-24T00:00:00"/>
  </r>
  <r>
    <n v="2121"/>
    <s v="8_국립축산과학원"/>
    <s v="1_축산생명환경부"/>
    <x v="5"/>
    <s v="강선문"/>
    <s v="보도자료50"/>
    <s v="첨단 기술 더한 축산식품의 미래를 만나다"/>
    <s v="새전북신문"/>
    <d v="2019-05-23T00:00:00"/>
    <n v="4"/>
    <s v="09_지방일간지"/>
    <n v="1.5"/>
    <d v="2019-05-24T00:00:00"/>
  </r>
  <r>
    <n v="2122"/>
    <s v="8_국립축산과학원"/>
    <s v="1_축산생명환경부"/>
    <x v="5"/>
    <s v="강선문"/>
    <s v="보도자료50"/>
    <s v="축산식품 지속성장 기술 탐색 농진청 축산과학원 학술대회"/>
    <s v="전북도민일보"/>
    <d v="2019-05-23T00:00:00"/>
    <n v="6"/>
    <s v="09_지방일간지"/>
    <n v="1.5"/>
    <d v="2019-05-24T00:00:00"/>
  </r>
  <r>
    <n v="2123"/>
    <s v="8_국립축산과학원"/>
    <s v="1_축산생명환경부"/>
    <x v="5"/>
    <s v="강선문"/>
    <s v="보도자료50"/>
    <s v="농진청 축산식품 성장위한 국제학술대회 오늘 개최"/>
    <s v="전북중앙"/>
    <d v="2019-05-23T00:00:00"/>
    <n v="6"/>
    <s v="09_지방일간지"/>
    <n v="1.5"/>
    <d v="2019-05-24T00:00:00"/>
  </r>
  <r>
    <n v="2124"/>
    <s v="8_국립축산과학원"/>
    <s v="0_본원"/>
    <x v="14"/>
    <s v="원정일"/>
    <s v="보도자료49"/>
    <s v="한우 300마리 “우~ 대관령 풀밭으로 나왔소!”"/>
    <s v="호남제일신문"/>
    <d v="2019-05-23T00:00:00"/>
    <n v="5"/>
    <s v="09_지방일간지"/>
    <n v="1.5"/>
    <d v="2019-05-24T00:00:00"/>
  </r>
  <r>
    <n v="2125"/>
    <s v="8_국립축산과학원"/>
    <s v="0_본원"/>
    <x v="14"/>
    <s v="원정일"/>
    <s v="보도자료49"/>
    <s v="대관령 초원 위 한우"/>
    <s v="강원도민일보"/>
    <d v="2019-05-23T00:00:00"/>
    <n v="7"/>
    <s v="09_지방일간지"/>
    <n v="1.5"/>
    <d v="2019-05-24T00:00:00"/>
  </r>
  <r>
    <n v="2126"/>
    <s v="8_국립축산과학원"/>
    <s v="0_본원"/>
    <x v="14"/>
    <s v="원정일"/>
    <s v="보도자료49"/>
    <s v="기분 좋은 소"/>
    <s v="산경일보"/>
    <d v="2019-05-23T00:00:00"/>
    <n v="1"/>
    <s v="09_지방일간지"/>
    <n v="1.5"/>
    <d v="2019-05-24T00:00:00"/>
  </r>
  <r>
    <n v="2127"/>
    <s v="8_국립축산과학원"/>
    <s v="0_본원"/>
    <x v="14"/>
    <s v="원정일"/>
    <s v="보도자료49"/>
    <s v="초원의 한우떼"/>
    <s v="대경일보"/>
    <d v="2019-05-23T00:00:00"/>
    <n v="19"/>
    <s v="09_지방일간지"/>
    <n v="1.5"/>
    <d v="2019-05-24T00:00:00"/>
  </r>
  <r>
    <n v="2128"/>
    <s v="8_국립축산과학원"/>
    <s v="0_본원"/>
    <x v="14"/>
    <s v="원정일"/>
    <s v="보도자료49"/>
    <s v="대관령 한우 올해 첫 방목"/>
    <s v="강원일보"/>
    <d v="2019-05-23T00:00:00"/>
    <n v="6"/>
    <s v="09_지방일간지"/>
    <n v="1.5"/>
    <d v="2019-05-24T00:00:00"/>
  </r>
  <r>
    <n v="2129"/>
    <s v="8_국립축산과학원"/>
    <s v="0_본원"/>
    <x v="14"/>
    <s v="원정일"/>
    <s v="보도자료49"/>
    <s v="한우 300마리, 우~ 대관령 풀밭으로 나왔소"/>
    <s v="새만금일보"/>
    <d v="2019-05-23T00:00:00"/>
    <n v="6"/>
    <s v="09_지방일간지"/>
    <n v="1.5"/>
    <d v="2019-05-24T00:00:00"/>
  </r>
  <r>
    <n v="2130"/>
    <s v="8_국립축산과학원"/>
    <s v="0_본원"/>
    <x v="10"/>
    <s v="양병철"/>
    <m/>
    <s v="4년차 한라산 제주 조릿대 관리방안 연구"/>
    <s v="제주신문"/>
    <d v="2019-05-23T00:00:00"/>
    <m/>
    <s v="09_지방일간지"/>
    <n v="1.5"/>
    <d v="2019-05-24T00:00:00"/>
  </r>
  <r>
    <n v="2131"/>
    <s v="8_국립축산과학원"/>
    <s v="0_본원"/>
    <x v="2"/>
    <s v="이준엽"/>
    <s v="보도자료51"/>
    <s v="농진청 축산과학원, 정부 주관 ‘최우수 책임운영 기관’ 선정"/>
    <s v="국제신문"/>
    <d v="2019-05-23T00:00:00"/>
    <m/>
    <s v="09_지방일간지"/>
    <n v="1.5"/>
    <d v="2019-05-24T00:00:00"/>
  </r>
  <r>
    <n v="2132"/>
    <s v="8_국립축산과학원"/>
    <s v="0_본원"/>
    <x v="2"/>
    <s v="이준엽"/>
    <m/>
    <s v="국민중심 서비스기관으로 진화한 책임운영기관은?"/>
    <s v="정책브리핑"/>
    <d v="2019-05-23T00:00:00"/>
    <m/>
    <s v="12_대한민국 정책포털(korea.kr)"/>
    <n v="1"/>
    <d v="2019-05-24T00:00:00"/>
  </r>
  <r>
    <n v="2133"/>
    <s v="8_국립축산과학원"/>
    <s v="0_본원"/>
    <x v="14"/>
    <s v="원정일"/>
    <s v="보도자료49"/>
    <s v="대관령 한우 올해 첫 방목...5개월 간 초지생활"/>
    <s v="식약일보"/>
    <d v="2019-05-23T00:00:00"/>
    <m/>
    <s v="10_기타전문지"/>
    <n v="1"/>
    <d v="2019-05-24T00:00:00"/>
  </r>
  <r>
    <n v="2134"/>
    <s v="8_국립축산과학원"/>
    <s v="1_축산생명환경부"/>
    <x v="5"/>
    <s v="강선문"/>
    <s v="보도자료50"/>
    <s v="축산식품산업, 미래형 첨단기술 도입"/>
    <s v="식약일보"/>
    <d v="2019-05-23T00:00:00"/>
    <m/>
    <s v="10_기타전문지"/>
    <n v="1"/>
    <d v="2019-05-24T00:00:00"/>
  </r>
  <r>
    <n v="2135"/>
    <s v="8_국립축산과학원"/>
    <s v="0_본원"/>
    <x v="2"/>
    <s v="이준엽"/>
    <s v="보도자료51"/>
    <s v="축산과학원, 최우수 책임운영기관 선정"/>
    <s v="말산업저널"/>
    <d v="2019-05-24T00:00:00"/>
    <m/>
    <s v="10_기타전문지"/>
    <n v="1"/>
    <d v="2019-05-24T00:00:00"/>
  </r>
  <r>
    <n v="2136"/>
    <s v="8_국립축산과학원"/>
    <s v="0_본원"/>
    <x v="2"/>
    <s v="이준엽"/>
    <m/>
    <s v="행안부, 축산과학원 등 10곳 우수 책임운영기관 선정"/>
    <s v="글로벌경제신문"/>
    <d v="2019-05-23T00:00:00"/>
    <m/>
    <s v="13_인터넷포털"/>
    <n v="0.1"/>
    <d v="2019-05-24T00:00:00"/>
  </r>
  <r>
    <n v="2137"/>
    <s v="8_국립축산과학원"/>
    <s v="0_본원"/>
    <x v="2"/>
    <s v="이준엽"/>
    <m/>
    <s v="행정안전부, ‘국민중심 서비스기관으로 진화한 책임운영기관은?’"/>
    <s v="굿데일리"/>
    <d v="2019-05-23T00:00:00"/>
    <m/>
    <s v="13_인터넷포털"/>
    <n v="0.1"/>
    <d v="2019-05-24T00:00:00"/>
  </r>
  <r>
    <n v="2138"/>
    <s v="8_국립축산과학원"/>
    <s v="1_축산생명환경부"/>
    <x v="5"/>
    <s v="강선문"/>
    <s v="보도자료50"/>
    <s v="농촌진흥청·한국축산식품학회, 23~25일 국제학술대회"/>
    <s v="보건뉴스"/>
    <d v="2019-05-23T00:00:00"/>
    <m/>
    <s v="13_인터넷포털"/>
    <n v="0.1"/>
    <d v="2019-05-24T00:00:00"/>
  </r>
  <r>
    <n v="2139"/>
    <s v="8_국립축산과학원"/>
    <s v="0_본원"/>
    <x v="10"/>
    <s v="양병철"/>
    <m/>
    <s v="4차년 한라산 제주조릿대 관리방안 연구 착수"/>
    <s v="월드투데이"/>
    <d v="2019-05-23T00:00:00"/>
    <m/>
    <s v="13_인터넷포털"/>
    <n v="0.1"/>
    <d v="2019-05-24T00:00:00"/>
  </r>
  <r>
    <n v="2140"/>
    <s v="8_국립축산과학원"/>
    <s v="0_본원"/>
    <x v="10"/>
    <s v="양병철"/>
    <m/>
    <s v="제주특별자치도, 4차년 한라산 제주조릿대 관리방안 연구 착수"/>
    <s v="코리아데일리"/>
    <d v="2019-05-23T00:00:00"/>
    <m/>
    <s v="13_인터넷포털"/>
    <n v="0.1"/>
    <d v="2019-05-24T00:00:00"/>
  </r>
  <r>
    <n v="2141"/>
    <s v="8_국립축산과학원"/>
    <s v="0_본원"/>
    <x v="10"/>
    <s v="양병철"/>
    <m/>
    <s v="4차년 한라산 제주조릿대 관리방안 연구 착수"/>
    <s v="창업일보"/>
    <d v="2019-05-23T00:00:00"/>
    <m/>
    <s v="13_인터넷포털"/>
    <n v="0.1"/>
    <d v="2019-05-24T00:00:00"/>
  </r>
  <r>
    <n v="2142"/>
    <s v="8_국립축산과학원"/>
    <s v="0_본원"/>
    <x v="2"/>
    <s v="이준엽"/>
    <m/>
    <s v="국민중심 서비스기관으로 진화한 책임운영기관은?"/>
    <s v="월드투데이"/>
    <d v="2019-05-23T00:00:00"/>
    <m/>
    <s v="13_인터넷포털"/>
    <n v="0.1"/>
    <d v="2019-05-24T00:00:00"/>
  </r>
  <r>
    <n v="2143"/>
    <s v="8_국립축산과학원"/>
    <s v="0_본원"/>
    <x v="2"/>
    <s v="이준엽"/>
    <m/>
    <s v="행전안전부, 국민중심 서비스기관으로 진화한 책임운영기관은?"/>
    <s v="코리아데일리"/>
    <d v="2019-05-23T00:00:00"/>
    <m/>
    <s v="13_인터넷포털"/>
    <n v="0.1"/>
    <d v="2019-05-24T00:00:00"/>
  </r>
  <r>
    <n v="2144"/>
    <s v="8_국립축산과학원"/>
    <s v="2_축산자원개발부"/>
    <x v="8"/>
    <s v="박미나"/>
    <s v="기고"/>
    <s v="[기고] 박미나 연구관-육질등급 개량에 목표 설정"/>
    <s v="농수축산신문"/>
    <d v="2019-05-24T00:00:00"/>
    <n v="23"/>
    <s v="17_농업전문지"/>
    <n v="8"/>
    <d v="2019-05-27T00:00:00"/>
  </r>
  <r>
    <n v="2145"/>
    <s v="8_국립축산과학원"/>
    <s v="0_본원"/>
    <x v="4"/>
    <s v="권일"/>
    <s v="기고"/>
    <s v="[기고] 권일 연구사-토종닭 종자 개발과 산업화"/>
    <s v="농수축산신문"/>
    <d v="2019-05-24T00:00:00"/>
    <n v="20"/>
    <s v="17_농업전문지"/>
    <n v="8"/>
    <d v="2019-05-27T00:00:00"/>
  </r>
  <r>
    <n v="2146"/>
    <s v="8_국립축산과학원"/>
    <s v="2_축산자원개발부"/>
    <x v="6"/>
    <s v="최보람"/>
    <s v="보도자료48"/>
    <s v="벼 갉아먹는 멸강나방 피해 주의보(종합뉴스)"/>
    <s v="YTN"/>
    <d v="2019-05-24T00:00:00"/>
    <m/>
    <s v="02_TV-케이블중앙"/>
    <n v="4"/>
    <d v="2019-05-27T00:00:00"/>
  </r>
  <r>
    <n v="2147"/>
    <s v="8_국립축산과학원"/>
    <s v="0_본원"/>
    <x v="14"/>
    <s v="원정일"/>
    <s v="보도자료49"/>
    <s v="반갑다 초원아'...대관령 한우 올해 첫 방목(뉴스오늘)"/>
    <s v="YTN"/>
    <d v="2019-05-27T00:00:00"/>
    <m/>
    <s v="02_TV-케이블중앙"/>
    <n v="4"/>
    <d v="2019-05-27T00:00:00"/>
  </r>
  <r>
    <n v="2148"/>
    <s v="8_국립축산과학원"/>
    <s v="1_축산생명환경부"/>
    <x v="9"/>
    <s v="권경석"/>
    <s v="보도자료46"/>
    <s v="“폭염 전 미리 양돈장 점검하세요”"/>
    <s v="양돈타임스"/>
    <d v="2019-05-23T00:00:00"/>
    <n v="14"/>
    <s v="09_농업전문지"/>
    <n v="1.5"/>
    <d v="2019-05-27T00:00:00"/>
  </r>
  <r>
    <n v="2149"/>
    <s v="8_국립축산과학원"/>
    <s v="2_축산자원개발부"/>
    <x v="0"/>
    <s v="홍준기"/>
    <s v="보도자료47"/>
    <s v="돼지 다리도 종돈 개량 반영"/>
    <s v="양돈타임스"/>
    <d v="2019-05-23T00:00:00"/>
    <n v="4"/>
    <s v="09_농업전문지"/>
    <n v="1.5"/>
    <d v="2019-05-27T00:00:00"/>
  </r>
  <r>
    <n v="2150"/>
    <s v="8_국립축산과학원"/>
    <s v="2_축산자원개발부"/>
    <x v="6"/>
    <s v="최기준"/>
    <s v="보도자료45"/>
    <s v="축산과학원 “사료작물 혼파 재배로 경제성 높여”"/>
    <s v="한국농어민신문"/>
    <d v="2019-05-24T00:00:00"/>
    <m/>
    <s v="09_농업전문지"/>
    <n v="1.5"/>
    <d v="2019-05-27T00:00:00"/>
  </r>
  <r>
    <n v="2151"/>
    <s v="8_국립축산과학원"/>
    <s v="0_본원"/>
    <x v="14"/>
    <s v="원정일"/>
    <s v="보도자료49"/>
    <s v="자유롭게 초지 향해 달리는 한우"/>
    <s v="농수축산신문"/>
    <d v="2019-05-24T00:00:00"/>
    <m/>
    <s v="09_농업전문지"/>
    <n v="1.5"/>
    <d v="2019-05-27T00:00:00"/>
  </r>
  <r>
    <n v="2152"/>
    <s v="8_국립축산과학원"/>
    <s v="1_축산생명환경부"/>
    <x v="5"/>
    <s v="강선문"/>
    <s v="보도자료50"/>
    <s v="축산에 첨단 기술을 더해... 미리 만나보는 식품의 미래"/>
    <s v="한국영농신문"/>
    <d v="2019-05-25T00:00:00"/>
    <m/>
    <s v="09_농업전문지"/>
    <n v="1.5"/>
    <d v="2019-05-27T00:00:00"/>
  </r>
  <r>
    <n v="2153"/>
    <s v="8_국립축산과학원"/>
    <s v="2_축산자원개발부"/>
    <x v="6"/>
    <s v="김원호"/>
    <m/>
    <s v="충남 농기원, 사료용 벼 생산 돕기 나서"/>
    <s v="한국영농신문"/>
    <d v="2019-05-27T00:00:00"/>
    <m/>
    <s v="09_농업전문지"/>
    <n v="1.5"/>
    <d v="2019-05-27T00:00:00"/>
  </r>
  <r>
    <n v="2154"/>
    <s v="8_국립축산과학원"/>
    <s v="0_본원"/>
    <x v="2"/>
    <s v="이준엽"/>
    <s v="보도자료51"/>
    <s v="축산과학원 책임운영 첫 최우수기관 선정 영예"/>
    <s v="전북중앙"/>
    <d v="2019-05-24T00:00:00"/>
    <n v="8"/>
    <s v="09_지방일간지"/>
    <n v="1.5"/>
    <d v="2019-05-27T00:00:00"/>
  </r>
  <r>
    <n v="2155"/>
    <s v="8_국립축산과학원"/>
    <s v="0_본원"/>
    <x v="2"/>
    <s v="이준엽"/>
    <s v="보도자료51"/>
    <s v="농진청 국립축산과학원, 최우수 책임운영기관 선정"/>
    <s v="전민일보"/>
    <d v="2019-05-24T00:00:00"/>
    <n v="5"/>
    <s v="09_지방일간지"/>
    <n v="1.5"/>
    <d v="2019-05-27T00:00:00"/>
  </r>
  <r>
    <n v="2156"/>
    <s v="8_국립축산과학원"/>
    <s v="0_본원"/>
    <x v="2"/>
    <s v="이준엽"/>
    <s v="보도자료51"/>
    <s v="국립축산과학원, ‘국무총리 표창’ 수상"/>
    <s v="전북타임스"/>
    <d v="2019-05-24T00:00:00"/>
    <n v="7"/>
    <s v="09_지방일간지"/>
    <n v="1.5"/>
    <d v="2019-05-27T00:00:00"/>
  </r>
  <r>
    <n v="2157"/>
    <s v="8_국립축산과학원"/>
    <s v="0_본원"/>
    <x v="2"/>
    <s v="이준엽"/>
    <s v="보도자료51"/>
    <s v="축산과학원 ‘최우수책임운영기관’ 선정"/>
    <s v="전북연합신문"/>
    <d v="2019-05-24T00:00:00"/>
    <n v="5"/>
    <s v="09_지방일간지"/>
    <n v="1.5"/>
    <d v="2019-05-27T00:00:00"/>
  </r>
  <r>
    <n v="2158"/>
    <s v="8_국립축산과학원"/>
    <s v="0_본원"/>
    <x v="2"/>
    <s v="이준엽"/>
    <s v="보도자료51"/>
    <s v="축산과학원 책임운영 총리 표창"/>
    <s v="전북도민일보"/>
    <d v="2019-05-24T00:00:00"/>
    <n v="19"/>
    <s v="09_지방일간지"/>
    <n v="1.5"/>
    <d v="2019-05-27T00:00:00"/>
  </r>
  <r>
    <n v="2159"/>
    <s v="8_국립축산과학원"/>
    <s v="0_본원"/>
    <x v="2"/>
    <s v="이준엽"/>
    <s v="보도자료51"/>
    <s v="축산기술개발·국제 경쟁력 강화 인정"/>
    <s v="전라일보"/>
    <d v="2019-05-24T00:00:00"/>
    <n v="6"/>
    <s v="09_지방일간지"/>
    <n v="1.5"/>
    <d v="2019-05-27T00:00:00"/>
  </r>
  <r>
    <n v="2160"/>
    <s v="8_국립축산과학원"/>
    <s v="0_본원"/>
    <x v="2"/>
    <s v="이준엽"/>
    <s v="보도자료51"/>
    <s v="국립축산과학원 ‘최우수 책임운영기관’ 선정"/>
    <s v="새만금일보"/>
    <d v="2019-05-24T00:00:00"/>
    <n v="6"/>
    <s v="09_지방일간지"/>
    <n v="1.5"/>
    <d v="2019-05-27T00:00:00"/>
  </r>
  <r>
    <n v="2161"/>
    <s v="8_국립축산과학원"/>
    <s v="0_본원"/>
    <x v="15"/>
    <s v="이성수"/>
    <m/>
    <s v="경남, ‘희귀 한우 칡소’ 개량 나선다"/>
    <s v="한우신문"/>
    <d v="2019-05-21T00:00:00"/>
    <n v="2"/>
    <s v="10_기타전문지"/>
    <n v="1"/>
    <d v="2019-05-27T00:00:00"/>
  </r>
  <r>
    <n v="2162"/>
    <s v="8_국립축산과학원"/>
    <s v="1_축산생명환경부"/>
    <x v="9"/>
    <s v="권경석"/>
    <s v="보도자료46"/>
    <s v="“벌써 여름, 축사시설·환기 점검해야”"/>
    <s v="한우신문"/>
    <d v="2019-05-21T00:00:00"/>
    <n v="4"/>
    <s v="10_기타전문지"/>
    <n v="1"/>
    <d v="2019-05-27T00:00:00"/>
  </r>
  <r>
    <n v="2163"/>
    <s v="8_국립축산과학원"/>
    <s v="2_축산자원개발부"/>
    <x v="6"/>
    <s v="양승학"/>
    <s v="보도자료43"/>
    <s v="풀사료 적기파종에 드론 적용 “역시 최고”"/>
    <s v="한우신문"/>
    <d v="2019-05-21T00:00:00"/>
    <n v="5"/>
    <s v="10_기타전문지"/>
    <n v="1"/>
    <d v="2019-05-27T00:00:00"/>
  </r>
  <r>
    <n v="2164"/>
    <s v="8_국립축산과학원"/>
    <s v="2_축산자원개발부"/>
    <x v="6"/>
    <s v="김원호"/>
    <m/>
    <s v="장흥, IRG 종자 생산단지 육성 박차"/>
    <s v="한우신문"/>
    <d v="2019-05-21T00:00:00"/>
    <n v="7"/>
    <s v="10_기타전문지"/>
    <n v="1"/>
    <d v="2019-05-27T00:00:00"/>
  </r>
  <r>
    <n v="2165"/>
    <s v="8_국립축산과학원"/>
    <s v="2_축산자원개발부"/>
    <x v="6"/>
    <s v="최기준"/>
    <s v="보도자료45"/>
    <s v="사료작물 섞어 심으면 생산성 28% 향상…3모작도 가능"/>
    <s v="한우신문"/>
    <d v="2019-05-21T00:00:00"/>
    <n v="8"/>
    <s v="10_기타전문지"/>
    <n v="1"/>
    <d v="2019-05-27T00:00:00"/>
  </r>
  <r>
    <n v="2166"/>
    <s v="8_국립축산과학원"/>
    <s v="2_축산자원개발부"/>
    <x v="6"/>
    <s v="양승학"/>
    <s v="보도자료43"/>
    <s v="동계 사료작물 드론 기술 적용"/>
    <s v="낙농신문"/>
    <d v="2019-05-23T00:00:00"/>
    <n v="5"/>
    <s v="10_기타전문지"/>
    <n v="1"/>
    <d v="2019-05-27T00:00:00"/>
  </r>
  <r>
    <n v="2167"/>
    <s v="8_국립축산과학원"/>
    <s v="2_축산자원개발부"/>
    <x v="6"/>
    <s v="김지혜"/>
    <s v="보도자료40"/>
    <s v="건초 제조시간 단축 기술 개발"/>
    <s v="낙농신문"/>
    <d v="2019-05-23T00:00:00"/>
    <n v="6"/>
    <s v="10_기타전문지"/>
    <n v="1"/>
    <d v="2019-05-27T00:00:00"/>
  </r>
  <r>
    <n v="2168"/>
    <s v="8_국립축산과학원"/>
    <s v="1_축산생명환경부"/>
    <x v="9"/>
    <s v="권경석"/>
    <s v="보도자료46"/>
    <s v="본격 무더위 전, 축사 관리 방법은"/>
    <s v="말산업저널"/>
    <d v="2019-05-26T00:00:00"/>
    <m/>
    <s v="10_기타전문지"/>
    <n v="1"/>
    <d v="2019-05-27T00:00:00"/>
  </r>
  <r>
    <n v="2169"/>
    <s v="8_국립축산과학원"/>
    <s v="0_본원"/>
    <x v="2"/>
    <s v="이준엽"/>
    <m/>
    <s v="국민중심 서비스기관으로 진화한 책임운영기관은?"/>
    <s v="창업일보"/>
    <d v="2019-05-24T00:00:00"/>
    <m/>
    <s v="13_인터넷포털"/>
    <n v="0.1"/>
    <d v="2019-05-27T00:00:00"/>
  </r>
  <r>
    <n v="2170"/>
    <s v="8_국립축산과학원"/>
    <s v="1_축산생명환경부"/>
    <x v="7"/>
    <s v="이성대"/>
    <s v="보도자료52"/>
    <s v="농진청, 무더위 시 휴대전화로 가축 사육 방법 제공"/>
    <s v="미디어펜"/>
    <d v="2019-05-27T00:00:00"/>
    <m/>
    <s v="13_인터넷포털"/>
    <n v="0.1"/>
    <d v="2019-05-27T00:00:00"/>
  </r>
  <r>
    <n v="2171"/>
    <s v="8_국립축산과학원"/>
    <s v="0_본원"/>
    <x v="2"/>
    <s v="이준엽"/>
    <s v="보도자료51"/>
    <s v="국립축산과학원, ‘최우수 책임운영기관’으로 선정"/>
    <s v="보건뉴스"/>
    <d v="2019-05-27T00:00:00"/>
    <m/>
    <s v="13_인터넷포털"/>
    <n v="0.1"/>
    <d v="2019-05-27T00:00:00"/>
  </r>
  <r>
    <n v="2172"/>
    <s v="8_국립축산과학원"/>
    <s v="1_축산생명환경부"/>
    <x v="7"/>
    <s v="이성대"/>
    <s v="보도자료52"/>
    <s v="미리 보는 ‘가축 더위스트레스’로 폭염 대비해요"/>
    <s v="오가닉라이프"/>
    <d v="2019-05-27T00:00:00"/>
    <m/>
    <s v="13_인터넷포털"/>
    <n v="0.1"/>
    <d v="2019-05-27T00:00:00"/>
  </r>
  <r>
    <n v="2173"/>
    <s v="8_국립축산과학원"/>
    <s v="1_축산생명환경부"/>
    <x v="7"/>
    <s v="이성대"/>
    <s v="보도자료52"/>
    <s v="휴대전화에 담긴 ‘더위 지수’별 축종별 관리 방법"/>
    <s v="프레시안"/>
    <d v="2019-05-27T00:00:00"/>
    <m/>
    <s v="13_인터넷포털"/>
    <n v="0.1"/>
    <d v="2019-05-27T00:00:00"/>
  </r>
  <r>
    <n v="2174"/>
    <s v="8_국립축산과학원"/>
    <s v="1_축산생명환경부"/>
    <x v="7"/>
    <s v="이성대"/>
    <s v="보도자료52"/>
    <s v="“폭염으로 인한 가축 스트레스 미리 대비하자”"/>
    <s v="라이브뉴스"/>
    <d v="2019-05-27T00:00:00"/>
    <m/>
    <s v="13_인터넷포털"/>
    <n v="0.1"/>
    <d v="2019-05-27T00:00:00"/>
  </r>
  <r>
    <n v="2175"/>
    <s v="8_국립축산과학원"/>
    <s v="0_본원"/>
    <x v="14"/>
    <s v="원정일"/>
    <s v="보도자료49"/>
    <s v="반갑다 초원아'…대관령 한우 방목 시작 '장관(뉴스오늘)"/>
    <s v="TV조선"/>
    <d v="2019-05-27T00:00:00"/>
    <m/>
    <s v="02_TV-종합편성채널"/>
    <n v="4"/>
    <d v="2019-05-28T00:00:00"/>
  </r>
  <r>
    <n v="2176"/>
    <s v="8_국립축산과학원"/>
    <s v="2_축산자원개발부"/>
    <x v="6"/>
    <s v="최보람"/>
    <s v="보도자료48"/>
    <s v="벼·옥수수 갉아 먹는 ‘멸강나방’ 피해 주의보(KBS NEWS)"/>
    <s v="KBS RADIO"/>
    <d v="2019-05-21T00:00:00"/>
    <m/>
    <s v="05_라디오-중앙"/>
    <n v="3"/>
    <d v="2019-05-28T00:00:00"/>
  </r>
  <r>
    <n v="2177"/>
    <s v="8_국립축산과학원"/>
    <s v="1_축산생명환경부"/>
    <x v="7"/>
    <s v="이성대"/>
    <s v="보도자료52"/>
    <s v="농진청, 폭염 가축사육 기상정보시스템 선보여"/>
    <s v="아시아투데이"/>
    <d v="2019-05-27T00:00:00"/>
    <m/>
    <s v="07_중앙일간지"/>
    <n v="5"/>
    <d v="2019-05-28T00:00:00"/>
  </r>
  <r>
    <n v="2178"/>
    <s v="8_국립축산과학원"/>
    <s v="1_축산생명환경부"/>
    <x v="7"/>
    <s v="이성대"/>
    <s v="보도자료52"/>
    <s v="농진청 “가축사육 기상정보시스템으로 폭염 미리 대비하세요”"/>
    <s v="이데일리"/>
    <d v="2019-05-27T00:00:00"/>
    <m/>
    <s v="07_중앙일간지"/>
    <n v="5"/>
    <d v="2019-05-28T00:00:00"/>
  </r>
  <r>
    <n v="2179"/>
    <s v="8_국립축산과학원"/>
    <s v="1_축산생명환경부"/>
    <x v="7"/>
    <s v="이성대"/>
    <s v="보도자료52"/>
    <s v="농진청, 무더위 대비 휴대전화로 가축 사육 방법 제공"/>
    <s v="연합뉴스"/>
    <d v="2019-05-27T00:00:00"/>
    <m/>
    <s v="07_중앙일간지"/>
    <n v="5"/>
    <d v="2019-05-28T00:00:00"/>
  </r>
  <r>
    <n v="2180"/>
    <s v="8_국립축산과학원"/>
    <s v="1_축산생명환경부"/>
    <x v="7"/>
    <s v="이성대"/>
    <s v="보도자료52"/>
    <s v="미리 보는 ‘가축 더위스트레스’로 폭염 대비해요 "/>
    <s v="매일일보"/>
    <d v="2019-05-27T00:00:00"/>
    <m/>
    <s v="08_기타일간지"/>
    <n v="2"/>
    <d v="2019-05-28T00:00:00"/>
  </r>
  <r>
    <n v="2181"/>
    <s v="8_국립축산과학원"/>
    <s v="1_축산생명환경부"/>
    <x v="7"/>
    <s v="이성대"/>
    <s v="보도자료52"/>
    <s v="“휴대전화로 가축 더위 스트레스 확인하세요”"/>
    <s v="환경일보"/>
    <d v="2019-05-28T00:00:00"/>
    <m/>
    <s v="08_기타일간지"/>
    <n v="2"/>
    <d v="2019-05-28T00:00:00"/>
  </r>
  <r>
    <n v="2182"/>
    <s v="8_국립축산과학원"/>
    <s v="2_축산자원개발부"/>
    <x v="6"/>
    <s v="최보람"/>
    <s v="보도자료48"/>
    <s v="작물 갉아 먹는 ‘멸강나방’ 피해 주의보"/>
    <s v="환경일보"/>
    <d v="2019-05-22T00:00:00"/>
    <m/>
    <s v="08_기타일간지"/>
    <n v="2"/>
    <d v="2019-05-28T00:00:00"/>
  </r>
  <r>
    <n v="2183"/>
    <s v="8_국립축산과학원"/>
    <s v="0_본원"/>
    <x v="2"/>
    <s v="이준엽"/>
    <s v="보도자료51"/>
    <s v="축산과학원, 행안부 ‘우수 책임운영기관’에 선정"/>
    <s v="농업인신문"/>
    <d v="2019-05-27T00:00:00"/>
    <n v="2"/>
    <s v="09_농업전문지"/>
    <n v="1.5"/>
    <d v="2019-05-28T00:00:00"/>
  </r>
  <r>
    <n v="2184"/>
    <s v="8_국립축산과학원"/>
    <s v="1_축산생명환경부"/>
    <x v="5"/>
    <s v="강선문"/>
    <s v="보도자료50"/>
    <s v="농진청·축산식품학회, 국제학술대회 개최"/>
    <s v="농업인신문"/>
    <d v="2019-05-27T00:00:00"/>
    <n v="4"/>
    <s v="09_농업전문지"/>
    <n v="1.5"/>
    <d v="2019-05-28T00:00:00"/>
  </r>
  <r>
    <n v="2185"/>
    <s v="8_국립축산과학원"/>
    <s v="2_축산자원개발부"/>
    <x v="0"/>
    <s v="홍준기"/>
    <s v="보도자료47"/>
    <s v="돼지 ‘다리 튼튼해야 잘 크고, 오래 살아’"/>
    <s v="농축환경신문"/>
    <d v="2019-05-23T00:00:00"/>
    <n v="7"/>
    <s v="09_농업전문지"/>
    <n v="1.5"/>
    <d v="2019-05-28T00:00:00"/>
  </r>
  <r>
    <n v="2186"/>
    <s v="8_국립축산과학원"/>
    <s v="0_본원"/>
    <x v="14"/>
    <s v="원정일"/>
    <s v="보도자료49"/>
    <s v="풀 만난 한우"/>
    <s v="농업인신문"/>
    <d v="2019-05-27T00:00:00"/>
    <n v="1"/>
    <s v="09_농업전문지"/>
    <n v="1.5"/>
    <d v="2019-05-28T00:00:00"/>
  </r>
  <r>
    <n v="2187"/>
    <s v="8_국립축산과학원"/>
    <s v="1_축산생명환경부"/>
    <x v="5"/>
    <s v="강선문"/>
    <s v="보도자료50"/>
    <s v="축산식품학회, 정기국제학술대회 성료"/>
    <s v="식품음료신문"/>
    <d v="2019-05-28T00:00:00"/>
    <m/>
    <s v="09_농업전문지"/>
    <n v="1.5"/>
    <d v="2019-05-28T00:00:00"/>
  </r>
  <r>
    <n v="2188"/>
    <s v="8_국립축산과학원"/>
    <s v="0_본원"/>
    <x v="14"/>
    <s v="원정일"/>
    <s v="보도자료49"/>
    <s v="한우 300마리 대관령 초지에 방목"/>
    <s v="팜&amp;마켓매거진"/>
    <d v="2019-05-28T00:00:00"/>
    <m/>
    <s v="09_농업전문지"/>
    <n v="1.5"/>
    <d v="2019-05-28T00:00:00"/>
  </r>
  <r>
    <n v="2189"/>
    <s v="8_국립축산과학원"/>
    <s v="1_축산생명환경부"/>
    <x v="9"/>
    <s v="권경석"/>
    <s v="보도자료46"/>
    <s v="혹서기 대비 축사 환기·냉방 시설 이렇게"/>
    <s v="축산경제"/>
    <d v="2019-05-24T00:00:00"/>
    <m/>
    <s v="09_농업전문지"/>
    <n v="1.5"/>
    <d v="2019-05-28T00:00:00"/>
  </r>
  <r>
    <n v="2190"/>
    <s v="8_국립축산과학원"/>
    <s v="2_축산자원개발부"/>
    <x v="0"/>
    <s v="홍준기"/>
    <s v="보도자료47"/>
    <s v="돼지, 다리 튼튼해야 잘 크고 오래 살아"/>
    <s v="농축유통신문"/>
    <d v="2019-05-24T00:00:00"/>
    <m/>
    <s v="09_농업전문지"/>
    <n v="1.5"/>
    <d v="2019-05-28T00:00:00"/>
  </r>
  <r>
    <n v="2191"/>
    <s v="8_국립축산과학원"/>
    <s v="2_축산자원개발부"/>
    <x v="6"/>
    <s v="최보람"/>
    <s v="보도자료48"/>
    <s v="멸강나방 애벌레 발생 늘어... 발견 즉시 방제해야"/>
    <s v="전업농신문"/>
    <d v="2019-05-21T00:00:00"/>
    <m/>
    <s v="09_농업전문지"/>
    <n v="1.5"/>
    <d v="2019-05-28T00:00:00"/>
  </r>
  <r>
    <n v="2192"/>
    <s v="8_국립축산과학원"/>
    <s v="2_축산자원개발부"/>
    <x v="6"/>
    <s v="최보람"/>
    <s v="보도자료48"/>
    <s v="농촌진흥청, ‘멸강나방’ 피해 주의 당부"/>
    <s v="한국영농신문"/>
    <d v="2019-05-23T00:00:00"/>
    <m/>
    <s v="09_농업전문지"/>
    <n v="1.5"/>
    <d v="2019-05-28T00:00:00"/>
  </r>
  <r>
    <n v="2193"/>
    <s v="8_국립축산과학원"/>
    <s v="2_축산자원개발부"/>
    <x v="6"/>
    <s v="최보람"/>
    <s v="보도자료48"/>
    <s v="“멸강나방 발견 즉시 방제해야”"/>
    <s v="한국농어민신문"/>
    <d v="2019-05-24T00:00:00"/>
    <m/>
    <s v="09_농업전문지"/>
    <n v="1.5"/>
    <d v="2019-05-28T00:00:00"/>
  </r>
  <r>
    <n v="2194"/>
    <s v="8_국립축산과학원"/>
    <s v="2_축산자원개발부"/>
    <x v="6"/>
    <s v="최보람"/>
    <s v="보도자료48"/>
    <s v="평균기온 높은 올봄 멸강나방 애벌레 증가 ‘주의 당부’"/>
    <s v="영농자재신문"/>
    <d v="2019-05-27T00:00:00"/>
    <m/>
    <s v="09_농업전문지"/>
    <n v="1.5"/>
    <d v="2019-05-28T00:00:00"/>
  </r>
  <r>
    <n v="2195"/>
    <s v="8_국립축산과학원"/>
    <s v="0_본원"/>
    <x v="15"/>
    <s v="조창연"/>
    <m/>
    <s v="논산시, 문화재청 법규 ‘11년간 묵살’"/>
    <s v="동양일보"/>
    <d v="2019-05-27T00:00:00"/>
    <m/>
    <s v="09_지방일간지"/>
    <n v="1.5"/>
    <d v="2019-05-28T00:00:00"/>
  </r>
  <r>
    <n v="2196"/>
    <s v="8_국립축산과학원"/>
    <s v="2_축산자원개발부"/>
    <x v="6"/>
    <s v="최보람"/>
    <s v="보도자료48"/>
    <s v="농촌진흥청, ‘멸강나방’ 피해 주의 당부"/>
    <s v="정책브리핑"/>
    <d v="2019-05-22T00:00:00"/>
    <m/>
    <s v="12_대한민국 정책포털(korea.kr)"/>
    <n v="1"/>
    <d v="2019-05-28T00:00:00"/>
  </r>
  <r>
    <n v="2197"/>
    <s v="8_국립축산과학원"/>
    <s v="2_축산자원개발부"/>
    <x v="6"/>
    <s v="최보람"/>
    <s v="보도자료48"/>
    <s v="“멸강나방” 피해주의 당부"/>
    <s v="식약일보"/>
    <d v="2019-05-22T00:00:00"/>
    <m/>
    <s v="10_기타전문지"/>
    <n v="1"/>
    <d v="2019-05-28T00:00:00"/>
  </r>
  <r>
    <n v="2198"/>
    <s v="8_국립축산과학원"/>
    <s v="0_본원"/>
    <x v="2"/>
    <s v="이준엽"/>
    <s v="보도자료51"/>
    <s v="농촌진흥청국립축산과학원, ‘국무총리 표창’ 수상"/>
    <s v="농업경제신문"/>
    <d v="2019-05-28T00:00:00"/>
    <m/>
    <s v="13_인터넷포털"/>
    <n v="0.1"/>
    <d v="2019-05-28T00:00:00"/>
  </r>
  <r>
    <n v="2199"/>
    <s v="8_국립축산과학원"/>
    <s v="1_축산생명환경부"/>
    <x v="9"/>
    <s v="권경석"/>
    <s v="보도자료46"/>
    <s v="본격 무더위 전, 축사 관리 방법은"/>
    <s v="미디어피아"/>
    <d v="2019-05-26T00:00:00"/>
    <m/>
    <s v="13_인터넷포털"/>
    <n v="0.1"/>
    <d v="2019-05-28T00:00:00"/>
  </r>
  <r>
    <n v="2200"/>
    <s v="8_국립축산과학원"/>
    <s v="2_축산자원개발부"/>
    <x v="0"/>
    <s v="홍준기"/>
    <s v="보도자료47"/>
    <s v="농진청, 국내 종돈장 돼지 다리 건강 연구 추진"/>
    <s v="KNS뉴스통신"/>
    <d v="2019-05-16T00:00:00"/>
    <m/>
    <s v="13_인터넷포털"/>
    <n v="0.1"/>
    <d v="2019-05-28T00:00:00"/>
  </r>
  <r>
    <n v="2201"/>
    <s v="8_국립축산과학원"/>
    <s v="2_축산자원개발부"/>
    <x v="6"/>
    <s v="최보람"/>
    <s v="보도자료48"/>
    <s v="농촌진흥청, 멸강나방 발생 시기 빨라져...방제 ‘당부’"/>
    <s v="농업경제신문"/>
    <d v="2019-05-24T00:00:00"/>
    <m/>
    <s v="13_인터넷포털"/>
    <n v="0.1"/>
    <d v="2019-05-28T00:00:00"/>
  </r>
  <r>
    <n v="2202"/>
    <s v="8_국립축산과학원"/>
    <s v="2_축산자원개발부"/>
    <x v="6"/>
    <s v="최보람"/>
    <s v="보도자료48"/>
    <s v="‘멸강나방’ 피해 주의…봄 평균기온 높아 애벌레 발생 증가"/>
    <s v="메디컬투데이"/>
    <d v="2019-05-21T00:00:00"/>
    <m/>
    <s v="13_인터넷포털"/>
    <n v="0.1"/>
    <d v="2019-05-28T00:00:00"/>
  </r>
  <r>
    <n v="2203"/>
    <s v="8_국립축산과학원"/>
    <s v="2_축산자원개발부"/>
    <x v="6"/>
    <s v="최보람"/>
    <s v="보도자료48"/>
    <s v="볏과 작물 치명상 ‘멸강나방’ 피해 주의 당부"/>
    <s v="에코타임스"/>
    <d v="2019-05-22T00:00:00"/>
    <m/>
    <s v="13_인터넷포털"/>
    <n v="0.1"/>
    <d v="2019-05-28T00:00:00"/>
  </r>
  <r>
    <n v="2204"/>
    <s v="8_국립축산과학원"/>
    <s v="2_축산자원개발부"/>
    <x v="6"/>
    <s v="최보람"/>
    <s v="보도자료48"/>
    <s v="농촌진흥청, ‘멸강나방’ 피해 주의 당부"/>
    <s v="전남인터넷신문"/>
    <d v="2019-05-22T00:00:00"/>
    <m/>
    <s v="13_인터넷포털"/>
    <n v="0.1"/>
    <d v="2019-05-28T00:00:00"/>
  </r>
  <r>
    <n v="2205"/>
    <s v="8_국립축산과학원"/>
    <s v="1_축산생명환경부"/>
    <x v="7"/>
    <s v="이성대"/>
    <s v="보도자료52"/>
    <s v="미리 보는 ‘가축 더위스트레스’로 폭염 대비해요"/>
    <s v="중부뉴스통신"/>
    <d v="2019-05-28T00:00:00"/>
    <m/>
    <s v="13_인터넷포털"/>
    <n v="0.1"/>
    <d v="2019-05-28T00:00:00"/>
  </r>
  <r>
    <n v="2206"/>
    <s v="8_국립축산과학원"/>
    <s v="0_본원"/>
    <x v="4"/>
    <s v="천동원"/>
    <s v="기고"/>
    <s v="[기고] 천동원 소장-축산현장 애로기술 해결 위한 닭 키우기[100문 100답] Q52-54"/>
    <s v="축산신문"/>
    <d v="2019-05-28T00:00:00"/>
    <n v="14"/>
    <s v="17_농업전문지"/>
    <n v="8"/>
    <d v="2019-05-29T00:00:00"/>
  </r>
  <r>
    <n v="2207"/>
    <s v="8_국립축산과학원"/>
    <s v="2_축산자원개발부"/>
    <x v="6"/>
    <s v="양승학"/>
    <s v="보도자료43"/>
    <s v="드론으로 고품질 풀사료 생산(뉴스데스크)"/>
    <s v="MBC"/>
    <d v="2019-05-27T00:00:00"/>
    <m/>
    <s v="01_TV-중앙"/>
    <n v="8"/>
    <d v="2019-05-29T00:00:00"/>
  </r>
  <r>
    <n v="2208"/>
    <s v="8_국립축산과학원"/>
    <s v="1_축산생명환경부"/>
    <x v="7"/>
    <s v="이성대"/>
    <s v="보도자료52"/>
    <s v="농진청, 휴대전화로 보는 가축 기상정보시스템 개발(뉴스오늘)-이유경 연구사 인터뷰"/>
    <s v="KBS"/>
    <d v="2019-05-28T00:00:00"/>
    <m/>
    <s v="01_TV-중앙"/>
    <n v="8"/>
    <d v="2019-05-29T00:00:00"/>
  </r>
  <r>
    <n v="2209"/>
    <s v="8_국립축산과학원"/>
    <s v="2_축산자원개발부"/>
    <x v="0"/>
    <s v="문홍길"/>
    <m/>
    <s v="농진청, 우리흑돈 전국 보급화에 집중"/>
    <s v="아시아투데이"/>
    <d v="2019-05-29T00:00:00"/>
    <n v="10"/>
    <s v="07_중앙일간지"/>
    <n v="5"/>
    <d v="2019-05-29T00:00:00"/>
  </r>
  <r>
    <n v="2210"/>
    <s v="8_국립축산과학원"/>
    <s v="1_축산생명환경부"/>
    <x v="5"/>
    <s v="강선문"/>
    <s v="보도자료50"/>
    <s v="(동정) ‘지속성장’ 국제학술대회 개최"/>
    <s v="축산신문"/>
    <d v="2019-05-28T00:00:00"/>
    <n v="15"/>
    <s v="09_농업전문지"/>
    <n v="1.5"/>
    <d v="2019-05-29T00:00:00"/>
  </r>
  <r>
    <n v="2211"/>
    <s v="8_국립축산과학원"/>
    <s v="0_본원"/>
    <x v="14"/>
    <s v="원정일"/>
    <s v="보도자료49"/>
    <s v="대관령 초지 위 한우 ‘방목’"/>
    <s v="축산신문"/>
    <d v="2019-05-28T00:00:00"/>
    <n v="1"/>
    <s v="09_농업전문지"/>
    <n v="1.5"/>
    <d v="2019-05-29T00:00:00"/>
  </r>
  <r>
    <n v="2212"/>
    <s v="8_국립축산과학원"/>
    <s v="2_축산자원개발부"/>
    <x v="12"/>
    <s v="박성민"/>
    <m/>
    <s v="동물복지 입각한 ICT 기술로 소 건강관리 ‘스마트하게’"/>
    <s v="축산신문"/>
    <d v="2019-05-28T00:00:00"/>
    <n v="7"/>
    <s v="09_농업전문지"/>
    <n v="1.5"/>
    <d v="2019-05-29T00:00:00"/>
  </r>
  <r>
    <n v="2213"/>
    <s v="8_국립축산과학원"/>
    <s v="1_축산생명환경부"/>
    <x v="9"/>
    <s v="전중환"/>
    <m/>
    <s v="생산자·유통·소비자 변화 아우르는 동물복지 전환 정책 마련해야"/>
    <s v="한국농정신문"/>
    <d v="2019-05-27T00:00:00"/>
    <n v="9"/>
    <s v="09_농업전문지"/>
    <n v="1.5"/>
    <d v="2019-05-29T00:00:00"/>
  </r>
  <r>
    <n v="2214"/>
    <s v="8_국립축산과학원"/>
    <s v="2_축산자원개발부"/>
    <x v="12"/>
    <s v="최희철"/>
    <m/>
    <s v="경제적 부담 대폭 경감…고효율 낙농 새바람"/>
    <s v="축산신문"/>
    <d v="2019-05-28T00:00:00"/>
    <n v="22"/>
    <s v="09_농업전문지"/>
    <n v="1.5"/>
    <d v="2019-05-29T00:00:00"/>
  </r>
  <r>
    <n v="2215"/>
    <s v="8_국립축산과학원"/>
    <s v="1_축산생명환경부"/>
    <x v="7"/>
    <s v="이성대"/>
    <s v="보도자료52"/>
    <s v="‘가축 더위스트레스’ 미리 확인하세요"/>
    <s v="농촌여성신문"/>
    <d v="2019-05-28T00:00:00"/>
    <m/>
    <s v="09_농업전문지"/>
    <n v="1.5"/>
    <d v="2019-05-29T00:00:00"/>
  </r>
  <r>
    <n v="2216"/>
    <s v="8_국립축산과학원"/>
    <s v="1_축산생명환경부"/>
    <x v="7"/>
    <s v="이성대"/>
    <s v="보도자료52"/>
    <s v="“가축더위지수, 휴대전화로 확인하세요”"/>
    <s v="경남일보"/>
    <d v="2019-05-28T00:00:00"/>
    <n v="9"/>
    <s v="09_지방일간지"/>
    <n v="1.5"/>
    <d v="2019-05-29T00:00:00"/>
  </r>
  <r>
    <n v="2217"/>
    <s v="8_국립축산과학원"/>
    <s v="1_축산생명환경부"/>
    <x v="7"/>
    <s v="이성대"/>
    <s v="보도자료52"/>
    <s v="농진청 가축더위지수 제공 폭염 피해 예방 도와"/>
    <s v="전북중앙"/>
    <d v="2019-05-28T00:00:00"/>
    <n v="6"/>
    <s v="09_지방일간지"/>
    <n v="1.5"/>
    <d v="2019-05-29T00:00:00"/>
  </r>
  <r>
    <n v="2218"/>
    <s v="8_국립축산과학원"/>
    <s v="1_축산생명환경부"/>
    <x v="7"/>
    <s v="이성대"/>
    <s v="보도자료52"/>
    <s v="농진청, 가축 사육 기상시스템 활용 당부"/>
    <s v="전라일보"/>
    <d v="2019-05-28T00:00:00"/>
    <n v="6"/>
    <s v="09_지방일간지"/>
    <n v="1.5"/>
    <d v="2019-05-29T00:00:00"/>
  </r>
  <r>
    <n v="2219"/>
    <s v="8_국립축산과학원"/>
    <s v="1_축산생명환경부"/>
    <x v="7"/>
    <s v="이성대"/>
    <s v="보도자료52"/>
    <s v="“가축 더위지수, 간편하게 확인하세요”"/>
    <s v="전라매일"/>
    <d v="2019-05-28T00:00:00"/>
    <n v="2"/>
    <s v="09_지방일간지"/>
    <n v="1.5"/>
    <d v="2019-05-29T00:00:00"/>
  </r>
  <r>
    <n v="2220"/>
    <s v="8_국립축산과학원"/>
    <s v="1_축산생명환경부"/>
    <x v="7"/>
    <s v="이성대"/>
    <s v="보도자료52"/>
    <s v="기상정보시스템으로 가축 관리 방법 제시"/>
    <s v="전북타임스"/>
    <d v="2019-05-28T00:00:00"/>
    <n v="7"/>
    <s v="09_지방일간지"/>
    <n v="1.5"/>
    <d v="2019-05-29T00:00:00"/>
  </r>
  <r>
    <n v="2221"/>
    <s v="8_국립축산과학원"/>
    <s v="1_축산생명환경부"/>
    <x v="7"/>
    <s v="이성대"/>
    <s v="보도자료52"/>
    <s v="“가축사육 기상정보시스템” 활용 가축피해 예방"/>
    <s v="식약일보"/>
    <d v="2019-05-28T00:00:00"/>
    <m/>
    <s v="10_기타전문지"/>
    <n v="1"/>
    <d v="2019-05-29T00:00:00"/>
  </r>
  <r>
    <n v="2222"/>
    <s v="8_국립축산과학원"/>
    <s v="1_축산생명환경부"/>
    <x v="7"/>
    <s v="이성대"/>
    <s v="보도자료52"/>
    <s v="휴대폰으로 ‘더위스트레스’에 실시간 대응한다"/>
    <s v="돼지와사람"/>
    <d v="2019-05-29T00:00:00"/>
    <m/>
    <s v="13_인터넷포털"/>
    <n v="0.1"/>
    <d v="2019-05-29T00:00:00"/>
  </r>
  <r>
    <n v="2223"/>
    <s v="8_국립축산과학원"/>
    <s v="1_축산생명환경부"/>
    <x v="7"/>
    <s v="김상호"/>
    <m/>
    <s v="돼지의 열스트레스지수 단계별 사양관리 지침"/>
    <s v="돼지와사람"/>
    <d v="2019-05-29T00:00:00"/>
    <m/>
    <s v="13_인터넷포털"/>
    <n v="0.1"/>
    <d v="2019-05-29T00:00:00"/>
  </r>
  <r>
    <n v="2224"/>
    <s v="8_국립축산과학원"/>
    <s v="1_축산생명환경부"/>
    <x v="7"/>
    <s v="이성대"/>
    <s v="보도자료52"/>
    <s v="미리 보는 ‘가축 더위스트레스’로 폭염 대비해요"/>
    <s v="경기앤뉴스"/>
    <d v="2019-05-28T00:00:00"/>
    <m/>
    <s v="13_인터넷포털"/>
    <n v="0.1"/>
    <d v="2019-05-29T00:00:00"/>
  </r>
  <r>
    <n v="2225"/>
    <s v="8_국립축산과학원"/>
    <s v="1_축산생명환경부"/>
    <x v="7"/>
    <s v="이성대"/>
    <s v="보도자료52"/>
    <s v="미리 보는 ‘가축 더위스트레스’로 폭염 대비해요"/>
    <s v="강원경제신문"/>
    <d v="2019-05-28T00:00:00"/>
    <m/>
    <s v="13_인터넷포털"/>
    <n v="0.1"/>
    <d v="2019-05-29T00:00:00"/>
  </r>
  <r>
    <n v="2226"/>
    <s v="8_국립축산과학원"/>
    <s v="1_축산생명환경부"/>
    <x v="7"/>
    <s v="이성대"/>
    <s v="보도자료52"/>
    <s v="무더위 대비 가축기상정보시스템 구축(9시 뉴스-이유경 연구사 인터뷰)"/>
    <s v="KBS대전"/>
    <d v="2019-05-28T00:00:00"/>
    <m/>
    <s v="02_TV-지방"/>
    <n v="4"/>
    <d v="2019-05-30T00:00:00"/>
  </r>
  <r>
    <n v="2227"/>
    <s v="8_국립축산과학원"/>
    <s v="2_축산자원개발부"/>
    <x v="0"/>
    <s v="문홍길"/>
    <m/>
    <s v="이베리코 능가 한국형 흑돼지 ‘우리흑돈’ 개발"/>
    <s v="아시아투데이"/>
    <d v="2019-05-29T00:00:00"/>
    <m/>
    <s v="07_중앙일간지"/>
    <n v="5"/>
    <d v="2019-05-30T00:00:00"/>
  </r>
  <r>
    <n v="2228"/>
    <s v="8_국립축산과학원"/>
    <s v="1_축산생명환경부"/>
    <x v="7"/>
    <s v="이성대"/>
    <m/>
    <s v="국민과 함께 디자인하는 기상서비스 시작된다!"/>
    <s v="서울신문"/>
    <d v="2019-05-29T00:00:00"/>
    <m/>
    <s v="07_중앙일간지"/>
    <n v="5"/>
    <d v="2019-05-30T00:00:00"/>
  </r>
  <r>
    <n v="2229"/>
    <s v="8_국립축산과학원"/>
    <s v="1_축산생명환경부"/>
    <x v="5"/>
    <s v="김윤석"/>
    <m/>
    <s v="값비싼 유기농달걀 영양가도 높을까?"/>
    <s v="경향신문"/>
    <d v="2019-05-30T00:00:00"/>
    <n v="3"/>
    <s v="07_중앙일간지"/>
    <n v="5"/>
    <d v="2019-05-30T00:00:00"/>
  </r>
  <r>
    <n v="2230"/>
    <s v="8_국립축산과학원"/>
    <s v="1_축산생명환경부"/>
    <x v="7"/>
    <s v="이성대"/>
    <s v="보도자료52"/>
    <s v="“폭염 가축폐사, 스마트폰으로 미리 예방하세요”"/>
    <s v="신아일보"/>
    <d v="2019-05-29T00:00:00"/>
    <m/>
    <s v="08_기타일간지"/>
    <n v="2"/>
    <d v="2019-05-30T00:00:00"/>
  </r>
  <r>
    <n v="2231"/>
    <s v="8_국립축산과학원"/>
    <s v="1_축산생명환경부"/>
    <x v="7"/>
    <s v="이성대"/>
    <m/>
    <s v="국민과 함께 디자인하는 기상서비스"/>
    <s v="환경일보"/>
    <d v="2019-05-29T00:00:00"/>
    <m/>
    <s v="08_기타일간지"/>
    <n v="2"/>
    <d v="2019-05-30T00:00:00"/>
  </r>
  <r>
    <n v="2232"/>
    <s v="8_국립축산과학원"/>
    <s v="2_축산자원개발부"/>
    <x v="8"/>
    <s v="김시동"/>
    <m/>
    <s v="전국한우능력평가대회 참여농가 총회"/>
    <s v="농수축산신문"/>
    <d v="2019-05-28T00:00:00"/>
    <m/>
    <s v="09_농업전문지"/>
    <n v="1.5"/>
    <d v="2019-05-30T00:00:00"/>
  </r>
  <r>
    <n v="2233"/>
    <s v="8_국립축산과학원"/>
    <s v="1_축산생명환경부"/>
    <x v="9"/>
    <s v="곽정훈"/>
    <m/>
    <s v="‘가축분뇨 정화시설 방류수 TOC 기준(안) 마련’ 공청회"/>
    <s v="농수축산신문"/>
    <d v="2019-05-28T00:00:00"/>
    <m/>
    <s v="09_농업전문지"/>
    <n v="1.5"/>
    <d v="2019-05-30T00:00:00"/>
  </r>
  <r>
    <n v="2234"/>
    <s v="8_국립축산과학원"/>
    <s v="1_축산생명환경부"/>
    <x v="5"/>
    <s v="강선문"/>
    <s v="보도자료50"/>
    <s v="첨단 기술 더한 축산식품의 미래를 만나다"/>
    <s v="한국농촌경제신문"/>
    <d v="2019-05-28T00:00:00"/>
    <m/>
    <s v="09_농업전문지"/>
    <n v="1.5"/>
    <d v="2019-05-30T00:00:00"/>
  </r>
  <r>
    <n v="2235"/>
    <s v="8_국립축산과학원"/>
    <s v="1_축산생명환경부"/>
    <x v="5"/>
    <s v="강선문"/>
    <s v="보도자료50"/>
    <s v="한국축산식품학회, 국제정기학술대회 열어"/>
    <s v="대한급식신문"/>
    <d v="2019-05-28T00:00:00"/>
    <m/>
    <s v="09_농업전문지"/>
    <n v="1.5"/>
    <d v="2019-05-30T00:00:00"/>
  </r>
  <r>
    <n v="2236"/>
    <s v="8_국립축산과학원"/>
    <s v="1_축산생명환경부"/>
    <x v="7"/>
    <s v="이성대"/>
    <s v="보도자료52"/>
    <s v="‘가축 더위 스트레스’ 분석해 폭염 피해 대비"/>
    <s v="한국영농신문"/>
    <d v="2019-05-28T00:00:00"/>
    <m/>
    <s v="09_농업전문지"/>
    <n v="1.5"/>
    <d v="2019-05-30T00:00:00"/>
  </r>
  <r>
    <n v="2237"/>
    <s v="8_국립축산과학원"/>
    <s v="2_축산자원개발부"/>
    <x v="6"/>
    <s v="최보람"/>
    <s v="보도자료48"/>
    <s v="멸강나방 유충 발견 즉시 엘산·데니스 등으로 방제해야"/>
    <s v="농민신문"/>
    <d v="2019-05-29T00:00:00"/>
    <n v="8"/>
    <s v="09_농업전문지"/>
    <n v="1.5"/>
    <d v="2019-05-30T00:00:00"/>
  </r>
  <r>
    <n v="2238"/>
    <s v="8_국립축산과학원"/>
    <s v="0_본원"/>
    <x v="14"/>
    <s v="원정일"/>
    <s v="보도자료49"/>
    <s v="대관령 ‘한우떼’ 방목 화제"/>
    <s v="한국농촌경제신문"/>
    <d v="2019-05-29T00:00:00"/>
    <m/>
    <s v="09_농업전문지"/>
    <n v="1.5"/>
    <d v="2019-05-30T00:00:00"/>
  </r>
  <r>
    <n v="2239"/>
    <s v="8_국립축산과학원"/>
    <s v="1_축산생명환경부"/>
    <x v="7"/>
    <s v="이성대"/>
    <s v="보도자료52"/>
    <s v="‘가축더위지수’ 이제 휴대폰에서도 확인"/>
    <s v="동양일보"/>
    <d v="2019-05-29T00:00:00"/>
    <n v="11"/>
    <s v="09_지방일간지"/>
    <n v="1.5"/>
    <d v="2019-05-30T00:00:00"/>
  </r>
  <r>
    <n v="2240"/>
    <s v="8_국립축산과학원"/>
    <s v="2_축산자원개발부"/>
    <x v="8"/>
    <s v="김시동"/>
    <m/>
    <s v="“이제 축산도 과학이다…철저한 기록 관리 필요”"/>
    <s v="경기도민신문"/>
    <d v="2019-05-29T00:00:00"/>
    <n v="16"/>
    <s v="11_기타(지역주간지)"/>
    <n v="0.5"/>
    <d v="2019-05-30T00:00:00"/>
  </r>
  <r>
    <n v="2241"/>
    <s v="8_국립축산과학원"/>
    <s v="1_축산생명환경부"/>
    <x v="5"/>
    <s v="강선문"/>
    <s v="보도자료50"/>
    <s v="축산식품학회 제51차 국제정기학술대회 개최"/>
    <s v="보건뉴스"/>
    <d v="2019-05-28T00:00:00"/>
    <m/>
    <s v="13_인터넷포털"/>
    <n v="0.1"/>
    <d v="2019-05-30T00:00:00"/>
  </r>
  <r>
    <n v="2242"/>
    <s v="8_국립축산과학원"/>
    <s v="1_축산생명환경부"/>
    <x v="7"/>
    <s v="이성대"/>
    <m/>
    <s v="기상청·농진청, ‘국민디자인단’ 지원기관 선정"/>
    <s v="에코타임스"/>
    <d v="2019-05-29T00:00:00"/>
    <m/>
    <s v="13_인터넷포털"/>
    <n v="0.1"/>
    <d v="2019-05-30T00:00:00"/>
  </r>
  <r>
    <n v="2243"/>
    <s v="8_국립축산과학원"/>
    <s v="1_축산생명환경부"/>
    <x v="7"/>
    <s v="이성대"/>
    <m/>
    <s v="기상청·농진청, ‘국민디자인단’ 지원기관에 선정"/>
    <s v="에코저널"/>
    <d v="2019-05-29T00:00:00"/>
    <m/>
    <s v="13_인터넷포털"/>
    <n v="0.1"/>
    <d v="2019-05-30T00:00:00"/>
  </r>
  <r>
    <n v="2244"/>
    <s v="8_국립축산과학원"/>
    <s v="1_축산생명환경부"/>
    <x v="7"/>
    <s v="이성대"/>
    <s v="보도자료52"/>
    <s v="가축 더위 스트레스, 미리 예방하세요"/>
    <s v="오가닉라이프"/>
    <d v="2019-05-30T00:00:00"/>
    <m/>
    <s v="13_인터넷포털"/>
    <n v="0.1"/>
    <d v="2019-05-30T00:00:00"/>
  </r>
  <r>
    <n v="2245"/>
    <s v="8_국립축산과학원"/>
    <s v="1_축산생명환경부"/>
    <x v="7"/>
    <s v="백열창"/>
    <s v="기고"/>
    <s v="[기고] 백열창 연구사-사료...수분이 가장 중요하다!"/>
    <s v="월간축산"/>
    <d v="2019-05-01T00:00:00"/>
    <m/>
    <s v="17_농업전문지"/>
    <n v="8"/>
    <d v="2019-05-31T00:00:00"/>
  </r>
  <r>
    <n v="2246"/>
    <s v="8_국립축산과학원"/>
    <s v="1_축산생명환경부"/>
    <x v="7"/>
    <s v="이성대"/>
    <s v="보도자료52"/>
    <s v="‘가축 더위스트레스’ 정보 무료제공"/>
    <s v="한국임업신문"/>
    <d v="2019-05-30T00:00:00"/>
    <n v="7"/>
    <s v="09_농업전문지"/>
    <n v="1.5"/>
    <d v="2019-05-31T00:00:00"/>
  </r>
  <r>
    <n v="2247"/>
    <s v="8_국립축산과학원"/>
    <s v="0_본원"/>
    <x v="14"/>
    <s v="원정일"/>
    <s v="보도자료49"/>
    <s v="초지를 향해 달려나가는 한우들"/>
    <s v="축산경제"/>
    <d v="2019-05-27T00:00:00"/>
    <n v="1"/>
    <s v="09_농업전문지"/>
    <n v="1.5"/>
    <d v="2019-05-31T00:00:00"/>
  </r>
  <r>
    <n v="2248"/>
    <s v="8_국립축산과학원"/>
    <s v="1_축산생명환경부"/>
    <x v="9"/>
    <s v="권경석"/>
    <s v="보도자료46"/>
    <s v="“폐사 막아라”…축사 쿨링패드 설치하고 스프링클러 점검"/>
    <s v="농민신문"/>
    <d v="2019-05-31T00:00:00"/>
    <m/>
    <s v="09_농업전문지"/>
    <n v="1.5"/>
    <d v="2019-05-31T00:00:00"/>
  </r>
  <r>
    <n v="2249"/>
    <s v="8_국립축산과학원"/>
    <s v="0_본원"/>
    <x v="14"/>
    <s v="원정일"/>
    <s v="보도자료49"/>
    <s v="대관령 한우 ‘첫 나들이’"/>
    <s v="농민신문"/>
    <d v="2019-05-31T00:00:00"/>
    <m/>
    <s v="09_농업전문지"/>
    <n v="1.5"/>
    <d v="2019-05-31T00:00:00"/>
  </r>
  <r>
    <n v="2250"/>
    <s v="8_국립축산과학원"/>
    <s v="1_축산생명환경부"/>
    <x v="7"/>
    <s v="이성대"/>
    <s v="보도자료52"/>
    <s v="미리 보는 ‘가축 더위스트레스’로 폭염 대비해요"/>
    <s v="한국농촌경제신문"/>
    <d v="2019-05-31T00:00:00"/>
    <m/>
    <s v="09_농업전문지"/>
    <n v="1.5"/>
    <d v="2019-05-31T00:00:00"/>
  </r>
  <r>
    <n v="2251"/>
    <s v="8_국립축산과학원"/>
    <s v="1_축산생명환경부"/>
    <x v="9"/>
    <s v="김종복"/>
    <s v="보도자료33"/>
    <s v="송아지 폐사율 5%p 줄고 MSY 33.1% 늘어"/>
    <s v="월간축산"/>
    <d v="2019-05-01T00:00:00"/>
    <m/>
    <s v="09_농업전문지"/>
    <n v="1.5"/>
    <d v="2019-05-31T00:00:00"/>
  </r>
  <r>
    <n v="2252"/>
    <s v="8_국립축산과학원"/>
    <s v="2_축산자원개발부"/>
    <x v="0"/>
    <s v="문홍길"/>
    <m/>
    <s v="돼지 동결정액 유전자원 보존과 종돈 개량에 활용"/>
    <s v="월간축산"/>
    <d v="2019-05-01T00:00:00"/>
    <m/>
    <s v="09_농업전문지"/>
    <n v="1.5"/>
    <d v="2019-05-31T00:00:00"/>
  </r>
  <r>
    <n v="2253"/>
    <s v="8_국립축산과학원"/>
    <s v="2_축산자원개발부"/>
    <x v="8"/>
    <s v="최연호"/>
    <s v="보도자료39"/>
    <s v="체형 우수 젖소 수입 정액 씨수소 능력 종합적으로 검토해 사용해야"/>
    <s v="월간축산"/>
    <d v="2019-05-01T00:00:00"/>
    <m/>
    <s v="09_농업전문지"/>
    <n v="1.5"/>
    <d v="2019-05-31T00:00:00"/>
  </r>
  <r>
    <n v="2254"/>
    <s v="8_국립축산과학원"/>
    <s v="2_축산자원개발부"/>
    <x v="6"/>
    <s v="정종성"/>
    <s v="보도자료34"/>
    <s v="산지 초지 관리-방목 효과적으로 해야 초지 부실화 막아"/>
    <s v="월간축산"/>
    <d v="2019-05-01T00:00:00"/>
    <m/>
    <s v="09_농업전문지"/>
    <n v="1.5"/>
    <d v="2019-05-31T00:00:00"/>
  </r>
  <r>
    <n v="2255"/>
    <s v="8_국립축산과학원"/>
    <s v="1_축산생명환경부"/>
    <x v="7"/>
    <s v="백열창"/>
    <m/>
    <s v="조산 송아지 원기 회복 사양관리법은?"/>
    <s v="월간축산"/>
    <d v="2019-05-01T00:00:00"/>
    <m/>
    <s v="09_농업전문지"/>
    <n v="1.5"/>
    <d v="2019-05-31T00:00:00"/>
  </r>
  <r>
    <n v="2256"/>
    <s v="8_국립축산과학원"/>
    <s v="0_본원"/>
    <x v="13"/>
    <s v="정성훈"/>
    <m/>
    <s v="이천시, 맞춤형 종합컨설팅으로 청년 젖소농가 애로기술 해결"/>
    <s v="세계타임즈"/>
    <d v="2019-05-31T00:00:00"/>
    <m/>
    <s v="11_기타(지역주간지)"/>
    <n v="0.5"/>
    <d v="2019-05-31T00:00:00"/>
  </r>
  <r>
    <n v="2257"/>
    <s v="8_국립축산과학원"/>
    <s v="0_본원"/>
    <x v="13"/>
    <s v="정성훈"/>
    <m/>
    <s v="이천시, 맞춤형 종합컨설팅으로 청년 젖소농가 애로기술 해결"/>
    <s v="데일리와이"/>
    <d v="2019-05-31T00:00:00"/>
    <m/>
    <s v="13_인터넷포털"/>
    <n v="0.1"/>
    <d v="2019-05-31T00:00:00"/>
  </r>
  <r>
    <n v="2258"/>
    <s v="8_국립축산과학원"/>
    <s v="1_축산생명환경부"/>
    <x v="7"/>
    <s v="이슬"/>
    <s v="기고"/>
    <s v="[기고] 이슬 연구사-올바른 반추위 관리 방법"/>
    <s v="월간한우"/>
    <d v="2019-05-01T00:00:00"/>
    <s v="91-95"/>
    <s v="17_농업전문지"/>
    <n v="8"/>
    <d v="2019-05-31T00:00:00"/>
  </r>
  <r>
    <n v="2259"/>
    <s v="8_국립축산과학원"/>
    <s v="2_축산자원개발부"/>
    <x v="12"/>
    <s v="박지후"/>
    <s v="기고"/>
    <s v="[기고] 박지후 연구사-낙농가를 위한 혹서기 사양관리 방안"/>
    <s v="월간낙농"/>
    <d v="2019-05-01T00:00:00"/>
    <s v="56-59"/>
    <s v="18_월간지"/>
    <n v="4"/>
    <d v="2019-05-31T00:00:00"/>
  </r>
  <r>
    <n v="2260"/>
    <s v="8_국립축산과학원"/>
    <s v="1_축산생명환경부"/>
    <x v="9"/>
    <s v="곽정훈"/>
    <s v="기고"/>
    <s v="[기고] 곽정훈 과장-가축분뇨 적정 퇴·액비화는 기본을 지키는 것이 중요하다"/>
    <s v="Pig&amp;Pork 한돈"/>
    <d v="2019-05-01T00:00:00"/>
    <s v="376-383"/>
    <s v="18_월간지"/>
    <n v="4"/>
    <d v="2019-05-31T00:00:00"/>
  </r>
  <r>
    <n v="2261"/>
    <s v="8_국립축산과학원"/>
    <s v="0_본원"/>
    <x v="13"/>
    <s v="정성훈"/>
    <s v="보도자료29"/>
    <s v="한우농가 현장 맞춤형 상담 진행"/>
    <s v="월간한우"/>
    <d v="2019-05-01T00:00:00"/>
    <n v="170"/>
    <s v="09_농업전문지"/>
    <n v="1.5"/>
    <d v="2019-05-31T00:00:00"/>
  </r>
  <r>
    <n v="2262"/>
    <s v="8_국립축산과학원"/>
    <s v="0_본원"/>
    <x v="13"/>
    <s v="손지용"/>
    <s v="보도자료28"/>
    <s v="한우리로 농장 스마트하게 관리하자"/>
    <s v="월간한우"/>
    <d v="2019-05-01T00:00:00"/>
    <n v="171"/>
    <s v="09_농업전문지"/>
    <n v="1.5"/>
    <d v="2019-05-31T00:00:00"/>
  </r>
  <r>
    <n v="2263"/>
    <s v="8_국립축산과학원"/>
    <s v="2_축산자원개발부"/>
    <x v="6"/>
    <s v="정종성"/>
    <s v="보도자료34"/>
    <s v="산지초지 방목 관리로 고품질 풀 생산성 높여요!"/>
    <s v="월간낙농"/>
    <d v="2019-05-01T00:00:00"/>
    <s v="86-87"/>
    <s v="10_월간지"/>
    <n v="1"/>
    <d v="2019-05-31T00:00:00"/>
  </r>
  <r>
    <n v="2264"/>
    <s v="8_국립축산과학원"/>
    <s v="0_본원"/>
    <x v="2"/>
    <s v="박태완"/>
    <s v="보도자료35"/>
    <s v="축산정보서비스,'온라인 자문단'과 함께 만든다"/>
    <s v="월간낙농"/>
    <d v="2019-05-01T00:00:00"/>
    <n v="136"/>
    <s v="10_월간지"/>
    <n v="1"/>
    <d v="2019-05-31T00:00:00"/>
  </r>
  <r>
    <n v="2265"/>
    <s v="8_국립축산과학원"/>
    <s v="2_축산자원개발부"/>
    <x v="12"/>
    <s v="박성민,이지환"/>
    <m/>
    <s v="5월 사양관리"/>
    <s v="월간 낙농·육우"/>
    <d v="2019-05-01T00:00:00"/>
    <s v="178-181"/>
    <s v="10_월간지"/>
    <n v="1"/>
    <d v="2019-05-31T00:00:00"/>
  </r>
  <r>
    <n v="2266"/>
    <s v="8_국립축산과학원"/>
    <s v="0_본원"/>
    <x v="2"/>
    <s v="양창범"/>
    <m/>
    <s v="(축사) 미래를 내다보는 혜안으로 양돈산업의 올바른 방향을 제시해 주길"/>
    <s v="Pig&amp;Pork 한돈"/>
    <d v="2019-05-01T00:00:00"/>
    <n v="179"/>
    <s v="10_월간지"/>
    <n v="1"/>
    <d v="2019-05-31T00:00:00"/>
  </r>
  <r>
    <n v="2267"/>
    <s v="8_국립축산과학원"/>
    <s v="0_본원"/>
    <x v="2"/>
    <s v="김동훈"/>
    <s v="보도자료30"/>
    <s v="축산과학원, '첨단 축산','지속 가능 축산','복지 축산',안전 축산'연구에 박차"/>
    <s v="Pig&amp;Pork 한돈"/>
    <d v="2019-05-01T00:00:00"/>
    <n v="198"/>
    <s v="10_월간지"/>
    <n v="1"/>
    <d v="2019-05-31T00:00:00"/>
  </r>
  <r>
    <n v="2268"/>
    <s v="8_국립축산과학원"/>
    <s v="1_축산생명환경부"/>
    <x v="9"/>
    <s v="전중환"/>
    <m/>
    <s v="(사)한국축산학회/축산바로알리기연구회 공동심포지엄 개최"/>
    <s v="월간 Pig&amp;Consulting"/>
    <d v="2019-05-01T00:00:00"/>
    <s v="85-87"/>
    <s v="10_월간지"/>
    <n v="1"/>
    <d v="2019-05-31T00:00:00"/>
  </r>
  <r>
    <n v="2269"/>
    <s v="8_국립축산과학원"/>
    <s v="1_축산생명환경부"/>
    <x v="9"/>
    <s v="권경석"/>
    <s v="보도자료46"/>
    <s v="축사 환기·냉방 시설 미리 살피세요!"/>
    <s v="월간닭고기"/>
    <d v="2019-05-01T00:00:00"/>
    <s v="35-36"/>
    <s v="10_월간지"/>
    <n v="1"/>
    <d v="2019-05-31T00:00:00"/>
  </r>
  <r>
    <n v="2270"/>
    <s v="8_국립축산과학원"/>
    <s v="0_본원"/>
    <x v="11"/>
    <s v="문규철"/>
    <s v="보도자료44"/>
    <s v="국립축산과학원 내 축혼제 열어"/>
    <s v="월간닭고기"/>
    <d v="2019-05-01T00:00:00"/>
    <n v="36"/>
    <s v="10_월간지"/>
    <n v="1"/>
    <d v="2019-05-31T00:00:00"/>
  </r>
  <r>
    <n v="2271"/>
    <s v="8_국립축산과학원"/>
    <s v="0_본원"/>
    <x v="4"/>
    <s v="천동원"/>
    <s v="기고"/>
    <s v="[기고] 천동원 소장-축산현장 애로기술 해결 위한 닭 키우기[100문 100답] Q54-55"/>
    <s v="축산신문"/>
    <d v="2019-05-31T00:00:00"/>
    <n v="15"/>
    <s v="17_농업전문지"/>
    <n v="8"/>
    <d v="2019-06-03T00:00:00"/>
  </r>
  <r>
    <n v="2272"/>
    <s v="8_국립축산과학원"/>
    <s v="1_축산생명환경부"/>
    <x v="5"/>
    <s v="강선문"/>
    <s v="기고"/>
    <s v="[기고] 강선문 연구사-농가형 육가공 교육의 장, 소규모육가공연구회"/>
    <s v="농수축산신문"/>
    <d v="2019-05-31T00:00:00"/>
    <n v="13"/>
    <s v="17_농업전문지"/>
    <n v="8"/>
    <d v="2019-06-03T00:00:00"/>
  </r>
  <r>
    <n v="2273"/>
    <s v="8_국립축산과학원"/>
    <s v="1_축산생명환경부"/>
    <x v="7"/>
    <s v="이성대"/>
    <s v="보도자료52"/>
    <s v="농진청, 여름철 폭염 가축 관리 요령 휴대전화로 안내(9시 뉴스)"/>
    <s v="KBS전주"/>
    <d v="2019-05-27T00:00:00"/>
    <m/>
    <s v="02_TV-지방"/>
    <n v="4"/>
    <d v="2019-06-03T00:00:00"/>
  </r>
  <r>
    <n v="2274"/>
    <s v="8_국립축산과학원"/>
    <s v="1_축산생명환경부"/>
    <x v="7"/>
    <s v="이성대"/>
    <s v="보도자료52"/>
    <s v="가축 고온 피해, 폭염 예측해 선제 관리(뉴스745, 이유경 연구사 인터뷰)"/>
    <s v="OBS"/>
    <d v="2019-06-02T00:00:00"/>
    <m/>
    <s v="02_TV-지방"/>
    <n v="4"/>
    <d v="2019-06-03T00:00:00"/>
  </r>
  <r>
    <n v="2275"/>
    <s v="8_국립축산과학원"/>
    <s v="1_축산생명환경부"/>
    <x v="7"/>
    <s v="이성대"/>
    <s v="보도자료52"/>
    <s v="무더위 대비 가축기상정보시스템 구축(KBS NEWS)"/>
    <s v="KBS RADIO"/>
    <d v="2019-05-31T00:00:00"/>
    <m/>
    <s v="05_라디오-중앙"/>
    <n v="3"/>
    <d v="2019-06-03T00:00:00"/>
  </r>
  <r>
    <n v="2276"/>
    <s v="8_국립축산과학원"/>
    <s v="0_본원"/>
    <x v="14"/>
    <s v="원정일"/>
    <s v="보도자료49"/>
    <s v="‘초원으로 봄나들이 가자’...대관령 한우 올해 첫 방목"/>
    <s v="매일경제"/>
    <d v="2019-05-22T00:00:00"/>
    <m/>
    <s v="07_중앙일간지"/>
    <n v="5"/>
    <d v="2019-06-03T00:00:00"/>
  </r>
  <r>
    <n v="2277"/>
    <s v="8_국립축산과학원"/>
    <s v="1_축산생명환경부"/>
    <x v="7"/>
    <s v="이성대"/>
    <s v="보도자료52"/>
    <s v="농진청, 무더위 대비 휴대전화로 가축 사육 방법 제공"/>
    <s v="매일경제"/>
    <d v="2019-05-27T00:00:00"/>
    <m/>
    <s v="07_중앙일간지"/>
    <n v="5"/>
    <d v="2019-06-03T00:00:00"/>
  </r>
  <r>
    <n v="2278"/>
    <s v="8_국립축산과학원"/>
    <s v="1_축산생명환경부"/>
    <x v="5"/>
    <s v="강선문"/>
    <s v="보도자료50"/>
    <s v="축산에 첨단 기술을 더해... 미리 만나보는 식품의 미래"/>
    <s v="한국영농신문"/>
    <d v="2019-05-25T00:00:00"/>
    <m/>
    <s v="09_농업전문지"/>
    <n v="1.5"/>
    <d v="2019-06-03T00:00:00"/>
  </r>
  <r>
    <n v="2279"/>
    <s v="8_국립축산과학원"/>
    <s v="0_본원"/>
    <x v="2"/>
    <s v="이준엽"/>
    <s v="보도자료51"/>
    <s v="책임운영 최우수기관에 ‘축산과학원’"/>
    <s v="한국농어민신문"/>
    <d v="2019-05-31T00:00:00"/>
    <m/>
    <s v="09_농업전문지"/>
    <n v="1.5"/>
    <d v="2019-06-03T00:00:00"/>
  </r>
  <r>
    <n v="2280"/>
    <s v="8_국립축산과학원"/>
    <s v="1_축산생명환경부"/>
    <x v="7"/>
    <s v="이성대"/>
    <s v="보도자료52"/>
    <s v="미리 보는 ‘가축 더위스트레스’로 폭염 대비"/>
    <s v="농축유통신문"/>
    <d v="2019-05-31T00:00:00"/>
    <m/>
    <s v="09_농업전문지"/>
    <n v="1.5"/>
    <d v="2019-06-03T00:00:00"/>
  </r>
  <r>
    <n v="2281"/>
    <s v="8_국립축산과학원"/>
    <s v="1_축산생명환경부"/>
    <x v="7"/>
    <s v="이성대"/>
    <s v="보도자료52"/>
    <s v="미리 보는 ‘가축 더위스트레스’ 폭염 대비"/>
    <s v="농업인신문"/>
    <d v="2019-05-31T00:00:00"/>
    <m/>
    <s v="09_농업전문지"/>
    <n v="1.5"/>
    <d v="2019-06-03T00:00:00"/>
  </r>
  <r>
    <n v="2282"/>
    <s v="8_국립축산과학원"/>
    <s v="0_본원"/>
    <x v="2"/>
    <s v="양창범"/>
    <m/>
    <s v="(축사) 희망 축산의 길 여는데 신문고 역할 기대"/>
    <s v="농수축산신문"/>
    <d v="2019-05-31T00:00:00"/>
    <n v="10"/>
    <s v="09_농업전문지"/>
    <n v="1.5"/>
    <d v="2019-06-03T00:00:00"/>
  </r>
  <r>
    <n v="2283"/>
    <s v="8_국립축산과학원"/>
    <s v="0_본원"/>
    <x v="11"/>
    <s v="문규철"/>
    <s v="보도자료44"/>
    <s v="축산업 안녕 기원 ‘축혼제’"/>
    <s v="축산신문"/>
    <d v="2019-05-31T00:00:00"/>
    <n v="1"/>
    <s v="09_농업전문지"/>
    <n v="1.5"/>
    <d v="2019-06-03T00:00:00"/>
  </r>
  <r>
    <n v="2284"/>
    <s v="8_국립축산과학원"/>
    <s v="0_본원"/>
    <x v="2"/>
    <s v="이준엽"/>
    <s v="보도자료51"/>
    <s v="축산원, ‘최우수 책임운영기관’ 선정"/>
    <s v="축산신문"/>
    <d v="2019-05-31T00:00:00"/>
    <n v="3"/>
    <s v="09_농업전문지"/>
    <n v="1.5"/>
    <d v="2019-06-03T00:00:00"/>
  </r>
  <r>
    <n v="2285"/>
    <s v="8_국립축산과학원"/>
    <s v="0_본원"/>
    <x v="2"/>
    <s v="이준엽"/>
    <s v="보도자료51"/>
    <s v="축과원 최우수 책임운영기관 표창"/>
    <s v="양돈타임스"/>
    <d v="2019-05-30T00:00:00"/>
    <n v="14"/>
    <s v="09_농업전문지"/>
    <n v="1.5"/>
    <d v="2019-06-03T00:00:00"/>
  </r>
  <r>
    <n v="2286"/>
    <s v="8_국립축산과학원"/>
    <s v="0_본원"/>
    <x v="14"/>
    <s v="원정일"/>
    <s v="보도자료49"/>
    <s v="“이 순간을 기다렸다”…대관령 풀밭으로 나온 한우들"/>
    <s v="한국영농신문"/>
    <d v="2019-05-27T00:00:00"/>
    <n v="5"/>
    <s v="09_농업전문지"/>
    <n v="1.5"/>
    <d v="2019-06-03T00:00:00"/>
  </r>
  <r>
    <n v="2287"/>
    <s v="8_국립축산과학원"/>
    <s v="2_축산자원개발부"/>
    <x v="8"/>
    <s v="김시동"/>
    <m/>
    <s v="전국한우능력평가대회 참여농가 총회"/>
    <s v="농수축산신문"/>
    <d v="2019-05-31T00:00:00"/>
    <n v="14"/>
    <s v="09_농업전문지"/>
    <n v="1.5"/>
    <d v="2019-06-03T00:00:00"/>
  </r>
  <r>
    <n v="2288"/>
    <s v="8_국립축산과학원"/>
    <s v="0_본원"/>
    <x v="13"/>
    <s v="진현주"/>
    <m/>
    <s v="혁신기술 집약…‘최적화’ 제품 개발 공급"/>
    <s v="축산신문"/>
    <d v="2019-05-31T00:00:00"/>
    <n v="9"/>
    <s v="09_농업전문지"/>
    <n v="1.5"/>
    <d v="2019-06-03T00:00:00"/>
  </r>
  <r>
    <n v="2289"/>
    <s v="8_국립축산과학원"/>
    <s v="0_본원"/>
    <x v="14"/>
    <s v="원정일"/>
    <s v="보도자료49"/>
    <s v="대관령 한우 300마리 초지에 방목…5개월간 풀 먹고 성장"/>
    <s v="부산일보"/>
    <d v="2019-05-23T00:00:00"/>
    <m/>
    <s v="09_지방일간지"/>
    <n v="1.5"/>
    <d v="2019-06-03T00:00:00"/>
  </r>
  <r>
    <n v="2290"/>
    <s v="8_국립축산과학원"/>
    <s v="0_본원"/>
    <x v="2"/>
    <s v="이준엽"/>
    <s v="보도자료51"/>
    <s v="국립축산과학원, ‘최우수 책임운영기관’으로 선정"/>
    <s v="대전일보"/>
    <d v="2019-05-23T00:00:00"/>
    <m/>
    <s v="09_지방일간지"/>
    <n v="1.5"/>
    <d v="2019-06-03T00:00:00"/>
  </r>
  <r>
    <n v="2291"/>
    <s v="8_국립축산과학원"/>
    <s v="0_본원"/>
    <x v="14"/>
    <s v="원정일"/>
    <s v="보도자료49"/>
    <s v="한우 300마리, “우~ 대관령 풀밭으로 나왔소!”"/>
    <s v="정책브리핑"/>
    <d v="2019-05-23T00:00:00"/>
    <m/>
    <s v="12_대한민국 정책포털(korea.kr)"/>
    <n v="1"/>
    <d v="2019-06-03T00:00:00"/>
  </r>
  <r>
    <n v="2292"/>
    <s v="8_국립축산과학원"/>
    <s v="1_축산생명환경부"/>
    <x v="5"/>
    <s v="강선문"/>
    <s v="보도자료50"/>
    <s v="첨단 기술 더한 축산식품의 미래를 만나다"/>
    <s v="정책브리핑"/>
    <d v="2019-05-23T00:00:00"/>
    <m/>
    <s v="12_대한민국 정책포털(korea.kr)"/>
    <n v="1"/>
    <d v="2019-06-03T00:00:00"/>
  </r>
  <r>
    <n v="2293"/>
    <s v="8_국립축산과학원"/>
    <s v="0_본원"/>
    <x v="2"/>
    <s v="이준엽"/>
    <s v="보도자료51"/>
    <s v="국립축산과학원, ‘최우수 책임운영기관’으로 선정"/>
    <s v="정책브리핑"/>
    <d v="2019-05-23T00:00:00"/>
    <m/>
    <s v="12_대한민국 정책포털(korea.kr)"/>
    <n v="1"/>
    <d v="2019-06-03T00:00:00"/>
  </r>
  <r>
    <n v="2294"/>
    <s v="8_국립축산과학원"/>
    <s v="1_축산생명환경부"/>
    <x v="7"/>
    <s v="이성대"/>
    <s v="보도자료52"/>
    <s v="미리 보는 ‘가축 더위스트레스’로 폭염 대비해요"/>
    <s v="정책브리핑"/>
    <d v="2019-05-28T00:00:00"/>
    <m/>
    <s v="12_대한민국 정책포털(korea.kr)"/>
    <n v="1"/>
    <d v="2019-06-03T00:00:00"/>
  </r>
  <r>
    <n v="2295"/>
    <s v="8_국립축산과학원"/>
    <s v="0_본원"/>
    <x v="2"/>
    <s v="이준엽"/>
    <s v="보도자료51"/>
    <s v="축산과학원, 최우수 책임운영기관 선정"/>
    <s v="농축산기계"/>
    <d v="2019-05-27T00:00:00"/>
    <n v="4"/>
    <s v="10_기타전문지"/>
    <n v="1"/>
    <d v="2019-06-03T00:00:00"/>
  </r>
  <r>
    <n v="2296"/>
    <s v="8_국립축산과학원"/>
    <s v="2_축산자원개발부"/>
    <x v="6"/>
    <s v="최기준"/>
    <s v="보도자료45"/>
    <s v="사료작물 섞어 심기로 생산성 28% 향상"/>
    <s v="농축산기계"/>
    <d v="2019-05-27T00:00:00"/>
    <n v="5"/>
    <s v="10_기타전문지"/>
    <n v="1"/>
    <d v="2019-06-03T00:00:00"/>
  </r>
  <r>
    <n v="2297"/>
    <s v="8_국립축산과학원"/>
    <s v="1_축산생명환경부"/>
    <x v="9"/>
    <s v="권경석"/>
    <s v="보도자료46"/>
    <s v="“축사환기·냉방시설 미리 살펴야”"/>
    <s v="농축산기계"/>
    <d v="2019-05-27T00:00:00"/>
    <n v="12"/>
    <s v="10_기타전문지"/>
    <n v="1"/>
    <d v="2019-06-03T00:00:00"/>
  </r>
  <r>
    <n v="2298"/>
    <s v="8_국립축산과학원"/>
    <s v="0_본원"/>
    <x v="14"/>
    <s v="원정일"/>
    <s v="보도자료49"/>
    <s v="뛰어노는 소가 잔병이 없어유~"/>
    <s v="농축산기계"/>
    <d v="2019-05-27T00:00:00"/>
    <n v="12"/>
    <s v="10_기타전문지"/>
    <n v="1"/>
    <d v="2019-06-03T00:00:00"/>
  </r>
  <r>
    <n v="2299"/>
    <s v="8_국립축산과학원"/>
    <s v="0_본원"/>
    <x v="14"/>
    <s v="원정일"/>
    <s v="보도자료49"/>
    <s v="‘봄 나들이 나온 한우들’...대관령 한우연구소 한우 첫 방목"/>
    <s v="브릿지경제"/>
    <d v="2019-05-22T00:00:00"/>
    <m/>
    <s v="11_기타(지역주간지)"/>
    <n v="0.5"/>
    <d v="2019-06-03T00:00:00"/>
  </r>
  <r>
    <n v="2300"/>
    <s v="8_국립축산과학원"/>
    <s v="0_본원"/>
    <x v="13"/>
    <s v="정성훈"/>
    <m/>
    <s v="이천시, 맞춤형 종합컨설팅으로 청년 젖소농가 애로기술 해결"/>
    <s v="뉴스핌"/>
    <d v="2019-05-31T00:00:00"/>
    <m/>
    <s v="11_기타(지역주간지)"/>
    <n v="0.5"/>
    <d v="2019-06-03T00:00:00"/>
  </r>
  <r>
    <n v="2301"/>
    <s v="8_국립축산과학원"/>
    <s v="0_본원"/>
    <x v="14"/>
    <s v="원정일"/>
    <s v="보도자료49"/>
    <s v="한우 300마리, 대관령 풀밭 첫 방목"/>
    <s v="라이브뉴스"/>
    <d v="2019-05-22T00:00:00"/>
    <m/>
    <s v="13_인터넷포털"/>
    <n v="0.1"/>
    <d v="2019-06-03T00:00:00"/>
  </r>
  <r>
    <n v="2302"/>
    <s v="8_국립축산과학원"/>
    <s v="0_본원"/>
    <x v="14"/>
    <s v="원정일"/>
    <s v="보도자료49"/>
    <s v="농촌진흥청, 올해 첫 방목...5개월 간 초지 생활"/>
    <s v="KNS뉴스통신"/>
    <d v="2019-05-23T00:00:00"/>
    <m/>
    <s v="13_인터넷포털"/>
    <n v="0.1"/>
    <d v="2019-06-03T00:00:00"/>
  </r>
  <r>
    <n v="2303"/>
    <s v="8_국립축산과학원"/>
    <s v="0_본원"/>
    <x v="14"/>
    <s v="원정일"/>
    <s v="보도자료49"/>
    <s v="초원 달리는 한우들"/>
    <s v="디오데오"/>
    <d v="2019-05-22T00:00:00"/>
    <m/>
    <s v="13_인터넷포털"/>
    <n v="0.1"/>
    <d v="2019-06-03T00:00:00"/>
  </r>
  <r>
    <n v="2304"/>
    <s v="8_국립축산과학원"/>
    <s v="0_본원"/>
    <x v="14"/>
    <s v="원정일"/>
    <s v="보도자료49"/>
    <s v="대관령 한우 300마리 올해 첫 방목시작"/>
    <s v="시사줌뉴스"/>
    <d v="2019-05-22T00:00:00"/>
    <m/>
    <s v="13_인터넷포털"/>
    <n v="0.1"/>
    <d v="2019-06-03T00:00:00"/>
  </r>
  <r>
    <n v="2305"/>
    <s v="8_국립축산과학원"/>
    <s v="1_축산생명환경부"/>
    <x v="7"/>
    <s v="이성대"/>
    <s v="보도자료52"/>
    <s v="미리보는 ‘가축 더위스트레스’로 폭염 대비해요"/>
    <s v="가톨릭평화신문"/>
    <d v="2019-05-27T00:00:00"/>
    <m/>
    <s v="13_인터넷포털"/>
    <n v="0.1"/>
    <d v="2019-06-03T00:00:00"/>
  </r>
  <r>
    <n v="2306"/>
    <s v="8_국립축산과학원"/>
    <s v="0_본원"/>
    <x v="13"/>
    <s v="김창한"/>
    <m/>
    <s v="고온기 닭 사양관리, 알자 영농백서(영농과 날씨)"/>
    <s v="한국농업방송(NBS)"/>
    <d v="2019-05-31T00:00:00"/>
    <m/>
    <s v="03_TV-케이블지방"/>
    <n v="2.5"/>
    <d v="2019-06-04T00:00:00"/>
  </r>
  <r>
    <n v="2307"/>
    <s v="8_국립축산과학원"/>
    <s v="1_축산생명환경부"/>
    <x v="7"/>
    <s v="이성대"/>
    <s v="보도자료52"/>
    <s v="농진청 ‘가축 사육 기상정보시스템’ 제공"/>
    <s v="농축환경신문"/>
    <d v="2019-05-29T00:00:00"/>
    <n v="5"/>
    <s v="09_농업전문지"/>
    <n v="1.5"/>
    <d v="2019-06-04T00:00:00"/>
  </r>
  <r>
    <n v="2308"/>
    <s v="8_국립축산과학원"/>
    <s v="0_본원"/>
    <x v="2"/>
    <s v="이준엽"/>
    <s v="보도자료51"/>
    <s v="축산과학원, ‘최우수 책임운영기관’으로 선정"/>
    <s v="한국식품의약신문"/>
    <d v="2019-05-27T00:00:00"/>
    <n v="5"/>
    <s v="09_농업전문지"/>
    <n v="1.5"/>
    <d v="2019-06-04T00:00:00"/>
  </r>
  <r>
    <n v="2309"/>
    <s v="8_국립축산과학원"/>
    <s v="1_축산생명환경부"/>
    <x v="5"/>
    <s v="강선문"/>
    <s v="보도자료50"/>
    <s v="첨단 기술 더한 축산식품의 미래 만나다"/>
    <s v="한국식품의약신문"/>
    <d v="2019-05-27T00:00:00"/>
    <n v="14"/>
    <s v="09_농업전문지"/>
    <n v="1.5"/>
    <d v="2019-06-04T00:00:00"/>
  </r>
  <r>
    <n v="2310"/>
    <s v="8_국립축산과학원"/>
    <s v="0_본원"/>
    <x v="14"/>
    <s v="원정일"/>
    <s v="보도자료49"/>
    <s v="“우~ 대관령 풀밭으로 나왔소!”"/>
    <s v="한국식품의약신문"/>
    <d v="2019-05-27T00:00:00"/>
    <n v="1"/>
    <s v="09_농업전문지"/>
    <n v="1.5"/>
    <d v="2019-06-04T00:00:00"/>
  </r>
  <r>
    <n v="2311"/>
    <s v="8_국립축산과학원"/>
    <s v="0_본원"/>
    <x v="13"/>
    <s v="정성훈"/>
    <m/>
    <s v="이천시, 맞춤형 종합컨설팅으로 청년 젖소농가 애로기술 해결"/>
    <s v="대한투데이"/>
    <d v="2019-06-03T00:00:00"/>
    <n v="9"/>
    <s v="09_지방일간지"/>
    <n v="1.5"/>
    <d v="2019-06-04T00:00:00"/>
  </r>
  <r>
    <n v="2312"/>
    <s v="8_국립축산과학원"/>
    <s v="0_본원"/>
    <x v="13"/>
    <s v="정성훈"/>
    <m/>
    <s v="이천시, 청년 젖소농가 대상 맞춤형 종합컨설팅 실시"/>
    <s v="경인일보"/>
    <d v="2019-06-02T00:00:00"/>
    <m/>
    <s v="09_지방일간지"/>
    <n v="1.5"/>
    <d v="2019-06-04T00:00:00"/>
  </r>
  <r>
    <n v="2313"/>
    <s v="8_국립축산과학원"/>
    <s v="1_축산생명환경부"/>
    <x v="9"/>
    <s v="전중환"/>
    <m/>
    <s v="동물복지 축산물 활성화 위해서 이해관계자간 사회적 합의 필요"/>
    <s v="한국양돈신문"/>
    <d v="2019-05-28T00:00:00"/>
    <n v="5"/>
    <s v="10_기타전문지"/>
    <n v="1"/>
    <d v="2019-06-04T00:00:00"/>
  </r>
  <r>
    <n v="2314"/>
    <s v="8_국립축산과학원"/>
    <s v="2_축산자원개발부"/>
    <x v="0"/>
    <s v="홍준기"/>
    <s v="보도자료47"/>
    <s v="돼지다리 튼튼해야 잘 크고 오래 살아"/>
    <s v="한국양돈신문"/>
    <d v="2019-05-28T00:00:00"/>
    <n v="7"/>
    <s v="10_기타전문지"/>
    <n v="1"/>
    <d v="2019-06-04T00:00:00"/>
  </r>
  <r>
    <n v="2315"/>
    <s v="8_국립축산과학원"/>
    <s v="0_본원"/>
    <x v="13"/>
    <s v="정성훈"/>
    <m/>
    <s v="이천시, 맞춤형 종합컨설팅으로 청년 젖소농가 애로기술 해결"/>
    <s v="경인매일"/>
    <d v="2019-06-03T00:00:00"/>
    <n v="10"/>
    <s v="11_기타(지역주간지)"/>
    <n v="0.5"/>
    <d v="2019-06-04T00:00:00"/>
  </r>
  <r>
    <n v="2316"/>
    <s v="8_국립축산과학원"/>
    <s v="0_본원"/>
    <x v="13"/>
    <s v="정성훈"/>
    <m/>
    <s v="이천시, 맞춤형 종합컨설팅으로 청년 젖소농가 애로기술 해결"/>
    <s v="경기인터넷신문"/>
    <d v="2019-05-31T00:00:00"/>
    <m/>
    <s v="13_인터넷포털"/>
    <n v="0.1"/>
    <d v="2019-06-04T00:00:00"/>
  </r>
  <r>
    <n v="2317"/>
    <s v="8_국립축산과학원"/>
    <s v="0_본원"/>
    <x v="13"/>
    <s v="정성훈"/>
    <m/>
    <s v="이천시, 맞춤형 종합컨설팅으로 청년 젖소농가 애로기술 해결"/>
    <s v="케이에스피뉴스"/>
    <d v="2019-05-31T00:00:00"/>
    <m/>
    <s v="13_인터넷포털"/>
    <n v="0.1"/>
    <d v="2019-06-04T00:00:00"/>
  </r>
  <r>
    <n v="2318"/>
    <s v="8_국립축산과학원"/>
    <s v="0_본원"/>
    <x v="13"/>
    <s v="정성훈"/>
    <m/>
    <s v="이천시, 맞춤형 종합컨설팅으로 청년 젖소농가 애로기술 해결"/>
    <s v="미디어투데이"/>
    <d v="2019-05-31T00:00:00"/>
    <m/>
    <s v="13_인터넷포털"/>
    <n v="0.1"/>
    <d v="2019-06-04T00:00:00"/>
  </r>
  <r>
    <n v="2319"/>
    <s v="8_국립축산과학원"/>
    <s v="0_본원"/>
    <x v="13"/>
    <s v="정성훈"/>
    <m/>
    <s v="이천시, 맞춤형 종합컨설팅으로 청년 젖소농가 애로기술 해결"/>
    <s v="경기인터넷신문"/>
    <d v="2019-05-31T00:00:00"/>
    <m/>
    <s v="13_인터넷포털"/>
    <n v="0.1"/>
    <d v="2019-06-04T00:00:00"/>
  </r>
  <r>
    <n v="2320"/>
    <s v="8_국립축산과학원"/>
    <s v="0_본원"/>
    <x v="13"/>
    <s v="정성훈"/>
    <m/>
    <s v="이천시, 맞춤형 종합컨설팅으로 청년 젖소농가 애로기술 해결"/>
    <s v="뉴스후"/>
    <d v="2019-05-31T00:00:00"/>
    <m/>
    <s v="13_인터넷포털"/>
    <n v="0.1"/>
    <d v="2019-06-04T00:00:00"/>
  </r>
  <r>
    <n v="2321"/>
    <s v="8_국립축산과학원"/>
    <s v="0_본원"/>
    <x v="13"/>
    <s v="정성훈"/>
    <m/>
    <s v="이천시, 맞춤형 종합컨설팅으로 청년 젖소농가 애로기술 해결"/>
    <s v="중부뉴스통신"/>
    <d v="2019-05-31T00:00:00"/>
    <m/>
    <s v="13_인터넷포털"/>
    <n v="0.1"/>
    <d v="2019-06-04T00:00:00"/>
  </r>
  <r>
    <n v="2322"/>
    <s v="8_국립축산과학원"/>
    <s v="0_본원"/>
    <x v="13"/>
    <s v="정성훈"/>
    <m/>
    <s v="이천시, 맞춤형 종합컨설팅으로 청년 젖소농가 애로기술 해결"/>
    <s v="IPN뉴스"/>
    <d v="2019-05-31T00:00:00"/>
    <m/>
    <s v="13_인터넷포털"/>
    <n v="0.1"/>
    <d v="2019-06-04T00:00:00"/>
  </r>
  <r>
    <n v="2323"/>
    <s v="8_국립축산과학원"/>
    <s v="0_본원"/>
    <x v="13"/>
    <s v="정성훈"/>
    <m/>
    <s v="이천시, 맞춤형 종합컨설팅으로 청년 젖소농가 애로기술 해결"/>
    <s v="머니투데이방송"/>
    <d v="2019-05-31T00:00:00"/>
    <m/>
    <s v="13_인터넷포털"/>
    <n v="0.1"/>
    <d v="2019-06-04T00:00:00"/>
  </r>
  <r>
    <n v="2324"/>
    <s v="8_국립축산과학원"/>
    <s v="1_축산생명환경부"/>
    <x v="7"/>
    <s v="이성대"/>
    <s v="보도자료52"/>
    <s v="폭염 예측할 수 있는 ‘가축 사육 기상정보시스템’"/>
    <s v="농업경제신문"/>
    <d v="2019-05-31T00:00:00"/>
    <m/>
    <s v="13_인터넷포털"/>
    <n v="0.1"/>
    <d v="2019-06-04T00:00:00"/>
  </r>
  <r>
    <n v="2325"/>
    <s v="8_국립축산과학원"/>
    <s v="0_본원"/>
    <x v="13"/>
    <s v="정성훈"/>
    <m/>
    <s v="이천시, 맞춤형 종합컨설팅 실시"/>
    <s v="미디어연합"/>
    <d v="2019-05-31T00:00:00"/>
    <m/>
    <s v="13_인터넷포털"/>
    <n v="0.1"/>
    <d v="2019-06-04T00:00:00"/>
  </r>
  <r>
    <n v="2326"/>
    <s v="8_국립축산과학원"/>
    <s v="0_본원"/>
    <x v="13"/>
    <s v="정성훈"/>
    <m/>
    <s v="이천시, 맞춤형 종합컨설팅 열어"/>
    <s v="뉴스타운"/>
    <d v="2019-05-31T00:00:00"/>
    <m/>
    <s v="13_인터넷포털"/>
    <n v="0.1"/>
    <d v="2019-06-04T00:00:00"/>
  </r>
  <r>
    <n v="2327"/>
    <s v="8_국립축산과학원"/>
    <s v="0_본원"/>
    <x v="13"/>
    <s v="정성훈"/>
    <m/>
    <s v="이천시, 맞춤형 종합컨설팅으로 청년 젖소농가 현안점 해결"/>
    <s v="국제뉴스"/>
    <d v="2019-05-31T00:00:00"/>
    <m/>
    <s v="13_인터넷포털"/>
    <n v="0.1"/>
    <d v="2019-06-04T00:00:00"/>
  </r>
  <r>
    <n v="2328"/>
    <s v="8_국립축산과학원"/>
    <s v="0_본원"/>
    <x v="13"/>
    <s v="정성훈"/>
    <m/>
    <s v="이천시, 맞춤형 종합컨설팅으로 청년 젖소농가 애로기술 해결"/>
    <s v="이천뉴스"/>
    <d v="2019-05-31T00:00:00"/>
    <m/>
    <s v="13_인터넷포털"/>
    <n v="0.1"/>
    <d v="2019-06-04T00:00:00"/>
  </r>
  <r>
    <n v="2329"/>
    <s v="8_국립축산과학원"/>
    <s v="1_축산생명환경부"/>
    <x v="9"/>
    <s v="전중환"/>
    <m/>
    <s v="공장식 사육·동물마루타 근절…급변하는 동물복지 아젠다"/>
    <s v="스카이데일리"/>
    <d v="2019-06-03T00:00:00"/>
    <m/>
    <s v="13_인터넷포털"/>
    <n v="0.1"/>
    <d v="2019-06-04T00:00:00"/>
  </r>
  <r>
    <n v="2330"/>
    <s v="8_국립축산과학원"/>
    <s v="2_축산자원개발부"/>
    <x v="6"/>
    <s v="김원호"/>
    <m/>
    <s v="경주시, 한우가 좋아하는 신품종 풀 사료 ‘이탈리안라이그라스’ 종자 보급"/>
    <s v="CBN뉴스"/>
    <d v="2019-06-04T00:00:00"/>
    <m/>
    <s v="13_인터넷포털"/>
    <n v="0.1"/>
    <d v="2019-06-04T00:00:00"/>
  </r>
  <r>
    <n v="2331"/>
    <s v="8_국립축산과학원"/>
    <s v="2_축산자원개발부"/>
    <x v="6"/>
    <s v="김원호"/>
    <m/>
    <s v="경주시, 사료작물 ‘이탈리안라이그래스’ 종자 보급 추진"/>
    <s v="쿠키뉴스"/>
    <d v="2019-06-04T00:00:00"/>
    <m/>
    <s v="13_인터넷포털"/>
    <n v="0.1"/>
    <d v="2019-06-04T00:00:00"/>
  </r>
  <r>
    <n v="2332"/>
    <s v="8_국립축산과학원"/>
    <s v="0_본원"/>
    <x v="4"/>
    <s v="천동원"/>
    <s v="기고"/>
    <s v="[기고] 천동원 소장-축산현장 애로기술 해결 위한 닭 키우기[100문 100답] Q56,57"/>
    <s v="축산신문"/>
    <d v="2019-06-04T00:00:00"/>
    <n v="15"/>
    <s v="17_농업전문지"/>
    <n v="8"/>
    <d v="2019-06-05T00:00:00"/>
  </r>
  <r>
    <n v="2333"/>
    <s v="8_국립축산과학원"/>
    <s v="2_축산자원개발부"/>
    <x v="6"/>
    <s v="김원호"/>
    <m/>
    <s v="경주시, 한우가 좋아하는 풀 사료 ‘이탈리안라이그라스’ 종자 보급"/>
    <s v="아시아뉴스통신"/>
    <d v="2019-06-04T00:00:00"/>
    <m/>
    <s v="07_중앙일간지"/>
    <n v="5"/>
    <d v="2019-06-05T00:00:00"/>
  </r>
  <r>
    <n v="2334"/>
    <s v="8_국립축산과학원"/>
    <s v="2_축산자원개발부"/>
    <x v="6"/>
    <s v="김원호"/>
    <m/>
    <s v="경주시, 한우 풀 사료 ‘이탈리안라이그라스’ 종자 보급"/>
    <s v="매일일보"/>
    <d v="2019-06-04T00:00:00"/>
    <m/>
    <s v="08_기타일간지"/>
    <n v="2"/>
    <d v="2019-06-05T00:00:00"/>
  </r>
  <r>
    <n v="2335"/>
    <s v="8_국립축산과학원"/>
    <s v="2_축산자원개발부"/>
    <x v="6"/>
    <s v="김원호"/>
    <m/>
    <s v="경주시 이탈리안라이그리스 종자 보급"/>
    <s v="환경일보"/>
    <d v="2019-06-04T00:00:00"/>
    <m/>
    <s v="08_기타일간지"/>
    <n v="2"/>
    <d v="2019-06-05T00:00:00"/>
  </r>
  <r>
    <n v="2336"/>
    <s v="8_국립축산과학원"/>
    <s v="0_본원"/>
    <x v="2"/>
    <s v="이준엽"/>
    <s v="보도자료51"/>
    <s v="돼지 다리건강 확인 매뉴얼 만든다"/>
    <s v="축산신문"/>
    <d v="2019-06-04T00:00:00"/>
    <n v="6"/>
    <s v="09_농업전문지"/>
    <n v="1.5"/>
    <d v="2019-06-05T00:00:00"/>
  </r>
  <r>
    <n v="2337"/>
    <s v="8_국립축산과학원"/>
    <s v="1_축산생명환경부"/>
    <x v="7"/>
    <s v="이성대"/>
    <s v="보도자료52"/>
    <s v="농진청, 사육 기상정보시스템 개선"/>
    <s v="한국농기계신문"/>
    <d v="2019-05-31T00:00:00"/>
    <n v="12"/>
    <s v="09_농업전문지"/>
    <n v="1.5"/>
    <d v="2019-06-05T00:00:00"/>
  </r>
  <r>
    <n v="2338"/>
    <s v="8_국립축산과학원"/>
    <s v="2_축산자원개발부"/>
    <x v="6"/>
    <s v="김원호"/>
    <m/>
    <s v="경주시, 신품종 이탈리안라이그라스 종자 보급"/>
    <s v="도민일보"/>
    <d v="2019-06-04T00:00:00"/>
    <m/>
    <s v="09_지방일간지"/>
    <n v="1.5"/>
    <d v="2019-06-05T00:00:00"/>
  </r>
  <r>
    <n v="2339"/>
    <s v="8_국립축산과학원"/>
    <s v="2_축산자원개발부"/>
    <x v="6"/>
    <s v="김원호"/>
    <m/>
    <s v="경주농기센터, 이탈리안 라이그라스 종자 보급"/>
    <s v="경북도민일보"/>
    <d v="2019-06-04T00:00:00"/>
    <m/>
    <s v="09_지방일간지"/>
    <n v="1.5"/>
    <d v="2019-06-05T00:00:00"/>
  </r>
  <r>
    <n v="2340"/>
    <s v="8_국립축산과학원"/>
    <s v="2_축산자원개발부"/>
    <x v="6"/>
    <s v="김원호"/>
    <m/>
    <s v="경주시, 한우가 좋아하는 풀 사료 ‘이탈리안라이그라스’ 종자 보급"/>
    <s v="시대일보"/>
    <d v="2019-06-04T00:00:00"/>
    <m/>
    <s v="09_지방일간지"/>
    <n v="1.5"/>
    <d v="2019-06-05T00:00:00"/>
  </r>
  <r>
    <n v="2341"/>
    <s v="8_국립축산과학원"/>
    <s v="2_축산자원개발부"/>
    <x v="6"/>
    <s v="김원호"/>
    <m/>
    <s v="경주시, ‘한우가 좋아하는 사료’ 농가 보급"/>
    <s v="경북매일"/>
    <d v="2019-06-04T00:00:00"/>
    <m/>
    <s v="09_지방일간지"/>
    <n v="1.5"/>
    <d v="2019-06-05T00:00:00"/>
  </r>
  <r>
    <n v="2342"/>
    <s v="8_국립축산과학원"/>
    <s v="2_축산자원개발부"/>
    <x v="6"/>
    <s v="김원호"/>
    <m/>
    <s v="영양소 높고 부드러운 소사료 생산"/>
    <s v="경안일보"/>
    <d v="2019-06-04T00:00:00"/>
    <m/>
    <s v="09_지방일간지"/>
    <n v="1.5"/>
    <d v="2019-06-05T00:00:00"/>
  </r>
  <r>
    <n v="2343"/>
    <s v="8_국립축산과학원"/>
    <s v="2_축산자원개발부"/>
    <x v="6"/>
    <s v="김원호"/>
    <m/>
    <s v="경주시, ‘이탈리안라이그라스’ 종자 보급"/>
    <s v="일요서울"/>
    <d v="2019-06-05T00:00:00"/>
    <m/>
    <s v="10_주간지"/>
    <n v="1"/>
    <d v="2019-06-05T00:00:00"/>
  </r>
  <r>
    <n v="2344"/>
    <s v="8_국립축산과학원"/>
    <s v="2_축산자원개발부"/>
    <x v="6"/>
    <s v="김원호"/>
    <m/>
    <s v="경주시, 한우가 선호하는 ‘이탈리안라이그라스’ 종자 보급"/>
    <s v="뉴스웨이"/>
    <d v="2019-06-05T00:00:00"/>
    <m/>
    <s v="10_주간지"/>
    <n v="1"/>
    <d v="2019-06-05T00:00:00"/>
  </r>
  <r>
    <n v="2345"/>
    <s v="8_국립축산과학원"/>
    <s v="2_축산자원개발부"/>
    <x v="6"/>
    <s v="김원호"/>
    <m/>
    <s v="경주시, 한우가 좋아하는 풀 사료 이탈리안라이그라스 종자 보급"/>
    <s v="경북일일신문"/>
    <d v="2019-06-04T00:00:00"/>
    <m/>
    <s v="11_기타(지역주간지)"/>
    <n v="0.5"/>
    <d v="2019-06-05T00:00:00"/>
  </r>
  <r>
    <n v="2346"/>
    <s v="8_국립축산과학원"/>
    <s v="2_축산자원개발부"/>
    <x v="6"/>
    <s v="김원호"/>
    <m/>
    <s v="경주시, 한우가 좋아하는 풀 사료 종자 보급"/>
    <s v="시사코리아저널"/>
    <d v="2019-06-05T00:00:00"/>
    <m/>
    <s v="11_기타(지역주간지)"/>
    <n v="0.5"/>
    <d v="2019-06-05T00:00:00"/>
  </r>
  <r>
    <n v="2347"/>
    <s v="8_국립축산과학원"/>
    <s v="2_축산자원개발부"/>
    <x v="6"/>
    <s v="김원호"/>
    <m/>
    <s v="경주시, 명품 한우의 원천... ‘이탈리안 라이그라스’ 종자 보급"/>
    <s v="NSP통신"/>
    <d v="2019-06-04T00:00:00"/>
    <m/>
    <s v="13_인터넷포털"/>
    <n v="0.1"/>
    <d v="2019-06-05T00:00:00"/>
  </r>
  <r>
    <n v="2348"/>
    <s v="8_국립축산과학원"/>
    <s v="2_축산자원개발부"/>
    <x v="6"/>
    <s v="김원호"/>
    <m/>
    <s v="경주농업기술센터, 한우 풀 사료 ‘이탈리안 라이그라스’ 축산 농가 보급"/>
    <s v="프레시안"/>
    <d v="2019-06-04T00:00:00"/>
    <m/>
    <s v="13_인터넷포털"/>
    <n v="0.1"/>
    <d v="2019-06-05T00:00:00"/>
  </r>
  <r>
    <n v="2349"/>
    <s v="8_국립축산과학원"/>
    <s v="2_축산자원개발부"/>
    <x v="6"/>
    <s v="김원호"/>
    <m/>
    <s v="경주시, 한우가 좋아하는 풀 사료 ‘이탈리안라이그라스’ 종자 보급"/>
    <s v="GBN경북방송"/>
    <d v="2019-06-04T00:00:00"/>
    <m/>
    <s v="13_인터넷포털"/>
    <n v="0.1"/>
    <d v="2019-06-05T00:00:00"/>
  </r>
  <r>
    <n v="2350"/>
    <s v="8_국립축산과학원"/>
    <s v="2_축산자원개발부"/>
    <x v="6"/>
    <s v="김원호"/>
    <m/>
    <s v="경주시, 한우가 좋아하는 풀 사료 ‘이탈리안라이그라스’ 종자 보급"/>
    <s v="경인투데이뉴스"/>
    <d v="2019-06-04T00:00:00"/>
    <m/>
    <s v="13_인터넷포털"/>
    <n v="0.1"/>
    <d v="2019-06-05T00:00:00"/>
  </r>
  <r>
    <n v="2351"/>
    <s v="8_국립축산과학원"/>
    <s v="2_축산자원개발부"/>
    <x v="6"/>
    <s v="김원호"/>
    <m/>
    <s v="경주시, 한우가 좋아하는 풀 사료 ‘이탈리안라이그라스’ 종자 보급"/>
    <s v="드림저널"/>
    <d v="2019-06-04T00:00:00"/>
    <m/>
    <s v="13_인터넷포털"/>
    <n v="0.1"/>
    <d v="2019-06-05T00:00:00"/>
  </r>
  <r>
    <n v="2352"/>
    <s v="8_국립축산과학원"/>
    <s v="2_축산자원개발부"/>
    <x v="6"/>
    <s v="김원호"/>
    <m/>
    <s v="경주시, ‘이탈리안라이그라스’ 종자 보급"/>
    <s v="브레이크뉴스"/>
    <d v="2019-06-04T00:00:00"/>
    <m/>
    <s v="13_인터넷포털"/>
    <n v="0.1"/>
    <d v="2019-06-05T00:00:00"/>
  </r>
  <r>
    <n v="2353"/>
    <s v="8_국립축산과학원"/>
    <s v="2_축산자원개발부"/>
    <x v="6"/>
    <s v="김원호"/>
    <m/>
    <s v="경주시농업기술센터, 한우가 좋아하는 풀 사료 ‘이탈리안라이그라스’ 종자 보급"/>
    <s v="프라임경북뉴스"/>
    <d v="2019-06-04T00:00:00"/>
    <m/>
    <s v="13_인터넷포털"/>
    <n v="0.1"/>
    <d v="2019-06-05T00:00:00"/>
  </r>
  <r>
    <n v="2354"/>
    <s v="8_국립축산과학원"/>
    <s v="2_축산자원개발부"/>
    <x v="6"/>
    <s v="김원호"/>
    <m/>
    <s v="경주시, 한우가 좋아하는 풀 사료 ‘이탈리안라이그라스’ 종자 보급"/>
    <s v="중부뉴스통신"/>
    <d v="2019-06-04T00:00:00"/>
    <m/>
    <s v="13_인터넷포털"/>
    <n v="0.1"/>
    <d v="2019-06-05T00:00:00"/>
  </r>
  <r>
    <n v="2355"/>
    <s v="8_국립축산과학원"/>
    <s v="2_축산자원개발부"/>
    <x v="6"/>
    <s v="김원호"/>
    <m/>
    <s v="경주농기센터, 한우 사료 이탈리안라이그라스 종자 보급"/>
    <s v="동양뉴스통신"/>
    <d v="2019-06-04T00:00:00"/>
    <m/>
    <s v="13_인터넷포털"/>
    <n v="0.1"/>
    <d v="2019-06-05T00:00:00"/>
  </r>
  <r>
    <n v="2356"/>
    <s v="8_국립축산과학원"/>
    <s v="0_본원"/>
    <x v="13"/>
    <s v="김창한"/>
    <s v="보도자료53"/>
    <s v="농진청 ‘20도 넘어가면 한우 사료량 줄여야’"/>
    <s v="아주경제"/>
    <d v="2019-06-06T00:00:00"/>
    <m/>
    <s v="07_중앙일간지"/>
    <n v="5"/>
    <d v="2019-06-07T00:00:00"/>
  </r>
  <r>
    <n v="2357"/>
    <s v="8_국립축산과학원"/>
    <s v="0_본원"/>
    <x v="13"/>
    <s v="김창한"/>
    <s v="보도자료53"/>
    <s v="농진청 ‘더울수록 가축 먹이·환경 관리 신경써야’"/>
    <s v="연합뉴스"/>
    <d v="2019-06-06T00:00:00"/>
    <m/>
    <s v="07_중앙일간지"/>
    <n v="5"/>
    <d v="2019-06-07T00:00:00"/>
  </r>
  <r>
    <n v="2358"/>
    <s v="8_국립축산과학원"/>
    <s v="0_본원"/>
    <x v="11"/>
    <s v="왕희상"/>
    <m/>
    <s v="혁신도시 공공기관 회의실·수영장·주차장, 지역민에 개방"/>
    <s v="서울신문"/>
    <d v="2019-06-06T00:00:00"/>
    <m/>
    <s v="07_중앙일간지"/>
    <n v="5"/>
    <d v="2019-06-07T00:00:00"/>
  </r>
  <r>
    <n v="2359"/>
    <s v="8_국립축산과학원"/>
    <s v="0_본원"/>
    <x v="11"/>
    <s v="왕희상"/>
    <m/>
    <s v="전국 혁신도시, 회의실·수영장 등 공공시설 주민에 개방"/>
    <s v="아시아경제"/>
    <d v="2019-06-06T00:00:00"/>
    <m/>
    <s v="07_중앙일간지"/>
    <n v="5"/>
    <d v="2019-06-07T00:00:00"/>
  </r>
  <r>
    <n v="2360"/>
    <s v="8_국립축산과학원"/>
    <s v="2_축산자원개발부"/>
    <x v="6"/>
    <s v="최보람"/>
    <s v="보도자료48"/>
    <s v="‘멸강나방’ 올봄 평균기온 높아 애벌레 발생 늘어"/>
    <s v="농축유통신문"/>
    <d v="2019-06-03T00:00:00"/>
    <n v="8"/>
    <s v="09_농업전문지"/>
    <n v="1.5"/>
    <d v="2019-06-07T00:00:00"/>
  </r>
  <r>
    <n v="2361"/>
    <s v="8_국립축산과학원"/>
    <s v="2_축산자원개발부"/>
    <x v="6"/>
    <s v="김원호"/>
    <m/>
    <s v="경주시농업기술센터 이탈리안라이그라스 종자 채종작업 실시"/>
    <s v="대구광역일보"/>
    <d v="2019-06-05T00:00:00"/>
    <n v="8"/>
    <s v="09_지방일간지"/>
    <n v="1.5"/>
    <d v="2019-06-07T00:00:00"/>
  </r>
  <r>
    <n v="2362"/>
    <s v="8_국립축산과학원"/>
    <s v="2_축산자원개발부"/>
    <x v="6"/>
    <s v="김원호"/>
    <m/>
    <s v="한우가 좋아하는 풀 사료 종자 보급"/>
    <s v="대구경북일보"/>
    <d v="2019-06-05T00:00:00"/>
    <n v="8"/>
    <s v="11_기타(지역주간지)"/>
    <n v="0.5"/>
    <d v="2019-06-07T00:00:00"/>
  </r>
  <r>
    <n v="2363"/>
    <s v="8_국립축산과학원"/>
    <s v="2_축산자원개발부"/>
    <x v="6"/>
    <s v="김원호"/>
    <m/>
    <s v="그린팜 보급…한우 웃고 농가 소득도 ‘쑥쑥’"/>
    <s v="경상매일신문"/>
    <d v="2019-06-05T00:00:00"/>
    <n v="9"/>
    <s v="09_지방일간지"/>
    <n v="1.5"/>
    <d v="2019-06-07T00:00:00"/>
  </r>
  <r>
    <n v="2364"/>
    <s v="8_국립축산과학원"/>
    <s v="2_축산자원개발부"/>
    <x v="6"/>
    <s v="김원호"/>
    <m/>
    <s v="경주농기센터 “한우 풀 사료 재배해요”"/>
    <s v="경상투데이"/>
    <d v="2019-06-05T00:00:00"/>
    <n v="5"/>
    <s v="09_지방일간지"/>
    <n v="1.5"/>
    <d v="2019-06-07T00:00:00"/>
  </r>
  <r>
    <n v="2365"/>
    <s v="8_국립축산과학원"/>
    <s v="2_축산자원개발부"/>
    <x v="6"/>
    <s v="김원호"/>
    <m/>
    <s v="한우가 좋아하는 풀 ‘이탈리안라이그라스’ 종자 보급"/>
    <s v="일간경북신문"/>
    <d v="2019-06-05T00:00:00"/>
    <n v="9"/>
    <s v="09_지방일간지"/>
    <n v="1.5"/>
    <d v="2019-06-07T00:00:00"/>
  </r>
  <r>
    <n v="2366"/>
    <s v="8_국립축산과학원"/>
    <s v="2_축산자원개발부"/>
    <x v="6"/>
    <s v="김원호"/>
    <m/>
    <s v="‘이탈리안 라이그라스’ 종자 채종작업"/>
    <s v="경북연합일보"/>
    <d v="2019-06-05T00:00:00"/>
    <n v="3"/>
    <s v="09_지방일간지"/>
    <n v="1.5"/>
    <d v="2019-06-07T00:00:00"/>
  </r>
  <r>
    <n v="2367"/>
    <s v="8_국립축산과학원"/>
    <s v="0_본원"/>
    <x v="11"/>
    <s v="왕희상"/>
    <m/>
    <s v="혁신도시 공공기관 회의실·수영장·주차장, 지역민에 개방"/>
    <s v="전북도민일보"/>
    <d v="2019-06-06T00:00:00"/>
    <m/>
    <s v="09_지방일간지"/>
    <n v="1.5"/>
    <d v="2019-06-07T00:00:00"/>
  </r>
  <r>
    <n v="2368"/>
    <s v="8_국립축산과학원"/>
    <s v="0_본원"/>
    <x v="11"/>
    <s v="왕희상"/>
    <m/>
    <s v="혁신도시 공공기관 회의실·수영장·주차장, 지역민에 개방"/>
    <s v="정책브리핑"/>
    <d v="2019-06-06T00:00:00"/>
    <m/>
    <s v="12_대한민국 정책포털(korea.kr)"/>
    <n v="1"/>
    <d v="2019-06-07T00:00:00"/>
  </r>
  <r>
    <n v="2369"/>
    <s v="8_국립축산과학원"/>
    <s v="0_본원"/>
    <x v="11"/>
    <s v="왕희상"/>
    <m/>
    <s v="혁신도시 공공기관 회의실·수영장·주차장, 지역민에 개방"/>
    <s v="컨슈머포스트"/>
    <d v="2019-06-06T00:00:00"/>
    <m/>
    <s v="10_기타전문지"/>
    <n v="1"/>
    <d v="2019-06-07T00:00:00"/>
  </r>
  <r>
    <n v="2370"/>
    <s v="8_국립축산과학원"/>
    <s v="0_본원"/>
    <x v="11"/>
    <s v="왕희상"/>
    <m/>
    <s v="국토부, 혁신도시 공공기관 회의실·수영장·주차장 지역민에 ‘개방’"/>
    <s v="국토일보"/>
    <d v="2019-06-07T00:00:00"/>
    <m/>
    <s v="10_기타전문지"/>
    <n v="1"/>
    <d v="2019-06-07T00:00:00"/>
  </r>
  <r>
    <n v="2371"/>
    <s v="8_국립축산과학원"/>
    <s v="0_본원"/>
    <x v="11"/>
    <s v="왕희상"/>
    <m/>
    <s v="혁신도시 공공기관 회의실·수영장·주차장, 지역민에 개방"/>
    <s v="건설타임즈"/>
    <d v="2019-06-07T00:00:00"/>
    <m/>
    <s v="10_기타전문지"/>
    <n v="1"/>
    <d v="2019-06-07T00:00:00"/>
  </r>
  <r>
    <n v="2372"/>
    <s v="8_국립축산과학원"/>
    <s v="0_본원"/>
    <x v="11"/>
    <s v="왕희상"/>
    <m/>
    <s v="혁신도시 공공기관, 회의실·수영장·주차장 등 개방"/>
    <s v="브릿지경제"/>
    <d v="2019-06-06T00:00:00"/>
    <m/>
    <s v="11_기타(지역주간지)"/>
    <n v="0.5"/>
    <d v="2019-06-07T00:00:00"/>
  </r>
  <r>
    <n v="2373"/>
    <s v="8_국립축산과학원"/>
    <s v="0_본원"/>
    <x v="11"/>
    <s v="왕희상"/>
    <m/>
    <s v="축구·수영은 물론 주차까지 OK, 공공자원시설 개방 어디까지 왔나"/>
    <s v="시사경제신문"/>
    <d v="2019-06-07T00:00:00"/>
    <m/>
    <s v="11_기타(지역주간지)"/>
    <n v="0.5"/>
    <d v="2019-06-07T00:00:00"/>
  </r>
  <r>
    <n v="2374"/>
    <s v="8_국립축산과학원"/>
    <s v="0_본원"/>
    <x v="11"/>
    <s v="왕희상"/>
    <m/>
    <s v="혁신도시 공공기관, 회의실·수영장·주차장 개방...지역 주민 호응"/>
    <s v="데일리안"/>
    <d v="2019-06-06T00:00:00"/>
    <m/>
    <s v="13_인터넷포털"/>
    <n v="0.1"/>
    <d v="2019-06-07T00:00:00"/>
  </r>
  <r>
    <n v="2375"/>
    <s v="8_국립축산과학원"/>
    <s v="0_본원"/>
    <x v="11"/>
    <s v="왕희상"/>
    <m/>
    <s v="국토교통부, 혁신도시 공공기관 회의실·수영장·주차장 지역민에 개방"/>
    <s v="사건의내막"/>
    <d v="2019-06-06T00:00:00"/>
    <m/>
    <s v="13_인터넷포털"/>
    <n v="0.1"/>
    <d v="2019-06-07T00:00:00"/>
  </r>
  <r>
    <n v="2376"/>
    <s v="8_국립축산과학원"/>
    <s v="0_본원"/>
    <x v="11"/>
    <s v="왕희상"/>
    <m/>
    <s v="혁신도시 공공기관 회의실·수영장·주차장, 지역민에 개방"/>
    <s v="뉴스에이"/>
    <d v="2019-06-06T00:00:00"/>
    <m/>
    <s v="13_인터넷포털"/>
    <n v="0.1"/>
    <d v="2019-06-07T00:00:00"/>
  </r>
  <r>
    <n v="2377"/>
    <s v="8_국립축산과학원"/>
    <s v="0_본원"/>
    <x v="11"/>
    <s v="왕희상"/>
    <m/>
    <s v="혁신도시 공공기관 회의실·주차장 등 지역민에 개방"/>
    <s v="국민TV"/>
    <d v="2019-06-06T00:00:00"/>
    <m/>
    <s v="13_인터넷포털"/>
    <n v="0.1"/>
    <d v="2019-06-07T00:00:00"/>
  </r>
  <r>
    <n v="2378"/>
    <s v="8_국립축산과학원"/>
    <s v="0_본원"/>
    <x v="11"/>
    <s v="왕희상"/>
    <m/>
    <s v="국토부, 혁신도시 공공기관 회의실·수영장·주차장 지역민에 개방한다"/>
    <s v="썬뉴스"/>
    <d v="2019-06-06T00:00:00"/>
    <m/>
    <s v="13_인터넷포털"/>
    <n v="0.1"/>
    <d v="2019-06-07T00:00:00"/>
  </r>
  <r>
    <n v="2379"/>
    <s v="8_국립축산과학원"/>
    <s v="0_본원"/>
    <x v="11"/>
    <s v="왕희상"/>
    <m/>
    <s v="혁신도시 공공기관 회의실·수영장·주차장, 지역민에 개방"/>
    <s v="코리아포스트"/>
    <d v="2019-06-07T00:00:00"/>
    <m/>
    <s v="13_인터넷포털"/>
    <n v="0.1"/>
    <d v="2019-06-07T00:00:00"/>
  </r>
  <r>
    <n v="2380"/>
    <s v="8_국립축산과학원"/>
    <s v="0_본원"/>
    <x v="11"/>
    <s v="왕희상"/>
    <m/>
    <s v="국토교통부, 혁신도시 공공기관 회의실·수영장·주차장 지역민에 개방"/>
    <s v="파이낸스투데이"/>
    <d v="2019-06-07T00:00:00"/>
    <m/>
    <s v="13_인터넷포털"/>
    <n v="0.1"/>
    <d v="2019-06-07T00:00:00"/>
  </r>
  <r>
    <n v="2381"/>
    <s v="8_국립축산과학원"/>
    <s v="0_본원"/>
    <x v="11"/>
    <s v="왕희상"/>
    <m/>
    <s v="혁신도시 공공기관 회의실·수영장·주차장 개방"/>
    <s v="한민족신문"/>
    <d v="2019-06-07T00:00:00"/>
    <m/>
    <s v="13_인터넷포털"/>
    <n v="0.1"/>
    <d v="2019-06-07T00:00:00"/>
  </r>
  <r>
    <n v="2382"/>
    <s v="8_국립축산과학원"/>
    <s v="0_본원"/>
    <x v="11"/>
    <s v="왕희상"/>
    <m/>
    <s v="국토교통부, 혁신도시 공공기관 회의실·수영장·주차장 지역민에 개방"/>
    <s v="한국무예신문"/>
    <d v="2019-06-07T00:00:00"/>
    <m/>
    <s v="13_인터넷포털"/>
    <n v="0.1"/>
    <d v="2019-06-07T00:00:00"/>
  </r>
  <r>
    <n v="2383"/>
    <s v="8_국립축산과학원"/>
    <s v="0_본원"/>
    <x v="13"/>
    <s v="김창한"/>
    <s v="보도자료53"/>
    <s v="더울수록 가축도 먹이·환경 관리 신경 써야"/>
    <s v="오가닉라이프"/>
    <d v="2019-06-07T00:00:00"/>
    <m/>
    <s v="13_인터넷포털"/>
    <n v="0.1"/>
    <d v="2019-06-07T00:00:00"/>
  </r>
  <r>
    <n v="2384"/>
    <s v="8_국립축산과학원"/>
    <s v="0_본원"/>
    <x v="13"/>
    <s v="김창한"/>
    <s v="보도자료53"/>
    <s v="더울수록 사료 덜 먹고 쉽게 지쳐... 송풍팬 켜 체감온도 낮춰야"/>
    <s v="라이브뉴스"/>
    <d v="2019-06-07T00:00:00"/>
    <m/>
    <s v="13_인터넷포털"/>
    <n v="0.1"/>
    <d v="2019-06-07T00:00:00"/>
  </r>
  <r>
    <n v="2385"/>
    <s v="8_국립축산과학원"/>
    <s v="0_본원"/>
    <x v="4"/>
    <s v="천동원"/>
    <s v="기고"/>
    <s v="[기고] 천동원 소장-축산현장 애로기술 해결 위한 닭 키우기[100문 100답] Q58"/>
    <s v="축산신문"/>
    <d v="2019-06-07T00:00:00"/>
    <n v="15"/>
    <s v="17_농업전문지"/>
    <n v="8"/>
    <d v="2019-06-10T00:00:00"/>
  </r>
  <r>
    <n v="2386"/>
    <s v="8_국립축산과학원"/>
    <s v="0_본원"/>
    <x v="15"/>
    <s v="김성우"/>
    <s v="기고"/>
    <s v="[기고] 김성우 연구사-가축 유전자원 동결보존의 필요성"/>
    <s v="농수축산신문"/>
    <d v="2019-06-07T00:00:00"/>
    <n v="6"/>
    <s v="17_농업전문지"/>
    <n v="8"/>
    <d v="2019-06-10T00:00:00"/>
  </r>
  <r>
    <n v="2387"/>
    <s v="8_국립축산과학원"/>
    <s v="1_축산생명환경부"/>
    <x v="9"/>
    <s v="전중환"/>
    <s v="기고"/>
    <s v="[기고] 전중환 연구사-동물복지 한우·육우 농장 인증기준"/>
    <s v="축산신문"/>
    <d v="2019-06-07T00:00:00"/>
    <n v="15"/>
    <s v="17_농업전문지"/>
    <n v="8"/>
    <d v="2019-06-10T00:00:00"/>
  </r>
  <r>
    <n v="2388"/>
    <s v="8_국립축산과학원"/>
    <s v="0_본원"/>
    <x v="2"/>
    <s v="이준엽"/>
    <m/>
    <s v="축산과학원 등 10곳 우수 책임운영기관 선정"/>
    <s v="KTV"/>
    <d v="2019-06-24T00:00:00"/>
    <m/>
    <s v="02_TV-케이블중앙"/>
    <n v="4"/>
    <d v="2019-06-10T00:00:00"/>
  </r>
  <r>
    <n v="2389"/>
    <s v="8_국립축산과학원"/>
    <s v="0_본원"/>
    <x v="13"/>
    <s v="김창한"/>
    <s v="보도자료53"/>
    <s v="농진청 “더울수록 가축 먹이·환경 관리 신경써야”"/>
    <s v="내일신문"/>
    <d v="2019-06-07T00:00:00"/>
    <n v="13"/>
    <s v="07_중앙일간지"/>
    <n v="5"/>
    <d v="2019-06-10T00:00:00"/>
  </r>
  <r>
    <n v="2390"/>
    <s v="8_국립축산과학원"/>
    <s v="0_본원"/>
    <x v="13"/>
    <s v="김창한"/>
    <s v="보도자료53"/>
    <s v="더울수록 가축도 먹이, 환경 관리 신경 써야"/>
    <s v="서울신문"/>
    <d v="2019-06-07T00:00:00"/>
    <m/>
    <s v="07_중앙일간지"/>
    <n v="5"/>
    <d v="2019-06-10T00:00:00"/>
  </r>
  <r>
    <n v="2391"/>
    <s v="8_국립축산과학원"/>
    <s v="0_본원"/>
    <x v="2"/>
    <s v="이준엽"/>
    <m/>
    <s v="국가정보자원관리원·국립축산과학원 등 최우수 책임운영기관 선정"/>
    <s v="뉴스1"/>
    <d v="2019-05-23T00:00:00"/>
    <m/>
    <s v="07_중앙일간지"/>
    <n v="5"/>
    <d v="2019-06-10T00:00:00"/>
  </r>
  <r>
    <n v="2392"/>
    <s v="8_국립축산과학원"/>
    <s v="0_본원"/>
    <x v="2"/>
    <s v="이준엽"/>
    <m/>
    <s v="농진청 국립축산과학원, 최우수 책임운영기관 선정"/>
    <s v="아시아투데이"/>
    <d v="2019-05-23T00:00:00"/>
    <m/>
    <s v="07_중앙일간지"/>
    <n v="5"/>
    <d v="2019-06-10T00:00:00"/>
  </r>
  <r>
    <n v="2393"/>
    <s v="8_국립축산과학원"/>
    <s v="0_본원"/>
    <x v="2"/>
    <s v="이준엽"/>
    <m/>
    <s v="우수 책임운영기관에 축산과학원 등 10곳 선정"/>
    <s v="뉴시스"/>
    <d v="2019-05-23T00:00:00"/>
    <m/>
    <s v="07_중앙일간지"/>
    <n v="5"/>
    <d v="2019-06-10T00:00:00"/>
  </r>
  <r>
    <n v="2394"/>
    <s v="8_국립축산과학원"/>
    <s v="0_본원"/>
    <x v="2"/>
    <s v="이준엽"/>
    <m/>
    <s v="‘돼지각막 원숭이 이식’ 축산과학원 등 우수 책임운영기관"/>
    <s v="연합뉴스"/>
    <d v="2019-05-23T00:00:00"/>
    <m/>
    <s v="07_중앙일간지"/>
    <n v="5"/>
    <d v="2019-06-10T00:00:00"/>
  </r>
  <r>
    <n v="2395"/>
    <s v="8_국립축산과학원"/>
    <s v="0_본원"/>
    <x v="11"/>
    <s v="왕희상"/>
    <m/>
    <s v="혁신도시 공공기관 회의실·수영장·주차장 개방"/>
    <s v="환경일보"/>
    <d v="2019-06-07T00:00:00"/>
    <m/>
    <s v="08_기타일간지"/>
    <n v="2"/>
    <d v="2019-06-10T00:00:00"/>
  </r>
  <r>
    <n v="2396"/>
    <s v="8_국립축산과학원"/>
    <s v="0_본원"/>
    <x v="13"/>
    <s v="정성훈"/>
    <m/>
    <s v="이천낙농 회원농가 맞춤컨설팅 큰 성과"/>
    <s v="축산신문"/>
    <d v="2019-06-07T00:00:00"/>
    <n v="12"/>
    <s v="09_농업전문지"/>
    <n v="1.5"/>
    <d v="2019-06-10T00:00:00"/>
  </r>
  <r>
    <n v="2397"/>
    <s v="8_국립축산과학원"/>
    <s v="2_축산자원개발부"/>
    <x v="12"/>
    <s v="최희철"/>
    <m/>
    <s v="ICT기술 활용 스마트 낙농 이해 증진"/>
    <s v="축산신문"/>
    <d v="2019-06-07T00:00:00"/>
    <n v="5"/>
    <s v="09_농업전문지"/>
    <n v="1.5"/>
    <d v="2019-06-10T00:00:00"/>
  </r>
  <r>
    <n v="2398"/>
    <s v="8_국립축산과학원"/>
    <s v="0_본원"/>
    <x v="13"/>
    <s v="김창한"/>
    <s v="보도자료53"/>
    <s v="농진청, 여름철 가축·축사 관리 당부"/>
    <s v="전업농신문"/>
    <d v="2019-06-10T00:00:00"/>
    <m/>
    <s v="09_농업전문지"/>
    <n v="1.5"/>
    <d v="2019-06-10T00:00:00"/>
  </r>
  <r>
    <n v="2399"/>
    <s v="8_국립축산과학원"/>
    <s v="0_본원"/>
    <x v="2"/>
    <s v="이준엽"/>
    <m/>
    <s v="국민중심 서비스기관으로 진화한 책임운영기관은?"/>
    <s v="농업인신문"/>
    <d v="2019-05-23T00:00:00"/>
    <m/>
    <s v="09_농업전문지"/>
    <n v="1.5"/>
    <d v="2019-06-10T00:00:00"/>
  </r>
  <r>
    <n v="2400"/>
    <s v="8_국립축산과학원"/>
    <s v="0_본원"/>
    <x v="13"/>
    <s v="김창한"/>
    <s v="보도자료53"/>
    <s v="농진청 폭염 대비 가축·축사관리 철저 당부"/>
    <s v="전북도민일보"/>
    <d v="2019-06-07T00:00:00"/>
    <n v="6"/>
    <s v="09_지방일간지"/>
    <n v="1.5"/>
    <d v="2019-06-10T00:00:00"/>
  </r>
  <r>
    <n v="2401"/>
    <s v="8_국립축산과학원"/>
    <s v="0_본원"/>
    <x v="13"/>
    <s v="김창한"/>
    <s v="보도자료53"/>
    <s v="축사 폭염피해 대책 홍보"/>
    <s v="강원일보"/>
    <d v="2019-06-07T00:00:00"/>
    <n v="7"/>
    <s v="09_지방일간지"/>
    <n v="1.5"/>
    <d v="2019-06-10T00:00:00"/>
  </r>
  <r>
    <n v="2402"/>
    <s v="8_국립축산과학원"/>
    <s v="0_본원"/>
    <x v="13"/>
    <s v="김창한"/>
    <s v="보도자료53"/>
    <s v="“여름철 한우 사료량 줄여야” 농진청, 가축 관리방법 소개"/>
    <s v="대구신문"/>
    <d v="2019-06-07T00:00:00"/>
    <n v="10"/>
    <s v="09_지방일간지"/>
    <n v="1.5"/>
    <d v="2019-06-10T00:00:00"/>
  </r>
  <r>
    <n v="2403"/>
    <s v="8_국립축산과학원"/>
    <s v="2_축산자원개발부"/>
    <x v="6"/>
    <s v="김원호"/>
    <m/>
    <s v="천안시, 사료용 벼 ‘영우’ 파종 조사료 자급 모색"/>
    <s v="금강일보"/>
    <d v="2019-06-10T00:00:00"/>
    <m/>
    <s v="09_지방일간지"/>
    <n v="1.5"/>
    <d v="2019-06-10T00:00:00"/>
  </r>
  <r>
    <n v="2404"/>
    <s v="8_국립축산과학원"/>
    <s v="1_축산생명환경부"/>
    <x v="7"/>
    <s v="이성대"/>
    <s v="보도자료52"/>
    <s v="가축 더위 예방, 모바일로 쉽게 보자"/>
    <s v="말산업저널"/>
    <d v="2019-06-07T00:00:00"/>
    <m/>
    <s v="10_기타전문지"/>
    <n v="1"/>
    <d v="2019-06-10T00:00:00"/>
  </r>
  <r>
    <n v="2405"/>
    <s v="8_국립축산과학원"/>
    <s v="0_본원"/>
    <x v="13"/>
    <s v="김창한"/>
    <s v="보도자료53"/>
    <s v="가축먹이·환경관리 더울수록 신경 써야"/>
    <s v="식약일보"/>
    <d v="2019-06-07T00:00:00"/>
    <m/>
    <s v="10_기타전문지"/>
    <n v="1"/>
    <d v="2019-06-10T00:00:00"/>
  </r>
  <r>
    <n v="2406"/>
    <s v="8_국립축산과학원"/>
    <s v="0_본원"/>
    <x v="2"/>
    <s v="이준엽"/>
    <m/>
    <s v="국민중심 서비스기관으로 진화한 책임운영기관은?"/>
    <s v="당진신문"/>
    <d v="2019-05-23T00:00:00"/>
    <m/>
    <s v="11_기타(지역주간지)"/>
    <n v="0.5"/>
    <d v="2019-06-10T00:00:00"/>
  </r>
  <r>
    <n v="2407"/>
    <s v="8_국립축산과학원"/>
    <s v="0_본원"/>
    <x v="11"/>
    <s v="왕희상"/>
    <m/>
    <s v="국토교통부, 혁신도시 공공기관 회의실·수영장·주차장 지역민에 개방"/>
    <s v="사회안전신문"/>
    <d v="2019-06-07T00:00:00"/>
    <m/>
    <s v="13_인터넷포털"/>
    <n v="0.1"/>
    <d v="2019-06-10T00:00:00"/>
  </r>
  <r>
    <n v="2408"/>
    <s v="8_국립축산과학원"/>
    <s v="0_본원"/>
    <x v="11"/>
    <s v="왕희상"/>
    <m/>
    <s v="국토교통부, 혁신도시 공공기관 회의실·수영장·주차장 지역민에 개방"/>
    <s v="STV"/>
    <d v="2019-06-07T00:00:00"/>
    <m/>
    <s v="13_인터넷포털"/>
    <n v="0.1"/>
    <d v="2019-06-10T00:00:00"/>
  </r>
  <r>
    <n v="2409"/>
    <s v="8_국립축산과학원"/>
    <s v="0_본원"/>
    <x v="13"/>
    <s v="김창한"/>
    <s v="보도자료53"/>
    <s v="“무더운 여름철 가축 먹이·축사환경 관리 더 철저히 해야”"/>
    <s v="팜인사이트"/>
    <d v="2019-06-08T00:00:00"/>
    <m/>
    <s v="13_인터넷포털"/>
    <n v="0.1"/>
    <d v="2019-06-10T00:00:00"/>
  </r>
  <r>
    <n v="2410"/>
    <s v="8_국립축산과학원"/>
    <s v="0_본원"/>
    <x v="11"/>
    <s v="왕희상"/>
    <m/>
    <s v="국토교통부, 혁신도시 공공기관 회의실·수영장·주차장 지역민에 개방"/>
    <s v="블록체인밸리"/>
    <d v="2019-06-10T00:00:00"/>
    <m/>
    <s v="13_인터넷포털"/>
    <n v="0.1"/>
    <d v="2019-06-10T00:00:00"/>
  </r>
  <r>
    <n v="2411"/>
    <s v="8_국립축산과학원"/>
    <s v="2_축산자원개발부"/>
    <x v="6"/>
    <s v="김원호"/>
    <m/>
    <s v="천안시, 사료용 벼 ‘영우’ 파종으로 조사료 자급 모색"/>
    <s v="천안일보"/>
    <d v="2019-06-10T00:00:00"/>
    <m/>
    <s v="13_인터넷포털"/>
    <n v="0.1"/>
    <d v="2019-06-10T00:00:00"/>
  </r>
  <r>
    <n v="2412"/>
    <s v="8_국립축산과학원"/>
    <s v="2_축산자원개발부"/>
    <x v="6"/>
    <s v="김원호"/>
    <m/>
    <s v="천안시, 사료용 벼 ‘영우’ 파종 조사료 자급 모색"/>
    <s v="충청뉴스"/>
    <d v="2019-06-10T00:00:00"/>
    <m/>
    <s v="13_인터넷포털"/>
    <n v="0.1"/>
    <d v="2019-06-10T00:00:00"/>
  </r>
  <r>
    <n v="2413"/>
    <s v="8_국립축산과학원"/>
    <s v="0_본원"/>
    <x v="2"/>
    <s v="이준엽"/>
    <m/>
    <s v="행정안전부, 「국민중심 서비스기관으로 진화한 책임운영기관은?」"/>
    <s v="화이트페이퍼"/>
    <d v="2019-05-23T00:00:00"/>
    <m/>
    <s v="13_인터넷포털"/>
    <n v="0.1"/>
    <d v="2019-06-10T00:00:00"/>
  </r>
  <r>
    <n v="2414"/>
    <s v="8_국립축산과학원"/>
    <s v="0_본원"/>
    <x v="13"/>
    <s v="유지현"/>
    <s v="기고"/>
    <s v="[기고] 유지현 지도사-인성을 배우는 동물교감교육"/>
    <s v="전북타임스"/>
    <d v="2019-06-10T00:00:00"/>
    <n v="15"/>
    <s v="17_지방일간지"/>
    <n v="8"/>
    <d v="2019-06-11T00:00:00"/>
  </r>
  <r>
    <n v="2415"/>
    <s v="8_국립축산과학원"/>
    <s v="0_본원"/>
    <x v="2"/>
    <s v="이준엽"/>
    <m/>
    <s v="‘돼지각막 원숭이 이식’ 축산과학원 등 우수 책임운영기관"/>
    <s v="매일경제"/>
    <d v="2019-05-23T00:00:00"/>
    <m/>
    <s v="07_중앙일간지"/>
    <n v="5"/>
    <d v="2019-06-11T00:00:00"/>
  </r>
  <r>
    <n v="2416"/>
    <s v="8_국립축산과학원"/>
    <s v="1_축산생명환경부"/>
    <x v="7"/>
    <s v="이성대"/>
    <s v="보도자료52"/>
    <s v="‘가축 더위스트레스’ 체크로 폭염 대비하세요~"/>
    <s v="농업정보신문"/>
    <d v="2019-06-03T00:00:00"/>
    <n v="8"/>
    <s v="09_농업전문지"/>
    <n v="1.5"/>
    <d v="2019-06-11T00:00:00"/>
  </r>
  <r>
    <n v="2417"/>
    <s v="8_국립축산과학원"/>
    <s v="0_본원"/>
    <x v="4"/>
    <s v="전진주"/>
    <s v="보도자료54"/>
    <s v="농진청, 닭 사육농가 폭염 피해 예방 선제 대응"/>
    <s v="전업농신문"/>
    <d v="2019-06-10T00:00:00"/>
    <m/>
    <s v="09_농업전문지"/>
    <n v="1.5"/>
    <d v="2019-06-11T00:00:00"/>
  </r>
  <r>
    <n v="2418"/>
    <s v="8_국립축산과학원"/>
    <s v="1_축산생명환경부"/>
    <x v="1"/>
    <s v="오건봉"/>
    <m/>
    <s v="의료용 돼지 개발 인체적용 ‘성큼’"/>
    <s v="전북중앙"/>
    <d v="2019-06-10T00:00:00"/>
    <n v="16"/>
    <s v="09_지방일간지"/>
    <n v="1.5"/>
    <d v="2019-06-11T00:00:00"/>
  </r>
  <r>
    <n v="2419"/>
    <s v="8_국립축산과학원"/>
    <s v="0_본원"/>
    <x v="11"/>
    <s v="왕희상"/>
    <m/>
    <s v="혁신도시 공공기관, 지역발전 ‘선도’"/>
    <s v="전주일보"/>
    <d v="2019-06-10T00:00:00"/>
    <n v="2"/>
    <s v="09_지방일간지"/>
    <n v="1.5"/>
    <d v="2019-06-11T00:00:00"/>
  </r>
  <r>
    <n v="2420"/>
    <s v="8_국립축산과학원"/>
    <s v="1_축산생명환경부"/>
    <x v="7"/>
    <s v="이성대"/>
    <s v="보도자료52"/>
    <s v="미리 보는 ‘가축 더위 스트레스’로 폭염 대비"/>
    <s v="농식품PLUS신문"/>
    <d v="2019-05-31T00:00:00"/>
    <n v="19"/>
    <s v="10_기타전문지"/>
    <n v="1"/>
    <d v="2019-06-11T00:00:00"/>
  </r>
  <r>
    <n v="2421"/>
    <s v="8_국립축산과학원"/>
    <s v="0_본원"/>
    <x v="2"/>
    <s v="이준엽"/>
    <m/>
    <s v="국민중심 서비스기관으로 진화한 책임운영기관은?"/>
    <s v="광명지역신문"/>
    <d v="2019-05-23T00:00:00"/>
    <m/>
    <s v="11_기타(지역주간지)"/>
    <n v="0.5"/>
    <d v="2019-06-11T00:00:00"/>
  </r>
  <r>
    <n v="2422"/>
    <s v="8_국립축산과학원"/>
    <s v="2_축산자원개발부"/>
    <x v="6"/>
    <s v="김원호"/>
    <m/>
    <s v="천안시, 사료용 벼 ‘영우’ 파종으로 조사료 자급 모색"/>
    <s v="충청탑뉴스"/>
    <d v="2019-06-10T00:00:00"/>
    <m/>
    <s v="13_인터넷포털"/>
    <n v="0.1"/>
    <d v="2019-06-11T00:00:00"/>
  </r>
  <r>
    <n v="2423"/>
    <s v="8_국립축산과학원"/>
    <s v="2_축산자원개발부"/>
    <x v="6"/>
    <s v="김원호"/>
    <m/>
    <s v="천안시, 사료용 벼 ‘영우’ 파종으로 조사료 자급 모색"/>
    <s v="C뉴스041"/>
    <d v="2019-06-10T00:00:00"/>
    <m/>
    <s v="13_인터넷포털"/>
    <n v="0.1"/>
    <d v="2019-06-11T00:00:00"/>
  </r>
  <r>
    <n v="2424"/>
    <s v="8_국립축산과학원"/>
    <s v="2_축산자원개발부"/>
    <x v="6"/>
    <s v="김원호"/>
    <m/>
    <s v="천안시, 사료용 벼 ‘영우’ 파종 재배기술 확보 주력"/>
    <s v="MBS"/>
    <d v="2019-06-10T00:00:00"/>
    <m/>
    <s v="13_인터넷포털"/>
    <n v="0.1"/>
    <d v="2019-06-11T00:00:00"/>
  </r>
  <r>
    <n v="2425"/>
    <s v="8_국립축산과학원"/>
    <s v="2_축산자원개발부"/>
    <x v="6"/>
    <s v="김원호"/>
    <m/>
    <s v="천안시, 사료용 벼 ‘영우’ 파종으로 조사료 자급 모색"/>
    <s v="현대경제"/>
    <d v="2019-06-10T00:00:00"/>
    <m/>
    <s v="13_인터넷포털"/>
    <n v="0.1"/>
    <d v="2019-06-11T00:00:00"/>
  </r>
  <r>
    <n v="2426"/>
    <s v="8_국립축산과학원"/>
    <s v="0_본원"/>
    <x v="2"/>
    <s v="이준엽"/>
    <m/>
    <s v="국민중심 서비스기관으로 진화한 책임운영기관은?"/>
    <s v="제주교통복지신문"/>
    <d v="2019-05-23T00:00:00"/>
    <m/>
    <s v="13_인터넷포털"/>
    <n v="0.1"/>
    <d v="2019-06-11T00:00:00"/>
  </r>
  <r>
    <n v="2427"/>
    <s v="8_국립축산과학원"/>
    <s v="0_본원"/>
    <x v="2"/>
    <s v="이준엽"/>
    <m/>
    <s v="행전안전부(전국), 국민중심 서비스기관으로 진화한 책임운영기관은?"/>
    <s v="뉴스페이퍼"/>
    <d v="2019-05-23T00:00:00"/>
    <m/>
    <s v="13_인터넷포털"/>
    <n v="0.1"/>
    <d v="2019-06-11T00:00:00"/>
  </r>
  <r>
    <n v="2428"/>
    <s v="8_국립축산과학원"/>
    <s v="0_본원"/>
    <x v="2"/>
    <s v="이준엽"/>
    <m/>
    <s v="국민중심 서비스기관으로 진화한 책임운영기관은?"/>
    <s v="공무원저널"/>
    <d v="2019-05-23T00:00:00"/>
    <m/>
    <s v="13_인터넷포털"/>
    <n v="0.1"/>
    <d v="2019-06-11T00:00:00"/>
  </r>
  <r>
    <n v="2429"/>
    <s v="8_국립축산과학원"/>
    <s v="0_본원"/>
    <x v="2"/>
    <s v="이준엽"/>
    <m/>
    <s v="국민중심 서비스기관으로 진화한 책임운영기관은?"/>
    <s v="블록체인밸리"/>
    <d v="2019-05-23T00:00:00"/>
    <m/>
    <s v="13_인터넷포털"/>
    <n v="0.1"/>
    <d v="2019-06-11T00:00:00"/>
  </r>
  <r>
    <n v="2430"/>
    <s v="8_국립축산과학원"/>
    <s v="0_본원"/>
    <x v="2"/>
    <s v="이준엽"/>
    <m/>
    <s v="행정안전부, 국민중심 서비스기관으로 진화한 채임운영기관은?"/>
    <s v="스타트업4"/>
    <d v="2019-05-24T00:00:00"/>
    <m/>
    <s v="13_인터넷포털"/>
    <n v="0.1"/>
    <d v="2019-06-11T00:00:00"/>
  </r>
  <r>
    <n v="2431"/>
    <s v="8_국립축산과학원"/>
    <s v="0_본원"/>
    <x v="2"/>
    <s v="이준엽"/>
    <m/>
    <s v="행전안전부, 국민중심 서비스기관으로 진화한 책임운영기관은?"/>
    <s v="중부뉴스통신"/>
    <d v="2019-05-24T00:00:00"/>
    <m/>
    <s v="13_인터넷포털"/>
    <n v="0.1"/>
    <d v="2019-06-11T00:00:00"/>
  </r>
  <r>
    <n v="2432"/>
    <s v="8_국립축산과학원"/>
    <s v="0_본원"/>
    <x v="14"/>
    <s v="장선식"/>
    <s v="보도자료55"/>
    <s v="선도농가가 알려주는 “최고 한우키우는 비법”"/>
    <s v="라이브뉴스"/>
    <d v="2019-06-11T00:00:00"/>
    <m/>
    <s v="13_인터넷포털"/>
    <n v="0.1"/>
    <d v="2019-06-11T00:00:00"/>
  </r>
  <r>
    <n v="2433"/>
    <s v="8_국립축산과학원"/>
    <s v="0_본원"/>
    <x v="4"/>
    <s v="전진주"/>
    <s v="보도자료54"/>
    <s v="닭 사육농가 폭염피해 예방 선제대응 나선다"/>
    <s v="라이브뉴스"/>
    <d v="2019-06-11T00:00:00"/>
    <m/>
    <s v="13_인터넷포털"/>
    <n v="0.1"/>
    <d v="2019-06-11T00:00:00"/>
  </r>
  <r>
    <n v="2434"/>
    <s v="8_국립축산과학원"/>
    <s v="0_본원"/>
    <x v="4"/>
    <s v="천동원"/>
    <s v="기고"/>
    <s v="[기고] 천동원 소장-축산현장 애로기술 해결 위한 닭 키우기[100문 100답] Q59,60"/>
    <s v="축산신문"/>
    <d v="2019-06-11T00:00:00"/>
    <n v="15"/>
    <s v="17_농업전문지"/>
    <n v="8"/>
    <d v="2019-06-12T00:00:00"/>
  </r>
  <r>
    <n v="2435"/>
    <s v="8_국립축산과학원"/>
    <s v="2_축산자원개발부"/>
    <x v="12"/>
    <s v="기광석"/>
    <s v="기고"/>
    <s v="[기고] 기광석 과장-‘국내산 우유·치즈 페스티벌’ 소비 기폭제로 계속 이어지길"/>
    <s v="축산신문"/>
    <d v="2019-06-11T00:00:00"/>
    <n v="1"/>
    <s v="17_농업전문지"/>
    <n v="8"/>
    <d v="2019-06-12T00:00:00"/>
  </r>
  <r>
    <n v="2436"/>
    <s v="8_국립축산과학원"/>
    <s v="0_본원"/>
    <x v="4"/>
    <s v="전진주"/>
    <s v="보도자료54"/>
    <s v="농촌진흥청, 닭 사육농가 폭염 피해 예방 선제 대응 나서"/>
    <s v="서울신문"/>
    <d v="2019-06-11T00:00:00"/>
    <m/>
    <s v="07_중앙일간지"/>
    <n v="5"/>
    <d v="2019-06-12T00:00:00"/>
  </r>
  <r>
    <n v="2437"/>
    <s v="8_국립축산과학원"/>
    <s v="0_본원"/>
    <x v="14"/>
    <s v="장선식"/>
    <s v="보도자료55"/>
    <s v="농촌진흥청, 거세한우 잘 키우는 방법 소개"/>
    <s v="매일일보"/>
    <d v="2019-06-11T00:00:00"/>
    <m/>
    <s v="08_기타일간지"/>
    <n v="2"/>
    <d v="2019-06-12T00:00:00"/>
  </r>
  <r>
    <n v="2438"/>
    <s v="8_국립축산과학원"/>
    <s v="0_본원"/>
    <x v="13"/>
    <s v="김창한"/>
    <m/>
    <s v="폭염 대비 선제적 농업재해대책 추진"/>
    <s v="축산신문"/>
    <d v="2019-06-11T00:00:00"/>
    <n v="16"/>
    <s v="09_농업전문지"/>
    <n v="1.5"/>
    <d v="2019-06-12T00:00:00"/>
  </r>
  <r>
    <n v="2439"/>
    <s v="8_국립축산과학원"/>
    <s v="1_축산생명환경부"/>
    <x v="7"/>
    <s v="백열창"/>
    <m/>
    <s v="이론·실기 겸비 한우 후계농 육성"/>
    <s v="축산신문"/>
    <d v="2019-06-11T00:00:00"/>
    <n v="2"/>
    <s v="09_농업전문지"/>
    <n v="1.5"/>
    <d v="2019-06-12T00:00:00"/>
  </r>
  <r>
    <n v="2440"/>
    <s v="8_국립축산과학원"/>
    <s v="0_본원"/>
    <x v="2"/>
    <s v="양창범"/>
    <m/>
    <s v="국내산 조사료 지원사업 ‘손질’ 시급"/>
    <s v="축산신문"/>
    <d v="2019-06-11T00:00:00"/>
    <n v="5"/>
    <s v="09_농업전문지"/>
    <n v="1.5"/>
    <d v="2019-06-12T00:00:00"/>
  </r>
  <r>
    <n v="2441"/>
    <s v="8_국립축산과학원"/>
    <s v="0_본원"/>
    <x v="4"/>
    <s v="전진주"/>
    <s v="보도자료54"/>
    <s v="폭염 대비 닭 사육농가 선제 대응"/>
    <s v="전북연합신문"/>
    <d v="2019-06-11T00:00:00"/>
    <n v="5"/>
    <s v="09_지방일간지"/>
    <n v="1.5"/>
    <d v="2019-06-12T00:00:00"/>
  </r>
  <r>
    <n v="2442"/>
    <s v="8_국립축산과학원"/>
    <s v="0_본원"/>
    <x v="4"/>
    <s v="전진주"/>
    <s v="보도자료54"/>
    <s v="농촌진흥청, 닭 사육농가 폭염 피해 예방 나섰다"/>
    <s v="전라매일"/>
    <d v="2019-06-11T00:00:00"/>
    <n v="2"/>
    <s v="09_지방일간지"/>
    <n v="1.5"/>
    <d v="2019-06-12T00:00:00"/>
  </r>
  <r>
    <n v="2443"/>
    <s v="8_국립축산과학원"/>
    <s v="0_본원"/>
    <x v="4"/>
    <s v="전진주"/>
    <s v="보도자료54"/>
    <s v="농진청, 닭 사육농가 폭염 피해 예방 선제적 대응 나서"/>
    <s v="전북타임스"/>
    <d v="2019-06-11T00:00:00"/>
    <n v="7"/>
    <s v="09_지방일간지"/>
    <n v="1.5"/>
    <d v="2019-06-12T00:00:00"/>
  </r>
  <r>
    <n v="2444"/>
    <s v="8_국립축산과학원"/>
    <s v="0_본원"/>
    <x v="4"/>
    <s v="전진주"/>
    <s v="보도자료54"/>
    <s v="농진청, 닭 사육농가 폭염 피해 예방 선제 대응"/>
    <s v="삼남일보"/>
    <d v="2019-06-11T00:00:00"/>
    <n v="5"/>
    <s v="09_지방일간지"/>
    <n v="1.5"/>
    <d v="2019-06-12T00:00:00"/>
  </r>
  <r>
    <n v="2445"/>
    <s v="8_국립축산과학원"/>
    <s v="0_본원"/>
    <x v="4"/>
    <s v="전진주"/>
    <s v="보도자료54"/>
    <s v="농진청, 닭 사육농가 폭염 피해 예방 선제 대응"/>
    <s v="새전북신문"/>
    <d v="2019-06-11T00:00:00"/>
    <n v="4"/>
    <s v="09_지방일간지"/>
    <n v="1.5"/>
    <d v="2019-06-12T00:00:00"/>
  </r>
  <r>
    <n v="2446"/>
    <s v="8_국립축산과학원"/>
    <s v="0_본원"/>
    <x v="4"/>
    <s v="전진주"/>
    <s v="보도자료54"/>
    <s v="지난해 가금류 902만 마리 폭염으로 폐사"/>
    <s v="경남일보"/>
    <d v="2019-06-11T00:00:00"/>
    <n v="9"/>
    <s v="09_지방일간지"/>
    <n v="1.5"/>
    <d v="2019-06-12T00:00:00"/>
  </r>
  <r>
    <n v="2447"/>
    <s v="8_국립축산과학원"/>
    <s v="2_축산자원개발부"/>
    <x v="6"/>
    <s v="김원호"/>
    <m/>
    <s v="사료용 벼 ‘영우’로 조사료 자급 나서"/>
    <s v="충청신문"/>
    <d v="2019-06-11T00:00:00"/>
    <n v="15"/>
    <s v="09_지방일간지"/>
    <n v="1.5"/>
    <d v="2019-06-12T00:00:00"/>
  </r>
  <r>
    <n v="2448"/>
    <s v="8_국립축산과학원"/>
    <s v="0_본원"/>
    <x v="14"/>
    <s v="원정일"/>
    <s v="보도자료49"/>
    <s v="축산과학원, 한우 300마리 대관령 초지 방목"/>
    <s v="한우신문"/>
    <d v="2019-06-04T00:00:00"/>
    <n v="2"/>
    <s v="10_기타전문지"/>
    <n v="1"/>
    <d v="2019-06-12T00:00:00"/>
  </r>
  <r>
    <n v="2449"/>
    <s v="8_국립축산과학원"/>
    <s v="0_본원"/>
    <x v="14"/>
    <s v="한만희"/>
    <m/>
    <s v="분만전 어미소 조사료 충분히 먹이면 수태율 향상 도움"/>
    <s v="한우신문"/>
    <d v="2019-06-04T00:00:00"/>
    <s v="12,13"/>
    <s v="10_기타전문지"/>
    <n v="1"/>
    <d v="2019-06-12T00:00:00"/>
  </r>
  <r>
    <n v="2450"/>
    <s v="8_국립축산과학원"/>
    <s v="1_축산생명환경부"/>
    <x v="7"/>
    <s v="이성대"/>
    <s v="보도자료52"/>
    <s v="기상청과 연계 정확하게 폭염 예측…가축 폭염피해 선제 대응"/>
    <s v="한우신문"/>
    <d v="2019-06-04T00:00:00"/>
    <n v="15"/>
    <s v="10_기타전문지"/>
    <n v="1"/>
    <d v="2019-06-12T00:00:00"/>
  </r>
  <r>
    <n v="2451"/>
    <s v="8_국립축산과학원"/>
    <s v="1_축산생명환경부"/>
    <x v="9"/>
    <s v="권경석"/>
    <s v="보도자료46"/>
    <s v="무더위, 송풍팬-안개 분무 온도 낮춰야"/>
    <s v="낙농신문"/>
    <d v="2019-06-06T00:00:00"/>
    <n v="5"/>
    <s v="10_기타전문지"/>
    <n v="1"/>
    <d v="2019-06-12T00:00:00"/>
  </r>
  <r>
    <n v="2452"/>
    <s v="8_국립축산과학원"/>
    <s v="0_본원"/>
    <x v="2"/>
    <s v="이준엽"/>
    <s v="보도자료51"/>
    <s v="‘최우수 책임운영기관’ 선정-축산과학원, 50개 기관 중 1위"/>
    <s v="낙농신문"/>
    <d v="2019-06-06T00:00:00"/>
    <n v="5"/>
    <s v="10_기타전문지"/>
    <n v="1"/>
    <d v="2019-06-12T00:00:00"/>
  </r>
  <r>
    <n v="2453"/>
    <s v="8_국립축산과학원"/>
    <s v="2_축산자원개발부"/>
    <x v="6"/>
    <s v="최기준"/>
    <s v="보도자료45"/>
    <s v="라이그라스-귀리 혼파재배 수확"/>
    <s v="낙농신문"/>
    <d v="2019-06-06T00:00:00"/>
    <n v="7"/>
    <s v="10_기타전문지"/>
    <n v="1"/>
    <d v="2019-06-12T00:00:00"/>
  </r>
  <r>
    <n v="2454"/>
    <s v="8_국립축산과학원"/>
    <s v="2_축산자원개발부"/>
    <x v="12"/>
    <s v="기광석"/>
    <m/>
    <s v="비타민A 요구량 질병·스트레스 영향"/>
    <s v="낙농신문"/>
    <d v="2019-06-06T00:00:00"/>
    <n v="13"/>
    <s v="10_기타전문지"/>
    <n v="1"/>
    <d v="2019-06-12T00:00:00"/>
  </r>
  <r>
    <n v="2455"/>
    <s v="8_국립축산과학원"/>
    <s v="0_본원"/>
    <x v="13"/>
    <s v="김창한"/>
    <s v="보도자료53"/>
    <s v="올 여름 폭염대비 가축 먹이, 환경 관리 신경 써야"/>
    <s v="농업경제신문"/>
    <d v="2019-06-11T00:00:00"/>
    <m/>
    <s v="13_인터넷포털"/>
    <n v="0.1"/>
    <d v="2019-06-12T00:00:00"/>
  </r>
  <r>
    <n v="2456"/>
    <s v="8_국립축산과학원"/>
    <s v="2_축산자원개발부"/>
    <x v="8"/>
    <s v="김시동"/>
    <m/>
    <s v="가축 개량, 품 넓히고 연구 강화해야"/>
    <s v="한국농정신문"/>
    <d v="2019-06-10T00:00:00"/>
    <n v="8"/>
    <s v="09_농업전문지"/>
    <n v="1.5"/>
    <d v="2019-06-13T00:00:00"/>
  </r>
  <r>
    <n v="2457"/>
    <s v="8_국립축산과학원"/>
    <s v="0_본원"/>
    <x v="2"/>
    <s v="강희설"/>
    <m/>
    <s v="‘GSP 한협토종닭’ 중동지역 최초 진출"/>
    <s v="전업농신문"/>
    <d v="2019-06-13T00:00:00"/>
    <m/>
    <s v="09_농업전문지"/>
    <n v="1.5"/>
    <d v="2019-06-13T00:00:00"/>
  </r>
  <r>
    <n v="2458"/>
    <s v="8_국립축산과학원"/>
    <s v="0_본원"/>
    <x v="14"/>
    <s v="장선식"/>
    <s v="보도자료55"/>
    <s v="농진청, 품질 좋은 거세한우 사육기술 공개"/>
    <s v="새만금일보"/>
    <d v="2019-06-12T00:00:00"/>
    <n v="6"/>
    <s v="09_지방일간지"/>
    <n v="1.5"/>
    <d v="2019-06-13T00:00:00"/>
  </r>
  <r>
    <n v="2459"/>
    <s v="8_국립축산과학원"/>
    <s v="0_본원"/>
    <x v="14"/>
    <s v="장선식"/>
    <s v="보도자료55"/>
    <s v="농진청, 거세한우 선도 나서"/>
    <s v="전라매일"/>
    <d v="2019-06-12T00:00:00"/>
    <n v="4"/>
    <s v="09_지방일간지"/>
    <n v="1.5"/>
    <d v="2019-06-13T00:00:00"/>
  </r>
  <r>
    <n v="2460"/>
    <s v="8_국립축산과학원"/>
    <s v="0_본원"/>
    <x v="14"/>
    <s v="장선식"/>
    <s v="보도자료55"/>
    <s v="거세한우 잘 키우는 기술은?"/>
    <s v="전북연합신문"/>
    <d v="2019-06-12T00:00:00"/>
    <n v="5"/>
    <s v="09_지방일간지"/>
    <n v="1.5"/>
    <d v="2019-06-13T00:00:00"/>
  </r>
  <r>
    <n v="2461"/>
    <s v="8_국립축산과학원"/>
    <s v="0_본원"/>
    <x v="4"/>
    <s v="강보석"/>
    <m/>
    <s v="가금 농가 폭염 피해 최소화 ‘앞장’"/>
    <s v="전라매일"/>
    <d v="2019-06-12T00:00:00"/>
    <n v="8"/>
    <s v="09_지방일간지"/>
    <n v="1.5"/>
    <d v="2019-06-13T00:00:00"/>
  </r>
  <r>
    <n v="2462"/>
    <s v="8_국립축산과학원"/>
    <s v="0_본원"/>
    <x v="4"/>
    <s v="강보석"/>
    <m/>
    <s v="가금 농가 폭염 피해 최소화 ‘적극’"/>
    <s v="전북타임스"/>
    <d v="2019-06-12T00:00:00"/>
    <n v="11"/>
    <s v="09_지방일간지"/>
    <n v="1.5"/>
    <d v="2019-06-13T00:00:00"/>
  </r>
  <r>
    <n v="2463"/>
    <s v="8_국립축산과학원"/>
    <s v="0_본원"/>
    <x v="4"/>
    <s v="강보석"/>
    <m/>
    <s v="진안군, 농진청과 가금분야 폭염피해 예방 사전교육"/>
    <s v="삼남일보"/>
    <d v="2019-06-12T00:00:00"/>
    <n v="7"/>
    <s v="09_지방일간지"/>
    <n v="1.5"/>
    <d v="2019-06-13T00:00:00"/>
  </r>
  <r>
    <n v="2464"/>
    <s v="8_국립축산과학원"/>
    <s v="0_본원"/>
    <x v="4"/>
    <s v="강보석"/>
    <m/>
    <s v="진안군, 폭염 피해 최소화 사전 교육"/>
    <s v="새전북신문"/>
    <d v="2019-06-12T00:00:00"/>
    <n v="12"/>
    <s v="09_지방일간지"/>
    <n v="1.5"/>
    <d v="2019-06-13T00:00:00"/>
  </r>
  <r>
    <n v="2465"/>
    <s v="8_국립축산과학원"/>
    <s v="1_축산생명환경부"/>
    <x v="9"/>
    <s v="곽정훈"/>
    <m/>
    <s v="청정축산환경 우수농가에 시암목장·대산축산농장"/>
    <s v="경기일보"/>
    <d v="2019-06-12T00:00:00"/>
    <n v="17"/>
    <s v="09_지방일간지"/>
    <n v="1.5"/>
    <d v="2019-06-13T00:00:00"/>
  </r>
  <r>
    <n v="2466"/>
    <s v="8_국립축산과학원"/>
    <s v="1_축산생명환경부"/>
    <x v="9"/>
    <s v="곽정훈"/>
    <m/>
    <s v="청정축산화경대상 대상 京畿 우수농가 시상"/>
    <s v="경기신문"/>
    <d v="2019-06-12T00:00:00"/>
    <n v="5"/>
    <s v="09_지방일간지"/>
    <n v="1.5"/>
    <d v="2019-06-13T00:00:00"/>
  </r>
  <r>
    <n v="2467"/>
    <s v="8_국립축산과학원"/>
    <s v="0_본원"/>
    <x v="14"/>
    <s v="장선식"/>
    <s v="보도자료55"/>
    <s v="거세한우, 섬유질배합사료 먹여 사료비 부담 저감"/>
    <s v="식약일보"/>
    <d v="2019-06-12T00:00:00"/>
    <m/>
    <s v="10_기타전문지"/>
    <n v="1"/>
    <d v="2019-06-13T00:00:00"/>
  </r>
  <r>
    <n v="2468"/>
    <s v="8_국립축산과학원"/>
    <s v="1_축산생명환경부"/>
    <x v="5"/>
    <s v="김진형"/>
    <m/>
    <s v="키크는 방법, 롱펩콜라겐 펩타이드에서 찾았다"/>
    <s v="파이낸스투데이"/>
    <d v="2019-06-12T00:00:00"/>
    <m/>
    <s v="13_인터넷포털"/>
    <n v="0.1"/>
    <d v="2019-06-13T00:00:00"/>
  </r>
  <r>
    <n v="2469"/>
    <s v="8_국립축산과학원"/>
    <s v="1_축산생명환경부"/>
    <x v="5"/>
    <s v="김진형"/>
    <m/>
    <s v="키크는 영양제 ‘리그로우 cm플러스’, 롱펩콜라겐펩타이드 등 성장 성분 도움"/>
    <s v="국제뉴스"/>
    <d v="2019-06-13T00:00:00"/>
    <m/>
    <s v="13_인터넷포털"/>
    <n v="0.1"/>
    <d v="2019-06-13T00:00:00"/>
  </r>
  <r>
    <n v="2470"/>
    <s v="8_국립축산과학원"/>
    <s v="1_축산생명환경부"/>
    <x v="5"/>
    <s v="양창범"/>
    <s v="기고"/>
    <s v="[기고] 양창범 원장-소고기 모든 부위를 맛있게 하는 숙성"/>
    <s v="아시아투데이"/>
    <d v="2019-06-17T00:00:00"/>
    <n v="31"/>
    <s v="15_중앙일간지"/>
    <n v="15"/>
    <d v="2019-06-17T00:00:00"/>
  </r>
  <r>
    <n v="2471"/>
    <s v="8_국립축산과학원"/>
    <s v="0_본원"/>
    <x v="4"/>
    <s v="천동원"/>
    <s v="기고"/>
    <s v="[기고] 천동원 소장-축산현장 애로기술 해결 위한 닭 키우기[100문 100답] Q61"/>
    <s v="축산신문"/>
    <d v="2019-06-14T00:00:00"/>
    <n v="15"/>
    <s v="17_농업전문지"/>
    <n v="8"/>
    <d v="2019-06-17T00:00:00"/>
  </r>
  <r>
    <n v="2472"/>
    <s v="8_국립축산과학원"/>
    <s v="0_본원"/>
    <x v="14"/>
    <s v="윤호백"/>
    <s v="기고"/>
    <s v="[기고] 윤호백 연구관-우리 민족의 역사와 함께하는 한우의 가치"/>
    <s v="농수축산신문"/>
    <d v="2019-06-14T00:00:00"/>
    <n v="6"/>
    <s v="17_농업전문지"/>
    <n v="8"/>
    <d v="2019-06-17T00:00:00"/>
  </r>
  <r>
    <n v="2473"/>
    <s v="8_국립축산과학원"/>
    <s v="1_축산생명환경부"/>
    <x v="7"/>
    <s v="이성대"/>
    <s v="보도자료52"/>
    <s v="가축도 덥다... 더위지수 예보 등장"/>
    <s v="MBC광주"/>
    <d v="2019-06-15T00:00:00"/>
    <m/>
    <s v="02_TV-지방"/>
    <n v="4"/>
    <d v="2019-06-17T00:00:00"/>
  </r>
  <r>
    <n v="2474"/>
    <s v="8_국립축산과학원"/>
    <s v="0_본원"/>
    <x v="2"/>
    <m/>
    <m/>
    <s v="영국 대학생들, 전북대에서 글로벌 리더십 키워"/>
    <s v="뉴스1"/>
    <d v="2019-06-14T00:00:00"/>
    <m/>
    <s v="07_중앙일간지"/>
    <n v="5"/>
    <d v="2019-06-17T00:00:00"/>
  </r>
  <r>
    <n v="2475"/>
    <s v="8_국립축산과학원"/>
    <s v="0_본원"/>
    <x v="4"/>
    <s v="전진주"/>
    <s v="보도자료54"/>
    <s v="농진청 닭 폭염 피해예방 선제대응"/>
    <s v="축산신문"/>
    <d v="2019-06-14T00:00:00"/>
    <n v="7"/>
    <s v="09_농업전문지"/>
    <n v="1.5"/>
    <d v="2019-06-17T00:00:00"/>
  </r>
  <r>
    <n v="2476"/>
    <s v="8_국립축산과학원"/>
    <s v="1_축산생명환경부"/>
    <x v="7"/>
    <s v="이성대"/>
    <s v="보도자료52"/>
    <s v="“가축 사육 기상정보, 휴대전화로 확인하세요”"/>
    <s v="한국농어민신문"/>
    <d v="2019-06-14T00:00:00"/>
    <n v="9"/>
    <s v="09_농업전문지"/>
    <n v="1.5"/>
    <d v="2019-06-17T00:00:00"/>
  </r>
  <r>
    <n v="2477"/>
    <s v="8_국립축산과학원"/>
    <s v="1_축산생명환경부"/>
    <x v="7"/>
    <s v="이성대"/>
    <s v="보도자료52"/>
    <s v="돼지 폭염 스트레스, 휴대폰으로 확인"/>
    <s v="양돈타임스"/>
    <d v="2019-06-13T00:00:00"/>
    <n v="7"/>
    <s v="09_농업전문지"/>
    <n v="1.5"/>
    <d v="2019-06-17T00:00:00"/>
  </r>
  <r>
    <n v="2478"/>
    <s v="8_국립축산과학원"/>
    <s v="0_본원"/>
    <x v="13"/>
    <s v="김창한"/>
    <s v="보도자료53"/>
    <s v="“여름철 사료 나눠 급여하세요”"/>
    <s v="양돈타임스"/>
    <d v="2019-06-13T00:00:00"/>
    <n v="7"/>
    <s v="09_농업전문지"/>
    <n v="1.5"/>
    <d v="2019-06-17T00:00:00"/>
  </r>
  <r>
    <n v="2479"/>
    <s v="8_국립축산과학원"/>
    <s v="0_본원"/>
    <x v="2"/>
    <s v="강희설"/>
    <m/>
    <s v="우리 토종닭 유전자, 중동 수출시장 물꼬 터"/>
    <s v="축산신문"/>
    <d v="2019-06-14T00:00:00"/>
    <n v="7"/>
    <s v="09_농업전문지"/>
    <n v="1.5"/>
    <d v="2019-06-17T00:00:00"/>
  </r>
  <r>
    <n v="2480"/>
    <s v="8_국립축산과학원"/>
    <s v="0_본원"/>
    <x v="2"/>
    <s v="강희설"/>
    <m/>
    <s v="우리 토종닭 종자 ‘중동’ 진출"/>
    <s v="농축유통신문"/>
    <d v="2019-06-14T00:00:00"/>
    <m/>
    <s v="09_농업전문지"/>
    <n v="1.5"/>
    <d v="2019-06-17T00:00:00"/>
  </r>
  <r>
    <n v="2481"/>
    <s v="8_국립축산과학원"/>
    <s v="0_본원"/>
    <x v="2"/>
    <s v="강희설"/>
    <m/>
    <s v="우리 토종닭, 중동 홀린다"/>
    <s v="농수축산신문"/>
    <d v="2019-06-14T00:00:00"/>
    <m/>
    <s v="09_농업전문지"/>
    <n v="1.5"/>
    <d v="2019-06-17T00:00:00"/>
  </r>
  <r>
    <n v="2482"/>
    <s v="8_국립축산과학원"/>
    <s v="0_본원"/>
    <x v="2"/>
    <m/>
    <m/>
    <s v="영국 학생들, 전북대서 전주 우수성 체험"/>
    <s v="전주매일"/>
    <d v="2019-06-14T00:00:00"/>
    <m/>
    <s v="09_지방일간지"/>
    <n v="1.5"/>
    <d v="2019-06-17T00:00:00"/>
  </r>
  <r>
    <n v="2483"/>
    <s v="8_국립축산과학원"/>
    <s v="0_본원"/>
    <x v="2"/>
    <m/>
    <m/>
    <s v="전북대 英학생 글로벌리더체험"/>
    <s v="전북중앙"/>
    <d v="2019-06-16T00:00:00"/>
    <m/>
    <s v="09_지방일간지"/>
    <n v="1.5"/>
    <d v="2019-06-17T00:00:00"/>
  </r>
  <r>
    <n v="2484"/>
    <s v="8_국립축산과학원"/>
    <s v="0_본원"/>
    <x v="2"/>
    <m/>
    <m/>
    <s v="영국 대학생들 전북대서 전주의 문화 배워"/>
    <s v="새전북신문"/>
    <d v="2019-06-16T00:00:00"/>
    <m/>
    <s v="09_지방일간지"/>
    <n v="1.5"/>
    <d v="2019-06-17T00:00:00"/>
  </r>
  <r>
    <n v="2485"/>
    <s v="8_국립축산과학원"/>
    <s v="1_축산생명환경부"/>
    <x v="7"/>
    <s v="이성대"/>
    <s v="보도자료52"/>
    <s v="‘가축 기상정보시스템’ 활용, 폭염 대비"/>
    <s v="낙농신문"/>
    <d v="2019-06-13T00:00:00"/>
    <n v="5"/>
    <s v="10_기타전문지"/>
    <n v="1"/>
    <d v="2019-06-17T00:00:00"/>
  </r>
  <r>
    <n v="2486"/>
    <s v="8_국립축산과학원"/>
    <s v="2_축산자원개발부"/>
    <x v="12"/>
    <s v="기광석"/>
    <m/>
    <s v="비타민K, 혈액응고 중요 역할 수행"/>
    <s v="낙농신문"/>
    <d v="2019-06-13T00:00:00"/>
    <n v="13"/>
    <s v="10_기타전문지"/>
    <n v="1"/>
    <d v="2019-06-17T00:00:00"/>
  </r>
  <r>
    <n v="2487"/>
    <s v="8_국립축산과학원"/>
    <s v="0_본원"/>
    <x v="2"/>
    <m/>
    <m/>
    <s v="영국 학생들, 전북대서 전주 우수성 체득하다"/>
    <s v="한국대학신문"/>
    <d v="2019-06-15T00:00:00"/>
    <m/>
    <s v="10_주간지"/>
    <n v="1"/>
    <d v="2019-06-17T00:00:00"/>
  </r>
  <r>
    <n v="2488"/>
    <s v="8_국립축산과학원"/>
    <s v="0_본원"/>
    <x v="2"/>
    <m/>
    <m/>
    <s v="영국 학생들, 전북대서 전주 우수성 체득하다"/>
    <s v="투데이안"/>
    <d v="2019-06-14T00:00:00"/>
    <m/>
    <s v="13_인터넷포털"/>
    <n v="0.1"/>
    <d v="2019-06-17T00:00:00"/>
  </r>
  <r>
    <n v="2489"/>
    <s v="8_국립축산과학원"/>
    <s v="0_본원"/>
    <x v="2"/>
    <m/>
    <m/>
    <s v="전북대, 영국 센트럴랭커셔대학 학생 초청해 글로벌리더 체험 프로그램 운영"/>
    <s v="대학저널"/>
    <d v="2019-06-14T00:00:00"/>
    <m/>
    <s v="13_인터넷포털"/>
    <n v="0.1"/>
    <d v="2019-06-17T00:00:00"/>
  </r>
  <r>
    <n v="2490"/>
    <s v="8_국립축산과학원"/>
    <s v="0_본원"/>
    <x v="2"/>
    <m/>
    <m/>
    <s v="전북대, 영궁의 리더 양성기관 주관 프로그램 운영"/>
    <s v="NSP통신"/>
    <d v="2019-06-14T00:00:00"/>
    <m/>
    <s v="13_인터넷포털"/>
    <n v="0.1"/>
    <d v="2019-06-17T00:00:00"/>
  </r>
  <r>
    <n v="2491"/>
    <s v="8_국립축산과학원"/>
    <s v="0_본원"/>
    <x v="2"/>
    <m/>
    <m/>
    <s v="영국 대학생들, 전북대글로벌리더 체험프로그램 ‘호응’"/>
    <s v="포커스데일리"/>
    <d v="2019-06-14T00:00:00"/>
    <m/>
    <s v="13_인터넷포털"/>
    <n v="0.1"/>
    <d v="2019-06-17T00:00:00"/>
  </r>
  <r>
    <n v="2492"/>
    <s v="8_국립축산과학원"/>
    <s v="0_본원"/>
    <x v="2"/>
    <m/>
    <m/>
    <s v="영국 대학생들의 전주 우수성 체득하기"/>
    <s v="쿠키뉴스"/>
    <d v="2019-06-16T00:00:00"/>
    <m/>
    <s v="13_인터넷포털"/>
    <n v="0.1"/>
    <d v="2019-06-17T00:00:00"/>
  </r>
  <r>
    <n v="2493"/>
    <s v="8_국립축산과학원"/>
    <s v="0_본원"/>
    <x v="13"/>
    <s v="김창한"/>
    <s v="보도자료53"/>
    <s v="농진청 “더울수록 가축 먹이·환경 관리 신경써야”"/>
    <s v="매일경제"/>
    <d v="2019-06-06T00:00:00"/>
    <m/>
    <s v="07_중앙일간지"/>
    <n v="5"/>
    <d v="2019-06-18T00:00:00"/>
  </r>
  <r>
    <n v="2494"/>
    <s v="8_국립축산과학원"/>
    <s v="0_본원"/>
    <x v="2"/>
    <m/>
    <m/>
    <s v="전북대, 영국 리더 양성기관 주관 프로그램 운영"/>
    <s v="신아일보"/>
    <d v="2019-06-17T00:00:00"/>
    <m/>
    <s v="08_기타일간지"/>
    <n v="2"/>
    <d v="2019-06-18T00:00:00"/>
  </r>
  <r>
    <n v="2495"/>
    <s v="8_국립축산과학원"/>
    <s v="0_본원"/>
    <x v="4"/>
    <s v="전진주"/>
    <s v="보도자료54"/>
    <s v="농진청, 닭 사육농가 폭염 피해 선제 대응"/>
    <s v="환경일보"/>
    <d v="2019-06-12T00:00:00"/>
    <m/>
    <s v="08_기타일간지"/>
    <n v="2"/>
    <d v="2019-06-18T00:00:00"/>
  </r>
  <r>
    <n v="2496"/>
    <s v="8_국립축산과학원"/>
    <s v="0_본원"/>
    <x v="14"/>
    <s v="장선식"/>
    <s v="보도자료55"/>
    <s v="거세한우 잘 키우는 최고의 기술은?"/>
    <s v="농업인신문"/>
    <d v="2019-06-17T00:00:00"/>
    <n v="4"/>
    <s v="09_농업전문지"/>
    <n v="1.5"/>
    <d v="2019-06-18T00:00:00"/>
  </r>
  <r>
    <n v="2497"/>
    <s v="8_국립축산과학원"/>
    <s v="0_본원"/>
    <x v="4"/>
    <s v="전진주"/>
    <s v="보도자료54"/>
    <s v="닭 사육농가 폭염 피해 예방 선제 대응 나서"/>
    <s v="농업인신문"/>
    <d v="2019-06-17T00:00:00"/>
    <n v="4"/>
    <s v="09_농업전문지"/>
    <n v="1.5"/>
    <d v="2019-06-18T00:00:00"/>
  </r>
  <r>
    <n v="2498"/>
    <s v="8_국립축산과학원"/>
    <s v="0_본원"/>
    <x v="4"/>
    <s v="전진주"/>
    <s v="보도자료54"/>
    <s v="닭 사육농가 폭염피해 예방 ‘선제 대응’"/>
    <s v="농축환경신문"/>
    <d v="2019-06-13T00:00:00"/>
    <n v="5"/>
    <s v="09_농업전문지"/>
    <n v="1.5"/>
    <d v="2019-06-18T00:00:00"/>
  </r>
  <r>
    <n v="2499"/>
    <s v="8_국립축산과학원"/>
    <s v="1_축산생명환경부"/>
    <x v="7"/>
    <s v="이성대"/>
    <s v="보도자료52"/>
    <s v="‘가축 더위스트레스’로 폭염 대비해요"/>
    <s v="농업축산신문"/>
    <d v="2019-06-10T00:00:00"/>
    <n v="6"/>
    <s v="09_농업전문지"/>
    <n v="1.5"/>
    <d v="2019-06-18T00:00:00"/>
  </r>
  <r>
    <n v="2500"/>
    <s v="8_국립축산과학원"/>
    <s v="1_축산생명환경부"/>
    <x v="5"/>
    <s v="김진형"/>
    <m/>
    <s v="이재욱 차관, 축산물 수출 점검 회의 열어"/>
    <s v="한국영농신문"/>
    <d v="2019-06-17T00:00:00"/>
    <m/>
    <s v="09_농업전문지"/>
    <n v="1.5"/>
    <d v="2019-06-18T00:00:00"/>
  </r>
  <r>
    <n v="2501"/>
    <s v="8_국립축산과학원"/>
    <s v="0_본원"/>
    <x v="13"/>
    <s v="김창한"/>
    <s v="보도자료53"/>
    <s v="더울수록 가축도 먹이, 환경 관리 신경 써야"/>
    <s v="한국영농신문"/>
    <d v="2019-06-13T00:00:00"/>
    <m/>
    <s v="09_농업전문지"/>
    <n v="1.5"/>
    <d v="2019-06-18T00:00:00"/>
  </r>
  <r>
    <n v="2502"/>
    <s v="8_국립축산과학원"/>
    <s v="0_본원"/>
    <x v="13"/>
    <s v="김창한"/>
    <s v="보도자료53"/>
    <s v="더울수록 가축도 먹이, 환경 관리 신경 써야"/>
    <s v="농축유통신문"/>
    <d v="2019-06-14T00:00:00"/>
    <m/>
    <s v="09_농업전문지"/>
    <n v="1.5"/>
    <d v="2019-06-18T00:00:00"/>
  </r>
  <r>
    <n v="2503"/>
    <s v="8_국립축산과학원"/>
    <s v="0_본원"/>
    <x v="2"/>
    <m/>
    <m/>
    <s v="전북대, 영국의 리더 양성기관 주관 프로그램 운영"/>
    <s v="새만금일보"/>
    <d v="2019-06-17T00:00:00"/>
    <n v="3"/>
    <s v="09_지방일간지"/>
    <n v="1.5"/>
    <d v="2019-06-18T00:00:00"/>
  </r>
  <r>
    <n v="2504"/>
    <s v="8_국립축산과학원"/>
    <s v="0_본원"/>
    <x v="2"/>
    <m/>
    <m/>
    <s v="영국 대학생, 전북대서 전주 우수성 체험 "/>
    <s v="전주일보"/>
    <d v="2019-06-17T00:00:00"/>
    <n v="4"/>
    <s v="09_지방일간지"/>
    <n v="1.5"/>
    <d v="2019-06-18T00:00:00"/>
  </r>
  <r>
    <n v="2505"/>
    <s v="8_국립축산과학원"/>
    <s v="0_본원"/>
    <x v="2"/>
    <m/>
    <m/>
    <s v="전북대, 영국 학생 초청 글로벌리더 체험 프로그램 ‘호응’"/>
    <s v="삼남일보"/>
    <d v="2019-06-17T00:00:00"/>
    <n v="2"/>
    <s v="09_지방일간지"/>
    <n v="1.5"/>
    <d v="2019-06-18T00:00:00"/>
  </r>
  <r>
    <n v="2506"/>
    <s v="8_국립축산과학원"/>
    <s v="0_본원"/>
    <x v="13"/>
    <s v="김창한"/>
    <s v="보도자료53"/>
    <s v="농진청 “더울수록 가축 먹이·환경 관리 신경써야”"/>
    <s v="부산일보"/>
    <d v="2019-06-06T00:00:00"/>
    <m/>
    <s v="09_지방일간지"/>
    <n v="1.5"/>
    <d v="2019-06-18T00:00:00"/>
  </r>
  <r>
    <n v="2507"/>
    <s v="8_국립축산과학원"/>
    <s v="0_본원"/>
    <x v="13"/>
    <s v="김창한"/>
    <s v="보도자료53"/>
    <s v="더울수록 가축도 먹이, 환경 관리 신경 써야"/>
    <s v="정책브리핑"/>
    <d v="2019-06-07T00:00:00"/>
    <m/>
    <s v="12_대한민국 정책포털(korea.kr)"/>
    <n v="1"/>
    <d v="2019-06-18T00:00:00"/>
  </r>
  <r>
    <n v="2508"/>
    <s v="8_국립축산과학원"/>
    <s v="0_본원"/>
    <x v="4"/>
    <s v="전진주"/>
    <s v="보도자료54"/>
    <s v="닭 사육농가 폭염피해 사전 관리요령 제시"/>
    <s v="식약일보"/>
    <d v="2019-06-11T00:00:00"/>
    <m/>
    <s v="10_기타전문지"/>
    <n v="1"/>
    <d v="2019-06-18T00:00:00"/>
  </r>
  <r>
    <n v="2509"/>
    <s v="8_국립축산과학원"/>
    <s v="0_본원"/>
    <x v="13"/>
    <s v="정성훈"/>
    <m/>
    <s v="양평 종합컨설팅으로 한우농가 애로기술 해결!"/>
    <s v="동부중앙신문"/>
    <d v="2019-06-18T00:00:00"/>
    <m/>
    <s v="11_기타(지역주간지)"/>
    <n v="0.5"/>
    <d v="2019-06-18T00:00:00"/>
  </r>
  <r>
    <n v="2510"/>
    <s v="8_국립축산과학원"/>
    <s v="0_본원"/>
    <x v="13"/>
    <s v="정성훈"/>
    <m/>
    <s v="양평군, 맞춤형 종합컨설팅으로 한우농가 애로기술 해결"/>
    <s v="데일리와이"/>
    <d v="2019-06-18T00:00:00"/>
    <m/>
    <s v="13_인터넷포털"/>
    <n v="0.1"/>
    <d v="2019-06-18T00:00:00"/>
  </r>
  <r>
    <n v="2511"/>
    <s v="8_국립축산과학원"/>
    <s v="0_본원"/>
    <x v="13"/>
    <s v="정성훈"/>
    <m/>
    <s v="양평군, 맞춤형 종합컨설팅으로 한우농가 애로기술 해결"/>
    <s v="케이에스피뉴스"/>
    <d v="2019-06-18T00:00:00"/>
    <m/>
    <s v="13_인터넷포털"/>
    <n v="0.1"/>
    <d v="2019-06-18T00:00:00"/>
  </r>
  <r>
    <n v="2512"/>
    <s v="8_국립축산과학원"/>
    <s v="0_본원"/>
    <x v="13"/>
    <s v="정성훈"/>
    <m/>
    <s v="양평군, 맞춤형 종합컨설팅으로 한우농가 애로기술 해결"/>
    <s v="미디어투데이"/>
    <d v="2019-06-18T00:00:00"/>
    <m/>
    <s v="13_인터넷포털"/>
    <n v="0.1"/>
    <d v="2019-06-18T00:00:00"/>
  </r>
  <r>
    <n v="2513"/>
    <s v="8_국립축산과학원"/>
    <s v="0_본원"/>
    <x v="13"/>
    <s v="정성훈"/>
    <m/>
    <s v="양평군, 맞춤형 종합컨설팅으로 한우농가 애로기술 해결"/>
    <s v="경기인터넷뉴스"/>
    <d v="2019-06-18T00:00:00"/>
    <m/>
    <s v="13_인터넷포털"/>
    <n v="0.1"/>
    <d v="2019-06-18T00:00:00"/>
  </r>
  <r>
    <n v="2514"/>
    <s v="8_국립축산과학원"/>
    <s v="0_본원"/>
    <x v="13"/>
    <s v="정성훈"/>
    <m/>
    <s v="양평군, 맞춤형 종합컨설팅으로 한우농가 애로기술 해결"/>
    <s v="뉴스후"/>
    <d v="2019-06-18T00:00:00"/>
    <m/>
    <s v="13_인터넷포털"/>
    <n v="0.1"/>
    <d v="2019-06-18T00:00:00"/>
  </r>
  <r>
    <n v="2515"/>
    <s v="8_국립축산과학원"/>
    <s v="0_본원"/>
    <x v="13"/>
    <s v="정성훈"/>
    <m/>
    <s v="양평군, 맞춤형 종합컨설팅으로 한우농가 애로기술 해결"/>
    <s v="중부뉴스통신"/>
    <d v="2019-06-18T00:00:00"/>
    <m/>
    <s v="13_인터넷포털"/>
    <n v="0.1"/>
    <d v="2019-06-18T00:00:00"/>
  </r>
  <r>
    <n v="2516"/>
    <s v="8_국립축산과학원"/>
    <s v="0_본원"/>
    <x v="4"/>
    <s v="전진주"/>
    <s v="보도자료54"/>
    <s v="농촌진흥청, 닭 사육농가 폭염 피해 예방 ‘선제 대응’"/>
    <s v="로컬투데이"/>
    <d v="2019-06-11T00:00:00"/>
    <m/>
    <s v="13_인터넷포털"/>
    <n v="0.1"/>
    <d v="2019-06-18T00:00:00"/>
  </r>
  <r>
    <n v="2517"/>
    <s v="8_국립축산과학원"/>
    <s v="0_본원"/>
    <x v="4"/>
    <s v="전진주"/>
    <s v="보도자료54"/>
    <s v="농촌진흥청, 닭 사육농가 폭염 피해 에방 선제 대응 나서"/>
    <s v="국토매일"/>
    <d v="2019-06-11T00:00:00"/>
    <m/>
    <s v="13_인터넷포털"/>
    <n v="0.1"/>
    <d v="2019-06-18T00:00:00"/>
  </r>
  <r>
    <n v="2518"/>
    <s v="8_국립축산과학원"/>
    <s v="0_본원"/>
    <x v="4"/>
    <s v="전진주"/>
    <s v="보도자료54"/>
    <s v="농촌진흥청, 닭 사육농가 폭염 피해 예방 선제 대응 나서"/>
    <s v="중부뉴스통신"/>
    <d v="2019-06-11T00:00:00"/>
    <m/>
    <s v="13_인터넷포털"/>
    <n v="0.1"/>
    <d v="2019-06-18T00:00:00"/>
  </r>
  <r>
    <n v="2519"/>
    <s v="8_국립축산과학원"/>
    <s v="0_본원"/>
    <x v="4"/>
    <s v="전진주"/>
    <s v="보도자료54"/>
    <s v="농촌진흥청, 닭 사육농가 폭염 피해 예방 선제 대응 나서"/>
    <s v="강원경제신문"/>
    <d v="2019-06-11T00:00:00"/>
    <m/>
    <s v="13_인터넷포털"/>
    <n v="0.1"/>
    <d v="2019-06-18T00:00:00"/>
  </r>
  <r>
    <n v="2520"/>
    <s v="8_국립축산과학원"/>
    <s v="0_본원"/>
    <x v="4"/>
    <s v="전진주"/>
    <s v="보도자료54"/>
    <s v="농식품부·육계협회, 양계농가 폭염피해 예방 교육"/>
    <s v="에코저널"/>
    <d v="2019-06-12T00:00:00"/>
    <m/>
    <s v="13_인터넷포털"/>
    <n v="0.1"/>
    <d v="2019-06-18T00:00:00"/>
  </r>
  <r>
    <n v="2521"/>
    <s v="8_국립축산과학원"/>
    <s v="0_본원"/>
    <x v="4"/>
    <s v="전진주"/>
    <s v="보도자료54"/>
    <s v="올 여름 폭염, 닭 사육농가 피해 방지하세요"/>
    <s v="농업경제신문"/>
    <d v="2019-06-12T00:00:00"/>
    <m/>
    <s v="13_인터넷포털"/>
    <n v="0.1"/>
    <d v="2019-06-18T00:00:00"/>
  </r>
  <r>
    <n v="2522"/>
    <s v="8_국립축산과학원"/>
    <s v="0_본원"/>
    <x v="4"/>
    <s v="천동원"/>
    <s v="기고"/>
    <s v="[기고] 천동원 소장-축산현장 애로기술 해결 위한 닭 키우기[100문 100답] Q62,63"/>
    <s v="축산신문"/>
    <d v="2019-06-18T00:00:00"/>
    <n v="15"/>
    <s v="17_농업전문지"/>
    <n v="8"/>
    <d v="2019-06-19T00:00:00"/>
  </r>
  <r>
    <n v="2523"/>
    <s v="8_국립축산과학원"/>
    <s v="0_본원"/>
    <x v="14"/>
    <s v="한만희"/>
    <m/>
    <s v="한우 사육기간 3개월 줄여 사료비 23만원 낮췄다"/>
    <s v="아주경제"/>
    <d v="2019-06-19T00:00:00"/>
    <n v="18"/>
    <s v="07_중앙일간지"/>
    <n v="5"/>
    <d v="2019-06-19T00:00:00"/>
  </r>
  <r>
    <n v="2524"/>
    <s v="8_국립축산과학원"/>
    <s v="0_본원"/>
    <x v="14"/>
    <s v="정기용"/>
    <m/>
    <s v="“한우 유전정보로 등급 올리고 비용은 절감”"/>
    <s v="아주경제"/>
    <d v="2019-06-19T00:00:00"/>
    <n v="18"/>
    <s v="07_중앙일간지"/>
    <n v="5"/>
    <d v="2019-06-19T00:00:00"/>
  </r>
  <r>
    <n v="2525"/>
    <s v="8_국립축산과학원"/>
    <s v="0_본원"/>
    <x v="13"/>
    <s v="정성훈"/>
    <m/>
    <s v="양평군, 한우농가 애로 맞춤형 종합컨설팅"/>
    <s v="뉴시스"/>
    <d v="2019-06-18T00:00:00"/>
    <m/>
    <s v="07_중앙일간지"/>
    <n v="5"/>
    <d v="2019-06-19T00:00:00"/>
  </r>
  <r>
    <n v="2526"/>
    <s v="8_국립축산과학원"/>
    <s v="1_축산생명환경부"/>
    <x v="7"/>
    <s v="이유경"/>
    <m/>
    <s v="대전지방기상청-국립축산과학원-충남 부여군, 서비스 디자인 활동 시작"/>
    <s v="아시아뉴스통신"/>
    <d v="2019-06-18T00:00:00"/>
    <m/>
    <s v="07_중앙일간지"/>
    <n v="5"/>
    <d v="2019-06-19T00:00:00"/>
  </r>
  <r>
    <n v="2527"/>
    <s v="8_국립축산과학원"/>
    <s v="0_본원"/>
    <x v="14"/>
    <s v="장선식"/>
    <s v="보도자료55"/>
    <s v="6~7개월령 거세 시 출하성적 가장 우수"/>
    <s v="축산신문"/>
    <d v="2019-06-18T00:00:00"/>
    <n v="4"/>
    <s v="09_농업전문지"/>
    <n v="1.5"/>
    <d v="2019-06-19T00:00:00"/>
  </r>
  <r>
    <n v="2528"/>
    <s v="8_국립축산과학원"/>
    <s v="0_본원"/>
    <x v="4"/>
    <s v="전진주"/>
    <s v="보도자료54"/>
    <s v="농진청, 닭 사육농가 폭염 피해 예방 선제 대응 나서"/>
    <s v="한국영농신문"/>
    <d v="2019-06-17T00:00:00"/>
    <n v="4"/>
    <s v="09_농업전문지"/>
    <n v="1.5"/>
    <d v="2019-06-19T00:00:00"/>
  </r>
  <r>
    <n v="2529"/>
    <s v="8_국립축산과학원"/>
    <s v="0_본원"/>
    <x v="4"/>
    <s v="전진주"/>
    <s v="보도자료54"/>
    <s v="닭 사육농가 폭염 피해 최소화 교육 실시"/>
    <s v="농수축산신문"/>
    <d v="2019-06-18T00:00:00"/>
    <n v="11"/>
    <s v="09_농업전문지"/>
    <n v="1.5"/>
    <d v="2019-06-19T00:00:00"/>
  </r>
  <r>
    <n v="2530"/>
    <s v="8_국립축산과학원"/>
    <s v="0_본원"/>
    <x v="2"/>
    <s v="양창범"/>
    <m/>
    <s v="구제역 백신 접종 피해 줄이려면 “ICT장비 활용, 효과적 대안”"/>
    <s v="축산신문"/>
    <d v="2019-06-18T00:00:00"/>
    <n v="5"/>
    <s v="09_농업전문지"/>
    <n v="1.5"/>
    <d v="2019-06-19T00:00:00"/>
  </r>
  <r>
    <n v="2531"/>
    <s v="8_국립축산과학원"/>
    <s v="0_본원"/>
    <x v="2"/>
    <s v="강희설"/>
    <m/>
    <s v="우리 ‘토종닭’, 중동지역 최초로 카타르에 수출"/>
    <s v="한국영농신문"/>
    <d v="2019-06-17T00:00:00"/>
    <n v="5"/>
    <s v="09_농업전문지"/>
    <n v="1.5"/>
    <d v="2019-06-19T00:00:00"/>
  </r>
  <r>
    <n v="2532"/>
    <s v="8_국립축산과학원"/>
    <s v="0_본원"/>
    <x v="4"/>
    <s v="전진주"/>
    <s v="보도자료54"/>
    <s v="닭 사육농가 폭염 피해 예방 선제 대응 나서"/>
    <s v="농업인신문"/>
    <d v="2019-06-14T00:00:00"/>
    <m/>
    <s v="09_농업전문지"/>
    <n v="1.5"/>
    <d v="2019-06-19T00:00:00"/>
  </r>
  <r>
    <n v="2533"/>
    <s v="8_국립축산과학원"/>
    <s v="0_본원"/>
    <x v="14"/>
    <s v="장선식"/>
    <s v="보도자료55"/>
    <s v="거세한우 잘 키우는 최고기술은…"/>
    <s v="농촌여성신문"/>
    <d v="2019-06-14T00:00:00"/>
    <m/>
    <s v="09_농업전문지"/>
    <n v="1.5"/>
    <d v="2019-06-19T00:00:00"/>
  </r>
  <r>
    <n v="2534"/>
    <s v="8_국립축산과학원"/>
    <s v="0_본원"/>
    <x v="14"/>
    <s v="장선식"/>
    <s v="보도자료55"/>
    <s v="‘거세한우’ 6~7개 월령 거세하면 좋아"/>
    <s v="농축유통신문"/>
    <d v="2019-06-14T00:00:00"/>
    <m/>
    <s v="09_농업전문지"/>
    <n v="1.5"/>
    <d v="2019-06-19T00:00:00"/>
  </r>
  <r>
    <n v="2535"/>
    <s v="8_국립축산과학원"/>
    <s v="0_본원"/>
    <x v="14"/>
    <s v="장선식"/>
    <s v="보도자료55"/>
    <s v="농진청, 거세 한우 사육 기술 소개"/>
    <s v="한국영농신문"/>
    <d v="2019-06-16T00:00:00"/>
    <m/>
    <s v="09_농업전문지"/>
    <n v="1.5"/>
    <d v="2019-06-19T00:00:00"/>
  </r>
  <r>
    <n v="2536"/>
    <s v="8_국립축산과학원"/>
    <s v="0_본원"/>
    <x v="14"/>
    <s v="장선식"/>
    <s v="보도자료55"/>
    <s v="“우수 거세우 키우려면...6~7개월령 거세를”"/>
    <s v="한국농어민신문"/>
    <d v="2019-06-18T00:00:00"/>
    <m/>
    <s v="09_농업전문지"/>
    <n v="1.5"/>
    <d v="2019-06-19T00:00:00"/>
  </r>
  <r>
    <n v="2537"/>
    <s v="8_국립축산과학원"/>
    <s v="0_본원"/>
    <x v="14"/>
    <s v="장선식"/>
    <s v="보도자료55"/>
    <s v="거세 한우 잘 키우는 방법은?"/>
    <s v="전업농신문"/>
    <d v="2019-06-12T00:00:00"/>
    <m/>
    <s v="09_농업전문지"/>
    <n v="1.5"/>
    <d v="2019-06-19T00:00:00"/>
  </r>
  <r>
    <n v="2538"/>
    <s v="8_국립축산과학원"/>
    <s v="0_본원"/>
    <x v="4"/>
    <s v="강보석"/>
    <m/>
    <s v="음성군·농진청, 가금류 폭염피해 최소화 앞장"/>
    <s v="충청매일"/>
    <d v="2019-06-18T00:00:00"/>
    <n v="6"/>
    <s v="09_지방일간지"/>
    <n v="1.5"/>
    <d v="2019-06-19T00:00:00"/>
  </r>
  <r>
    <n v="2539"/>
    <s v="8_국립축산과학원"/>
    <s v="0_본원"/>
    <x v="4"/>
    <s v="강보석"/>
    <m/>
    <s v="음성농기센터, 폭염 피해 선제적 대응"/>
    <s v="중부매일"/>
    <d v="2019-06-18T00:00:00"/>
    <n v="16"/>
    <s v="09_지방일간지"/>
    <n v="1.5"/>
    <d v="2019-06-19T00:00:00"/>
  </r>
  <r>
    <n v="2540"/>
    <s v="8_국립축산과학원"/>
    <s v="0_본원"/>
    <x v="4"/>
    <s v="강보석"/>
    <m/>
    <s v="음성군-농촌진흥청, 폭염피해 예방 사전 교육"/>
    <s v="동양일보"/>
    <d v="2019-06-18T00:00:00"/>
    <n v="8"/>
    <s v="09_지방일간지"/>
    <n v="1.5"/>
    <d v="2019-06-19T00:00:00"/>
  </r>
  <r>
    <n v="2541"/>
    <s v="8_국립축산과학원"/>
    <s v="0_본원"/>
    <x v="4"/>
    <s v="강보석"/>
    <m/>
    <s v="음성군 농기센터·농촌진흥청, 가금 농가 사전 교육"/>
    <s v="충청신문"/>
    <d v="2019-06-18T00:00:00"/>
    <n v="12"/>
    <s v="09_지방일간지"/>
    <n v="1.5"/>
    <d v="2019-06-19T00:00:00"/>
  </r>
  <r>
    <n v="2542"/>
    <s v="8_국립축산과학원"/>
    <s v="0_본원"/>
    <x v="13"/>
    <s v="정성훈"/>
    <m/>
    <s v="농진청 국립축산원, 한우농가 맞춤형 종합컨설팅"/>
    <s v="수도권일보"/>
    <d v="2019-06-18T00:00:00"/>
    <m/>
    <s v="09_지방일간지"/>
    <n v="1.5"/>
    <d v="2019-06-19T00:00:00"/>
  </r>
  <r>
    <n v="2543"/>
    <s v="8_국립축산과학원"/>
    <s v="0_본원"/>
    <x v="13"/>
    <s v="정성훈"/>
    <m/>
    <s v="국립축산과학원+양평군농업기술센터 한우농가 애로기술 해결...맞춤형 컨설팅↑"/>
    <s v="시대일보"/>
    <d v="2019-06-18T00:00:00"/>
    <m/>
    <s v="09_지방일간지"/>
    <n v="1.5"/>
    <d v="2019-06-19T00:00:00"/>
  </r>
  <r>
    <n v="2544"/>
    <s v="8_국립축산과학원"/>
    <s v="1_축산생명환경부"/>
    <x v="7"/>
    <s v="이유경"/>
    <m/>
    <s v="대전지방기상청, 수요자 중심 기상서비스 발굴"/>
    <s v="대전일보"/>
    <d v="2019-06-18T00:00:00"/>
    <m/>
    <s v="09_지방일간지"/>
    <n v="1.5"/>
    <d v="2019-06-19T00:00:00"/>
  </r>
  <r>
    <n v="2545"/>
    <s v="8_국립축산과학원"/>
    <s v="0_본원"/>
    <x v="4"/>
    <s v="전진주"/>
    <s v="보도자료54"/>
    <s v="농촌진흥청, 닭 사육농가 폭염 피해 예방 선제 대응 나서"/>
    <s v="정책브리핑"/>
    <d v="2019-06-11T00:00:00"/>
    <m/>
    <s v="12_대한민국 정책포털(korea.kr)"/>
    <n v="1"/>
    <d v="2019-06-19T00:00:00"/>
  </r>
  <r>
    <n v="2546"/>
    <s v="8_국립축산과학원"/>
    <s v="0_본원"/>
    <x v="14"/>
    <s v="장선식"/>
    <s v="보도자료55"/>
    <s v="거세한우 잘 키우는 최고의 기술은?"/>
    <s v="정책브리핑"/>
    <d v="2019-06-12T00:00:00"/>
    <m/>
    <s v="12_대한민국 정책포털(korea.kr)"/>
    <n v="1"/>
    <d v="2019-06-19T00:00:00"/>
  </r>
  <r>
    <n v="2547"/>
    <s v="8_국립축산과학원"/>
    <s v="1_축산생명환경부"/>
    <x v="7"/>
    <s v="이유경"/>
    <m/>
    <s v="대전기상청, 기상서비스 혁신...국민디자인단 발대식"/>
    <s v="세종방송"/>
    <d v="2019-06-18T00:00:00"/>
    <m/>
    <s v="13_인터넷포털"/>
    <n v="0.1"/>
    <d v="2019-06-19T00:00:00"/>
  </r>
  <r>
    <n v="2548"/>
    <s v="8_국립축산과학원"/>
    <s v="0_본원"/>
    <x v="13"/>
    <s v="정성훈"/>
    <m/>
    <s v="양평군, 한우농가 맞춤형 종합컨설팅 실시"/>
    <s v="미디어연합"/>
    <d v="2019-06-18T00:00:00"/>
    <m/>
    <s v="13_인터넷포털"/>
    <n v="0.1"/>
    <d v="2019-06-19T00:00:00"/>
  </r>
  <r>
    <n v="2549"/>
    <s v="8_국립축산과학원"/>
    <s v="1_축산생명환경부"/>
    <x v="7"/>
    <s v="이유경"/>
    <m/>
    <s v="대전기상 기상서비스 혁신, 국민디자인단 발대식 개최"/>
    <s v="충청탑뉴스"/>
    <d v="2019-06-18T00:00:00"/>
    <m/>
    <s v="13_인터넷포털"/>
    <n v="0.1"/>
    <d v="2019-06-19T00:00:00"/>
  </r>
  <r>
    <n v="2550"/>
    <s v="8_국립축산과학원"/>
    <s v="0_본원"/>
    <x v="4"/>
    <s v="전진주"/>
    <s v="보도자료54"/>
    <s v="농촌진흥청, 닭 사육농가 폭염 피해 예방 선제 대응 나서"/>
    <s v="뉴스렙"/>
    <d v="2019-06-11T00:00:00"/>
    <m/>
    <s v="13_인터넷포털"/>
    <n v="0.1"/>
    <d v="2019-06-19T00:00:00"/>
  </r>
  <r>
    <n v="2551"/>
    <s v="8_국립축산과학원"/>
    <s v="0_본원"/>
    <x v="4"/>
    <s v="강보석"/>
    <m/>
    <s v="가금분야 폭염 피해 예방 선제 대응 나서"/>
    <s v="무진장뉴스i"/>
    <d v="2019-06-11T00:00:00"/>
    <m/>
    <s v="13_인터넷포털"/>
    <n v="0.1"/>
    <d v="2019-06-19T00:00:00"/>
  </r>
  <r>
    <n v="2552"/>
    <s v="8_국립축산과학원"/>
    <s v="0_본원"/>
    <x v="4"/>
    <s v="강보석"/>
    <m/>
    <s v="진안군, 농촌진흥청과 가금분야 폭염 피해 예방 선제 대응 나서"/>
    <s v="세종타임즈"/>
    <d v="2019-06-11T00:00:00"/>
    <m/>
    <s v="13_인터넷포털"/>
    <n v="0.1"/>
    <d v="2019-06-19T00:00:00"/>
  </r>
  <r>
    <n v="2553"/>
    <s v="8_국립축산과학원"/>
    <s v="0_본원"/>
    <x v="4"/>
    <s v="강보석"/>
    <m/>
    <s v="진안군, 농촌진흥청과 가금분야 폭염 피해 예방 선제 대응 나서"/>
    <s v="경제투데이"/>
    <d v="2019-06-11T00:00:00"/>
    <m/>
    <s v="13_인터넷포털"/>
    <n v="0.1"/>
    <d v="2019-06-19T00:00:00"/>
  </r>
  <r>
    <n v="2554"/>
    <s v="8_국립축산과학원"/>
    <s v="0_본원"/>
    <x v="4"/>
    <s v="강보석"/>
    <m/>
    <s v="농촌진흥청, 닭 사육농가 폭염 피해 예방 선제 대응 나서"/>
    <s v="로컬라이프"/>
    <d v="2019-06-11T00:00:00"/>
    <m/>
    <s v="13_인터넷포털"/>
    <n v="0.1"/>
    <d v="2019-06-19T00:00:00"/>
  </r>
  <r>
    <n v="2555"/>
    <s v="8_국립축산과학원"/>
    <s v="0_본원"/>
    <x v="4"/>
    <s v="천동원"/>
    <s v="기고"/>
    <s v="[기고] 천동원 소장-축산현장 애로기술 해결 위한 닭 키우기[100문 100답] Q64,65"/>
    <s v="축산신문"/>
    <d v="2019-06-21T00:00:00"/>
    <n v="15"/>
    <s v="17_농업전문지"/>
    <n v="8"/>
    <d v="2019-06-24T00:00:00"/>
  </r>
  <r>
    <n v="2556"/>
    <s v="8_국립축산과학원"/>
    <s v="2_축산자원개발부"/>
    <x v="8"/>
    <s v="박미나"/>
    <s v="기고"/>
    <s v="[기고] 박미나 연구관-한우 유전체 선발 농가 서비스 체계 구축"/>
    <s v="농수축산신문"/>
    <d v="2019-06-21T00:00:00"/>
    <n v="7"/>
    <s v="17_농업전문지"/>
    <n v="8"/>
    <d v="2019-06-24T00:00:00"/>
  </r>
  <r>
    <n v="2557"/>
    <s v="8_국립축산과학원"/>
    <s v="1_축산생명환경부"/>
    <x v="7"/>
    <s v="이슬"/>
    <s v="보도자료57"/>
    <s v="기후변화 대응 위해 국내외 축산 전문가 모인다"/>
    <s v="서울신문"/>
    <d v="2019-06-21T00:00:00"/>
    <m/>
    <s v="07_중앙일간지"/>
    <n v="5"/>
    <d v="2019-06-24T00:00:00"/>
  </r>
  <r>
    <n v="2558"/>
    <s v="8_국립축산과학원"/>
    <s v="2_축산자원개발부"/>
    <x v="0"/>
    <s v="문홍길"/>
    <m/>
    <s v="김천, 지례흑돼지 명성 재현"/>
    <s v="아시아투데이"/>
    <d v="2019-06-24T00:00:00"/>
    <m/>
    <s v="07_중앙일간지"/>
    <n v="5"/>
    <d v="2019-06-24T00:00:00"/>
  </r>
  <r>
    <n v="2559"/>
    <s v="8_국립축산과학원"/>
    <s v="1_축산생명환경부"/>
    <x v="7"/>
    <s v="이슬"/>
    <s v="보도자료57"/>
    <s v="농촌진흥청, ‘축산 부문 기후변화 완화 국제심포지엄’ 개최"/>
    <s v="매일일보"/>
    <d v="2019-06-20T00:00:00"/>
    <m/>
    <s v="08_기타일간지"/>
    <n v="2"/>
    <d v="2019-06-24T00:00:00"/>
  </r>
  <r>
    <n v="2560"/>
    <s v="8_국립축산과학원"/>
    <s v="1_축산생명환경부"/>
    <x v="7"/>
    <s v="이유경"/>
    <m/>
    <s v="부여, 폭염피해 예방 시책 추진"/>
    <s v="서울일보"/>
    <d v="2019-06-21T00:00:00"/>
    <n v="13"/>
    <s v="08_기타일간지"/>
    <n v="2"/>
    <d v="2019-06-24T00:00:00"/>
  </r>
  <r>
    <n v="2561"/>
    <s v="8_국립축산과학원"/>
    <s v="0_본원"/>
    <x v="4"/>
    <s v="강환구"/>
    <m/>
    <s v="닭 사육농가 폭염피해예방 선제 대응"/>
    <s v="아시아일보"/>
    <d v="2019-06-21T00:00:00"/>
    <n v="7"/>
    <s v="08_기타일간지"/>
    <n v="2"/>
    <d v="2019-06-24T00:00:00"/>
  </r>
  <r>
    <n v="2562"/>
    <s v="8_국립축산과학원"/>
    <s v="0_본원"/>
    <x v="2"/>
    <s v="양창범"/>
    <m/>
    <s v="축산학회 종합심포지엄·학술발표회"/>
    <s v="축산신문"/>
    <d v="2019-06-21T00:00:00"/>
    <n v="12"/>
    <s v="09_농업전문지"/>
    <n v="1.5"/>
    <d v="2019-06-24T00:00:00"/>
  </r>
  <r>
    <n v="2563"/>
    <s v="8_국립축산과학원"/>
    <s v="1_축산생명환경부"/>
    <x v="7"/>
    <s v="이유경"/>
    <m/>
    <s v="대전기상청, 양계 농가 폭염 폐사 줄인다"/>
    <s v="충청신문"/>
    <d v="2019-06-19T00:00:00"/>
    <n v="7"/>
    <s v="09_지방일간지"/>
    <n v="1.5"/>
    <d v="2019-06-24T00:00:00"/>
  </r>
  <r>
    <n v="2564"/>
    <s v="8_국립축산과학원"/>
    <s v="1_축산생명환경부"/>
    <x v="9"/>
    <s v="정광화"/>
    <s v="보도자료56"/>
    <s v="“여름철 가축분뇨 처리시설 관리 주의해야”"/>
    <s v="전북중앙"/>
    <d v="2019-06-20T00:00:00"/>
    <n v="6"/>
    <s v="09_지방일간지"/>
    <n v="1.5"/>
    <d v="2019-06-24T00:00:00"/>
  </r>
  <r>
    <n v="2565"/>
    <s v="8_국립축산과학원"/>
    <s v="1_축산생명환경부"/>
    <x v="9"/>
    <s v="정광화"/>
    <s v="보도자료56"/>
    <s v="집중 호우 시 배수관리 중요"/>
    <s v="전라매일"/>
    <d v="2019-06-20T00:00:00"/>
    <n v="4"/>
    <s v="09_지방일간지"/>
    <n v="1.5"/>
    <d v="2019-06-24T00:00:00"/>
  </r>
  <r>
    <n v="2566"/>
    <s v="8_국립축산과학원"/>
    <s v="0_본원"/>
    <x v="13"/>
    <s v="유지현"/>
    <m/>
    <s v="김제 청하초, ‘사계절이 아름다운 학교’로 변신"/>
    <s v="전북일보"/>
    <d v="2019-06-20T00:00:00"/>
    <n v="12"/>
    <s v="09_지방일간지"/>
    <n v="1.5"/>
    <d v="2019-06-24T00:00:00"/>
  </r>
  <r>
    <n v="2567"/>
    <s v="8_국립축산과학원"/>
    <s v="1_축산생명환경부"/>
    <x v="7"/>
    <s v="이유경"/>
    <m/>
    <s v="부여군 폭염피해예방 시책…국민디자인단 출범"/>
    <s v="충청투데이"/>
    <d v="2019-06-21T00:00:00"/>
    <n v="11"/>
    <s v="09_지방일간지"/>
    <n v="1.5"/>
    <d v="2019-06-24T00:00:00"/>
  </r>
  <r>
    <n v="2568"/>
    <s v="8_국립축산과학원"/>
    <s v="1_축산생명환경부"/>
    <x v="7"/>
    <s v="이유경"/>
    <m/>
    <s v="폭염으로부터 안전한 군 만든다"/>
    <s v="대전투데이"/>
    <d v="2019-06-21T00:00:00"/>
    <n v="11"/>
    <s v="09_지방일간지"/>
    <n v="1.5"/>
    <d v="2019-06-24T00:00:00"/>
  </r>
  <r>
    <n v="2569"/>
    <s v="8_국립축산과학원"/>
    <s v="1_축산생명환경부"/>
    <x v="7"/>
    <s v="이유경"/>
    <m/>
    <s v="부여군 폭염피해예방 다양한 시책 추진"/>
    <s v="충청타임즈"/>
    <d v="2019-06-21T00:00:00"/>
    <n v="11"/>
    <s v="09_지방일간지"/>
    <n v="1.5"/>
    <d v="2019-06-24T00:00:00"/>
  </r>
  <r>
    <n v="2570"/>
    <s v="8_국립축산과학원"/>
    <s v="1_축산생명환경부"/>
    <x v="7"/>
    <s v="이유경"/>
    <m/>
    <s v="폭염으로부터 안전한 부여 만든다"/>
    <s v="금강일보"/>
    <d v="2019-06-21T00:00:00"/>
    <n v="15"/>
    <s v="09_지방일간지"/>
    <n v="1.5"/>
    <d v="2019-06-24T00:00:00"/>
  </r>
  <r>
    <n v="2571"/>
    <s v="8_국립축산과학원"/>
    <s v="1_축산생명환경부"/>
    <x v="7"/>
    <s v="이유경"/>
    <m/>
    <s v="폭염으로부터 안전한 부여군 만든다!"/>
    <s v="중앙매일"/>
    <d v="2019-06-21T00:00:00"/>
    <n v="6"/>
    <s v="09_지방일간지"/>
    <n v="1.5"/>
    <d v="2019-06-24T00:00:00"/>
  </r>
  <r>
    <n v="2572"/>
    <s v="8_국립축산과학원"/>
    <s v="1_축산생명환경부"/>
    <x v="7"/>
    <s v="이유경"/>
    <m/>
    <s v="폭염으로부터 안전한 부여군 만든다"/>
    <s v="시대일보"/>
    <d v="2019-06-21T00:00:00"/>
    <n v="4"/>
    <s v="09_지방일간지"/>
    <n v="1.5"/>
    <d v="2019-06-24T00:00:00"/>
  </r>
  <r>
    <n v="2573"/>
    <s v="8_국립축산과학원"/>
    <s v="1_축산생명환경부"/>
    <x v="7"/>
    <s v="이유경"/>
    <m/>
    <s v="부여군 폭염피해 예방 추진"/>
    <s v="대전일보"/>
    <d v="2019-06-21T00:00:00"/>
    <n v="13"/>
    <s v="09_지방일간지"/>
    <n v="1.5"/>
    <d v="2019-06-24T00:00:00"/>
  </r>
  <r>
    <n v="2574"/>
    <s v="8_국립축산과학원"/>
    <s v="1_축산생명환경부"/>
    <x v="7"/>
    <s v="이유경"/>
    <m/>
    <s v="폭염으로부터 안전한 부여군 만든다"/>
    <s v="충남일보"/>
    <d v="2019-06-21T00:00:00"/>
    <n v="9"/>
    <s v="09_지방일간지"/>
    <n v="1.5"/>
    <d v="2019-06-24T00:00:00"/>
  </r>
  <r>
    <n v="2575"/>
    <s v="8_국립축산과학원"/>
    <s v="0_본원"/>
    <x v="4"/>
    <s v="강환구"/>
    <m/>
    <s v="닭 사육농가 폭염피해예방"/>
    <s v="서울매일"/>
    <d v="2019-06-21T00:00:00"/>
    <n v="6"/>
    <s v="09_지방일간지"/>
    <n v="1.5"/>
    <d v="2019-06-24T00:00:00"/>
  </r>
  <r>
    <n v="2576"/>
    <s v="8_국립축산과학원"/>
    <s v="0_본원"/>
    <x v="4"/>
    <s v="강환구"/>
    <m/>
    <s v="연천군 농업기술센터, 닭 사육농가 폭염피해예방 선제 대응 나서"/>
    <s v="새한일보"/>
    <d v="2019-06-21T00:00:00"/>
    <n v="6"/>
    <s v="09_지방일간지"/>
    <n v="1.5"/>
    <d v="2019-06-24T00:00:00"/>
  </r>
  <r>
    <n v="2577"/>
    <s v="8_국립축산과학원"/>
    <s v="0_본원"/>
    <x v="4"/>
    <s v="강환구"/>
    <m/>
    <s v="연천군 농업기술센터, 닭 사육농가 폭염피해예방 선제 대응"/>
    <s v="수도권일보"/>
    <d v="2019-06-21T00:00:00"/>
    <n v="7"/>
    <s v="09_지방일간지"/>
    <n v="1.5"/>
    <d v="2019-06-24T00:00:00"/>
  </r>
  <r>
    <n v="2578"/>
    <s v="8_국립축산과학원"/>
    <s v="0_본원"/>
    <x v="4"/>
    <s v="강환구"/>
    <m/>
    <s v="연천 농기센터, 닭 사육농가 폭염피해예방"/>
    <s v="현대일보"/>
    <d v="2019-06-21T00:00:00"/>
    <n v="10"/>
    <s v="09_지방일간지"/>
    <n v="1.5"/>
    <d v="2019-06-24T00:00:00"/>
  </r>
  <r>
    <n v="2579"/>
    <s v="8_국립축산과학원"/>
    <s v="0_본원"/>
    <x v="4"/>
    <s v="강환구"/>
    <m/>
    <s v="연천군 농기센터, 양계농장 폭염 대응 기술교육"/>
    <s v="기호일보"/>
    <d v="2019-06-21T00:00:00"/>
    <n v="16"/>
    <s v="09_지방일간지"/>
    <n v="1.5"/>
    <d v="2019-06-24T00:00:00"/>
  </r>
  <r>
    <n v="2580"/>
    <s v="8_국립축산과학원"/>
    <s v="0_본원"/>
    <x v="4"/>
    <s v="강환구"/>
    <m/>
    <s v="연천농기센터, 닭 사육 농가 폭염피해예방 선제 대응나서"/>
    <s v="경도신문"/>
    <d v="2019-06-21T00:00:00"/>
    <n v="11"/>
    <s v="09_지방일간지"/>
    <n v="1.5"/>
    <d v="2019-06-24T00:00:00"/>
  </r>
  <r>
    <n v="2581"/>
    <s v="8_국립축산과학원"/>
    <s v="0_본원"/>
    <x v="4"/>
    <s v="강환구"/>
    <m/>
    <s v="연천군 농업기술센터 닭 사육농가 폭염피해예방 선제 대응"/>
    <s v="경인종합일보"/>
    <d v="2019-06-21T00:00:00"/>
    <n v="5"/>
    <s v="09_지방일간지"/>
    <n v="1.5"/>
    <d v="2019-06-24T00:00:00"/>
  </r>
  <r>
    <n v="2582"/>
    <s v="8_국립축산과학원"/>
    <s v="0_본원"/>
    <x v="4"/>
    <s v="강환구"/>
    <m/>
    <s v="연천 닭 사육농가 폭염피해예방 ‘온 힘’"/>
    <s v="일간경기"/>
    <d v="2019-06-21T00:00:00"/>
    <n v="15"/>
    <s v="09_지방일간지"/>
    <n v="1.5"/>
    <d v="2019-06-24T00:00:00"/>
  </r>
  <r>
    <n v="2583"/>
    <s v="8_국립축산과학원"/>
    <s v="0_본원"/>
    <x v="4"/>
    <s v="강환구"/>
    <m/>
    <s v="연천군 농업기술센터, 닭 사육농가 폭염피해 예방 선제 대응 나서"/>
    <s v="경기매일"/>
    <d v="2019-06-21T00:00:00"/>
    <n v="12"/>
    <s v="09_지방일간지"/>
    <n v="1.5"/>
    <d v="2019-06-24T00:00:00"/>
  </r>
  <r>
    <n v="2584"/>
    <s v="8_국립축산과학원"/>
    <s v="2_축산자원개발부"/>
    <x v="0"/>
    <s v="문홍길"/>
    <m/>
    <s v="김천시 ‘우리흑돈’으로 명성 회복?"/>
    <s v="대경일보"/>
    <d v="2019-06-21T00:00:00"/>
    <n v="9"/>
    <s v="09_지방일간지"/>
    <n v="1.5"/>
    <d v="2019-06-24T00:00:00"/>
  </r>
  <r>
    <n v="2585"/>
    <s v="8_국립축산과학원"/>
    <s v="0_본원"/>
    <x v="13"/>
    <s v="김창한"/>
    <s v="보도자료53"/>
    <s v="“폭염땐 새벽·저녁에 사료주세요”"/>
    <s v="한우신문"/>
    <d v="2019-06-18T00:00:00"/>
    <n v="1"/>
    <s v="10_기타전문지"/>
    <n v="1"/>
    <d v="2019-06-24T00:00:00"/>
  </r>
  <r>
    <n v="2586"/>
    <s v="8_국립축산과학원"/>
    <s v="0_본원"/>
    <x v="14"/>
    <s v="장선식"/>
    <s v="보도자료55"/>
    <s v="거세한우 잘 키우는 최고기술 선도농가 비법 소개"/>
    <s v="한우신문"/>
    <d v="2019-06-18T00:00:00"/>
    <n v="2"/>
    <s v="10_기타전문지"/>
    <n v="1"/>
    <d v="2019-06-24T00:00:00"/>
  </r>
  <r>
    <n v="2587"/>
    <s v="8_국립축산과학원"/>
    <s v="0_본원"/>
    <x v="14"/>
    <s v="한만희"/>
    <m/>
    <s v="(고온기 한우사양과 우사관리)사료섭취량 떨어지면 흑설탕 100g 사료와 섞어 급여"/>
    <s v="한우신문"/>
    <d v="2019-06-18T00:00:00"/>
    <s v="12,13"/>
    <s v="10_기타전문지"/>
    <n v="1"/>
    <d v="2019-06-24T00:00:00"/>
  </r>
  <r>
    <n v="2588"/>
    <s v="8_국립축산과학원"/>
    <s v="0_본원"/>
    <x v="4"/>
    <s v="강환구"/>
    <m/>
    <s v="연천군 농업기술센터 닭 사육농가 폭염피해예방 선제 대응"/>
    <s v="경인매일"/>
    <d v="2019-06-21T00:00:00"/>
    <n v="9"/>
    <s v="11_기타(지역주간지)"/>
    <n v="0.5"/>
    <d v="2019-06-24T00:00:00"/>
  </r>
  <r>
    <n v="2589"/>
    <s v="8_국립축산과학원"/>
    <s v="2_축산자원개발부"/>
    <x v="0"/>
    <s v="문홍길"/>
    <m/>
    <s v="‘지례흑돼지’ 옛 명성 되찾는다"/>
    <s v="대구경북일보"/>
    <d v="2019-06-21T00:00:00"/>
    <n v="5"/>
    <s v="11_기타(지역주간지)"/>
    <n v="0.5"/>
    <d v="2019-06-24T00:00:00"/>
  </r>
  <r>
    <n v="2590"/>
    <s v="8_국립축산과학원"/>
    <s v="0_본원"/>
    <x v="2"/>
    <s v="양창범"/>
    <m/>
    <s v="지속가능한 미래형 축산기술 개발 보급-국립축산과학원 소개 및 홍보"/>
    <s v="TBN전북"/>
    <d v="2019-06-13T00:00:00"/>
    <m/>
    <s v="06_라디오-지방"/>
    <n v="1.5"/>
    <d v="2019-06-25T00:00:00"/>
  </r>
  <r>
    <n v="2591"/>
    <s v="8_국립축산과학원"/>
    <s v="0_본원"/>
    <x v="4"/>
    <s v="강환구"/>
    <m/>
    <s v="연천군 농업기술센터, 닭 사육농가 폭염피해예방 선제 대응"/>
    <s v="아주경제"/>
    <d v="2019-06-20T00:00:00"/>
    <m/>
    <s v="07_중앙일간지"/>
    <n v="5"/>
    <d v="2019-06-25T00:00:00"/>
  </r>
  <r>
    <n v="2592"/>
    <s v="8_국립축산과학원"/>
    <s v="0_본원"/>
    <x v="4"/>
    <s v="강환구"/>
    <m/>
    <s v="연천군 농업기술센터, 닭 사육농가 폭염피해예방 선제 대응"/>
    <s v="매일일보"/>
    <d v="2019-06-20T00:00:00"/>
    <m/>
    <s v="08_기타일간지"/>
    <n v="2"/>
    <d v="2019-06-25T00:00:00"/>
  </r>
  <r>
    <n v="2593"/>
    <s v="8_국립축산과학원"/>
    <s v="1_축산생명환경부"/>
    <x v="7"/>
    <s v="이유경"/>
    <m/>
    <s v="‘축산 부문 기후변화 완화 국제심포지엄’ 21일"/>
    <s v="식품저널"/>
    <d v="2019-06-20T00:00:00"/>
    <m/>
    <s v="09_농업전문지"/>
    <n v="1.5"/>
    <d v="2019-06-25T00:00:00"/>
  </r>
  <r>
    <n v="2594"/>
    <s v="8_국립축산과학원"/>
    <s v="1_축산생명환경부"/>
    <x v="7"/>
    <s v="이슬"/>
    <s v="보도자료57"/>
    <s v="기후변화 대응 위해 국내외 축산 전문가 모여"/>
    <s v="전북타임스"/>
    <d v="2019-06-24T00:00:00"/>
    <n v="7"/>
    <s v="09_지방일간지"/>
    <n v="1.5"/>
    <d v="2019-06-25T00:00:00"/>
  </r>
  <r>
    <n v="2595"/>
    <s v="8_국립축산과학원"/>
    <s v="2_축산자원개발부"/>
    <x v="0"/>
    <s v="문홍길"/>
    <m/>
    <s v="김천 지례 흑돼지 명성 ‘우리흑돈’으로 이어간다"/>
    <s v="대구일보"/>
    <d v="2019-06-24T00:00:00"/>
    <n v="8"/>
    <s v="09_지방일간지"/>
    <n v="1.5"/>
    <d v="2019-06-25T00:00:00"/>
  </r>
  <r>
    <n v="2596"/>
    <s v="8_국립축산과학원"/>
    <s v="2_축산자원개발부"/>
    <x v="0"/>
    <s v="문홍길"/>
    <m/>
    <s v="김천시, 개량종 ‘우리흑돈’ 내년까지 공급"/>
    <s v="대구신문"/>
    <d v="2019-06-24T00:00:00"/>
    <n v="10"/>
    <s v="09_지방일간지"/>
    <n v="1.5"/>
    <d v="2019-06-25T00:00:00"/>
  </r>
  <r>
    <n v="2597"/>
    <s v="8_국립축산과학원"/>
    <s v="0_본원"/>
    <x v="2"/>
    <s v="양창범"/>
    <m/>
    <s v="경상대서 ‘축산의 통섭(通涉) 상생의 길을 찾다’"/>
    <s v="뉴스경남"/>
    <d v="2019-06-24T00:00:00"/>
    <n v="11"/>
    <s v="09_지방일간지"/>
    <n v="1.5"/>
    <d v="2019-06-25T00:00:00"/>
  </r>
  <r>
    <n v="2598"/>
    <s v="8_국립축산과학원"/>
    <s v="1_축산생명환경부"/>
    <x v="9"/>
    <s v="정광화"/>
    <s v="보도자료56"/>
    <s v="여름철 가축 분뇨 처리 시설 관리 당부"/>
    <s v="전북도민일보"/>
    <d v="2019-06-19T00:00:00"/>
    <m/>
    <s v="09_지방일간지"/>
    <n v="1.5"/>
    <d v="2019-06-25T00:00:00"/>
  </r>
  <r>
    <n v="2599"/>
    <s v="8_국립축산과학원"/>
    <s v="1_축산생명환경부"/>
    <x v="9"/>
    <s v="정광화"/>
    <s v="보도자료56"/>
    <s v="여름철 가축 분뇨처리시설 관리 요령 소개"/>
    <s v="식약일보"/>
    <d v="2019-06-20T00:00:00"/>
    <m/>
    <s v="10_기타전문지"/>
    <n v="1"/>
    <d v="2019-06-25T00:00:00"/>
  </r>
  <r>
    <n v="2600"/>
    <s v="8_국립축산과학원"/>
    <s v="0_본원"/>
    <x v="4"/>
    <s v="천동원"/>
    <m/>
    <s v="‘대통령이 오셔도 ’방역 절차‘ 예외 없다’…축산과학원 가금연구소"/>
    <s v="조선비즈"/>
    <d v="2019-06-22T00:00:00"/>
    <m/>
    <s v="11_기타(지역주간지)"/>
    <n v="0.5"/>
    <d v="2019-06-25T00:00:00"/>
  </r>
  <r>
    <n v="2601"/>
    <s v="8_국립축산과학원"/>
    <s v="1_축산생명환경부"/>
    <x v="9"/>
    <s v="정광화"/>
    <s v="보도자료56"/>
    <s v="퇴비사 빗물 들어오지 않도록 길 만들어야"/>
    <s v="라이브뉴스"/>
    <d v="2019-06-19T00:00:00"/>
    <m/>
    <s v="13_인터넷포털"/>
    <n v="0.1"/>
    <d v="2019-06-25T00:00:00"/>
  </r>
  <r>
    <n v="2602"/>
    <s v="8_국립축산과학원"/>
    <s v="0_본원"/>
    <x v="2"/>
    <s v="양창범"/>
    <m/>
    <s v="경상대, 2019년 한국축산관련학회 연합 학술발표회 개최"/>
    <s v="베리타스알파"/>
    <d v="2019-06-19T00:00:00"/>
    <m/>
    <s v="13_인터넷포털"/>
    <n v="0.1"/>
    <d v="2019-06-25T00:00:00"/>
  </r>
  <r>
    <n v="2603"/>
    <s v="8_국립축산과학원"/>
    <s v="0_본원"/>
    <x v="4"/>
    <s v="강환구"/>
    <m/>
    <s v="연천군 농업기술센터, 닭 사육농가 폭염피해예방 선제 대응나서"/>
    <s v="경기인터넷뉴스"/>
    <d v="2019-06-20T00:00:00"/>
    <m/>
    <s v="13_인터넷포털"/>
    <n v="0.1"/>
    <d v="2019-06-25T00:00:00"/>
  </r>
  <r>
    <n v="2604"/>
    <s v="8_국립축산과학원"/>
    <s v="0_본원"/>
    <x v="4"/>
    <s v="강환구"/>
    <m/>
    <s v="연천군 농업기술센터, 닭 사육농가 폭염피해예방 선제 대응나서"/>
    <s v="데일리와이"/>
    <d v="2019-06-20T00:00:00"/>
    <m/>
    <s v="13_인터넷포털"/>
    <n v="0.1"/>
    <d v="2019-06-25T00:00:00"/>
  </r>
  <r>
    <n v="2605"/>
    <s v="8_국립축산과학원"/>
    <s v="0_본원"/>
    <x v="4"/>
    <s v="강환구"/>
    <m/>
    <s v="연천군 농업기술센터, 닭 사육농가 폭염피해예방 선제 대응나서"/>
    <s v="미디어투데이"/>
    <d v="2019-06-20T00:00:00"/>
    <m/>
    <s v="13_인터넷포털"/>
    <n v="0.1"/>
    <d v="2019-06-25T00:00:00"/>
  </r>
  <r>
    <n v="2606"/>
    <s v="8_국립축산과학원"/>
    <s v="0_본원"/>
    <x v="4"/>
    <s v="강환구"/>
    <m/>
    <s v="연천군 농업기술센터, 닭 사육농가 폭염피해예방 선제 대응나서"/>
    <s v="뉴스후"/>
    <d v="2019-06-20T00:00:00"/>
    <m/>
    <s v="13_인터넷포털"/>
    <n v="0.1"/>
    <d v="2019-06-25T00:00:00"/>
  </r>
  <r>
    <n v="2607"/>
    <s v="8_국립축산과학원"/>
    <s v="0_본원"/>
    <x v="4"/>
    <s v="강환구"/>
    <m/>
    <s v="연천군 농업기술센터, 닭 사육농가 폭염피해예방 선제 대응나서"/>
    <s v="케이에스피뉴스"/>
    <d v="2019-06-20T00:00:00"/>
    <m/>
    <s v="13_인터넷포털"/>
    <n v="0.1"/>
    <d v="2019-06-25T00:00:00"/>
  </r>
  <r>
    <n v="2608"/>
    <s v="8_국립축산과학원"/>
    <s v="0_본원"/>
    <x v="4"/>
    <s v="강환구"/>
    <m/>
    <s v="연천군 농업기술센터, 닭 사육농가 폭염피해예방 선제 대응나서"/>
    <s v="경기인터넷신문"/>
    <d v="2019-06-20T00:00:00"/>
    <m/>
    <s v="13_인터넷포털"/>
    <n v="0.1"/>
    <d v="2019-06-25T00:00:00"/>
  </r>
  <r>
    <n v="2609"/>
    <s v="8_국립축산과학원"/>
    <s v="0_본원"/>
    <x v="4"/>
    <s v="강환구"/>
    <m/>
    <s v="연천군 농업기술센터, 닭 사육농가 폭염피해예방 선제 대응나서"/>
    <s v="경기앤뉴스"/>
    <d v="2019-06-20T00:00:00"/>
    <m/>
    <s v="13_인터넷포털"/>
    <n v="0.1"/>
    <d v="2019-06-25T00:00:00"/>
  </r>
  <r>
    <n v="2610"/>
    <s v="8_국립축산과학원"/>
    <s v="0_본원"/>
    <x v="4"/>
    <s v="강환구"/>
    <m/>
    <s v="연천군 농업기술센터, 닭 사육농가 폭염피해 에방 선제 대응 나서"/>
    <s v="중부뉴스통신"/>
    <d v="2019-06-20T00:00:00"/>
    <m/>
    <s v="13_인터넷포털"/>
    <n v="0.1"/>
    <d v="2019-06-25T00:00:00"/>
  </r>
  <r>
    <n v="2611"/>
    <s v="8_국립축산과학원"/>
    <s v="0_본원"/>
    <x v="4"/>
    <s v="강환구"/>
    <m/>
    <s v="연천군 농업기술센터, 닭 사육농가 폭염피해예방 선제적 대응 나서"/>
    <s v="오늘뉴스"/>
    <d v="2019-06-20T00:00:00"/>
    <m/>
    <s v="13_인터넷포털"/>
    <n v="0.1"/>
    <d v="2019-06-25T00:00:00"/>
  </r>
  <r>
    <n v="2612"/>
    <s v="8_국립축산과학원"/>
    <s v="0_본원"/>
    <x v="4"/>
    <s v="강환구"/>
    <m/>
    <s v="연천군 농업기술센터, 닭 사육농가 폭염피해예방 선제 대응 나서"/>
    <s v="의양신문"/>
    <d v="2019-06-20T00:00:00"/>
    <m/>
    <s v="13_인터넷포털"/>
    <n v="0.1"/>
    <d v="2019-06-25T00:00:00"/>
  </r>
  <r>
    <n v="2613"/>
    <s v="8_국립축산과학원"/>
    <s v="1_축산생명환경부"/>
    <x v="7"/>
    <s v="이유경"/>
    <m/>
    <s v="폭염으로부터 안전한 부여군 만든다"/>
    <s v="중부뉴스통신"/>
    <d v="2019-06-20T00:00:00"/>
    <m/>
    <s v="13_인터넷포털"/>
    <n v="0.1"/>
    <d v="2019-06-25T00:00:00"/>
  </r>
  <r>
    <n v="2614"/>
    <s v="8_국립축산과학원"/>
    <s v="0_본원"/>
    <x v="13"/>
    <s v="정성훈"/>
    <m/>
    <s v="양평농기센터, 전문가 종합컨설팅 실시"/>
    <s v="한국공보뉴스"/>
    <d v="2019-06-20T00:00:00"/>
    <m/>
    <s v="13_인터넷포털"/>
    <n v="0.1"/>
    <d v="2019-06-25T00:00:00"/>
  </r>
  <r>
    <n v="2615"/>
    <s v="8_국립축산과학원"/>
    <s v="0_본원"/>
    <x v="4"/>
    <s v="강환구"/>
    <m/>
    <s v="연천군 농업기술센터, 닭 사육농가 폭염피해예방 선제 대응 나서"/>
    <s v="국제뉴스"/>
    <d v="2019-06-20T00:00:00"/>
    <m/>
    <s v="13_인터넷포털"/>
    <n v="0.1"/>
    <d v="2019-06-25T00:00:00"/>
  </r>
  <r>
    <n v="2616"/>
    <s v="8_국립축산과학원"/>
    <s v="1_축산생명환경부"/>
    <x v="7"/>
    <s v="이유경"/>
    <m/>
    <s v="부여군, 폭염으로부터 안전도시 ‘총력’"/>
    <s v="충청뉴스"/>
    <d v="2019-06-20T00:00:00"/>
    <m/>
    <s v="13_인터넷포털"/>
    <n v="0.1"/>
    <d v="2019-06-25T00:00:00"/>
  </r>
  <r>
    <n v="2617"/>
    <s v="8_국립축산과학원"/>
    <s v="1_축산생명환경부"/>
    <x v="7"/>
    <s v="이유경"/>
    <m/>
    <s v="폭염으로부터 안전한 부여군 만든다...맞춤형 닭 사육 스케줄러 배포"/>
    <s v="아시아엔"/>
    <d v="2019-06-20T00:00:00"/>
    <m/>
    <s v="13_인터넷포털"/>
    <n v="0.1"/>
    <d v="2019-06-25T00:00:00"/>
  </r>
  <r>
    <n v="2618"/>
    <s v="8_국립축산과학원"/>
    <s v="0_본원"/>
    <x v="4"/>
    <s v="천동원"/>
    <s v="기고"/>
    <s v="[기고] 천동원 소장-축산현장 애로기술 해결 위한 닭 키우기[100문 100답] Q66"/>
    <s v="축산신문"/>
    <d v="2019-06-25T00:00:00"/>
    <n v="15"/>
    <s v="17_농업전문지"/>
    <n v="8"/>
    <d v="2019-06-26T00:00:00"/>
  </r>
  <r>
    <n v="2619"/>
    <s v="8_국립축산과학원"/>
    <s v="0_본원"/>
    <x v="15"/>
    <s v="김승창"/>
    <s v="보도자료58"/>
    <s v="멸종위험 우리 재래품종 ‘칡소’, 농진청 유전자 판별기술 개발"/>
    <s v="이데일리"/>
    <d v="2019-06-25T00:00:00"/>
    <m/>
    <s v="07_중앙일간지"/>
    <n v="5"/>
    <d v="2019-06-26T00:00:00"/>
  </r>
  <r>
    <n v="2620"/>
    <s v="8_국립축산과학원"/>
    <s v="0_본원"/>
    <x v="15"/>
    <s v="김승창"/>
    <s v="보도자료58"/>
    <s v="농진청, 한국 재래소 ‘칡소’ 판별 기술 개발"/>
    <s v="연합뉴스"/>
    <d v="2019-06-25T00:00:00"/>
    <m/>
    <s v="07_중앙일간지"/>
    <n v="5"/>
    <d v="2019-06-26T00:00:00"/>
  </r>
  <r>
    <n v="2621"/>
    <s v="8_국립축산과학원"/>
    <s v="2_축산자원개발부"/>
    <x v="0"/>
    <s v="문홍길"/>
    <m/>
    <s v="김천 토종 지례흑돼지 옛 명성 되찾는다"/>
    <s v="한국일보"/>
    <d v="2019-06-24T00:00:00"/>
    <m/>
    <s v="07_중앙일간지"/>
    <n v="5"/>
    <d v="2019-06-26T00:00:00"/>
  </r>
  <r>
    <n v="2622"/>
    <s v="8_국립축산과학원"/>
    <s v="1_축산생명환경부"/>
    <x v="7"/>
    <s v="이유경"/>
    <m/>
    <s v="폭염으로부터 안전한 부여군 만든다"/>
    <s v="매일일보"/>
    <d v="2019-06-20T00:00:00"/>
    <m/>
    <s v="08_기타일간지"/>
    <n v="2"/>
    <d v="2019-06-26T00:00:00"/>
  </r>
  <r>
    <n v="2623"/>
    <s v="8_국립축산과학원"/>
    <s v="2_축산자원개발부"/>
    <x v="0"/>
    <s v="문홍길"/>
    <m/>
    <s v="김천시, 지례흑돼지 ‘우리흑돈’ 보급"/>
    <s v="환경일보"/>
    <d v="2019-06-20T00:00:00"/>
    <m/>
    <s v="08_기타일간지"/>
    <n v="2"/>
    <d v="2019-06-26T00:00:00"/>
  </r>
  <r>
    <n v="2624"/>
    <s v="8_국립축산과학원"/>
    <s v="0_본원"/>
    <x v="4"/>
    <s v="강환구"/>
    <m/>
    <s v="연천군 농업기술센터, 닭 사육농가 폭염피해예방 선제 대응"/>
    <s v="아시아타임즈"/>
    <d v="2019-06-23T00:00:00"/>
    <m/>
    <s v="08_기타일간지"/>
    <n v="2"/>
    <d v="2019-06-26T00:00:00"/>
  </r>
  <r>
    <n v="2625"/>
    <s v="8_국립축산과학원"/>
    <s v="1_축산생명환경부"/>
    <x v="7"/>
    <s v="이슬"/>
    <s v="보도자료57"/>
    <s v="기후변화 대응 국내외 축산 전문가 한자리"/>
    <s v="환경일보"/>
    <d v="2019-06-24T00:00:00"/>
    <m/>
    <s v="08_기타일간지"/>
    <n v="2"/>
    <d v="2019-06-26T00:00:00"/>
  </r>
  <r>
    <n v="2626"/>
    <s v="8_국립축산과학원"/>
    <s v="0_본원"/>
    <x v="2"/>
    <s v="김광식"/>
    <m/>
    <s v="가축유전자원·토종 품종·개량 성과 ‘한눈에’"/>
    <s v="축산신문"/>
    <d v="2019-06-25T00:00:00"/>
    <n v="16"/>
    <s v="09_농업전문지"/>
    <n v="1.5"/>
    <d v="2019-06-26T00:00:00"/>
  </r>
  <r>
    <n v="2627"/>
    <s v="8_국립축산과학원"/>
    <s v="0_본원"/>
    <x v="13"/>
    <s v="김창한"/>
    <s v="보도자료53"/>
    <s v="축종별 특성에 맞게 철저하게 준비해야"/>
    <s v="농수축산신문"/>
    <d v="2019-06-25T00:00:00"/>
    <n v="10"/>
    <s v="09_농업전문지"/>
    <n v="1.5"/>
    <d v="2019-06-26T00:00:00"/>
  </r>
  <r>
    <n v="2628"/>
    <s v="8_국립축산과학원"/>
    <s v="1_축산생명환경부"/>
    <x v="9"/>
    <s v="정광화"/>
    <s v="보도자료56"/>
    <s v="“여름철 가축 분뇨 처리 시설 관리 철저히 해야”"/>
    <s v="전업농신문"/>
    <d v="2019-06-20T00:00:00"/>
    <m/>
    <s v="09_농업전문지"/>
    <n v="1.5"/>
    <d v="2019-06-26T00:00:00"/>
  </r>
  <r>
    <n v="2629"/>
    <s v="8_국립축산과학원"/>
    <s v="1_축산생명환경부"/>
    <x v="7"/>
    <s v="이슬"/>
    <s v="보도자료57"/>
    <s v="‘기후변화’ 대응 위해 국내외 축산전문가들 한자리에"/>
    <s v="한국농촌경제신문"/>
    <d v="2019-06-22T00:00:00"/>
    <m/>
    <s v="09_농업전문지"/>
    <n v="1.5"/>
    <d v="2019-06-26T00:00:00"/>
  </r>
  <r>
    <n v="2630"/>
    <s v="8_국립축산과학원"/>
    <s v="1_축산생명환경부"/>
    <x v="7"/>
    <s v="이슬"/>
    <s v="보도자료57"/>
    <s v="국내외 축산 전문가 모여 기후 변화 대응 방안 찾아"/>
    <s v="한국영농신문"/>
    <d v="2019-06-24T00:00:00"/>
    <m/>
    <s v="09_농업전문지"/>
    <n v="1.5"/>
    <d v="2019-06-26T00:00:00"/>
  </r>
  <r>
    <n v="2631"/>
    <s v="8_국립축산과학원"/>
    <s v="1_축산생명환경부"/>
    <x v="9"/>
    <s v="정광화"/>
    <s v="보도자료56"/>
    <s v="농진청, 여름철 가축 분뇨 처리 시설 관리 요령 소개"/>
    <s v="한국영농신문"/>
    <d v="2019-06-25T00:00:00"/>
    <m/>
    <s v="09_농업전문지"/>
    <n v="1.5"/>
    <d v="2019-06-26T00:00:00"/>
  </r>
  <r>
    <n v="2632"/>
    <s v="8_국립축산과학원"/>
    <s v="0_본원"/>
    <x v="2"/>
    <s v="양창범"/>
    <m/>
    <s v="경상대서 축산의 통섭(通涉) 상생의 길 찾다"/>
    <s v="경남도민신문"/>
    <d v="2019-06-20T00:00:00"/>
    <m/>
    <s v="09_지방일간지"/>
    <n v="1.5"/>
    <d v="2019-06-26T00:00:00"/>
  </r>
  <r>
    <n v="2633"/>
    <s v="8_국립축산과학원"/>
    <s v="0_본원"/>
    <x v="4"/>
    <s v="강환구"/>
    <m/>
    <s v="연천군 농업기술센터, 닭 사육농가 폭염피해예방 선제 대응 나서"/>
    <s v="엔디엔뉴스"/>
    <d v="2019-06-20T00:00:00"/>
    <m/>
    <s v="10_기타월간지"/>
    <n v="1"/>
    <d v="2019-06-26T00:00:00"/>
  </r>
  <r>
    <n v="2634"/>
    <s v="8_국립축산과학원"/>
    <s v="1_축산생명환경부"/>
    <x v="7"/>
    <s v="이유경"/>
    <m/>
    <s v="부여군, 2019 국민디자인단 출범식 개최"/>
    <s v="프라임경제"/>
    <d v="2019-06-20T00:00:00"/>
    <m/>
    <s v="10_주간지"/>
    <n v="1"/>
    <d v="2019-06-26T00:00:00"/>
  </r>
  <r>
    <n v="2635"/>
    <s v="8_국립축산과학원"/>
    <s v="1_축산생명환경부"/>
    <x v="7"/>
    <s v="이유경"/>
    <m/>
    <s v="부여군, 폭염피해 예방을 위한 다양한 시책 추진"/>
    <s v="더리더"/>
    <d v="2019-06-21T00:00:00"/>
    <m/>
    <s v="10_기타월간지"/>
    <n v="1"/>
    <d v="2019-06-26T00:00:00"/>
  </r>
  <r>
    <n v="2636"/>
    <s v="8_국립축산과학원"/>
    <s v="1_축산생명환경부"/>
    <x v="7"/>
    <s v="이슬"/>
    <s v="보도자료57"/>
    <s v="기후변화 대응 국내외 축산 전문가, 온실가스 저감 논의"/>
    <s v="식약일보"/>
    <d v="2019-06-21T00:00:00"/>
    <m/>
    <s v="10_기타전문지"/>
    <n v="1"/>
    <d v="2019-06-26T00:00:00"/>
  </r>
  <r>
    <n v="2637"/>
    <s v="8_국립축산과학원"/>
    <s v="0_본원"/>
    <x v="4"/>
    <s v="강환구"/>
    <m/>
    <s v="연천군농업기술센터, 닭사육농가 폭염 피해 예방 선제적 대응"/>
    <s v="경기북부포커스"/>
    <d v="2019-06-20T00:00:00"/>
    <m/>
    <s v="11_기타(지역주간지)"/>
    <n v="0.5"/>
    <d v="2019-06-26T00:00:00"/>
  </r>
  <r>
    <n v="2638"/>
    <s v="8_국립축산과학원"/>
    <s v="0_본원"/>
    <x v="13"/>
    <s v="정성훈"/>
    <m/>
    <s v="맞춤형 종합컨설팅으로 한우농가 애로 해결!"/>
    <s v="양평시민의소리"/>
    <d v="2019-06-21T00:00:00"/>
    <m/>
    <s v="11_기타(지역주간지)"/>
    <n v="0.5"/>
    <d v="2019-06-26T00:00:00"/>
  </r>
  <r>
    <n v="2639"/>
    <s v="8_국립축산과학원"/>
    <s v="2_축산자원개발부"/>
    <x v="6"/>
    <s v="김원호"/>
    <m/>
    <s v="IOT, 드론 등 지능정보기술 농·어촌 지원 확대...강원 삼척·전남 무안 ‘스마트빌리지 사업’ 선정"/>
    <s v="일요주간"/>
    <d v="2019-06-24T00:00:00"/>
    <m/>
    <s v="11_기타(지역주간지)"/>
    <n v="0.5"/>
    <d v="2019-06-26T00:00:00"/>
  </r>
  <r>
    <n v="2640"/>
    <s v="8_국립축산과학원"/>
    <s v="2_축산자원개발부"/>
    <x v="0"/>
    <s v="문홍길"/>
    <m/>
    <s v="지례흑돼지, ‘우리흑돈’ 보급으로 옛 명성 되찾기 나서"/>
    <s v="포커스데일리"/>
    <d v="2019-06-20T00:00:00"/>
    <m/>
    <s v="13_인터넷포털"/>
    <n v="0.1"/>
    <d v="2019-06-26T00:00:00"/>
  </r>
  <r>
    <n v="2641"/>
    <s v="8_국립축산과학원"/>
    <s v="1_축산생명환경부"/>
    <x v="7"/>
    <s v="이유경"/>
    <m/>
    <s v="폭염으로부터 안전한 부여군 만든다"/>
    <s v="충청탑뉴스"/>
    <d v="2019-06-20T00:00:00"/>
    <m/>
    <s v="13_인터넷포털"/>
    <n v="0.1"/>
    <d v="2019-06-26T00:00:00"/>
  </r>
  <r>
    <n v="2642"/>
    <s v="8_국립축산과학원"/>
    <s v="1_축산생명환경부"/>
    <x v="7"/>
    <s v="이유경"/>
    <m/>
    <s v="부여군, 맞춤형 ‘닭 사육 스케줄러’ 배포"/>
    <s v="로컬투데이"/>
    <d v="2019-06-20T00:00:00"/>
    <m/>
    <s v="13_인터넷포털"/>
    <n v="0.1"/>
    <d v="2019-06-26T00:00:00"/>
  </r>
  <r>
    <n v="2643"/>
    <s v="8_국립축산과학원"/>
    <s v="1_축산생명환경부"/>
    <x v="9"/>
    <s v="정광화"/>
    <s v="보도자료56"/>
    <s v="여름철 가축 분뇨 처리 시설 관리 요령"/>
    <s v="전남인터넷신문"/>
    <d v="2019-06-20T00:00:00"/>
    <m/>
    <s v="13_인터넷포털"/>
    <n v="0.1"/>
    <d v="2019-06-26T00:00:00"/>
  </r>
  <r>
    <n v="2644"/>
    <s v="8_국립축산과학원"/>
    <s v="2_축산자원개발부"/>
    <x v="0"/>
    <s v="문홍길"/>
    <m/>
    <s v="김천시 지례흑돼지, ‘우리흑돈’ 보급...옛 명성 되찾는다"/>
    <s v="로컬투데이"/>
    <d v="2019-06-20T00:00:00"/>
    <m/>
    <s v="13_인터넷포털"/>
    <n v="0.1"/>
    <d v="2019-06-26T00:00:00"/>
  </r>
  <r>
    <n v="2645"/>
    <s v="8_국립축산과학원"/>
    <s v="2_축산자원개발부"/>
    <x v="0"/>
    <s v="문홍길"/>
    <m/>
    <s v="김천시 지례흑돼지, “우리흑돈” 보급으로 옛 명성 되찾는다"/>
    <s v="중부뉴스통신"/>
    <d v="2019-06-20T00:00:00"/>
    <m/>
    <s v="13_인터넷포털"/>
    <n v="0.1"/>
    <d v="2019-06-26T00:00:00"/>
  </r>
  <r>
    <n v="2646"/>
    <s v="8_국립축산과학원"/>
    <s v="0_본원"/>
    <x v="4"/>
    <s v="강환구"/>
    <m/>
    <s v="연천군 농업기술센터, 닭 사육농가 폭염피해예방 선제 대응 나서"/>
    <s v="경기북부탑뉴스"/>
    <d v="2019-06-20T00:00:00"/>
    <m/>
    <s v="13_인터넷포털"/>
    <n v="0.1"/>
    <d v="2019-06-26T00:00:00"/>
  </r>
  <r>
    <n v="2647"/>
    <s v="8_국립축산과학원"/>
    <s v="2_축산자원개발부"/>
    <x v="0"/>
    <s v="문홍길"/>
    <m/>
    <s v="김천시, 지례흑돼지, “우리흑돈” 보급으로 옛 명성 되찾는다."/>
    <s v="구미뉴스"/>
    <d v="2019-06-20T00:00:00"/>
    <m/>
    <s v="13_인터넷포털"/>
    <n v="0.1"/>
    <d v="2019-06-26T00:00:00"/>
  </r>
  <r>
    <n v="2648"/>
    <s v="8_국립축산과학원"/>
    <s v="2_축산자원개발부"/>
    <x v="0"/>
    <s v="문홍길"/>
    <m/>
    <s v="지례흑돼지, “우리흑돈” 보급으로 옛 명성 되찾는다."/>
    <s v="한국공보뉴스"/>
    <d v="2019-06-20T00:00:00"/>
    <m/>
    <s v="13_인터넷포털"/>
    <n v="0.1"/>
    <d v="2019-06-26T00:00:00"/>
  </r>
  <r>
    <n v="2649"/>
    <s v="8_국립축산과학원"/>
    <s v="0_본원"/>
    <x v="4"/>
    <s v="강환구"/>
    <m/>
    <s v="연천군 농업기술센터, 닭 사육농가 폭염피해예방 선제 대응 나서"/>
    <s v="경인투데이뉴스"/>
    <d v="2019-06-20T00:00:00"/>
    <m/>
    <s v="13_인터넷포털"/>
    <n v="0.1"/>
    <d v="2019-06-26T00:00:00"/>
  </r>
  <r>
    <n v="2650"/>
    <s v="8_국립축산과학원"/>
    <s v="1_축산생명환경부"/>
    <x v="7"/>
    <s v="이유경"/>
    <m/>
    <s v="부여군, 폭염으로부터 안전한 맞춤형 닭 사육 스케줄러 배포"/>
    <s v="뉴스충청인"/>
    <d v="2019-06-20T00:00:00"/>
    <m/>
    <s v="13_인터넷포털"/>
    <n v="0.1"/>
    <d v="2019-06-26T00:00:00"/>
  </r>
  <r>
    <n v="2651"/>
    <s v="8_국립축산과학원"/>
    <s v="2_축산자원개발부"/>
    <x v="0"/>
    <s v="문홍길"/>
    <m/>
    <s v="지례흑돼지, “우리흑돈” 보급으로 옛 명성 되찾는다."/>
    <s v="GBN경북방송"/>
    <d v="2019-06-20T00:00:00"/>
    <m/>
    <s v="13_인터넷포털"/>
    <n v="0.1"/>
    <d v="2019-06-26T00:00:00"/>
  </r>
  <r>
    <n v="2652"/>
    <s v="8_국립축산과학원"/>
    <s v="1_축산생명환경부"/>
    <x v="9"/>
    <s v="정광화"/>
    <s v="보도자료56"/>
    <s v="여름철 가축분뇨 처리 시설 관리 ‘당부’"/>
    <s v="농업경제신문"/>
    <d v="2019-06-21T00:00:00"/>
    <m/>
    <s v="13_인터넷포털"/>
    <n v="0.1"/>
    <d v="2019-06-26T00:00:00"/>
  </r>
  <r>
    <n v="2653"/>
    <s v="8_국립축산과학원"/>
    <s v="1_축산생명환경부"/>
    <x v="7"/>
    <s v="이슬"/>
    <s v="보도자료57"/>
    <s v="축산 부문 기후변화 완화 위해, 국내외 전문가 모인다"/>
    <s v="에코타임스"/>
    <d v="2019-06-21T00:00:00"/>
    <m/>
    <s v="13_인터넷포털"/>
    <n v="0.1"/>
    <d v="2019-06-26T00:00:00"/>
  </r>
  <r>
    <n v="2654"/>
    <s v="8_국립축산과학원"/>
    <s v="2_축산자원개발부"/>
    <x v="0"/>
    <s v="문홍길"/>
    <m/>
    <s v="탁하고 떠오르던 옛 명성 되찾는다"/>
    <s v="김천인터넷뉴스"/>
    <d v="2019-06-21T00:00:00"/>
    <m/>
    <s v="13_인터넷포털"/>
    <n v="0.1"/>
    <d v="2019-06-26T00:00:00"/>
  </r>
  <r>
    <n v="2655"/>
    <s v="8_국립축산과학원"/>
    <s v="1_축산생명환경부"/>
    <x v="7"/>
    <s v="이슬"/>
    <s v="보도자료57"/>
    <s v="농촌진흥청, 21일 서울서 국제심포지엄...온실가스 저감 논의"/>
    <s v="중부뉴스통신"/>
    <d v="2019-06-21T00:00:00"/>
    <m/>
    <s v="13_인터넷포털"/>
    <n v="0.1"/>
    <d v="2019-06-26T00:00:00"/>
  </r>
  <r>
    <n v="2656"/>
    <s v="8_국립축산과학원"/>
    <s v="1_축산생명환경부"/>
    <x v="7"/>
    <s v="이슬"/>
    <s v="보도자료57"/>
    <s v="농촌진흥청, 21일 서울서 국제심포지엄...온실가스 저감 논의"/>
    <s v="강원경제신문"/>
    <d v="2019-06-21T00:00:00"/>
    <m/>
    <s v="13_인터넷포털"/>
    <n v="0.1"/>
    <d v="2019-06-26T00:00:00"/>
  </r>
  <r>
    <n v="2657"/>
    <s v="8_국립축산과학원"/>
    <s v="1_축산생명환경부"/>
    <x v="7"/>
    <s v="이슬"/>
    <s v="보도자료57"/>
    <s v="농촌진흥청, ‘축산 부문 기후변화 완화 국제심포지엄’ 개최"/>
    <s v="일간전북"/>
    <d v="2019-06-21T00:00:00"/>
    <m/>
    <s v="13_인터넷포털"/>
    <n v="0.1"/>
    <d v="2019-06-26T00:00:00"/>
  </r>
  <r>
    <n v="2658"/>
    <s v="8_국립축산과학원"/>
    <s v="1_축산생명환경부"/>
    <x v="7"/>
    <s v="이슬"/>
    <s v="보도자료57"/>
    <s v="기후변화 대응 위해 국내외 축산 전문가 한자리"/>
    <s v="위키트리"/>
    <d v="2019-06-21T00:00:00"/>
    <m/>
    <s v="13_인터넷포털"/>
    <n v="0.1"/>
    <d v="2019-06-26T00:00:00"/>
  </r>
  <r>
    <n v="2659"/>
    <s v="8_국립축산과학원"/>
    <s v="0_본원"/>
    <x v="4"/>
    <s v="강환구"/>
    <m/>
    <s v="(포천) 닭 사육농가 폭염피해 예방 선제 대응"/>
    <s v="아시아일보"/>
    <d v="2019-06-26T00:00:00"/>
    <n v="7"/>
    <s v="08_기타일간지"/>
    <n v="2"/>
    <d v="2019-06-27T00:00:00"/>
  </r>
  <r>
    <n v="2660"/>
    <s v="8_국립축산과학원"/>
    <s v="1_축산생명환경부"/>
    <x v="9"/>
    <s v="정광화"/>
    <s v="보도자료56"/>
    <s v="여름철 가축 분뇨 처리 시설 관리 요령"/>
    <s v="환경일보"/>
    <d v="2019-06-24T00:00:00"/>
    <m/>
    <s v="08_기타일간지"/>
    <n v="2"/>
    <d v="2019-06-27T00:00:00"/>
  </r>
  <r>
    <n v="2661"/>
    <s v="8_국립축산과학원"/>
    <s v="0_본원"/>
    <x v="14"/>
    <s v="장선식"/>
    <s v="보도자료55"/>
    <s v="출하시기 빨라지고 체중 늘어"/>
    <s v="농민신문"/>
    <d v="2019-06-26T00:00:00"/>
    <n v="7"/>
    <s v="09_농업전문지"/>
    <n v="1.5"/>
    <d v="2019-06-27T00:00:00"/>
  </r>
  <r>
    <n v="2662"/>
    <s v="8_국립축산과학원"/>
    <s v="0_본원"/>
    <x v="15"/>
    <s v="김승창"/>
    <s v="보도자료58"/>
    <s v="재래 품종 ‘칡소’ 판별기술 개발"/>
    <s v="한국농촌경제신문"/>
    <d v="2019-06-25T00:00:00"/>
    <m/>
    <s v="09_농업전문지"/>
    <n v="1.5"/>
    <d v="2019-06-27T00:00:00"/>
  </r>
  <r>
    <n v="2663"/>
    <s v="8_국립축산과학원"/>
    <s v="2_축산자원개발부"/>
    <x v="0"/>
    <s v="문홍길"/>
    <m/>
    <s v="잔반 800t 새나간 구멍에 ‘ASF 복병’ 있다"/>
    <s v="농민신문"/>
    <d v="2019-06-26T00:00:00"/>
    <m/>
    <s v="09_농업전문지"/>
    <n v="1.5"/>
    <d v="2019-06-27T00:00:00"/>
  </r>
  <r>
    <n v="2664"/>
    <s v="8_국립축산과학원"/>
    <s v="0_본원"/>
    <x v="13"/>
    <s v="정성훈"/>
    <m/>
    <s v="음성군, 한우농가 대상 맞춤형 종합컨설팅"/>
    <s v="팜&amp;마켓매거진"/>
    <d v="2019-06-26T00:00:00"/>
    <m/>
    <s v="09_농업전문지"/>
    <n v="1.5"/>
    <d v="2019-06-27T00:00:00"/>
  </r>
  <r>
    <n v="2665"/>
    <s v="8_국립축산과학원"/>
    <s v="1_축산생명환경부"/>
    <x v="9"/>
    <s v="정광화"/>
    <s v="보도자료56"/>
    <s v="농진청, 여름철 가축 분뇨 처리 시설 관리 요령 소개"/>
    <s v="한국영농신문"/>
    <d v="2019-06-25T00:00:00"/>
    <m/>
    <s v="09_농업전문지"/>
    <n v="1.5"/>
    <d v="2019-06-27T00:00:00"/>
  </r>
  <r>
    <n v="2666"/>
    <s v="8_국립축산과학원"/>
    <s v="1_축산생명환경부"/>
    <x v="7"/>
    <s v="이슬"/>
    <s v="보도자료57"/>
    <s v="“축산분야 온실가스 배출계수 개발·등록 시급”"/>
    <s v="축산신문"/>
    <d v="2019-06-26T00:00:00"/>
    <m/>
    <s v="09_농업전문지"/>
    <n v="1.5"/>
    <d v="2019-06-27T00:00:00"/>
  </r>
  <r>
    <n v="2667"/>
    <s v="8_국립축산과학원"/>
    <s v="0_본원"/>
    <x v="15"/>
    <s v="김승창"/>
    <s v="보도자료58"/>
    <s v="농진청, 재래품종 ‘칡소’ 판별기술 개발"/>
    <s v="새만금일보"/>
    <d v="2019-06-26T00:00:00"/>
    <n v="6"/>
    <s v="09_지방일간지"/>
    <n v="1.5"/>
    <d v="2019-06-27T00:00:00"/>
  </r>
  <r>
    <n v="2668"/>
    <s v="8_국립축산과학원"/>
    <s v="0_본원"/>
    <x v="15"/>
    <s v="김승창"/>
    <s v="보도자료58"/>
    <s v="우리나라 재래품종 ‘칡소’ 판별 기술 나왔다"/>
    <s v="삼남일보"/>
    <d v="2019-06-26T00:00:00"/>
    <n v="5"/>
    <s v="09_지방일간지"/>
    <n v="1.5"/>
    <d v="2019-06-27T00:00:00"/>
  </r>
  <r>
    <n v="2669"/>
    <s v="8_국립축산과학원"/>
    <s v="0_본원"/>
    <x v="4"/>
    <s v="강환구"/>
    <m/>
    <s v="(포천) 농업기술센터 닭 사육농가 폭염피해 예방 선제 대응"/>
    <s v="경인종합일보"/>
    <d v="2019-06-26T00:00:00"/>
    <n v="10"/>
    <s v="09_지방일간지"/>
    <n v="1.5"/>
    <d v="2019-06-27T00:00:00"/>
  </r>
  <r>
    <n v="2670"/>
    <s v="8_국립축산과학원"/>
    <s v="0_본원"/>
    <x v="13"/>
    <s v="정성훈"/>
    <m/>
    <s v="한우농가 맞춤형 컨설팅 제공 음성군 농기센터"/>
    <s v="충청매일"/>
    <d v="2019-06-26T00:00:00"/>
    <n v="6"/>
    <s v="09_지방일간지"/>
    <n v="1.5"/>
    <d v="2019-06-27T00:00:00"/>
  </r>
  <r>
    <n v="2671"/>
    <s v="8_국립축산과학원"/>
    <s v="0_본원"/>
    <x v="13"/>
    <s v="정성훈"/>
    <m/>
    <s v="음성군, 한우농가 대상 맞춤형 종합컨설팅으로 애로기술 해결"/>
    <s v="중도일보"/>
    <d v="2019-06-25T00:00:00"/>
    <m/>
    <s v="09_지방일간지"/>
    <n v="1.5"/>
    <d v="2019-06-27T00:00:00"/>
  </r>
  <r>
    <n v="2672"/>
    <s v="8_국립축산과학원"/>
    <s v="0_본원"/>
    <x v="13"/>
    <s v="정성훈"/>
    <m/>
    <s v="음성군, 한우농가 대상 맞춤형 종합컨설팅 실시"/>
    <s v="충북일보"/>
    <d v="2019-06-25T00:00:00"/>
    <m/>
    <s v="09_지방일간지"/>
    <n v="1.5"/>
    <d v="2019-06-27T00:00:00"/>
  </r>
  <r>
    <n v="2673"/>
    <s v="8_국립축산과학원"/>
    <s v="0_본원"/>
    <x v="15"/>
    <s v="김승창"/>
    <s v="보도자료58"/>
    <s v="재래품종 ‘칡소’, 판별기술 개발"/>
    <s v="식약일보"/>
    <d v="2019-06-26T00:00:00"/>
    <m/>
    <s v="10_기타전문지"/>
    <n v="1"/>
    <d v="2019-06-27T00:00:00"/>
  </r>
  <r>
    <n v="2674"/>
    <s v="8_국립축산과학원"/>
    <s v="1_축산생명환경부"/>
    <x v="9"/>
    <s v="정광화"/>
    <s v="보도자료56"/>
    <s v="여름철 가축 분뇨 처리 시설 관리 요령"/>
    <s v="정책브리핑"/>
    <d v="2019-06-20T00:00:00"/>
    <m/>
    <s v="12_대한민국 정책포털(korea.kr)"/>
    <n v="1"/>
    <d v="2019-06-27T00:00:00"/>
  </r>
  <r>
    <n v="2675"/>
    <s v="8_국립축산과학원"/>
    <s v="1_축산생명환경부"/>
    <x v="7"/>
    <s v="이슬"/>
    <s v="보도자료57"/>
    <s v="기후변화 대응 위해 국내외 축산 전문가 모인다"/>
    <s v="정책브리핑"/>
    <d v="2019-06-21T00:00:00"/>
    <m/>
    <s v="12_대한민국 정책포털(korea.kr)"/>
    <n v="1"/>
    <d v="2019-06-27T00:00:00"/>
  </r>
  <r>
    <n v="2676"/>
    <s v="8_국립축산과학원"/>
    <s v="2_축산자원개발부"/>
    <x v="0"/>
    <s v="정학재"/>
    <m/>
    <s v="암퇘지만 낳아 기르는 기술, 농가 부가가치 높인다"/>
    <s v="램인터내셔널"/>
    <d v="2019-06-10T00:00:00"/>
    <m/>
    <s v="13_인터넷포털"/>
    <n v="0.1"/>
    <d v="2019-06-27T00:00:00"/>
  </r>
  <r>
    <n v="2677"/>
    <s v="8_국립축산과학원"/>
    <s v="0_본원"/>
    <x v="13"/>
    <s v="정성훈"/>
    <m/>
    <s v="음성군, 한우농가 대상 맞춤형 종합컨설팅으로 애로기술 해결"/>
    <s v="충북넷"/>
    <d v="2019-06-25T00:00:00"/>
    <m/>
    <s v="13_인터넷포털"/>
    <n v="0.1"/>
    <d v="2019-06-27T00:00:00"/>
  </r>
  <r>
    <n v="2678"/>
    <s v="8_국립축산과학원"/>
    <s v="0_본원"/>
    <x v="15"/>
    <s v="김승창"/>
    <s v="보도자료58"/>
    <s v="농진청, 한국 재래소 ‘칡소’ 판별기술 특허출원"/>
    <s v="라이브뉴스"/>
    <d v="2019-06-25T00:00:00"/>
    <m/>
    <s v="13_인터넷포털"/>
    <n v="0.1"/>
    <d v="2019-06-27T00:00:00"/>
  </r>
  <r>
    <n v="2679"/>
    <s v="8_국립축산과학원"/>
    <s v="0_본원"/>
    <x v="13"/>
    <s v="정성훈"/>
    <m/>
    <s v="음성군, 한우농가 대상 맞춤형 종합컨설팅으로 애로기술 해결"/>
    <s v="내외뉴스통신"/>
    <d v="2019-06-25T00:00:00"/>
    <m/>
    <s v="13_인터넷포털"/>
    <n v="0.1"/>
    <d v="2019-06-27T00:00:00"/>
  </r>
  <r>
    <n v="2680"/>
    <s v="8_국립축산과학원"/>
    <s v="0_본원"/>
    <x v="13"/>
    <s v="정성훈"/>
    <m/>
    <s v="음성군, 한우농가 대상 애로기술 해결을 위한 맞춤형 종합컨설팅 추진"/>
    <s v="국제뉴스"/>
    <d v="2019-06-25T00:00:00"/>
    <m/>
    <s v="13_인터넷포털"/>
    <n v="0.1"/>
    <d v="2019-06-27T00:00:00"/>
  </r>
  <r>
    <n v="2681"/>
    <s v="8_국립축산과학원"/>
    <s v="0_본원"/>
    <x v="15"/>
    <s v="김승창"/>
    <s v="보도자료58"/>
    <s v="재래 품종 ‘칡소’, 판별 기술 개발"/>
    <s v="전남인터넷신문"/>
    <d v="2019-06-26T00:00:00"/>
    <m/>
    <s v="13_인터넷포털"/>
    <n v="0.1"/>
    <d v="2019-06-27T00:00:00"/>
  </r>
  <r>
    <n v="2682"/>
    <s v="8_국립축산과학원"/>
    <s v="0_본원"/>
    <x v="15"/>
    <s v="김승창"/>
    <s v="보도자료58"/>
    <s v="농촌진흥청, 재래 품종 ‘칡소’...판별 기술 개발"/>
    <s v="로컬투데이"/>
    <d v="2019-06-26T00:00:00"/>
    <m/>
    <s v="13_인터넷포털"/>
    <n v="0.1"/>
    <d v="2019-06-27T00:00:00"/>
  </r>
  <r>
    <n v="2683"/>
    <s v="8_국립축산과학원"/>
    <s v="1_축산생명환경부"/>
    <x v="9"/>
    <s v="정광화"/>
    <s v="보도자료56"/>
    <s v="여름철 가축분뇨 처리 시설 관리 ‘당부’"/>
    <s v="농업경제신문"/>
    <d v="2019-06-21T00:00:00"/>
    <m/>
    <s v="13_인터넷포털"/>
    <n v="0.1"/>
    <d v="2019-06-27T00:00:00"/>
  </r>
  <r>
    <n v="2684"/>
    <s v="8_국립축산과학원"/>
    <s v="1_축산생명환경부"/>
    <x v="7"/>
    <s v="이슬"/>
    <s v="보도자료57"/>
    <s v="농촌진흥청, 21일 서울서 국제심포지엄...온실가스 저감 논의"/>
    <s v="중부뉴스통신"/>
    <d v="2019-06-21T00:00:00"/>
    <m/>
    <s v="13_인터넷포털"/>
    <n v="0.1"/>
    <d v="2019-06-27T00:00:00"/>
  </r>
  <r>
    <n v="2685"/>
    <s v="8_국립축산과학원"/>
    <s v="1_축산생명환경부"/>
    <x v="7"/>
    <s v="이슬"/>
    <s v="보도자료57"/>
    <s v="농촌진흥청, 21일 서울서 국제심포지엄... 온실가스 저감 논의"/>
    <s v="강원경제신문"/>
    <d v="2019-06-21T00:00:00"/>
    <m/>
    <s v="13_인터넷포털"/>
    <n v="0.1"/>
    <d v="2019-06-27T00:00:00"/>
  </r>
  <r>
    <n v="2686"/>
    <s v="8_국립축산과학원"/>
    <s v="1_축산생명환경부"/>
    <x v="7"/>
    <s v="이슬"/>
    <s v="보도자료57"/>
    <s v="농촌진흥청, ‘축산 부문 기후변화 완화 국제심포지엄’ 개최"/>
    <s v="일간전북"/>
    <d v="2019-06-21T00:00:00"/>
    <m/>
    <s v="13_인터넷포털"/>
    <n v="0.1"/>
    <d v="2019-06-27T00:00:00"/>
  </r>
  <r>
    <n v="2687"/>
    <s v="8_국립축산과학원"/>
    <s v="1_축산생명환경부"/>
    <x v="7"/>
    <s v="이슬"/>
    <s v="보도자료57"/>
    <s v="국내외 축산전문가 모여 ‘축산업 오실가스 저감’ 논의"/>
    <s v="라이브뉴스"/>
    <d v="2019-06-24T00:00:00"/>
    <m/>
    <s v="13_인터넷포털"/>
    <n v="0.1"/>
    <d v="2019-06-27T00:00:00"/>
  </r>
  <r>
    <n v="2688"/>
    <s v="8_국립축산과학원"/>
    <s v="1_축산생명환경부"/>
    <x v="7"/>
    <s v="이슬"/>
    <s v="보도자료57"/>
    <s v="“온실가스 줄이자”…축산 전문가 기후변화 국제심포지엄"/>
    <s v="세이프타임즈"/>
    <d v="2019-06-21T00:00:00"/>
    <m/>
    <s v="13_인터넷포털"/>
    <n v="0.1"/>
    <d v="2019-06-27T00:00:00"/>
  </r>
  <r>
    <n v="2689"/>
    <s v="8_국립축산과학원"/>
    <s v="0_본원"/>
    <x v="2"/>
    <s v="양창범"/>
    <s v="기고"/>
    <s v="[기고] 양창범 원장-기술 혁신으로 한 단계 더 도약해야"/>
    <s v="월간양계"/>
    <d v="2019-06-01T00:00:00"/>
    <s v="114-115"/>
    <s v="18_월간지"/>
    <n v="4"/>
    <d v="2019-06-27T00:00:00"/>
  </r>
  <r>
    <n v="2690"/>
    <s v="8_국립축산과학원"/>
    <s v="0_본원"/>
    <x v="14"/>
    <s v="황소미"/>
    <s v="기고"/>
    <s v="[기고] 황소미 연구사-다가오는 폭염 대비 사양관리 요령"/>
    <s v="월간한우"/>
    <d v="2019-06-01T00:00:00"/>
    <s v="90-93"/>
    <s v="17_농업전문지"/>
    <n v="8"/>
    <d v="2019-06-27T00:00:00"/>
  </r>
  <r>
    <n v="2691"/>
    <s v="8_국립축산과학원"/>
    <s v="2_축산자원개발부"/>
    <x v="12"/>
    <s v="임현주"/>
    <s v="기고"/>
    <s v="[기고] 임현주 연구사-여름철 젖소 고온 스트레스 최소화 요령"/>
    <s v="월간 낙농·육우"/>
    <d v="2019-06-01T00:00:00"/>
    <s v="181-187"/>
    <s v="18_월간지"/>
    <n v="4"/>
    <d v="2019-06-27T00:00:00"/>
  </r>
  <r>
    <n v="2692"/>
    <s v="8_국립축산과학원"/>
    <s v="1_축산생명환경부"/>
    <x v="9"/>
    <s v="곽정훈"/>
    <s v="기고"/>
    <s v="[기고] 곽정훈 과장-적극적인 계분 처리 방안 계획 수립이 필요"/>
    <s v="월간양계"/>
    <d v="2019-06-01T00:00:00"/>
    <s v="142-145"/>
    <s v="18_월간지"/>
    <n v="4"/>
    <d v="2019-06-27T00:00:00"/>
  </r>
  <r>
    <n v="2693"/>
    <s v="8_국립축산과학원"/>
    <s v="0_본원"/>
    <x v="4"/>
    <s v="강환구"/>
    <s v="기고"/>
    <s v="[기고] 강환구 연구사-산란계 난각품질 향상을 위한 효과적인 사양관리"/>
    <s v="월간양계"/>
    <d v="2019-06-01T00:00:00"/>
    <s v="167-169"/>
    <s v="18_월간지"/>
    <n v="4"/>
    <d v="2019-06-27T00:00:00"/>
  </r>
  <r>
    <n v="2694"/>
    <s v="8_국립축산과학원"/>
    <s v="0_본원"/>
    <x v="11"/>
    <s v="문규철"/>
    <s v="보도자료44"/>
    <s v="우리나라 축산업 발전을 위해 희생된 가축의 넋 위로"/>
    <s v="월간축산"/>
    <d v="2019-06-01T00:00:00"/>
    <s v="18-19"/>
    <s v="09_농업전문지"/>
    <n v="1.5"/>
    <d v="2019-06-27T00:00:00"/>
  </r>
  <r>
    <n v="2695"/>
    <s v="8_국립축산과학원"/>
    <s v="0_본원"/>
    <x v="15"/>
    <s v="이진욱"/>
    <m/>
    <s v="수입육 등 공급 넘쳐 가격 폭락…수매도 실종"/>
    <s v="월간축산"/>
    <d v="2019-06-01T00:00:00"/>
    <s v="34-37"/>
    <s v="09_농업전문지"/>
    <n v="1.5"/>
    <d v="2019-06-27T00:00:00"/>
  </r>
  <r>
    <n v="2696"/>
    <s v="8_국립축산과학원"/>
    <s v="2_축산자원개발부"/>
    <x v="0"/>
    <m/>
    <m/>
    <s v="자돈용 복층 바닥 휴식공간 확보…사육마릿수 감소 없이 동물복지 향상"/>
    <s v="월간축산"/>
    <d v="2019-06-01T00:00:00"/>
    <s v="98-99"/>
    <s v="09_농업전문지"/>
    <n v="1.5"/>
    <d v="2019-06-27T00:00:00"/>
  </r>
  <r>
    <n v="2697"/>
    <s v="8_국립축산과학원"/>
    <s v="0_본원"/>
    <x v="10"/>
    <s v="신상민"/>
    <s v="보도자료42"/>
    <s v="말 진드기 방목 때 원충성 질병 예방 철저히 해야"/>
    <s v="월간축산"/>
    <d v="2019-06-01T00:00:00"/>
    <s v="100-101"/>
    <s v="09_농업전문지"/>
    <n v="1.5"/>
    <d v="2019-06-27T00:00:00"/>
  </r>
  <r>
    <n v="2698"/>
    <s v="8_국립축산과학원"/>
    <s v="2_축산자원개발부"/>
    <x v="6"/>
    <s v="지희정"/>
    <s v="보도자료37"/>
    <s v="국내산 풀사료 &lt;그린콜2호&gt; 수입 IRG보다 1ha당 800kg 더 생산"/>
    <s v="월간축산"/>
    <d v="2019-06-01T00:00:00"/>
    <s v="104-105"/>
    <s v="09_농업전문지"/>
    <n v="1.5"/>
    <d v="2019-06-27T00:00:00"/>
  </r>
  <r>
    <n v="2699"/>
    <s v="8_국립축산과학원"/>
    <s v="1_축산생명환경부"/>
    <x v="7"/>
    <s v="백열창"/>
    <m/>
    <s v="영양성분 분석 결과, 어떻게 보나요?"/>
    <s v="월간축산"/>
    <d v="2019-06-01T00:00:00"/>
    <s v="106-107"/>
    <s v="09_농업전문지"/>
    <n v="1.5"/>
    <d v="2019-06-27T00:00:00"/>
  </r>
  <r>
    <n v="2700"/>
    <s v="8_국립축산과학원"/>
    <s v="2_축산자원개발부"/>
    <x v="6"/>
    <s v="최기준"/>
    <m/>
    <s v="이탈리안 라이그라스·귀리 혼파재배 수확 연시회"/>
    <s v="월간한우"/>
    <d v="2019-06-01T00:00:00"/>
    <n v="162"/>
    <s v="09_농업전문지"/>
    <n v="1.5"/>
    <d v="2019-06-27T00:00:00"/>
  </r>
  <r>
    <n v="2701"/>
    <s v="8_국립축산과학원"/>
    <s v="0_본원"/>
    <x v="2"/>
    <s v="이준엽"/>
    <s v="보도자료51"/>
    <s v="국립축산과학원 '최우수 책임운영기관'에 선정"/>
    <s v="월간한우"/>
    <d v="2019-06-01T00:00:00"/>
    <n v="163"/>
    <s v="09_농업전문지"/>
    <n v="1.5"/>
    <d v="2019-06-27T00:00:00"/>
  </r>
  <r>
    <n v="2702"/>
    <s v="8_국립축산과학원"/>
    <s v="2_축산자원개발부"/>
    <x v="6"/>
    <s v="양승학"/>
    <s v="보도자료43"/>
    <s v="드론, 풀사료 적기파종에 효자 노릇 톡톡!"/>
    <s v="월간한우"/>
    <d v="2019-06-01T00:00:00"/>
    <n v="164"/>
    <s v="09_농업전문지"/>
    <n v="1.5"/>
    <d v="2019-06-27T00:00:00"/>
  </r>
  <r>
    <n v="2703"/>
    <s v="8_국립축산과학원"/>
    <s v="1_축산생명환경부"/>
    <x v="9"/>
    <s v="권경석"/>
    <s v="보도자료46"/>
    <s v="축사 환기시설 미리 점검하자"/>
    <s v="월간한우"/>
    <d v="2019-06-01T00:00:00"/>
    <n v="165"/>
    <s v="09_농업전문지"/>
    <n v="1.5"/>
    <d v="2019-06-27T00:00:00"/>
  </r>
  <r>
    <n v="2704"/>
    <s v="8_국립축산과학원"/>
    <s v="0_본원"/>
    <x v="14"/>
    <s v="원정일"/>
    <s v="보도자료49"/>
    <s v="축산과학원 한우연구소 올해 첫 방목"/>
    <s v="월간한우"/>
    <d v="2019-06-01T00:00:00"/>
    <n v="166"/>
    <s v="09_농업전문지"/>
    <n v="1.5"/>
    <d v="2019-06-27T00:00:00"/>
  </r>
  <r>
    <n v="2705"/>
    <s v="8_국립축산과학원"/>
    <s v="1_축산생명환경부"/>
    <x v="9"/>
    <s v="권경석"/>
    <s v="보도자료46"/>
    <s v="&quot;축사 환기·냉방 시설 미리 살피세요&quot;"/>
    <s v="월간낙농"/>
    <d v="2019-06-01T00:00:00"/>
    <n v="121"/>
    <s v="10_월간지"/>
    <n v="1"/>
    <d v="2019-06-27T00:00:00"/>
  </r>
  <r>
    <n v="2706"/>
    <s v="8_국립축산과학원"/>
    <s v="1_축산생명환경부"/>
    <x v="9"/>
    <s v="전중환"/>
    <m/>
    <s v="축산업에서 동물복지 현황과 발전 방향"/>
    <s v="월간낙농"/>
    <d v="2019-06-01T00:00:00"/>
    <n v="149"/>
    <s v="10_월간지"/>
    <n v="1"/>
    <d v="2019-06-27T00:00:00"/>
  </r>
  <r>
    <n v="2707"/>
    <s v="8_국립축산과학원"/>
    <s v="2_축산자원개발부"/>
    <x v="6"/>
    <s v="김지혜"/>
    <s v="보도자료40"/>
    <s v="&quot;건초, 비·이슬에 젖었을 경우 빠른 건조가 중요&quot;"/>
    <s v="월간낙농"/>
    <d v="2019-06-01T00:00:00"/>
    <n v="160"/>
    <s v="10_월간지"/>
    <n v="1"/>
    <d v="2019-06-27T00:00:00"/>
  </r>
  <r>
    <n v="2708"/>
    <s v="8_국립축산과학원"/>
    <s v="1_축산생명환경부"/>
    <x v="9"/>
    <s v="권경석"/>
    <s v="보도자료46"/>
    <s v="&quot;폭염 전 미리 양돈장 점검하세요&quot;"/>
    <s v="월간한돈"/>
    <d v="2019-06-01T00:00:00"/>
    <s v="454-455"/>
    <s v="10_월간지"/>
    <n v="1"/>
    <d v="2019-06-27T00:00:00"/>
  </r>
  <r>
    <n v="2709"/>
    <s v="8_국립축산과학원"/>
    <s v="1_축산생명환경부"/>
    <x v="9"/>
    <s v="권경석"/>
    <s v="보도자료46"/>
    <s v="농진청, 무더위 시작 전 꼼꼼한 축사 환기 및 냉방시설 점검 당부"/>
    <s v="Pig&amp;Pork 한돈"/>
    <d v="2019-06-01T00:00:00"/>
    <s v="185-186"/>
    <s v="10_월간지"/>
    <n v="1"/>
    <d v="2019-06-27T00:00:00"/>
  </r>
  <r>
    <n v="2710"/>
    <s v="8_국립축산과학원"/>
    <s v="2_축산자원개발부"/>
    <x v="0"/>
    <s v="홍준기"/>
    <s v="보도자료47"/>
    <s v="농진청, 눈으로 돼지 다리 건강을 판별할 수 있는 표준 매뉴얼 만든다"/>
    <s v="Pig&amp;Pork 한돈"/>
    <d v="2019-06-01T00:00:00"/>
    <n v="186"/>
    <s v="10_월간지"/>
    <n v="1"/>
    <d v="2019-06-27T00:00:00"/>
  </r>
  <r>
    <n v="2711"/>
    <s v="8_국립축산과학원"/>
    <s v="0_본원"/>
    <x v="2"/>
    <s v="이준엽"/>
    <s v="보도자료51"/>
    <s v="국립축산과학원, '최우수 책임운영기관'으로 선정"/>
    <s v="월간닭고기"/>
    <d v="2019-06-01T00:00:00"/>
    <s v="28-29"/>
    <s v="10_월간지"/>
    <n v="1"/>
    <d v="2019-06-27T00:00:00"/>
  </r>
  <r>
    <n v="2712"/>
    <s v="8_국립축산과학원"/>
    <s v="0_본원"/>
    <x v="4"/>
    <s v="전진주"/>
    <s v="보도자료54"/>
    <s v="닭 사육농가 폭염 피해 예방 선제 대응 나서"/>
    <s v="월간닭고기"/>
    <d v="2019-06-01T00:00:00"/>
    <s v="29-30"/>
    <s v="10_월간지"/>
    <n v="1"/>
    <d v="2019-06-27T00:00:00"/>
  </r>
  <r>
    <n v="2713"/>
    <s v="8_국립축산과학원"/>
    <s v="1_축산생명환경부"/>
    <x v="7"/>
    <s v="이성대"/>
    <s v="보도자료52"/>
    <s v="미리 보는 '가축 더위스트레스'로 폭염 대비해요"/>
    <s v="월간닭고기"/>
    <d v="2019-06-01T00:00:00"/>
    <s v="30-31"/>
    <s v="10_월간지"/>
    <n v="1"/>
    <d v="2019-06-27T00:00:00"/>
  </r>
  <r>
    <n v="2714"/>
    <s v="8_국립축산과학원"/>
    <s v="2_축산자원개발부"/>
    <x v="0"/>
    <s v="문홍길"/>
    <m/>
    <s v="“돼지고기, ‘이것’ 알아야 더 맛있게 즐긴다!”"/>
    <s v="세계일보"/>
    <d v="2019-06-26T00:00:00"/>
    <m/>
    <s v="07_중앙일간지"/>
    <n v="5"/>
    <d v="2019-06-28T00:00:00"/>
  </r>
  <r>
    <n v="2715"/>
    <s v="8_국립축산과학원"/>
    <s v="0_본원"/>
    <x v="15"/>
    <s v="김승창"/>
    <s v="보도자료58"/>
    <s v="농진청, 한국 재래소 ‘칡소’ 판별 기술 개발"/>
    <s v="매일경제"/>
    <d v="2019-06-25T00:00:00"/>
    <m/>
    <s v="07_중앙일간지"/>
    <n v="5"/>
    <d v="2019-06-28T00:00:00"/>
  </r>
  <r>
    <n v="2716"/>
    <s v="8_국립축산과학원"/>
    <s v="0_본원"/>
    <x v="15"/>
    <s v="김승창"/>
    <s v="보도자료58"/>
    <s v="농진청, 한국 재래소 ‘칡소’ 판별 기술 개발"/>
    <s v="한국경제"/>
    <d v="2019-06-25T00:00:00"/>
    <m/>
    <s v="07_중앙일간지"/>
    <n v="5"/>
    <d v="2019-06-28T00:00:00"/>
  </r>
  <r>
    <n v="2717"/>
    <s v="8_국립축산과학원"/>
    <s v="0_본원"/>
    <x v="2"/>
    <s v="양창범"/>
    <m/>
    <s v="경상대, ‘2019 한국축산관련학회 연합학술발표회’ 개최"/>
    <s v="아시아뉴스통신"/>
    <d v="2019-06-27T00:00:00"/>
    <m/>
    <s v="07_중앙일간지"/>
    <n v="5"/>
    <d v="2019-06-28T00:00:00"/>
  </r>
  <r>
    <n v="2718"/>
    <s v="8_국립축산과학원"/>
    <s v="0_본원"/>
    <x v="15"/>
    <s v="김찬란"/>
    <m/>
    <s v="겨울철 염소는피부병, 사슴은 체중 관리에 신경써주세요"/>
    <s v="네이버팜"/>
    <d v="2019-01-30T00:00:00"/>
    <m/>
    <s v="25_네이버팜(텍스트 콘텐츠 포스팅)"/>
    <n v="3"/>
    <d v="2019-06-28T00:00:00"/>
  </r>
  <r>
    <n v="2719"/>
    <s v="8_국립축산과학원"/>
    <s v="2_축산자원개발부"/>
    <x v="12"/>
    <s v="이지환"/>
    <m/>
    <s v="젖소 이야기 풀만 먹은 젖소가 우유를 만들어내는 과정"/>
    <s v="네이버팜"/>
    <d v="2019-02-06T00:00:00"/>
    <m/>
    <s v="25_네이버팜(텍스트 콘텐츠 포스팅)"/>
    <n v="3"/>
    <d v="2019-06-28T00:00:00"/>
  </r>
  <r>
    <n v="2720"/>
    <s v="8_국립축산과학원"/>
    <s v="2_축산자원개발부"/>
    <x v="12"/>
    <s v="이지환"/>
    <m/>
    <s v="암소가 우유를 만드는 비결은 00 호르몬 덕분이다"/>
    <s v="네이버팜"/>
    <d v="2019-02-28T00:00:00"/>
    <m/>
    <s v="25_네이버팜(텍스트 콘텐츠 포스팅)"/>
    <n v="3"/>
    <d v="2019-06-28T00:00:00"/>
  </r>
  <r>
    <n v="2721"/>
    <s v="8_국립축산과학원"/>
    <s v="1_축산생명환경부"/>
    <x v="5"/>
    <s v="김윤석"/>
    <m/>
    <s v="족발 '무지개빛' 은 무엇? 먹어도 되는지 알아보자"/>
    <s v="네이버팜"/>
    <d v="2019-03-25T00:00:00"/>
    <m/>
    <s v="25_네이버팜(텍스트 콘텐츠 포스팅)"/>
    <n v="3"/>
    <d v="2019-06-28T00:00:00"/>
  </r>
  <r>
    <n v="2722"/>
    <s v="8_국립축산과학원"/>
    <s v="2_축산자원개발부"/>
    <x v="6"/>
    <s v="임은아"/>
    <m/>
    <s v="추위견딘 풀사료 봄철 관리로 수확량 늘려요 "/>
    <s v="네이버팜"/>
    <d v="2019-03-30T00:00:00"/>
    <m/>
    <s v="25_네이버팜(텍스트 콘텐츠 포스팅)"/>
    <n v="3"/>
    <d v="2019-06-28T00:00:00"/>
  </r>
  <r>
    <n v="2723"/>
    <s v="8_국립축산과학원"/>
    <s v="0_본원"/>
    <x v="13"/>
    <s v="유지현"/>
    <m/>
    <s v="‘학교음매’프로그램 염소 친구가 온 후 학교가 달라졌어요."/>
    <s v="네이버팜"/>
    <d v="2019-04-27T00:00:00"/>
    <m/>
    <s v="25_네이버팜(텍스트 콘텐츠 포스팅)"/>
    <n v="3"/>
    <d v="2019-06-28T00:00:00"/>
  </r>
  <r>
    <n v="2724"/>
    <s v="8_국립축산과학원"/>
    <s v="2_축산자원개발부"/>
    <x v="12"/>
    <s v="이지환"/>
    <m/>
    <s v="젖소 수명을 늘리기 위해 체크해봐야할 것들"/>
    <s v="네이버팜"/>
    <d v="2019-05-10T00:00:00"/>
    <m/>
    <s v="25_네이버팜(텍스트 콘텐츠 포스팅)"/>
    <n v="3"/>
    <d v="2019-06-28T00:00:00"/>
  </r>
  <r>
    <n v="2725"/>
    <s v="8_국립축산과학원"/>
    <s v="2_축산자원개발부"/>
    <x v="6"/>
    <s v="양승학"/>
    <m/>
    <s v="국내최초 동계 사료작물 재배에 드론 기술 적용했다"/>
    <s v="네이버팜"/>
    <d v="2019-05-27T00:00:00"/>
    <m/>
    <s v="25_네이버팜(텍스트 콘텐츠 포스팅)"/>
    <n v="3"/>
    <d v="2019-06-28T00:00:00"/>
  </r>
  <r>
    <n v="2726"/>
    <s v="8_국립축산과학원"/>
    <s v="0_본원"/>
    <x v="15"/>
    <s v="김승창"/>
    <s v="보도자료58"/>
    <s v="농진청 재래 품종 ‘칡소’ 판별 기술 개발"/>
    <s v="환경일보"/>
    <d v="2019-06-25T00:00:00"/>
    <m/>
    <s v="08_기타일간지"/>
    <n v="2"/>
    <d v="2019-06-28T00:00:00"/>
  </r>
  <r>
    <n v="2727"/>
    <s v="8_국립축산과학원"/>
    <s v="2_축산자원개발부"/>
    <x v="0"/>
    <s v="김두완"/>
    <s v="보도자료59"/>
    <s v="농촌진흥청, 여름철 돼지 위궤양 예방법 소개"/>
    <s v="매일일보"/>
    <d v="2019-06-27T00:00:00"/>
    <m/>
    <s v="08_기타일간지"/>
    <n v="2"/>
    <d v="2019-06-28T00:00:00"/>
  </r>
  <r>
    <n v="2728"/>
    <s v="8_국립축산과학원"/>
    <s v="2_축산자원개발부"/>
    <x v="0"/>
    <s v="문홍길"/>
    <m/>
    <s v="요크셔? 버크셔? 듀록? “돼지고기도 품종 가려 먹는 시대”"/>
    <s v="한국영농신문"/>
    <d v="2019-06-26T00:00:00"/>
    <m/>
    <s v="09_농업전문지"/>
    <n v="1.5"/>
    <d v="2019-06-28T00:00:00"/>
  </r>
  <r>
    <n v="2729"/>
    <s v="8_국립축산과학원"/>
    <s v="0_본원"/>
    <x v="15"/>
    <s v="김승창"/>
    <s v="보도자료58"/>
    <s v="재래 품종 ‘칡소’,판별 기술 개발"/>
    <s v="한국임업신문"/>
    <d v="2019-06-27T00:00:00"/>
    <n v="7"/>
    <s v="09_농업전문지"/>
    <n v="1.5"/>
    <d v="2019-06-28T00:00:00"/>
  </r>
  <r>
    <n v="2730"/>
    <s v="8_국립축산과학원"/>
    <s v="0_본원"/>
    <x v="4"/>
    <s v="전진주"/>
    <s v="보도자료54"/>
    <s v="농진청, 닭 사육농가 폭염 피해 예방 나서"/>
    <s v="농업축산신문"/>
    <d v="2019-06-21T00:00:00"/>
    <n v="6"/>
    <s v="09_농업전문지"/>
    <n v="1.5"/>
    <d v="2019-06-28T00:00:00"/>
  </r>
  <r>
    <n v="2731"/>
    <s v="8_국립축산과학원"/>
    <s v="0_본원"/>
    <x v="14"/>
    <s v="장선식"/>
    <s v="보도자료55"/>
    <s v="‘6~7개월령 거세’ 섬유질배합사료로 사료비용 덜어"/>
    <s v="농축환경신문"/>
    <d v="2019-06-20T00:00:00"/>
    <n v="5"/>
    <s v="09_농업전문지"/>
    <n v="1.5"/>
    <d v="2019-06-28T00:00:00"/>
  </r>
  <r>
    <n v="2732"/>
    <s v="8_국립축산과학원"/>
    <s v="0_본원"/>
    <x v="14"/>
    <s v="장선식"/>
    <s v="보도자료55"/>
    <s v="거세한우 잘 키우는 최고의 기술은?"/>
    <s v="농업축산신문"/>
    <d v="2019-06-21T00:00:00"/>
    <n v="8"/>
    <s v="09_농업전문지"/>
    <n v="1.5"/>
    <d v="2019-06-28T00:00:00"/>
  </r>
  <r>
    <n v="2733"/>
    <s v="8_국립축산과학원"/>
    <s v="0_본원"/>
    <x v="2"/>
    <s v="강희설"/>
    <m/>
    <s v="‘골드시드프로젝트 한협토종닭’ 중동 첫 진출"/>
    <s v="농업축산신문"/>
    <d v="2019-06-21T00:00:00"/>
    <n v="5"/>
    <s v="09_농업전문지"/>
    <n v="1.5"/>
    <d v="2019-06-28T00:00:00"/>
  </r>
  <r>
    <n v="2734"/>
    <s v="8_국립축산과학원"/>
    <s v="1_축산생명환경부"/>
    <x v="7"/>
    <s v="이슬"/>
    <s v="보도자료57"/>
    <s v="‘기후변화 대응’ 국내외 축산 전문가 모여"/>
    <s v="농축유통신문"/>
    <d v="2019-06-28T00:00:00"/>
    <m/>
    <s v="09_농업전문지"/>
    <n v="1.5"/>
    <d v="2019-06-28T00:00:00"/>
  </r>
  <r>
    <n v="2735"/>
    <s v="8_국립축산과학원"/>
    <s v="0_본원"/>
    <x v="15"/>
    <s v="김승창"/>
    <s v="보도자료58"/>
    <s v="재래 품종 ‘칡소’ 판별 기술 나왔다"/>
    <s v="한국영농신문"/>
    <d v="2019-06-28T00:00:00"/>
    <m/>
    <s v="09_농업전문지"/>
    <n v="1.5"/>
    <d v="2019-06-28T00:00:00"/>
  </r>
  <r>
    <n v="2736"/>
    <s v="8_국립축산과학원"/>
    <s v="2_축산자원개발부"/>
    <x v="0"/>
    <s v="김두완"/>
    <s v="보도자료59"/>
    <s v="돼지 위궤양, 더위 스트레스"/>
    <s v="팜&amp;마켓매거진"/>
    <d v="2019-06-28T00:00:00"/>
    <m/>
    <s v="09_농업전문지"/>
    <n v="1.5"/>
    <d v="2019-06-28T00:00:00"/>
  </r>
  <r>
    <n v="2737"/>
    <s v="8_국립축산과학원"/>
    <s v="0_본원"/>
    <x v="15"/>
    <s v="김승창"/>
    <s v="보도자료58"/>
    <s v="유전자 활용 ‘칡소’ 판별 기술 개발"/>
    <s v="전업농신문"/>
    <d v="2019-06-28T00:00:00"/>
    <m/>
    <s v="09_농업전문지"/>
    <n v="1.5"/>
    <d v="2019-06-28T00:00:00"/>
  </r>
  <r>
    <n v="2738"/>
    <s v="8_국립축산과학원"/>
    <s v="0_본원"/>
    <x v="15"/>
    <s v="김승창"/>
    <s v="보도자료58"/>
    <s v="농진청, 재래 품종 ‘칡소’, 판별 기술 개발"/>
    <s v="농축유통신문"/>
    <d v="2019-06-28T00:00:00"/>
    <m/>
    <s v="09_농업전문지"/>
    <n v="1.5"/>
    <d v="2019-06-28T00:00:00"/>
  </r>
  <r>
    <n v="2739"/>
    <s v="8_국립축산과학원"/>
    <s v="0_본원"/>
    <x v="15"/>
    <s v="김승창"/>
    <s v="보도자료58"/>
    <s v="재래 품종 ‘칡소’, 판별기술 개발"/>
    <s v="농촌여성신문"/>
    <d v="2019-06-28T00:00:00"/>
    <m/>
    <s v="09_농업전문지"/>
    <n v="1.5"/>
    <d v="2019-06-28T00:00:00"/>
  </r>
  <r>
    <n v="2740"/>
    <s v="8_국립축산과학원"/>
    <s v="0_본원"/>
    <x v="15"/>
    <s v="김승창"/>
    <s v="보도자료58"/>
    <s v="재래 품종 ‘칡소’, 판별 기술 개발"/>
    <s v="농업인신문"/>
    <d v="2019-06-28T00:00:00"/>
    <m/>
    <s v="09_농업전문지"/>
    <n v="1.5"/>
    <d v="2019-06-28T00:00:00"/>
  </r>
  <r>
    <n v="2741"/>
    <s v="8_국립축산과학원"/>
    <s v="1_축산생명환경부"/>
    <x v="7"/>
    <s v="이슬"/>
    <s v="보도자료57"/>
    <s v="온실가스 배출저감 대응 나서"/>
    <s v="전라매일"/>
    <d v="2019-06-20T00:00:00"/>
    <m/>
    <s v="09_지방일간지"/>
    <n v="1.5"/>
    <d v="2019-06-28T00:00:00"/>
  </r>
  <r>
    <n v="2742"/>
    <s v="8_국립축산과학원"/>
    <s v="0_본원"/>
    <x v="15"/>
    <s v="김승창"/>
    <s v="보도자료58"/>
    <s v="재래 품종 ‘칡소’, 판별 기술 개발"/>
    <s v="정책브리핑"/>
    <d v="2019-06-26T00:00:00"/>
    <m/>
    <s v="12_대한민국 정책포털(korea.kr)"/>
    <n v="1"/>
    <d v="2019-06-28T00:00:00"/>
  </r>
  <r>
    <n v="2743"/>
    <s v="8_국립축산과학원"/>
    <s v="2_축산자원개발부"/>
    <x v="0"/>
    <s v="김두완"/>
    <s v="보도자료59"/>
    <s v="여름철 돼지 위궤양 예방법 소개"/>
    <s v="식약일보"/>
    <d v="2019-06-28T00:00:00"/>
    <m/>
    <s v="10_기타전문지"/>
    <n v="1"/>
    <d v="2019-06-28T00:00:00"/>
  </r>
  <r>
    <n v="2744"/>
    <s v="8_국립축산과학원"/>
    <s v="0_본원"/>
    <x v="15"/>
    <s v="김승창"/>
    <s v="보도자료58"/>
    <s v="농촌진흥청, 재래 품종 ‘칡소’, 판별 기술 개발"/>
    <s v="경기앤뉴스"/>
    <d v="2019-06-26T00:00:00"/>
    <m/>
    <s v="13_인터넷포털"/>
    <n v="0.1"/>
    <d v="2019-06-28T00:00:00"/>
  </r>
  <r>
    <n v="2745"/>
    <s v="8_국립축산과학원"/>
    <s v="0_본원"/>
    <x v="15"/>
    <s v="김승창"/>
    <s v="보도자료58"/>
    <s v="농촌진흥청, 재래 품종 ‘칡소’, 판별 기술 개발"/>
    <s v="중부뉴스통신"/>
    <d v="2019-06-26T00:00:00"/>
    <m/>
    <s v="13_인터넷포털"/>
    <n v="0.1"/>
    <d v="2019-06-28T00:00:00"/>
  </r>
  <r>
    <n v="2746"/>
    <s v="8_국립축산과학원"/>
    <s v="0_본원"/>
    <x v="15"/>
    <s v="김승창"/>
    <s v="보도자료58"/>
    <s v="농촌진흥청, 재래 품종 ‘칡소’, 판별 기술 개발"/>
    <s v="강원경제신문"/>
    <d v="2019-06-26T00:00:00"/>
    <m/>
    <s v="13_인터넷포털"/>
    <n v="0.1"/>
    <d v="2019-06-28T00:00:00"/>
  </r>
  <r>
    <n v="2747"/>
    <s v="8_국립축산과학원"/>
    <s v="2_축산자원개발부"/>
    <x v="0"/>
    <s v="문홍길"/>
    <m/>
    <s v="돼지고기도 ‘개인의 취향’에 따라 먹자...품종도 골라먹는 시대"/>
    <s v="위키트리"/>
    <d v="2019-06-26T00:00:00"/>
    <m/>
    <s v="13_인터넷포털"/>
    <n v="0.1"/>
    <d v="2019-06-28T00:00:00"/>
  </r>
  <r>
    <n v="2748"/>
    <s v="8_국립축산과학원"/>
    <s v="2_축산자원개발부"/>
    <x v="0"/>
    <s v="김두완"/>
    <s v="보도자료59"/>
    <s v="농촌진흥청, 여름철 돼지 위궤양 예방법 소개"/>
    <s v="일간전북"/>
    <d v="2019-06-27T00:00:00"/>
    <m/>
    <s v="13_인터넷포털"/>
    <n v="0.1"/>
    <d v="2019-06-28T00:00:00"/>
  </r>
  <r>
    <n v="2749"/>
    <s v="8_국립축산과학원"/>
    <s v="0_본원"/>
    <x v="15"/>
    <s v="김승창"/>
    <s v="보도자료58"/>
    <s v="재래 품종 ‘칡소’ 판별 기술 개발"/>
    <s v="보건뉴스"/>
    <d v="2019-06-27T00:00:00"/>
    <m/>
    <s v="13_인터넷포털"/>
    <n v="0.1"/>
    <d v="2019-06-28T00:00:00"/>
  </r>
  <r>
    <n v="2750"/>
    <s v="8_국립축산과학원"/>
    <s v="2_축산자원개발부"/>
    <x v="0"/>
    <s v="김두완"/>
    <s v="보도자료59"/>
    <s v="돼지 위궤양, 왜 여름철에 많이 발생할까?"/>
    <s v="라이브뉴스"/>
    <d v="2019-06-27T00:00:00"/>
    <m/>
    <s v="13_인터넷포털"/>
    <n v="0.1"/>
    <d v="2019-06-28T00:00:00"/>
  </r>
  <r>
    <n v="2751"/>
    <s v="8_국립축산과학원"/>
    <s v="0_본원"/>
    <x v="15"/>
    <s v="김승창"/>
    <s v="보도자료58"/>
    <s v="농진청, 한국 재래소 품종 ‘칡소’ 판별 기술 개발"/>
    <s v="미디어펜"/>
    <d v="2019-06-25T00:00:00"/>
    <m/>
    <s v="13_인터넷포털"/>
    <n v="0.1"/>
    <d v="2019-06-28T00:00:00"/>
  </r>
  <r>
    <n v="2752"/>
    <s v="8_국립축산과학원"/>
    <s v="0_본원"/>
    <x v="15"/>
    <s v="김승창"/>
    <s v="보도자료58"/>
    <s v="농촌진흥청, 재래 품종 ‘칡소’, 판별 기술 개발"/>
    <s v="업코리아"/>
    <d v="2019-06-26T00:00:00"/>
    <m/>
    <s v="13_인터넷포털"/>
    <n v="0.1"/>
    <d v="2019-06-28T00:00:00"/>
  </r>
  <r>
    <n v="2753"/>
    <s v="8_국립축산과학원"/>
    <s v="0_본원"/>
    <x v="15"/>
    <s v="김승창"/>
    <s v="보도자료58"/>
    <s v="농촌진흥청, 재래 품종 ‘칡소’, 판별 기술 개발"/>
    <s v="팍스뉴스"/>
    <d v="2019-06-26T00:00:00"/>
    <m/>
    <s v="13_인터넷포털"/>
    <n v="0.1"/>
    <d v="2019-06-28T00:00:00"/>
  </r>
  <r>
    <n v="2754"/>
    <s v="8_국립축산과학원"/>
    <s v="1_축산생명환경부"/>
    <x v="7"/>
    <s v="이슬"/>
    <s v="보도자료57"/>
    <s v="농촌진흥청, 21일 서울서 국제심포지엄... 온실가스 저감 논의"/>
    <s v="경제투데이"/>
    <d v="2019-06-21T00:00:00"/>
    <m/>
    <s v="13_인터넷포털"/>
    <n v="0.1"/>
    <d v="2019-06-28T00:00:00"/>
  </r>
  <r>
    <n v="2755"/>
    <s v="8_국립축산과학원"/>
    <s v="1_축산생명환경부"/>
    <x v="7"/>
    <s v="이슬"/>
    <s v="보도자료57"/>
    <s v="농촌진흥청, 21일 서울서 국제심포지엄…온실가스 저감 논의"/>
    <s v="국토매일"/>
    <d v="2019-06-21T00:00:00"/>
    <m/>
    <s v="13_인터넷포털"/>
    <n v="0.1"/>
    <d v="2019-06-28T00:00:00"/>
  </r>
  <r>
    <n v="2756"/>
    <s v="8_국립축산과학원"/>
    <s v="2_축산자원개발부"/>
    <x v="12"/>
    <s v="기광석"/>
    <s v="기고"/>
    <s v="[기고] 기광석 과장-안전한 국산 우유 생산을 위한 낙농가의 노력"/>
    <s v="농수축산신문"/>
    <d v="2019-06-28T00:00:00"/>
    <n v="6"/>
    <s v="17_농업전문지"/>
    <n v="8"/>
    <d v="2019-07-01T00:00:00"/>
  </r>
  <r>
    <n v="2757"/>
    <s v="8_국립축산과학원"/>
    <s v="0_본원"/>
    <x v="4"/>
    <s v="천동원"/>
    <s v="기고"/>
    <s v="[기고] 천동원 소장-축산현장 애로기술 해결 위한 닭 키우기[100문 100답] Q67,68"/>
    <s v="축산신문"/>
    <d v="2019-06-28T00:00:00"/>
    <n v="15"/>
    <s v="17_농업전문지"/>
    <n v="8"/>
    <d v="2019-07-01T00:00:00"/>
  </r>
  <r>
    <n v="2758"/>
    <s v="8_국립축산과학원"/>
    <s v="1_축산생명환경부"/>
    <x v="7"/>
    <s v="이유경"/>
    <m/>
    <s v="미리 보는 ‘가축 더위스트레스’로 폭염 대비(전화 인터뷰)"/>
    <s v="TBN전북"/>
    <d v="2019-06-27T00:00:00"/>
    <m/>
    <s v="06_라디오-지방"/>
    <n v="1.5"/>
    <d v="2019-07-01T00:00:00"/>
  </r>
  <r>
    <n v="2759"/>
    <s v="8_국립축산과학원"/>
    <s v="0_본원"/>
    <x v="13"/>
    <s v="정성훈"/>
    <m/>
    <s v="(동정) 축산현장 맞춤형 종합컨설팅 실시"/>
    <s v="축산신문"/>
    <d v="2019-06-28T00:00:00"/>
    <n v="12"/>
    <s v="09_농업전문지"/>
    <n v="1.5"/>
    <d v="2019-07-01T00:00:00"/>
  </r>
  <r>
    <n v="2760"/>
    <s v="8_국립축산과학원"/>
    <s v="0_본원"/>
    <x v="13"/>
    <s v="정성훈"/>
    <m/>
    <s v="음성군, 전문 컨설팅으로 농가 고민 해결"/>
    <s v="축산신문"/>
    <d v="2019-06-28T00:00:00"/>
    <n v="4"/>
    <s v="09_농업전문지"/>
    <n v="1.5"/>
    <d v="2019-07-01T00:00:00"/>
  </r>
  <r>
    <n v="2761"/>
    <s v="8_국립축산과학원"/>
    <s v="0_본원"/>
    <x v="2"/>
    <s v="양창범"/>
    <m/>
    <s v="동물유전육종학회, 국제 심포지움 열어"/>
    <s v="한국농정신문"/>
    <d v="2019-07-01T00:00:00"/>
    <m/>
    <s v="09_농업전문지"/>
    <n v="1.5"/>
    <d v="2019-07-01T00:00:00"/>
  </r>
  <r>
    <n v="2762"/>
    <s v="8_국립축산과학원"/>
    <s v="0_본원"/>
    <x v="15"/>
    <s v="김승창"/>
    <s v="보도자료58"/>
    <s v="농진청, 우리 고유 품종 ‘칡소’ 판별 기술 개발"/>
    <s v="농수축산신문"/>
    <d v="2019-06-28T00:00:00"/>
    <m/>
    <s v="09_농업전문지"/>
    <n v="1.5"/>
    <d v="2019-07-01T00:00:00"/>
  </r>
  <r>
    <n v="2763"/>
    <s v="8_국립축산과학원"/>
    <s v="2_축산자원개발부"/>
    <x v="0"/>
    <s v="김두완"/>
    <s v="보도자료59"/>
    <s v="여름철, 돼지의 위 건강 이렇게 지켜요"/>
    <s v="한국영농신문"/>
    <d v="2019-06-29T00:00:00"/>
    <m/>
    <s v="09_농업전문지"/>
    <n v="1.5"/>
    <d v="2019-07-01T00:00:00"/>
  </r>
  <r>
    <n v="2764"/>
    <s v="8_국립축산과학원"/>
    <s v="2_축산자원개발부"/>
    <x v="0"/>
    <s v="김두완"/>
    <s v="보도자료59"/>
    <s v="여름철, 돼지 위궤양 예방법은?"/>
    <s v="전업농신문"/>
    <d v="2019-07-01T00:00:00"/>
    <m/>
    <s v="09_농업전문지"/>
    <n v="1.5"/>
    <d v="2019-07-01T00:00:00"/>
  </r>
  <r>
    <n v="2765"/>
    <s v="8_국립축산과학원"/>
    <s v="1_축산생명환경부"/>
    <x v="5"/>
    <s v="함준상"/>
    <s v="보도자료60"/>
    <s v="“아토피 완화 유산균, 치즈로 먹어도 효과”"/>
    <s v="식품저널"/>
    <d v="2019-07-01T00:00:00"/>
    <m/>
    <s v="09_농업전문지"/>
    <n v="1.5"/>
    <d v="2019-07-01T00:00:00"/>
  </r>
  <r>
    <n v="2766"/>
    <s v="8_국립축산과학원"/>
    <s v="2_축산자원개발부"/>
    <x v="6"/>
    <s v="김원호"/>
    <m/>
    <s v="“축산업은 변함없이 농가 경제의 한 축임을 믿고 일하죠”"/>
    <s v="경남매일"/>
    <d v="2019-06-30T00:00:00"/>
    <m/>
    <s v="09_지방일간지"/>
    <n v="1.5"/>
    <d v="2019-07-01T00:00:00"/>
  </r>
  <r>
    <n v="2767"/>
    <s v="8_국립축산과학원"/>
    <s v="0_본원"/>
    <x v="13"/>
    <s v="정성훈"/>
    <m/>
    <s v="충주시, 한우농가 대상 맞춤형 종합컨설팅"/>
    <s v="중도일보"/>
    <d v="2019-07-01T00:00:00"/>
    <m/>
    <s v="09_지방일간지"/>
    <n v="1.5"/>
    <d v="2019-07-01T00:00:00"/>
  </r>
  <r>
    <n v="2768"/>
    <s v="8_국립축산과학원"/>
    <s v="0_본원"/>
    <x v="13"/>
    <s v="정성훈"/>
    <m/>
    <s v="충주시 한우농가 대상 맞춤형 종합컨설팅"/>
    <s v="금강일보"/>
    <d v="2019-07-01T00:00:00"/>
    <m/>
    <s v="09_지방일간지"/>
    <n v="1.5"/>
    <d v="2019-07-01T00:00:00"/>
  </r>
  <r>
    <n v="2769"/>
    <s v="8_국립축산과학원"/>
    <s v="1_축산생명환경부"/>
    <x v="5"/>
    <s v="함준상"/>
    <s v="보도자료60"/>
    <s v="농진청 “토종 유산균 넣은 축산식품, 아토피 완화에 효과”"/>
    <s v="국제신문"/>
    <d v="2019-07-01T00:00:00"/>
    <m/>
    <s v="09_지방일간지"/>
    <n v="1.5"/>
    <d v="2019-07-01T00:00:00"/>
  </r>
  <r>
    <n v="2770"/>
    <s v="8_국립축산과학원"/>
    <s v="1_축산생명환경부"/>
    <x v="9"/>
    <s v="정광화"/>
    <s v="보도자료56"/>
    <s v="배수관리·파손된 지붕 벽 정비하세요"/>
    <s v="한국양돈신문"/>
    <d v="2019-06-25T00:00:00"/>
    <n v="7"/>
    <s v="10_기타전문지"/>
    <n v="1"/>
    <d v="2019-07-01T00:00:00"/>
  </r>
  <r>
    <n v="2771"/>
    <s v="8_국립축산과학원"/>
    <s v="1_축산생명환경부"/>
    <x v="9"/>
    <s v="정광화"/>
    <s v="보도자료56"/>
    <s v="농진청, 여름철 분뇨 처리 시설 관리법 제시"/>
    <s v="말산업저널"/>
    <d v="2019-06-29T00:00:00"/>
    <m/>
    <s v="10_기타전문지"/>
    <n v="1"/>
    <d v="2019-07-01T00:00:00"/>
  </r>
  <r>
    <n v="2772"/>
    <s v="8_국립축산과학원"/>
    <s v="2_축산자원개발부"/>
    <x v="0"/>
    <s v="김두완"/>
    <s v="보도자료59"/>
    <s v="여름철 ‘위궤양’으로부터 돼지를 보호하라!"/>
    <s v="돼지와사람"/>
    <d v="2019-06-30T00:00:00"/>
    <m/>
    <s v="13_인터넷포털"/>
    <n v="0.1"/>
    <d v="2019-07-01T00:00:00"/>
  </r>
  <r>
    <n v="2773"/>
    <s v="8_국립축산과학원"/>
    <s v="0_본원"/>
    <x v="13"/>
    <s v="정성훈"/>
    <m/>
    <s v="충주시, 한우농가 대상 맞춤형 종합컨설팅 열어"/>
    <s v="국제뉴스"/>
    <d v="2019-07-01T00:00:00"/>
    <m/>
    <s v="13_인터넷포털"/>
    <n v="0.1"/>
    <d v="2019-07-01T00:00:00"/>
  </r>
  <r>
    <n v="2774"/>
    <s v="8_국립축산과학원"/>
    <s v="0_본원"/>
    <x v="13"/>
    <s v="정성훈"/>
    <m/>
    <s v="충주시, 한우농가 대상 맞춤형 종합컨설팅 열어"/>
    <s v="내외뉴스통신"/>
    <d v="2019-07-01T00:00:00"/>
    <m/>
    <s v="13_인터넷포털"/>
    <n v="0.1"/>
    <d v="2019-07-01T00:00:00"/>
  </r>
  <r>
    <n v="2775"/>
    <s v="8_국립축산과학원"/>
    <s v="0_본원"/>
    <x v="13"/>
    <s v="정성훈"/>
    <m/>
    <s v="충주시, 한우농가 대상 맞춤형 종합컨설팅 열어"/>
    <s v="한국공보뉴스"/>
    <d v="2019-07-01T00:00:00"/>
    <m/>
    <s v="13_인터넷포털"/>
    <n v="0.1"/>
    <d v="2019-07-01T00:00:00"/>
  </r>
  <r>
    <n v="2776"/>
    <s v="8_국립축산과학원"/>
    <s v="1_축산생명환경부"/>
    <x v="5"/>
    <s v="함준상"/>
    <s v="보도자료60"/>
    <s v="농촌진흥청, 자체 개발 아토피 완화하는 토종 유산균, 치즈로 먹어도 효과"/>
    <s v="일간전북"/>
    <d v="2019-07-01T00:00:00"/>
    <m/>
    <s v="13_인터넷포털"/>
    <n v="0.1"/>
    <d v="2019-07-01T00:00:00"/>
  </r>
  <r>
    <n v="2777"/>
    <s v="8_국립축산과학원"/>
    <s v="0_본원"/>
    <x v="13"/>
    <s v="정성훈"/>
    <m/>
    <s v="충주시, 한우농가 대상 맞춤형 종합컨설팅 열어"/>
    <s v="중부뉴스통신"/>
    <d v="2019-07-01T00:00:00"/>
    <m/>
    <s v="13_인터넷포털"/>
    <n v="0.1"/>
    <d v="2019-07-01T00:00:00"/>
  </r>
  <r>
    <n v="2778"/>
    <s v="8_국립축산과학원"/>
    <s v="1_축산생명환경부"/>
    <x v="5"/>
    <s v="함준상"/>
    <s v="보도자료60"/>
    <s v="아토피 완화 토종 유산균, 치즈로 먹어도 효과"/>
    <s v="메디컬투데이"/>
    <d v="2019-07-01T00:00:00"/>
    <m/>
    <s v="13_인터넷포털"/>
    <n v="0.1"/>
    <d v="2019-07-01T00:00:00"/>
  </r>
  <r>
    <n v="2779"/>
    <s v="8_국립축산과학원"/>
    <s v="1_축산생명환경부"/>
    <x v="5"/>
    <s v="함준상"/>
    <s v="보도자료60"/>
    <s v="토종 유산균 넣은 축산식품 ‘아토피 피부염’ 완화시켜"/>
    <s v="팜인사이트"/>
    <d v="2019-07-01T00:00:00"/>
    <m/>
    <s v="13_인터넷포털"/>
    <n v="0.1"/>
    <d v="2019-07-01T00:00:00"/>
  </r>
  <r>
    <n v="2780"/>
    <s v="8_국립축산과학원"/>
    <s v="1_축산생명환경부"/>
    <x v="5"/>
    <s v="함준상"/>
    <s v="보도자료60"/>
    <s v="토종유산균 넣은 축산 식품, 아토피 피부염 완화"/>
    <s v="프레시안"/>
    <d v="2019-07-01T00:00:00"/>
    <m/>
    <s v="13_인터넷포털"/>
    <n v="0.1"/>
    <d v="2019-07-01T00:00:00"/>
  </r>
  <r>
    <n v="2781"/>
    <s v="8_국립축산과학원"/>
    <s v="1_축산생명환경부"/>
    <x v="5"/>
    <s v="함준상"/>
    <s v="보도자료60"/>
    <s v="아토피 완화하는 유산균, 치즈·소시지로 먹어도 효과"/>
    <s v="베이비뉴스"/>
    <d v="2019-07-01T00:00:00"/>
    <m/>
    <s v="13_인터넷포털"/>
    <n v="0.1"/>
    <d v="2019-07-01T00:00:00"/>
  </r>
  <r>
    <n v="2782"/>
    <s v="8_국립축산과학원"/>
    <s v="1_축산생명환경부"/>
    <x v="5"/>
    <s v="함준상"/>
    <s v="보도자료60"/>
    <s v="토종 유산균 넣은 식품, 아토피 완화 효과 입증"/>
    <s v="한국일보"/>
    <d v="2019-07-01T00:00:00"/>
    <m/>
    <s v="07_중앙일간지"/>
    <n v="5"/>
    <d v="2019-07-02T00:00:00"/>
  </r>
  <r>
    <n v="2783"/>
    <s v="8_국립축산과학원"/>
    <s v="1_축산생명환경부"/>
    <x v="5"/>
    <s v="함준상"/>
    <s v="보도자료60"/>
    <s v="토종 유산균 넣은 크박치즈, 아토피 증상 완화에 효과"/>
    <s v="세계일보"/>
    <d v="2019-07-02T00:00:00"/>
    <m/>
    <s v="07_중앙일간지"/>
    <n v="5"/>
    <d v="2019-07-02T00:00:00"/>
  </r>
  <r>
    <n v="2784"/>
    <s v="8_국립축산과학원"/>
    <s v="1_축산생명환경부"/>
    <x v="5"/>
    <s v="함준상"/>
    <s v="보도자료60"/>
    <s v="농진청, ‘토종 유산균’ 아토피 피부염 완화 효과"/>
    <s v="아시아투데이"/>
    <d v="2019-07-01T00:00:00"/>
    <m/>
    <s v="07_중앙일간지"/>
    <n v="5"/>
    <d v="2019-07-02T00:00:00"/>
  </r>
  <r>
    <n v="2785"/>
    <s v="8_국립축산과학원"/>
    <s v="1_축산생명환경부"/>
    <x v="5"/>
    <s v="함준상"/>
    <s v="보도자료60"/>
    <s v="농진청 ‘토종 유산균 치즈로 먹어도 아토피 완화 효과’"/>
    <s v="연합뉴스"/>
    <d v="2019-07-01T00:00:00"/>
    <m/>
    <s v="07_중앙일간지"/>
    <n v="5"/>
    <d v="2019-07-02T00:00:00"/>
  </r>
  <r>
    <n v="2786"/>
    <s v="8_국립축산과학원"/>
    <s v="1_축산생명환경부"/>
    <x v="5"/>
    <s v="함준상"/>
    <s v="보도자료60"/>
    <s v="토종 유산균, 아토피 피부염 개선에 효과...치즈, 소시지 활용 기대"/>
    <s v="식품음료신문"/>
    <d v="2019-07-01T00:00:00"/>
    <m/>
    <s v="09_농업전문지"/>
    <n v="1.5"/>
    <d v="2019-07-02T00:00:00"/>
  </r>
  <r>
    <n v="2787"/>
    <s v="8_국립축산과학원"/>
    <s v="1_축산생명환경부"/>
    <x v="5"/>
    <s v="함준상"/>
    <s v="보도자료60"/>
    <s v="아토피 완화하는 토종 유산균, 치즈로 먹어도 효과"/>
    <s v="대한급식신문"/>
    <d v="2019-07-01T00:00:00"/>
    <m/>
    <s v="09_농업전문지"/>
    <n v="1.5"/>
    <d v="2019-07-02T00:00:00"/>
  </r>
  <r>
    <n v="2788"/>
    <s v="8_국립축산과학원"/>
    <s v="1_축산생명환경부"/>
    <x v="5"/>
    <s v="함준상"/>
    <s v="보도자료60"/>
    <s v="토종 유산균, 아토피 완화 효과 확인"/>
    <s v="전업농신문"/>
    <d v="2019-07-02T00:00:00"/>
    <m/>
    <s v="09_농업전문지"/>
    <n v="1.5"/>
    <d v="2019-07-02T00:00:00"/>
  </r>
  <r>
    <n v="2789"/>
    <s v="8_국립축산과학원"/>
    <s v="2_축산자원개발부"/>
    <x v="0"/>
    <s v="김두완"/>
    <s v="보도자료59"/>
    <s v="여름철, 돼지의 위 건강을 지키려면?"/>
    <s v="전민일보"/>
    <d v="2019-06-27T00:00:00"/>
    <m/>
    <s v="09_지방일간지"/>
    <n v="1.5"/>
    <d v="2019-07-02T00:00:00"/>
  </r>
  <r>
    <n v="2790"/>
    <s v="8_국립축산과학원"/>
    <s v="1_축산생명환경부"/>
    <x v="5"/>
    <s v="함준상"/>
    <s v="보도자료60"/>
    <s v="토종 유산균으로 만든 치즈·소시지, 아토피 피부염에 효과"/>
    <s v="부산일보"/>
    <d v="2019-07-02T00:00:00"/>
    <m/>
    <s v="09_지방일간지"/>
    <n v="1.5"/>
    <d v="2019-07-02T00:00:00"/>
  </r>
  <r>
    <n v="2791"/>
    <s v="8_국립축산과학원"/>
    <s v="2_축산자원개발부"/>
    <x v="0"/>
    <s v="김두완"/>
    <s v="보도자료59"/>
    <s v="여름철, 돼지의 위 건강을 지키려면?"/>
    <s v="정책브리핑"/>
    <d v="2019-06-28T00:00:00"/>
    <m/>
    <s v="12_대한민국 정책포털(korea.kr)"/>
    <n v="1"/>
    <d v="2019-07-02T00:00:00"/>
  </r>
  <r>
    <n v="2792"/>
    <s v="8_국립축산과학원"/>
    <s v="1_축산생명환경부"/>
    <x v="5"/>
    <s v="함준상"/>
    <s v="보도자료60"/>
    <s v="아토피 완화 식품 나오나...토종 유산균 넣은 축산 식품 효과 보여"/>
    <s v="러브즈뷰티"/>
    <d v="2019-07-01T00:00:00"/>
    <m/>
    <s v="13_인터넷포털"/>
    <n v="0.1"/>
    <d v="2019-07-02T00:00:00"/>
  </r>
  <r>
    <n v="2793"/>
    <s v="8_국립축산과학원"/>
    <s v="2_축산자원개발부"/>
    <x v="0"/>
    <s v="김두완"/>
    <s v="보도자료59"/>
    <s v="농촌진흥청, 여름철에 많이 발생하는 돼지의 위궤양 예방법을 소개"/>
    <s v="업코리아"/>
    <d v="2019-06-28T00:00:00"/>
    <m/>
    <s v="13_인터넷포털"/>
    <n v="0.1"/>
    <d v="2019-07-02T00:00:00"/>
  </r>
  <r>
    <n v="2794"/>
    <s v="8_국립축산과학원"/>
    <s v="2_축산자원개발부"/>
    <x v="0"/>
    <s v="김두완"/>
    <s v="보도자료59"/>
    <s v="농촌진흥청, 여름철에 많이 발생하는 돼지의 위궤양 예방법을 소개"/>
    <s v="국토매일"/>
    <d v="2019-06-28T00:00:00"/>
    <m/>
    <s v="13_인터넷포털"/>
    <n v="0.1"/>
    <d v="2019-07-02T00:00:00"/>
  </r>
  <r>
    <n v="2795"/>
    <s v="8_국립축산과학원"/>
    <s v="2_축산자원개발부"/>
    <x v="0"/>
    <s v="김두완"/>
    <s v="보도자료59"/>
    <s v="농촌진흥청, 여름철에 많이 발생하는 돼지의 위궤양 예방법을 소개"/>
    <s v="강원경제신문"/>
    <d v="2019-06-28T00:00:00"/>
    <m/>
    <s v="13_인터넷포털"/>
    <n v="0.1"/>
    <d v="2019-07-02T00:00:00"/>
  </r>
  <r>
    <n v="2796"/>
    <s v="8_국립축산과학원"/>
    <s v="2_축산자원개발부"/>
    <x v="0"/>
    <s v="김두완"/>
    <s v="보도자료59"/>
    <s v="농촌진흥청, 여름철에 많이 발생하는 돼지의 위궤양 예방법을 소개"/>
    <s v="피디언"/>
    <d v="2019-06-28T00:00:00"/>
    <m/>
    <s v="13_인터넷포털"/>
    <n v="0.1"/>
    <d v="2019-07-02T00:00:00"/>
  </r>
  <r>
    <n v="2797"/>
    <s v="8_국립축산과학원"/>
    <s v="1_축산생명환경부"/>
    <x v="5"/>
    <s v="함준상"/>
    <s v="보도자료60"/>
    <s v="토종 유산균 넣은 치즈, 아토피에 ‘효과’"/>
    <s v="에코타임스"/>
    <d v="2019-07-02T00:00:00"/>
    <m/>
    <s v="13_인터넷포털"/>
    <n v="0.1"/>
    <d v="2019-07-02T00:00:00"/>
  </r>
  <r>
    <n v="2798"/>
    <s v="8_국립축산과학원"/>
    <s v="1_축산생명환경부"/>
    <x v="5"/>
    <s v="함준상"/>
    <s v="보도자료60"/>
    <s v="아토피 완화하는 토종 유산균, 치즈로 먹어도 효과"/>
    <s v="전남인터넷신문"/>
    <d v="2019-07-02T00:00:00"/>
    <m/>
    <s v="13_인터넷포털"/>
    <n v="0.1"/>
    <d v="2019-07-02T00:00:00"/>
  </r>
  <r>
    <n v="2799"/>
    <s v="8_국립축산과학원"/>
    <s v="2_축산자원개발부"/>
    <x v="0"/>
    <s v="김두완"/>
    <s v="보도자료59"/>
    <s v="농촌진흥청, 여름철에 많이 발생하는 돼지의 위궤양 예방법을 소개"/>
    <s v="경제투데이"/>
    <d v="2019-06-28T00:00:00"/>
    <m/>
    <s v="13_인터넷포털"/>
    <n v="0.1"/>
    <d v="2019-07-02T00:00:00"/>
  </r>
  <r>
    <n v="2800"/>
    <s v="8_국립축산과학원"/>
    <s v="1_축산생명환경부"/>
    <x v="5"/>
    <s v="함준상"/>
    <s v="보도자료60"/>
    <s v="아토피 완화하는 토종 유산균, 치즈로 먹어도 효과"/>
    <s v="서울신문"/>
    <d v="2019-07-02T00:00:00"/>
    <m/>
    <s v="07_중앙일간지"/>
    <n v="5"/>
    <d v="2019-07-03T00:00:00"/>
  </r>
  <r>
    <n v="2801"/>
    <s v="8_국립축산과학원"/>
    <s v="1_축산생명환경부"/>
    <x v="5"/>
    <s v="함준상"/>
    <s v="보도자료60"/>
    <s v="농촌진흥청, 아토피 완화하는 토종 유산균 넣은 식품 개발"/>
    <s v="매일일보"/>
    <d v="2019-07-02T00:00:00"/>
    <m/>
    <s v="08_기타일간지"/>
    <n v="2"/>
    <d v="2019-07-03T00:00:00"/>
  </r>
  <r>
    <n v="2802"/>
    <s v="8_국립축산과학원"/>
    <s v="1_축산생명환경부"/>
    <x v="7"/>
    <s v="이슬"/>
    <s v="보도자료57"/>
    <s v="축산 기후변화 대응 전문가 한자리"/>
    <s v="한국농기계신문"/>
    <d v="2019-06-30T00:00:00"/>
    <n v="12"/>
    <s v="09_농업전문지"/>
    <n v="1.5"/>
    <d v="2019-07-03T00:00:00"/>
  </r>
  <r>
    <n v="2803"/>
    <s v="8_국립축산과학원"/>
    <s v="1_축산생명환경부"/>
    <x v="7"/>
    <s v="이슬"/>
    <s v="보도자료57"/>
    <s v="축산전문가 ‘글로벌 온실가스 저감’ 연구협력"/>
    <s v="농축환경신문"/>
    <d v="2019-06-27T00:00:00"/>
    <n v="5"/>
    <s v="09_농업전문지"/>
    <n v="1.5"/>
    <d v="2019-07-03T00:00:00"/>
  </r>
  <r>
    <n v="2804"/>
    <s v="8_국립축산과학원"/>
    <s v="1_축산생명환경부"/>
    <x v="9"/>
    <s v="정광화"/>
    <s v="보도자료56"/>
    <s v="퇴비사 빗물 막고, 폭염엔 액비저장조 40℃ 이하 유지"/>
    <s v="농축환경신문"/>
    <d v="2019-06-27T00:00:00"/>
    <n v="5"/>
    <s v="09_농업전문지"/>
    <n v="1.5"/>
    <d v="2019-07-03T00:00:00"/>
  </r>
  <r>
    <n v="2805"/>
    <s v="8_국립축산과학원"/>
    <s v="1_축산생명환경부"/>
    <x v="9"/>
    <s v="정광화"/>
    <s v="보도자료56"/>
    <s v="장마 전 분뇨 처리 시설 점검을"/>
    <s v="양돈타임스"/>
    <d v="2019-06-27T00:00:00"/>
    <n v="3"/>
    <s v="09_농업전문지"/>
    <n v="1.5"/>
    <d v="2019-07-03T00:00:00"/>
  </r>
  <r>
    <n v="2806"/>
    <s v="8_국립축산과학원"/>
    <s v="0_본원"/>
    <x v="15"/>
    <s v="김승창"/>
    <s v="보도자료58"/>
    <s v="재래 품종 ‘칡소’ 판별 기술 개발"/>
    <s v="한국농기계신문"/>
    <d v="2019-06-30T00:00:00"/>
    <n v="12"/>
    <s v="09_농업전문지"/>
    <n v="1.5"/>
    <d v="2019-07-03T00:00:00"/>
  </r>
  <r>
    <n v="2807"/>
    <s v="8_국립축산과학원"/>
    <s v="0_본원"/>
    <x v="15"/>
    <s v="김승창"/>
    <s v="보도자료58"/>
    <s v="농진청, 재래 품종 ‘칡소’ 판별기술 개발"/>
    <s v="농축환경신문"/>
    <d v="2019-06-27T00:00:00"/>
    <n v="7"/>
    <s v="09_농업전문지"/>
    <n v="1.5"/>
    <d v="2019-07-03T00:00:00"/>
  </r>
  <r>
    <n v="2808"/>
    <s v="8_국립축산과학원"/>
    <s v="0_본원"/>
    <x v="13"/>
    <s v="김창한"/>
    <s v="보도자료53"/>
    <s v="농진청, 여름철 축사 환경관리 철저 당부"/>
    <s v="한국농기계신문"/>
    <d v="2019-06-30T00:00:00"/>
    <n v="12"/>
    <s v="09_농업전문지"/>
    <n v="1.5"/>
    <d v="2019-07-03T00:00:00"/>
  </r>
  <r>
    <n v="2809"/>
    <s v="8_국립축산과학원"/>
    <s v="2_축산자원개발부"/>
    <x v="0"/>
    <s v="문홍길"/>
    <m/>
    <s v="‘우리흑돈’ 공급 김천지례돼지 명성 되찾는다"/>
    <s v="한국농어민신문"/>
    <d v="2019-07-02T00:00:00"/>
    <n v="13"/>
    <s v="09_농업전문지"/>
    <n v="1.5"/>
    <d v="2019-07-03T00:00:00"/>
  </r>
  <r>
    <n v="2810"/>
    <s v="8_국립축산과학원"/>
    <s v="0_본원"/>
    <x v="15"/>
    <s v="김승창"/>
    <s v="보도자료58"/>
    <s v="축산과학원, 우리 ‘칡소’ 과학적 판별기술 개발"/>
    <s v="한국농어민신문"/>
    <d v="2019-07-02T00:00:00"/>
    <m/>
    <s v="09_농업전문지"/>
    <n v="1.5"/>
    <d v="2019-07-03T00:00:00"/>
  </r>
  <r>
    <n v="2811"/>
    <s v="8_국립축산과학원"/>
    <s v="1_축산생명환경부"/>
    <x v="5"/>
    <s v="함준상"/>
    <s v="보도자료60"/>
    <s v="토종 유산균 함유 축산식품 아토피 효과"/>
    <s v="전라일보"/>
    <d v="2019-07-02T00:00:00"/>
    <n v="6"/>
    <s v="09_지방일간지"/>
    <n v="1.5"/>
    <d v="2019-07-03T00:00:00"/>
  </r>
  <r>
    <n v="2812"/>
    <s v="8_국립축산과학원"/>
    <s v="1_축산생명환경부"/>
    <x v="5"/>
    <s v="함준상"/>
    <s v="보도자료60"/>
    <s v="아토피 완화하는 토종 유산균, 치즈로 먹어도 효과"/>
    <s v="삼남일보"/>
    <d v="2019-07-02T00:00:00"/>
    <n v="5"/>
    <s v="09_지방일간지"/>
    <n v="1.5"/>
    <d v="2019-07-03T00:00:00"/>
  </r>
  <r>
    <n v="2813"/>
    <s v="8_국립축산과학원"/>
    <s v="1_축산생명환경부"/>
    <x v="5"/>
    <s v="함준상"/>
    <s v="보도자료60"/>
    <s v="아토피 완화 토종 유산균, 치즈로 먹어도 효과"/>
    <s v="새만금일보"/>
    <d v="2019-07-02T00:00:00"/>
    <n v="6"/>
    <s v="09_지방일간지"/>
    <n v="1.5"/>
    <d v="2019-07-03T00:00:00"/>
  </r>
  <r>
    <n v="2814"/>
    <s v="8_국립축산과학원"/>
    <s v="0_본원"/>
    <x v="13"/>
    <s v="정성훈"/>
    <m/>
    <s v="충주시, 한우농가 대상 맞춤형 종합컨설팅 열어!"/>
    <s v="중앙매일"/>
    <d v="2019-07-02T00:00:00"/>
    <n v="11"/>
    <s v="09_지방일간지"/>
    <n v="1.5"/>
    <d v="2019-07-03T00:00:00"/>
  </r>
  <r>
    <n v="2815"/>
    <s v="8_국립축산과학원"/>
    <s v="1_축산생명환경부"/>
    <x v="5"/>
    <s v="함준상"/>
    <s v="보도자료60"/>
    <s v="아토피 완화 토종유산균, 치즈로 먹어도 효과"/>
    <s v="식약일보"/>
    <d v="2019-07-02T00:00:00"/>
    <m/>
    <s v="10_기타전문지"/>
    <n v="1"/>
    <d v="2019-07-03T00:00:00"/>
  </r>
  <r>
    <n v="2816"/>
    <s v="8_국립축산과학원"/>
    <s v="1_축산생명환경부"/>
    <x v="5"/>
    <s v="함준상"/>
    <s v="보도자료60"/>
    <s v="아토피 억제하는 토종 유산균, 치즈로 먹어도 효과"/>
    <s v="현대건강신문"/>
    <d v="2019-07-03T00:00:00"/>
    <m/>
    <s v="10_기타전문지"/>
    <n v="1"/>
    <d v="2019-07-03T00:00:00"/>
  </r>
  <r>
    <n v="2817"/>
    <s v="8_국립축산과학원"/>
    <s v="1_축산생명환경부"/>
    <x v="5"/>
    <s v="함준상"/>
    <s v="보도자료60"/>
    <s v="아토피 완화하는 토종 유산균, 치즈로 먹어도 효과"/>
    <s v="뉴스에이"/>
    <d v="2019-07-02T00:00:00"/>
    <m/>
    <s v="13_인터넷포털"/>
    <n v="0.1"/>
    <d v="2019-07-03T00:00:00"/>
  </r>
  <r>
    <n v="2818"/>
    <s v="8_국립축산과학원"/>
    <s v="1_축산생명환경부"/>
    <x v="5"/>
    <s v="함준상"/>
    <s v="보도자료60"/>
    <s v="토종 유산균 식품, 치즈로 먹어도 효과"/>
    <s v="보건뉴스"/>
    <d v="2019-07-02T00:00:00"/>
    <m/>
    <s v="13_인터넷포털"/>
    <n v="0.1"/>
    <d v="2019-07-03T00:00:00"/>
  </r>
  <r>
    <n v="2819"/>
    <s v="8_국립축산과학원"/>
    <s v="1_축산생명환경부"/>
    <x v="7"/>
    <s v="이성대"/>
    <m/>
    <s v="폭염 대비 가축사육 기상정보시스템 개발…휴대전화 가축 관리 정보 제공(KBS NEWS)"/>
    <s v="KBS RADIO"/>
    <d v="2019-07-03T00:00:00"/>
    <m/>
    <s v="05_라디오-중앙"/>
    <n v="3"/>
    <d v="2019-07-04T00:00:00"/>
  </r>
  <r>
    <n v="2820"/>
    <s v="8_국립축산과학원"/>
    <s v="1_축산생명환경부"/>
    <x v="5"/>
    <s v="함준상"/>
    <s v="보도자료60"/>
    <s v="농진청 개발 아토피 완화 유산균, 치즈로 먹어도 효과(MBC NEWS)"/>
    <s v="MBC RADIO"/>
    <d v="2019-07-01T00:00:00"/>
    <m/>
    <s v="05_라디오-중앙"/>
    <n v="3"/>
    <d v="2019-07-04T00:00:00"/>
  </r>
  <r>
    <n v="2821"/>
    <s v="8_국립축산과학원"/>
    <s v="1_축산생명환경부"/>
    <x v="7"/>
    <s v="김상호"/>
    <m/>
    <s v="“반려동물 1천만 마리 시대...전북에 식품·경제산업 육성해야”"/>
    <s v="연합뉴스"/>
    <d v="2019-07-03T00:00:00"/>
    <m/>
    <s v="07_중앙일간지"/>
    <n v="5"/>
    <d v="2019-07-04T00:00:00"/>
  </r>
  <r>
    <n v="2822"/>
    <s v="8_국립축산과학원"/>
    <s v="1_축산생명환경부"/>
    <x v="7"/>
    <s v="김상호"/>
    <m/>
    <s v="전북연구원, 펫 푸드 산업 육성 정책 제안"/>
    <s v="매일일보"/>
    <d v="2019-07-03T00:00:00"/>
    <m/>
    <s v="08_기타일간지"/>
    <n v="2"/>
    <d v="2019-07-04T00:00:00"/>
  </r>
  <r>
    <n v="2823"/>
    <s v="8_국립축산과학원"/>
    <s v="1_축산생명환경부"/>
    <x v="5"/>
    <s v="함준상"/>
    <s v="보도자료60"/>
    <s v="아토피 완화하는 토종 유산균, 치즈로 먹어도 효과"/>
    <s v="한국영농신문"/>
    <d v="2019-07-03T00:00:00"/>
    <m/>
    <s v="09_농업전문지"/>
    <n v="1.5"/>
    <d v="2019-07-04T00:00:00"/>
  </r>
  <r>
    <n v="2824"/>
    <s v="8_국립축산과학원"/>
    <s v="1_축산생명환경부"/>
    <x v="7"/>
    <s v="김상호"/>
    <m/>
    <s v="반려동물 천만시대... 전북연구원, ‘펫코노미-펫푸드 육성’ 제안"/>
    <s v="전주매일"/>
    <d v="2019-07-03T00:00:00"/>
    <m/>
    <s v="09_지방일간지"/>
    <n v="1.5"/>
    <d v="2019-07-04T00:00:00"/>
  </r>
  <r>
    <n v="2825"/>
    <s v="8_국립축산과학원"/>
    <s v="1_축산생명환경부"/>
    <x v="7"/>
    <s v="김상호"/>
    <m/>
    <s v="“신성장동력 반려동물 음식 시장 선점 필요”"/>
    <s v="전라일보"/>
    <d v="2019-07-03T00:00:00"/>
    <m/>
    <s v="09_지방일간지"/>
    <n v="1.5"/>
    <d v="2019-07-04T00:00:00"/>
  </r>
  <r>
    <n v="2826"/>
    <s v="8_국립축산과학원"/>
    <s v="1_축산생명환경부"/>
    <x v="7"/>
    <s v="김상호"/>
    <m/>
    <s v="펫푸드산업 전북 성장거점 키워야"/>
    <s v="전북중앙"/>
    <d v="2019-07-03T00:00:00"/>
    <m/>
    <s v="09_지방일간지"/>
    <n v="1.5"/>
    <d v="2019-07-04T00:00:00"/>
  </r>
  <r>
    <n v="2827"/>
    <s v="8_국립축산과학원"/>
    <s v="1_축산생명환경부"/>
    <x v="7"/>
    <s v="김상호"/>
    <m/>
    <s v="‘반려동물 천만시대’ 펫 푸드·펫코노미 시장이 뜬다"/>
    <s v="전주일보"/>
    <d v="2019-07-03T00:00:00"/>
    <m/>
    <s v="09_지방일간지"/>
    <n v="1.5"/>
    <d v="2019-07-04T00:00:00"/>
  </r>
  <r>
    <n v="2828"/>
    <s v="8_국립축산과학원"/>
    <s v="1_축산생명환경부"/>
    <x v="7"/>
    <s v="김상호"/>
    <m/>
    <s v="반려동물 천만시대 ‘펫푸드’ 육성하자"/>
    <s v="새전북신문"/>
    <d v="2019-07-03T00:00:00"/>
    <m/>
    <s v="09_지방일간지"/>
    <n v="1.5"/>
    <d v="2019-07-04T00:00:00"/>
  </r>
  <r>
    <n v="2829"/>
    <s v="8_국립축산과학원"/>
    <s v="1_축산생명환경부"/>
    <x v="7"/>
    <s v="김상호"/>
    <m/>
    <s v="반려동물 천만시대, 펫 푸드 산업 선점해야"/>
    <s v="전북도민일보"/>
    <d v="2019-07-03T00:00:00"/>
    <m/>
    <s v="09_지방일간지"/>
    <n v="1.5"/>
    <d v="2019-07-04T00:00:00"/>
  </r>
  <r>
    <n v="2830"/>
    <s v="8_국립축산과학원"/>
    <s v="1_축산생명환경부"/>
    <x v="7"/>
    <s v="김상호"/>
    <m/>
    <s v="“1조원 펫푸드 시장을 잡아라”"/>
    <s v="전북일보"/>
    <d v="2019-07-03T00:00:00"/>
    <m/>
    <s v="09_지방일간지"/>
    <n v="1.5"/>
    <d v="2019-07-04T00:00:00"/>
  </r>
  <r>
    <n v="2831"/>
    <s v="8_국립축산과학원"/>
    <s v="1_축산생명환경부"/>
    <x v="7"/>
    <s v="김상호"/>
    <m/>
    <s v="“신성장동력으로 펫 푸드-펫코노미 육성해야”"/>
    <s v="전민일보"/>
    <d v="2019-07-04T00:00:00"/>
    <m/>
    <s v="09_지방일간지"/>
    <n v="1.5"/>
    <d v="2019-07-04T00:00:00"/>
  </r>
  <r>
    <n v="2832"/>
    <s v="8_국립축산과학원"/>
    <s v="1_축산생명환경부"/>
    <x v="5"/>
    <s v="함준상"/>
    <s v="보도자료60"/>
    <s v="아토피 완화하는 토종 유산균, 치즈로 먹어도 효과"/>
    <s v="금강일보"/>
    <d v="2019-07-01T00:00:00"/>
    <m/>
    <s v="09_지방일간지"/>
    <n v="1.5"/>
    <d v="2019-07-04T00:00:00"/>
  </r>
  <r>
    <n v="2833"/>
    <s v="8_국립축산과학원"/>
    <s v="1_축산생명환경부"/>
    <x v="7"/>
    <s v="김상호"/>
    <m/>
    <s v="전북연구원 “반려동물 천만시대, 펫코노미-펫푸드 육성하자”"/>
    <s v="이뉴스투데이"/>
    <d v="2019-07-04T00:00:00"/>
    <m/>
    <s v="10_주간지"/>
    <n v="1"/>
    <d v="2019-07-04T00:00:00"/>
  </r>
  <r>
    <n v="2834"/>
    <s v="8_국립축산과학원"/>
    <s v="2_축산자원개발부"/>
    <x v="0"/>
    <s v="김두완"/>
    <s v="보도자료59"/>
    <s v="농진청, 여름철 빈번한 ‘돼지 위궤양’ 예방법 소개"/>
    <s v="농업경제신문"/>
    <d v="2019-07-03T00:00:00"/>
    <m/>
    <s v="13_인터넷포털"/>
    <n v="0.1"/>
    <d v="2019-07-04T00:00:00"/>
  </r>
  <r>
    <n v="2835"/>
    <s v="8_국립축산과학원"/>
    <s v="1_축산생명환경부"/>
    <x v="7"/>
    <s v="김상호"/>
    <m/>
    <s v="반려동물 천만시대, 펫코노미-펫푸드 육성하자"/>
    <s v="중부뉴스통신"/>
    <d v="2019-07-03T00:00:00"/>
    <m/>
    <s v="13_인터넷포털"/>
    <n v="0.1"/>
    <d v="2019-07-04T00:00:00"/>
  </r>
  <r>
    <n v="2836"/>
    <s v="8_국립축산과학원"/>
    <s v="1_축산생명환경부"/>
    <x v="7"/>
    <s v="김상호"/>
    <m/>
    <s v="전라북도의 신성장동력으로 펫 푸드(Pet-Food) 산업 육성 정책 제안"/>
    <s v="일간전북"/>
    <d v="2019-07-03T00:00:00"/>
    <m/>
    <s v="13_인터넷포털"/>
    <n v="0.1"/>
    <d v="2019-07-04T00:00:00"/>
  </r>
  <r>
    <n v="2837"/>
    <s v="8_국립축산과학원"/>
    <s v="1_축산생명환경부"/>
    <x v="7"/>
    <s v="김상호"/>
    <m/>
    <s v="반려동물 천만시대, 펫산업 육성 최적지 전북"/>
    <s v="노컷뉴스"/>
    <d v="2019-07-03T00:00:00"/>
    <m/>
    <s v="13_인터넷포털"/>
    <n v="0.1"/>
    <d v="2019-07-04T00:00:00"/>
  </r>
  <r>
    <n v="2838"/>
    <s v="8_국립축산과학원"/>
    <s v="1_축산생명환경부"/>
    <x v="7"/>
    <s v="김상호"/>
    <m/>
    <s v="반려동물 천만시대, 펫코노미-펫푸드 육성하자"/>
    <s v="시사매거진"/>
    <d v="2019-07-04T00:00:00"/>
    <m/>
    <s v="13_인터넷포털"/>
    <n v="0.1"/>
    <d v="2019-07-04T00:00:00"/>
  </r>
  <r>
    <n v="2839"/>
    <s v="8_국립축산과학원"/>
    <s v="1_축산생명환경부"/>
    <x v="7"/>
    <s v="김상호"/>
    <m/>
    <s v="‘반려동물 천만시대’ 전북도 입지살려, ‘펫푸드등 육성해야’"/>
    <s v="국제뉴스"/>
    <d v="2019-07-04T00:00:00"/>
    <m/>
    <s v="13_인터넷포털"/>
    <n v="0.1"/>
    <d v="2019-07-04T00:00:00"/>
  </r>
  <r>
    <n v="2840"/>
    <s v="8_국립축산과학원"/>
    <s v="1_축산생명환경부"/>
    <x v="5"/>
    <s v="함준상"/>
    <s v="보도자료60"/>
    <s v="아토피피부염 완화하는 ‘소시지’ 만들어질까?"/>
    <s v="헬스조선"/>
    <d v="2019-07-04T00:00:00"/>
    <m/>
    <s v="13_인터넷포털"/>
    <n v="0.1"/>
    <d v="2019-07-04T00:00:00"/>
  </r>
  <r>
    <n v="2841"/>
    <s v="8_국립축산과학원"/>
    <s v="1_축산생명환경부"/>
    <x v="5"/>
    <s v="함준상"/>
    <s v="보도자료60"/>
    <s v="농진청 “토종 유산균 먹으면 아토피 완화된다”"/>
    <s v="세이프타임즈"/>
    <d v="2019-07-02T00:00:00"/>
    <m/>
    <s v="13_인터넷포털"/>
    <n v="0.1"/>
    <d v="2019-07-04T00:00:00"/>
  </r>
  <r>
    <n v="2842"/>
    <s v="8_국립축산과학원"/>
    <s v="1_축산생명환경부"/>
    <x v="7"/>
    <s v="이성대"/>
    <s v="보도자료52"/>
    <s v="송풍팬에 안개분무...이른 폭염에 가축 관리도 비상(이유경 연구사 인터뷰)"/>
    <s v="YTN"/>
    <d v="2019-07-04T00:00:00"/>
    <m/>
    <s v="02_TV-케이블중앙"/>
    <n v="4"/>
    <d v="2019-07-05T00:00:00"/>
  </r>
  <r>
    <n v="2843"/>
    <s v="8_국립축산과학원"/>
    <s v="0_본원"/>
    <x v="3"/>
    <s v="최창용"/>
    <s v="보도자료61"/>
    <s v="방목장에도 그늘이 필요해요"/>
    <s v="서울신문"/>
    <d v="2019-07-04T00:00:00"/>
    <m/>
    <s v="07_중앙일간지"/>
    <n v="5"/>
    <d v="2019-07-05T00:00:00"/>
  </r>
  <r>
    <n v="2844"/>
    <s v="8_국립축산과학원"/>
    <s v="1_축산생명환경부"/>
    <x v="7"/>
    <s v="김상호"/>
    <m/>
    <s v="4살 여아 물어뜯은 ‘폭스테리어’, 어떤 개?"/>
    <s v="머니투데이"/>
    <d v="2019-07-04T00:00:00"/>
    <m/>
    <s v="07_중앙일간지"/>
    <n v="5"/>
    <d v="2019-07-05T00:00:00"/>
  </r>
  <r>
    <n v="2845"/>
    <s v="8_국립축산과학원"/>
    <s v="1_축산생명환경부"/>
    <x v="7"/>
    <s v="김상호"/>
    <m/>
    <s v="강형욱 “3살 여아 문 폭스테리어, 안락사해야…주인도 개 키우면 안돼”"/>
    <s v="세계일보"/>
    <d v="2019-07-04T00:00:00"/>
    <m/>
    <s v="07_중앙일간지"/>
    <n v="5"/>
    <d v="2019-07-05T00:00:00"/>
  </r>
  <r>
    <n v="2846"/>
    <s v="8_국립축산과학원"/>
    <s v="1_축산생명환경부"/>
    <x v="9"/>
    <s v="정광화"/>
    <m/>
    <s v="국립낙동강생물자원관, 상주지역 생물산업 육성협의체 세미나 가져...‘축산 악취 해결 방안 논의’"/>
    <s v="아시아뉴스통신"/>
    <d v="2019-07-03T00:00:00"/>
    <m/>
    <s v="07_중앙일간지"/>
    <n v="5"/>
    <d v="2019-07-05T00:00:00"/>
  </r>
  <r>
    <n v="2847"/>
    <s v="8_국립축산과학원"/>
    <s v="1_축산생명환경부"/>
    <x v="5"/>
    <s v="함준상"/>
    <s v="보도자료60"/>
    <s v="농진청 “토종 유산균 치즈로 먹어도 아토피 완화 효과”"/>
    <s v="한국경제"/>
    <d v="2019-07-01T00:00:00"/>
    <m/>
    <s v="07_중앙일간지"/>
    <n v="5"/>
    <d v="2019-07-05T00:00:00"/>
  </r>
  <r>
    <n v="2848"/>
    <s v="8_국립축산과학원"/>
    <s v="0_본원"/>
    <x v="14"/>
    <s v="장선식"/>
    <m/>
    <s v="한우 최고등급…사육기간 단축하고 후기사료 양 줄여야"/>
    <s v="농수축산신문"/>
    <d v="2019-07-05T00:00:00"/>
    <n v="16"/>
    <s v="09_농업전문지"/>
    <n v="1.5"/>
    <d v="2019-07-05T00:00:00"/>
  </r>
  <r>
    <n v="2849"/>
    <s v="8_국립축산과학원"/>
    <s v="1_축산생명환경부"/>
    <x v="5"/>
    <s v="함준상"/>
    <s v="보도자료60"/>
    <s v="아토피 완화하는 토종 유산균, 치즈로 먹어도 효과"/>
    <s v="농축유통신문"/>
    <d v="2019-07-05T00:00:00"/>
    <m/>
    <s v="09_농업전문지"/>
    <n v="1.5"/>
    <d v="2019-07-05T00:00:00"/>
  </r>
  <r>
    <n v="2850"/>
    <s v="8_국립축산과학원"/>
    <s v="1_축산생명환경부"/>
    <x v="5"/>
    <s v="함준상"/>
    <s v="보도자료60"/>
    <s v="토종 유산균, 아토피 피부염 완화 효과"/>
    <s v="농업인신문"/>
    <d v="2019-07-05T00:00:00"/>
    <m/>
    <s v="09_농업전문지"/>
    <n v="1.5"/>
    <d v="2019-07-05T00:00:00"/>
  </r>
  <r>
    <n v="2851"/>
    <s v="8_국립축산과학원"/>
    <s v="1_축산생명환경부"/>
    <x v="7"/>
    <s v="김상호"/>
    <m/>
    <s v="대세 산업 펫 푸드 육성해야"/>
    <s v="전북연합신문"/>
    <d v="2019-07-04T00:00:00"/>
    <n v="1"/>
    <s v="09_지방일간지"/>
    <n v="1.5"/>
    <d v="2019-07-05T00:00:00"/>
  </r>
  <r>
    <n v="2852"/>
    <s v="8_국립축산과학원"/>
    <s v="1_축산생명환경부"/>
    <x v="7"/>
    <s v="김상호"/>
    <m/>
    <s v="펫코노미-펫푸드 육성하자"/>
    <s v="전북타임스"/>
    <d v="2019-07-04T00:00:00"/>
    <n v="1"/>
    <s v="09_지방일간지"/>
    <n v="1.5"/>
    <d v="2019-07-05T00:00:00"/>
  </r>
  <r>
    <n v="2853"/>
    <s v="8_국립축산과학원"/>
    <s v="1_축산생명환경부"/>
    <x v="7"/>
    <s v="김상호"/>
    <m/>
    <s v="‘반려동물 천만시대’ 펫코노미-펫푸드 육성하자!"/>
    <s v="호남제일신문"/>
    <d v="2019-07-04T00:00:00"/>
    <n v="2"/>
    <s v="09_지방일간지"/>
    <n v="1.5"/>
    <d v="2019-07-05T00:00:00"/>
  </r>
  <r>
    <n v="2854"/>
    <s v="8_국립축산과학원"/>
    <s v="1_축산생명환경부"/>
    <x v="7"/>
    <s v="김상호"/>
    <m/>
    <s v="반려동물 천만시대 ‘펫 푸드’ 급부상"/>
    <s v="삼남일보"/>
    <d v="2019-07-04T00:00:00"/>
    <n v="1"/>
    <s v="09_지방일간지"/>
    <n v="1.5"/>
    <d v="2019-07-05T00:00:00"/>
  </r>
  <r>
    <n v="2855"/>
    <s v="8_국립축산과학원"/>
    <s v="1_축산생명환경부"/>
    <x v="7"/>
    <s v="김상호"/>
    <m/>
    <s v="폭스테리어 견종 화제, ‘개에 물릴 경우 반드시 병원에 가야’"/>
    <s v="경인일보"/>
    <d v="2019-07-04T00:00:00"/>
    <m/>
    <s v="09_지방일간지"/>
    <n v="1.5"/>
    <d v="2019-07-05T00:00:00"/>
  </r>
  <r>
    <n v="2856"/>
    <s v="8_국립축산과학원"/>
    <s v="1_축산생명환경부"/>
    <x v="9"/>
    <s v="정광화"/>
    <m/>
    <s v="상주 생물산업육성협의체 개최"/>
    <s v="대구신문"/>
    <d v="2019-07-04T00:00:00"/>
    <m/>
    <s v="09_지방일간지"/>
    <n v="1.5"/>
    <d v="2019-07-05T00:00:00"/>
  </r>
  <r>
    <n v="2857"/>
    <s v="8_국립축산과학원"/>
    <s v="1_축산생명환경부"/>
    <x v="9"/>
    <s v="정광화"/>
    <s v="보도자료56"/>
    <s v="여름철 퇴비사 지붕 정비 빗물 막아야"/>
    <s v="낙농신문"/>
    <d v="2019-07-04T00:00:00"/>
    <n v="2"/>
    <s v="10_기타전문지"/>
    <n v="1"/>
    <d v="2019-07-05T00:00:00"/>
  </r>
  <r>
    <n v="2858"/>
    <s v="8_국립축산과학원"/>
    <s v="2_축산자원개발부"/>
    <x v="12"/>
    <s v="기광석"/>
    <m/>
    <s v="물, 고온-추위 스트레스 주요 역할"/>
    <s v="낙농신문"/>
    <d v="2019-07-04T00:00:00"/>
    <n v="13"/>
    <s v="10_기타전문지"/>
    <n v="1"/>
    <d v="2019-07-05T00:00:00"/>
  </r>
  <r>
    <n v="2859"/>
    <s v="8_국립축산과학원"/>
    <s v="0_본원"/>
    <x v="3"/>
    <s v="최창용"/>
    <s v="보도자료61"/>
    <s v="방목장, 뙤약볕 피할 그늘막·간이 급수기 설치해 충분한 물 공급"/>
    <s v="식약일보"/>
    <d v="2019-07-04T00:00:00"/>
    <m/>
    <s v="10_기타전문지"/>
    <n v="1"/>
    <d v="2019-07-05T00:00:00"/>
  </r>
  <r>
    <n v="2860"/>
    <s v="8_국립축산과학원"/>
    <s v="1_축산생명환경부"/>
    <x v="5"/>
    <s v="함준상"/>
    <s v="보도자료60"/>
    <s v="아토피 완화하는 토종 유산균, 치즈로 먹어도 효과"/>
    <s v="정책브리핑"/>
    <d v="2019-07-02T00:00:00"/>
    <m/>
    <s v="12_대한민국 정책포털(korea.kr)"/>
    <n v="1"/>
    <d v="2019-07-05T00:00:00"/>
  </r>
  <r>
    <n v="2861"/>
    <s v="8_국립축산과학원"/>
    <s v="0_본원"/>
    <x v="3"/>
    <s v="최창용"/>
    <s v="보도자료61"/>
    <s v="방목장에도 그늘이 필요해요"/>
    <s v="국토매일"/>
    <d v="2019-07-04T00:00:00"/>
    <m/>
    <s v="13_인터넷포털"/>
    <n v="0.1"/>
    <d v="2019-07-05T00:00:00"/>
  </r>
  <r>
    <n v="2862"/>
    <s v="8_국립축산과학원"/>
    <s v="0_본원"/>
    <x v="3"/>
    <s v="최창용"/>
    <s v="보도자료61"/>
    <s v="방목장에도 그늘이 필요해요"/>
    <s v="중부뉴스통신"/>
    <d v="2019-07-04T00:00:00"/>
    <m/>
    <s v="13_인터넷포털"/>
    <n v="0.1"/>
    <d v="2019-07-05T00:00:00"/>
  </r>
  <r>
    <n v="2863"/>
    <s v="8_국립축산과학원"/>
    <s v="0_본원"/>
    <x v="3"/>
    <s v="최창용"/>
    <s v="보도자료61"/>
    <s v="방목장에도 그늘이 필요해요"/>
    <s v="경기앤뉴스"/>
    <d v="2019-07-04T00:00:00"/>
    <m/>
    <s v="13_인터넷포털"/>
    <n v="0.1"/>
    <d v="2019-07-05T00:00:00"/>
  </r>
  <r>
    <n v="2864"/>
    <s v="8_국립축산과학원"/>
    <s v="0_본원"/>
    <x v="3"/>
    <s v="최창용"/>
    <s v="보도자료61"/>
    <s v="방목장에도 뙤약볕 피할 그늘막 설치하세요"/>
    <s v="오가닉라이프"/>
    <d v="2019-07-04T00:00:00"/>
    <m/>
    <s v="13_인터넷포털"/>
    <n v="0.1"/>
    <d v="2019-07-05T00:00:00"/>
  </r>
  <r>
    <n v="2865"/>
    <s v="8_국립축산과학원"/>
    <s v="0_본원"/>
    <x v="3"/>
    <s v="최창용"/>
    <s v="보도자료61"/>
    <s v="방목장에도 그늘이 필요해요"/>
    <s v="강원경제신문"/>
    <d v="2019-07-04T00:00:00"/>
    <m/>
    <s v="13_인터넷포털"/>
    <n v="0.1"/>
    <d v="2019-07-05T00:00:00"/>
  </r>
  <r>
    <n v="2866"/>
    <s v="8_국립축산과학원"/>
    <s v="0_본원"/>
    <x v="3"/>
    <s v="최창용"/>
    <s v="보도자료61"/>
    <s v="농진청. 모든 생명은 소중해... 방목장에도 그늘이 필요해요"/>
    <s v="서울시정일보"/>
    <d v="2019-07-04T00:00:00"/>
    <m/>
    <s v="13_인터넷포털"/>
    <n v="0.1"/>
    <d v="2019-07-05T00:00:00"/>
  </r>
  <r>
    <n v="2867"/>
    <s v="8_국립축산과학원"/>
    <s v="0_본원"/>
    <x v="3"/>
    <s v="최창용"/>
    <s v="보도자료61"/>
    <s v="농진청, 여름철 뙤얕볕 ‘방목 가축’ 특별관리 해야"/>
    <s v="국제뉴스"/>
    <d v="2019-07-05T00:00:00"/>
    <m/>
    <s v="13_인터넷포털"/>
    <n v="0.1"/>
    <d v="2019-07-05T00:00:00"/>
  </r>
  <r>
    <n v="2868"/>
    <s v="8_국립축산과학원"/>
    <s v="1_축산생명환경부"/>
    <x v="7"/>
    <s v="김상호"/>
    <m/>
    <s v="강형욱, 35개월 아이 문 폭스테리어 안락사 언급→견주들 SNS서 ‘설전’"/>
    <s v="텐아시아"/>
    <d v="2019-07-05T00:00:00"/>
    <m/>
    <s v="13_인터넷포털"/>
    <n v="0.1"/>
    <d v="2019-07-05T00:00:00"/>
  </r>
  <r>
    <n v="2869"/>
    <s v="8_국립축산과학원"/>
    <s v="1_축산생명환경부"/>
    <x v="5"/>
    <s v="함준상"/>
    <s v="보도자료60"/>
    <s v="농진청 개발 토종 유산균, 치즈로 먹어도 아토피 완화"/>
    <s v="뉴비씨"/>
    <d v="2019-07-01T00:00:00"/>
    <m/>
    <s v="13_인터넷포털"/>
    <n v="0.1"/>
    <d v="2019-07-05T00:00:00"/>
  </r>
  <r>
    <n v="2870"/>
    <s v="8_국립축산과학원"/>
    <s v="2_축산자원개발부"/>
    <x v="12"/>
    <s v="기광석"/>
    <s v="기고"/>
    <s v="[기고] 기광석 과장-우유 소비 확대, 깨끗한 목장 관리로부터"/>
    <s v="축산신문"/>
    <d v="2019-07-05T00:00:00"/>
    <n v="15"/>
    <s v="17_농업전문지"/>
    <n v="8"/>
    <d v="2019-07-08T00:00:00"/>
  </r>
  <r>
    <n v="2871"/>
    <s v="8_국립축산과학원"/>
    <s v="0_본원"/>
    <x v="4"/>
    <s v="천동원"/>
    <s v="기고"/>
    <s v="[기고] 천동원 소장-축산현장 애로기술 해결 위한 닭 키우기[100문 100답] Q69"/>
    <s v="축산신문"/>
    <d v="2019-07-05T00:00:00"/>
    <n v="15"/>
    <s v="17_농업전문지"/>
    <n v="8"/>
    <d v="2019-07-08T00:00:00"/>
  </r>
  <r>
    <n v="2872"/>
    <s v="8_국립축산과학원"/>
    <s v="0_본원"/>
    <x v="13"/>
    <s v="정성훈"/>
    <s v="기고"/>
    <s v="[기고] 정성훈 지도사-축산 현장에 더 가까이 가는 맞춤형 종합컨설팅"/>
    <s v="농수축산신문"/>
    <d v="2019-07-05T00:00:00"/>
    <n v="6"/>
    <s v="17_농업전문지"/>
    <n v="8"/>
    <d v="2019-07-08T00:00:00"/>
  </r>
  <r>
    <n v="2873"/>
    <s v="8_국립축산과학원"/>
    <s v="1_축산생명환경부"/>
    <x v="9"/>
    <s v="곽정훈"/>
    <s v="기고"/>
    <s v="[기고] 곽정훈 과장-“축사시설 현대화로 가축생산성 높여야”"/>
    <s v="농축산기계"/>
    <d v="2019-06-25T00:00:00"/>
    <n v="14"/>
    <s v="18_기타전문지"/>
    <n v="4"/>
    <d v="2019-07-08T00:00:00"/>
  </r>
  <r>
    <n v="2874"/>
    <s v="8_국립축산과학원"/>
    <s v="2_축산자원개발부"/>
    <x v="6"/>
    <s v="김원호"/>
    <s v="기고"/>
    <s v="[기고] 김원호 과장-“IRG 재배면적 10년간 7배 늘어”"/>
    <s v="농축산기계"/>
    <d v="2019-06-25T00:00:00"/>
    <n v="15"/>
    <s v="18_기타전문지"/>
    <n v="4"/>
    <d v="2019-07-08T00:00:00"/>
  </r>
  <r>
    <n v="2875"/>
    <s v="8_국립축산과학원"/>
    <s v="1_축산생명환경부"/>
    <x v="7"/>
    <s v="이성대"/>
    <s v="보도자료52"/>
    <s v="가축 폭염 피해, 휴대전화로 예방 가능해 져(이유경 연구사 인터뷰)"/>
    <s v="한국농업방송(NBS)"/>
    <d v="2019-07-05T00:00:00"/>
    <m/>
    <s v="03_TV-케이블지방"/>
    <m/>
    <d v="2019-07-08T00:00:00"/>
  </r>
  <r>
    <n v="2876"/>
    <s v="8_국립축산과학원"/>
    <s v="2_축산자원개발부"/>
    <x v="8"/>
    <s v="박미나"/>
    <s v="보도자료62"/>
    <s v="농진청, ‘국가대표’ 한우 씨수소 16마리 선발...8월부터 정액 공급"/>
    <s v="이데일리"/>
    <d v="2019-07-07T00:00:00"/>
    <m/>
    <s v="07_중앙일간지"/>
    <n v="5"/>
    <d v="2019-07-08T00:00:00"/>
  </r>
  <r>
    <n v="2877"/>
    <s v="8_국립축산과학원"/>
    <s v="2_축산자원개발부"/>
    <x v="8"/>
    <s v="박미나"/>
    <s v="보도자료62"/>
    <s v="한우 씨수소 16마리 새로 선발...내달부터 정액 보급"/>
    <s v="연합뉴스"/>
    <d v="2019-07-07T00:00:00"/>
    <m/>
    <s v="07_중앙일간지"/>
    <n v="5"/>
    <d v="2019-07-08T00:00:00"/>
  </r>
  <r>
    <n v="2878"/>
    <s v="8_국립축산과학원"/>
    <s v="1_축산생명환경부"/>
    <x v="5"/>
    <s v="함준상"/>
    <s v="보도자료60"/>
    <s v="농진청, 아토피 완화 토종유산균 개발"/>
    <s v="스포츠한국"/>
    <d v="2019-07-08T00:00:00"/>
    <m/>
    <s v="08_스포츠신문"/>
    <n v="2"/>
    <d v="2019-07-08T00:00:00"/>
  </r>
  <r>
    <n v="2879"/>
    <s v="8_국립축산과학원"/>
    <s v="1_축산생명환경부"/>
    <x v="9"/>
    <s v="정광화"/>
    <m/>
    <s v="낙동강생물자원관, 상주지역 생물산업 육성 협의체 회의 개최"/>
    <s v="환경일보"/>
    <d v="2019-07-08T00:00:00"/>
    <m/>
    <s v="08_기타일간지"/>
    <n v="2"/>
    <d v="2019-07-08T00:00:00"/>
  </r>
  <r>
    <n v="2880"/>
    <s v="8_국립축산과학원"/>
    <s v="2_축산자원개발부"/>
    <x v="8"/>
    <s v="박미나"/>
    <s v="보도자료62"/>
    <s v="한우 씨수소 16마리 선발…8월부터 정액 공급"/>
    <s v="환경일보"/>
    <d v="2019-07-08T00:00:00"/>
    <m/>
    <s v="08_기타일간지"/>
    <n v="2"/>
    <d v="2019-07-08T00:00:00"/>
  </r>
  <r>
    <n v="2881"/>
    <s v="8_국립축산과학원"/>
    <s v="0_본원"/>
    <x v="15"/>
    <s v="김승창"/>
    <s v="보도자료58"/>
    <s v="재래 품종 ‘칡소’ 판별 기술 나왔다"/>
    <s v="축산신문"/>
    <d v="2019-07-05T00:00:00"/>
    <n v="4"/>
    <s v="09_농업전문지"/>
    <n v="1.5"/>
    <d v="2019-07-08T00:00:00"/>
  </r>
  <r>
    <n v="2882"/>
    <s v="8_국립축산과학원"/>
    <s v="0_본원"/>
    <x v="2"/>
    <s v="양창범"/>
    <m/>
    <s v="“축산학계 역량 강화…‘긍정의 축산’을 이끌자”"/>
    <s v="축산신문"/>
    <d v="2019-07-05T00:00:00"/>
    <n v="2"/>
    <s v="09_농업전문지"/>
    <n v="1.5"/>
    <d v="2019-07-08T00:00:00"/>
  </r>
  <r>
    <n v="2883"/>
    <s v="8_국립축산과학원"/>
    <s v="1_축산생명환경부"/>
    <x v="9"/>
    <s v="전중환"/>
    <m/>
    <s v="2019년 후반기 오피니언 필진 구성"/>
    <s v="축산신문"/>
    <d v="2019-07-05T00:00:00"/>
    <n v="1"/>
    <s v="09_농업전문지"/>
    <n v="1.5"/>
    <d v="2019-07-08T00:00:00"/>
  </r>
  <r>
    <n v="2884"/>
    <s v="8_국립축산과학원"/>
    <s v="2_축산자원개발부"/>
    <x v="0"/>
    <s v="문홍길"/>
    <m/>
    <s v="도드람 ‘도야흑심’ 출시"/>
    <s v="한국농어민신문"/>
    <d v="2019-07-05T00:00:00"/>
    <m/>
    <s v="09_농업전문지"/>
    <n v="1.5"/>
    <d v="2019-07-08T00:00:00"/>
  </r>
  <r>
    <n v="2885"/>
    <s v="8_국립축산과학원"/>
    <s v="1_축산생명환경부"/>
    <x v="5"/>
    <s v="김진형"/>
    <m/>
    <s v="생산자단체, 도축 방혈방법 확대 ‘강력 반대’"/>
    <s v="농수축산신문"/>
    <d v="2019-07-05T00:00:00"/>
    <m/>
    <s v="09_농업전문지"/>
    <n v="1.5"/>
    <d v="2019-07-08T00:00:00"/>
  </r>
  <r>
    <n v="2886"/>
    <s v="8_국립축산과학원"/>
    <s v="0_본원"/>
    <x v="10"/>
    <s v="양병철"/>
    <m/>
    <s v="격랑의 제주 말산업, 위기에서 기회 만들어낼까"/>
    <s v="한국농정신문"/>
    <d v="2019-07-07T00:00:00"/>
    <m/>
    <s v="09_농업전문지"/>
    <n v="1.5"/>
    <d v="2019-07-08T00:00:00"/>
  </r>
  <r>
    <n v="2887"/>
    <s v="8_국립축산과학원"/>
    <s v="0_본원"/>
    <x v="3"/>
    <s v="최창용"/>
    <s v="보도자료61"/>
    <s v="농진청, 방목장에도 그늘이 필요"/>
    <s v="농축유통신문"/>
    <d v="2019-07-05T00:00:00"/>
    <m/>
    <s v="09_농업전문지"/>
    <n v="1.5"/>
    <d v="2019-07-08T00:00:00"/>
  </r>
  <r>
    <n v="2888"/>
    <s v="8_국립축산과학원"/>
    <s v="0_본원"/>
    <x v="3"/>
    <s v="최창용"/>
    <s v="보도자료61"/>
    <s v="방목장에도 그늘 필요"/>
    <s v="농촌여성신문"/>
    <d v="2019-07-05T00:00:00"/>
    <m/>
    <s v="09_농업전문지"/>
    <n v="1.5"/>
    <d v="2019-07-08T00:00:00"/>
  </r>
  <r>
    <n v="2889"/>
    <s v="8_국립축산과학원"/>
    <s v="0_본원"/>
    <x v="2"/>
    <s v="양창범"/>
    <m/>
    <s v="(축사) “스마트축산 모델 개발·보급에 최선”"/>
    <s v="농축산기계"/>
    <d v="2019-06-25T00:00:00"/>
    <n v="3"/>
    <s v="10_기타전문지"/>
    <n v="1"/>
    <d v="2019-07-08T00:00:00"/>
  </r>
  <r>
    <n v="2890"/>
    <s v="8_국립축산과학원"/>
    <s v="0_본원"/>
    <x v="3"/>
    <s v="최창용"/>
    <s v="보도자료61"/>
    <s v="방목장에도 그늘이 필요해요"/>
    <s v="정책브리핑"/>
    <d v="2019-07-04T00:00:00"/>
    <m/>
    <s v="12_대한민국 정책포털(korea.kr)"/>
    <n v="1"/>
    <d v="2019-07-08T00:00:00"/>
  </r>
  <r>
    <n v="2891"/>
    <s v="8_국립축산과학원"/>
    <s v="2_축산자원개발부"/>
    <x v="8"/>
    <s v="박미나"/>
    <s v="보도자료62"/>
    <s v="농촌진흥청, 유전능력 뛰어난 국가대표 한우 씨수소 16마리 뽑아"/>
    <s v="일간전북"/>
    <d v="2019-07-05T00:00:00"/>
    <m/>
    <s v="13_인터넷포털"/>
    <n v="0.1"/>
    <d v="2019-07-08T00:00:00"/>
  </r>
  <r>
    <n v="2892"/>
    <s v="8_국립축산과학원"/>
    <s v="2_축산자원개발부"/>
    <x v="0"/>
    <s v="문홍길"/>
    <m/>
    <s v="돼지고기도 ‘개인의 취향’있다...품종도 골라 먹는 시대"/>
    <s v="미래경제"/>
    <d v="2019-07-06T00:00:00"/>
    <m/>
    <s v="13_인터넷포털"/>
    <n v="0.1"/>
    <d v="2019-07-08T00:00:00"/>
  </r>
  <r>
    <n v="2893"/>
    <s v="8_국립축산과학원"/>
    <s v="1_축산생명환경부"/>
    <x v="7"/>
    <s v="김상호"/>
    <m/>
    <s v="반려동물 천만시대, 펫코노미 펫푸드 육성 정책"/>
    <s v="문화뉴스"/>
    <d v="2019-07-07T00:00:00"/>
    <m/>
    <s v="13_인터넷포털"/>
    <n v="0.1"/>
    <d v="2019-07-08T00:00:00"/>
  </r>
  <r>
    <n v="2894"/>
    <s v="8_국립축산과학원"/>
    <s v="0_본원"/>
    <x v="15"/>
    <s v="이성수"/>
    <m/>
    <s v="일본 음식 ‘와규’로 알려진 ‘흑우’는 사실 우리나라에서 강탈해 간 한우다"/>
    <s v="인사이트"/>
    <d v="2019-07-07T00:00:00"/>
    <m/>
    <s v="13_인터넷포털"/>
    <n v="0.1"/>
    <d v="2019-07-08T00:00:00"/>
  </r>
  <r>
    <n v="2895"/>
    <s v="8_국립축산과학원"/>
    <s v="1_축산생명환경부"/>
    <x v="7"/>
    <s v="김상호"/>
    <m/>
    <s v="전북연구원, ‘펫 푸드(Pet-Food)’ 산업 육성 정책 제안 눈길"/>
    <s v="위키트리"/>
    <d v="2019-07-08T00:00:00"/>
    <m/>
    <s v="13_인터넷포털"/>
    <n v="0.1"/>
    <d v="2019-07-08T00:00:00"/>
  </r>
  <r>
    <n v="2896"/>
    <s v="8_국립축산과학원"/>
    <s v="0_본원"/>
    <x v="3"/>
    <s v="최창용"/>
    <s v="보도자료61"/>
    <s v="방목장에도 그늘이 필요해요"/>
    <s v="업코리아"/>
    <d v="2019-07-04T00:00:00"/>
    <m/>
    <s v="13_인터넷포털"/>
    <n v="0.1"/>
    <d v="2019-07-08T00:00:00"/>
  </r>
  <r>
    <n v="2897"/>
    <s v="8_국립축산과학원"/>
    <s v="0_본원"/>
    <x v="3"/>
    <s v="최창용"/>
    <s v="보도자료61"/>
    <s v="방목장에도 그늘이 필요해요"/>
    <s v="케이에스피뉴스"/>
    <d v="2019-07-04T00:00:00"/>
    <m/>
    <s v="13_인터넷포털"/>
    <n v="0.1"/>
    <d v="2019-07-08T00:00:00"/>
  </r>
  <r>
    <n v="2898"/>
    <s v="8_국립축산과학원"/>
    <s v="0_본원"/>
    <x v="3"/>
    <s v="최창용"/>
    <s v="보도자료61"/>
    <s v="방목장에도 그늘이 필요해요"/>
    <s v="경제투데이"/>
    <d v="2019-07-04T00:00:00"/>
    <m/>
    <s v="13_인터넷포털"/>
    <n v="0.1"/>
    <d v="2019-07-08T00:00:00"/>
  </r>
  <r>
    <n v="2899"/>
    <s v="8_국립축산과학원"/>
    <s v="0_본원"/>
    <x v="3"/>
    <s v="최창용"/>
    <s v="보도자료61"/>
    <s v="방목장에도 그늘이 필요해요"/>
    <s v="굿뉴스365"/>
    <d v="2019-07-04T00:00:00"/>
    <m/>
    <s v="13_인터넷포털"/>
    <n v="0.1"/>
    <d v="2019-07-08T00:00:00"/>
  </r>
  <r>
    <n v="2900"/>
    <s v="8_국립축산과학원"/>
    <s v="1_축산생명환경부"/>
    <x v="7"/>
    <s v="이성대"/>
    <s v="보도자료52"/>
    <s v="푹푹 찌는 폭염... 가축 더위지수로 폐사 막는다(이유경 연구사 인터뷰)"/>
    <s v="연합뉴스TV"/>
    <d v="2019-07-07T00:00:00"/>
    <m/>
    <s v="02_TV-케이블중앙"/>
    <n v="4"/>
    <d v="2019-07-09T00:00:00"/>
  </r>
  <r>
    <n v="2901"/>
    <s v="8_국립축산과학원"/>
    <s v="2_축산자원개발부"/>
    <x v="8"/>
    <s v="박미나"/>
    <s v="보도자료62"/>
    <s v="국가대표 한우 씨수소 16마리 뽑아"/>
    <s v="서울신문"/>
    <d v="2019-07-08T00:00:00"/>
    <m/>
    <s v="07_중앙일간지"/>
    <n v="5"/>
    <d v="2019-07-09T00:00:00"/>
  </r>
  <r>
    <n v="2902"/>
    <s v="8_국립축산과학원"/>
    <s v="0_본원"/>
    <x v="3"/>
    <s v="최창용"/>
    <s v="보도자료61"/>
    <s v="여름철 가축 방목 시 온열 질환 주의해야"/>
    <s v="전업농신문"/>
    <d v="2019-07-08T00:00:00"/>
    <m/>
    <s v="09_농업전문지"/>
    <n v="1.5"/>
    <d v="2019-07-09T00:00:00"/>
  </r>
  <r>
    <n v="2903"/>
    <s v="8_국립축산과학원"/>
    <s v="2_축산자원개발부"/>
    <x v="0"/>
    <s v="김두완"/>
    <s v="보도자료59"/>
    <s v="여름철, 돼지의 위 건강 지키려면?"/>
    <s v="농업인신문"/>
    <d v="2019-07-08T00:00:00"/>
    <n v="6"/>
    <s v="09_농업전문지"/>
    <n v="1.5"/>
    <d v="2019-07-09T00:00:00"/>
  </r>
  <r>
    <n v="2904"/>
    <s v="8_국립축산과학원"/>
    <s v="0_본원"/>
    <x v="3"/>
    <s v="최창용"/>
    <s v="보도자료61"/>
    <s v="방목장에도 그늘이 필요해"/>
    <s v="한국영농신문"/>
    <d v="2019-07-08T00:00:00"/>
    <m/>
    <s v="09_농업전문지"/>
    <n v="1.5"/>
    <d v="2019-07-09T00:00:00"/>
  </r>
  <r>
    <n v="2905"/>
    <s v="8_국립축산과학원"/>
    <s v="2_축산자원개발부"/>
    <x v="8"/>
    <s v="박미나"/>
    <s v="보도자료62"/>
    <s v="국가 대표 한우 씨수소 뽑아"/>
    <s v="한국영농신문"/>
    <d v="2019-07-09T00:00:00"/>
    <m/>
    <s v="09_농업전문지"/>
    <n v="1.5"/>
    <d v="2019-07-09T00:00:00"/>
  </r>
  <r>
    <n v="2906"/>
    <s v="8_국립축산과학원"/>
    <s v="2_축산자원개발부"/>
    <x v="8"/>
    <s v="박미나"/>
    <s v="보도자료62"/>
    <s v="농진청, 유전능력 뛰어난 국가대표 씨수소 선발"/>
    <s v="전업농신문"/>
    <d v="2019-07-09T00:00:00"/>
    <m/>
    <s v="09_농업전문지"/>
    <n v="1.5"/>
    <d v="2019-07-09T00:00:00"/>
  </r>
  <r>
    <n v="2907"/>
    <s v="8_국립축산과학원"/>
    <s v="2_축산자원개발부"/>
    <x v="8"/>
    <s v="박미나"/>
    <s v="보도자료62"/>
    <s v="농진청 보증씨수소 16마리 선정 내달 보급 계획"/>
    <s v="전북중앙"/>
    <d v="2019-07-08T00:00:00"/>
    <n v="6"/>
    <s v="09_지방일간지"/>
    <n v="1.5"/>
    <d v="2019-07-09T00:00:00"/>
  </r>
  <r>
    <n v="2908"/>
    <s v="8_국립축산과학원"/>
    <s v="2_축산자원개발부"/>
    <x v="8"/>
    <s v="박미나"/>
    <s v="보도자료62"/>
    <s v="체중·육질 우수한 한우 씨 선발"/>
    <s v="대전일보"/>
    <d v="2019-07-08T00:00:00"/>
    <n v="8"/>
    <s v="09_지방일간지"/>
    <n v="1.5"/>
    <d v="2019-07-09T00:00:00"/>
  </r>
  <r>
    <n v="2909"/>
    <s v="8_국립축산과학원"/>
    <s v="2_축산자원개발부"/>
    <x v="8"/>
    <s v="박미나"/>
    <s v="보도자료62"/>
    <s v="국가대표 한우 씨수소 16마리 선발"/>
    <s v="전북연합신문"/>
    <d v="2019-07-08T00:00:00"/>
    <n v="5"/>
    <s v="09_지방일간지"/>
    <n v="1.5"/>
    <d v="2019-07-09T00:00:00"/>
  </r>
  <r>
    <n v="2910"/>
    <s v="8_국립축산과학원"/>
    <s v="0_본원"/>
    <x v="4"/>
    <s v="천동원"/>
    <m/>
    <s v="사흘 뒤 초복…보양식 판촉 대전"/>
    <s v="국제신문"/>
    <d v="2019-07-08T00:00:00"/>
    <m/>
    <s v="09_지방일간지"/>
    <n v="1.5"/>
    <d v="2019-07-09T00:00:00"/>
  </r>
  <r>
    <n v="2911"/>
    <s v="8_국립축산과학원"/>
    <s v="1_축산생명환경부"/>
    <x v="9"/>
    <s v="정광화"/>
    <s v="보도자료56"/>
    <s v="여름철 가축 분뇨 처리 시설 관리 요령"/>
    <s v="농식품PLUS신문"/>
    <d v="2019-06-30T00:00:00"/>
    <m/>
    <s v="10_기타전문지"/>
    <n v="1"/>
    <d v="2019-07-09T00:00:00"/>
  </r>
  <r>
    <n v="2912"/>
    <s v="8_국립축산과학원"/>
    <s v="0_본원"/>
    <x v="15"/>
    <s v="김승창"/>
    <s v="보도자료58"/>
    <s v="재래품종 ‘칡소’ 판별기술 특허출원"/>
    <s v="한우신문"/>
    <d v="2019-07-02T00:00:00"/>
    <n v="1"/>
    <s v="10_기타전문지"/>
    <n v="1"/>
    <d v="2019-07-09T00:00:00"/>
  </r>
  <r>
    <n v="2913"/>
    <s v="8_국립축산과학원"/>
    <s v="1_축산생명환경부"/>
    <x v="9"/>
    <s v="정광화"/>
    <s v="보도자료56"/>
    <s v="축산과학원, 여름철 가축분뇨처리시설 관리요령"/>
    <s v="한우신문"/>
    <d v="2019-07-02T00:00:00"/>
    <n v="4"/>
    <s v="10_기타전문지"/>
    <n v="1"/>
    <d v="2019-07-09T00:00:00"/>
  </r>
  <r>
    <n v="2914"/>
    <s v="8_국립축산과학원"/>
    <s v="0_본원"/>
    <x v="14"/>
    <s v="한만희"/>
    <m/>
    <s v="임신우 적당히 운동하면 산후회복·발정재귀 도움"/>
    <s v="한우신문"/>
    <d v="2019-07-02T00:00:00"/>
    <n v="12"/>
    <s v="10_기타전문지"/>
    <n v="1"/>
    <d v="2019-07-09T00:00:00"/>
  </r>
  <r>
    <n v="2915"/>
    <s v="8_국립축산과학원"/>
    <s v="2_축산자원개발부"/>
    <x v="8"/>
    <s v="박미나"/>
    <s v="보도자료62"/>
    <s v="국가대표 한우 씨수소 16마리 새로 선발"/>
    <s v="식약일보"/>
    <d v="2019-07-08T00:00:00"/>
    <m/>
    <s v="10_기타전문지"/>
    <n v="1"/>
    <d v="2019-07-09T00:00:00"/>
  </r>
  <r>
    <n v="2916"/>
    <s v="8_국립축산과학원"/>
    <s v="2_축산자원개발부"/>
    <x v="8"/>
    <s v="박미나"/>
    <s v="보도자료62"/>
    <s v="유전능력 우수한 한우 씨수소 16두 최종 선발(기존 라이브뉴스)"/>
    <s v="라이브팜뉴스"/>
    <d v="2019-07-08T00:00:00"/>
    <m/>
    <s v="13_인터넷포털"/>
    <n v="0.1"/>
    <d v="2019-07-09T00:00:00"/>
  </r>
  <r>
    <n v="2917"/>
    <s v="8_국립축산과학원"/>
    <s v="2_축산자원개발부"/>
    <x v="8"/>
    <s v="박미나"/>
    <s v="보도자료62"/>
    <s v="국가대표 한우 씨수소 16마리 뽑아"/>
    <s v="서울시정일보"/>
    <d v="2019-07-08T00:00:00"/>
    <m/>
    <s v="13_인터넷포털"/>
    <n v="0.1"/>
    <d v="2019-07-09T00:00:00"/>
  </r>
  <r>
    <n v="2918"/>
    <s v="8_국립축산과학원"/>
    <s v="2_축산자원개발부"/>
    <x v="8"/>
    <s v="박미나"/>
    <s v="보도자료62"/>
    <s v="농진청, 국가대표 한우 씨수소...16마리 뽑아"/>
    <s v="로컬투데이"/>
    <d v="2019-07-08T00:00:00"/>
    <m/>
    <s v="13_인터넷포털"/>
    <n v="0.1"/>
    <d v="2019-07-09T00:00:00"/>
  </r>
  <r>
    <n v="2919"/>
    <s v="8_국립축산과학원"/>
    <s v="2_축산자원개발부"/>
    <x v="8"/>
    <s v="박미나"/>
    <s v="보도자료62"/>
    <s v="국가대표 한우 씨수소 16마리 뽑아"/>
    <s v="중부뉴스통신"/>
    <d v="2019-07-08T00:00:00"/>
    <m/>
    <s v="13_인터넷포털"/>
    <n v="0.1"/>
    <d v="2019-07-09T00:00:00"/>
  </r>
  <r>
    <n v="2920"/>
    <s v="8_국립축산과학원"/>
    <s v="2_축산자원개발부"/>
    <x v="8"/>
    <s v="박미나"/>
    <s v="보도자료62"/>
    <s v="국가대표 한우 씨수소 16마리 뽑아"/>
    <s v="강원경제신문"/>
    <d v="2019-07-08T00:00:00"/>
    <m/>
    <s v="13_인터넷포털"/>
    <n v="0.1"/>
    <d v="2019-07-09T00:00:00"/>
  </r>
  <r>
    <n v="2921"/>
    <s v="8_국립축산과학원"/>
    <s v="0_본원"/>
    <x v="4"/>
    <s v="천동원"/>
    <s v="기고"/>
    <s v="[기고] 천동원 소장-축산현장 애로기술 해결 위한 닭 키우기[100문 100답] Q70"/>
    <s v="축산신문"/>
    <d v="2019-07-09T00:00:00"/>
    <n v="15"/>
    <s v="17_농업전문지"/>
    <n v="8"/>
    <d v="2019-07-10T00:00:00"/>
  </r>
  <r>
    <n v="2922"/>
    <s v="8_국립축산과학원"/>
    <s v="0_본원"/>
    <x v="14"/>
    <s v="조상래"/>
    <s v="보도자료63"/>
    <s v="韓·日, 소 번식기술 상용화 위한 국제심포지엄 개최"/>
    <s v="이데일리"/>
    <d v="2019-07-09T00:00:00"/>
    <m/>
    <s v="07_중앙일간지"/>
    <n v="5"/>
    <d v="2019-07-10T00:00:00"/>
  </r>
  <r>
    <n v="2923"/>
    <s v="8_국립축산과학원"/>
    <s v="2_축산자원개발부"/>
    <x v="8"/>
    <s v="박미나"/>
    <m/>
    <s v="100억 가치 ‘보증씨수소’…3만~4만 마리 새끼 한우 출산(경북)"/>
    <s v="문화일보"/>
    <d v="2019-07-10T00:00:00"/>
    <m/>
    <s v="07_중앙일간지"/>
    <n v="5"/>
    <d v="2019-07-10T00:00:00"/>
  </r>
  <r>
    <n v="2924"/>
    <s v="8_국립축산과학원"/>
    <s v="2_축산자원개발부"/>
    <x v="8"/>
    <s v="박미나"/>
    <m/>
    <s v="경상북도 축산기술연구소, 영주 이전 20주년 맞아... 한우 보증씨수소 1두(경북축기 12호) 추가 선발"/>
    <s v="에너지경제"/>
    <d v="2019-07-10T00:00:00"/>
    <m/>
    <s v="08_기타일간지"/>
    <n v="2"/>
    <d v="2019-07-10T00:00:00"/>
  </r>
  <r>
    <n v="2925"/>
    <s v="8_국립축산과학원"/>
    <s v="1_축산생명환경부"/>
    <x v="5"/>
    <s v="함준상"/>
    <s v="보도자료60"/>
    <s v="아토피 완화 토종 유산균 ‘치즈로 먹어도 효과’"/>
    <s v="농축환경신문"/>
    <d v="2019-07-04T00:00:00"/>
    <n v="7"/>
    <s v="09_농업전문지"/>
    <n v="1.5"/>
    <d v="2019-07-10T00:00:00"/>
  </r>
  <r>
    <n v="2926"/>
    <s v="8_국립축산과학원"/>
    <s v="2_축산자원개발부"/>
    <x v="0"/>
    <s v="김두완"/>
    <s v="보도자료59"/>
    <s v="여름철, 돼지의 위 건강을 지키려면? ‘거칠게 부순 사료 먹이고, 시원한 물 충분히 줘야’"/>
    <s v="농축환경신문"/>
    <d v="2019-07-04T00:00:00"/>
    <n v="4"/>
    <s v="09_농업전문지"/>
    <n v="1.5"/>
    <d v="2019-07-10T00:00:00"/>
  </r>
  <r>
    <n v="2927"/>
    <s v="8_국립축산과학원"/>
    <s v="2_축산자원개발부"/>
    <x v="8"/>
    <s v="박미나"/>
    <s v="보도자료62"/>
    <s v="농협 한우개량사업소, 한우 보증씨수소 16마리 선발"/>
    <s v="농수축산신문"/>
    <d v="2019-07-09T00:00:00"/>
    <n v="6"/>
    <s v="09_농업전문지"/>
    <n v="1.5"/>
    <d v="2019-07-10T00:00:00"/>
  </r>
  <r>
    <n v="2928"/>
    <s v="8_국립축산과학원"/>
    <s v="0_본원"/>
    <x v="4"/>
    <s v="강환구"/>
    <m/>
    <s v="닭 사육농가 폭염 피해 선제대응을"/>
    <s v="축산신문"/>
    <d v="2019-07-09T00:00:00"/>
    <n v="7"/>
    <s v="09_농업전문지"/>
    <n v="1.5"/>
    <d v="2019-07-10T00:00:00"/>
  </r>
  <r>
    <n v="2929"/>
    <s v="8_국립축산과학원"/>
    <s v="2_축산자원개발부"/>
    <x v="8"/>
    <s v="박미나"/>
    <s v="보도자료62"/>
    <s v="국가대표 한우 씨수소 16마리 선정"/>
    <s v="동양일보"/>
    <d v="2019-07-09T00:00:00"/>
    <m/>
    <s v="09_지방일간지"/>
    <n v="1.5"/>
    <d v="2019-07-10T00:00:00"/>
  </r>
  <r>
    <n v="2930"/>
    <s v="8_국립축산과학원"/>
    <s v="2_축산자원개발부"/>
    <x v="8"/>
    <s v="박미나"/>
    <s v="보도자료62"/>
    <s v="국가대표 한우 씨수소 16마리 뽑아"/>
    <s v="정책브리핑"/>
    <d v="2019-07-08T00:00:00"/>
    <m/>
    <s v="12_대한민국 정책포털(korea.kr)"/>
    <n v="1"/>
    <d v="2019-07-10T00:00:00"/>
  </r>
  <r>
    <n v="2931"/>
    <s v="8_국립축산과학원"/>
    <s v="2_축산자원개발부"/>
    <x v="8"/>
    <s v="박미나"/>
    <m/>
    <s v="충북형 보증씨수소 충북한우 1호 선발 ‘쾌거’"/>
    <s v="뉴스핌"/>
    <d v="2019-07-10T00:00:00"/>
    <m/>
    <s v="11_기타(지역주간지)"/>
    <n v="0.5"/>
    <d v="2019-07-10T00:00:00"/>
  </r>
  <r>
    <n v="2932"/>
    <s v="8_국립축산과학원"/>
    <s v="2_축산자원개발부"/>
    <x v="8"/>
    <s v="박미나"/>
    <s v="보도자료62"/>
    <s v="국가대표 한우 씨수소 16마리 뽑아"/>
    <s v="더시그널뉴스"/>
    <d v="2019-07-08T00:00:00"/>
    <m/>
    <s v="13_인터넷포털"/>
    <n v="0.1"/>
    <d v="2019-07-10T00:00:00"/>
  </r>
  <r>
    <n v="2933"/>
    <s v="8_국립축산과학원"/>
    <s v="2_축산자원개발부"/>
    <x v="8"/>
    <s v="박미나"/>
    <m/>
    <s v="경상북도 축산기술연구소 영주시 이전 20주년맞아 연구소자체 생산한 보증씨수소 1두 국립축산과학원에서 최종선발"/>
    <s v="데일리연합"/>
    <d v="2019-07-10T00:00:00"/>
    <m/>
    <s v="13_인터넷포털"/>
    <n v="0.1"/>
    <d v="2019-07-10T00:00:00"/>
  </r>
  <r>
    <n v="2934"/>
    <s v="8_국립축산과학원"/>
    <s v="0_본원"/>
    <x v="13"/>
    <s v="정성훈"/>
    <m/>
    <s v="제주축협, 축산농업인 맞춤형 종합컨설팅 교육 실시"/>
    <s v="일간제주"/>
    <d v="2019-07-10T00:00:00"/>
    <m/>
    <s v="13_인터넷포털"/>
    <n v="0.1"/>
    <d v="2019-07-10T00:00:00"/>
  </r>
  <r>
    <n v="2935"/>
    <s v="8_국립축산과학원"/>
    <s v="0_본원"/>
    <x v="14"/>
    <s v="조상래"/>
    <s v="보도자료63"/>
    <s v="소 번식 첨단기술 공유 ‘한·일 국제심포지엄’ 열어"/>
    <s v="오가닉라이프"/>
    <d v="2019-07-10T00:00:00"/>
    <m/>
    <s v="13_인터넷포털"/>
    <n v="0.1"/>
    <d v="2019-07-10T00:00:00"/>
  </r>
  <r>
    <n v="2936"/>
    <s v="8_국립축산과학원"/>
    <s v="1_축산생명환경부"/>
    <x v="7"/>
    <s v="김상호"/>
    <m/>
    <s v="전북대 가금류질병방제연국센터, 가금 분야 미래 인재 육성하다"/>
    <s v="데일리벳"/>
    <d v="2019-07-10T00:00:00"/>
    <m/>
    <s v="13_인터넷포털"/>
    <n v="0.1"/>
    <d v="2019-07-10T00:00:00"/>
  </r>
  <r>
    <n v="2937"/>
    <s v="8_국립축산과학원"/>
    <s v="0_본원"/>
    <x v="2"/>
    <s v="양창범"/>
    <s v="기고"/>
    <s v="[기고] 양창범 원장-삼복더위와 삼계탕"/>
    <s v="아시아투데이"/>
    <d v="2019-07-12T00:00:00"/>
    <n v="9"/>
    <s v="15_중앙일간지"/>
    <n v="15"/>
    <d v="2019-07-12T00:00:00"/>
  </r>
  <r>
    <n v="2938"/>
    <s v="8_국립축산과학원"/>
    <s v="0_본원"/>
    <x v="14"/>
    <s v="조상래"/>
    <s v="보도자료63"/>
    <s v="소 번식 첨단기술 공유 ‘한·일 국제심포지엄’ 열어"/>
    <s v="서울신문"/>
    <d v="2019-07-10T00:00:00"/>
    <m/>
    <s v="07_중앙일간지"/>
    <n v="5"/>
    <d v="2019-07-12T00:00:00"/>
  </r>
  <r>
    <n v="2939"/>
    <s v="8_국립축산과학원"/>
    <s v="0_본원"/>
    <x v="13"/>
    <s v="손지용"/>
    <m/>
    <s v="담양군, ICT 기술 활용 교육 실시"/>
    <s v="아시아경제"/>
    <d v="2019-07-11T00:00:00"/>
    <m/>
    <s v="07_중앙일간지"/>
    <n v="5"/>
    <d v="2019-07-12T00:00:00"/>
  </r>
  <r>
    <n v="2940"/>
    <s v="8_국립축산과학원"/>
    <s v="2_축산자원개발부"/>
    <x v="8"/>
    <s v="박미나"/>
    <m/>
    <s v="경북도축산연구소가 생산한 한우, 보증씨수소로 선발돼"/>
    <s v="뉴시스"/>
    <d v="2019-07-10T00:00:00"/>
    <m/>
    <s v="07_중앙일간지"/>
    <n v="5"/>
    <d v="2019-07-12T00:00:00"/>
  </r>
  <r>
    <n v="2941"/>
    <s v="8_국립축산과학원"/>
    <s v="2_축산자원개발부"/>
    <x v="8"/>
    <s v="박미나"/>
    <m/>
    <s v="경북축산기술연 한우 보증씨수소에 선발... “경제적 가치 100억”"/>
    <s v="연합뉴스"/>
    <d v="2019-07-10T00:00:00"/>
    <m/>
    <s v="07_중앙일간지"/>
    <n v="5"/>
    <d v="2019-07-12T00:00:00"/>
  </r>
  <r>
    <n v="2942"/>
    <s v="8_국립축산과학원"/>
    <s v="0_본원"/>
    <x v="14"/>
    <s v="조상래"/>
    <s v="보도자료63"/>
    <s v="농촌진흥청, 소 번식 첨단기술 공유 ‘한·일 국제심포지엄’ 열어"/>
    <s v="매일일보"/>
    <d v="2019-07-10T00:00:00"/>
    <m/>
    <s v="08_기타일간지"/>
    <n v="2"/>
    <d v="2019-07-12T00:00:00"/>
  </r>
  <r>
    <n v="2943"/>
    <s v="8_국립축산과학원"/>
    <s v="2_축산자원개발부"/>
    <x v="0"/>
    <s v="백선영"/>
    <s v="보도자료64"/>
    <s v="농촌진흥청, 여름철 돼지 인공수정용 액상 정액 철저한 위생관리 당부"/>
    <s v="매일일보"/>
    <d v="2019-07-11T00:00:00"/>
    <m/>
    <s v="08_기타일간지"/>
    <n v="2"/>
    <d v="2019-07-12T00:00:00"/>
  </r>
  <r>
    <n v="2944"/>
    <s v="8_국립축산과학원"/>
    <s v="1_축산생명환경부"/>
    <x v="5"/>
    <s v="함준상"/>
    <s v="보도자료60"/>
    <s v="아토피 완화 토종유산균 편하게 먹는다"/>
    <s v="농촌여성신문"/>
    <d v="2019-07-08T00:00:00"/>
    <n v="4"/>
    <s v="09_농업전문지"/>
    <n v="1.5"/>
    <d v="2019-07-12T00:00:00"/>
  </r>
  <r>
    <n v="2945"/>
    <s v="8_국립축산과학원"/>
    <s v="2_축산자원개발부"/>
    <x v="0"/>
    <s v="김두완"/>
    <s v="보도자료59"/>
    <s v="여름철, 돼지의 위 건강 지키려면?"/>
    <s v="농업축산신문"/>
    <d v="2019-07-08T00:00:00"/>
    <n v="7"/>
    <s v="09_농업전문지"/>
    <n v="1.5"/>
    <d v="2019-07-12T00:00:00"/>
  </r>
  <r>
    <n v="2946"/>
    <s v="8_국립축산과학원"/>
    <s v="0_본원"/>
    <x v="14"/>
    <s v="조상래"/>
    <s v="보도자료63"/>
    <s v="한-일 전문가 모여 첨담 소 번식 기술 토론"/>
    <s v="한국영농신문"/>
    <d v="2019-07-11T00:00:00"/>
    <m/>
    <s v="09_농업전문지"/>
    <n v="1.5"/>
    <d v="2019-07-12T00:00:00"/>
  </r>
  <r>
    <n v="2947"/>
    <s v="8_국립축산과학원"/>
    <s v="0_본원"/>
    <x v="14"/>
    <s v="조상래"/>
    <s v="보도자료63"/>
    <s v="농촌진흥청, 한우 번식기술·실용화 논의"/>
    <s v="전라매일"/>
    <d v="2019-07-11T00:00:00"/>
    <n v="4"/>
    <s v="09_지방일간지"/>
    <n v="1.5"/>
    <d v="2019-07-12T00:00:00"/>
  </r>
  <r>
    <n v="2948"/>
    <s v="8_국립축산과학원"/>
    <s v="2_축산자원개발부"/>
    <x v="8"/>
    <s v="박미나"/>
    <m/>
    <s v="경북 축산기술연구소 한우, 보증씨수소로 최종 선발"/>
    <s v="경안일보"/>
    <d v="2019-07-11T00:00:00"/>
    <n v="3"/>
    <s v="09_지방일간지"/>
    <n v="1.5"/>
    <d v="2019-07-12T00:00:00"/>
  </r>
  <r>
    <n v="2949"/>
    <s v="8_국립축산과학원"/>
    <s v="2_축산자원개발부"/>
    <x v="8"/>
    <s v="박미나"/>
    <m/>
    <s v="道축산연구소, 영주 이전 20주년 한우 보증씨수소 1두 추가 선발"/>
    <s v="경상매일신문"/>
    <d v="2019-07-11T00:00:00"/>
    <n v="11"/>
    <s v="09_지방일간지"/>
    <n v="1.5"/>
    <d v="2019-07-12T00:00:00"/>
  </r>
  <r>
    <n v="2950"/>
    <s v="8_국립축산과학원"/>
    <s v="2_축산자원개발부"/>
    <x v="8"/>
    <s v="박미나"/>
    <m/>
    <s v="국가 대표 한우 씨수소 뽑아(경북)"/>
    <s v="대구광역일보"/>
    <d v="2019-07-11T00:00:00"/>
    <n v="11"/>
    <s v="09_지방일간지"/>
    <n v="1.5"/>
    <d v="2019-07-12T00:00:00"/>
  </r>
  <r>
    <n v="2951"/>
    <s v="8_국립축산과학원"/>
    <s v="2_축산자원개발부"/>
    <x v="8"/>
    <s v="박미나"/>
    <m/>
    <s v="경북형 보증씨수소 1마리 국가대표 됐다"/>
    <s v="경북매일"/>
    <d v="2019-07-11T00:00:00"/>
    <n v="8"/>
    <s v="09_지방일간지"/>
    <n v="1.5"/>
    <d v="2019-07-12T00:00:00"/>
  </r>
  <r>
    <n v="2952"/>
    <s v="8_국립축산과학원"/>
    <s v="2_축산자원개발부"/>
    <x v="8"/>
    <s v="박미나"/>
    <m/>
    <s v="한우 보증씨수소 1두 추가 선발(경북)"/>
    <s v="경북연합일보"/>
    <d v="2019-07-11T00:00:00"/>
    <n v="11"/>
    <s v="09_지방일간지"/>
    <n v="1.5"/>
    <d v="2019-07-12T00:00:00"/>
  </r>
  <r>
    <n v="2953"/>
    <s v="8_국립축산과학원"/>
    <s v="2_축산자원개발부"/>
    <x v="8"/>
    <s v="박미나"/>
    <m/>
    <s v="충북형 보증씨수소 충북한우 1호 선발 쾌거"/>
    <s v="충청매일"/>
    <d v="2019-07-11T00:00:00"/>
    <n v="4"/>
    <s v="09_지방일간지"/>
    <n v="1.5"/>
    <d v="2019-07-12T00:00:00"/>
  </r>
  <r>
    <n v="2954"/>
    <s v="8_국립축산과학원"/>
    <s v="2_축산자원개발부"/>
    <x v="8"/>
    <s v="박미나"/>
    <m/>
    <s v="충북도축산시험장 생산 한우 ‘국가보증 씨수소’ 지정"/>
    <s v="충청타임즈"/>
    <d v="2019-07-11T00:00:00"/>
    <n v="4"/>
    <s v="09_지방일간지"/>
    <n v="1.5"/>
    <d v="2019-07-12T00:00:00"/>
  </r>
  <r>
    <n v="2955"/>
    <s v="8_국립축산과학원"/>
    <s v="2_축산자원개발부"/>
    <x v="8"/>
    <s v="박미나"/>
    <m/>
    <s v="충북한우1호, 인공수정용 수소 최종 선발"/>
    <s v="중부매일"/>
    <d v="2019-07-11T00:00:00"/>
    <n v="4"/>
    <s v="09_지방일간지"/>
    <n v="1.5"/>
    <d v="2019-07-12T00:00:00"/>
  </r>
  <r>
    <n v="2956"/>
    <s v="8_국립축산과학원"/>
    <s v="2_축산자원개발부"/>
    <x v="8"/>
    <s v="박미나"/>
    <m/>
    <s v="충북도 동물위생시험소, 최초 충북형 보증씨수소 충북한우 1호 선발 쾌거"/>
    <s v="충북일보"/>
    <d v="2019-07-10T00:00:00"/>
    <m/>
    <s v="09_지방일간지"/>
    <n v="1.5"/>
    <d v="2019-07-12T00:00:00"/>
  </r>
  <r>
    <n v="2957"/>
    <s v="8_국립축산과학원"/>
    <s v="0_본원"/>
    <x v="14"/>
    <s v="조상래"/>
    <s v="보도자료63"/>
    <s v="강원도서 한우 성판별 기술 실용화 논의"/>
    <s v="식약일보"/>
    <d v="2019-07-10T00:00:00"/>
    <m/>
    <s v="10_기타전문지"/>
    <n v="1"/>
    <d v="2019-07-12T00:00:00"/>
  </r>
  <r>
    <n v="2958"/>
    <s v="8_국립축산과학원"/>
    <s v="2_축산자원개발부"/>
    <x v="8"/>
    <s v="박미나"/>
    <m/>
    <s v="경상북도 축산기술연구소 영주 이전 20주년 맞아 한우 보증씨수소 1두 추가 선발"/>
    <s v="대한뉴스"/>
    <d v="2019-07-10T00:00:00"/>
    <m/>
    <s v="10_기타월간지"/>
    <n v="1"/>
    <d v="2019-07-12T00:00:00"/>
  </r>
  <r>
    <n v="2959"/>
    <s v="8_국립축산과학원"/>
    <s v="2_축산자원개발부"/>
    <x v="8"/>
    <s v="박미나"/>
    <m/>
    <s v="경북 한우 보증씨수소 1두 추가 선발"/>
    <s v="대구경북일보"/>
    <d v="2019-07-11T00:00:00"/>
    <n v="1"/>
    <s v="11_기타(지역주간지)"/>
    <n v="0.5"/>
    <d v="2019-07-12T00:00:00"/>
  </r>
  <r>
    <n v="2960"/>
    <s v="8_국립축산과학원"/>
    <s v="2_축산자원개발부"/>
    <x v="8"/>
    <s v="박미나"/>
    <m/>
    <s v="도 축산기술연구소, 한우 보증씨수소 1두 추가 선발"/>
    <s v="세명일보"/>
    <d v="2019-07-11T00:00:00"/>
    <n v="3"/>
    <s v="11_기타(지역주간지)"/>
    <n v="0.5"/>
    <d v="2019-07-12T00:00:00"/>
  </r>
  <r>
    <n v="2961"/>
    <s v="8_국립축산과학원"/>
    <s v="2_축산자원개발부"/>
    <x v="8"/>
    <s v="박미나"/>
    <m/>
    <s v="경상북도 축산기술연구소 영주 이전 20주년 맞아, 한우 보증씨수소 1두(경북축기 12호) 추가 선발…"/>
    <s v="영주신문"/>
    <d v="2019-07-10T00:00:00"/>
    <m/>
    <s v="11_기타(지역주간지)"/>
    <n v="0.5"/>
    <d v="2019-07-12T00:00:00"/>
  </r>
  <r>
    <n v="2962"/>
    <s v="8_국립축산과학원"/>
    <s v="2_축산자원개발부"/>
    <x v="8"/>
    <s v="박미나"/>
    <m/>
    <s v="경북 축산기술연구소, 한우 보증씨수소 1두(경북축기 12호) 추가 선발돼"/>
    <s v="세계타임즈"/>
    <d v="2019-07-10T00:00:00"/>
    <m/>
    <s v="11_기타(지역주간지)"/>
    <n v="0.5"/>
    <d v="2019-07-12T00:00:00"/>
  </r>
  <r>
    <n v="2963"/>
    <s v="8_국립축산과학원"/>
    <s v="2_축산자원개발부"/>
    <x v="8"/>
    <s v="박미나"/>
    <m/>
    <s v="충북도 동물위생시험소, 충북형 보증씨수소 충북한우 1호 선발 쾌거"/>
    <s v="세계타임즈"/>
    <d v="2019-07-10T00:00:00"/>
    <m/>
    <s v="11_기타(지역주간지)"/>
    <n v="0.5"/>
    <d v="2019-07-12T00:00:00"/>
  </r>
  <r>
    <n v="2964"/>
    <s v="8_국립축산과학원"/>
    <s v="0_본원"/>
    <x v="14"/>
    <s v="조상래"/>
    <s v="보도자료63"/>
    <s v="소 번식 첨단기술 공유 ‘한·일 국제심포지엄’ 열어"/>
    <s v="국토매일"/>
    <d v="2019-07-10T00:00:00"/>
    <m/>
    <s v="13_인터넷포털"/>
    <n v="0.1"/>
    <d v="2019-07-12T00:00:00"/>
  </r>
  <r>
    <n v="2965"/>
    <s v="8_국립축산과학원"/>
    <s v="0_본원"/>
    <x v="14"/>
    <s v="조상래"/>
    <s v="보도자료63"/>
    <s v="소 번식 첨단기술 공유 ‘한·일 국제심포지엄’ 열어"/>
    <s v="중부뉴스통신"/>
    <d v="2019-07-10T00:00:00"/>
    <m/>
    <s v="13_인터넷포털"/>
    <n v="0.1"/>
    <d v="2019-07-12T00:00:00"/>
  </r>
  <r>
    <n v="2966"/>
    <s v="8_국립축산과학원"/>
    <s v="2_축산자원개발부"/>
    <x v="8"/>
    <s v="박미나"/>
    <m/>
    <s v="몸 값 100억원을 자랑하는 ‘보증씨수소’"/>
    <s v="서울Pn"/>
    <d v="2019-07-10T00:00:00"/>
    <m/>
    <s v="13_인터넷포털"/>
    <n v="0.1"/>
    <d v="2019-07-12T00:00:00"/>
  </r>
  <r>
    <n v="2967"/>
    <s v="8_국립축산과학원"/>
    <s v="0_본원"/>
    <x v="14"/>
    <s v="조상래"/>
    <s v="보도자료63"/>
    <s v="소 번식 첨단기술 공유 ‘한·일 국제심포지엄’ 열어"/>
    <s v="강원경제신문"/>
    <d v="2019-07-10T00:00:00"/>
    <m/>
    <s v="13_인터넷포털"/>
    <n v="0.1"/>
    <d v="2019-07-12T00:00:00"/>
  </r>
  <r>
    <n v="2968"/>
    <s v="8_국립축산과학원"/>
    <s v="2_축산자원개발부"/>
    <x v="8"/>
    <s v="박미나"/>
    <m/>
    <s v="경상북도 축산기술연구소 영주 한우 보증씨수소 1두 추가 선발"/>
    <s v="타임뉴스"/>
    <d v="2019-07-10T00:00:00"/>
    <m/>
    <s v="13_인터넷포털"/>
    <n v="0.1"/>
    <d v="2019-07-12T00:00:00"/>
  </r>
  <r>
    <n v="2969"/>
    <s v="8_국립축산과학원"/>
    <s v="2_축산자원개발부"/>
    <x v="8"/>
    <s v="박미나"/>
    <m/>
    <s v="경북 축산기술연구소, 한우 보증씨수소 1두(경북축기 12호) 추가 선발"/>
    <s v="구미뉴스"/>
    <d v="2019-07-10T00:00:00"/>
    <m/>
    <s v="13_인터넷포털"/>
    <n v="0.1"/>
    <d v="2019-07-12T00:00:00"/>
  </r>
  <r>
    <n v="2970"/>
    <s v="8_국립축산과학원"/>
    <s v="2_축산자원개발부"/>
    <x v="8"/>
    <s v="박미나"/>
    <m/>
    <s v="충북 동물위생시험소, ‘보증씨수소’ 충북한우 1호 선발"/>
    <s v="노컷뉴스"/>
    <d v="2019-07-10T00:00:00"/>
    <m/>
    <s v="13_인터넷포털"/>
    <n v="0.1"/>
    <d v="2019-07-12T00:00:00"/>
  </r>
  <r>
    <n v="2971"/>
    <s v="8_국립축산과학원"/>
    <s v="2_축산자원개발부"/>
    <x v="8"/>
    <s v="박미나"/>
    <m/>
    <s v="경북 축산기술연구소 한우 보증씨수소 1두(경북축기 12호) 추가 선발"/>
    <s v="국제뉴스"/>
    <d v="2019-07-10T00:00:00"/>
    <m/>
    <s v="13_인터넷포털"/>
    <n v="0.1"/>
    <d v="2019-07-12T00:00:00"/>
  </r>
  <r>
    <n v="2972"/>
    <s v="8_국립축산과학원"/>
    <s v="2_축산자원개발부"/>
    <x v="8"/>
    <s v="박미나"/>
    <m/>
    <s v="‘영주 이전 20주년 맞아…’ 경상북도 축산기술연구소, 한우 보증씨수소 1두 추가 선발"/>
    <s v="UGN경북뉴스"/>
    <d v="2019-07-10T00:00:00"/>
    <m/>
    <s v="13_인터넷포털"/>
    <n v="0.1"/>
    <d v="2019-07-12T00:00:00"/>
  </r>
  <r>
    <n v="2973"/>
    <s v="8_국립축산과학원"/>
    <s v="1_축산생명환경부"/>
    <x v="5"/>
    <s v="이은선"/>
    <s v="기고"/>
    <s v="[기고] 이은선 연구사-달걀, 안전한 섭취법은 ‘냉장 보관·섭취 전 세척’"/>
    <s v="농수축산신문"/>
    <d v="2019-07-12T00:00:00"/>
    <n v="8"/>
    <s v="17_농업전문지"/>
    <n v="8"/>
    <d v="2019-07-15T00:00:00"/>
  </r>
  <r>
    <n v="2974"/>
    <s v="8_국립축산과학원"/>
    <s v="1_축산생명환경부"/>
    <x v="9"/>
    <s v="전중환"/>
    <s v="기고"/>
    <s v="[기고] 전중환 연구사-동물복지 젖소농장 인증 기준"/>
    <s v="축산신문"/>
    <d v="2019-07-12T00:00:00"/>
    <n v="15"/>
    <s v="17_농업전문지"/>
    <n v="8"/>
    <d v="2019-07-15T00:00:00"/>
  </r>
  <r>
    <n v="2975"/>
    <s v="8_국립축산과학원"/>
    <s v="2_축산자원개발부"/>
    <x v="8"/>
    <s v="박미나"/>
    <m/>
    <s v="100억 원 가치 ‘보증씨수소’…3~4만 마리 새끼 한우 출산(경북) (MBC NEWS)"/>
    <s v="MBC RADIO"/>
    <d v="2019-07-11T00:00:00"/>
    <m/>
    <s v="05_라디오-중앙"/>
    <n v="3"/>
    <d v="2019-07-15T00:00:00"/>
  </r>
  <r>
    <n v="2976"/>
    <s v="8_국립축산과학원"/>
    <s v="2_축산자원개발부"/>
    <x v="0"/>
    <s v="백선영"/>
    <s v="보도자료64"/>
    <s v="여름철 돼지 액상 정액, 위생적인 관리가 중요해요"/>
    <s v="서울신문"/>
    <d v="2019-07-12T00:00:00"/>
    <m/>
    <s v="07_중앙일간지"/>
    <n v="5"/>
    <d v="2019-07-15T00:00:00"/>
  </r>
  <r>
    <n v="2977"/>
    <s v="8_국립축산과학원"/>
    <s v="2_축산자원개발부"/>
    <x v="8"/>
    <s v="박미나"/>
    <m/>
    <s v="경북도축산기술연구소, 한우 보증씨수소에 1마리 선발…경제적 가치 100억"/>
    <s v="헤럴드경제"/>
    <d v="2019-07-11T00:00:00"/>
    <m/>
    <s v="07_중앙일간지"/>
    <n v="5"/>
    <d v="2019-07-15T00:00:00"/>
  </r>
  <r>
    <n v="2978"/>
    <s v="8_국립축산과학원"/>
    <s v="0_본원"/>
    <x v="13"/>
    <s v="손지용"/>
    <m/>
    <s v="담양군, 한우리 시스템 활용 교육"/>
    <s v="아시아일보"/>
    <d v="2019-07-12T00:00:00"/>
    <n v="12"/>
    <s v="08_기타일간지"/>
    <n v="2"/>
    <d v="2019-07-15T00:00:00"/>
  </r>
  <r>
    <n v="2979"/>
    <s v="8_국립축산과학원"/>
    <s v="0_본원"/>
    <x v="13"/>
    <s v="손지용"/>
    <m/>
    <s v="담양군, ICT 기술로 안전한 고품질 축산물 생산"/>
    <s v="에너지경제"/>
    <d v="2019-07-11T00:00:00"/>
    <m/>
    <s v="08_기타일간지"/>
    <n v="2"/>
    <d v="2019-07-15T00:00:00"/>
  </r>
  <r>
    <n v="2980"/>
    <s v="8_국립축산과학원"/>
    <s v="0_본원"/>
    <x v="13"/>
    <s v="손지용"/>
    <m/>
    <s v="담양군, ICT 기술 활용해 안전한 고품질 축산물 생산"/>
    <s v="매일일보"/>
    <d v="2019-07-11T00:00:00"/>
    <m/>
    <s v="08_기타일간지"/>
    <n v="2"/>
    <d v="2019-07-15T00:00:00"/>
  </r>
  <r>
    <n v="2981"/>
    <s v="8_국립축산과학원"/>
    <s v="2_축산자원개발부"/>
    <x v="8"/>
    <s v="박미나"/>
    <m/>
    <s v="경북축산기술연구소, 한우보증씨수소 1두 추가 선발"/>
    <s v="환경일보"/>
    <d v="2019-07-11T00:00:00"/>
    <m/>
    <s v="08_기타일간지"/>
    <n v="2"/>
    <d v="2019-07-15T00:00:00"/>
  </r>
  <r>
    <n v="2982"/>
    <s v="8_국립축산과학원"/>
    <s v="0_본원"/>
    <x v="14"/>
    <s v="조상래"/>
    <m/>
    <s v="(동정) 소번식 첨단기술 국제심포지엄 개최"/>
    <s v="축산신문"/>
    <d v="2019-07-12T00:00:00"/>
    <n v="12"/>
    <s v="09_농업전문지"/>
    <n v="1.5"/>
    <d v="2019-07-15T00:00:00"/>
  </r>
  <r>
    <n v="2983"/>
    <s v="8_국립축산과학원"/>
    <s v="1_축산생명환경부"/>
    <x v="5"/>
    <s v="함준상"/>
    <s v="보도자료60"/>
    <s v="‘아토피 완화’ 토종 유산균, 치즈로 먹어도 효과"/>
    <s v="축산신문"/>
    <d v="2019-07-12T00:00:00"/>
    <n v="5"/>
    <s v="09_농업전문지"/>
    <n v="1.5"/>
    <d v="2019-07-15T00:00:00"/>
  </r>
  <r>
    <n v="2984"/>
    <s v="8_국립축산과학원"/>
    <s v="0_본원"/>
    <x v="3"/>
    <s v="최창용"/>
    <s v="보도자료61"/>
    <s v="농진청 “가축 방목장에도 그늘 필요해요”"/>
    <s v="축산신문"/>
    <d v="2019-07-12T00:00:00"/>
    <n v="2"/>
    <s v="09_농업전문지"/>
    <n v="1.5"/>
    <d v="2019-07-15T00:00:00"/>
  </r>
  <r>
    <n v="2985"/>
    <s v="8_국립축산과학원"/>
    <s v="2_축산자원개발부"/>
    <x v="8"/>
    <s v="박미나"/>
    <s v="보도자료62"/>
    <s v="한우 보증씨수소 16두 신규 선발"/>
    <s v="축산신문"/>
    <d v="2019-07-12T00:00:00"/>
    <n v="4"/>
    <s v="09_농업전문지"/>
    <n v="1.5"/>
    <d v="2019-07-15T00:00:00"/>
  </r>
  <r>
    <n v="2986"/>
    <s v="8_국립축산과학원"/>
    <s v="0_본원"/>
    <x v="13"/>
    <s v="정성훈"/>
    <m/>
    <s v="충주시 맞춤형 종합컨설팅 실시"/>
    <s v="축산신문"/>
    <d v="2019-07-12T00:00:00"/>
    <n v="4"/>
    <s v="09_농업전문지"/>
    <n v="1.5"/>
    <d v="2019-07-15T00:00:00"/>
  </r>
  <r>
    <n v="2987"/>
    <s v="8_국립축산과학원"/>
    <s v="0_본원"/>
    <x v="14"/>
    <s v="조상래"/>
    <s v="보도자료63"/>
    <s v="농진청, “소 번식 첨단기술 실용화 앞당긴다”"/>
    <s v="전업농신문"/>
    <d v="2019-07-11T00:00:00"/>
    <m/>
    <s v="09_농업전문지"/>
    <n v="1.5"/>
    <d v="2019-07-15T00:00:00"/>
  </r>
  <r>
    <n v="2988"/>
    <s v="8_국립축산과학원"/>
    <s v="0_본원"/>
    <x v="14"/>
    <s v="조상래"/>
    <s v="보도자료63"/>
    <s v="‘소 번식 첨단기술 공유’ 韓日 국제심포지엄 성료"/>
    <s v="새만금일보"/>
    <d v="2019-07-12T00:00:00"/>
    <n v="6"/>
    <s v="09_지방일간지"/>
    <n v="1.5"/>
    <d v="2019-07-15T00:00:00"/>
  </r>
  <r>
    <n v="2989"/>
    <s v="8_국립축산과학원"/>
    <s v="2_축산자원개발부"/>
    <x v="0"/>
    <s v="백선영"/>
    <s v="보도자료64"/>
    <s v="농진청 “여름철 돼지 액상 정액, 위생적인 관리 중요”"/>
    <s v="전민일보"/>
    <d v="2019-07-12T00:00:00"/>
    <n v="4"/>
    <s v="09_지방일간지"/>
    <n v="1.5"/>
    <d v="2019-07-15T00:00:00"/>
  </r>
  <r>
    <n v="2990"/>
    <s v="8_국립축산과학원"/>
    <s v="2_축산자원개발부"/>
    <x v="8"/>
    <s v="박미나"/>
    <m/>
    <s v="축산기술硏, 한우 보증씨수소 1두 추가 선발(경북)"/>
    <s v="매일신문"/>
    <d v="2019-07-12T00:00:00"/>
    <n v="12"/>
    <s v="09_지방일간지"/>
    <n v="1.5"/>
    <d v="2019-07-15T00:00:00"/>
  </r>
  <r>
    <n v="2991"/>
    <s v="8_국립축산과학원"/>
    <s v="0_본원"/>
    <x v="13"/>
    <s v="손지용"/>
    <m/>
    <s v="담양 ‘ICT 기술’로 고품질 축산물 생산"/>
    <s v="호남매일"/>
    <d v="2019-07-12T00:00:00"/>
    <n v="6"/>
    <s v="09_지방일간지"/>
    <n v="1.5"/>
    <d v="2019-07-15T00:00:00"/>
  </r>
  <r>
    <n v="2992"/>
    <s v="8_국립축산과학원"/>
    <s v="0_본원"/>
    <x v="13"/>
    <s v="손지용"/>
    <m/>
    <s v="ICT 기술 활용해 안전·고품질 축산물 생산"/>
    <s v="내외일보"/>
    <d v="2019-07-12T00:00:00"/>
    <n v="14"/>
    <s v="09_지방일간지"/>
    <n v="1.5"/>
    <d v="2019-07-15T00:00:00"/>
  </r>
  <r>
    <n v="2993"/>
    <s v="8_국립축산과학원"/>
    <s v="0_본원"/>
    <x v="13"/>
    <s v="손지용"/>
    <m/>
    <s v="담양군, ICT 기술 활용 고품질 축산물 생산"/>
    <s v="도민일보"/>
    <d v="2019-07-12T00:00:00"/>
    <n v="14"/>
    <s v="09_지방일간지"/>
    <n v="1.5"/>
    <d v="2019-07-15T00:00:00"/>
  </r>
  <r>
    <n v="2994"/>
    <s v="8_국립축산과학원"/>
    <s v="0_본원"/>
    <x v="13"/>
    <s v="손지용"/>
    <m/>
    <s v="담양군, ICT 기술 활용해 안전한 고품질 축산물 생산한다"/>
    <s v="더대한일보"/>
    <d v="2019-07-12T00:00:00"/>
    <n v="6"/>
    <s v="09_지방일간지"/>
    <n v="1.5"/>
    <d v="2019-07-15T00:00:00"/>
  </r>
  <r>
    <n v="2995"/>
    <s v="8_국립축산과학원"/>
    <s v="0_본원"/>
    <x v="13"/>
    <s v="손지용"/>
    <m/>
    <s v="담양군, ICT 기술 활용해 안전한 고품질 축산물 생산한다"/>
    <s v="한성일보"/>
    <d v="2019-07-12T00:00:00"/>
    <n v="8"/>
    <s v="09_지방일간지"/>
    <n v="1.5"/>
    <d v="2019-07-15T00:00:00"/>
  </r>
  <r>
    <n v="2996"/>
    <s v="8_국립축산과학원"/>
    <s v="0_본원"/>
    <x v="13"/>
    <s v="손지용"/>
    <m/>
    <s v="담양군, 한우리 시스템 활용 교육 실시"/>
    <s v="광남일보"/>
    <d v="2019-07-12T00:00:00"/>
    <n v="8"/>
    <s v="09_지방일간지"/>
    <n v="1.5"/>
    <d v="2019-07-15T00:00:00"/>
  </r>
  <r>
    <n v="2997"/>
    <s v="8_국립축산과학원"/>
    <s v="2_축산자원개발부"/>
    <x v="0"/>
    <s v="김두완"/>
    <s v="보도자료59"/>
    <s v="사료입자 거칠게 갈아 먹이고 시원한 물 충분히 줘야"/>
    <s v="한국양돈신문"/>
    <d v="2019-07-09T00:00:00"/>
    <n v="15"/>
    <s v="10_기타전문지"/>
    <n v="1"/>
    <d v="2019-07-15T00:00:00"/>
  </r>
  <r>
    <n v="2998"/>
    <s v="8_국립축산과학원"/>
    <s v="1_축산생명환경부"/>
    <x v="7"/>
    <s v="이슬"/>
    <s v="보도자료57"/>
    <s v="축산 온실가스 배출저감 연구 논의"/>
    <s v="낙농신문"/>
    <d v="2019-07-11T00:00:00"/>
    <n v="7"/>
    <s v="10_기타전문지"/>
    <n v="1"/>
    <d v="2019-07-15T00:00:00"/>
  </r>
  <r>
    <n v="2999"/>
    <s v="8_국립축산과학원"/>
    <s v="2_축산자원개발부"/>
    <x v="12"/>
    <s v="기광석"/>
    <m/>
    <s v="고온기, 발정지속 사간 짧아"/>
    <s v="낙농신문"/>
    <d v="2019-07-11T00:00:00"/>
    <n v="11"/>
    <s v="10_기타전문지"/>
    <n v="1"/>
    <d v="2019-07-15T00:00:00"/>
  </r>
  <r>
    <n v="3000"/>
    <s v="8_국립축산과학원"/>
    <s v="2_축산자원개발부"/>
    <x v="12"/>
    <s v="기광석"/>
    <m/>
    <s v="음수량, 건물섭취량 상관관계 밀접"/>
    <s v="낙농신문"/>
    <d v="2019-07-11T00:00:00"/>
    <n v="13"/>
    <s v="10_기타전문지"/>
    <n v="1"/>
    <d v="2019-07-15T00:00:00"/>
  </r>
  <r>
    <n v="3001"/>
    <s v="8_국립축산과학원"/>
    <s v="0_본원"/>
    <x v="13"/>
    <s v="손지용"/>
    <m/>
    <s v="담양군, 고품질 축산물 생산에 ICT 기술 활용"/>
    <s v="프라임경제"/>
    <d v="2019-07-11T00:00:00"/>
    <m/>
    <s v="10_주간지"/>
    <n v="1"/>
    <d v="2019-07-15T00:00:00"/>
  </r>
  <r>
    <n v="3002"/>
    <s v="8_국립축산과학원"/>
    <s v="0_본원"/>
    <x v="13"/>
    <s v="손지용"/>
    <m/>
    <s v="담양군, ICT 기술 활용해 안전한 고품질 축산물 생산"/>
    <s v="뉴스핌"/>
    <d v="2019-07-11T00:00:00"/>
    <m/>
    <s v="11_기타(지역주간지)"/>
    <n v="0.5"/>
    <d v="2019-07-15T00:00:00"/>
  </r>
  <r>
    <n v="3003"/>
    <s v="8_국립축산과학원"/>
    <s v="0_본원"/>
    <x v="13"/>
    <s v="손지용"/>
    <m/>
    <s v="담양군, ICT 기술 활용해 안전한 고품질 축산물 생산한다"/>
    <s v="세계타임즈"/>
    <d v="2019-07-11T00:00:00"/>
    <m/>
    <s v="11_기타(지역주간지)"/>
    <n v="0.5"/>
    <d v="2019-07-15T00:00:00"/>
  </r>
  <r>
    <n v="3004"/>
    <s v="8_국립축산과학원"/>
    <s v="2_축산자원개발부"/>
    <x v="8"/>
    <s v="박미나"/>
    <m/>
    <s v="충북도 동물위생시험소, 충북형 보증씨수소 충북한우 1호 선발 쾌거"/>
    <s v="경인투데이뉴스"/>
    <d v="2019-07-11T00:00:00"/>
    <m/>
    <s v="13_인터넷포털"/>
    <n v="0.1"/>
    <d v="2019-07-15T00:00:00"/>
  </r>
  <r>
    <n v="3005"/>
    <s v="8_국립축산과학원"/>
    <s v="0_본원"/>
    <x v="13"/>
    <s v="손지용"/>
    <m/>
    <s v="담양군, ICT 기술 활용 안전한 고품질 축산물 생산"/>
    <s v="NSP통신"/>
    <d v="2019-07-11T00:00:00"/>
    <m/>
    <s v="13_인터넷포털"/>
    <n v="0.1"/>
    <d v="2019-07-15T00:00:00"/>
  </r>
  <r>
    <n v="3006"/>
    <s v="8_국립축산과학원"/>
    <s v="0_본원"/>
    <x v="13"/>
    <s v="정성훈"/>
    <m/>
    <s v="제주축협, 축산농업인 맞춤형 종합컨설팅 교육 실시"/>
    <s v="국제뉴스"/>
    <d v="2019-07-11T00:00:00"/>
    <m/>
    <s v="13_인터넷포털"/>
    <n v="0.1"/>
    <d v="2019-07-15T00:00:00"/>
  </r>
  <r>
    <n v="3007"/>
    <s v="8_국립축산과학원"/>
    <s v="0_본원"/>
    <x v="13"/>
    <s v="손지용"/>
    <m/>
    <s v="담양군, ICT 기술 활용해 안전한 고품질 축산물 생산한다"/>
    <s v="중부뉴스통신"/>
    <d v="2019-07-11T00:00:00"/>
    <m/>
    <s v="13_인터넷포털"/>
    <n v="0.1"/>
    <d v="2019-07-15T00:00:00"/>
  </r>
  <r>
    <n v="3008"/>
    <s v="8_국립축산과학원"/>
    <s v="0_본원"/>
    <x v="13"/>
    <s v="손지용"/>
    <m/>
    <s v="담양군, ICT활용 고품질 축산물 생산관리 교육"/>
    <s v="포커스데일리"/>
    <d v="2019-07-11T00:00:00"/>
    <m/>
    <s v="13_인터넷포털"/>
    <n v="0.1"/>
    <d v="2019-07-15T00:00:00"/>
  </r>
  <r>
    <n v="3009"/>
    <s v="8_국립축산과학원"/>
    <s v="0_본원"/>
    <x v="13"/>
    <s v="손지용"/>
    <m/>
    <s v="담양군, ICT 기술 활용해 안전한 고품질 축산물 생산한다"/>
    <s v="톡톡뉴스"/>
    <d v="2019-07-11T00:00:00"/>
    <m/>
    <s v="13_인터넷포털"/>
    <n v="0.1"/>
    <d v="2019-07-15T00:00:00"/>
  </r>
  <r>
    <n v="3010"/>
    <s v="8_국립축산과학원"/>
    <s v="0_본원"/>
    <x v="13"/>
    <s v="손지용"/>
    <m/>
    <s v="담양군, ICT 기술 활용 안전한 고품질 축산물 생산"/>
    <s v="국제뉴스"/>
    <d v="2019-07-11T00:00:00"/>
    <m/>
    <s v="13_인터넷포털"/>
    <n v="0.1"/>
    <d v="2019-07-15T00:00:00"/>
  </r>
  <r>
    <n v="3011"/>
    <s v="8_국립축산과학원"/>
    <s v="0_본원"/>
    <x v="13"/>
    <s v="손지용"/>
    <m/>
    <s v="담양군, 한우리 시스템 활용 교육 실시"/>
    <s v="내외뉴스통신"/>
    <d v="2019-07-11T00:00:00"/>
    <m/>
    <s v="13_인터넷포털"/>
    <n v="0.1"/>
    <d v="2019-07-15T00:00:00"/>
  </r>
  <r>
    <n v="3012"/>
    <s v="8_국립축산과학원"/>
    <s v="0_본원"/>
    <x v="13"/>
    <s v="손지용"/>
    <m/>
    <s v="담양군, ICT 기술 활용해 안전한 고품질 축산물 생산한다"/>
    <s v="빅데이터뉴스"/>
    <d v="2019-07-11T00:00:00"/>
    <m/>
    <s v="13_인터넷포털"/>
    <n v="0.1"/>
    <d v="2019-07-15T00:00:00"/>
  </r>
  <r>
    <n v="3013"/>
    <s v="8_국립축산과학원"/>
    <s v="0_본원"/>
    <x v="13"/>
    <s v="손지용"/>
    <m/>
    <s v="담양군, ICT 기술 활용해 안전한 고품질 축산물 생산한다"/>
    <s v="위키트리"/>
    <d v="2019-07-11T00:00:00"/>
    <m/>
    <s v="13_인터넷포털"/>
    <n v="0.1"/>
    <d v="2019-07-15T00:00:00"/>
  </r>
  <r>
    <n v="3014"/>
    <s v="8_국립축산과학원"/>
    <s v="0_본원"/>
    <x v="13"/>
    <s v="손지용"/>
    <m/>
    <s v="담양군, ICT 기술 활용해 안전한 고품질 축산물 생산한다."/>
    <s v="전남인터넷신문"/>
    <d v="2019-07-11T00:00:00"/>
    <m/>
    <s v="13_인터넷포털"/>
    <n v="0.1"/>
    <d v="2019-07-15T00:00:00"/>
  </r>
  <r>
    <n v="3015"/>
    <s v="8_국립축산과학원"/>
    <s v="0_본원"/>
    <x v="13"/>
    <s v="손지용"/>
    <m/>
    <s v="담양군, 안전한 고품질 축산물 생산 위해 ‘한우리 시스템’ 교육"/>
    <s v="중앙통신뉴스"/>
    <d v="2019-07-11T00:00:00"/>
    <m/>
    <s v="13_인터넷포털"/>
    <n v="0.1"/>
    <d v="2019-07-15T00:00:00"/>
  </r>
  <r>
    <n v="3016"/>
    <s v="8_국립축산과학원"/>
    <s v="0_본원"/>
    <x v="13"/>
    <s v="손지용"/>
    <m/>
    <s v="담양군, ICT 기술 활용해 안전한 고품질 축산물 생산한다"/>
    <s v="플러스코리아"/>
    <d v="2019-07-11T00:00:00"/>
    <m/>
    <s v="13_인터넷포털"/>
    <n v="0.1"/>
    <d v="2019-07-15T00:00:00"/>
  </r>
  <r>
    <n v="3017"/>
    <s v="8_국립축산과학원"/>
    <s v="0_본원"/>
    <x v="13"/>
    <s v="손지용"/>
    <m/>
    <s v="담양군, ICT 기술 활용해 안전한 고품질 축산물 생산한다"/>
    <s v="전남제일신문"/>
    <d v="2019-07-11T00:00:00"/>
    <m/>
    <s v="13_인터넷포털"/>
    <n v="0.1"/>
    <d v="2019-07-15T00:00:00"/>
  </r>
  <r>
    <n v="3018"/>
    <s v="8_국립축산과학원"/>
    <s v="2_축산자원개발부"/>
    <x v="8"/>
    <s v="박미나"/>
    <m/>
    <s v="경북도축산연구소가 생산한 한우, 보증씨수소로 선발돼...경제적 가치 무려 100억원"/>
    <s v="이코노뉴스"/>
    <d v="2019-07-11T00:00:00"/>
    <m/>
    <s v="13_인터넷포털"/>
    <n v="0.1"/>
    <d v="2019-07-15T00:00:00"/>
  </r>
  <r>
    <n v="3019"/>
    <s v="8_국립축산과학원"/>
    <s v="0_본원"/>
    <x v="13"/>
    <s v="손지용"/>
    <m/>
    <s v="담양군, ICT 기술 활용.. 안전한 고품질 축산물 생산"/>
    <s v="뉴스워커"/>
    <d v="2019-07-12T00:00:00"/>
    <m/>
    <s v="13_인터넷포털"/>
    <n v="0.1"/>
    <d v="2019-07-15T00:00:00"/>
  </r>
  <r>
    <n v="3020"/>
    <s v="8_국립축산과학원"/>
    <s v="2_축산자원개발부"/>
    <x v="8"/>
    <s v="박미나"/>
    <m/>
    <s v="경북 축산기술연구소, 한우 보증씨수소 1두 추가 선발돼"/>
    <s v="시사문경"/>
    <d v="2019-07-12T00:00:00"/>
    <m/>
    <s v="13_인터넷포털"/>
    <n v="0.1"/>
    <d v="2019-07-15T00:00:00"/>
  </r>
  <r>
    <n v="3021"/>
    <s v="8_국립축산과학원"/>
    <s v="0_본원"/>
    <x v="2"/>
    <s v="강희설"/>
    <m/>
    <s v="“사랑하는 소비자 여러분 삼복더위 ‘우리 맛닭’ 토종닭으로 이겨내실까요?”"/>
    <s v="월드스타"/>
    <d v="2019-07-12T00:00:00"/>
    <m/>
    <s v="13_인터넷포털"/>
    <n v="0.1"/>
    <d v="2019-07-15T00:00:00"/>
  </r>
  <r>
    <n v="3022"/>
    <s v="8_국립축산과학원"/>
    <s v="2_축산자원개발부"/>
    <x v="8"/>
    <s v="박미나"/>
    <m/>
    <s v="경북축산기술연 한우 보증씨수소에 선발...“경제적 가치 100억”"/>
    <s v="매일경제"/>
    <d v="2019-07-10T00:00:00"/>
    <m/>
    <s v="07_중앙일간지"/>
    <n v="5"/>
    <d v="2019-07-16T00:00:00"/>
  </r>
  <r>
    <n v="3023"/>
    <s v="8_국립축산과학원"/>
    <s v="2_축산자원개발부"/>
    <x v="8"/>
    <s v="박미나"/>
    <s v="보도자료62"/>
    <s v="한우 씨수소 16마리 새로 선발...내달부터 정액 보급"/>
    <s v="매일경제"/>
    <d v="2019-07-07T00:00:00"/>
    <m/>
    <s v="07_중앙일간지"/>
    <n v="5"/>
    <d v="2019-07-16T00:00:00"/>
  </r>
  <r>
    <n v="3024"/>
    <s v="8_국립축산과학원"/>
    <s v="0_본원"/>
    <x v="14"/>
    <s v="조상래"/>
    <s v="보도자료63"/>
    <s v="한·일, 소 번식기술 상용화 위한 국제심포지엄 열어"/>
    <s v="환경일보"/>
    <d v="2019-07-09T00:00:00"/>
    <m/>
    <s v="08_기타일간지"/>
    <n v="2"/>
    <d v="2019-07-16T00:00:00"/>
  </r>
  <r>
    <n v="3025"/>
    <s v="8_국립축산과학원"/>
    <s v="2_축산자원개발부"/>
    <x v="8"/>
    <s v="박미나"/>
    <s v="보도자료62"/>
    <s v="한우 ‘보증씨수소’ 16마리 새로 선발"/>
    <s v="한국농어민신문"/>
    <d v="2019-07-12T00:00:00"/>
    <m/>
    <s v="09_농업전문지"/>
    <n v="1.5"/>
    <d v="2019-07-16T00:00:00"/>
  </r>
  <r>
    <n v="3026"/>
    <s v="8_국립축산과학원"/>
    <s v="2_축산자원개발부"/>
    <x v="0"/>
    <s v="백선영"/>
    <s v="보도자료64"/>
    <s v="여름철 돼지 액상 정액, 위생적인 관리 필수"/>
    <s v="농축유통신문"/>
    <d v="2019-07-12T00:00:00"/>
    <m/>
    <s v="09_농업전문지"/>
    <n v="1.5"/>
    <d v="2019-07-16T00:00:00"/>
  </r>
  <r>
    <n v="3027"/>
    <s v="8_국립축산과학원"/>
    <s v="1_축산생명환경부"/>
    <x v="9"/>
    <s v="곽정훈"/>
    <m/>
    <s v="축산환경제도 현실에 맞게 도입해야"/>
    <s v="농축유통신문"/>
    <d v="2019-07-12T00:00:00"/>
    <m/>
    <s v="09_농업전문지"/>
    <n v="1.5"/>
    <d v="2019-07-16T00:00:00"/>
  </r>
  <r>
    <n v="3028"/>
    <s v="8_국립축산과학원"/>
    <s v="2_축산자원개발부"/>
    <x v="8"/>
    <s v="박미나"/>
    <s v="보도자료62"/>
    <s v="16마리 국가대표 씨수소 ‘출범’"/>
    <s v="농축유통신문"/>
    <d v="2019-07-12T00:00:00"/>
    <m/>
    <s v="09_농업전문지"/>
    <n v="1.5"/>
    <d v="2019-07-16T00:00:00"/>
  </r>
  <r>
    <n v="3029"/>
    <s v="8_국립축산과학원"/>
    <s v="2_축산자원개발부"/>
    <x v="0"/>
    <s v="백선영"/>
    <s v="보도자료64"/>
    <s v="여름철 돼지 액상 정액, 위생적 관리 ‘필수’"/>
    <s v="전업농신문"/>
    <d v="2019-07-12T00:00:00"/>
    <m/>
    <s v="09_농업전문지"/>
    <n v="1.5"/>
    <d v="2019-07-16T00:00:00"/>
  </r>
  <r>
    <n v="3030"/>
    <s v="8_국립축산과학원"/>
    <s v="2_축산자원개발부"/>
    <x v="0"/>
    <s v="백선영"/>
    <s v="보도자료64"/>
    <s v="여름철 돼지 액상 정액, 위생적 관리 중요"/>
    <s v="농업인신문"/>
    <d v="2019-07-15T00:00:00"/>
    <n v="5"/>
    <s v="09_농업전문지"/>
    <n v="1.5"/>
    <d v="2019-07-16T00:00:00"/>
  </r>
  <r>
    <n v="3031"/>
    <s v="8_국립축산과학원"/>
    <s v="2_축산자원개발부"/>
    <x v="8"/>
    <s v="박미나"/>
    <s v="보도자료62"/>
    <s v="국가대표 한우 씨수소 16마리 선발"/>
    <s v="농촌여성신문"/>
    <d v="2019-07-15T00:00:00"/>
    <n v="6"/>
    <s v="09_농업전문지"/>
    <n v="1.5"/>
    <d v="2019-07-16T00:00:00"/>
  </r>
  <r>
    <n v="3032"/>
    <s v="8_국립축산과학원"/>
    <s v="0_본원"/>
    <x v="14"/>
    <s v="조상래"/>
    <s v="보도자료63"/>
    <s v="소 성판별 정액 실용화 위한 한·일 국제심포지엄 개최"/>
    <s v="농수축산신문"/>
    <d v="2019-07-12T00:00:00"/>
    <m/>
    <s v="09_농업전문지"/>
    <n v="1.5"/>
    <d v="2019-07-16T00:00:00"/>
  </r>
  <r>
    <n v="3033"/>
    <s v="8_국립축산과학원"/>
    <s v="2_축산자원개발부"/>
    <x v="8"/>
    <s v="김시동"/>
    <m/>
    <s v="한우 암소 유전체 분석 사업, 어떻게 진행되나-유전체 분석은 어떻게"/>
    <s v="농수축산신문"/>
    <d v="2019-07-12T00:00:00"/>
    <m/>
    <s v="09_농업전문지"/>
    <n v="1.5"/>
    <d v="2019-07-16T00:00:00"/>
  </r>
  <r>
    <n v="3034"/>
    <s v="8_국립축산과학원"/>
    <s v="0_본원"/>
    <x v="13"/>
    <s v="손지용"/>
    <m/>
    <s v="담양군, ICT 기술 활용, 고품질 축산물 생산"/>
    <s v="팜&amp;마켓매거진"/>
    <d v="2019-07-15T00:00:00"/>
    <m/>
    <s v="09_농업전문지"/>
    <n v="1.5"/>
    <d v="2019-07-16T00:00:00"/>
  </r>
  <r>
    <n v="3035"/>
    <s v="8_국립축산과학원"/>
    <s v="2_축산자원개발부"/>
    <x v="0"/>
    <s v="백선영"/>
    <s v="보도자료64"/>
    <s v="여름철 돼지 인공수정 ‘위생관리’가 관건"/>
    <s v="전북도민일보"/>
    <d v="2019-07-15T00:00:00"/>
    <n v="6"/>
    <s v="09_지방일간지"/>
    <n v="1.5"/>
    <d v="2019-07-16T00:00:00"/>
  </r>
  <r>
    <n v="3036"/>
    <s v="8_국립축산과학원"/>
    <s v="2_축산자원개발부"/>
    <x v="0"/>
    <s v="백선영"/>
    <s v="보도자료64"/>
    <s v="여름철 돼지 인공수정용 액상 정액, 철저한 위생관리 강조"/>
    <s v="전라매일"/>
    <d v="2019-07-15T00:00:00"/>
    <n v="4"/>
    <s v="09_지방일간지"/>
    <n v="1.5"/>
    <d v="2019-07-16T00:00:00"/>
  </r>
  <r>
    <n v="3037"/>
    <s v="8_국립축산과학원"/>
    <s v="0_본원"/>
    <x v="13"/>
    <s v="손지용"/>
    <m/>
    <s v="담양 ICT 기술 활용 고품질 축산물 생산"/>
    <s v="전남매일"/>
    <d v="2019-07-15T00:00:00"/>
    <n v="11"/>
    <s v="09_지방일간지"/>
    <n v="1.5"/>
    <d v="2019-07-16T00:00:00"/>
  </r>
  <r>
    <n v="3038"/>
    <s v="8_국립축산과학원"/>
    <s v="0_본원"/>
    <x v="2"/>
    <s v="이근석"/>
    <m/>
    <s v="“처음 접한 한국문화, 신기하고 재미있어요”"/>
    <s v="전주매일"/>
    <d v="2019-07-15T00:00:00"/>
    <m/>
    <s v="09_지방일간지"/>
    <n v="1.5"/>
    <d v="2019-07-16T00:00:00"/>
  </r>
  <r>
    <n v="3039"/>
    <s v="8_국립축산과학원"/>
    <s v="2_축산자원개발부"/>
    <x v="0"/>
    <s v="백선영"/>
    <s v="보도자료64"/>
    <s v="여름철 돼지 액상 정액, 채취 컵 자외선 소독·멸균수로 희석"/>
    <s v="식약일보"/>
    <d v="2019-07-12T00:00:00"/>
    <m/>
    <s v="10_기타전문지"/>
    <n v="1"/>
    <d v="2019-07-16T00:00:00"/>
  </r>
  <r>
    <n v="3040"/>
    <s v="8_국립축산과학원"/>
    <s v="0_본원"/>
    <x v="3"/>
    <s v="최창용"/>
    <s v="보도자료61"/>
    <s v="여름철 방목 가축 보호하자"/>
    <s v="말산업저널"/>
    <d v="2019-07-12T00:00:00"/>
    <m/>
    <s v="10_기타전문지"/>
    <n v="1"/>
    <d v="2019-07-16T00:00:00"/>
  </r>
  <r>
    <n v="3041"/>
    <s v="8_국립축산과학원"/>
    <s v="2_축산자원개발부"/>
    <x v="8"/>
    <s v="박미나"/>
    <m/>
    <s v="경북 축산기술연구소 영주 이전 20주년…한우 보증씨수소 1두 추가선발"/>
    <s v="일요신문"/>
    <d v="2019-07-10T00:00:00"/>
    <m/>
    <s v="10_주간지"/>
    <n v="1"/>
    <d v="2019-07-16T00:00:00"/>
  </r>
  <r>
    <n v="3042"/>
    <s v="8_국립축산과학원"/>
    <s v="0_본원"/>
    <x v="14"/>
    <s v="조상래"/>
    <s v="보도자료63"/>
    <s v="소 번식 첨단기술 공유 ‘한·일 국제심포지엄’ 열어"/>
    <s v="정책브리핑"/>
    <d v="2019-07-10T00:00:00"/>
    <m/>
    <s v="12_대한민국 정책포털(korea.kr)"/>
    <n v="1"/>
    <d v="2019-07-16T00:00:00"/>
  </r>
  <r>
    <n v="3043"/>
    <s v="8_국립축산과학원"/>
    <s v="2_축산자원개발부"/>
    <x v="0"/>
    <s v="백선영"/>
    <s v="보도자료64"/>
    <s v="여름철 돼지 액상 정액 위생관리 중요... 정액 채취 컵 자외선 소독하고 멸균수로 희석해야"/>
    <s v="오가닉라이프"/>
    <d v="2019-07-12T00:00:00"/>
    <m/>
    <s v="13_인터넷포털"/>
    <n v="0.1"/>
    <d v="2019-07-16T00:00:00"/>
  </r>
  <r>
    <n v="3044"/>
    <s v="8_국립축산과학원"/>
    <s v="0_본원"/>
    <x v="13"/>
    <s v="손지용"/>
    <m/>
    <s v="담양군, ICT 기술 활용해 안전한 고품질 축산물 생산한다"/>
    <s v="보안뉴스"/>
    <d v="2019-07-12T00:00:00"/>
    <m/>
    <s v="13_인터넷포털"/>
    <n v="0.1"/>
    <d v="2019-07-16T00:00:00"/>
  </r>
  <r>
    <n v="3045"/>
    <s v="8_국립축산과학원"/>
    <s v="2_축산자원개발부"/>
    <x v="0"/>
    <s v="백선영"/>
    <s v="보도자료64"/>
    <s v="여름철 돼지 액상 정액, 위생적 관리 중요!"/>
    <s v="더코리아뉴스"/>
    <d v="2019-07-12T00:00:00"/>
    <m/>
    <s v="13_인터넷포털"/>
    <n v="0.1"/>
    <d v="2019-07-16T00:00:00"/>
  </r>
  <r>
    <n v="3046"/>
    <s v="8_국립축산과학원"/>
    <s v="2_축산자원개발부"/>
    <x v="0"/>
    <s v="백선영"/>
    <s v="보도자료64"/>
    <s v="여름철 돼지 액상 정액, 위생적인 관리가 중요해요"/>
    <s v="국토매일"/>
    <d v="2019-07-12T00:00:00"/>
    <m/>
    <s v="13_인터넷포털"/>
    <n v="0.1"/>
    <d v="2019-07-16T00:00:00"/>
  </r>
  <r>
    <n v="3047"/>
    <s v="8_국립축산과학원"/>
    <s v="2_축산자원개발부"/>
    <x v="0"/>
    <s v="백선영"/>
    <s v="보도자료64"/>
    <s v="여름철 돼지 액상 정액, 위생적인 관리가 중요해요"/>
    <s v="중부뉴스통신"/>
    <d v="2019-07-12T00:00:00"/>
    <m/>
    <s v="13_인터넷포털"/>
    <n v="0.1"/>
    <d v="2019-07-16T00:00:00"/>
  </r>
  <r>
    <n v="3048"/>
    <s v="8_국립축산과학원"/>
    <s v="2_축산자원개발부"/>
    <x v="0"/>
    <s v="백선영"/>
    <s v="보도자료64"/>
    <s v="여름철 돼지 액상 정액, 위생적인 관리가 중요해요"/>
    <s v="경기앤뉴스"/>
    <d v="2019-07-12T00:00:00"/>
    <m/>
    <s v="13_인터넷포털"/>
    <n v="0.1"/>
    <d v="2019-07-16T00:00:00"/>
  </r>
  <r>
    <n v="3049"/>
    <s v="8_국립축산과학원"/>
    <s v="2_축산자원개발부"/>
    <x v="0"/>
    <s v="백선영"/>
    <s v="보도자료64"/>
    <s v="여름철 돼지 액상 정액, 위생적인 관리가 중요해요"/>
    <s v="강원경제신문"/>
    <d v="2019-07-12T00:00:00"/>
    <m/>
    <s v="13_인터넷포털"/>
    <n v="0.1"/>
    <d v="2019-07-16T00:00:00"/>
  </r>
  <r>
    <n v="3050"/>
    <s v="8_국립축산과학원"/>
    <s v="0_본원"/>
    <x v="13"/>
    <s v="손지용"/>
    <m/>
    <s v="담양군, ICT 기술 활용해 안전한 고품질 축산물 생산"/>
    <s v="더한국타임즈"/>
    <d v="2019-07-12T00:00:00"/>
    <m/>
    <s v="13_인터넷포털"/>
    <n v="0.1"/>
    <d v="2019-07-16T00:00:00"/>
  </r>
  <r>
    <n v="3051"/>
    <s v="8_국립축산과학원"/>
    <s v="0_본원"/>
    <x v="2"/>
    <s v="이근석"/>
    <m/>
    <s v="“처음 접한 한국문화, 신기하고 재미있어요”"/>
    <s v="투데이안"/>
    <d v="2019-07-15T00:00:00"/>
    <m/>
    <s v="13_인터넷포털"/>
    <n v="0.1"/>
    <d v="2019-07-16T00:00:00"/>
  </r>
  <r>
    <n v="3052"/>
    <s v="8_국립축산과학원"/>
    <s v="0_본원"/>
    <x v="2"/>
    <s v="이근석"/>
    <m/>
    <s v="전북대, 아프리카 대학생들 초청연수...임실 필봉문화촌 등 8.9일까지"/>
    <s v="오늘뉴스"/>
    <d v="2019-07-15T00:00:00"/>
    <m/>
    <s v="13_인터넷포털"/>
    <n v="0.1"/>
    <d v="2019-07-16T00:00:00"/>
  </r>
  <r>
    <n v="3053"/>
    <s v="8_국립축산과학원"/>
    <s v="2_축산자원개발부"/>
    <x v="0"/>
    <s v="백선영"/>
    <s v="보도자료64"/>
    <s v="여름철 돼지 인공수정용 액상 정액 위생관리 철저"/>
    <s v="농업경제신문"/>
    <d v="2019-07-15T00:00:00"/>
    <m/>
    <s v="13_인터넷포털"/>
    <n v="0.1"/>
    <d v="2019-07-16T00:00:00"/>
  </r>
  <r>
    <n v="3054"/>
    <s v="8_국립축산과학원"/>
    <s v="0_본원"/>
    <x v="3"/>
    <s v="최창용"/>
    <s v="보도자료61"/>
    <s v="방목장에도 그늘이 필요해요"/>
    <s v="농업경제신문"/>
    <d v="2019-07-15T00:00:00"/>
    <m/>
    <s v="13_인터넷포털"/>
    <n v="0.1"/>
    <d v="2019-07-16T00:00:00"/>
  </r>
  <r>
    <n v="3055"/>
    <s v="8_국립축산과학원"/>
    <s v="2_축산자원개발부"/>
    <x v="8"/>
    <s v="박미나"/>
    <s v="보도자료62"/>
    <s v="한우 개량을 이끌 보증씨수소 16마리 선출"/>
    <s v="농업경제신문"/>
    <d v="2019-07-15T00:00:00"/>
    <m/>
    <s v="13_인터넷포털"/>
    <n v="0.1"/>
    <d v="2019-07-16T00:00:00"/>
  </r>
  <r>
    <n v="3056"/>
    <s v="8_국립축산과학원"/>
    <s v="2_축산자원개발부"/>
    <x v="8"/>
    <s v="박미나"/>
    <m/>
    <s v="경북 축산기술연구소, 한우 보증씨수소 1두(경북축기 12호)추가 선발"/>
    <s v="CBN뉴스"/>
    <d v="2019-07-10T00:00:00"/>
    <m/>
    <s v="13_인터넷포털"/>
    <n v="0.1"/>
    <d v="2019-07-16T00:00:00"/>
  </r>
  <r>
    <n v="3057"/>
    <s v="8_국립축산과학원"/>
    <s v="2_축산자원개발부"/>
    <x v="8"/>
    <s v="박미나"/>
    <m/>
    <s v="충북형 보증씨수소 충북한우 1호 선발 쾌거"/>
    <s v="청주일보"/>
    <d v="2019-07-10T00:00:00"/>
    <m/>
    <s v="13_인터넷포털"/>
    <n v="0.1"/>
    <d v="2019-07-16T00:00:00"/>
  </r>
  <r>
    <n v="3058"/>
    <s v="8_국립축산과학원"/>
    <s v="2_축산자원개발부"/>
    <x v="8"/>
    <s v="박미나"/>
    <m/>
    <s v="경북 축산기술연구소, 한우 보증씨수소 1두 ‘경북축기 12호’ 추가 선발돼"/>
    <s v="다경뉴스"/>
    <d v="2019-07-10T00:00:00"/>
    <m/>
    <s v="13_인터넷포털"/>
    <n v="0.1"/>
    <d v="2019-07-16T00:00:00"/>
  </r>
  <r>
    <n v="3059"/>
    <s v="8_국립축산과학원"/>
    <s v="2_축산자원개발부"/>
    <x v="8"/>
    <s v="박미나"/>
    <m/>
    <s v="경북 축산기술연구소, 한우 보증씨수소 1두(경북축기 12호) 추가 선발돼"/>
    <s v="전국안전신문"/>
    <d v="2019-07-10T00:00:00"/>
    <m/>
    <s v="13_인터넷포털"/>
    <n v="0.1"/>
    <d v="2019-07-16T00:00:00"/>
  </r>
  <r>
    <n v="3060"/>
    <s v="8_국립축산과학원"/>
    <s v="2_축산자원개발부"/>
    <x v="8"/>
    <s v="박미나"/>
    <s v="보도자료62"/>
    <s v="국가대표 한우 씨수소 16마리 뽑아"/>
    <s v="케이에스피뉴스"/>
    <d v="2019-07-08T00:00:00"/>
    <m/>
    <s v="13_인터넷포털"/>
    <n v="0.1"/>
    <d v="2019-07-16T00:00:00"/>
  </r>
  <r>
    <n v="3061"/>
    <s v="8_국립축산과학원"/>
    <s v="2_축산자원개발부"/>
    <x v="8"/>
    <s v="박미나"/>
    <s v="보도자료62"/>
    <s v="농진청, 국가대표 한우 씨수소 16마리 뽑아"/>
    <s v="KNS뉴스통신"/>
    <d v="2019-07-08T00:00:00"/>
    <m/>
    <s v="13_인터넷포털"/>
    <n v="0.1"/>
    <d v="2019-07-16T00:00:00"/>
  </r>
  <r>
    <n v="3062"/>
    <s v="8_국립축산과학원"/>
    <s v="0_본원"/>
    <x v="14"/>
    <s v="조상래"/>
    <s v="보도자료63"/>
    <s v="소 번식 첨단기술 공유 ‘한·일 국제심포지엄’ 열어"/>
    <s v="업코리아"/>
    <d v="2019-07-10T00:00:00"/>
    <m/>
    <s v="13_인터넷포털"/>
    <n v="0.1"/>
    <d v="2019-07-16T00:00:00"/>
  </r>
  <r>
    <n v="3063"/>
    <s v="8_국립축산과학원"/>
    <s v="0_본원"/>
    <x v="14"/>
    <s v="조상래"/>
    <s v="보도자료63"/>
    <s v="소 번식 첨단기술 공유 ‘한·일 국제심포지엄’ 열어"/>
    <s v="공무원뉴스"/>
    <d v="2019-07-10T00:00:00"/>
    <m/>
    <s v="13_인터넷포털"/>
    <n v="0.1"/>
    <d v="2019-07-16T00:00:00"/>
  </r>
  <r>
    <n v="3064"/>
    <s v="8_국립축산과학원"/>
    <s v="0_본원"/>
    <x v="4"/>
    <s v="천동원"/>
    <s v="기고"/>
    <s v="[기고] 천동원 소장-축산현장 애로기술 해결 위한 닭 키우기[100문 100답] Q71"/>
    <s v="축산신문"/>
    <d v="2019-07-16T00:00:00"/>
    <n v="15"/>
    <s v="17_농업전문지"/>
    <n v="8"/>
    <d v="2019-07-17T00:00:00"/>
  </r>
  <r>
    <n v="3065"/>
    <s v="8_국립축산과학원"/>
    <s v="0_본원"/>
    <x v="2"/>
    <s v="양창범"/>
    <m/>
    <s v="‘국민과 함께하는 축산기술 혁신' 국립축산과학원"/>
    <s v="KTV"/>
    <d v="2019-07-16T00:00:00"/>
    <m/>
    <s v="02_TV-케이블중앙"/>
    <n v="4"/>
    <d v="2019-07-17T00:00:00"/>
  </r>
  <r>
    <n v="3066"/>
    <s v="8_국립축산과학원"/>
    <s v="2_축산자원개발부"/>
    <x v="8"/>
    <s v="최연호"/>
    <s v="보도자료65"/>
    <s v="농촌진흥청, 우유 생산·체형 뛰어난 젖소 보증씨수소 4마리 선발"/>
    <s v="매일일보"/>
    <d v="2019-07-16T00:00:00"/>
    <m/>
    <s v="08_기타일간지"/>
    <n v="2"/>
    <d v="2019-07-17T00:00:00"/>
  </r>
  <r>
    <n v="3067"/>
    <s v="8_국립축산과학원"/>
    <s v="2_축산자원개발부"/>
    <x v="8"/>
    <s v="박미나"/>
    <m/>
    <s v="경북축산기술연구소, 한우 보증씨수소 1두(경북축기 12호) 추가 선발돼"/>
    <s v="농수축산신문"/>
    <d v="2019-07-16T00:00:00"/>
    <m/>
    <s v="09_농업전문지"/>
    <n v="1.5"/>
    <d v="2019-07-17T00:00:00"/>
  </r>
  <r>
    <n v="3068"/>
    <s v="8_국립축산과학원"/>
    <s v="0_본원"/>
    <x v="14"/>
    <s v="조상래"/>
    <s v="보도자료63"/>
    <s v="축산원, 한우 성판별 기술 실용화 논의"/>
    <s v="축산신문"/>
    <d v="2019-07-16T00:00:00"/>
    <n v="2"/>
    <s v="09_농업전문지"/>
    <n v="1.5"/>
    <d v="2019-07-17T00:00:00"/>
  </r>
  <r>
    <n v="3069"/>
    <s v="8_국립축산과학원"/>
    <s v="2_축산자원개발부"/>
    <x v="8"/>
    <s v="박미나"/>
    <m/>
    <s v="고능력 유전자원 생산 중추역할 매진(젖소개량 선도농가 탐방/경기 연천 ‘늘목목장’)"/>
    <s v="축산신문"/>
    <d v="2019-07-16T00:00:00"/>
    <n v="9"/>
    <s v="09_농업전문지"/>
    <n v="1.5"/>
    <d v="2019-07-17T00:00:00"/>
  </r>
  <r>
    <n v="3070"/>
    <s v="8_국립축산과학원"/>
    <s v="0_본원"/>
    <x v="13"/>
    <s v="오형규"/>
    <m/>
    <s v="청주시 ‘첨단ICT기술로 한우 사육’"/>
    <s v="중부매일"/>
    <d v="2019-07-16T00:00:00"/>
    <m/>
    <s v="09_지방일간지"/>
    <n v="1.5"/>
    <d v="2019-07-17T00:00:00"/>
  </r>
  <r>
    <n v="3071"/>
    <s v="8_국립축산과학원"/>
    <s v="0_본원"/>
    <x v="3"/>
    <s v="최창용"/>
    <s v="보도자료61"/>
    <s v="우리도 피서가고 싶어유~!(포토뉴스)"/>
    <s v="농축산기계"/>
    <d v="2019-07-10T00:00:00"/>
    <n v="12"/>
    <s v="10_기타전문지"/>
    <n v="1"/>
    <d v="2019-07-17T00:00:00"/>
  </r>
  <r>
    <n v="3072"/>
    <s v="8_국립축산과학원"/>
    <s v="0_본원"/>
    <x v="4"/>
    <s v="천동원"/>
    <m/>
    <s v="(가금종자개발실) “우리맛닭·우리맛오리 개발로 산업주권”"/>
    <s v="농축산기계"/>
    <d v="2019-07-10T00:00:00"/>
    <n v="9"/>
    <s v="10_기타전문지"/>
    <n v="1"/>
    <d v="2019-07-17T00:00:00"/>
  </r>
  <r>
    <n v="3073"/>
    <s v="8_국립축산과학원"/>
    <s v="2_축산자원개발부"/>
    <x v="8"/>
    <s v="최연호"/>
    <s v="보도자료65"/>
    <s v="우유 생산·체형 뛰어난 젖소 보증씨수소 4마리 선발"/>
    <s v="식약일보"/>
    <d v="2019-07-16T00:00:00"/>
    <m/>
    <s v="10_기타전문지"/>
    <n v="1"/>
    <d v="2019-07-17T00:00:00"/>
  </r>
  <r>
    <n v="3074"/>
    <s v="8_국립축산과학원"/>
    <s v="2_축산자원개발부"/>
    <x v="0"/>
    <s v="백선영"/>
    <s v="보도자료64"/>
    <s v="여름철 번식성적 관리... “정액, 세균오염 조심하세요”"/>
    <s v="돼지와사람"/>
    <d v="2019-07-14T00:00:00"/>
    <m/>
    <s v="13_인터넷포털"/>
    <n v="0.1"/>
    <d v="2019-07-17T00:00:00"/>
  </r>
  <r>
    <n v="3075"/>
    <s v="8_국립축산과학원"/>
    <s v="0_본원"/>
    <x v="13"/>
    <s v="오형규"/>
    <m/>
    <s v="청주시농기센터, ‘첨단 ICT기술로 한우 사육한다’"/>
    <s v="충북넷"/>
    <d v="2019-07-16T00:00:00"/>
    <m/>
    <s v="13_인터넷포털"/>
    <n v="0.1"/>
    <d v="2019-07-17T00:00:00"/>
  </r>
  <r>
    <n v="3076"/>
    <s v="8_국립축산과학원"/>
    <s v="0_본원"/>
    <x v="13"/>
    <s v="오형규"/>
    <m/>
    <s v="청주시, 무인로봇 활용 섬유질 자가배합사료 급여시스템 시연회 개최"/>
    <s v="한국공보뉴스"/>
    <d v="2019-07-16T00:00:00"/>
    <m/>
    <s v="13_인터넷포털"/>
    <n v="0.1"/>
    <d v="2019-07-17T00:00:00"/>
  </r>
  <r>
    <n v="3077"/>
    <s v="8_국립축산과학원"/>
    <s v="0_본원"/>
    <x v="2"/>
    <s v="양창범"/>
    <m/>
    <s v="지속가능한 양돈산업을 위해 힘써 주길"/>
    <s v="현대양돈"/>
    <d v="2019-07-01T00:00:00"/>
    <n v="42"/>
    <s v="18_월간지"/>
    <n v="1"/>
    <d v="2019-07-17T00:00:00"/>
  </r>
  <r>
    <n v="3078"/>
    <s v="8_국립축산과학원"/>
    <s v="0_본원"/>
    <x v="2"/>
    <s v="양창범"/>
    <m/>
    <s v="한돈산업의 미래를 향해 흔들림 없이 나아가길!"/>
    <s v="월간한돈"/>
    <d v="2019-07-01T00:00:00"/>
    <n v="321"/>
    <s v="18_월간지"/>
    <n v="1"/>
    <d v="2019-07-17T00:00:00"/>
  </r>
  <r>
    <n v="3079"/>
    <s v="8_국립축산과학원"/>
    <s v="1_축산생명환경부"/>
    <x v="7"/>
    <s v="이성대"/>
    <s v="보도자료52"/>
    <s v="&quot;온습도지수 미리 확인해 가축 건강 관리하죠&quot;"/>
    <s v="월간축산"/>
    <d v="2019-07-01T00:00:00"/>
    <s v="80-83"/>
    <s v="09_농업전문지"/>
    <n v="1.5"/>
    <d v="2019-07-17T00:00:00"/>
  </r>
  <r>
    <n v="3080"/>
    <s v="8_국립축산과학원"/>
    <s v="0_본원"/>
    <x v="14"/>
    <s v="장선식"/>
    <s v="보도자료55"/>
    <s v="선도농가, 평균 6~7개월령 거세하고 TMR 먹여"/>
    <s v="월간축산"/>
    <d v="2019-07-01T00:00:00"/>
    <s v="96-97"/>
    <s v="09_농업전문지"/>
    <n v="1.5"/>
    <d v="2019-07-17T00:00:00"/>
  </r>
  <r>
    <n v="3081"/>
    <s v="8_국립축산과학원"/>
    <s v="2_축산자원개발부"/>
    <x v="0"/>
    <s v="김영화"/>
    <m/>
    <s v="230~239일에 실시하면 연간 2400만 원 소득 증대"/>
    <s v="월간축산"/>
    <d v="2019-07-01T00:00:00"/>
    <s v="98-99"/>
    <s v="09_농업전문지"/>
    <n v="1.5"/>
    <d v="2019-07-17T00:00:00"/>
  </r>
  <r>
    <n v="3082"/>
    <s v="8_국립축산과학원"/>
    <s v="0_본원"/>
    <x v="13"/>
    <m/>
    <m/>
    <s v="&quot;하이라인' 생산성 최고, '이사브라운' 등외란 최저"/>
    <s v="월간축산"/>
    <d v="2019-07-01T00:00:00"/>
    <s v="100-101"/>
    <s v="09_농업전문지"/>
    <n v="1.5"/>
    <d v="2019-07-17T00:00:00"/>
  </r>
  <r>
    <n v="3083"/>
    <s v="8_국립축산과학원"/>
    <s v="2_축산자원개발부"/>
    <x v="6"/>
    <s v="최기춘"/>
    <m/>
    <s v="곰팡이 억제제 접종하고 찢어진 부위 바로 밀봉해야"/>
    <s v="월간축산"/>
    <d v="2019-07-01T00:00:00"/>
    <s v="102-103"/>
    <s v="09_농업전문지"/>
    <n v="1.5"/>
    <d v="2019-07-17T00:00:00"/>
  </r>
  <r>
    <n v="3084"/>
    <s v="8_국립축산과학원"/>
    <s v="1_축산생명환경부"/>
    <x v="9"/>
    <s v="정광화"/>
    <s v="보도자료56"/>
    <s v="퇴비사 빗물 막고 액비저장조 40℃이하 유지해야"/>
    <s v="월간축산"/>
    <d v="2019-07-01T00:00:00"/>
    <n v="104"/>
    <s v="09_농업전문지"/>
    <n v="1.5"/>
    <d v="2019-07-17T00:00:00"/>
  </r>
  <r>
    <n v="3085"/>
    <s v="8_국립축산과학원"/>
    <s v="0_본원"/>
    <x v="2"/>
    <s v="이준엽"/>
    <s v="보도자료51"/>
    <s v="국립축산과학원, '최우수 책임운영기관' 선정"/>
    <s v="월간축산"/>
    <d v="2019-07-01T00:00:00"/>
    <n v="131"/>
    <s v="09_농업전문지"/>
    <n v="1.5"/>
    <d v="2019-07-17T00:00:00"/>
  </r>
  <r>
    <n v="3086"/>
    <s v="8_국립축산과학원"/>
    <s v="0_본원"/>
    <x v="14"/>
    <s v="원정일"/>
    <s v="보도자료49"/>
    <s v="축산과학원, 올해 첫 한우 방목"/>
    <s v="월간축산"/>
    <d v="2019-07-01T00:00:00"/>
    <n v="132"/>
    <s v="09_농업전문지"/>
    <n v="1.5"/>
    <d v="2019-07-17T00:00:00"/>
  </r>
  <r>
    <n v="3087"/>
    <s v="8_국립축산과학원"/>
    <s v="0_본원"/>
    <x v="14"/>
    <s v="장선식"/>
    <s v="보도자료55"/>
    <s v="농진청, 거세우 사육 선도농가 분석 결과 발표"/>
    <s v="월간한우"/>
    <d v="2019-07-01T00:00:00"/>
    <n v="115"/>
    <s v="09_농업전문지"/>
    <n v="1.5"/>
    <d v="2019-07-17T00:00:00"/>
  </r>
  <r>
    <n v="3088"/>
    <s v="8_국립축산과학원"/>
    <s v="1_축산생명환경부"/>
    <x v="9"/>
    <s v="정광화"/>
    <s v="보도자료56"/>
    <s v="여름철 가축 분뇨 처리 시설 관리 요령"/>
    <s v="월간한우"/>
    <d v="2019-07-01T00:00:00"/>
    <n v="146"/>
    <s v="09_농업전문지"/>
    <n v="1.5"/>
    <d v="2019-07-17T00:00:00"/>
  </r>
  <r>
    <n v="3089"/>
    <s v="8_국립축산과학원"/>
    <s v="1_축산생명환경부"/>
    <x v="7"/>
    <s v="이성대"/>
    <s v="보도자료52"/>
    <s v="가축 사육 기상정보시스템'으로 폭염 피해 예방하자"/>
    <s v="월간한우"/>
    <d v="2019-07-01T00:00:00"/>
    <n v="147"/>
    <s v="09_농업전문지"/>
    <n v="1.5"/>
    <d v="2019-07-17T00:00:00"/>
  </r>
  <r>
    <n v="3090"/>
    <s v="8_국립축산과학원"/>
    <s v="1_축산생명환경부"/>
    <x v="7"/>
    <s v="이슬"/>
    <s v="보도자료57"/>
    <s v="축산 부문 기후변화 완화 국제심포지엄'"/>
    <s v="월간한우"/>
    <d v="2019-07-01T00:00:00"/>
    <n v="222"/>
    <s v="09_농업전문지"/>
    <n v="1.5"/>
    <d v="2019-07-17T00:00:00"/>
  </r>
  <r>
    <n v="3091"/>
    <s v="8_국립축산과학원"/>
    <s v="0_본원"/>
    <x v="13"/>
    <s v="김창한"/>
    <s v="보도자료53"/>
    <s v="더울수록 사료급여, 환경관리 신경 써야"/>
    <s v="월간한우"/>
    <d v="2019-07-01T00:00:00"/>
    <n v="225"/>
    <s v="09_농업전문지"/>
    <n v="1.5"/>
    <d v="2019-07-17T00:00:00"/>
  </r>
  <r>
    <n v="3092"/>
    <s v="8_국립축산과학원"/>
    <s v="2_축산자원개발부"/>
    <x v="12"/>
    <s v="허태영,김태일"/>
    <m/>
    <s v="7월 사양관리"/>
    <s v="월간 낙농·육우"/>
    <d v="2019-07-01T00:00:00"/>
    <s v="141-144"/>
    <s v="10_월간지"/>
    <n v="1"/>
    <d v="2019-07-17T00:00:00"/>
  </r>
  <r>
    <n v="3093"/>
    <s v="8_국립축산과학원"/>
    <s v="2_축산자원개발부"/>
    <x v="12"/>
    <m/>
    <m/>
    <s v="축산 국책연구기관으로 낙농 실용화기술 보급에 주력"/>
    <s v="월간 낙농·육우"/>
    <d v="2019-07-01T00:00:00"/>
    <s v="150-154"/>
    <s v="10_월간지"/>
    <n v="1"/>
    <d v="2019-07-17T00:00:00"/>
  </r>
  <r>
    <n v="3094"/>
    <s v="8_국립축산과학원"/>
    <s v="0_본원"/>
    <x v="13"/>
    <s v="김창한"/>
    <s v="보도자료53"/>
    <s v="&quot;더우면 더울수록 환경 관리에 신경 써주세요&quot;"/>
    <s v="월간낙농"/>
    <d v="2019-07-01T00:00:00"/>
    <n v="78"/>
    <s v="10_월간지"/>
    <n v="1"/>
    <d v="2019-07-17T00:00:00"/>
  </r>
  <r>
    <n v="3095"/>
    <s v="8_국립축산과학원"/>
    <s v="2_축산자원개발부"/>
    <x v="12"/>
    <s v="기광석"/>
    <m/>
    <s v="&quot;경쟁력 확보 위한 농가 차원 생산비 절감 필수&quot;"/>
    <s v="월간낙농"/>
    <d v="2019-07-01T00:00:00"/>
    <n v="82"/>
    <s v="10_월간지"/>
    <n v="1"/>
    <d v="2019-07-17T00:00:00"/>
  </r>
  <r>
    <n v="3096"/>
    <s v="8_국립축산과학원"/>
    <s v="1_축산생명환경부"/>
    <x v="7"/>
    <s v="이성대"/>
    <s v="보도자료52"/>
    <s v="&quot;폭염 등 가축 기상정보, 확인하세요&quot;"/>
    <s v="월간한돈"/>
    <d v="2019-07-01T00:00:00"/>
    <n v="462"/>
    <s v="10_월간지"/>
    <n v="1"/>
    <d v="2019-07-17T00:00:00"/>
  </r>
  <r>
    <n v="3097"/>
    <s v="8_국립축산과학원"/>
    <s v="2_축산자원개발부"/>
    <x v="8"/>
    <s v="최연호"/>
    <s v="보도자료65"/>
    <s v="우유 생산·체형 뛰어난 젖소 보증씨수소 4마리 선발"/>
    <s v="서울신문"/>
    <d v="2019-07-17T00:00:00"/>
    <m/>
    <s v="07_중앙일간지"/>
    <n v="5"/>
    <d v="2019-07-18T00:00:00"/>
  </r>
  <r>
    <n v="3098"/>
    <s v="8_국립축산과학원"/>
    <s v="1_축산생명환경부"/>
    <x v="16"/>
    <s v="채한화"/>
    <m/>
    <s v="“유전기준 없었던 오골계, 세계 최초로 특성 밝혀냈죠”"/>
    <s v="파이낸셜뉴스"/>
    <d v="2019-07-18T00:00:00"/>
    <n v="30"/>
    <s v="07_중앙일간지"/>
    <n v="5"/>
    <d v="2019-07-18T00:00:00"/>
  </r>
  <r>
    <n v="3099"/>
    <s v="8_국립축산과학원"/>
    <s v="0_본원"/>
    <x v="3"/>
    <s v="노재희"/>
    <s v="보도자료66"/>
    <s v="농촌진흥청, 여름철 가축 급수시설 철저한 위생관리 당부"/>
    <s v="매일일보"/>
    <d v="2019-07-17T00:00:00"/>
    <m/>
    <s v="08_기타일간지"/>
    <n v="2"/>
    <d v="2019-07-18T00:00:00"/>
  </r>
  <r>
    <n v="3100"/>
    <s v="8_국립축산과학원"/>
    <s v="1_축산생명환경부"/>
    <x v="5"/>
    <s v="함준상"/>
    <s v="보도자료60"/>
    <s v="‘토종 유산균’ 아토피 완화 효과"/>
    <s v="보건신문"/>
    <d v="2019-07-15T00:00:00"/>
    <n v="26"/>
    <s v="09_농업전문지"/>
    <n v="1.5"/>
    <d v="2019-07-18T00:00:00"/>
  </r>
  <r>
    <n v="3101"/>
    <s v="8_국립축산과학원"/>
    <s v="2_축산자원개발부"/>
    <x v="8"/>
    <s v="박미나"/>
    <s v="보도자료62"/>
    <s v="농진청, 국가대표 한우 씨수소 16마리 선정"/>
    <s v="농축환경신문"/>
    <d v="2019-07-11T00:00:00"/>
    <n v="1"/>
    <s v="09_농업전문지"/>
    <n v="1.5"/>
    <d v="2019-07-18T00:00:00"/>
  </r>
  <r>
    <n v="3102"/>
    <s v="8_국립축산과학원"/>
    <s v="2_축산자원개발부"/>
    <x v="8"/>
    <s v="박미나"/>
    <s v="보도자료62"/>
    <s v="고급육 생산·암소 개량에 기여할 한우 보증씨수소 선발"/>
    <s v="축산경제"/>
    <d v="2019-07-15T00:00:00"/>
    <n v="6"/>
    <s v="09_농업전문지"/>
    <n v="1.5"/>
    <d v="2019-07-18T00:00:00"/>
  </r>
  <r>
    <n v="3103"/>
    <s v="8_국립축산과학원"/>
    <s v="0_본원"/>
    <x v="3"/>
    <s v="최창용"/>
    <s v="보도자료61"/>
    <s v="“방목장에도 그늘이 필요해요^^”"/>
    <s v="농축환경신문"/>
    <d v="2019-07-11T00:00:00"/>
    <n v="8"/>
    <s v="09_농업전문지"/>
    <n v="1.5"/>
    <d v="2019-07-18T00:00:00"/>
  </r>
  <r>
    <n v="3104"/>
    <s v="8_국립축산과학원"/>
    <s v="1_축산생명환경부"/>
    <x v="5"/>
    <s v="함준상"/>
    <s v="보도자료60"/>
    <s v="축과원 개발 ‘토종 유산균’ 넣은 축산 식품...피부염 완화에 효과"/>
    <s v="농수축산신문"/>
    <d v="2019-07-17T00:00:00"/>
    <m/>
    <s v="09_농업전문지"/>
    <n v="1.5"/>
    <d v="2019-07-18T00:00:00"/>
  </r>
  <r>
    <n v="3105"/>
    <s v="8_국립축산과학원"/>
    <s v="0_본원"/>
    <x v="3"/>
    <s v="노재희"/>
    <s v="보도자료66"/>
    <s v="여름철 가축 관리, 깨끗한 물 공급부터"/>
    <s v="전업농신문"/>
    <d v="2019-07-18T00:00:00"/>
    <m/>
    <s v="09_농업전문지"/>
    <n v="1.5"/>
    <d v="2019-07-18T00:00:00"/>
  </r>
  <r>
    <n v="3106"/>
    <s v="8_국립축산과학원"/>
    <s v="2_축산자원개발부"/>
    <x v="8"/>
    <s v="최연호"/>
    <s v="보도자료65"/>
    <s v="농진청 젖소 보증씨수소 고스트등 4마리 선발"/>
    <s v="전북중앙"/>
    <d v="2019-07-17T00:00:00"/>
    <n v="6"/>
    <s v="09_지방일간지"/>
    <n v="1.5"/>
    <d v="2019-07-18T00:00:00"/>
  </r>
  <r>
    <n v="3107"/>
    <s v="8_국립축산과학원"/>
    <s v="1_축산생명환경부"/>
    <x v="9"/>
    <s v="곽정훈"/>
    <m/>
    <s v="경북농협, 청정축산 환경대상 상반기 우수농가 시상"/>
    <s v="경안일보"/>
    <d v="2019-07-17T00:00:00"/>
    <m/>
    <s v="09_지방일간지"/>
    <n v="1.5"/>
    <d v="2019-07-18T00:00:00"/>
  </r>
  <r>
    <n v="3108"/>
    <s v="8_국립축산과학원"/>
    <s v="0_본원"/>
    <x v="13"/>
    <s v="오형규"/>
    <m/>
    <s v="노동력 절감, 소득 향상 쑥! ‘첨단 ICT기술로 한우 사육한다.’"/>
    <s v="전남인터넷신문"/>
    <d v="2019-07-17T00:00:00"/>
    <m/>
    <s v="13_인터넷포털"/>
    <n v="0.1"/>
    <d v="2019-07-18T00:00:00"/>
  </r>
  <r>
    <n v="3109"/>
    <s v="8_국립축산과학원"/>
    <s v="2_축산자원개발부"/>
    <x v="8"/>
    <s v="최연호"/>
    <s v="보도자료65"/>
    <s v="우유생산·체형 상위 젖소 보증씨수소 4마리 선발"/>
    <s v="라이브팜뉴스"/>
    <d v="2019-07-17T00:00:00"/>
    <m/>
    <s v="13_인터넷포털"/>
    <n v="0.1"/>
    <d v="2019-07-18T00:00:00"/>
  </r>
  <r>
    <n v="3110"/>
    <s v="8_국립축산과학원"/>
    <s v="2_축산자원개발부"/>
    <x v="8"/>
    <s v="최연호"/>
    <s v="보도자료65"/>
    <s v="농촌진흥청, 우유 생산·체형 뛰어난 ‘젖소 보증씨수소’ 4마리 선발"/>
    <s v="로컬투데이"/>
    <d v="2019-07-17T00:00:00"/>
    <m/>
    <s v="13_인터넷포털"/>
    <n v="0.1"/>
    <d v="2019-07-18T00:00:00"/>
  </r>
  <r>
    <n v="3111"/>
    <s v="8_국립축산과학원"/>
    <s v="2_축산자원개발부"/>
    <x v="8"/>
    <s v="최연호"/>
    <s v="보도자료65"/>
    <s v="우유 생산·체형 뛰어난 젖소 보증씨수소 4마리 선발"/>
    <s v="국토매일"/>
    <d v="2019-07-17T00:00:00"/>
    <m/>
    <s v="13_인터넷포털"/>
    <n v="0.1"/>
    <d v="2019-07-18T00:00:00"/>
  </r>
  <r>
    <n v="3112"/>
    <s v="8_국립축산과학원"/>
    <s v="2_축산자원개발부"/>
    <x v="8"/>
    <s v="최연호"/>
    <s v="보도자료65"/>
    <s v="우유 생산·체형 뛰어난 젖소 보증씨수소 4마리 선발"/>
    <s v="경기앤뉴스"/>
    <d v="2019-07-17T00:00:00"/>
    <m/>
    <s v="13_인터넷포털"/>
    <n v="0.1"/>
    <d v="2019-07-18T00:00:00"/>
  </r>
  <r>
    <n v="3113"/>
    <s v="8_국립축산과학원"/>
    <s v="2_축산자원개발부"/>
    <x v="8"/>
    <s v="최연호"/>
    <s v="보도자료65"/>
    <s v="우유 생산·체형 뛰어난 젖소 보증씨수소 4마리 선발"/>
    <s v="중부뉴스통신"/>
    <d v="2019-07-17T00:00:00"/>
    <m/>
    <s v="13_인터넷포털"/>
    <n v="0.1"/>
    <d v="2019-07-18T00:00:00"/>
  </r>
  <r>
    <n v="3114"/>
    <s v="8_국립축산과학원"/>
    <s v="2_축산자원개발부"/>
    <x v="8"/>
    <s v="최연호"/>
    <s v="보도자료65"/>
    <s v="우유 생산·체형 뛰어난 젖소 보증씨수소 4마리 선발"/>
    <s v="강원경제신문"/>
    <d v="2019-07-17T00:00:00"/>
    <m/>
    <s v="13_인터넷포털"/>
    <n v="0.1"/>
    <d v="2019-07-18T00:00:00"/>
  </r>
  <r>
    <n v="3115"/>
    <s v="8_국립축산과학원"/>
    <s v="1_축산생명환경부"/>
    <x v="9"/>
    <s v="곽정훈"/>
    <m/>
    <s v="경북농협, 제2회 청정축산 환경대상 상반기 시상식 개최"/>
    <s v="국제i저널"/>
    <d v="2019-07-18T00:00:00"/>
    <m/>
    <s v="13_인터넷포털"/>
    <n v="0.1"/>
    <d v="2019-07-18T00:00:00"/>
  </r>
  <r>
    <n v="3116"/>
    <s v="8_국립축산과학원"/>
    <s v="0_본원"/>
    <x v="14"/>
    <s v="조상래"/>
    <s v="보도자료67"/>
    <s v="신비로운 생명과학 배우는 ‘생생 체험’"/>
    <s v="오가닉라이프"/>
    <d v="2019-07-18T00:00:00"/>
    <m/>
    <s v="13_인터넷포털"/>
    <n v="0.1"/>
    <d v="2019-07-18T00:00:00"/>
  </r>
  <r>
    <n v="3117"/>
    <s v="8_국립축산과학원"/>
    <s v="0_본원"/>
    <x v="3"/>
    <s v="노재희"/>
    <s v="보도자료66"/>
    <s v="가축의 건강한 여름나기, 깨끗한 물관리부터!"/>
    <s v="서울신문"/>
    <d v="2019-07-18T00:00:00"/>
    <m/>
    <s v="07_중앙일간지"/>
    <n v="5"/>
    <d v="2019-07-19T00:00:00"/>
  </r>
  <r>
    <n v="3118"/>
    <s v="8_국립축산과학원"/>
    <s v="0_본원"/>
    <x v="14"/>
    <s v="조상래"/>
    <s v="보도자료67"/>
    <s v="농촌진흥청, 대관령 지역 초등학생 초청해 첨단 과학 체험 기회 제공"/>
    <s v="매일일보"/>
    <d v="2019-07-18T00:00:00"/>
    <m/>
    <s v="08_기타일간지"/>
    <n v="2"/>
    <d v="2019-07-19T00:00:00"/>
  </r>
  <r>
    <n v="3119"/>
    <s v="8_국립축산과학원"/>
    <s v="0_본원"/>
    <x v="14"/>
    <s v="조상래"/>
    <s v="보도자료67"/>
    <s v="신비로운 생명과학 배우는 ‘생생 체험’"/>
    <s v="환경일보"/>
    <d v="2019-07-18T00:00:00"/>
    <m/>
    <s v="08_기타일간지"/>
    <n v="2"/>
    <d v="2019-07-19T00:00:00"/>
  </r>
  <r>
    <n v="3120"/>
    <s v="8_국립축산과학원"/>
    <s v="2_축산자원개발부"/>
    <x v="8"/>
    <s v="최연호"/>
    <s v="보도자료65"/>
    <s v="젖소 보증씨수소 4마리 선발"/>
    <s v="농촌여성신문"/>
    <d v="2019-07-18T00:00:00"/>
    <m/>
    <s v="09_농업전문지"/>
    <n v="1.5"/>
    <d v="2019-07-19T00:00:00"/>
  </r>
  <r>
    <n v="3121"/>
    <s v="8_국립축산과학원"/>
    <s v="0_본원"/>
    <x v="13"/>
    <s v="김창한"/>
    <m/>
    <s v="혹서기 육계 냉·음용수 급수 효과 탁월"/>
    <s v="호남제일신문"/>
    <d v="2019-07-18T00:00:00"/>
    <n v="9"/>
    <s v="09_지방일간지"/>
    <n v="1.5"/>
    <d v="2019-07-19T00:00:00"/>
  </r>
  <r>
    <n v="3122"/>
    <s v="8_국립축산과학원"/>
    <s v="0_본원"/>
    <x v="13"/>
    <s v="김창한"/>
    <m/>
    <s v="“폭염엔 닭도 시원한 물 마셔요”"/>
    <s v="새전북신문"/>
    <d v="2019-07-18T00:00:00"/>
    <n v="9"/>
    <s v="09_지방일간지"/>
    <n v="1.5"/>
    <d v="2019-07-19T00:00:00"/>
  </r>
  <r>
    <n v="3123"/>
    <s v="8_국립축산과학원"/>
    <s v="0_본원"/>
    <x v="13"/>
    <s v="김창한"/>
    <m/>
    <s v="진안, 육계 냉·음용수 급수 효과 탁월"/>
    <s v="전주매일"/>
    <d v="2019-07-18T00:00:00"/>
    <n v="9"/>
    <s v="09_지방일간지"/>
    <n v="1.5"/>
    <d v="2019-07-19T00:00:00"/>
  </r>
  <r>
    <n v="3124"/>
    <s v="8_국립축산과학원"/>
    <s v="0_본원"/>
    <x v="13"/>
    <s v="김창한"/>
    <m/>
    <s v="육계사 냉·음용수 급수시스템 시범 운영"/>
    <s v="전주일보"/>
    <d v="2019-07-18T00:00:00"/>
    <n v="10"/>
    <s v="09_지방일간지"/>
    <n v="1.5"/>
    <d v="2019-07-19T00:00:00"/>
  </r>
  <r>
    <n v="3125"/>
    <s v="8_국립축산과학원"/>
    <s v="0_본원"/>
    <x v="13"/>
    <s v="김창한"/>
    <m/>
    <s v="혹서기 육계 냉·음용수 급수시스템 효과 탁월"/>
    <s v="삼남일보"/>
    <d v="2019-07-18T00:00:00"/>
    <n v="7"/>
    <s v="09_지방일간지"/>
    <n v="1.5"/>
    <d v="2019-07-19T00:00:00"/>
  </r>
  <r>
    <n v="3126"/>
    <s v="8_국립축산과학원"/>
    <s v="0_본원"/>
    <x v="13"/>
    <s v="김창한"/>
    <m/>
    <s v="진안군, 육계사 냉·음용수 급수 효과 톡톡"/>
    <s v="전민일보"/>
    <d v="2019-07-18T00:00:00"/>
    <n v="11"/>
    <s v="09_지방일간지"/>
    <n v="1.5"/>
    <d v="2019-07-19T00:00:00"/>
  </r>
  <r>
    <n v="3127"/>
    <s v="8_국립축산과학원"/>
    <s v="0_본원"/>
    <x v="13"/>
    <s v="김창한"/>
    <m/>
    <s v="혹서기 육계 냉·음용수 급수 효과 탁월"/>
    <s v="전라매일"/>
    <d v="2019-07-18T00:00:00"/>
    <n v="8"/>
    <s v="09_지방일간지"/>
    <n v="1.5"/>
    <d v="2019-07-19T00:00:00"/>
  </r>
  <r>
    <n v="3128"/>
    <s v="8_국립축산과학원"/>
    <s v="0_본원"/>
    <x v="13"/>
    <s v="김창한"/>
    <m/>
    <s v="육계사 냉·음용수 급수 나서"/>
    <s v="전북연합신문"/>
    <d v="2019-07-18T00:00:00"/>
    <n v="9"/>
    <s v="09_지방일간지"/>
    <n v="1.5"/>
    <d v="2019-07-19T00:00:00"/>
  </r>
  <r>
    <n v="3129"/>
    <s v="8_국립축산과학원"/>
    <s v="0_본원"/>
    <x v="13"/>
    <s v="손지용"/>
    <m/>
    <s v="담양군, ICT 활용 고품질 축산물 생산"/>
    <s v="호남신문"/>
    <d v="2019-07-18T00:00:00"/>
    <n v="8"/>
    <s v="09_지방일간지"/>
    <n v="1.5"/>
    <d v="2019-07-19T00:00:00"/>
  </r>
  <r>
    <n v="3130"/>
    <s v="8_국립축산과학원"/>
    <s v="2_축산자원개발부"/>
    <x v="0"/>
    <s v="백선영"/>
    <s v="보도자료64"/>
    <s v="농촌진흥청, 돼지 인공수정용 액상 정액 위생관리 철저 당부"/>
    <s v="전주일보"/>
    <d v="2019-07-11T00:00:00"/>
    <m/>
    <s v="09_지방일간지"/>
    <n v="1.5"/>
    <d v="2019-07-19T00:00:00"/>
  </r>
  <r>
    <n v="3131"/>
    <s v="8_국립축산과학원"/>
    <s v="0_본원"/>
    <x v="3"/>
    <s v="노재희"/>
    <s v="보도자료66"/>
    <s v="여름철 가축건강, 급수조 매일 청소, 급수 시설 정기적 소독"/>
    <s v="식약일보"/>
    <d v="2019-07-18T00:00:00"/>
    <m/>
    <s v="10_기타전문지"/>
    <n v="1"/>
    <d v="2019-07-19T00:00:00"/>
  </r>
  <r>
    <n v="3132"/>
    <s v="8_국립축산과학원"/>
    <s v="2_축산자원개발부"/>
    <x v="0"/>
    <s v="백선영"/>
    <s v="보도자료64"/>
    <s v="여름철 돼지 액상 정액, 위생적인 관리가 중요해요"/>
    <s v="정책브리핑"/>
    <d v="2019-07-12T00:00:00"/>
    <m/>
    <s v="12_대한민국 정책포털(korea.kr)"/>
    <n v="1"/>
    <d v="2019-07-19T00:00:00"/>
  </r>
  <r>
    <n v="3133"/>
    <s v="8_국립축산과학원"/>
    <s v="0_본원"/>
    <x v="3"/>
    <s v="노재희"/>
    <s v="보도자료66"/>
    <s v="가축의 건강한 여름나기, 깨끗한 물관리부터"/>
    <s v="강원경제신문"/>
    <d v="2019-07-18T00:00:00"/>
    <m/>
    <s v="13_인터넷포털"/>
    <n v="0.1"/>
    <d v="2019-07-19T00:00:00"/>
  </r>
  <r>
    <n v="3134"/>
    <s v="8_국립축산과학원"/>
    <s v="0_본원"/>
    <x v="3"/>
    <s v="노재희"/>
    <s v="보도자료66"/>
    <s v="여름철 급수조를 청소하지 않으면 어떻게 될까?"/>
    <s v="돼지와사람"/>
    <d v="2019-07-19T00:00:00"/>
    <m/>
    <s v="13_인터넷포털"/>
    <n v="0.1"/>
    <d v="2019-07-19T00:00:00"/>
  </r>
  <r>
    <n v="3135"/>
    <s v="8_국립축산과학원"/>
    <s v="2_축산자원개발부"/>
    <x v="0"/>
    <s v="백선영"/>
    <s v="보도자료64"/>
    <s v="여름철 정액채취 과정서 세균오염 증가 우려 경고~"/>
    <s v="라이브팜뉴스"/>
    <d v="2019-07-12T00:00:00"/>
    <m/>
    <s v="13_인터넷포털"/>
    <n v="0.1"/>
    <d v="2019-07-19T00:00:00"/>
  </r>
  <r>
    <n v="3136"/>
    <s v="8_국립축산과학원"/>
    <s v="2_축산자원개발부"/>
    <x v="0"/>
    <s v="백선영"/>
    <s v="보도자료64"/>
    <s v="여름철 돼지 액상 정액, 위생적인 관리가 중요해요"/>
    <s v="업코리아"/>
    <d v="2019-07-12T00:00:00"/>
    <m/>
    <s v="13_인터넷포털"/>
    <n v="0.1"/>
    <d v="2019-07-19T00:00:00"/>
  </r>
  <r>
    <n v="3137"/>
    <s v="8_국립축산과학원"/>
    <s v="0_본원"/>
    <x v="3"/>
    <s v="류재규"/>
    <m/>
    <s v="가축방역관 방역교육 의무화 추진··관련 법령·SOP 다룬다"/>
    <s v="데일리벳"/>
    <d v="2019-07-19T00:00:00"/>
    <m/>
    <s v="13_인터넷포털"/>
    <n v="0.1"/>
    <d v="2019-07-19T00:00:00"/>
  </r>
  <r>
    <n v="3138"/>
    <s v="8_국립축산과학원"/>
    <s v="0_본원"/>
    <x v="4"/>
    <s v="천동원"/>
    <s v="기고"/>
    <s v="[기고] 천동원 소장-축산현장 애로기술 해결 위한 닭 키우기[100문 100답] Q72"/>
    <s v="축산신문"/>
    <d v="2019-07-19T00:00:00"/>
    <n v="15"/>
    <s v="17_농업전문지"/>
    <n v="8"/>
    <d v="2019-07-22T00:00:00"/>
  </r>
  <r>
    <n v="3139"/>
    <s v="8_국립축산과학원"/>
    <s v="0_본원"/>
    <x v="14"/>
    <s v="조상래"/>
    <s v="보도자료67"/>
    <s v="동물생명의 신비 현장 체험학습"/>
    <s v="뉴시스"/>
    <d v="2019-07-19T00:00:00"/>
    <m/>
    <s v="07_중앙일간지"/>
    <n v="5"/>
    <d v="2019-07-22T00:00:00"/>
  </r>
  <r>
    <n v="3140"/>
    <s v="8_국립축산과학원"/>
    <s v="0_본원"/>
    <x v="14"/>
    <s v="조상래"/>
    <s v="보도자료67"/>
    <s v="‘동물생명의 신비 체험학습’"/>
    <s v="뉴스1"/>
    <d v="2019-07-19T00:00:00"/>
    <m/>
    <s v="07_중앙일간지"/>
    <n v="5"/>
    <d v="2019-07-22T00:00:00"/>
  </r>
  <r>
    <n v="3141"/>
    <s v="8_국립축산과학원"/>
    <s v="0_본원"/>
    <x v="13"/>
    <s v="김창한"/>
    <m/>
    <s v="도, 축사 냉방장비 구입 3억6800만원 지원 등"/>
    <s v="뉴시스"/>
    <d v="2019-07-22T00:00:00"/>
    <m/>
    <s v="07_중앙일간지"/>
    <n v="5"/>
    <d v="2019-07-22T00:00:00"/>
  </r>
  <r>
    <n v="3142"/>
    <s v="8_국립축산과학원"/>
    <s v="2_축산자원개발부"/>
    <x v="8"/>
    <s v="최연호"/>
    <s v="보도자료65"/>
    <s v="산유량·체형 뛰어난 젖소 보증씨수소 4두 선발"/>
    <s v="축산신문"/>
    <d v="2019-07-19T00:00:00"/>
    <n v="5"/>
    <s v="09_농업전문지"/>
    <n v="1.5"/>
    <d v="2019-07-22T00:00:00"/>
  </r>
  <r>
    <n v="3143"/>
    <s v="8_국립축산과학원"/>
    <s v="2_축산자원개발부"/>
    <x v="0"/>
    <s v="백선영"/>
    <s v="보도자료64"/>
    <s v="돼지정액 세균오염 차단을"/>
    <s v="축산신문"/>
    <d v="2019-07-19T00:00:00"/>
    <n v="6"/>
    <s v="09_농업전문지"/>
    <n v="1.5"/>
    <d v="2019-07-22T00:00:00"/>
  </r>
  <r>
    <n v="3144"/>
    <s v="8_국립축산과학원"/>
    <s v="2_축산자원개발부"/>
    <x v="8"/>
    <s v="박미나"/>
    <m/>
    <s v="충북 1호 한우 보증씨수소 탄생"/>
    <s v="축산신문"/>
    <d v="2019-07-19T00:00:00"/>
    <n v="11"/>
    <s v="09_농업전문지"/>
    <n v="1.5"/>
    <d v="2019-07-22T00:00:00"/>
  </r>
  <r>
    <n v="3145"/>
    <s v="8_국립축산과학원"/>
    <s v="2_축산자원개발부"/>
    <x v="8"/>
    <s v="박미나"/>
    <m/>
    <s v="경북 축산기술연구소 씨수소 ‘보증씨수소’로 최종 선발"/>
    <s v="한국농어민신문"/>
    <d v="2019-07-19T00:00:00"/>
    <n v="13"/>
    <s v="09_농업전문지"/>
    <n v="1.5"/>
    <d v="2019-07-22T00:00:00"/>
  </r>
  <r>
    <n v="3146"/>
    <s v="8_국립축산과학원"/>
    <s v="2_축산자원개발부"/>
    <x v="0"/>
    <s v="문홍길"/>
    <m/>
    <s v="종돈선발시 실용성 대폭 강화"/>
    <s v="축산신문"/>
    <d v="2019-07-19T00:00:00"/>
    <n v="6"/>
    <s v="09_농업전문지"/>
    <n v="1.5"/>
    <d v="2019-07-22T00:00:00"/>
  </r>
  <r>
    <n v="3147"/>
    <s v="8_국립축산과학원"/>
    <s v="0_본원"/>
    <x v="3"/>
    <s v="노재희"/>
    <s v="보도자료66"/>
    <s v="가축들 건강한 여름나기는 깨끗한 물 관리부터"/>
    <s v="한국영농신문"/>
    <d v="2019-07-21T00:00:00"/>
    <m/>
    <s v="09_농업전문지"/>
    <n v="1.5"/>
    <d v="2019-07-22T00:00:00"/>
  </r>
  <r>
    <n v="3148"/>
    <s v="8_국립축산과학원"/>
    <s v="2_축산자원개발부"/>
    <x v="8"/>
    <s v="최연호"/>
    <s v="보도자료65"/>
    <s v="우유 생산.체형 뛰어난 젖소 보증씨수소 4마리 선발"/>
    <s v="한국영농신문"/>
    <d v="2019-07-19T00:00:00"/>
    <m/>
    <s v="09_농업전문지"/>
    <n v="1.5"/>
    <d v="2019-07-22T00:00:00"/>
  </r>
  <r>
    <n v="3149"/>
    <s v="8_국립축산과학원"/>
    <s v="2_축산자원개발부"/>
    <x v="8"/>
    <s v="박미나"/>
    <s v="보도자료62"/>
    <s v="한우개량 이끌 보증씨수소 16두 선발"/>
    <s v="한우신문"/>
    <d v="2019-07-16T00:00:00"/>
    <n v="4"/>
    <s v="10_기타전문지"/>
    <n v="1"/>
    <d v="2019-07-22T00:00:00"/>
  </r>
  <r>
    <n v="3150"/>
    <s v="8_국립축산과학원"/>
    <s v="0_본원"/>
    <x v="14"/>
    <s v="한만희"/>
    <m/>
    <s v="밑소 유전적 능력 높여야 거세우 등급 향상 가능"/>
    <s v="한우신문"/>
    <d v="2019-07-16T00:00:00"/>
    <s v="12,13"/>
    <s v="10_기타전문지"/>
    <n v="1"/>
    <d v="2019-07-22T00:00:00"/>
  </r>
  <r>
    <n v="3151"/>
    <s v="8_국립축산과학원"/>
    <s v="0_본원"/>
    <x v="3"/>
    <s v="최창용"/>
    <s v="보도자료61"/>
    <s v="간이급수기·그늘막 설치로 방목한우 건강하게 여름나기"/>
    <s v="한우신문"/>
    <d v="2019-07-16T00:00:00"/>
    <n v="15"/>
    <s v="10_기타전문지"/>
    <n v="1"/>
    <d v="2019-07-22T00:00:00"/>
  </r>
  <r>
    <n v="3152"/>
    <s v="8_국립축산과학원"/>
    <s v="0_본원"/>
    <x v="14"/>
    <s v="조상래"/>
    <s v="보도자료67"/>
    <s v="신비로운 생명과학 배우는 “생생 체험”"/>
    <s v="식약일보"/>
    <d v="2019-07-19T00:00:00"/>
    <m/>
    <s v="10_기타전문지"/>
    <n v="1"/>
    <d v="2019-07-22T00:00:00"/>
  </r>
  <r>
    <n v="3153"/>
    <s v="8_국립축산과학원"/>
    <s v="0_본원"/>
    <x v="2"/>
    <s v="양창범"/>
    <m/>
    <s v="“생산성 위주서 친환경·지속 가능 축산 전환할 때”"/>
    <s v="말산업저널"/>
    <d v="2019-07-20T00:00:00"/>
    <m/>
    <s v="10_기타전문지"/>
    <n v="1"/>
    <d v="2019-07-22T00:00:00"/>
  </r>
  <r>
    <n v="3154"/>
    <s v="8_국립축산과학원"/>
    <s v="2_축산자원개발부"/>
    <x v="8"/>
    <s v="최연호"/>
    <s v="보도자료65"/>
    <s v="우유 생산·체형 뛰어난 젖소 보증씨수소 4마리 선발"/>
    <s v="정책브리핑"/>
    <d v="2019-07-17T00:00:00"/>
    <m/>
    <s v="12_대한민국 정책포털(korea.kr)"/>
    <n v="1"/>
    <d v="2019-07-22T00:00:00"/>
  </r>
  <r>
    <n v="3155"/>
    <s v="8_국립축산과학원"/>
    <s v="2_축산자원개발부"/>
    <x v="8"/>
    <s v="최연호"/>
    <s v="보도자료65"/>
    <s v="우유 생산·체형 뛰어난 젖소 보증씨수소 4마리 선발"/>
    <s v="뉴스렙"/>
    <d v="2019-07-17T00:00:00"/>
    <m/>
    <s v="13_인터넷포털"/>
    <n v="0.1"/>
    <d v="2019-07-22T00:00:00"/>
  </r>
  <r>
    <n v="3156"/>
    <s v="8_국립축산과학원"/>
    <s v="2_축산자원개발부"/>
    <x v="8"/>
    <s v="최연호"/>
    <s v="보도자료65"/>
    <s v="우유 생산·체형 뛰어난 젖소 보증씨수소 4마리 선발"/>
    <s v="업코리아"/>
    <d v="2019-07-17T00:00:00"/>
    <m/>
    <s v="13_인터넷포털"/>
    <n v="0.1"/>
    <d v="2019-07-22T00:00:00"/>
  </r>
  <r>
    <n v="3157"/>
    <s v="8_국립축산과학원"/>
    <s v="2_축산자원개발부"/>
    <x v="8"/>
    <s v="최연호"/>
    <s v="보도자료65"/>
    <s v="우수한 젖소 보증씨수소 4마리 선발"/>
    <s v="일반경제신문"/>
    <d v="2019-07-16T00:00:00"/>
    <m/>
    <s v="13_인터넷포털"/>
    <n v="0.1"/>
    <d v="2019-07-22T00:00:00"/>
  </r>
  <r>
    <n v="3158"/>
    <s v="8_국립축산과학원"/>
    <s v="0_본원"/>
    <x v="13"/>
    <s v="김창한"/>
    <m/>
    <s v="경남도, 가축 폭염 피해예방 위해 가축 고온 스트레스 저감 장비 지원"/>
    <s v="한국공보뉴스"/>
    <d v="2019-07-22T00:00:00"/>
    <m/>
    <s v="13_인터넷포털"/>
    <n v="0.1"/>
    <d v="2019-07-22T00:00:00"/>
  </r>
  <r>
    <n v="3159"/>
    <s v="8_국립축산과학원"/>
    <s v="1_축산생명환경부"/>
    <x v="16"/>
    <s v="최봉환"/>
    <s v="보도자료68"/>
    <s v="“제주개는 한국 고유 토종개…독립적인 품종”(SBS뉴스)"/>
    <s v="SBS RADIO"/>
    <d v="2019-07-23T00:00:00"/>
    <m/>
    <s v="05_라디오-중앙"/>
    <n v="3"/>
    <d v="2019-07-23T00:00:00"/>
  </r>
  <r>
    <n v="3160"/>
    <s v="8_국립축산과학원"/>
    <s v="0_본원"/>
    <x v="13"/>
    <s v="오형규"/>
    <m/>
    <s v="농진청, 폭염대비 축사 지원 나서(포토뉴스)"/>
    <s v="연합뉴스"/>
    <d v="2019-07-22T00:00:00"/>
    <m/>
    <s v="07_중앙일간지"/>
    <n v="5"/>
    <d v="2019-07-23T00:00:00"/>
  </r>
  <r>
    <n v="3161"/>
    <s v="8_국립축산과학원"/>
    <s v="0_본원"/>
    <x v="13"/>
    <s v="오형규"/>
    <m/>
    <s v="‘우리도 덥소’(포토뉴스)"/>
    <s v="뉴시스"/>
    <d v="2019-07-22T00:00:00"/>
    <m/>
    <s v="07_중앙일간지"/>
    <n v="5"/>
    <d v="2019-07-23T00:00:00"/>
  </r>
  <r>
    <n v="3162"/>
    <s v="8_국립축산과학원"/>
    <s v="0_본원"/>
    <x v="13"/>
    <s v="오형규"/>
    <m/>
    <s v="‘고온기 가축사양과 축사 환경관리 방법에 대한 현장기술지원’(포토뉴스)"/>
    <s v="뉴스1"/>
    <d v="2019-07-22T00:00:00"/>
    <m/>
    <s v="07_중앙일간지"/>
    <n v="5"/>
    <d v="2019-07-23T00:00:00"/>
  </r>
  <r>
    <n v="3163"/>
    <s v="8_국립축산과학원"/>
    <s v="2_축산자원개발부"/>
    <x v="8"/>
    <s v="박미나"/>
    <m/>
    <s v="괴산한우, 2년 연속 보증씨 수소 선정"/>
    <s v="아시아뉴스통신"/>
    <d v="2019-07-23T00:00:00"/>
    <m/>
    <s v="07_중앙일간지"/>
    <n v="5"/>
    <d v="2019-07-23T00:00:00"/>
  </r>
  <r>
    <n v="3164"/>
    <s v="8_국립축산과학원"/>
    <s v="2_축산자원개발부"/>
    <x v="8"/>
    <s v="박미나"/>
    <m/>
    <s v="충북 괴산 한우 2년 연속 보증씨 수소 선정"/>
    <s v="뉴시스"/>
    <d v="2019-07-23T00:00:00"/>
    <m/>
    <s v="07_중앙일간지"/>
    <n v="5"/>
    <d v="2019-07-23T00:00:00"/>
  </r>
  <r>
    <n v="3165"/>
    <s v="8_국립축산과학원"/>
    <s v="2_축산자원개발부"/>
    <x v="8"/>
    <s v="박미나"/>
    <m/>
    <s v="충북 괴산 한우, 2년 연속 ‘보증 씨 수소’ 선정"/>
    <s v="뉴스1"/>
    <d v="2019-07-23T00:00:00"/>
    <m/>
    <s v="07_중앙일간지"/>
    <n v="5"/>
    <d v="2019-07-23T00:00:00"/>
  </r>
  <r>
    <n v="3166"/>
    <s v="8_국립축산과학원"/>
    <s v="0_본원"/>
    <x v="13"/>
    <s v="정성훈"/>
    <m/>
    <s v="예천군, 축산농가 맞춤형 종합컨설팅 진행"/>
    <s v="아시아투데이"/>
    <d v="2019-07-23T00:00:00"/>
    <m/>
    <s v="07_중앙일간지"/>
    <n v="5"/>
    <d v="2019-07-23T00:00:00"/>
  </r>
  <r>
    <n v="3167"/>
    <s v="8_국립축산과학원"/>
    <s v="0_본원"/>
    <x v="13"/>
    <s v="오형규"/>
    <m/>
    <s v="속초·양양 등 강원도 동해안에 폭염 경보...25일 전국에 장맛비"/>
    <s v="중앙일보"/>
    <d v="2019-07-23T00:00:00"/>
    <m/>
    <s v="07_중앙일간지"/>
    <n v="5"/>
    <d v="2019-07-23T00:00:00"/>
  </r>
  <r>
    <n v="3168"/>
    <s v="8_국립축산과학원"/>
    <s v="2_축산자원개발부"/>
    <x v="8"/>
    <s v="박미나"/>
    <m/>
    <s v="괴산 농가 한우, 2년 연속 보증 씨수소로 선발"/>
    <s v="연합뉴스"/>
    <d v="2019-07-23T00:00:00"/>
    <m/>
    <s v="07_중앙일간지"/>
    <n v="5"/>
    <d v="2019-07-23T00:00:00"/>
  </r>
  <r>
    <n v="3169"/>
    <s v="8_국립축산과학원"/>
    <s v="0_본원"/>
    <x v="3"/>
    <s v="노재희"/>
    <s v="보도자료66"/>
    <s v="여름철 가축 급수시설 위생 관리 당부"/>
    <s v="환경일보"/>
    <d v="2019-07-17T00:00:00"/>
    <m/>
    <s v="08_기타일간지"/>
    <n v="2"/>
    <d v="2019-07-23T00:00:00"/>
  </r>
  <r>
    <n v="3170"/>
    <s v="8_국립축산과학원"/>
    <s v="0_본원"/>
    <x v="14"/>
    <s v="조상래"/>
    <s v="보도자료67"/>
    <s v="농촌진흥청 한우연구소, 대관령 지역 초등학생 초청"/>
    <s v="전북타임스"/>
    <d v="2019-07-22T00:00:00"/>
    <n v="7"/>
    <s v="09_지방일간지"/>
    <n v="1.5"/>
    <d v="2019-07-23T00:00:00"/>
  </r>
  <r>
    <n v="3171"/>
    <s v="8_국립축산과학원"/>
    <s v="0_본원"/>
    <x v="14"/>
    <s v="조상래"/>
    <s v="보도자료67"/>
    <s v="“신비로운 생명과학, 생생한 체험으로 꿈의 폭 넓혀요”"/>
    <s v="전민일보"/>
    <d v="2019-07-22T00:00:00"/>
    <n v="5"/>
    <s v="09_지방일간지"/>
    <n v="1.5"/>
    <d v="2019-07-23T00:00:00"/>
  </r>
  <r>
    <n v="3172"/>
    <s v="8_국립축산과학원"/>
    <s v="0_본원"/>
    <x v="13"/>
    <s v="김창한"/>
    <m/>
    <s v="여름철 더위에 지친 가축들에게 ‘냉방장비는 필수’"/>
    <s v="한남일보"/>
    <d v="2019-07-22T00:00:00"/>
    <m/>
    <s v="09_지방일간지"/>
    <n v="1.5"/>
    <d v="2019-07-23T00:00:00"/>
  </r>
  <r>
    <n v="3173"/>
    <s v="8_국립축산과학원"/>
    <s v="2_축산자원개발부"/>
    <x v="8"/>
    <s v="박미나"/>
    <m/>
    <s v="괴산한우, 2년 연속 보증씨 수소 선발 ‘쾌거’"/>
    <s v="금강일보"/>
    <d v="2019-07-23T00:00:00"/>
    <m/>
    <s v="09_지방일간지"/>
    <n v="1.5"/>
    <d v="2019-07-23T00:00:00"/>
  </r>
  <r>
    <n v="3174"/>
    <s v="8_국립축산과학원"/>
    <s v="2_축산자원개발부"/>
    <x v="8"/>
    <s v="박미나"/>
    <m/>
    <s v="괴산한우, 2년 연속 보증씨 수소 선발 ‘쾌거’"/>
    <s v="중부매일"/>
    <d v="2019-07-23T00:00:00"/>
    <m/>
    <s v="09_지방일간지"/>
    <n v="1.5"/>
    <d v="2019-07-23T00:00:00"/>
  </r>
  <r>
    <n v="3175"/>
    <s v="8_국립축산과학원"/>
    <s v="2_축산자원개발부"/>
    <x v="8"/>
    <s v="박미나"/>
    <m/>
    <s v="괴산한우 2년 연속 보증씨 수소 선발"/>
    <s v="중도일보"/>
    <d v="2019-07-23T00:00:00"/>
    <m/>
    <s v="09_지방일간지"/>
    <n v="1.5"/>
    <d v="2019-07-23T00:00:00"/>
  </r>
  <r>
    <n v="3176"/>
    <s v="8_국립축산과학원"/>
    <s v="2_축산자원개발부"/>
    <x v="8"/>
    <s v="박미나"/>
    <m/>
    <s v="괴산한우, 2년 연속 보증씨 수소 선발 ‘쾌거’"/>
    <s v="대전일보"/>
    <d v="2019-07-23T00:00:00"/>
    <m/>
    <s v="09_지방일간지"/>
    <n v="1.5"/>
    <d v="2019-07-23T00:00:00"/>
  </r>
  <r>
    <n v="3177"/>
    <s v="8_국립축산과학원"/>
    <s v="2_축산자원개발부"/>
    <x v="8"/>
    <s v="박미나"/>
    <m/>
    <s v="괴산한우, 2년 연속 보증씨 수소 선발"/>
    <s v="충북일보"/>
    <d v="2019-07-23T00:00:00"/>
    <m/>
    <s v="09_지방일간지"/>
    <n v="1.5"/>
    <d v="2019-07-23T00:00:00"/>
  </r>
  <r>
    <n v="3178"/>
    <s v="8_국립축산과학원"/>
    <s v="1_축산생명환경부"/>
    <x v="16"/>
    <s v="최봉환"/>
    <s v="보도자료68"/>
    <s v="“제주개, 한국 고유 토종개” 농촌진흥청 유전자 분석 결과 발표"/>
    <s v="경인일보"/>
    <d v="2019-07-23T00:00:00"/>
    <m/>
    <s v="09_지방일간지"/>
    <n v="1.5"/>
    <d v="2019-07-23T00:00:00"/>
  </r>
  <r>
    <n v="3179"/>
    <s v="8_국립축산과학원"/>
    <s v="1_축산생명환경부"/>
    <x v="16"/>
    <s v="최봉환"/>
    <s v="보도자료68"/>
    <s v="멸종위기 ‘제주개’ 한국 토종개 맞다"/>
    <s v="경기일보"/>
    <d v="2019-07-23T00:00:00"/>
    <m/>
    <s v="09_지방일간지"/>
    <n v="1.5"/>
    <d v="2019-07-23T00:00:00"/>
  </r>
  <r>
    <n v="3180"/>
    <s v="8_국립축산과학원"/>
    <s v="2_축산자원개발부"/>
    <x v="0"/>
    <s v="백선영"/>
    <s v="보도자료64"/>
    <s v="여름철 액상 정액 관리, 위생이 생명"/>
    <s v="양돈타임스"/>
    <d v="2019-07-18T00:00:00"/>
    <n v="7"/>
    <s v="09_농업전문지"/>
    <n v="1.5"/>
    <d v="2019-07-23T00:00:00"/>
  </r>
  <r>
    <n v="3181"/>
    <s v="8_국립축산과학원"/>
    <s v="0_본원"/>
    <x v="3"/>
    <s v="노재희"/>
    <s v="보도자료66"/>
    <s v="가축의 건강, 깨끗한 물관리부터 시작"/>
    <s v="농축유통신문"/>
    <d v="2019-07-19T00:00:00"/>
    <m/>
    <s v="09_농업전문지"/>
    <n v="1.5"/>
    <d v="2019-07-23T00:00:00"/>
  </r>
  <r>
    <n v="3182"/>
    <s v="8_국립축산과학원"/>
    <s v="0_본원"/>
    <x v="3"/>
    <s v="노재희"/>
    <s v="보도자료66"/>
    <s v="가축의 건강한 여름나기, 깨끗한 물관리부터!"/>
    <s v="정책브리핑"/>
    <d v="2019-07-18T00:00:00"/>
    <m/>
    <s v="12_대한민국 정책포털(korea.kr)"/>
    <n v="1"/>
    <d v="2019-07-23T00:00:00"/>
  </r>
  <r>
    <n v="3183"/>
    <s v="8_국립축산과학원"/>
    <s v="2_축산자원개발부"/>
    <x v="8"/>
    <s v="박미나"/>
    <m/>
    <s v="괴산 한우, 2년 연속 보증씨 수소 선발 ‘쾌거’"/>
    <s v="뉴스핌"/>
    <d v="2019-07-23T00:00:00"/>
    <m/>
    <s v="11_기타(지역주간지)"/>
    <n v="0.5"/>
    <d v="2019-07-23T00:00:00"/>
  </r>
  <r>
    <n v="3184"/>
    <s v="8_국립축산과학원"/>
    <s v="0_본원"/>
    <x v="13"/>
    <s v="김창한"/>
    <m/>
    <s v="더위에 지친 가축들에게 냉방장비는 필수"/>
    <s v="경남데일리"/>
    <d v="2019-07-22T00:00:00"/>
    <m/>
    <s v="13_인터넷포털"/>
    <n v="0.1"/>
    <d v="2019-07-23T00:00:00"/>
  </r>
  <r>
    <n v="3185"/>
    <s v="8_국립축산과학원"/>
    <s v="0_본원"/>
    <x v="13"/>
    <s v="김창한"/>
    <m/>
    <s v="더위에 지친 가축들에게 냉방장비는 필수"/>
    <s v="중부뉴스통신"/>
    <d v="2019-07-22T00:00:00"/>
    <m/>
    <s v="13_인터넷포털"/>
    <n v="0.1"/>
    <d v="2019-07-23T00:00:00"/>
  </r>
  <r>
    <n v="3186"/>
    <s v="8_국립축산과학원"/>
    <s v="2_축산자원개발부"/>
    <x v="8"/>
    <s v="박미나"/>
    <m/>
    <s v="괴산한우, 2년 연속 보증씨 수소 선발 ‘쾌거’"/>
    <s v="세계뉴스통신"/>
    <d v="2019-07-23T00:00:00"/>
    <m/>
    <s v="13_인터넷포털"/>
    <n v="0.1"/>
    <d v="2019-07-23T00:00:00"/>
  </r>
  <r>
    <n v="3187"/>
    <s v="8_국립축산과학원"/>
    <s v="2_축산자원개발부"/>
    <x v="8"/>
    <s v="박미나"/>
    <m/>
    <s v="괴산한우, 2년 연속 ‘보증씨 수소’ 뽑혀"/>
    <s v="뉴데일리"/>
    <d v="2019-07-23T00:00:00"/>
    <m/>
    <s v="13_인터넷포털"/>
    <n v="0.1"/>
    <d v="2019-07-23T00:00:00"/>
  </r>
  <r>
    <n v="3188"/>
    <s v="8_국립축산과학원"/>
    <s v="1_축산생명환경부"/>
    <x v="16"/>
    <s v="최봉환"/>
    <s v="보도자료68"/>
    <s v="농진청 “제주개는 한국 고유 토종개”"/>
    <s v="미디어펜"/>
    <d v="2019-07-23T00:00:00"/>
    <m/>
    <s v="13_인터넷포털"/>
    <n v="0.1"/>
    <d v="2019-07-23T00:00:00"/>
  </r>
  <r>
    <n v="3189"/>
    <s v="8_국립축산과학원"/>
    <s v="1_축산생명환경부"/>
    <x v="16"/>
    <s v="최봉환"/>
    <s v="보도자료68"/>
    <s v="“제주개는 한국 고유 토종개.. 유전적 독창성 있어”"/>
    <s v="코리아재팬타임즈"/>
    <d v="2019-07-23T00:00:00"/>
    <m/>
    <s v="13_인터넷포털"/>
    <n v="0.1"/>
    <d v="2019-07-23T00:00:00"/>
  </r>
  <r>
    <n v="3190"/>
    <s v="8_국립축산과학원"/>
    <s v="0_본원"/>
    <x v="3"/>
    <s v="노재희"/>
    <s v="보도자료66"/>
    <s v="가축 건강은 물관리가 중요... 급수조는 매일 청소해야"/>
    <s v="오가닉라이프"/>
    <d v="2019-07-19T00:00:00"/>
    <m/>
    <s v="13_인터넷포털"/>
    <n v="0.1"/>
    <d v="2019-07-23T00:00:00"/>
  </r>
  <r>
    <n v="3191"/>
    <s v="8_국립축산과학원"/>
    <s v="0_본원"/>
    <x v="3"/>
    <s v="노재희"/>
    <s v="보도자료66"/>
    <s v="가축의 건강한 여름나기, 깨끗한 물관리부터"/>
    <s v="업코리아"/>
    <d v="2019-07-18T00:00:00"/>
    <m/>
    <s v="13_인터넷포털"/>
    <n v="0.1"/>
    <d v="2019-07-23T00:00:00"/>
  </r>
  <r>
    <n v="3192"/>
    <s v="8_국립축산과학원"/>
    <s v="0_본원"/>
    <x v="3"/>
    <s v="최창용"/>
    <s v="보도자료61"/>
    <s v="여름철 방목 가축 보호하자"/>
    <s v="미디어피아"/>
    <d v="2019-07-12T00:00:00"/>
    <m/>
    <s v="13_인터넷포털"/>
    <n v="0.1"/>
    <d v="2019-07-23T00:00:00"/>
  </r>
  <r>
    <n v="3193"/>
    <s v="8_국립축산과학원"/>
    <s v="0_본원"/>
    <x v="3"/>
    <s v="노재희"/>
    <s v="보도자료66"/>
    <s v="가축의 건강한 여름나기, 깨끗한 물관리부터"/>
    <s v="경제투데이"/>
    <d v="2019-07-18T00:00:00"/>
    <m/>
    <s v="13_인터넷포털"/>
    <n v="0.1"/>
    <d v="2019-07-23T00:00:00"/>
  </r>
  <r>
    <n v="3194"/>
    <s v="8_국립축산과학원"/>
    <s v="0_본원"/>
    <x v="3"/>
    <s v="노재희"/>
    <s v="보도자료66"/>
    <s v="가축의 건강한 여름나기, 깨끗한 물관리부터!"/>
    <s v="한국안전방송"/>
    <d v="2019-07-21T00:00:00"/>
    <m/>
    <s v="13_인터넷포털"/>
    <n v="0.1"/>
    <d v="2019-07-23T00:00:00"/>
  </r>
  <r>
    <n v="3195"/>
    <s v="8_국립축산과학원"/>
    <s v="2_축산자원개발부"/>
    <x v="8"/>
    <s v="박미나"/>
    <m/>
    <s v="괴산한우, 2년 연속 보증씨 수소 선발 ‘선정’"/>
    <s v="서울뉴스통신"/>
    <d v="2019-07-23T00:00:00"/>
    <m/>
    <s v="13_인터넷포털"/>
    <n v="0.1"/>
    <d v="2019-07-23T00:00:00"/>
  </r>
  <r>
    <n v="3196"/>
    <s v="8_국립축산과학원"/>
    <s v="0_본원"/>
    <x v="13"/>
    <s v="정성훈"/>
    <m/>
    <s v="예천군, 한우농가 맞춤형 종합컨설팅"/>
    <s v="예천뉴스"/>
    <d v="2019-07-23T00:00:00"/>
    <m/>
    <s v="13_인터넷포털"/>
    <n v="0.1"/>
    <d v="2019-07-23T00:00:00"/>
  </r>
  <r>
    <n v="3197"/>
    <s v="8_국립축산과학원"/>
    <s v="0_본원"/>
    <x v="4"/>
    <s v="천동원"/>
    <s v="기고"/>
    <s v="[기고] 천동원 소장-축산현장 애로기술 해결 위한 닭 키우기[100문 100답] Q73"/>
    <s v="축산신문"/>
    <d v="2019-07-23T00:00:00"/>
    <n v="15"/>
    <s v="17_농업전문지"/>
    <n v="8"/>
    <d v="2019-07-24T00:00:00"/>
  </r>
  <r>
    <n v="3198"/>
    <s v="8_국립축산과학원"/>
    <s v="1_축산생명환경부"/>
    <x v="16"/>
    <s v="최봉환"/>
    <s v="보도자료68"/>
    <s v="농촌진흥청 “제주개는 한국 토종”... 지역 ‘명견’ 보존 육성"/>
    <s v="파이낸셜뉴스"/>
    <d v="2019-07-23T00:00:00"/>
    <m/>
    <s v="07_중앙일간지"/>
    <n v="5"/>
    <d v="2019-07-24T00:00:00"/>
  </r>
  <r>
    <n v="3199"/>
    <s v="8_국립축산과학원"/>
    <s v="1_축산생명환경부"/>
    <x v="16"/>
    <s v="최봉환"/>
    <s v="보도자료68"/>
    <s v="농촌진흥청 ‘제주개, 한국 고유 토종개 맞다’"/>
    <s v="세계일보"/>
    <d v="2019-07-23T00:00:00"/>
    <m/>
    <s v="07_중앙일간지"/>
    <n v="5"/>
    <d v="2019-07-24T00:00:00"/>
  </r>
  <r>
    <n v="3200"/>
    <s v="8_국립축산과학원"/>
    <s v="1_축산생명환경부"/>
    <x v="16"/>
    <s v="최봉환"/>
    <s v="보도자료68"/>
    <s v="제주도서만 길러지는 ‘제주개’, 한국 토종개 맞다"/>
    <s v="국민일보"/>
    <d v="2019-07-23T00:00:00"/>
    <m/>
    <s v="07_중앙일간지"/>
    <n v="5"/>
    <d v="2019-07-24T00:00:00"/>
  </r>
  <r>
    <n v="3201"/>
    <s v="8_국립축산과학원"/>
    <s v="1_축산생명환경부"/>
    <x v="16"/>
    <s v="최봉환"/>
    <s v="보도자료68"/>
    <s v="‘제주개는 한국 고유 토종개...독립적인 품종’"/>
    <s v="연합뉴스"/>
    <d v="2019-07-23T00:00:00"/>
    <m/>
    <s v="07_중앙일간지"/>
    <n v="5"/>
    <d v="2019-07-24T00:00:00"/>
  </r>
  <r>
    <n v="3202"/>
    <s v="8_국립축산과학원"/>
    <s v="1_축산생명환경부"/>
    <x v="16"/>
    <s v="최봉환"/>
    <s v="보도자료68"/>
    <s v="농촌진흥청, ‘제주개’ 유전자 분석 결과 한국 고유 토종개임을 확인"/>
    <s v="매일일보"/>
    <d v="2019-07-23T00:00:00"/>
    <m/>
    <s v="08_기타일간지"/>
    <n v="2"/>
    <d v="2019-07-24T00:00:00"/>
  </r>
  <r>
    <n v="3203"/>
    <s v="8_국립축산과학원"/>
    <s v="0_본원"/>
    <x v="13"/>
    <s v="정성훈"/>
    <m/>
    <s v="예천군, 한우농가 맞춤형 종합컨설팅 애로기술 해결"/>
    <s v="서울일보"/>
    <d v="2019-07-23T00:00:00"/>
    <m/>
    <s v="08_기타일간지"/>
    <n v="2"/>
    <d v="2019-07-24T00:00:00"/>
  </r>
  <r>
    <n v="3204"/>
    <s v="8_국립축산과학원"/>
    <s v="1_축산생명환경부"/>
    <x v="16"/>
    <s v="최봉환"/>
    <s v="보도자료68"/>
    <s v="“제주개는 한국 고유 토종개 맞아요”"/>
    <s v="환경일보"/>
    <d v="2019-07-23T00:00:00"/>
    <m/>
    <s v="08_기타일간지"/>
    <n v="2"/>
    <d v="2019-07-24T00:00:00"/>
  </r>
  <r>
    <n v="3205"/>
    <s v="8_국립축산과학원"/>
    <s v="0_본원"/>
    <x v="15"/>
    <s v="김승창"/>
    <s v="보도자료58"/>
    <s v="축산과학원, 재래 품종 ‘칡소’ 판별기술 개발"/>
    <s v="한국농촌경제신문"/>
    <d v="2019-07-15T00:00:00"/>
    <n v="9"/>
    <s v="09_농업전문지"/>
    <n v="1.5"/>
    <d v="2019-07-24T00:00:00"/>
  </r>
  <r>
    <n v="3206"/>
    <s v="8_국립축산과학원"/>
    <s v="0_본원"/>
    <x v="14"/>
    <s v="조상래"/>
    <s v="보도자료67"/>
    <s v="신비로운 생명과학 배우는 ‘생생 체험’"/>
    <s v="대한급식신문"/>
    <d v="2019-07-23T00:00:00"/>
    <m/>
    <s v="09_농업전문지"/>
    <n v="1.5"/>
    <d v="2019-07-24T00:00:00"/>
  </r>
  <r>
    <n v="3207"/>
    <s v="8_국립축산과학원"/>
    <s v="1_축산생명환경부"/>
    <x v="9"/>
    <s v="곽정훈"/>
    <m/>
    <s v="농협경북본부, 청정축산 환경대상 예선 수상자"/>
    <s v="농수축산신문"/>
    <d v="2019-07-23T00:00:00"/>
    <m/>
    <s v="09_농업전문지"/>
    <n v="1.5"/>
    <d v="2019-07-24T00:00:00"/>
  </r>
  <r>
    <n v="3208"/>
    <s v="8_국립축산과학원"/>
    <s v="1_축산생명환경부"/>
    <x v="16"/>
    <s v="최봉환"/>
    <s v="보도자료68"/>
    <s v="멸종위기 ‘제주개’ 한국 토종개 맞다"/>
    <s v="제민일보"/>
    <d v="2019-07-23T00:00:00"/>
    <m/>
    <s v="09_지방일간지"/>
    <n v="1.5"/>
    <d v="2019-07-24T00:00:00"/>
  </r>
  <r>
    <n v="3209"/>
    <s v="8_국립축산과학원"/>
    <s v="0_본원"/>
    <x v="13"/>
    <s v="오형규"/>
    <m/>
    <s v="축사 적정온도는?(포토뉴스)"/>
    <s v="경남신문"/>
    <d v="2019-07-23T00:00:00"/>
    <n v="22"/>
    <s v="09_지방일간지"/>
    <n v="1.5"/>
    <d v="2019-07-24T00:00:00"/>
  </r>
  <r>
    <n v="3210"/>
    <s v="8_국립축산과학원"/>
    <s v="0_본원"/>
    <x v="13"/>
    <s v="오형규"/>
    <m/>
    <s v="농진청, 폭염대비 축사 지원 나서"/>
    <s v="전북중앙"/>
    <d v="2019-07-23T00:00:00"/>
    <n v="6"/>
    <s v="09_지방일간지"/>
    <n v="1.5"/>
    <d v="2019-07-24T00:00:00"/>
  </r>
  <r>
    <n v="3211"/>
    <s v="8_국립축산과학원"/>
    <s v="0_본원"/>
    <x v="13"/>
    <s v="오형규"/>
    <m/>
    <s v="젖소도 더위 먹어요(포토뉴스)"/>
    <s v="경남도민일보"/>
    <d v="2019-07-23T00:00:00"/>
    <n v="9"/>
    <s v="09_지방일간지"/>
    <n v="1.5"/>
    <d v="2019-07-24T00:00:00"/>
  </r>
  <r>
    <n v="3212"/>
    <s v="8_국립축산과학원"/>
    <s v="0_본원"/>
    <x v="13"/>
    <s v="오형규"/>
    <m/>
    <s v="고온기 가축피해예방 종합기술 지원(포토뉴스)"/>
    <s v="전북타임스"/>
    <d v="2019-07-23T00:00:00"/>
    <n v="7"/>
    <s v="09_지방일간지"/>
    <n v="1.5"/>
    <d v="2019-07-24T00:00:00"/>
  </r>
  <r>
    <n v="3213"/>
    <s v="8_국립축산과학원"/>
    <s v="0_본원"/>
    <x v="13"/>
    <s v="김창한"/>
    <m/>
    <s v="더위에 지친 가축들 ‘냉방장비는 필수’"/>
    <s v="한남일보"/>
    <d v="2019-07-23T00:00:00"/>
    <n v="3"/>
    <s v="09_지방일간지"/>
    <n v="1.5"/>
    <d v="2019-07-24T00:00:00"/>
  </r>
  <r>
    <n v="3214"/>
    <s v="8_국립축산과학원"/>
    <s v="0_본원"/>
    <x v="13"/>
    <s v="정성훈"/>
    <m/>
    <s v="예천군-농진청 국립축산과학원, 한우농가 애로 해결 종합 컨설팅"/>
    <s v="경북신문"/>
    <d v="2019-07-23T00:00:00"/>
    <m/>
    <s v="09_지방일간지"/>
    <n v="1.5"/>
    <d v="2019-07-24T00:00:00"/>
  </r>
  <r>
    <n v="3215"/>
    <s v="8_국립축산과학원"/>
    <s v="2_축산자원개발부"/>
    <x v="8"/>
    <s v="박미나"/>
    <m/>
    <s v="괴산한우, 2년 연속 보증씨 수소 선발 ‘쾌거’"/>
    <s v="충청일보"/>
    <d v="2019-07-23T00:00:00"/>
    <m/>
    <s v="09_지방일간지"/>
    <n v="1.5"/>
    <d v="2019-07-24T00:00:00"/>
  </r>
  <r>
    <n v="3216"/>
    <s v="8_국립축산과학원"/>
    <s v="0_본원"/>
    <x v="13"/>
    <s v="정성훈"/>
    <m/>
    <s v="예천군, 축산농가 맞춤형 종합컨설팅 제공"/>
    <s v="도민일보"/>
    <d v="2019-07-23T00:00:00"/>
    <m/>
    <s v="09_지방일간지"/>
    <n v="1.5"/>
    <d v="2019-07-24T00:00:00"/>
  </r>
  <r>
    <n v="3217"/>
    <s v="8_국립축산과학원"/>
    <s v="1_축산생명환경부"/>
    <x v="16"/>
    <s v="최봉환"/>
    <s v="보도자료68"/>
    <s v="제주개, 한국 고유 토종개…“독립적 품종”"/>
    <s v="제주신문"/>
    <d v="2019-07-23T00:00:00"/>
    <m/>
    <s v="09_지방일간지"/>
    <n v="1.5"/>
    <d v="2019-07-24T00:00:00"/>
  </r>
  <r>
    <n v="3218"/>
    <s v="8_국립축산과학원"/>
    <s v="0_본원"/>
    <x v="13"/>
    <s v="정성훈"/>
    <m/>
    <s v="예천군, 맞춤형 종합컨설팅으로 한우농가 애로기술 해결"/>
    <s v="시대일보"/>
    <d v="2019-07-23T00:00:00"/>
    <m/>
    <s v="09_지방일간지"/>
    <n v="1.5"/>
    <d v="2019-07-24T00:00:00"/>
  </r>
  <r>
    <n v="3219"/>
    <s v="8_국립축산과학원"/>
    <s v="2_축산자원개발부"/>
    <x v="8"/>
    <s v="박미나"/>
    <m/>
    <s v="괴산 한우 우수성 입증"/>
    <s v="충청매일"/>
    <d v="2019-07-23T00:00:00"/>
    <m/>
    <s v="09_지방일간지"/>
    <n v="1.5"/>
    <d v="2019-07-24T00:00:00"/>
  </r>
  <r>
    <n v="3220"/>
    <s v="8_국립축산과학원"/>
    <s v="0_본원"/>
    <x v="13"/>
    <s v="정성훈"/>
    <m/>
    <s v="예천, 맞춤형 종합컨설팅으로 한우농가 애로 해결"/>
    <s v="내외일보"/>
    <d v="2019-07-23T00:00:00"/>
    <m/>
    <s v="09_지방일간지"/>
    <n v="1.5"/>
    <d v="2019-07-24T00:00:00"/>
  </r>
  <r>
    <n v="3221"/>
    <s v="8_국립축산과학원"/>
    <s v="1_축산생명환경부"/>
    <x v="16"/>
    <s v="최봉환"/>
    <s v="보도자료68"/>
    <s v="제주개, 한국 토종개 확인 ‘보존’ 시급"/>
    <s v="제주일보"/>
    <d v="2019-07-23T00:00:00"/>
    <m/>
    <s v="09_지방일간지"/>
    <n v="1.5"/>
    <d v="2019-07-24T00:00:00"/>
  </r>
  <r>
    <n v="3222"/>
    <s v="8_국립축산과학원"/>
    <s v="2_축산자원개발부"/>
    <x v="8"/>
    <s v="박미나"/>
    <m/>
    <s v="전국 보증씨수소 선발대회 괴산 원영호씨 한우 선정"/>
    <s v="충청타임즈"/>
    <d v="2019-07-23T00:00:00"/>
    <m/>
    <s v="09_지방일간지"/>
    <n v="1.5"/>
    <d v="2019-07-24T00:00:00"/>
  </r>
  <r>
    <n v="3223"/>
    <s v="8_국립축산과학원"/>
    <s v="2_축산자원개발부"/>
    <x v="8"/>
    <s v="박미나"/>
    <m/>
    <s v="괴산한우, 2년 연속 보증씨 수소 선발"/>
    <s v="충청투데이"/>
    <d v="2019-07-24T00:00:00"/>
    <m/>
    <s v="09_지방일간지"/>
    <n v="1.5"/>
    <d v="2019-07-24T00:00:00"/>
  </r>
  <r>
    <n v="3224"/>
    <s v="8_국립축산과학원"/>
    <s v="0_본원"/>
    <x v="13"/>
    <s v="정성훈"/>
    <m/>
    <s v="예천, 축산농 종합컨설팅 제공...4개 분야 청년농부 34명 대상"/>
    <s v="대구신문"/>
    <d v="2019-07-23T00:00:00"/>
    <m/>
    <s v="09_지방일간지"/>
    <n v="1.5"/>
    <d v="2019-07-24T00:00:00"/>
  </r>
  <r>
    <n v="3225"/>
    <s v="8_국립축산과학원"/>
    <s v="0_본원"/>
    <x v="13"/>
    <s v="정성훈"/>
    <m/>
    <s v="예천군, 맞춤형 종합컨설팅으로 한우농가 애로기술 해결"/>
    <s v="대경일보"/>
    <d v="2019-07-23T00:00:00"/>
    <m/>
    <s v="09_지방일간지"/>
    <n v="1.5"/>
    <d v="2019-07-24T00:00:00"/>
  </r>
  <r>
    <n v="3226"/>
    <s v="8_국립축산과학원"/>
    <s v="2_축산자원개발부"/>
    <x v="0"/>
    <s v="백선영"/>
    <s v="보도자료64"/>
    <s v="여름철 돼지 액상 정액, 위생적인 관리가 중요"/>
    <s v="농식품PLUS신문"/>
    <d v="2019-07-15T00:00:00"/>
    <n v="18"/>
    <s v="10_기타전문지"/>
    <n v="1"/>
    <d v="2019-07-24T00:00:00"/>
  </r>
  <r>
    <n v="3227"/>
    <s v="8_국립축산과학원"/>
    <s v="1_축산생명환경부"/>
    <x v="16"/>
    <s v="최봉환"/>
    <s v="보도자료68"/>
    <s v="농촌진흥청 “멸종위기 제주개 한국 토종개 맞다”"/>
    <s v="건설타임즈"/>
    <d v="2019-07-23T00:00:00"/>
    <m/>
    <s v="10_기타전문지"/>
    <n v="1"/>
    <d v="2019-07-24T00:00:00"/>
  </r>
  <r>
    <n v="3228"/>
    <s v="8_국립축산과학원"/>
    <s v="1_축산생명환경부"/>
    <x v="16"/>
    <s v="최봉환"/>
    <s v="보도자료68"/>
    <s v="제주개는 韓 토종개... 지역 명견 육성해야"/>
    <s v="제주신보"/>
    <d v="2019-07-23T00:00:00"/>
    <m/>
    <s v="11_기타(지역주간지)"/>
    <n v="0.5"/>
    <d v="2019-07-24T00:00:00"/>
  </r>
  <r>
    <n v="3229"/>
    <s v="8_국립축산과학원"/>
    <s v="1_축산생명환경부"/>
    <x v="16"/>
    <s v="최봉환"/>
    <s v="보도자료68"/>
    <s v="농진청 “제주개, 우리나라 토종개 맞다”"/>
    <s v="서귀포신문"/>
    <d v="2019-07-23T00:00:00"/>
    <m/>
    <s v="11_기타(지역주간지)"/>
    <n v="0.5"/>
    <d v="2019-07-24T00:00:00"/>
  </r>
  <r>
    <n v="3230"/>
    <s v="8_국립축산과학원"/>
    <s v="1_축산생명환경부"/>
    <x v="16"/>
    <s v="최봉환"/>
    <s v="보도자료68"/>
    <s v="농촌진흥청 “제주개, 한국 토종”"/>
    <s v="뉴스제주"/>
    <d v="2019-07-24T00:00:00"/>
    <m/>
    <s v="11_기타(지역주간지)"/>
    <n v="0.5"/>
    <d v="2019-07-24T00:00:00"/>
  </r>
  <r>
    <n v="3231"/>
    <s v="8_국립축산과학원"/>
    <s v="2_축산자원개발부"/>
    <x v="8"/>
    <s v="박미나"/>
    <m/>
    <s v="괴산 한우, 2년 연속 보증씨 수소 선발 ‘쾌거’"/>
    <s v="내외뉴스통신"/>
    <d v="2019-07-23T00:00:00"/>
    <m/>
    <s v="13_인터넷포털"/>
    <n v="0.1"/>
    <d v="2019-07-24T00:00:00"/>
  </r>
  <r>
    <n v="3232"/>
    <s v="8_국립축산과학원"/>
    <s v="0_본원"/>
    <x v="13"/>
    <s v="정성훈"/>
    <m/>
    <s v="예천군, 맞춤형 컨설팅으로 한우농가 애로사항 해결한다"/>
    <s v="프라임경북뉴스"/>
    <d v="2019-07-23T00:00:00"/>
    <m/>
    <s v="13_인터넷포털"/>
    <n v="0.1"/>
    <d v="2019-07-24T00:00:00"/>
  </r>
  <r>
    <n v="3233"/>
    <s v="8_국립축산과학원"/>
    <s v="1_축산생명환경부"/>
    <x v="16"/>
    <s v="최봉환"/>
    <s v="보도자료68"/>
    <s v="멸종위기 ‘제주개’, “한반도 고유 혈통 지닌 토종개”"/>
    <s v="제이누리"/>
    <d v="2019-07-23T00:00:00"/>
    <m/>
    <s v="13_인터넷포털"/>
    <n v="0.1"/>
    <d v="2019-07-24T00:00:00"/>
  </r>
  <r>
    <n v="3234"/>
    <s v="8_국립축산과학원"/>
    <s v="1_축산생명환경부"/>
    <x v="16"/>
    <s v="최봉환"/>
    <s v="보도자료68"/>
    <s v="“제주개, 한국 ‘토종개’ 맞다” 유전적 독립성 확인"/>
    <s v="헤드라인제주"/>
    <d v="2019-07-23T00:00:00"/>
    <m/>
    <s v="13_인터넷포털"/>
    <n v="0.1"/>
    <d v="2019-07-24T00:00:00"/>
  </r>
  <r>
    <n v="3235"/>
    <s v="8_국립축산과학원"/>
    <s v="1_축산생명환경부"/>
    <x v="16"/>
    <s v="최봉환"/>
    <s v="보도자료68"/>
    <s v="멸종위기 ‘제주개’, 유전적 독창성... 한국 고유 토종개 맞다"/>
    <s v="제주의소리"/>
    <d v="2019-07-23T00:00:00"/>
    <m/>
    <s v="13_인터넷포털"/>
    <n v="0.1"/>
    <d v="2019-07-24T00:00:00"/>
  </r>
  <r>
    <n v="3236"/>
    <s v="8_국립축산과학원"/>
    <s v="2_축산자원개발부"/>
    <x v="8"/>
    <s v="박미나"/>
    <m/>
    <s v="괴산군, 2년 연속 ‘전국 한우 보증씨수소’ 선정"/>
    <s v="브레이크뉴스"/>
    <d v="2019-07-23T00:00:00"/>
    <m/>
    <s v="13_인터넷포털"/>
    <n v="0.1"/>
    <d v="2019-07-24T00:00:00"/>
  </r>
  <r>
    <n v="3237"/>
    <s v="8_국립축산과학원"/>
    <s v="0_본원"/>
    <x v="13"/>
    <s v="정성훈"/>
    <m/>
    <s v="예천군, 맞춤형 종합컨설팅으로 한우농가 애로기술 해결"/>
    <s v="중부뉴스통신"/>
    <d v="2019-07-23T00:00:00"/>
    <m/>
    <s v="13_인터넷포털"/>
    <n v="0.1"/>
    <d v="2019-07-24T00:00:00"/>
  </r>
  <r>
    <n v="3238"/>
    <s v="8_국립축산과학원"/>
    <s v="0_본원"/>
    <x v="13"/>
    <s v="정성훈"/>
    <m/>
    <s v="예천군, 축산농가에 종합컨설팅 제공"/>
    <s v="표준방송FMTV"/>
    <d v="2019-07-23T00:00:00"/>
    <m/>
    <s v="13_인터넷포털"/>
    <n v="0.1"/>
    <d v="2019-07-24T00:00:00"/>
  </r>
  <r>
    <n v="3239"/>
    <s v="8_국립축산과학원"/>
    <s v="0_본원"/>
    <x v="13"/>
    <s v="정성훈"/>
    <m/>
    <s v="예천군, 축산농가에 맞춤형 종합컨설팅 제공"/>
    <s v="경북제일신문"/>
    <d v="2019-07-23T00:00:00"/>
    <m/>
    <s v="13_인터넷포털"/>
    <n v="0.1"/>
    <d v="2019-07-24T00:00:00"/>
  </r>
  <r>
    <n v="3240"/>
    <s v="8_국립축산과학원"/>
    <s v="2_축산자원개발부"/>
    <x v="8"/>
    <s v="박미나"/>
    <m/>
    <s v="괴산한우, 2년 연속 보증씨 수소 선발 ‘쾌거’"/>
    <s v="세종데일리"/>
    <d v="2019-07-23T00:00:00"/>
    <m/>
    <s v="13_인터넷포털"/>
    <n v="0.1"/>
    <d v="2019-07-24T00:00:00"/>
  </r>
  <r>
    <n v="3241"/>
    <s v="8_국립축산과학원"/>
    <s v="2_축산자원개발부"/>
    <x v="8"/>
    <s v="박미나"/>
    <m/>
    <s v="‘괴산 한우’ 우수성 입증...원영호씨 한우 ‘보증씨 수소’ 선발"/>
    <s v="충북뉴스"/>
    <d v="2019-07-23T00:00:00"/>
    <m/>
    <s v="13_인터넷포털"/>
    <n v="0.1"/>
    <d v="2019-07-24T00:00:00"/>
  </r>
  <r>
    <n v="3242"/>
    <s v="8_국립축산과학원"/>
    <s v="2_축산자원개발부"/>
    <x v="8"/>
    <s v="박미나"/>
    <m/>
    <s v="괴산한우, 2년 연속 보증씨 수소 선발 ‘쾌거’"/>
    <s v="한국공보뉴스"/>
    <d v="2019-07-23T00:00:00"/>
    <m/>
    <s v="13_인터넷포털"/>
    <n v="0.1"/>
    <d v="2019-07-24T00:00:00"/>
  </r>
  <r>
    <n v="3243"/>
    <s v="8_국립축산과학원"/>
    <s v="1_축산생명환경부"/>
    <x v="16"/>
    <s v="최봉환"/>
    <s v="보도자료68"/>
    <s v="유전자 분석결과 ‘제주개는 고유 토종개’"/>
    <s v="에코타임스"/>
    <d v="2019-07-24T00:00:00"/>
    <m/>
    <s v="13_인터넷포털"/>
    <n v="0.1"/>
    <d v="2019-07-24T00:00:00"/>
  </r>
  <r>
    <n v="3244"/>
    <s v="8_국립축산과학원"/>
    <s v="1_축산생명환경부"/>
    <x v="16"/>
    <s v="최봉환"/>
    <s v="보도자료68"/>
    <s v="‘제주개’도 한국 토종개다"/>
    <s v="중부뉴스통신"/>
    <d v="2019-07-24T00:00:00"/>
    <m/>
    <s v="13_인터넷포털"/>
    <n v="0.1"/>
    <d v="2019-07-24T00:00:00"/>
  </r>
  <r>
    <n v="3245"/>
    <s v="8_국립축산과학원"/>
    <s v="1_축산생명환경부"/>
    <x v="16"/>
    <s v="최봉환"/>
    <s v="보도자료68"/>
    <s v="‘제주개’도 한국 토종개다"/>
    <s v="IPN뉴스"/>
    <d v="2019-07-24T00:00:00"/>
    <m/>
    <s v="13_인터넷포털"/>
    <n v="0.1"/>
    <d v="2019-07-24T00:00:00"/>
  </r>
  <r>
    <n v="3246"/>
    <s v="8_국립축산과학원"/>
    <s v="1_축산생명환경부"/>
    <x v="16"/>
    <s v="최봉환"/>
    <s v="보도자료68"/>
    <s v="‘제주개’도 한국 토종개다!"/>
    <s v="서울신문"/>
    <d v="2019-07-24T00:00:00"/>
    <m/>
    <s v="07_중앙일간지"/>
    <n v="5"/>
    <d v="2019-07-25T00:00:00"/>
  </r>
  <r>
    <n v="3247"/>
    <s v="8_국립축산과학원"/>
    <s v="0_본원"/>
    <x v="3"/>
    <s v="도윤정"/>
    <m/>
    <s v="반려동물 ‘간호·훈련’ 국가자격 생긴다"/>
    <s v="경향신문"/>
    <d v="2019-07-25T00:00:00"/>
    <n v="19"/>
    <s v="07_중앙일간지"/>
    <n v="5"/>
    <d v="2019-07-25T00:00:00"/>
  </r>
  <r>
    <n v="3248"/>
    <s v="8_국립축산과학원"/>
    <s v="2_축산자원개발부"/>
    <x v="8"/>
    <s v="박미나"/>
    <m/>
    <s v="괴산한우, 보증씨 수소 선발"/>
    <s v="신아일보"/>
    <d v="2019-07-24T00:00:00"/>
    <m/>
    <s v="08_기타일간지"/>
    <n v="2"/>
    <d v="2019-07-25T00:00:00"/>
  </r>
  <r>
    <n v="3249"/>
    <s v="8_국립축산과학원"/>
    <s v="0_본원"/>
    <x v="14"/>
    <s v="조상래"/>
    <s v="보도자료63"/>
    <s v="소 번식 첨단기술 ‘한·일 심포지엄’ 개최"/>
    <s v="농축환경신문"/>
    <d v="2019-07-18T00:00:00"/>
    <n v="8"/>
    <s v="09_농업전문지"/>
    <n v="1.5"/>
    <d v="2019-07-25T00:00:00"/>
  </r>
  <r>
    <n v="3250"/>
    <s v="8_국립축산과학원"/>
    <s v="1_축산생명환경부"/>
    <x v="16"/>
    <s v="최봉환"/>
    <s v="보도자료68"/>
    <s v="‘제주개’ 한국 토종개 확인"/>
    <s v="전라일보"/>
    <d v="2019-07-24T00:00:00"/>
    <n v="6"/>
    <s v="09_지방일간지"/>
    <n v="1.5"/>
    <d v="2019-07-25T00:00:00"/>
  </r>
  <r>
    <n v="3251"/>
    <s v="8_국립축산과학원"/>
    <s v="1_축산생명환경부"/>
    <x v="16"/>
    <s v="최봉환"/>
    <s v="보도자료68"/>
    <s v="“제주개, 한국 고유 토종개”"/>
    <s v="전라매일"/>
    <d v="2019-07-24T00:00:00"/>
    <n v="4"/>
    <s v="09_지방일간지"/>
    <n v="1.5"/>
    <d v="2019-07-25T00:00:00"/>
  </r>
  <r>
    <n v="3252"/>
    <s v="8_국립축산과학원"/>
    <s v="0_본원"/>
    <x v="13"/>
    <s v="정성훈"/>
    <m/>
    <s v="한우농가 애로기술 해결 맞춤 컨설팅(예천)"/>
    <s v="경북연합일보"/>
    <d v="2019-07-24T00:00:00"/>
    <n v="11"/>
    <s v="09_지방일간지"/>
    <n v="1.5"/>
    <d v="2019-07-25T00:00:00"/>
  </r>
  <r>
    <n v="3253"/>
    <s v="8_국립축산과학원"/>
    <s v="0_본원"/>
    <x v="13"/>
    <s v="정성훈"/>
    <m/>
    <s v="예천군, 맞춤형 종합컨설팅으로 한우농가 애로기술 해결"/>
    <s v="일간경북신문"/>
    <d v="2019-07-24T00:00:00"/>
    <n v="11"/>
    <s v="09_지방일간지"/>
    <n v="1.5"/>
    <d v="2019-07-25T00:00:00"/>
  </r>
  <r>
    <n v="3254"/>
    <s v="8_국립축산과학원"/>
    <s v="0_본원"/>
    <x v="13"/>
    <s v="정성훈"/>
    <m/>
    <s v="예천군, 축산농가 종합컨설팅 실시"/>
    <s v="산경일보"/>
    <d v="2019-07-24T00:00:00"/>
    <n v="13"/>
    <s v="09_지방일간지"/>
    <n v="1.5"/>
    <d v="2019-07-25T00:00:00"/>
  </r>
  <r>
    <n v="3255"/>
    <s v="8_국립축산과학원"/>
    <s v="2_축산자원개발부"/>
    <x v="8"/>
    <s v="박미나"/>
    <m/>
    <s v="괴산한우, 2년 연속 보증씨 수소 선발 ‘쾌거’"/>
    <s v="충청신문"/>
    <d v="2019-07-24T00:00:00"/>
    <n v="10"/>
    <s v="09_지방일간지"/>
    <n v="1.5"/>
    <d v="2019-07-25T00:00:00"/>
  </r>
  <r>
    <n v="3256"/>
    <s v="8_국립축산과학원"/>
    <s v="2_축산자원개발부"/>
    <x v="8"/>
    <s v="박미나"/>
    <m/>
    <s v="괴산한우, 2년 연속 보증씨 수소 선발 ‘쾌거’"/>
    <s v="동양일보"/>
    <d v="2019-07-24T00:00:00"/>
    <n v="9"/>
    <s v="09_지방일간지"/>
    <n v="1.5"/>
    <d v="2019-07-25T00:00:00"/>
  </r>
  <r>
    <n v="3257"/>
    <s v="8_국립축산과학원"/>
    <s v="2_축산자원개발부"/>
    <x v="8"/>
    <s v="박미나"/>
    <m/>
    <s v="괴산한우, 2년 연속 보증씨 수소 선발 ‘쾌거’"/>
    <s v="중앙매일"/>
    <d v="2019-07-24T00:00:00"/>
    <n v="12"/>
    <s v="09_지방일간지"/>
    <n v="1.5"/>
    <d v="2019-07-25T00:00:00"/>
  </r>
  <r>
    <n v="3258"/>
    <s v="8_국립축산과학원"/>
    <s v="0_본원"/>
    <x v="13"/>
    <s v="정성훈"/>
    <m/>
    <s v="서천, 한우농가 종합컨설팅으로 현장애로 해결"/>
    <s v="중도일보"/>
    <d v="2019-07-24T00:00:00"/>
    <m/>
    <s v="09_지방일간지"/>
    <n v="1.5"/>
    <d v="2019-07-25T00:00:00"/>
  </r>
  <r>
    <n v="3259"/>
    <s v="8_국립축산과학원"/>
    <s v="0_본원"/>
    <x v="13"/>
    <s v="정성훈"/>
    <m/>
    <s v="한우농가 애로기술 해결 ‘맞춤형 종합컨설팅’ 호응"/>
    <s v="경북매일"/>
    <d v="2019-07-24T00:00:00"/>
    <m/>
    <s v="09_지방일간지"/>
    <n v="1.5"/>
    <d v="2019-07-25T00:00:00"/>
  </r>
  <r>
    <n v="3260"/>
    <s v="8_국립축산과학원"/>
    <s v="2_축산자원개발부"/>
    <x v="0"/>
    <s v="백선영"/>
    <s v="보도자료64"/>
    <s v="“여름철 돼지 액상정액, 위생관리 중요해요”"/>
    <s v="한국양돈신문"/>
    <d v="2019-07-23T00:00:00"/>
    <n v="15"/>
    <s v="10_기타전문지"/>
    <n v="1"/>
    <d v="2019-07-25T00:00:00"/>
  </r>
  <r>
    <n v="3261"/>
    <s v="8_국립축산과학원"/>
    <s v="2_축산자원개발부"/>
    <x v="12"/>
    <s v="기광석"/>
    <m/>
    <s v="여름철 유황 등 다량 섭취 생산량 저하"/>
    <s v="낙농신문"/>
    <d v="2019-07-25T00:00:00"/>
    <n v="13"/>
    <s v="10_기타전문지"/>
    <n v="1"/>
    <d v="2019-07-25T00:00:00"/>
  </r>
  <r>
    <n v="3262"/>
    <s v="8_국립축산과학원"/>
    <s v="1_축산생명환경부"/>
    <x v="16"/>
    <s v="최봉환"/>
    <s v="보도자료68"/>
    <s v="제주개, 한국 토종개와 유전적 거리 가까워"/>
    <s v="식약일보"/>
    <d v="2019-07-24T00:00:00"/>
    <m/>
    <s v="10_기타전문지"/>
    <n v="1"/>
    <d v="2019-07-25T00:00:00"/>
  </r>
  <r>
    <n v="3263"/>
    <s v="8_국립축산과학원"/>
    <s v="0_본원"/>
    <x v="13"/>
    <s v="정성훈"/>
    <m/>
    <s v="맞춤형 종합컨설팅으로 한우농가 애로기술 해결"/>
    <s v="대구경북일보"/>
    <d v="2019-07-24T00:00:00"/>
    <n v="6"/>
    <s v="11_기타(지역주간지)"/>
    <n v="0.5"/>
    <d v="2019-07-25T00:00:00"/>
  </r>
  <r>
    <n v="3264"/>
    <s v="8_국립축산과학원"/>
    <s v="1_축산생명환경부"/>
    <x v="16"/>
    <s v="최봉환"/>
    <s v="보도자료68"/>
    <s v="‘제주개’도 한국 토종개다"/>
    <s v="시사우리신문"/>
    <d v="2019-07-24T00:00:00"/>
    <m/>
    <s v="11_기타(지역주간지)"/>
    <n v="0.5"/>
    <d v="2019-07-25T00:00:00"/>
  </r>
  <r>
    <n v="3265"/>
    <s v="8_국립축산과학원"/>
    <s v="1_축산생명환경부"/>
    <x v="16"/>
    <s v="최봉환"/>
    <s v="보도자료68"/>
    <s v="‘제주개’도 한국 토종개다"/>
    <s v="강원경제신문"/>
    <d v="2019-07-24T00:00:00"/>
    <m/>
    <s v="13_인터넷포털"/>
    <n v="0.1"/>
    <d v="2019-07-25T00:00:00"/>
  </r>
  <r>
    <n v="3266"/>
    <s v="8_국립축산과학원"/>
    <s v="0_본원"/>
    <x v="13"/>
    <s v="정성훈"/>
    <m/>
    <s v="서천군, 한우농가 1:1 종합컨설팅 실시"/>
    <s v="NSP통신"/>
    <d v="2019-07-24T00:00:00"/>
    <m/>
    <s v="13_인터넷포털"/>
    <n v="0.1"/>
    <d v="2019-07-25T00:00:00"/>
  </r>
  <r>
    <n v="3267"/>
    <s v="8_국립축산과학원"/>
    <s v="1_축산생명환경부"/>
    <x v="16"/>
    <s v="최봉환"/>
    <s v="보도자료68"/>
    <s v="‘제주개’ 한국 고유 토종개와 유전적 거리 가까워"/>
    <s v="더코리아뉴스"/>
    <d v="2019-07-24T00:00:00"/>
    <m/>
    <s v="13_인터넷포털"/>
    <n v="0.1"/>
    <d v="2019-07-25T00:00:00"/>
  </r>
  <r>
    <n v="3268"/>
    <s v="8_국립축산과학원"/>
    <s v="0_본원"/>
    <x v="13"/>
    <s v="정성훈"/>
    <m/>
    <s v="서천군, ‘한우농가 종합컨설팅’ 실시"/>
    <s v="로컬투데이"/>
    <d v="2019-07-24T00:00:00"/>
    <m/>
    <s v="13_인터넷포털"/>
    <n v="0.1"/>
    <d v="2019-07-25T00:00:00"/>
  </r>
  <r>
    <n v="3269"/>
    <s v="8_국립축산과학원"/>
    <s v="0_본원"/>
    <x v="13"/>
    <s v="정성훈"/>
    <m/>
    <s v="서천군, 한우농가 1:1 종합컨설팅으로 현장 애로기술 해결"/>
    <s v="뉴스충청인"/>
    <d v="2019-07-24T00:00:00"/>
    <m/>
    <s v="13_인터넷포털"/>
    <n v="0.1"/>
    <d v="2019-07-25T00:00:00"/>
  </r>
  <r>
    <n v="3270"/>
    <s v="8_국립축산과학원"/>
    <s v="0_본원"/>
    <x v="13"/>
    <s v="정성훈"/>
    <m/>
    <s v="서천농기센터, 축산분야 현장 애로기술 해결 전문가 종합컨설팅 진행"/>
    <s v="한국공보뉴스"/>
    <d v="2019-07-24T00:00:00"/>
    <m/>
    <s v="13_인터넷포털"/>
    <n v="0.1"/>
    <d v="2019-07-25T00:00:00"/>
  </r>
  <r>
    <n v="3271"/>
    <s v="8_국립축산과학원"/>
    <s v="1_축산생명환경부"/>
    <x v="9"/>
    <s v="김종복"/>
    <s v="보도자료69"/>
    <s v="‘여름철 축사 정전’, 철저한 대비 필요"/>
    <s v="오가닉라이프"/>
    <d v="2019-07-25T00:00:00"/>
    <m/>
    <s v="13_인터넷포털"/>
    <n v="0.1"/>
    <d v="2019-07-25T00:00:00"/>
  </r>
  <r>
    <n v="3272"/>
    <s v="8_국립축산과학원"/>
    <s v="1_축산생명환경부"/>
    <x v="16"/>
    <s v="최봉환"/>
    <s v="보도자료68"/>
    <s v="‘제주개’도 한국 토종개"/>
    <s v="뉴스렙"/>
    <d v="2019-07-24T00:00:00"/>
    <m/>
    <s v="13_인터넷포털"/>
    <n v="0.1"/>
    <d v="2019-07-25T00:00:00"/>
  </r>
  <r>
    <n v="3273"/>
    <s v="8_국립축산과학원"/>
    <s v="1_축산생명환경부"/>
    <x v="16"/>
    <s v="최봉환"/>
    <s v="보도자료68"/>
    <s v="‘제주개’도 한국 토종개다"/>
    <s v="업코리아"/>
    <d v="2019-07-24T00:00:00"/>
    <m/>
    <s v="13_인터넷포털"/>
    <n v="0.1"/>
    <d v="2019-07-25T00:00:00"/>
  </r>
  <r>
    <n v="3274"/>
    <s v="8_국립축산과학원"/>
    <s v="1_축산생명환경부"/>
    <x v="9"/>
    <s v="김종복"/>
    <s v="보도자료69"/>
    <s v="‘여름철 축사 정전’, 철저히 대비 하세요"/>
    <s v="프레시안"/>
    <d v="2019-07-25T00:00:00"/>
    <m/>
    <s v="13_인터넷포털"/>
    <n v="0.1"/>
    <d v="2019-07-25T00:00:00"/>
  </r>
  <r>
    <n v="3275"/>
    <s v="8_국립축산과학원"/>
    <s v="1_축산생명환경부"/>
    <x v="16"/>
    <s v="최봉환"/>
    <s v="보도자료68"/>
    <s v="제주개(犬).. 한국 토종개 확인(8시뉴스)"/>
    <s v="JIBS"/>
    <d v="2019-07-23T00:00:00"/>
    <m/>
    <s v="02_TV-지방"/>
    <n v="4"/>
    <d v="2019-07-26T00:00:00"/>
  </r>
  <r>
    <n v="3276"/>
    <s v="8_국립축산과학원"/>
    <s v="1_축산생명환경부"/>
    <x v="16"/>
    <s v="최봉환"/>
    <s v="보도자료68"/>
    <s v="제주 개(犬)…한국 토종개 확인(민방네트워크)"/>
    <s v="TBC"/>
    <d v="2019-07-24T00:00:00"/>
    <m/>
    <s v="02_TV-지방"/>
    <n v="4"/>
    <d v="2019-07-26T00:00:00"/>
  </r>
  <r>
    <n v="3277"/>
    <s v="8_국립축산과학원"/>
    <s v="0_본원"/>
    <x v="14"/>
    <s v="조상래"/>
    <s v="보도자료67"/>
    <s v="신비로운 생명과학 배우는 생생 체험"/>
    <s v="머니투데이"/>
    <d v="2019-07-19T00:00:00"/>
    <m/>
    <s v="07_중앙일간지"/>
    <n v="5"/>
    <d v="2019-07-26T00:00:00"/>
  </r>
  <r>
    <n v="3278"/>
    <s v="8_국립축산과학원"/>
    <s v="1_축산생명환경부"/>
    <x v="16"/>
    <s v="최봉환"/>
    <s v="보도자료68"/>
    <s v="“제주개는 한국 고유 토종개... 독립적인 품종”"/>
    <s v="매일경제"/>
    <d v="2019-07-23T00:00:00"/>
    <m/>
    <s v="07_중앙일간지"/>
    <n v="5"/>
    <d v="2019-07-26T00:00:00"/>
  </r>
  <r>
    <n v="3279"/>
    <s v="8_국립축산과학원"/>
    <s v="1_축산생명환경부"/>
    <x v="16"/>
    <s v="최봉환"/>
    <s v="보도자료68"/>
    <s v="농촌진흥청, “제주개는 한국 고유 토종개…독립적인 품종”(KBS NEWS)"/>
    <s v="KBS RADIO"/>
    <d v="2019-07-23T00:00:00"/>
    <m/>
    <s v="05_라디오-중앙"/>
    <n v="3"/>
    <d v="2019-07-26T00:00:00"/>
  </r>
  <r>
    <n v="3280"/>
    <s v="8_국립축산과학원"/>
    <s v="1_축산생명환경부"/>
    <x v="9"/>
    <s v="김종복"/>
    <s v="보도자료69"/>
    <s v="농촌진흥청, 여름철 축사 정전 대비·대응 요령 제시"/>
    <s v="매일일보"/>
    <d v="2019-07-26T00:00:00"/>
    <m/>
    <s v="08_기타일간지"/>
    <n v="2"/>
    <d v="2019-07-26T00:00:00"/>
  </r>
  <r>
    <n v="3281"/>
    <s v="8_국립축산과학원"/>
    <s v="2_축산자원개발부"/>
    <x v="8"/>
    <s v="박미나"/>
    <m/>
    <s v="충북형 보증씨수소 1호 선발"/>
    <s v="축산경제"/>
    <d v="2019-07-22T00:00:00"/>
    <n v="10"/>
    <s v="09_농업전문지"/>
    <n v="1.5"/>
    <d v="2019-07-26T00:00:00"/>
  </r>
  <r>
    <n v="3282"/>
    <s v="8_국립축산과학원"/>
    <s v="1_축산생명환경부"/>
    <x v="16"/>
    <s v="최봉환"/>
    <s v="보도자료68"/>
    <s v="‘제주개’도 천연기념물 지정될까…"/>
    <s v="농촌여성신문"/>
    <d v="2019-07-25T00:00:00"/>
    <m/>
    <s v="09_농업전문지"/>
    <n v="1.5"/>
    <d v="2019-07-26T00:00:00"/>
  </r>
  <r>
    <n v="3283"/>
    <s v="8_국립축산과학원"/>
    <s v="1_축산생명환경부"/>
    <x v="16"/>
    <s v="최봉환"/>
    <s v="보도자료68"/>
    <s v="‘제주개’도 한국 토종개다!"/>
    <s v="한국농촌경제신문"/>
    <d v="2019-07-26T00:00:00"/>
    <m/>
    <s v="09_농업전문지"/>
    <n v="1.5"/>
    <d v="2019-07-26T00:00:00"/>
  </r>
  <r>
    <n v="3284"/>
    <s v="8_국립축산과학원"/>
    <s v="0_본원"/>
    <x v="13"/>
    <s v="정성훈"/>
    <m/>
    <s v="서천농기센터 한우농가 1:1 맞춤형 컨설팅"/>
    <s v="금강일보"/>
    <d v="2019-07-25T00:00:00"/>
    <n v="15"/>
    <s v="09_지방일간지"/>
    <n v="1.5"/>
    <d v="2019-07-26T00:00:00"/>
  </r>
  <r>
    <n v="3285"/>
    <s v="8_국립축산과학원"/>
    <s v="0_본원"/>
    <x v="13"/>
    <s v="정성훈"/>
    <m/>
    <s v="서천군, 한우농가 1:1 종합컨설팅 호응"/>
    <s v="충청신문"/>
    <d v="2019-07-25T00:00:00"/>
    <n v="15"/>
    <s v="09_지방일간지"/>
    <n v="1.5"/>
    <d v="2019-07-26T00:00:00"/>
  </r>
  <r>
    <n v="3286"/>
    <s v="8_국립축산과학원"/>
    <s v="0_본원"/>
    <x v="2"/>
    <s v="김용민"/>
    <m/>
    <s v="한국형 흑돼지 개발해 농진청 차세대 연구원에 선정된 김용민 연구사"/>
    <s v="전북일보"/>
    <d v="2019-07-25T00:00:00"/>
    <m/>
    <s v="09_지방일간지"/>
    <n v="1.5"/>
    <d v="2019-07-26T00:00:00"/>
  </r>
  <r>
    <n v="3287"/>
    <s v="8_국립축산과학원"/>
    <s v="1_축산생명환경부"/>
    <x v="16"/>
    <s v="최봉환"/>
    <s v="보도자료68"/>
    <s v="농촌진흥청 “제주개 고유 토종개 맞다”"/>
    <s v="한라일보"/>
    <d v="2019-07-23T00:00:00"/>
    <m/>
    <s v="09_지방일간지"/>
    <n v="1.5"/>
    <d v="2019-07-26T00:00:00"/>
  </r>
  <r>
    <n v="3288"/>
    <s v="8_국립축산과학원"/>
    <s v="1_축산생명환경부"/>
    <x v="16"/>
    <s v="최봉환"/>
    <s v="보도자료68"/>
    <s v="제주개, 고유 혈통 지닌 한국 토종개로 확인"/>
    <s v="금강일보"/>
    <d v="2019-07-23T00:00:00"/>
    <m/>
    <s v="09_지방일간지"/>
    <n v="1.5"/>
    <d v="2019-07-26T00:00:00"/>
  </r>
  <r>
    <n v="3289"/>
    <s v="8_국립축산과학원"/>
    <s v="1_축산생명환경부"/>
    <x v="9"/>
    <s v="김종복"/>
    <s v="보도자료69"/>
    <s v="여름철 축사 정전, 미리 자가발전기 준비"/>
    <s v="식약일보"/>
    <d v="2019-07-26T00:00:00"/>
    <m/>
    <s v="10_기타전문지"/>
    <n v="1"/>
    <d v="2019-07-26T00:00:00"/>
  </r>
  <r>
    <n v="3290"/>
    <s v="8_국립축산과학원"/>
    <s v="0_본원"/>
    <x v="14"/>
    <s v="조상래"/>
    <s v="보도자료67"/>
    <s v="신비로운 생명과학 배우는 ‘생생 체험’"/>
    <s v="정책브리핑"/>
    <d v="2019-07-22T00:00:00"/>
    <m/>
    <s v="12_대한민국 정책포털(korea.kr)"/>
    <n v="1"/>
    <d v="2019-07-26T00:00:00"/>
  </r>
  <r>
    <n v="3291"/>
    <s v="8_국립축산과학원"/>
    <s v="1_축산생명환경부"/>
    <x v="16"/>
    <s v="최봉환"/>
    <s v="보도자료68"/>
    <s v="‘제주개’도 한국 토종개다!"/>
    <s v="정책브리핑"/>
    <d v="2019-07-24T00:00:00"/>
    <m/>
    <s v="12_대한민국 정책포털(korea.kr)"/>
    <n v="1"/>
    <d v="2019-07-26T00:00:00"/>
  </r>
  <r>
    <n v="3292"/>
    <s v="8_국립축산과학원"/>
    <s v="0_본원"/>
    <x v="13"/>
    <s v="김창한"/>
    <m/>
    <s v="경남도, 축산농가 냉방장비 설치 지원"/>
    <s v="농업경제신문"/>
    <d v="2019-07-25T00:00:00"/>
    <m/>
    <s v="13_인터넷포털"/>
    <n v="0.1"/>
    <d v="2019-07-26T00:00:00"/>
  </r>
  <r>
    <n v="3293"/>
    <s v="8_국립축산과학원"/>
    <s v="1_축산생명환경부"/>
    <x v="16"/>
    <s v="최봉환"/>
    <s v="보도자료68"/>
    <s v="제주도 진돗개처럼 천연기념물 이름 올릴까?"/>
    <s v="톱데일리"/>
    <d v="2019-07-24T00:00:00"/>
    <m/>
    <s v="13_인터넷포털"/>
    <n v="0.1"/>
    <d v="2019-07-26T00:00:00"/>
  </r>
  <r>
    <n v="3294"/>
    <s v="8_국립축산과학원"/>
    <s v="1_축산생명환경부"/>
    <x v="16"/>
    <s v="최봉환"/>
    <s v="보도자료68"/>
    <s v="농진청, ‘제주개’...한국 토종개"/>
    <s v="로컬투데이"/>
    <d v="2019-07-24T00:00:00"/>
    <m/>
    <s v="13_인터넷포털"/>
    <n v="0.1"/>
    <d v="2019-07-26T00:00:00"/>
  </r>
  <r>
    <n v="3295"/>
    <s v="8_국립축산과학원"/>
    <s v="1_축산생명환경부"/>
    <x v="16"/>
    <s v="최봉환"/>
    <s v="보도자료68"/>
    <s v="‘제주개’도 한국 고유의 토종개"/>
    <s v="코리안스피릿"/>
    <d v="2019-07-24T00:00:00"/>
    <m/>
    <s v="13_인터넷포털"/>
    <n v="0.1"/>
    <d v="2019-07-26T00:00:00"/>
  </r>
  <r>
    <n v="3296"/>
    <s v="8_국립축산과학원"/>
    <s v="1_축산생명환경부"/>
    <x v="16"/>
    <s v="최봉환"/>
    <s v="보도자료68"/>
    <s v="‘제주개’도 한국 토종개다"/>
    <s v="팍스뉴스"/>
    <d v="2019-07-24T00:00:00"/>
    <m/>
    <s v="13_인터넷포털"/>
    <n v="0.1"/>
    <d v="2019-07-26T00:00:00"/>
  </r>
  <r>
    <n v="3297"/>
    <s v="8_국립축산과학원"/>
    <s v="0_본원"/>
    <x v="4"/>
    <s v="천동원"/>
    <s v="기고"/>
    <s v="[기고] 천동원 소장-축산현장 애로기술 해결 위한 닭 키우기[100문 100답] Q74"/>
    <s v="축산신문"/>
    <d v="2019-07-26T00:00:00"/>
    <n v="15"/>
    <s v="17_농업전문지"/>
    <n v="8"/>
    <d v="2019-07-30T00:00:00"/>
  </r>
  <r>
    <n v="3298"/>
    <s v="8_국립축산과학원"/>
    <s v="1_축산생명환경부"/>
    <x v="9"/>
    <s v="김종복"/>
    <s v="보도자료69"/>
    <s v="‘여름철 축사 정전’, 철저히 대비 하세요"/>
    <s v="서울신문"/>
    <d v="2019-07-26T00:00:00"/>
    <m/>
    <s v="07_중앙일간지"/>
    <n v="5"/>
    <d v="2019-07-30T00:00:00"/>
  </r>
  <r>
    <n v="3299"/>
    <s v="8_국립축산과학원"/>
    <s v="0_본원"/>
    <x v="2"/>
    <s v="강희설"/>
    <m/>
    <s v="국산 종축 개발 ‘활발’…종축시장의 자립 실현에 ‘성큼’"/>
    <s v="서울신문"/>
    <d v="2019-07-30T00:00:00"/>
    <n v="34"/>
    <s v="07_중앙일간지"/>
    <n v="5"/>
    <d v="2019-07-30T00:00:00"/>
  </r>
  <r>
    <n v="3300"/>
    <s v="8_국립축산과학원"/>
    <s v="0_본원"/>
    <x v="14"/>
    <s v="장선식"/>
    <m/>
    <s v="장흥, 2019 장흥한우 사양기술교육 마무리"/>
    <s v="서울일보"/>
    <d v="2019-07-29T00:00:00"/>
    <n v="14"/>
    <s v="08_기타일간지"/>
    <n v="2"/>
    <d v="2019-07-30T00:00:00"/>
  </r>
  <r>
    <n v="3301"/>
    <s v="8_국립축산과학원"/>
    <s v="0_본원"/>
    <x v="14"/>
    <s v="장선식"/>
    <m/>
    <s v="장흥군 ‘2019 장흥한우 사양 기술 교육’"/>
    <s v="아시아일보"/>
    <d v="2019-07-29T00:00:00"/>
    <m/>
    <s v="08_기타일간지"/>
    <n v="2"/>
    <d v="2019-07-30T00:00:00"/>
  </r>
  <r>
    <n v="3302"/>
    <s v="8_국립축산과학원"/>
    <s v="0_본원"/>
    <x v="14"/>
    <s v="조상래"/>
    <s v="보도자료67"/>
    <s v="신비로운 생명과학 ‘생생체험’ 기회 제공"/>
    <s v="축산신문"/>
    <d v="2019-07-26T00:00:00"/>
    <n v="12"/>
    <s v="09_농업전문지"/>
    <n v="1.5"/>
    <d v="2019-07-30T00:00:00"/>
  </r>
  <r>
    <n v="3303"/>
    <s v="8_국립축산과학원"/>
    <s v="0_본원"/>
    <x v="3"/>
    <s v="노재희"/>
    <s v="보도자료66"/>
    <s v="“가축 건강한 여름나기, 깨끗한 물관리부터”"/>
    <s v="축산신문"/>
    <d v="2019-07-26T00:00:00"/>
    <n v="3"/>
    <s v="09_농업전문지"/>
    <n v="1.5"/>
    <d v="2019-07-30T00:00:00"/>
  </r>
  <r>
    <n v="3304"/>
    <s v="8_국립축산과학원"/>
    <s v="2_축산자원개발부"/>
    <x v="8"/>
    <s v="최연호"/>
    <s v="보도자료65"/>
    <s v="우수 유전능력 가진 ‘보증씨수소’ 4마리 선발"/>
    <s v="농수축산신문"/>
    <d v="2019-07-26T00:00:00"/>
    <n v="6"/>
    <s v="09_농업전문지"/>
    <n v="1.5"/>
    <d v="2019-07-30T00:00:00"/>
  </r>
  <r>
    <n v="3305"/>
    <s v="8_국립축산과학원"/>
    <s v="0_본원"/>
    <x v="13"/>
    <s v="오형규"/>
    <m/>
    <s v="폭염 가축피해 줄여요"/>
    <s v="농수축산신문"/>
    <d v="2019-07-26T00:00:00"/>
    <n v="1"/>
    <s v="09_농업전문지"/>
    <n v="1.5"/>
    <d v="2019-07-30T00:00:00"/>
  </r>
  <r>
    <n v="3306"/>
    <s v="8_국립축산과학원"/>
    <s v="0_본원"/>
    <x v="3"/>
    <s v="노재희"/>
    <s v="보도자료66"/>
    <s v="가축 여름나기, 급수기 청소부터"/>
    <s v="농업인신문"/>
    <d v="2019-07-29T00:00:00"/>
    <n v="7"/>
    <s v="09_농업전문지"/>
    <n v="1.5"/>
    <d v="2019-07-30T00:00:00"/>
  </r>
  <r>
    <n v="3307"/>
    <s v="8_국립축산과학원"/>
    <s v="1_축산생명환경부"/>
    <x v="9"/>
    <s v="김종복"/>
    <s v="보도자료69"/>
    <s v="농진청, ‘여름철 축사 정전’ 철저 대비 당부"/>
    <s v="전업농신문"/>
    <d v="2019-07-26T00:00:00"/>
    <m/>
    <s v="09_농업전문지"/>
    <n v="1.5"/>
    <d v="2019-07-30T00:00:00"/>
  </r>
  <r>
    <n v="3308"/>
    <s v="8_국립축산과학원"/>
    <s v="1_축산생명환경부"/>
    <x v="9"/>
    <s v="김종복"/>
    <s v="보도자료69"/>
    <s v="여름철 축사 ‘정전’ 대비해야"/>
    <s v="한국영농신문"/>
    <d v="2019-07-29T00:00:00"/>
    <m/>
    <s v="09_농업전문지"/>
    <n v="1.5"/>
    <d v="2019-07-30T00:00:00"/>
  </r>
  <r>
    <n v="3309"/>
    <s v="8_국립축산과학원"/>
    <s v="1_축산생명환경부"/>
    <x v="16"/>
    <s v="최봉환"/>
    <s v="보도자료68"/>
    <s v="농진청, ‘제주개’ 한국 토종개"/>
    <s v="농축유통신문"/>
    <d v="2019-07-30T00:00:00"/>
    <m/>
    <s v="09_농업전문지"/>
    <n v="1.5"/>
    <d v="2019-07-30T00:00:00"/>
  </r>
  <r>
    <n v="3310"/>
    <s v="8_국립축산과학원"/>
    <s v="1_축산생명환경부"/>
    <x v="9"/>
    <s v="김종복"/>
    <s v="보도자료69"/>
    <s v="여름철 정전 대비로 축사 피해 최소화"/>
    <s v="전주일보"/>
    <d v="2019-07-26T00:00:00"/>
    <n v="4"/>
    <s v="09_지방일간지"/>
    <n v="1.5"/>
    <d v="2019-07-30T00:00:00"/>
  </r>
  <r>
    <n v="3311"/>
    <s v="8_국립축산과학원"/>
    <s v="1_축산생명환경부"/>
    <x v="9"/>
    <s v="김종복"/>
    <s v="보도자료69"/>
    <s v="농촌진흥청, 여름철 축사 정전 주의 당부"/>
    <s v="전라매일"/>
    <d v="2019-07-26T00:00:00"/>
    <n v="4"/>
    <s v="09_지방일간지"/>
    <n v="1.5"/>
    <d v="2019-07-30T00:00:00"/>
  </r>
  <r>
    <n v="3312"/>
    <s v="8_국립축산과학원"/>
    <s v="1_축산생명환경부"/>
    <x v="9"/>
    <s v="김종복"/>
    <s v="보도자료69"/>
    <s v="여름철 축사 정전 철저히 대비해야"/>
    <s v="삼남일보"/>
    <d v="2019-07-26T00:00:00"/>
    <n v="5"/>
    <s v="09_지방일간지"/>
    <n v="1.5"/>
    <d v="2019-07-30T00:00:00"/>
  </r>
  <r>
    <n v="3313"/>
    <s v="8_국립축산과학원"/>
    <s v="1_축산생명환경부"/>
    <x v="9"/>
    <s v="김종복"/>
    <s v="보도자료69"/>
    <s v="농진청, 축사 정전 대응 요령 소개"/>
    <s v="전라일보"/>
    <d v="2019-07-26T00:00:00"/>
    <n v="6"/>
    <s v="09_지방일간지"/>
    <n v="1.5"/>
    <d v="2019-07-30T00:00:00"/>
  </r>
  <r>
    <n v="3314"/>
    <s v="8_국립축산과학원"/>
    <s v="1_축산생명환경부"/>
    <x v="9"/>
    <s v="김종복"/>
    <s v="보도자료69"/>
    <s v="농진청 “여름철 축사 정전 철저히 대비 하세요”"/>
    <s v="전민일보"/>
    <d v="2019-07-26T00:00:00"/>
    <n v="5"/>
    <s v="09_지방일간지"/>
    <n v="1.5"/>
    <d v="2019-07-30T00:00:00"/>
  </r>
  <r>
    <n v="3315"/>
    <s v="8_국립축산과학원"/>
    <s v="0_본원"/>
    <x v="14"/>
    <s v="장선식"/>
    <m/>
    <s v="장흥한우 사육에 효율적 비육기술 도입한다"/>
    <s v="한성일보"/>
    <d v="2019-07-29T00:00:00"/>
    <n v="8"/>
    <s v="09_지방일간지"/>
    <n v="1.5"/>
    <d v="2019-07-30T00:00:00"/>
  </r>
  <r>
    <n v="3316"/>
    <s v="8_국립축산과학원"/>
    <s v="0_본원"/>
    <x v="14"/>
    <s v="장선식"/>
    <m/>
    <s v="장흥한우 사양기술교육 성황리 마무리"/>
    <s v="도민일보"/>
    <d v="2019-07-29T00:00:00"/>
    <n v="14"/>
    <s v="09_지방일간지"/>
    <n v="1.5"/>
    <d v="2019-07-30T00:00:00"/>
  </r>
  <r>
    <n v="3317"/>
    <s v="8_국립축산과학원"/>
    <s v="1_축산생명환경부"/>
    <x v="9"/>
    <s v="곽정훈"/>
    <m/>
    <s v="장마철 건강한 가축·축사 관리 방법은"/>
    <s v="말산업저널"/>
    <d v="2019-07-26T00:00:00"/>
    <m/>
    <s v="10_기타전문지"/>
    <n v="1"/>
    <d v="2019-07-30T00:00:00"/>
  </r>
  <r>
    <n v="3318"/>
    <s v="8_국립축산과학원"/>
    <s v="0_본원"/>
    <x v="14"/>
    <s v="장선식"/>
    <m/>
    <s v="“장흥한우 사육에 효율적 비육기술 도입한다”"/>
    <s v="뉴스메이커"/>
    <d v="2019-07-28T00:00:00"/>
    <m/>
    <s v="10_기타월간지"/>
    <n v="1"/>
    <d v="2019-07-30T00:00:00"/>
  </r>
  <r>
    <n v="3319"/>
    <s v="8_국립축산과학원"/>
    <s v="0_본원"/>
    <x v="3"/>
    <s v="노재희"/>
    <s v="보도자료66"/>
    <s v="여름철 가축 건강, 물관리가 중요"/>
    <s v="말산업저널"/>
    <d v="2019-07-28T00:00:00"/>
    <m/>
    <s v="10_기타전문지"/>
    <n v="1"/>
    <d v="2019-07-30T00:00:00"/>
  </r>
  <r>
    <n v="3320"/>
    <s v="8_국립축산과학원"/>
    <s v="1_축산생명환경부"/>
    <x v="5"/>
    <s v="조수현"/>
    <m/>
    <s v="담양군 한우저등급 저지방 부위건조숙성으로 부가가치 향상"/>
    <s v="metro"/>
    <d v="2019-07-30T00:00:00"/>
    <m/>
    <s v="10_무가지"/>
    <n v="1"/>
    <d v="2019-07-30T00:00:00"/>
  </r>
  <r>
    <n v="3321"/>
    <s v="8_국립축산과학원"/>
    <s v="0_본원"/>
    <x v="14"/>
    <s v="장선식"/>
    <m/>
    <s v="‘장흥한우’ 효율적 비육기술 도입한다"/>
    <s v="뉴스핌"/>
    <d v="2019-07-26T00:00:00"/>
    <m/>
    <s v="11_기타(지역주간지)"/>
    <n v="0.5"/>
    <d v="2019-07-30T00:00:00"/>
  </r>
  <r>
    <n v="3322"/>
    <s v="8_국립축산과학원"/>
    <s v="0_본원"/>
    <x v="14"/>
    <s v="장선식"/>
    <m/>
    <s v="장흥한우 사육에 효율적 비육기술 도입한다"/>
    <s v="일등방송"/>
    <d v="2019-07-26T00:00:00"/>
    <m/>
    <s v="13_인터넷포털"/>
    <n v="0.1"/>
    <d v="2019-07-30T00:00:00"/>
  </r>
  <r>
    <n v="3323"/>
    <s v="8_국립축산과학원"/>
    <s v="0_본원"/>
    <x v="14"/>
    <s v="장선식"/>
    <m/>
    <s v="장흥 한우 사육에 효율적 비육기술 도입한다"/>
    <s v="여성종합뉴스"/>
    <d v="2019-07-26T00:00:00"/>
    <m/>
    <s v="13_인터넷포털"/>
    <n v="0.1"/>
    <d v="2019-07-30T00:00:00"/>
  </r>
  <r>
    <n v="3324"/>
    <s v="8_국립축산과학원"/>
    <s v="0_본원"/>
    <x v="14"/>
    <s v="장선식"/>
    <m/>
    <s v="장흥군, “장흥한우 사육에 효율적 비육기술 도입”"/>
    <s v="중앙통신뉴스"/>
    <d v="2019-07-26T00:00:00"/>
    <m/>
    <s v="13_인터넷포털"/>
    <n v="0.1"/>
    <d v="2019-07-30T00:00:00"/>
  </r>
  <r>
    <n v="3325"/>
    <s v="8_국립축산과학원"/>
    <s v="0_본원"/>
    <x v="14"/>
    <s v="장선식"/>
    <m/>
    <s v="장흥한우 사육에 효율적 비육기술 도입한다"/>
    <s v="전라닷컴"/>
    <d v="2019-07-27T00:00:00"/>
    <m/>
    <s v="13_인터넷포털"/>
    <n v="0.1"/>
    <d v="2019-07-30T00:00:00"/>
  </r>
  <r>
    <n v="3326"/>
    <s v="8_국립축산과학원"/>
    <s v="1_축산생명환경부"/>
    <x v="9"/>
    <s v="김종복"/>
    <s v="보도자료69"/>
    <s v="여름철 축사 정전, 철저히 대비 하세요"/>
    <s v="톱뉴스"/>
    <d v="2019-07-27T00:00:00"/>
    <m/>
    <s v="13_인터넷포털"/>
    <n v="0.1"/>
    <d v="2019-07-30T00:00:00"/>
  </r>
  <r>
    <n v="3327"/>
    <s v="8_국립축산과학원"/>
    <s v="0_본원"/>
    <x v="14"/>
    <s v="장선식"/>
    <m/>
    <s v="전남 장흥군 “장흥한우 사육에 효율적 비육기술 도입한다”"/>
    <s v="위키트리"/>
    <d v="2019-07-28T00:00:00"/>
    <m/>
    <s v="13_인터넷포털"/>
    <n v="0.1"/>
    <d v="2019-07-30T00:00:00"/>
  </r>
  <r>
    <n v="3328"/>
    <s v="8_국립축산과학원"/>
    <s v="2_축산자원개발부"/>
    <x v="8"/>
    <s v="이승수"/>
    <s v="보도자료70"/>
    <s v="농촌진흥청, 한국형 씨돼지 9마리 선발"/>
    <s v="일간전북"/>
    <d v="2019-07-30T00:00:00"/>
    <m/>
    <s v="13_인터넷포털"/>
    <n v="0.1"/>
    <d v="2019-07-30T00:00:00"/>
  </r>
  <r>
    <n v="3329"/>
    <s v="8_국립축산과학원"/>
    <s v="1_축산생명환경부"/>
    <x v="5"/>
    <s v="조수현"/>
    <m/>
    <s v="담양군, 한우 저등급·저지방 부위 건조숙성으로 부가가치 향상"/>
    <s v="톡톡뉴스"/>
    <d v="2019-07-30T00:00:00"/>
    <m/>
    <s v="13_인터넷포털"/>
    <n v="0.1"/>
    <d v="2019-07-30T00:00:00"/>
  </r>
  <r>
    <n v="3330"/>
    <s v="8_국립축산과학원"/>
    <s v="1_축산생명환경부"/>
    <x v="5"/>
    <s v="조수현"/>
    <m/>
    <s v="담양군, ‘한우 숙성기술 활용방법’ 현장기술 지원"/>
    <s v="국제뉴스"/>
    <d v="2019-07-30T00:00:00"/>
    <m/>
    <s v="13_인터넷포털"/>
    <n v="0.1"/>
    <d v="2019-07-30T00:00:00"/>
  </r>
  <r>
    <n v="3331"/>
    <s v="8_국립축산과학원"/>
    <s v="1_축산생명환경부"/>
    <x v="5"/>
    <s v="조수현"/>
    <m/>
    <s v="담양군, 한우 저등급·저지방 부위 건조 숙성 기술 지원"/>
    <s v="NSP통신"/>
    <d v="2019-07-30T00:00:00"/>
    <m/>
    <s v="13_인터넷포털"/>
    <n v="0.1"/>
    <d v="2019-07-30T00:00:00"/>
  </r>
  <r>
    <n v="3332"/>
    <s v="8_국립축산과학원"/>
    <s v="2_축산자원개발부"/>
    <x v="12"/>
    <s v="이지환"/>
    <s v="기고"/>
    <s v="[기고] 이지환 연구사-젖소 혈액으로 더위에 강한 개체를 선발할 수 있을까?"/>
    <s v="농수축산신문"/>
    <d v="2019-07-30T00:00:00"/>
    <n v="13"/>
    <s v="17_농업전문지"/>
    <n v="8"/>
    <d v="2019-07-31T00:00:00"/>
  </r>
  <r>
    <n v="3333"/>
    <s v="8_국립축산과학원"/>
    <s v="2_축산자원개발부"/>
    <x v="8"/>
    <s v="이승수"/>
    <s v="보도자료70"/>
    <s v="돼지 개량 속도 낸다…‘한국형 씨돼지’ 9마리 뽑아"/>
    <s v="환경일보"/>
    <d v="2019-07-30T00:00:00"/>
    <m/>
    <s v="08_기타일간지"/>
    <n v="2"/>
    <d v="2019-07-31T00:00:00"/>
  </r>
  <r>
    <n v="3334"/>
    <s v="8_국립축산과학원"/>
    <s v="2_축산자원개발부"/>
    <x v="8"/>
    <s v="이승수"/>
    <s v="보도자료70"/>
    <s v="농촌진흥청, ‘한국형 씨돼지’ 9마리 선발"/>
    <s v="매일일보"/>
    <d v="2019-07-30T00:00:00"/>
    <m/>
    <s v="08_기타일간지"/>
    <n v="2"/>
    <d v="2019-07-31T00:00:00"/>
  </r>
  <r>
    <n v="3335"/>
    <s v="8_국립축산과학원"/>
    <s v="0_본원"/>
    <x v="4"/>
    <s v="강환구"/>
    <s v="보도자료71"/>
    <s v="농촌진흥청, 이달의 신간(육용종계 사양관리 지침서 등)"/>
    <s v="환경일보"/>
    <d v="2019-07-30T00:00:00"/>
    <m/>
    <s v="08_기타일간지"/>
    <n v="2"/>
    <d v="2019-07-31T00:00:00"/>
  </r>
  <r>
    <n v="3336"/>
    <s v="8_국립축산과학원"/>
    <s v="0_본원"/>
    <x v="3"/>
    <s v="노재희"/>
    <s v="보도자료66"/>
    <s v="여름철 질병 예방, 급수 관리서 시작"/>
    <s v="양돈타임스"/>
    <d v="2019-07-25T00:00:00"/>
    <n v="10"/>
    <s v="09_농업전문지"/>
    <n v="1.5"/>
    <d v="2019-07-31T00:00:00"/>
  </r>
  <r>
    <n v="3337"/>
    <s v="8_국립축산과학원"/>
    <s v="0_본원"/>
    <x v="3"/>
    <s v="노재희"/>
    <s v="보도자료66"/>
    <s v="가축의 건강한 여름나기? ‘깨끗한 물관리’"/>
    <s v="농축환경신문"/>
    <d v="2019-07-25T00:00:00"/>
    <n v="8"/>
    <s v="09_농업전문지"/>
    <n v="1.5"/>
    <d v="2019-07-31T00:00:00"/>
  </r>
  <r>
    <n v="3338"/>
    <s v="8_국립축산과학원"/>
    <s v="0_본원"/>
    <x v="2"/>
    <s v="이준엽"/>
    <s v="보도자료51"/>
    <s v="축과원 최우수 운영기관 선정"/>
    <s v="양돈타임스"/>
    <d v="2019-07-25T00:00:00"/>
    <n v="10"/>
    <s v="09_농업전문지"/>
    <n v="1.5"/>
    <d v="2019-07-31T00:00:00"/>
  </r>
  <r>
    <n v="3339"/>
    <s v="8_국립축산과학원"/>
    <s v="2_축산자원개발부"/>
    <x v="8"/>
    <s v="김시동"/>
    <m/>
    <s v="검정 종료 체중 105kg 변경 추진"/>
    <s v="양돈타임스"/>
    <d v="2019-07-25T00:00:00"/>
    <n v="10"/>
    <s v="09_농업전문지"/>
    <n v="1.5"/>
    <d v="2019-07-31T00:00:00"/>
  </r>
  <r>
    <n v="3340"/>
    <s v="8_국립축산과학원"/>
    <s v="0_본원"/>
    <x v="13"/>
    <s v="진현주"/>
    <m/>
    <s v="‘축산 부농’ 만들기 경영 모토…혁신제품 개발 공급"/>
    <s v="축산신문"/>
    <d v="2019-07-30T00:00:00"/>
    <n v="10"/>
    <s v="09_농업전문지"/>
    <n v="1.5"/>
    <d v="2019-07-31T00:00:00"/>
  </r>
  <r>
    <n v="3341"/>
    <s v="8_국립축산과학원"/>
    <s v="2_축산자원개발부"/>
    <x v="8"/>
    <s v="이승수"/>
    <s v="보도자료70"/>
    <s v="농진청, ‘한국형 씨돼지’ 9마리 뽑아"/>
    <s v="농축유통신문"/>
    <d v="2019-07-30T00:00:00"/>
    <m/>
    <s v="09_농업전문지"/>
    <n v="1.5"/>
    <d v="2019-07-31T00:00:00"/>
  </r>
  <r>
    <n v="3342"/>
    <s v="8_국립축산과학원"/>
    <s v="0_본원"/>
    <x v="14"/>
    <s v="장선식"/>
    <m/>
    <s v="장흥한우 사육에 효율적 비육기술 도입한다"/>
    <s v="호남신문"/>
    <d v="2019-07-30T00:00:00"/>
    <n v="8"/>
    <s v="09_지방일간지"/>
    <n v="1.5"/>
    <d v="2019-07-31T00:00:00"/>
  </r>
  <r>
    <n v="3343"/>
    <s v="8_국립축산과학원"/>
    <s v="2_축산자원개발부"/>
    <x v="8"/>
    <s v="박미나"/>
    <m/>
    <s v="제주산 한우 대한민국 보증 씨수소로 ‘우뚝’"/>
    <s v="한라일보"/>
    <d v="2019-07-31T00:00:00"/>
    <m/>
    <s v="09_지방일간지"/>
    <n v="1.5"/>
    <d v="2019-07-31T00:00:00"/>
  </r>
  <r>
    <n v="3344"/>
    <s v="8_국립축산과학원"/>
    <s v="0_본원"/>
    <x v="3"/>
    <s v="노재희"/>
    <s v="보도자료66"/>
    <s v="여름철 급수조 관리필수"/>
    <s v="농축산기계"/>
    <d v="2019-07-25T00:00:00"/>
    <n v="11"/>
    <s v="10_기타전문지"/>
    <n v="1"/>
    <d v="2019-07-31T00:00:00"/>
  </r>
  <r>
    <n v="3345"/>
    <s v="8_국립축산과학원"/>
    <s v="2_축산자원개발부"/>
    <x v="8"/>
    <s v="최연호"/>
    <s v="보도자료65"/>
    <s v="농진청, 젖소 보증씨수소 4마리 선발"/>
    <s v="농축산기계"/>
    <d v="2019-07-25T00:00:00"/>
    <n v="11"/>
    <s v="10_기타전문지"/>
    <n v="1"/>
    <d v="2019-07-31T00:00:00"/>
  </r>
  <r>
    <n v="3346"/>
    <s v="8_국립축산과학원"/>
    <s v="0_본원"/>
    <x v="13"/>
    <s v="오형규"/>
    <m/>
    <s v="바람아 불어다오~!(포토뉴스)"/>
    <s v="농축산기계"/>
    <d v="2019-07-25T00:00:00"/>
    <n v="11"/>
    <s v="10_기타전문지"/>
    <n v="1"/>
    <d v="2019-07-31T00:00:00"/>
  </r>
  <r>
    <n v="3347"/>
    <s v="8_국립축산과학원"/>
    <s v="1_축산생명환경부"/>
    <x v="5"/>
    <s v="조수현"/>
    <m/>
    <s v="담양군, 한우 저등급·저지방 부위 건조숙성으로 부가가치 향상"/>
    <s v="일요서울"/>
    <d v="2019-07-31T00:00:00"/>
    <m/>
    <s v="10_주간지"/>
    <n v="1"/>
    <d v="2019-07-31T00:00:00"/>
  </r>
  <r>
    <n v="3348"/>
    <s v="8_국립축산과학원"/>
    <s v="1_축산생명환경부"/>
    <x v="9"/>
    <s v="김종복"/>
    <s v="보도자료69"/>
    <s v="‘여름철 축사 정전’, 철저히 대비 하세요"/>
    <s v="정책브리핑"/>
    <d v="2019-07-26T00:00:00"/>
    <m/>
    <s v="12_대한민국 정책포털(korea.kr)"/>
    <n v="1"/>
    <d v="2019-07-31T00:00:00"/>
  </r>
  <r>
    <n v="3349"/>
    <s v="8_국립축산과학원"/>
    <s v="0_본원"/>
    <x v="4"/>
    <s v="강환구"/>
    <s v="보도자료71"/>
    <s v="농촌진흥청, 이달의 신간(육용종계 사양관리 지침서 등)"/>
    <s v="정책브리핑"/>
    <d v="2019-07-30T00:00:00"/>
    <m/>
    <s v="12_대한민국 정책포털(korea.kr)"/>
    <n v="1"/>
    <d v="2019-07-31T00:00:00"/>
  </r>
  <r>
    <n v="3350"/>
    <s v="8_국립축산과학원"/>
    <s v="1_축산생명환경부"/>
    <x v="5"/>
    <s v="조수현"/>
    <m/>
    <s v="담양군, 한우 저등급, 저지방 부위 건조숙성으로 부가가치 향상"/>
    <s v="전남인터넷신문"/>
    <d v="2019-07-30T00:00:00"/>
    <m/>
    <s v="13_인터넷포털"/>
    <n v="0.1"/>
    <d v="2019-07-31T00:00:00"/>
  </r>
  <r>
    <n v="3351"/>
    <s v="8_국립축산과학원"/>
    <s v="1_축산생명환경부"/>
    <x v="5"/>
    <s v="조수현"/>
    <m/>
    <s v="담양군, 한우 저등급·저지방 부위 건조숙성으로 부가가치 향상"/>
    <s v="플러스코리아"/>
    <d v="2019-07-30T00:00:00"/>
    <m/>
    <s v="13_인터넷포털"/>
    <n v="0.1"/>
    <d v="2019-07-31T00:00:00"/>
  </r>
  <r>
    <n v="3352"/>
    <s v="8_국립축산과학원"/>
    <s v="1_축산생명환경부"/>
    <x v="5"/>
    <s v="조수현"/>
    <m/>
    <s v="담양군, 한우 저등급·저지방 부위 건조숙성으로 부가가치 향상"/>
    <s v="전남제일신문"/>
    <d v="2019-07-30T00:00:00"/>
    <m/>
    <s v="13_인터넷포털"/>
    <n v="0.1"/>
    <d v="2019-07-31T00:00:00"/>
  </r>
  <r>
    <n v="3353"/>
    <s v="8_국립축산과학원"/>
    <s v="1_축산생명환경부"/>
    <x v="5"/>
    <s v="조수현"/>
    <m/>
    <s v="전남 담양군, 한우 저등급·저지방 부위 건조숙성으로 부가가치 향상"/>
    <s v="위키트리"/>
    <d v="2019-07-31T00:00:00"/>
    <m/>
    <s v="13_인터넷포털"/>
    <n v="0.1"/>
    <d v="2019-07-31T00:00:00"/>
  </r>
  <r>
    <n v="3354"/>
    <s v="8_국립축산과학원"/>
    <s v="2_축산자원개발부"/>
    <x v="8"/>
    <s v="박미나"/>
    <m/>
    <s v="제주산 한우, 대한민국 보증 씨수소로 활약 기대"/>
    <s v="제주도민일보"/>
    <d v="2019-07-31T00:00:00"/>
    <m/>
    <s v="13_인터넷포털"/>
    <n v="0.1"/>
    <d v="2019-07-31T00:00:00"/>
  </r>
  <r>
    <n v="3355"/>
    <s v="8_국립축산과학원"/>
    <s v="2_축산자원개발부"/>
    <x v="8"/>
    <s v="박미나"/>
    <m/>
    <s v="제주산 한우 2마리, 국가단위 보증 씨수소로 최종 선발"/>
    <s v="미디어제주"/>
    <d v="2019-07-31T00:00:00"/>
    <m/>
    <s v="13_인터넷포털"/>
    <n v="0.1"/>
    <d v="2019-07-31T00:00:00"/>
  </r>
  <r>
    <n v="3356"/>
    <s v="8_국립축산과학원"/>
    <s v="2_축산자원개발부"/>
    <x v="8"/>
    <s v="박미나"/>
    <m/>
    <s v="제주산 한우, 대한민국 보증 씨수소 선발"/>
    <s v="헤드라인제주"/>
    <d v="2019-07-31T00:00:00"/>
    <m/>
    <s v="13_인터넷포털"/>
    <n v="0.1"/>
    <d v="2019-07-31T00:00:00"/>
  </r>
  <r>
    <n v="3357"/>
    <s v="8_국립축산과학원"/>
    <s v="2_축산자원개발부"/>
    <x v="8"/>
    <s v="박미나"/>
    <m/>
    <s v="제주산 한우 2마리, ‘국가보증 씨수소’ 타이틀"/>
    <s v="제이누리"/>
    <d v="2019-07-31T00:00:00"/>
    <m/>
    <s v="13_인터넷포털"/>
    <n v="0.1"/>
    <d v="2019-07-31T00:00:00"/>
  </r>
  <r>
    <n v="3358"/>
    <s v="8_국립축산과학원"/>
    <s v="2_축산자원개발부"/>
    <x v="8"/>
    <s v="이승수"/>
    <s v="보도자료70"/>
    <s v="돼지 개량 속도 낸다 ‘한국형 씨돼지’ 9마리 뽑아"/>
    <s v="전남인터넷신문"/>
    <d v="2019-07-31T00:00:00"/>
    <m/>
    <s v="13_인터넷포털"/>
    <n v="0.1"/>
    <d v="2019-07-31T00:00:00"/>
  </r>
  <r>
    <n v="3359"/>
    <s v="8_국립축산과학원"/>
    <s v="1_축산생명환경부"/>
    <x v="16"/>
    <s v="최봉환"/>
    <s v="보도자료68"/>
    <s v="‘제주개’도 한국 토종개다"/>
    <s v="미디어라이프"/>
    <d v="2019-07-24T00:00:00"/>
    <m/>
    <s v="13_인터넷포털"/>
    <n v="0.1"/>
    <d v="2019-07-31T00:00:00"/>
  </r>
  <r>
    <n v="3360"/>
    <s v="8_국립축산과학원"/>
    <s v="1_축산생명환경부"/>
    <x v="16"/>
    <s v="최봉환"/>
    <s v="보도자료68"/>
    <s v="‘제주개’ 토종개와 유전적 거리 가까워"/>
    <s v="팁팁뉴스"/>
    <d v="2019-07-24T00:00:00"/>
    <m/>
    <s v="13_인터넷포털"/>
    <n v="0.1"/>
    <d v="2019-07-31T00:00:00"/>
  </r>
  <r>
    <n v="3361"/>
    <s v="8_국립축산과학원"/>
    <s v="1_축산생명환경부"/>
    <x v="16"/>
    <s v="최봉환"/>
    <s v="보도자료68"/>
    <s v="농진청, ‘제주개’ 토종개 뒷받침하는 유전자 분석 결과 제시"/>
    <s v="KNS뉴스통신"/>
    <d v="2019-07-24T00:00:00"/>
    <m/>
    <s v="13_인터넷포털"/>
    <n v="0.1"/>
    <d v="2019-07-31T00:00:00"/>
  </r>
  <r>
    <n v="3362"/>
    <s v="8_국립축산과학원"/>
    <s v="1_축산생명환경부"/>
    <x v="16"/>
    <s v="최봉환"/>
    <s v="보도자료68"/>
    <s v="‘제주개’도 한국 토종개다"/>
    <s v="한국뉴스"/>
    <d v="2019-07-24T00:00:00"/>
    <m/>
    <s v="13_인터넷포털"/>
    <n v="0.1"/>
    <d v="2019-07-31T00:00:00"/>
  </r>
  <r>
    <n v="3363"/>
    <s v="8_국립축산과학원"/>
    <s v="1_축산생명환경부"/>
    <x v="16"/>
    <s v="최봉환"/>
    <s v="보도자료68"/>
    <s v="‘제주개’도 한국 토종개다!"/>
    <s v="서울Pn"/>
    <d v="2019-07-24T00:00:00"/>
    <m/>
    <s v="13_인터넷포털"/>
    <n v="0.1"/>
    <d v="2019-07-31T00:00:00"/>
  </r>
  <r>
    <n v="3364"/>
    <s v="8_국립축산과학원"/>
    <s v="1_축산생명환경부"/>
    <x v="9"/>
    <s v="김종복"/>
    <s v="보도자료69"/>
    <s v="‘여름철 축사 정전’, 철저히 대비 하세요"/>
    <s v="프레시안"/>
    <d v="2019-07-25T00:00:00"/>
    <m/>
    <s v="13_인터넷포털"/>
    <n v="0.1"/>
    <d v="2019-07-31T00:00:00"/>
  </r>
  <r>
    <n v="3365"/>
    <s v="8_국립축산과학원"/>
    <s v="1_축산생명환경부"/>
    <x v="9"/>
    <s v="김종복"/>
    <s v="보도자료69"/>
    <s v="‘여름철 축사 정전’, 철저히 대비 하세요"/>
    <s v="중부뉴스통신"/>
    <d v="2019-07-26T00:00:00"/>
    <m/>
    <s v="13_인터넷포털"/>
    <n v="0.1"/>
    <d v="2019-07-31T00:00:00"/>
  </r>
  <r>
    <n v="3366"/>
    <s v="8_국립축산과학원"/>
    <s v="1_축산생명환경부"/>
    <x v="9"/>
    <s v="김종복"/>
    <s v="보도자료69"/>
    <s v="‘여름철 축사 정전’, 철저히 대비 하세요"/>
    <s v="강원경제신문"/>
    <d v="2019-07-26T00:00:00"/>
    <m/>
    <s v="13_인터넷포털"/>
    <n v="0.1"/>
    <d v="2019-07-31T00:00:00"/>
  </r>
  <r>
    <n v="3367"/>
    <s v="8_국립축산과학원"/>
    <s v="1_축산생명환경부"/>
    <x v="9"/>
    <s v="김종복"/>
    <s v="보도자료69"/>
    <s v="‘여름철 축사 정전’, 철저히 대비 하세요"/>
    <s v="업코리아"/>
    <d v="2019-07-26T00:00:00"/>
    <m/>
    <s v="13_인터넷포털"/>
    <n v="0.1"/>
    <d v="2019-07-31T00:00:00"/>
  </r>
  <r>
    <n v="3368"/>
    <s v="8_국립축산과학원"/>
    <s v="1_축산생명환경부"/>
    <x v="9"/>
    <s v="김종복"/>
    <s v="보도자료69"/>
    <s v="여름철 축사 정전을 막으려면…"/>
    <s v="뉴스렙"/>
    <d v="2019-07-28T00:00:00"/>
    <m/>
    <s v="13_인터넷포털"/>
    <n v="0.1"/>
    <d v="2019-07-31T00:00:00"/>
  </r>
  <r>
    <n v="3369"/>
    <s v="8_국립축산과학원"/>
    <s v="1_축산생명환경부"/>
    <x v="9"/>
    <s v="김종복"/>
    <s v="보도자료69"/>
    <s v="‘여름철 축사 정전’, 철저히 대비 하세요"/>
    <s v="미디어라이프"/>
    <d v="2019-07-26T00:00:00"/>
    <m/>
    <s v="13_인터넷포털"/>
    <n v="0.1"/>
    <d v="2019-07-31T00:00:00"/>
  </r>
  <r>
    <n v="3370"/>
    <s v="8_국립축산과학원"/>
    <s v="1_축산생명환경부"/>
    <x v="9"/>
    <s v="김종복"/>
    <s v="보도자료69"/>
    <s v="‘여름철 축사 정전’, 철저히 대비 하세요"/>
    <s v="서울Pn"/>
    <d v="2019-07-26T00:00:00"/>
    <m/>
    <s v="13_인터넷포털"/>
    <n v="0.1"/>
    <d v="2019-07-31T00:00:00"/>
  </r>
  <r>
    <n v="3371"/>
    <s v="8_국립축산과학원"/>
    <s v="1_축산생명환경부"/>
    <x v="9"/>
    <s v="김종복"/>
    <s v="보도자료69"/>
    <s v="‘여름철 축사 정전’, 철저히 대비 하세요"/>
    <s v="국토매일"/>
    <d v="2019-07-26T00:00:00"/>
    <m/>
    <s v="13_인터넷포털"/>
    <n v="0.1"/>
    <d v="2019-07-31T00:00:00"/>
  </r>
  <r>
    <n v="3372"/>
    <s v="8_국립축산과학원"/>
    <s v="1_축산생명환경부"/>
    <x v="9"/>
    <s v="김종복"/>
    <s v="보도자료69"/>
    <s v="농진청 ‘여름철 축사 정전’ 대비 대응 요령 제시"/>
    <s v="KNS뉴스통신"/>
    <d v="2019-07-26T00:00:00"/>
    <m/>
    <s v="13_인터넷포털"/>
    <n v="0.1"/>
    <d v="2019-07-31T00:00:00"/>
  </r>
  <r>
    <n v="3373"/>
    <s v="8_국립축산과학원"/>
    <s v="1_축산생명환경부"/>
    <x v="9"/>
    <s v="김종복"/>
    <s v="보도자료69"/>
    <s v="‘여름철 축사 정전’, 철저히 대비 하세요"/>
    <s v="케이에스피뉴스"/>
    <d v="2019-07-26T00:00:00"/>
    <m/>
    <s v="13_인터넷포털"/>
    <n v="0.1"/>
    <d v="2019-07-31T00:00:00"/>
  </r>
  <r>
    <n v="3374"/>
    <s v="8_국립축산과학원"/>
    <s v="1_축산생명환경부"/>
    <x v="9"/>
    <s v="김종복"/>
    <s v="보도자료69"/>
    <s v="‘여름철 축사 정전’, 철저히 대비 하세요"/>
    <s v="경제투데이"/>
    <d v="2019-07-26T00:00:00"/>
    <m/>
    <s v="13_인터넷포털"/>
    <n v="0.1"/>
    <d v="2019-07-31T00:00:00"/>
  </r>
  <r>
    <n v="3375"/>
    <s v="8_국립축산과학원"/>
    <s v="1_축산생명환경부"/>
    <x v="9"/>
    <s v="김종복"/>
    <s v="보도자료69"/>
    <s v="‘여름철 축사 정전’, 철저히 대비 하세요"/>
    <s v="한국안전방송"/>
    <d v="2019-07-26T00:00:00"/>
    <m/>
    <s v="13_인터넷포털"/>
    <n v="0.1"/>
    <d v="2019-07-31T00:00:00"/>
  </r>
  <r>
    <n v="3376"/>
    <s v="8_국립축산과학원"/>
    <s v="1_축산생명환경부"/>
    <x v="9"/>
    <s v="김종복"/>
    <s v="보도자료69"/>
    <s v="‘여름철 축사 정전’ 대비 전력량 120% 자가발전기 설치해야"/>
    <s v="라이브팜뉴스"/>
    <d v="2019-07-27T00:00:00"/>
    <m/>
    <s v="13_인터넷포털"/>
    <n v="0.1"/>
    <d v="2019-07-31T00:00:00"/>
  </r>
  <r>
    <n v="3377"/>
    <s v="8_국립축산과학원"/>
    <s v="2_축산자원개발부"/>
    <x v="8"/>
    <s v="이승수"/>
    <s v="보도자료70"/>
    <s v="농진청, 돼지 개량 속도 낸다...‘한국형 씨돼지’ 9마리 뽑아"/>
    <s v="로컬투데이"/>
    <d v="2019-07-31T00:00:00"/>
    <m/>
    <s v="13_인터넷포털"/>
    <n v="0.1"/>
    <d v="2019-07-31T00:00:00"/>
  </r>
  <r>
    <n v="3378"/>
    <s v="8_국립축산과학원"/>
    <s v="2_축산자원개발부"/>
    <x v="8"/>
    <s v="이승수"/>
    <s v="보도자료70"/>
    <s v="돼지 개량 속도 낸다 ‘한국형 씨돼지’ 9마리 뽑아"/>
    <s v="강원경제신문"/>
    <d v="2019-07-31T00:00:00"/>
    <m/>
    <s v="13_인터넷포털"/>
    <n v="0.1"/>
    <d v="2019-07-31T00:00:00"/>
  </r>
  <r>
    <n v="3379"/>
    <s v="8_국립축산과학원"/>
    <s v="0_본원"/>
    <x v="14"/>
    <s v="조상래"/>
    <s v="보도자료72"/>
    <s v="한우종합기술교육 자가 인공수정 실습"/>
    <s v="연합뉴스"/>
    <d v="2019-07-31T00:00:00"/>
    <m/>
    <s v="07_중앙일간지"/>
    <n v="5"/>
    <d v="2019-08-01T00:00:00"/>
  </r>
  <r>
    <n v="3380"/>
    <s v="8_국립축산과학원"/>
    <s v="0_본원"/>
    <x v="14"/>
    <s v="조상래"/>
    <s v="보도자료72"/>
    <s v="한우종합기술교육 자가 인공수정 실습"/>
    <s v="뉴시스"/>
    <d v="2019-07-31T00:00:00"/>
    <m/>
    <s v="07_중앙일간지"/>
    <n v="5"/>
    <d v="2019-08-01T00:00:00"/>
  </r>
  <r>
    <n v="3381"/>
    <s v="8_국립축산과학원"/>
    <s v="0_본원"/>
    <x v="14"/>
    <s v="조상래"/>
    <s v="보도자료72"/>
    <s v="농촌진흥청, 평창지역 초보 한우농가 대상 맞춤형 종합 교육 실시"/>
    <s v="매일일보"/>
    <d v="2019-07-31T00:00:00"/>
    <m/>
    <s v="08_기타일간지"/>
    <n v="2"/>
    <d v="2019-08-01T00:00:00"/>
  </r>
  <r>
    <n v="3382"/>
    <s v="8_국립축산과학원"/>
    <s v="2_축산자원개발부"/>
    <x v="8"/>
    <s v="이승수"/>
    <s v="보도자료70"/>
    <s v="한국형 씨돼지 9마리 선발"/>
    <s v="농촌여성신문"/>
    <d v="2019-07-31T00:00:00"/>
    <m/>
    <s v="09_농업전문지"/>
    <n v="1.5"/>
    <d v="2019-08-01T00:00:00"/>
  </r>
  <r>
    <n v="3383"/>
    <s v="8_국립축산과학원"/>
    <s v="0_본원"/>
    <x v="4"/>
    <s v="강환구"/>
    <s v="보도자료71"/>
    <s v="&lt;육용종계 사양관리 지침서&gt;, &lt;최신 부화관리 매뉴얼&gt; 발간"/>
    <s v="한국영농신문"/>
    <d v="2019-07-31T00:00:00"/>
    <m/>
    <s v="09_농업전문지"/>
    <n v="1.5"/>
    <d v="2019-08-01T00:00:00"/>
  </r>
  <r>
    <n v="3384"/>
    <s v="8_국립축산과학원"/>
    <s v="2_축산자원개발부"/>
    <x v="8"/>
    <s v="이승수"/>
    <s v="보도자료70"/>
    <s v="농진청, 돼지 개량 속도 낸다"/>
    <s v="한국영농신문"/>
    <d v="2019-07-31T00:00:00"/>
    <m/>
    <s v="09_농업전문지"/>
    <n v="1.5"/>
    <d v="2019-08-01T00:00:00"/>
  </r>
  <r>
    <n v="3385"/>
    <s v="8_국립축산과학원"/>
    <s v="0_본원"/>
    <x v="14"/>
    <s v="조상래"/>
    <s v="보도자료72"/>
    <s v="농진청, “청년 농업인 한우 사육 돕는다”"/>
    <s v="전업농신문"/>
    <d v="2019-08-01T00:00:00"/>
    <m/>
    <s v="09_농업전문지"/>
    <n v="1.5"/>
    <d v="2019-08-01T00:00:00"/>
  </r>
  <r>
    <n v="3386"/>
    <s v="8_국립축산과학원"/>
    <s v="2_축산자원개발부"/>
    <x v="8"/>
    <s v="이승수"/>
    <s v="보도자료70"/>
    <s v="돼지 개량 속도 낸다… ‘한국형 씨돼지’ 9마리 뽑아"/>
    <s v="전민일보"/>
    <d v="2019-07-31T00:00:00"/>
    <n v="4"/>
    <s v="09_지방일간지"/>
    <n v="1.5"/>
    <d v="2019-08-01T00:00:00"/>
  </r>
  <r>
    <n v="3387"/>
    <s v="8_국립축산과학원"/>
    <s v="2_축산자원개발부"/>
    <x v="8"/>
    <s v="이승수"/>
    <s v="보도자료70"/>
    <s v="농진청 한국형씨돼지 9마리 선발 우수형질 개량 박차"/>
    <s v="전북중앙"/>
    <d v="2019-07-31T00:00:00"/>
    <n v="6"/>
    <s v="09_지방일간지"/>
    <n v="1.5"/>
    <d v="2019-08-01T00:00:00"/>
  </r>
  <r>
    <n v="3388"/>
    <s v="8_국립축산과학원"/>
    <s v="1_축산생명환경부"/>
    <x v="5"/>
    <s v="조수현"/>
    <m/>
    <s v="담양군, 한우고기 숙성 방법 기술 지원"/>
    <s v="호남신문"/>
    <d v="2019-07-31T00:00:00"/>
    <n v="8"/>
    <s v="09_지방일간지"/>
    <n v="1.5"/>
    <d v="2019-08-01T00:00:00"/>
  </r>
  <r>
    <n v="3389"/>
    <s v="8_국립축산과학원"/>
    <s v="1_축산생명환경부"/>
    <x v="5"/>
    <s v="조수현"/>
    <m/>
    <s v="담양군, 한우 저등급·저지방 부위 건조숙성으로 부가가치 향상"/>
    <s v="더대한일보"/>
    <d v="2019-07-31T00:00:00"/>
    <n v="5"/>
    <s v="09_지방일간지"/>
    <n v="1.5"/>
    <d v="2019-08-01T00:00:00"/>
  </r>
  <r>
    <n v="3390"/>
    <s v="8_국립축산과학원"/>
    <s v="1_축산생명환경부"/>
    <x v="5"/>
    <s v="조수현"/>
    <m/>
    <s v="담양군, 한우 저등급·저지방 부위 건조숙성으로 부가가치 향상"/>
    <s v="전광투데이"/>
    <d v="2019-07-31T00:00:00"/>
    <n v="6"/>
    <s v="09_지방일간지"/>
    <n v="1.5"/>
    <d v="2019-08-01T00:00:00"/>
  </r>
  <r>
    <n v="3391"/>
    <s v="8_국립축산과학원"/>
    <s v="2_축산자원개발부"/>
    <x v="8"/>
    <s v="박미나"/>
    <m/>
    <s v="제주산 한우, 대한민국 보증 씨수소로 선발"/>
    <s v="제민일보"/>
    <d v="2019-07-31T00:00:00"/>
    <m/>
    <s v="09_지방일간지"/>
    <n v="1.5"/>
    <d v="2019-08-01T00:00:00"/>
  </r>
  <r>
    <n v="3392"/>
    <s v="8_국립축산과학원"/>
    <s v="2_축산자원개발부"/>
    <x v="8"/>
    <s v="최연호"/>
    <s v="보도자료65"/>
    <s v="상반기 젖소 보증씨수소 4마리 선발"/>
    <s v="낙농신문"/>
    <d v="2019-08-01T00:00:00"/>
    <n v="5"/>
    <s v="10_기타전문지"/>
    <n v="1"/>
    <d v="2019-08-01T00:00:00"/>
  </r>
  <r>
    <n v="3393"/>
    <s v="8_국립축산과학원"/>
    <s v="2_축산자원개발부"/>
    <x v="12"/>
    <s v="기광석"/>
    <m/>
    <s v="영양소 요구량, 환경조건 따라 달라"/>
    <s v="낙농신문"/>
    <d v="2019-08-01T00:00:00"/>
    <n v="13"/>
    <s v="10_기타전문지"/>
    <n v="1"/>
    <d v="2019-08-01T00:00:00"/>
  </r>
  <r>
    <n v="3394"/>
    <s v="8_국립축산과학원"/>
    <s v="2_축산자원개발부"/>
    <x v="12"/>
    <s v="기광석"/>
    <m/>
    <s v="이유 사료, 제 1위 기능·용적 확대"/>
    <s v="낙농신문"/>
    <d v="2019-08-01T00:00:00"/>
    <n v="14"/>
    <s v="10_기타전문지"/>
    <n v="1"/>
    <d v="2019-08-01T00:00:00"/>
  </r>
  <r>
    <n v="3395"/>
    <s v="8_국립축산과학원"/>
    <s v="2_축산자원개발부"/>
    <x v="8"/>
    <s v="이승수"/>
    <s v="보도자료70"/>
    <s v="돼지개량 가속화 “한국형 씨돼지” 9마리 선발"/>
    <s v="식약일보"/>
    <d v="2019-07-31T00:00:00"/>
    <m/>
    <s v="10_기타전문지"/>
    <n v="1"/>
    <d v="2019-08-01T00:00:00"/>
  </r>
  <r>
    <n v="3396"/>
    <s v="8_국립축산과학원"/>
    <s v="2_축산자원개발부"/>
    <x v="8"/>
    <s v="박미나"/>
    <m/>
    <s v="제주산 한우 2마리 ‘대한민국 씨수소’ 선발"/>
    <s v="제주신보"/>
    <d v="2019-07-31T00:00:00"/>
    <m/>
    <s v="11_기타(지역주간지)"/>
    <n v="0.5"/>
    <d v="2019-08-01T00:00:00"/>
  </r>
  <r>
    <n v="3397"/>
    <s v="8_국립축산과학원"/>
    <s v="2_축산자원개발부"/>
    <x v="8"/>
    <s v="이승수"/>
    <s v="보도자료70"/>
    <s v="한국형 종돈 선발, ‘산자수는 많고, 성장은 빠르다’"/>
    <s v="돼지와사람"/>
    <d v="2019-08-01T00:00:00"/>
    <m/>
    <s v="13_인터넷포털"/>
    <n v="0.1"/>
    <d v="2019-08-01T00:00:00"/>
  </r>
  <r>
    <n v="3398"/>
    <s v="8_국립축산과학원"/>
    <s v="2_축산자원개발부"/>
    <x v="8"/>
    <s v="이승수"/>
    <s v="보도자료70"/>
    <s v="돼지 개량 속도 낸다 ‘한국형 씨돼지’ 9마리 뽑아"/>
    <s v="국토매일"/>
    <d v="2019-07-31T00:00:00"/>
    <m/>
    <s v="13_인터넷포털"/>
    <n v="0.1"/>
    <d v="2019-08-01T00:00:00"/>
  </r>
  <r>
    <n v="3399"/>
    <s v="8_국립축산과학원"/>
    <s v="2_축산자원개발부"/>
    <x v="8"/>
    <s v="이승수"/>
    <s v="보도자료70"/>
    <s v="돼지 개량 속도 낸다 ‘한국형 씨돼지’ 9마리 뽑아"/>
    <s v="중부뉴스통신"/>
    <d v="2019-07-31T00:00:00"/>
    <m/>
    <s v="13_인터넷포털"/>
    <n v="0.1"/>
    <d v="2019-08-01T00:00:00"/>
  </r>
  <r>
    <n v="3400"/>
    <s v="8_국립축산과학원"/>
    <s v="0_본원"/>
    <x v="14"/>
    <s v="조상래"/>
    <s v="보도자료72"/>
    <s v="청년 농부의 한우 키우기, 농촌진흥청 돕는다"/>
    <s v="서울신문"/>
    <d v="2019-08-01T00:00:00"/>
    <m/>
    <s v="07_중앙일간지"/>
    <n v="5"/>
    <d v="2019-08-02T00:00:00"/>
  </r>
  <r>
    <n v="3401"/>
    <s v="8_국립축산과학원"/>
    <s v="0_본원"/>
    <x v="14"/>
    <s v="권응기"/>
    <s v="보도자료73"/>
    <s v="농촌진흥청 “여름철 한우 먹이와 환경관리에 신경 써야”"/>
    <s v="매일일보"/>
    <d v="2019-08-01T00:00:00"/>
    <m/>
    <s v="08_기타일간지"/>
    <n v="2"/>
    <d v="2019-08-02T00:00:00"/>
  </r>
  <r>
    <n v="3402"/>
    <s v="8_국립축산과학원"/>
    <s v="0_본원"/>
    <x v="13"/>
    <s v="김창한"/>
    <m/>
    <s v="폭염속 축산업계와 가축들의 여름나기"/>
    <s v="한국영농신문"/>
    <d v="2019-07-29T00:00:00"/>
    <n v="1"/>
    <s v="09_농업전문지"/>
    <n v="1.5"/>
    <d v="2019-08-02T00:00:00"/>
  </r>
  <r>
    <n v="3403"/>
    <s v="8_국립축산과학원"/>
    <s v="0_본원"/>
    <x v="14"/>
    <s v="권응기"/>
    <s v="보도자료73"/>
    <s v="“폭염 대비 한우 사양관리 만전 기해야”"/>
    <s v="전업농신문"/>
    <d v="2019-08-01T00:00:00"/>
    <m/>
    <s v="09_농업전문지"/>
    <n v="1.5"/>
    <d v="2019-08-02T00:00:00"/>
  </r>
  <r>
    <n v="3404"/>
    <s v="8_국립축산과학원"/>
    <s v="0_본원"/>
    <x v="14"/>
    <s v="조상래"/>
    <s v="보도자료72"/>
    <s v="농진청, 청년농부 한우 종합교육 실시"/>
    <s v="농촌여성신문"/>
    <d v="2019-08-01T00:00:00"/>
    <m/>
    <s v="09_농업전문지"/>
    <n v="1.5"/>
    <d v="2019-08-02T00:00:00"/>
  </r>
  <r>
    <n v="3405"/>
    <s v="8_국립축산과학원"/>
    <s v="0_본원"/>
    <x v="14"/>
    <s v="조상래"/>
    <s v="보도자료72"/>
    <s v="청년 농부의 한우 키우기"/>
    <s v="한국영농신문"/>
    <d v="2019-08-01T00:00:00"/>
    <m/>
    <s v="09_농업전문지"/>
    <n v="1.5"/>
    <d v="2019-08-02T00:00:00"/>
  </r>
  <r>
    <n v="3406"/>
    <s v="8_국립축산과학원"/>
    <s v="0_본원"/>
    <x v="14"/>
    <s v="조상래"/>
    <s v="보도자료72"/>
    <s v="농촌진흥청, 청년 한우농부 양성 돌입"/>
    <s v="농축유통신문"/>
    <d v="2019-08-02T00:00:00"/>
    <m/>
    <s v="09_농업전문지"/>
    <n v="1.5"/>
    <d v="2019-08-02T00:00:00"/>
  </r>
  <r>
    <n v="3407"/>
    <s v="8_국립축산과학원"/>
    <s v="2_축산자원개발부"/>
    <x v="8"/>
    <s v="이승수"/>
    <s v="보도자료70"/>
    <s v="‘한국형 씨돼지’ 9마리 선발...돼지 개량 ‘가속’"/>
    <s v="전업농신문"/>
    <d v="2019-08-01T00:00:00"/>
    <m/>
    <s v="09_농업전문지"/>
    <n v="1.5"/>
    <d v="2019-08-02T00:00:00"/>
  </r>
  <r>
    <n v="3408"/>
    <s v="8_국립축산과학원"/>
    <s v="0_본원"/>
    <x v="14"/>
    <s v="조상래"/>
    <s v="보도자료72"/>
    <s v="농진청, 맞춤형 역량강화 교육 평창지역 초보 한우농가 대상"/>
    <s v="전라매일"/>
    <d v="2019-08-01T00:00:00"/>
    <n v="4"/>
    <s v="09_지방일간지"/>
    <n v="1.5"/>
    <d v="2019-08-02T00:00:00"/>
  </r>
  <r>
    <n v="3409"/>
    <s v="8_국립축산과학원"/>
    <s v="2_축산자원개발부"/>
    <x v="8"/>
    <s v="박미나"/>
    <m/>
    <s v="제주산 고품질 한우 생산 ‘청신호’"/>
    <s v="제주일보"/>
    <d v="2019-08-01T00:00:00"/>
    <n v="2"/>
    <s v="09_지방일간지"/>
    <n v="1.5"/>
    <d v="2019-08-02T00:00:00"/>
  </r>
  <r>
    <n v="3410"/>
    <s v="8_국립축산과학원"/>
    <s v="2_축산자원개발부"/>
    <x v="8"/>
    <s v="박미나"/>
    <m/>
    <s v="제주산 한우, 대한민국 보증 씨수소로 선발"/>
    <s v="제주매일"/>
    <d v="2019-08-01T00:00:00"/>
    <n v="6"/>
    <s v="09_지방일간지"/>
    <n v="1.5"/>
    <d v="2019-08-02T00:00:00"/>
  </r>
  <r>
    <n v="3411"/>
    <s v="8_국립축산과학원"/>
    <s v="1_축산생명환경부"/>
    <x v="5"/>
    <s v="조수현"/>
    <m/>
    <s v="담양, 한우 저등급·저지방 부위 건조숙성으로 부가가치 키운다"/>
    <s v="전남도민일보"/>
    <d v="2019-08-01T00:00:00"/>
    <n v="7"/>
    <s v="09_지방일간지"/>
    <n v="1.5"/>
    <d v="2019-08-02T00:00:00"/>
  </r>
  <r>
    <n v="3412"/>
    <s v="8_국립축산과학원"/>
    <s v="1_축산생명환경부"/>
    <x v="5"/>
    <s v="조수현"/>
    <m/>
    <s v="담양군, 한우 숙성방법 현장 기술 지원"/>
    <s v="광주매일신문"/>
    <d v="2019-08-01T00:00:00"/>
    <n v="10"/>
    <s v="09_지방일간지"/>
    <n v="1.5"/>
    <d v="2019-08-02T00:00:00"/>
  </r>
  <r>
    <n v="3413"/>
    <s v="8_국립축산과학원"/>
    <s v="0_본원"/>
    <x v="14"/>
    <s v="조상래"/>
    <s v="보도자료72"/>
    <s v="청년 농부 한우 키우기, 전적 지원"/>
    <s v="식약일보"/>
    <d v="2019-08-01T00:00:00"/>
    <m/>
    <s v="10_기타전문지"/>
    <n v="1"/>
    <d v="2019-08-02T00:00:00"/>
  </r>
  <r>
    <n v="3414"/>
    <s v="8_국립축산과학원"/>
    <s v="2_축산자원개발부"/>
    <x v="8"/>
    <s v="이승수"/>
    <s v="보도자료70"/>
    <s v="돼지 개량 속도 낸다 ‘한국형 씨돼지’ 9마리 뽑아"/>
    <s v="정책브리핑"/>
    <d v="2019-07-31T00:00:00"/>
    <m/>
    <s v="12_대한민국 정책포털(korea.kr)"/>
    <n v="1"/>
    <d v="2019-08-02T00:00:00"/>
  </r>
  <r>
    <n v="3415"/>
    <s v="8_국립축산과학원"/>
    <s v="0_본원"/>
    <x v="14"/>
    <s v="권응기"/>
    <s v="보도자료73"/>
    <s v="한우, 꼼꼼한 관리로 무더위 이겨내소"/>
    <s v="오가닉라이프"/>
    <d v="2019-08-01T00:00:00"/>
    <m/>
    <s v="13_인터넷포털"/>
    <n v="0.1"/>
    <d v="2019-08-02T00:00:00"/>
  </r>
  <r>
    <n v="3416"/>
    <s v="8_국립축산과학원"/>
    <s v="0_본원"/>
    <x v="14"/>
    <s v="조상래"/>
    <s v="보도자료72"/>
    <s v="한우사육 청년 농업인 교육...“한우사육 위해 개발한 기술 꾸준히 보급할 것”"/>
    <s v="농업경제신문"/>
    <d v="2019-08-02T00:00:00"/>
    <m/>
    <s v="13_인터넷포털"/>
    <n v="0.1"/>
    <d v="2019-08-02T00:00:00"/>
  </r>
  <r>
    <n v="3417"/>
    <s v="8_국립축산과학원"/>
    <s v="0_본원"/>
    <x v="14"/>
    <s v="권응기"/>
    <s v="보도자료73"/>
    <s v="한우 폭염관리...영양가 높은 사료와 물 충분히"/>
    <s v="농업경제신문"/>
    <d v="2019-08-02T00:00:00"/>
    <m/>
    <s v="13_인터넷포털"/>
    <n v="0.1"/>
    <d v="2019-08-02T00:00:00"/>
  </r>
  <r>
    <n v="3418"/>
    <s v="8_국립축산과학원"/>
    <s v="0_본원"/>
    <x v="14"/>
    <s v="권응기"/>
    <s v="보도자료73"/>
    <s v="농촌진흥청, 한우 먹이*환경관리 신경 써 줄 것 당부!"/>
    <s v="더코리아뉴스"/>
    <d v="2019-08-02T00:00:00"/>
    <m/>
    <s v="13_인터넷포털"/>
    <n v="0.1"/>
    <d v="2019-08-02T00:00:00"/>
  </r>
  <r>
    <n v="3419"/>
    <s v="8_국립축산과학원"/>
    <s v="0_본원"/>
    <x v="14"/>
    <s v="권응기"/>
    <s v="보도자료73"/>
    <s v="농진청, 무더위 속 한우 먹이 및 환경관리 당부"/>
    <s v="아유경제"/>
    <d v="2019-08-02T00:00:00"/>
    <m/>
    <s v="13_인터넷포털"/>
    <n v="0.1"/>
    <d v="2019-08-02T00:00:00"/>
  </r>
  <r>
    <n v="3420"/>
    <s v="8_국립축산과학원"/>
    <s v="2_축산자원개발부"/>
    <x v="8"/>
    <s v="이승수"/>
    <s v="보도자료70"/>
    <s v="돼지 개량 속도 낸다 ‘한국형 씨돼지’ 9마리 뽑아"/>
    <s v="플러스코리아"/>
    <d v="2019-07-31T00:00:00"/>
    <m/>
    <s v="13_인터넷포털"/>
    <n v="0.1"/>
    <d v="2019-08-02T00:00:00"/>
  </r>
  <r>
    <n v="3421"/>
    <s v="8_국립축산과학원"/>
    <s v="2_축산자원개발부"/>
    <x v="8"/>
    <s v="이승수"/>
    <s v="보도자료70"/>
    <s v="돼지 개량 속도 낸다 ‘한국형 씨돼지’ 9마리 뽑아"/>
    <s v="업코리아"/>
    <d v="2019-07-31T00:00:00"/>
    <m/>
    <s v="13_인터넷포털"/>
    <n v="0.1"/>
    <d v="2019-08-02T00:00:00"/>
  </r>
  <r>
    <n v="3422"/>
    <s v="8_국립축산과학원"/>
    <s v="2_축산자원개발부"/>
    <x v="8"/>
    <s v="이승수"/>
    <s v="보도자료70"/>
    <s v="돼지 개량 속도 낸다 ‘한국형 씨돼지’ 9마리 뽑아"/>
    <s v="더시그널뉴스"/>
    <d v="2019-07-31T00:00:00"/>
    <m/>
    <s v="13_인터넷포털"/>
    <n v="0.1"/>
    <d v="2019-08-02T00:00:00"/>
  </r>
  <r>
    <n v="3423"/>
    <s v="8_국립축산과학원"/>
    <s v="1_축산생명환경부"/>
    <x v="16"/>
    <s v="채한화"/>
    <s v="기고"/>
    <s v="[기고] 채한화 연구사-가축의 면역지킴이 ‘세포표면 분화항원 유전자군(CD)’"/>
    <s v="농수축산신문"/>
    <d v="2019-08-02T00:00:00"/>
    <n v="6"/>
    <s v="17_농업전문지"/>
    <n v="8"/>
    <d v="2019-08-05T00:00:00"/>
  </r>
  <r>
    <n v="3424"/>
    <s v="8_국립축산과학원"/>
    <s v="0_본원"/>
    <x v="14"/>
    <s v="권응기"/>
    <s v="보도자료73"/>
    <s v="한우, 꼼꼼한 관리로 무더위 이겨내소"/>
    <s v="서울신문"/>
    <d v="2019-08-02T00:00:00"/>
    <m/>
    <s v="07_중앙일간지"/>
    <n v="5"/>
    <d v="2019-08-05T00:00:00"/>
  </r>
  <r>
    <n v="3425"/>
    <s v="8_국립축산과학원"/>
    <s v="2_축산자원개발부"/>
    <x v="8"/>
    <s v="최연호"/>
    <s v="보도자료65"/>
    <s v="젖소 보증씨수소 4마리 신규 선발"/>
    <s v="한국농어민신문"/>
    <d v="2019-08-02T00:00:00"/>
    <m/>
    <s v="09_농업전문지"/>
    <n v="1.5"/>
    <d v="2019-08-05T00:00:00"/>
  </r>
  <r>
    <n v="3426"/>
    <s v="8_국립축산과학원"/>
    <s v="0_본원"/>
    <x v="3"/>
    <s v="노재희"/>
    <s v="보도자료66"/>
    <s v="급수조 매일 청소…축사 온습도 수시로 살펴야"/>
    <s v="농민신문"/>
    <d v="2019-08-05T00:00:00"/>
    <m/>
    <s v="09_농업전문지"/>
    <n v="1.5"/>
    <d v="2019-08-05T00:00:00"/>
  </r>
  <r>
    <n v="3427"/>
    <s v="8_국립축산과학원"/>
    <s v="0_본원"/>
    <x v="14"/>
    <s v="조상래"/>
    <s v="보도자료72"/>
    <s v="농진청 한우연구소, 청년 농업인 한우 종합기술교육"/>
    <s v="한국농어민신문"/>
    <d v="2019-08-02T00:00:00"/>
    <m/>
    <s v="09_농업전문지"/>
    <n v="1.5"/>
    <d v="2019-08-05T00:00:00"/>
  </r>
  <r>
    <n v="3428"/>
    <s v="8_국립축산과학원"/>
    <s v="0_본원"/>
    <x v="14"/>
    <s v="권응기"/>
    <s v="보도자료73"/>
    <s v="“한우, 영양가 높은 사료·물 충분히 줘야”"/>
    <s v="전북도민일보"/>
    <d v="2019-08-02T00:00:00"/>
    <n v="6"/>
    <s v="09_지방일간지"/>
    <n v="1.5"/>
    <d v="2019-08-05T00:00:00"/>
  </r>
  <r>
    <n v="3429"/>
    <s v="8_국립축산과학원"/>
    <s v="0_본원"/>
    <x v="14"/>
    <s v="권응기"/>
    <s v="보도자료73"/>
    <s v="‘한우, 꼼꼼한 관리로 무더위 이겨내소’"/>
    <s v="전민일보"/>
    <d v="2019-08-02T00:00:00"/>
    <n v="4"/>
    <s v="09_지방일간지"/>
    <n v="1.5"/>
    <d v="2019-08-05T00:00:00"/>
  </r>
  <r>
    <n v="3430"/>
    <s v="8_국립축산과학원"/>
    <s v="0_본원"/>
    <x v="14"/>
    <s v="권응기"/>
    <s v="보도자료73"/>
    <s v="농진청, 무더위 한우 관리 당부 영양사료 공급·온도관리 안내"/>
    <s v="전라일보"/>
    <d v="2019-08-02T00:00:00"/>
    <n v="6"/>
    <s v="09_지방일간지"/>
    <n v="1.5"/>
    <d v="2019-08-05T00:00:00"/>
  </r>
  <r>
    <n v="3431"/>
    <s v="8_국립축산과학원"/>
    <s v="2_축산자원개발부"/>
    <x v="0"/>
    <s v="문홍길"/>
    <m/>
    <s v="지지바이오텍, 인도적 안락사 동물용 질소거품기 신규 개발"/>
    <s v="충청일보"/>
    <d v="2019-08-02T00:00:00"/>
    <n v="8"/>
    <s v="09_지방일간지"/>
    <n v="1.5"/>
    <d v="2019-08-05T00:00:00"/>
  </r>
  <r>
    <n v="3432"/>
    <s v="8_국립축산과학원"/>
    <s v="0_본원"/>
    <x v="14"/>
    <s v="권응기"/>
    <s v="보도자료73"/>
    <s v="한우, 꼼꼼한 관리로 무더위 이긴다"/>
    <s v="식약일보"/>
    <d v="2019-08-02T00:00:00"/>
    <m/>
    <s v="10_기타전문지"/>
    <n v="1"/>
    <d v="2019-08-05T00:00:00"/>
  </r>
  <r>
    <n v="3433"/>
    <s v="8_국립축산과학원"/>
    <s v="1_축산생명환경부"/>
    <x v="9"/>
    <s v="김종복"/>
    <s v="보도자료69"/>
    <s v="여름철 축사 정전, 미리 대비하자"/>
    <s v="말산업저널"/>
    <d v="2019-08-04T00:00:00"/>
    <m/>
    <s v="10_기타전문지"/>
    <n v="1"/>
    <d v="2019-08-05T00:00:00"/>
  </r>
  <r>
    <n v="3434"/>
    <s v="8_국립축산과학원"/>
    <s v="0_본원"/>
    <x v="14"/>
    <s v="조상래"/>
    <s v="보도자료72"/>
    <s v="청년 농부의 한우 키우기, 농촌진흥청이 돕는다"/>
    <s v="정책브리핑"/>
    <d v="2019-08-01T00:00:00"/>
    <m/>
    <s v="12_대한민국 정책포털(korea.kr)"/>
    <n v="1"/>
    <d v="2019-08-05T00:00:00"/>
  </r>
  <r>
    <n v="3435"/>
    <s v="8_국립축산과학원"/>
    <s v="0_본원"/>
    <x v="14"/>
    <s v="권응기"/>
    <s v="보도자료73"/>
    <s v="한우, 꼼꼼한 관리로 무더위 이겨내소"/>
    <s v="중부뉴스통신"/>
    <d v="2019-08-02T00:00:00"/>
    <m/>
    <s v="13_인터넷포털"/>
    <n v="0.1"/>
    <d v="2019-08-05T00:00:00"/>
  </r>
  <r>
    <n v="3436"/>
    <s v="8_국립축산과학원"/>
    <s v="0_본원"/>
    <x v="14"/>
    <s v="권응기"/>
    <s v="보도자료73"/>
    <s v="한우, 꼼꼼한 관리로 무더위 이겨내소"/>
    <s v="강원경제신문"/>
    <d v="2019-08-02T00:00:00"/>
    <m/>
    <s v="13_인터넷포털"/>
    <n v="0.1"/>
    <d v="2019-08-05T00:00:00"/>
  </r>
  <r>
    <n v="3437"/>
    <s v="8_국립축산과학원"/>
    <s v="0_본원"/>
    <x v="14"/>
    <s v="조상래"/>
    <s v="보도자료72"/>
    <s v="청년 농부의 한우 키우기, 농촌진흥청이 돕는다"/>
    <s v="줌인코리아"/>
    <d v="2019-08-02T00:00:00"/>
    <m/>
    <s v="13_인터넷포털"/>
    <n v="0.1"/>
    <d v="2019-08-05T00:00:00"/>
  </r>
  <r>
    <n v="3438"/>
    <s v="8_국립축산과학원"/>
    <s v="0_본원"/>
    <x v="14"/>
    <s v="권응기"/>
    <s v="보도자료73"/>
    <s v="한우, 꼼꼼한 관리로 무더위 이겨내소"/>
    <s v="창업일보"/>
    <d v="2019-08-02T00:00:00"/>
    <m/>
    <s v="13_인터넷포털"/>
    <n v="0.1"/>
    <d v="2019-08-05T00:00:00"/>
  </r>
  <r>
    <n v="3439"/>
    <s v="8_국립축산과학원"/>
    <s v="0_본원"/>
    <x v="14"/>
    <s v="권응기"/>
    <s v="보도자료73"/>
    <s v="“한우 무더위 극복 위해 먹이·환경관리 철저히 관리해야”"/>
    <s v="팜인사이트"/>
    <d v="2019-08-03T00:00:00"/>
    <m/>
    <s v="13_인터넷포털"/>
    <n v="0.1"/>
    <d v="2019-08-05T00:00:00"/>
  </r>
  <r>
    <n v="3440"/>
    <s v="8_국립축산과학원"/>
    <s v="0_본원"/>
    <x v="14"/>
    <s v="권응기"/>
    <s v="보도자료73"/>
    <s v="한우, 꼼꼼한 관리로 무더위 이겨내소"/>
    <s v="톱뉴스"/>
    <d v="2019-08-03T00:00:00"/>
    <m/>
    <s v="13_인터넷포털"/>
    <n v="0.1"/>
    <d v="2019-08-05T00:00:00"/>
  </r>
  <r>
    <n v="3441"/>
    <s v="8_국립축산과학원"/>
    <s v="0_본원"/>
    <x v="14"/>
    <s v="조상래"/>
    <s v="보도자료72"/>
    <s v="청년 농부의 한우 키우기, 농촌진흥청 돕는다"/>
    <s v="한국안전방송"/>
    <d v="2019-08-05T00:00:00"/>
    <m/>
    <s v="13_인터넷포털"/>
    <n v="0.1"/>
    <d v="2019-08-05T00:00:00"/>
  </r>
  <r>
    <n v="3442"/>
    <s v="8_국립축산과학원"/>
    <s v="0_본원"/>
    <x v="4"/>
    <s v="천동원"/>
    <s v="기고"/>
    <s v="[기고] 천동원 소장-축산현장 애로기술 해결 위한 닭 키우기[100문 100답] Q75,76"/>
    <s v="축산신문"/>
    <d v="2019-08-06T00:00:00"/>
    <n v="15"/>
    <s v="17_농업전문지"/>
    <n v="8"/>
    <d v="2019-08-07T00:00:00"/>
  </r>
  <r>
    <n v="3443"/>
    <s v="8_국립축산과학원"/>
    <s v="0_본원"/>
    <x v="4"/>
    <s v="차재범"/>
    <s v="보도자료74"/>
    <s v="농진청, 토종닭 유전체 정보 이용 개량 속도 가속화 추진"/>
    <s v="매일일보"/>
    <d v="2019-08-06T00:00:00"/>
    <m/>
    <s v="08_기타일간지"/>
    <n v="2"/>
    <d v="2019-08-07T00:00:00"/>
  </r>
  <r>
    <n v="3444"/>
    <s v="8_국립축산과학원"/>
    <s v="0_본원"/>
    <x v="4"/>
    <s v="차재범"/>
    <s v="보도자료74"/>
    <s v="소비자 입맛 잡은 우리맛닭, 생산 기반 확대 나선다"/>
    <s v="환경일보"/>
    <d v="2019-08-07T00:00:00"/>
    <m/>
    <s v="08_기타일간지"/>
    <n v="2"/>
    <d v="2019-08-07T00:00:00"/>
  </r>
  <r>
    <n v="3445"/>
    <s v="8_국립축산과학원"/>
    <s v="0_본원"/>
    <x v="4"/>
    <s v="차재범"/>
    <s v="보도자료74"/>
    <s v="소비자 입맛 잡은 우리맛닭, 생산 기반 확대 나선다"/>
    <s v="정책브리핑"/>
    <d v="2019-08-07T00:00:00"/>
    <m/>
    <s v="12_대한민국 정책포털(korea.kr)"/>
    <n v="1"/>
    <d v="2019-08-07T00:00:00"/>
  </r>
  <r>
    <n v="3446"/>
    <s v="8_국립축산과학원"/>
    <s v="1_축산생명환경부"/>
    <x v="9"/>
    <s v="김종복"/>
    <s v="보도자료69"/>
    <s v="정전 축사피해, 미리 막을 수 있다"/>
    <s v="한국농기계신문"/>
    <d v="2019-07-31T00:00:00"/>
    <n v="9"/>
    <s v="09_농업전문지"/>
    <n v="1.5"/>
    <d v="2019-08-07T00:00:00"/>
  </r>
  <r>
    <n v="3447"/>
    <s v="8_국립축산과학원"/>
    <s v="0_본원"/>
    <x v="3"/>
    <s v="노재희"/>
    <s v="보도자료66"/>
    <s v="여름철 가축 급수기 청결 우선시해야"/>
    <s v="한국농기계신문"/>
    <d v="2019-07-31T00:00:00"/>
    <n v="9"/>
    <s v="09_농업전문지"/>
    <n v="1.5"/>
    <d v="2019-08-07T00:00:00"/>
  </r>
  <r>
    <n v="3448"/>
    <s v="8_국립축산과학원"/>
    <s v="0_본원"/>
    <x v="13"/>
    <s v="오형규"/>
    <m/>
    <s v="고온기 가축피해예방 종합기술지원(하동)"/>
    <s v="한국농기계신문"/>
    <d v="2019-07-31T00:00:00"/>
    <n v="9"/>
    <s v="09_농업전문지"/>
    <n v="1.5"/>
    <d v="2019-08-07T00:00:00"/>
  </r>
  <r>
    <n v="3449"/>
    <s v="8_국립축산과학원"/>
    <s v="0_본원"/>
    <x v="14"/>
    <s v="조상래"/>
    <s v="보도자료63"/>
    <s v="소 번식 첨단기술 공유 ‘한·일 국제심포지엄’ 열어"/>
    <s v="농업축산신문"/>
    <d v="2019-07-22T00:00:00"/>
    <n v="5"/>
    <s v="09_농업전문지"/>
    <n v="1.5"/>
    <d v="2019-08-07T00:00:00"/>
  </r>
  <r>
    <n v="3450"/>
    <s v="8_국립축산과학원"/>
    <s v="2_축산자원개발부"/>
    <x v="8"/>
    <s v="이승수"/>
    <s v="보도자료70"/>
    <s v="한국형 돼지 개량 ‘가속’"/>
    <s v="축산신문"/>
    <d v="2019-08-06T00:00:00"/>
    <n v="6"/>
    <s v="09_농업전문지"/>
    <n v="1.5"/>
    <d v="2019-08-07T00:00:00"/>
  </r>
  <r>
    <n v="3451"/>
    <s v="8_국립축산과학원"/>
    <s v="0_본원"/>
    <x v="13"/>
    <s v="오형규"/>
    <m/>
    <s v="고온기 가축 사양관리 이렇게…(하동)"/>
    <s v="축산신문"/>
    <d v="2019-08-06T00:00:00"/>
    <n v="1"/>
    <s v="09_농업전문지"/>
    <n v="1.5"/>
    <d v="2019-08-07T00:00:00"/>
  </r>
  <r>
    <n v="3452"/>
    <s v="8_국립축산과학원"/>
    <s v="0_본원"/>
    <x v="4"/>
    <s v="차재범"/>
    <s v="보도자료74"/>
    <s v="농진청 “우리맛닭, 생산 기반 확대한다”"/>
    <s v="식품저널"/>
    <d v="2019-08-06T00:00:00"/>
    <m/>
    <s v="09_농업전문지"/>
    <n v="1.5"/>
    <d v="2019-08-07T00:00:00"/>
  </r>
  <r>
    <n v="3453"/>
    <s v="8_국립축산과학원"/>
    <s v="0_본원"/>
    <x v="4"/>
    <s v="차재범"/>
    <s v="보도자료74"/>
    <s v="농진청, 유전체기술 이용 ‘토종닭 시장’ 키운다"/>
    <s v="대한급식신문"/>
    <d v="2019-08-06T00:00:00"/>
    <m/>
    <s v="09_농업전문지"/>
    <n v="1.5"/>
    <d v="2019-08-07T00:00:00"/>
  </r>
  <r>
    <n v="3454"/>
    <s v="8_국립축산과학원"/>
    <s v="0_본원"/>
    <x v="4"/>
    <s v="차재범"/>
    <s v="보도자료74"/>
    <s v="토종닭 ‘우리맛닭’ 순계 능력 높인다"/>
    <s v="농수축산신문"/>
    <d v="2019-08-06T00:00:00"/>
    <m/>
    <s v="09_농업전문지"/>
    <n v="1.5"/>
    <d v="2019-08-07T00:00:00"/>
  </r>
  <r>
    <n v="3455"/>
    <s v="8_국립축산과학원"/>
    <s v="0_본원"/>
    <x v="4"/>
    <s v="차재범"/>
    <s v="보도자료74"/>
    <s v="농촌진흥청, 토종닭 유전체 정보이용 개량속도 가속화 추진"/>
    <s v="농기자재신문"/>
    <d v="2019-08-07T00:00:00"/>
    <m/>
    <s v="09_농업전문지"/>
    <n v="1.5"/>
    <d v="2019-08-07T00:00:00"/>
  </r>
  <r>
    <n v="3456"/>
    <s v="8_국립축산과학원"/>
    <s v="0_본원"/>
    <x v="4"/>
    <s v="차재범"/>
    <s v="보도자료74"/>
    <s v="‘우리맛닭’ 생산기반 확대 나선다"/>
    <s v="한국농촌경제신문"/>
    <d v="2019-08-07T00:00:00"/>
    <m/>
    <s v="09_농업전문지"/>
    <n v="1.5"/>
    <d v="2019-08-07T00:00:00"/>
  </r>
  <r>
    <n v="3457"/>
    <s v="8_국립축산과학원"/>
    <s v="0_본원"/>
    <x v="14"/>
    <s v="권응기"/>
    <s v="보도자료73"/>
    <s v="한우, 꼼꼼한 관리로 무더위 이겨내소"/>
    <s v="뉴스쉐어"/>
    <d v="2019-08-05T00:00:00"/>
    <m/>
    <s v="13_인터넷포털"/>
    <n v="0.1"/>
    <d v="2019-08-07T00:00:00"/>
  </r>
  <r>
    <n v="3458"/>
    <s v="8_국립축산과학원"/>
    <s v="0_본원"/>
    <x v="14"/>
    <s v="조상래"/>
    <s v="보도자료72"/>
    <s v="청년 농부의 한우 키우기, 농촌진흥청이 돕는다"/>
    <s v="뉴스쉐어"/>
    <d v="2019-08-05T00:00:00"/>
    <m/>
    <s v="13_인터넷포털"/>
    <n v="0.1"/>
    <d v="2019-08-07T00:00:00"/>
  </r>
  <r>
    <n v="3459"/>
    <s v="8_국립축산과학원"/>
    <s v="0_본원"/>
    <x v="14"/>
    <s v="권응기"/>
    <s v="보도자료73"/>
    <s v="한우, ‘꼼꼼한 관리로 무더위 이겨내소’"/>
    <s v="굿데일리"/>
    <d v="2019-08-05T00:00:00"/>
    <m/>
    <s v="13_인터넷포털"/>
    <n v="0.1"/>
    <d v="2019-08-07T00:00:00"/>
  </r>
  <r>
    <n v="3460"/>
    <s v="8_국립축산과학원"/>
    <s v="0_본원"/>
    <x v="14"/>
    <s v="권응기"/>
    <s v="보도자료73"/>
    <s v="한우, 꼼꼼한 관리로 무더위 이겨내소"/>
    <s v="코리아데일리"/>
    <d v="2019-08-05T00:00:00"/>
    <m/>
    <s v="13_인터넷포털"/>
    <n v="0.1"/>
    <d v="2019-08-07T00:00:00"/>
  </r>
  <r>
    <n v="3461"/>
    <s v="8_국립축산과학원"/>
    <s v="0_본원"/>
    <x v="14"/>
    <s v="권응기"/>
    <s v="보도자료73"/>
    <s v="전국이 펄펄...“더위에 약한 한우, 영양가 높은 사료와 물 충분히”"/>
    <s v="라이브팜뉴스"/>
    <d v="2019-08-05T00:00:00"/>
    <m/>
    <s v="13_인터넷포털"/>
    <n v="0.1"/>
    <d v="2019-08-07T00:00:00"/>
  </r>
  <r>
    <n v="3462"/>
    <s v="8_국립축산과학원"/>
    <s v="0_본원"/>
    <x v="14"/>
    <s v="조상래"/>
    <s v="보도자료72"/>
    <s v="초보 한우농가, 맞춤형 종합교육...“자신감 얻었어요”"/>
    <s v="라이브팜뉴스"/>
    <d v="2019-08-06T00:00:00"/>
    <m/>
    <s v="13_인터넷포털"/>
    <n v="0.1"/>
    <d v="2019-08-07T00:00:00"/>
  </r>
  <r>
    <n v="3463"/>
    <s v="8_국립축산과학원"/>
    <s v="1_축산생명환경부"/>
    <x v="5"/>
    <s v="조수현"/>
    <m/>
    <s v="한우 숙성하면 더 맛있어요...담양군, 건식·습식 숙성법 교육"/>
    <s v="농업경제신문"/>
    <d v="2019-08-06T00:00:00"/>
    <m/>
    <s v="13_인터넷포털"/>
    <n v="0.1"/>
    <d v="2019-08-07T00:00:00"/>
  </r>
  <r>
    <n v="3464"/>
    <s v="8_국립축산과학원"/>
    <s v="0_본원"/>
    <x v="4"/>
    <s v="차재범"/>
    <s v="보도자료74"/>
    <s v="토종닭 ‘우리맛닭’, 생산 기반 확대 나선다"/>
    <s v="오가닉라이프"/>
    <d v="2019-08-06T00:00:00"/>
    <m/>
    <s v="13_인터넷포털"/>
    <n v="0.1"/>
    <d v="2019-08-07T00:00:00"/>
  </r>
  <r>
    <n v="3465"/>
    <s v="8_국립축산과학원"/>
    <s v="0_본원"/>
    <x v="4"/>
    <s v="차재범"/>
    <s v="보도자료74"/>
    <s v="“토종닭 산업 경쟁력 제고시키기 위해 노력할 터”"/>
    <s v="팜인사이트"/>
    <d v="2019-08-07T00:00:00"/>
    <m/>
    <s v="13_인터넷포털"/>
    <n v="0.1"/>
    <d v="2019-08-07T00:00:00"/>
  </r>
  <r>
    <n v="3466"/>
    <s v="8_국립축산과학원"/>
    <s v="0_본원"/>
    <x v="4"/>
    <s v="차재범"/>
    <s v="보도자료74"/>
    <s v="백숙 위주 소비패턴 탈피 ‘우리맛닭’ 확대 마케팅 전략 본격화"/>
    <s v="라이브팜뉴스"/>
    <d v="2019-08-07T00:00:00"/>
    <m/>
    <s v="13_인터넷포털"/>
    <n v="0.1"/>
    <d v="2019-08-07T00:00:00"/>
  </r>
  <r>
    <n v="3467"/>
    <s v="8_국립축산과학원"/>
    <s v="0_본원"/>
    <x v="4"/>
    <s v="천동원"/>
    <m/>
    <s v="“건강에 좋은 사육환경 고려” 70%…“비싸도 고등급 환경 달걀 구매” 48%"/>
    <s v="문화일보"/>
    <d v="2019-08-07T00:00:00"/>
    <n v="12"/>
    <s v="07_중앙일간지"/>
    <n v="5"/>
    <d v="2019-08-08T00:00:00"/>
  </r>
  <r>
    <n v="3468"/>
    <s v="8_국립축산과학원"/>
    <s v="0_본원"/>
    <x v="4"/>
    <s v="차재범"/>
    <s v="보도자료74"/>
    <s v="소비자 입맛 잡은 우리맛닭, 생산 기반 확대 나선다"/>
    <s v="서울신문"/>
    <d v="2019-08-07T00:00:00"/>
    <m/>
    <s v="07_중앙일간지"/>
    <n v="5"/>
    <d v="2019-08-08T00:00:00"/>
  </r>
  <r>
    <n v="3469"/>
    <s v="8_국립축산과학원"/>
    <s v="0_본원"/>
    <x v="13"/>
    <s v="김창한"/>
    <m/>
    <s v="경남도, 가축 폭염피해 예방 위해 영양제 지원"/>
    <s v="서울신문"/>
    <d v="2019-08-07T00:00:00"/>
    <m/>
    <s v="07_중앙일간지"/>
    <n v="5"/>
    <d v="2019-08-08T00:00:00"/>
  </r>
  <r>
    <n v="3470"/>
    <s v="8_국립축산과학원"/>
    <s v="0_본원"/>
    <x v="13"/>
    <s v="김창한"/>
    <m/>
    <s v="“폭염에 가축 폐사 막으세요”...경남도, 사료첨가제 지원"/>
    <s v="뉴스1"/>
    <d v="2019-08-07T00:00:00"/>
    <m/>
    <s v="07_중앙일간지"/>
    <n v="5"/>
    <d v="2019-08-08T00:00:00"/>
  </r>
  <r>
    <n v="3471"/>
    <s v="8_국립축산과학원"/>
    <s v="0_본원"/>
    <x v="13"/>
    <s v="김창한"/>
    <m/>
    <s v="경남도, 축산농가 가축 폭염 면역력 강화 지원"/>
    <s v="뉴시스"/>
    <d v="2019-08-07T00:00:00"/>
    <m/>
    <s v="07_중앙일간지"/>
    <n v="5"/>
    <d v="2019-08-08T00:00:00"/>
  </r>
  <r>
    <n v="3472"/>
    <s v="8_국립축산과학원"/>
    <s v="0_본원"/>
    <x v="14"/>
    <s v="원정일"/>
    <m/>
    <s v="춘천시, 친환경 산지 방목 조성 추진"/>
    <s v="뉴스1"/>
    <d v="2019-08-08T00:00:00"/>
    <m/>
    <s v="07_중앙일간지"/>
    <n v="5"/>
    <d v="2019-08-08T00:00:00"/>
  </r>
  <r>
    <n v="3473"/>
    <s v="8_국립축산과학원"/>
    <s v="1_축산생명환경부"/>
    <x v="9"/>
    <s v="김종복"/>
    <s v="보도자료69"/>
    <s v="여름철 축사 정전 “철저히 대비하세요”"/>
    <s v="농축환경신문"/>
    <d v="2019-08-01T00:00:00"/>
    <n v="8"/>
    <s v="09_농업전문지"/>
    <n v="1.5"/>
    <d v="2019-08-08T00:00:00"/>
  </r>
  <r>
    <n v="3474"/>
    <s v="8_국립축산과학원"/>
    <s v="0_본원"/>
    <x v="14"/>
    <s v="조상래"/>
    <s v="보도자료72"/>
    <s v="신비로운 생명과학 배우는 ‘생생 체험’"/>
    <s v="대한급식신문"/>
    <d v="2019-08-05T00:00:00"/>
    <n v="8"/>
    <s v="09_농업전문지"/>
    <n v="1.5"/>
    <d v="2019-08-08T00:00:00"/>
  </r>
  <r>
    <n v="3475"/>
    <s v="8_국립축산과학원"/>
    <s v="0_본원"/>
    <x v="14"/>
    <s v="권응기"/>
    <m/>
    <s v="“스마트농가 표준 모델 개발 시급”"/>
    <s v="축산경제"/>
    <d v="2019-08-05T00:00:00"/>
    <n v="6"/>
    <s v="09_농업전문지"/>
    <n v="1.5"/>
    <d v="2019-08-08T00:00:00"/>
  </r>
  <r>
    <n v="3476"/>
    <s v="8_국립축산과학원"/>
    <s v="0_본원"/>
    <x v="14"/>
    <s v="권응기"/>
    <m/>
    <s v="농협사료, 한우분야 축산기술자문회의 개최"/>
    <s v="농축환경신문"/>
    <d v="2019-08-01T00:00:00"/>
    <n v="8"/>
    <s v="09_농업전문지"/>
    <n v="1.5"/>
    <d v="2019-08-08T00:00:00"/>
  </r>
  <r>
    <n v="3477"/>
    <s v="8_국립축산과학원"/>
    <s v="0_본원"/>
    <x v="4"/>
    <s v="차재범"/>
    <s v="보도자료74"/>
    <s v="한국형 토종닭 ‘우리맛닭’, 부활 날갯짓"/>
    <s v="농촌여성신문"/>
    <d v="2019-08-07T00:00:00"/>
    <m/>
    <s v="09_농업전문지"/>
    <n v="1.5"/>
    <d v="2019-08-08T00:00:00"/>
  </r>
  <r>
    <n v="3478"/>
    <s v="8_국립축산과학원"/>
    <s v="0_본원"/>
    <x v="4"/>
    <s v="차재범"/>
    <s v="보도자료74"/>
    <s v="소비자 입맛 잡은 우리맛닭"/>
    <s v="팜&amp;마켓매거진"/>
    <d v="2019-08-08T00:00:00"/>
    <m/>
    <s v="09_농업전문지"/>
    <n v="1.5"/>
    <d v="2019-08-08T00:00:00"/>
  </r>
  <r>
    <n v="3479"/>
    <s v="8_국립축산과학원"/>
    <s v="0_본원"/>
    <x v="4"/>
    <s v="차재범"/>
    <s v="보도자료74"/>
    <s v="소비자 입맛 잡은 우리맛닭, 생산기반 확대 나선다"/>
    <s v="새전북신문"/>
    <d v="2019-08-07T00:00:00"/>
    <n v="4"/>
    <s v="09_지방일간지"/>
    <n v="1.5"/>
    <d v="2019-08-08T00:00:00"/>
  </r>
  <r>
    <n v="3480"/>
    <s v="8_국립축산과학원"/>
    <s v="0_본원"/>
    <x v="4"/>
    <s v="차재범"/>
    <s v="보도자료74"/>
    <s v="소비자 입맛 잡은 ‘우리맛닭’ 생산 기반 확대"/>
    <s v="삼남일보"/>
    <d v="2019-08-07T00:00:00"/>
    <n v="5"/>
    <s v="09_지방일간지"/>
    <n v="1.5"/>
    <d v="2019-08-08T00:00:00"/>
  </r>
  <r>
    <n v="3481"/>
    <s v="8_국립축산과학원"/>
    <s v="0_본원"/>
    <x v="13"/>
    <s v="김창한"/>
    <m/>
    <s v="폭염에 가축면역력 강화하고 생산성 높인다"/>
    <s v="한남일보"/>
    <d v="2019-08-07T00:00:00"/>
    <m/>
    <s v="09_지방일간지"/>
    <n v="1.5"/>
    <d v="2019-08-08T00:00:00"/>
  </r>
  <r>
    <n v="3482"/>
    <s v="8_국립축산과학원"/>
    <s v="0_본원"/>
    <x v="13"/>
    <s v="김창한"/>
    <m/>
    <s v="경남도, 올해 첫 축산농가 사료첨가제 지원한다"/>
    <s v="창원일보"/>
    <d v="2019-08-07T00:00:00"/>
    <m/>
    <s v="09_지방일간지"/>
    <n v="1.5"/>
    <d v="2019-08-08T00:00:00"/>
  </r>
  <r>
    <n v="3483"/>
    <s v="8_국립축산과학원"/>
    <s v="0_본원"/>
    <x v="13"/>
    <s v="김창한"/>
    <m/>
    <s v="경남도, 가축 폭염 면역력 강화 지원"/>
    <s v="경남연합일보"/>
    <d v="2019-08-07T00:00:00"/>
    <m/>
    <s v="09_지방일간지"/>
    <n v="1.5"/>
    <d v="2019-08-08T00:00:00"/>
  </r>
  <r>
    <n v="3484"/>
    <s v="8_국립축산과학원"/>
    <s v="0_본원"/>
    <x v="4"/>
    <s v="차재범"/>
    <s v="보도자료74"/>
    <s v="토종닭 유전체 정보 이용 개량 속도 가속화 추진"/>
    <s v="식약일보"/>
    <d v="2019-08-07T00:00:00"/>
    <m/>
    <s v="10_기타전문지"/>
    <n v="1"/>
    <d v="2019-08-08T00:00:00"/>
  </r>
  <r>
    <n v="3485"/>
    <s v="8_국립축산과학원"/>
    <s v="0_본원"/>
    <x v="13"/>
    <s v="김창한"/>
    <m/>
    <s v="경상남도, 폭염에 가축면역력 강화하고 생산성 높인다"/>
    <s v="중부뉴스통신"/>
    <d v="2019-08-07T00:00:00"/>
    <m/>
    <s v="13_인터넷포털"/>
    <n v="0.1"/>
    <d v="2019-08-08T00:00:00"/>
  </r>
  <r>
    <n v="3486"/>
    <s v="8_국립축산과학원"/>
    <s v="0_본원"/>
    <x v="4"/>
    <s v="차재범"/>
    <s v="보도자료74"/>
    <s v="농촌진흥청, 토종닭 산업 활성화 이끈다"/>
    <s v="보건뉴스"/>
    <d v="2019-08-07T00:00:00"/>
    <m/>
    <s v="13_인터넷포털"/>
    <n v="0.1"/>
    <d v="2019-08-08T00:00:00"/>
  </r>
  <r>
    <n v="3487"/>
    <s v="8_국립축산과학원"/>
    <s v="0_본원"/>
    <x v="13"/>
    <s v="김창한"/>
    <m/>
    <s v="경상남도, 폭염에 가축면역력 강화하고 생산성 높인다"/>
    <s v="한국공보뉴스"/>
    <d v="2019-08-07T00:00:00"/>
    <m/>
    <s v="13_인터넷포털"/>
    <n v="0.1"/>
    <d v="2019-08-08T00:00:00"/>
  </r>
  <r>
    <n v="3488"/>
    <s v="8_국립축산과학원"/>
    <s v="0_본원"/>
    <x v="13"/>
    <s v="김창한"/>
    <m/>
    <s v="경상남도, 폭염에 가축면역력 강화하고 생산성 높인다"/>
    <s v="경남데일리"/>
    <d v="2019-08-07T00:00:00"/>
    <m/>
    <s v="13_인터넷포털"/>
    <n v="0.1"/>
    <d v="2019-08-08T00:00:00"/>
  </r>
  <r>
    <n v="3489"/>
    <s v="8_국립축산과학원"/>
    <s v="0_본원"/>
    <x v="13"/>
    <s v="김창한"/>
    <m/>
    <s v="경남, 폭염에 가축면역력 강화하고 생산성 높인다!"/>
    <s v="자치행정신문"/>
    <d v="2019-08-07T00:00:00"/>
    <m/>
    <s v="13_인터넷포털"/>
    <n v="0.1"/>
    <d v="2019-08-08T00:00:00"/>
  </r>
  <r>
    <n v="3490"/>
    <s v="8_국립축산과학원"/>
    <s v="0_본원"/>
    <x v="13"/>
    <s v="김창한"/>
    <m/>
    <s v="폭염에 가축면역력 강화하고 생산성 높인다!"/>
    <s v="서울시정일보"/>
    <d v="2019-08-08T00:00:00"/>
    <m/>
    <s v="13_인터넷포털"/>
    <n v="0.1"/>
    <d v="2019-08-08T00:00:00"/>
  </r>
  <r>
    <n v="3491"/>
    <s v="8_국립축산과학원"/>
    <s v="0_본원"/>
    <x v="4"/>
    <s v="차재범"/>
    <s v="보도자료74"/>
    <s v="토종닭 유전체 정보 개량 연구"/>
    <s v="농업경제신문"/>
    <d v="2019-08-08T00:00:00"/>
    <m/>
    <s v="13_인터넷포털"/>
    <n v="0.1"/>
    <d v="2019-08-08T00:00:00"/>
  </r>
  <r>
    <n v="3492"/>
    <s v="8_국립축산과학원"/>
    <s v="0_본원"/>
    <x v="4"/>
    <s v="차재범"/>
    <s v="보도자료74"/>
    <s v="농진청 축과원, 간담회서 ‘우리맛닭’ 성과 등 밝혀 유전체정보 등 활용 계획"/>
    <s v="농민신문"/>
    <d v="2019-08-09T00:00:00"/>
    <m/>
    <s v="09_농업전문지"/>
    <n v="1.5"/>
    <d v="2019-08-09T00:00:00"/>
  </r>
  <r>
    <n v="3493"/>
    <s v="8_국립축산과학원"/>
    <s v="0_본원"/>
    <x v="14"/>
    <s v="권응기"/>
    <s v="보도자료73"/>
    <s v="한우, 꼼꼼한 관리로 무더위 이겨내소"/>
    <s v="농업인신문"/>
    <d v="2019-08-02T00:00:00"/>
    <m/>
    <s v="09_농업전문지"/>
    <n v="1.5"/>
    <d v="2019-08-09T00:00:00"/>
  </r>
  <r>
    <n v="3494"/>
    <s v="8_국립축산과학원"/>
    <s v="0_본원"/>
    <x v="14"/>
    <s v="권응기"/>
    <s v="보도자료73"/>
    <s v="무더위 속 한우관리 더욱 꼼꼼하게"/>
    <s v="농축유통신문"/>
    <d v="2019-08-09T00:00:00"/>
    <m/>
    <s v="09_농업전문지"/>
    <n v="1.5"/>
    <d v="2019-08-09T00:00:00"/>
  </r>
  <r>
    <n v="3495"/>
    <s v="8_국립축산과학원"/>
    <s v="2_축산자원개발부"/>
    <x v="8"/>
    <s v="최연호"/>
    <s v="보도자료65"/>
    <s v="우유 생산·체형 뛰어난 젖소 보증씨수소 4마리 선발"/>
    <s v="농식품PLUS신문"/>
    <d v="2019-08-01T00:00:00"/>
    <n v="18"/>
    <s v="10_기타전문지"/>
    <n v="1"/>
    <d v="2019-08-09T00:00:00"/>
  </r>
  <r>
    <n v="3496"/>
    <s v="8_국립축산과학원"/>
    <s v="2_축산자원개발부"/>
    <x v="8"/>
    <s v="이승수"/>
    <s v="보도자료70"/>
    <s v="돼지 개량 속도 낸다…한국형 씨돼지 9마리 뽑아"/>
    <s v="농식품PLUS신문"/>
    <d v="2019-08-01T00:00:00"/>
    <n v="19"/>
    <s v="10_기타전문지"/>
    <n v="1"/>
    <d v="2019-08-09T00:00:00"/>
  </r>
  <r>
    <n v="3497"/>
    <s v="8_국립축산과학원"/>
    <s v="0_본원"/>
    <x v="14"/>
    <s v="권응기"/>
    <s v="보도자료73"/>
    <s v="한우, 꼼꼼한 관리로 무더위 이겨내소"/>
    <s v="정책브리핑"/>
    <d v="2019-08-02T00:00:00"/>
    <m/>
    <s v="12_대한민국 정책포털(korea.kr)"/>
    <n v="1"/>
    <d v="2019-08-09T00:00:00"/>
  </r>
  <r>
    <n v="3498"/>
    <s v="8_국립축산과학원"/>
    <s v="0_본원"/>
    <x v="3"/>
    <s v="노재희"/>
    <s v="보도자료66"/>
    <s v="가축의 건강한 여름나기, 깨끗한 물 관리부터"/>
    <s v="버섯신문"/>
    <d v="2019-08-01T00:00:00"/>
    <n v="16"/>
    <s v="09_농업전문지"/>
    <n v="1.5"/>
    <d v="2019-08-09T00:00:00"/>
  </r>
  <r>
    <n v="3499"/>
    <s v="8_국립축산과학원"/>
    <s v="1_축산생명환경부"/>
    <x v="16"/>
    <s v="최봉환"/>
    <s v="보도자료68"/>
    <s v="‘제주개’도 한국 토종개다"/>
    <s v="버섯신문"/>
    <d v="2019-08-01T00:00:00"/>
    <n v="9"/>
    <s v="09_농업전문지"/>
    <n v="1.5"/>
    <d v="2019-08-09T00:00:00"/>
  </r>
  <r>
    <n v="3500"/>
    <s v="8_국립축산과학원"/>
    <s v="0_본원"/>
    <x v="14"/>
    <s v="권응기"/>
    <s v="보도자료73"/>
    <s v="한우, 꼼꼼한 관리로 무더위 이겨내소"/>
    <s v="당진신문"/>
    <d v="2019-08-02T00:00:00"/>
    <m/>
    <s v="11_기타(지역주간지)"/>
    <n v="0.5"/>
    <d v="2019-08-09T00:00:00"/>
  </r>
  <r>
    <n v="3501"/>
    <s v="8_국립축산과학원"/>
    <s v="0_본원"/>
    <x v="14"/>
    <s v="권응기"/>
    <s v="보도자료73"/>
    <s v="한우, 꼼꼼한 관리로 무더위 이겨내소"/>
    <s v="광명지역신문"/>
    <d v="2019-08-02T00:00:00"/>
    <m/>
    <s v="11_기타(지역주간지)"/>
    <n v="0.5"/>
    <d v="2019-08-09T00:00:00"/>
  </r>
  <r>
    <n v="3502"/>
    <s v="8_국립축산과학원"/>
    <s v="2_축산자원개발부"/>
    <x v="0"/>
    <s v="김영화"/>
    <m/>
    <s v="농장 수익 향상을 위한 팁(3) 밀사해결!!"/>
    <s v="돼지와사람"/>
    <d v="2019-08-07T00:00:00"/>
    <m/>
    <s v="13_인터넷포털"/>
    <n v="0.1"/>
    <d v="2019-08-09T00:00:00"/>
  </r>
  <r>
    <n v="3503"/>
    <s v="8_국립축산과학원"/>
    <s v="0_본원"/>
    <x v="14"/>
    <s v="권응기"/>
    <s v="보도자료73"/>
    <s v="농촌진흥청, 「한우, 꼼꼼한 관리로 무더위 이겨내소」"/>
    <s v="화이트페이퍼"/>
    <d v="2019-08-02T00:00:00"/>
    <m/>
    <s v="13_인터넷포털"/>
    <n v="0.1"/>
    <d v="2019-08-09T00:00:00"/>
  </r>
  <r>
    <n v="3504"/>
    <s v="8_국립축산과학원"/>
    <s v="0_본원"/>
    <x v="14"/>
    <s v="권응기"/>
    <s v="보도자료73"/>
    <s v="한우, 꼼꼼한 관리로 무더위 이겨내소"/>
    <s v="제주교통복지신문"/>
    <d v="2019-08-02T00:00:00"/>
    <m/>
    <s v="13_인터넷포털"/>
    <n v="0.1"/>
    <d v="2019-08-09T00:00:00"/>
  </r>
  <r>
    <n v="3505"/>
    <s v="8_국립축산과학원"/>
    <s v="0_본원"/>
    <x v="14"/>
    <s v="권응기"/>
    <s v="보도자료73"/>
    <s v="농촌진흥청(전국), 한우, 꼼꼼한 관리로 무더위 이겨내소"/>
    <s v="뉴스페이퍼"/>
    <d v="2019-08-02T00:00:00"/>
    <m/>
    <s v="13_인터넷포털"/>
    <n v="0.1"/>
    <d v="2019-08-09T00:00:00"/>
  </r>
  <r>
    <n v="3506"/>
    <s v="8_국립축산과학원"/>
    <s v="0_본원"/>
    <x v="14"/>
    <s v="권응기"/>
    <s v="보도자료73"/>
    <s v="한우, 꼼꼼한 관리로 무더위 이겨내소"/>
    <s v="업코리아"/>
    <d v="2019-08-02T00:00:00"/>
    <m/>
    <s v="13_인터넷포털"/>
    <n v="0.1"/>
    <d v="2019-08-09T00:00:00"/>
  </r>
  <r>
    <n v="3507"/>
    <s v="8_국립축산과학원"/>
    <s v="0_본원"/>
    <x v="14"/>
    <s v="권응기"/>
    <s v="보도자료73"/>
    <s v="한우, 꼼꼼한 관리로 무더위 이겨내소"/>
    <s v="블록체인밸리"/>
    <d v="2019-08-02T00:00:00"/>
    <m/>
    <s v="13_인터넷포털"/>
    <n v="0.1"/>
    <d v="2019-08-09T00:00:00"/>
  </r>
  <r>
    <n v="3508"/>
    <s v="8_국립축산과학원"/>
    <s v="0_본원"/>
    <x v="14"/>
    <s v="권응기"/>
    <s v="보도자료73"/>
    <s v="농촌진흥청, 꼼꼼한 관리로 무더위 이겨내소"/>
    <s v="웨딩21뉴스"/>
    <d v="2019-08-02T00:00:00"/>
    <m/>
    <s v="13_인터넷포털"/>
    <n v="0.1"/>
    <d v="2019-08-09T00:00:00"/>
  </r>
  <r>
    <n v="3509"/>
    <s v="8_국립축산과학원"/>
    <s v="0_본원"/>
    <x v="14"/>
    <s v="권응기"/>
    <s v="보도자료73"/>
    <s v="한우, 꼼꼼한 관리로 무더위 이겨내소"/>
    <s v="케이에스피뉴스"/>
    <d v="2019-08-02T00:00:00"/>
    <m/>
    <s v="13_인터넷포털"/>
    <n v="0.1"/>
    <d v="2019-08-09T00:00:00"/>
  </r>
  <r>
    <n v="3510"/>
    <s v="8_국립축산과학원"/>
    <s v="0_본원"/>
    <x v="14"/>
    <s v="권응기"/>
    <s v="보도자료73"/>
    <s v="한우, 꼼꼼한 관리로 무더위 이겨내소"/>
    <s v="더시그널뉴스"/>
    <d v="2019-08-02T00:00:00"/>
    <m/>
    <s v="13_인터넷포털"/>
    <n v="0.1"/>
    <d v="2019-08-09T00:00:00"/>
  </r>
  <r>
    <n v="3511"/>
    <s v="8_국립축산과학원"/>
    <s v="0_본원"/>
    <x v="4"/>
    <s v="천동원"/>
    <s v="기고"/>
    <s v="[기고] 천동원 소장-축산현장 애로기술 해결 위한 닭 키우기[100문 100답] Q77,78"/>
    <s v="축산신문"/>
    <d v="2019-08-09T00:00:00"/>
    <n v="15"/>
    <s v="17_농업전문지"/>
    <n v="8"/>
    <d v="2019-08-12T00:00:00"/>
  </r>
  <r>
    <n v="3512"/>
    <s v="8_국립축산과학원"/>
    <s v="2_축산자원개발부"/>
    <x v="12"/>
    <s v="허태영"/>
    <s v="기고"/>
    <s v="[기고] 허태영 연구관-젖소 고온 스트레스 지표 찾기"/>
    <s v="농수축산신문"/>
    <d v="2019-08-09T00:00:00"/>
    <n v="6"/>
    <s v="17_농업전문지"/>
    <n v="8"/>
    <d v="2019-08-12T00:00:00"/>
  </r>
  <r>
    <n v="3513"/>
    <s v="8_국립축산과학원"/>
    <s v="0_본원"/>
    <x v="13"/>
    <s v="오형규"/>
    <m/>
    <s v="경남도, ‘무허가 축사 적법화’에 총력...진행률 89.9%(하동)"/>
    <s v="뉴스1"/>
    <d v="2019-08-09T00:00:00"/>
    <m/>
    <s v="07_중앙일간지"/>
    <n v="5"/>
    <d v="2019-08-12T00:00:00"/>
  </r>
  <r>
    <n v="3514"/>
    <s v="8_국립축산과학원"/>
    <s v="0_본원"/>
    <x v="4"/>
    <s v="차재범"/>
    <s v="보도자료74"/>
    <s v="농진청 개발 토종닭 ‘우리맛닭’, 어디까지 왔나"/>
    <s v="축산신문"/>
    <d v="2019-08-09T00:00:00"/>
    <n v="7"/>
    <s v="09_농업전문지"/>
    <n v="1.5"/>
    <d v="2019-08-12T00:00:00"/>
  </r>
  <r>
    <n v="3515"/>
    <s v="8_국립축산과학원"/>
    <s v="1_축산생명환경부"/>
    <x v="9"/>
    <s v="김종복"/>
    <s v="보도자료69"/>
    <s v="본격 더위 시작…정전 대비를"/>
    <s v="양돈타임스"/>
    <d v="2019-08-08T00:00:00"/>
    <n v="7"/>
    <s v="09_농업전문지"/>
    <n v="1.5"/>
    <d v="2019-08-12T00:00:00"/>
  </r>
  <r>
    <n v="3516"/>
    <s v="8_국립축산과학원"/>
    <s v="0_본원"/>
    <x v="4"/>
    <s v="차재범"/>
    <s v="보도자료74"/>
    <s v="‘우리맛닭’ 생산기반 확대로 활성화 재도약"/>
    <s v="농축유통신문"/>
    <d v="2019-08-09T00:00:00"/>
    <m/>
    <s v="09_농업전문지"/>
    <n v="1.5"/>
    <d v="2019-08-12T00:00:00"/>
  </r>
  <r>
    <n v="3517"/>
    <s v="8_국립축산과학원"/>
    <s v="0_본원"/>
    <x v="4"/>
    <s v="차재범"/>
    <s v="보도자료74"/>
    <s v="축산과학원 “우리맛닭 소비·생산기반 확대 온 힘”"/>
    <s v="한국농어민신문"/>
    <d v="2019-08-09T00:00:00"/>
    <m/>
    <s v="09_농업전문지"/>
    <n v="1.5"/>
    <d v="2019-08-12T00:00:00"/>
  </r>
  <r>
    <n v="3518"/>
    <s v="8_국립축산과학원"/>
    <s v="0_본원"/>
    <x v="4"/>
    <s v="차재범"/>
    <s v="보도자료74"/>
    <s v="“‘우리맛닭’으로 토종닭 산업 활성화”"/>
    <s v="축산경제"/>
    <d v="2019-08-09T00:00:00"/>
    <m/>
    <s v="09_농업전문지"/>
    <n v="1.5"/>
    <d v="2019-08-12T00:00:00"/>
  </r>
  <r>
    <n v="3519"/>
    <s v="8_국립축산과학원"/>
    <s v="0_본원"/>
    <x v="4"/>
    <s v="차재범"/>
    <s v="보도자료74"/>
    <s v="양창범 축산원장 “우리맛닭으로 토종닭 산업 활성화 이끌겠다”"/>
    <s v="영농자재신문"/>
    <d v="2019-08-07T00:00:00"/>
    <m/>
    <s v="09_농업전문지"/>
    <n v="1.5"/>
    <d v="2019-08-12T00:00:00"/>
  </r>
  <r>
    <n v="3520"/>
    <s v="8_국립축산과학원"/>
    <s v="0_본원"/>
    <x v="4"/>
    <s v="차재범"/>
    <s v="보도자료74"/>
    <s v="농진청 ‘우리맛닭’, 재도약 나선다"/>
    <s v="농업인신문"/>
    <d v="2019-08-09T00:00:00"/>
    <m/>
    <s v="09_농업전문지"/>
    <n v="1.5"/>
    <d v="2019-08-12T00:00:00"/>
  </r>
  <r>
    <n v="3521"/>
    <s v="8_국립축산과학원"/>
    <s v="0_본원"/>
    <x v="13"/>
    <s v="김창한"/>
    <m/>
    <s v="“가축 폐사 막으세요” 道, 사료첨가제 지원"/>
    <s v="뉴스경남"/>
    <d v="2019-08-09T00:00:00"/>
    <n v="5"/>
    <s v="09_지방일간지"/>
    <n v="1.5"/>
    <d v="2019-08-12T00:00:00"/>
  </r>
  <r>
    <n v="3522"/>
    <s v="8_국립축산과학원"/>
    <s v="0_본원"/>
    <x v="14"/>
    <s v="조상래"/>
    <s v="보도자료72"/>
    <s v="“한우사육 이론·현장실습…현장서 큰 도움”"/>
    <s v="한우신문"/>
    <d v="2019-08-06T00:00:00"/>
    <n v="1"/>
    <s v="10_기타전문지"/>
    <n v="1"/>
    <d v="2019-08-12T00:00:00"/>
  </r>
  <r>
    <n v="3523"/>
    <s v="8_국립축산과학원"/>
    <s v="0_본원"/>
    <x v="14"/>
    <s v="권응기"/>
    <s v="보도자료73"/>
    <s v="“소가 좋아하는 영양가 높은사료 먹이고 물 충분히 급여”"/>
    <s v="한우신문"/>
    <d v="2019-08-06T00:00:00"/>
    <n v="2"/>
    <s v="10_기타전문지"/>
    <n v="1"/>
    <d v="2019-08-12T00:00:00"/>
  </r>
  <r>
    <n v="3524"/>
    <s v="8_국립축산과학원"/>
    <s v="0_본원"/>
    <x v="3"/>
    <s v="노재희"/>
    <s v="보도자료66"/>
    <s v="“가축들 건강하게 여름나려면 깨끗한 물공급부터”"/>
    <s v="한우신문"/>
    <d v="2019-08-06T00:00:00"/>
    <n v="15"/>
    <s v="10_기타전문지"/>
    <n v="1"/>
    <d v="2019-08-12T00:00:00"/>
  </r>
  <r>
    <n v="3525"/>
    <s v="8_국립축산과학원"/>
    <s v="0_본원"/>
    <x v="4"/>
    <s v="차재범"/>
    <s v="보도자료74"/>
    <s v="소비자 입맛 잡은 우리맛닭, 생산 기반 확대 나선다"/>
    <s v="정책브리핑"/>
    <d v="2019-08-07T00:00:00"/>
    <m/>
    <s v="12_대한민국 정책포털(korea.kr)"/>
    <n v="1"/>
    <d v="2019-08-12T00:00:00"/>
  </r>
  <r>
    <n v="3526"/>
    <s v="8_국립축산과학원"/>
    <s v="0_본원"/>
    <x v="4"/>
    <s v="차재범"/>
    <s v="보도자료74"/>
    <s v="소비자 입맛 잡은 우리맛닭, 생산 기반 확대 나선다"/>
    <s v="웹데일리"/>
    <d v="2019-08-07T00:00:00"/>
    <m/>
    <s v="13_인터넷포털"/>
    <n v="0.1"/>
    <d v="2019-08-12T00:00:00"/>
  </r>
  <r>
    <n v="3527"/>
    <s v="8_국립축산과학원"/>
    <s v="0_본원"/>
    <x v="4"/>
    <s v="차재범"/>
    <s v="보도자료74"/>
    <s v="소비자 입맛 잡은 우리맛닭, 생산 기반 확대 나선다"/>
    <s v="한국안전방송"/>
    <d v="2019-08-08T00:00:00"/>
    <m/>
    <s v="13_인터넷포털"/>
    <n v="0.1"/>
    <d v="2019-08-12T00:00:00"/>
  </r>
  <r>
    <n v="3528"/>
    <s v="8_국립축산과학원"/>
    <s v="0_본원"/>
    <x v="4"/>
    <s v="차재범"/>
    <s v="보도자료74"/>
    <s v="소비자 입맛 잡은 ‘우리맛닭’, 더 쉽게 만날 수 있을 듯"/>
    <s v="뉴비씨"/>
    <d v="2019-08-06T00:00:00"/>
    <m/>
    <s v="13_인터넷포털"/>
    <n v="0.1"/>
    <d v="2019-08-12T00:00:00"/>
  </r>
  <r>
    <n v="3529"/>
    <s v="8_국립축산과학원"/>
    <s v="1_축산생명환경부"/>
    <x v="9"/>
    <s v="곽정훈"/>
    <m/>
    <s v="ICT 통합 스마트팜 ‘우리농장’ 축산 농가에 활력"/>
    <s v="동아일보"/>
    <d v="2019-08-12T00:00:00"/>
    <m/>
    <s v="07_중앙일간지"/>
    <n v="5"/>
    <d v="2019-08-13T00:00:00"/>
  </r>
  <r>
    <n v="3530"/>
    <s v="8_국립축산과학원"/>
    <s v="2_축산자원개발부"/>
    <x v="8"/>
    <s v="박미나"/>
    <s v="보도자료62"/>
    <s v="100억원 짜리 소 한우 개량을 이끌 보증씨수소 16마리 선정"/>
    <s v="네이버팜"/>
    <d v="2019-07-17T00:00:00"/>
    <m/>
    <s v="25_네이버팜(텍스트 콘텐츠 포스팅)"/>
    <n v="3"/>
    <d v="2019-08-13T00:00:00"/>
  </r>
  <r>
    <n v="3531"/>
    <s v="8_국립축산과학원"/>
    <s v="0_본원"/>
    <x v="4"/>
    <s v="차재범"/>
    <s v="보도자료74"/>
    <s v="토종닭 산업 활성화 시킬 ‘우리맛닭’"/>
    <s v="한국농정신문"/>
    <d v="2019-08-13T00:00:00"/>
    <m/>
    <s v="09_농업전문지"/>
    <n v="1.5"/>
    <d v="2019-08-13T00:00:00"/>
  </r>
  <r>
    <n v="3532"/>
    <s v="8_국립축산과학원"/>
    <s v="2_축산자원개발부"/>
    <x v="8"/>
    <s v="박미나"/>
    <s v="보도자료75"/>
    <s v="농진청, 한우 교배계획 길라잡이 26호 발간"/>
    <s v="전업농신문"/>
    <d v="2019-08-13T00:00:00"/>
    <m/>
    <s v="09_농업전문지"/>
    <n v="1.5"/>
    <d v="2019-08-13T00:00:00"/>
  </r>
  <r>
    <n v="3533"/>
    <s v="8_국립축산과학원"/>
    <s v="2_축산자원개발부"/>
    <x v="8"/>
    <s v="박미나"/>
    <s v="보도자료75"/>
    <s v="한우 교배계획 길라잡이 26호, 농가 보급"/>
    <s v="식약일보"/>
    <d v="2019-08-13T00:00:00"/>
    <m/>
    <s v="10_기타전문지"/>
    <n v="1"/>
    <d v="2019-08-13T00:00:00"/>
  </r>
  <r>
    <n v="3534"/>
    <s v="8_국립축산과학원"/>
    <s v="2_축산자원개발부"/>
    <x v="8"/>
    <s v="박미나"/>
    <s v="보도자료75"/>
    <s v="농진청, ‘한우 교배계획 길라잡이 26호’ 농가 보급"/>
    <s v="농업경제신문"/>
    <d v="2019-08-13T00:00:00"/>
    <m/>
    <s v="13_인터넷포털"/>
    <n v="0.1"/>
    <d v="2019-08-13T00:00:00"/>
  </r>
  <r>
    <n v="3535"/>
    <s v="8_국립축산과학원"/>
    <s v="2_축산자원개발부"/>
    <x v="8"/>
    <s v="박미나"/>
    <s v="보도자료75"/>
    <s v="맞춤형 정액, 한우 교배계획 길라잡이를 확인하세요"/>
    <s v="중부뉴스통신"/>
    <d v="2019-08-13T00:00:00"/>
    <m/>
    <s v="13_인터넷포털"/>
    <n v="0.1"/>
    <d v="2019-08-13T00:00:00"/>
  </r>
  <r>
    <n v="3536"/>
    <s v="8_국립축산과학원"/>
    <s v="2_축산자원개발부"/>
    <x v="8"/>
    <s v="박미나"/>
    <s v="보도자료75"/>
    <s v="맞춤형 정액, 한우 교배계획 길라잡이를 확인하세요"/>
    <s v="강원경제신문"/>
    <d v="2019-08-13T00:00:00"/>
    <m/>
    <s v="13_인터넷포털"/>
    <n v="0.1"/>
    <d v="2019-08-13T00:00:00"/>
  </r>
  <r>
    <n v="3537"/>
    <s v="8_국립축산과학원"/>
    <s v="0_본원"/>
    <x v="4"/>
    <s v="천동원"/>
    <s v="기고"/>
    <s v="[기고] 천동원 소장-축산현장 애로기술 해결 위한 닭 키우기[100문 100답] Q79"/>
    <s v="축산신문"/>
    <d v="2019-08-13T00:00:00"/>
    <n v="15"/>
    <s v="17_농업전문지"/>
    <n v="8"/>
    <d v="2019-08-14T00:00:00"/>
  </r>
  <r>
    <n v="3538"/>
    <s v="8_국립축산과학원"/>
    <s v="0_본원"/>
    <x v="13"/>
    <s v="김사균"/>
    <s v="기고"/>
    <s v="[기고] 김사균 연구관-기록하라 그러면 성공할 것이다"/>
    <s v="농수축산신문"/>
    <d v="2019-08-13T00:00:00"/>
    <n v="7"/>
    <s v="17_농업전문지"/>
    <n v="8"/>
    <d v="2019-08-14T00:00:00"/>
  </r>
  <r>
    <n v="3539"/>
    <s v="8_국립축산과학원"/>
    <s v="1_축산생명환경부"/>
    <x v="5"/>
    <s v="김진형"/>
    <m/>
    <s v="소고기 등급제 20년, 농가 소득 늘고 소비자 부담 커졌다"/>
    <s v="한국일보"/>
    <d v="2019-08-14T00:00:00"/>
    <n v="20"/>
    <s v="07_중앙일간지"/>
    <n v="5"/>
    <d v="2019-08-14T00:00:00"/>
  </r>
  <r>
    <n v="3540"/>
    <s v="8_국립축산과학원"/>
    <s v="0_본원"/>
    <x v="4"/>
    <s v="차재범"/>
    <s v="보도자료74"/>
    <s v="소비자 입맛 잡은 ‘우리맛닭’, 생산 기반 확대키로"/>
    <s v="한국영농신문"/>
    <d v="2019-08-12T00:00:00"/>
    <n v="5"/>
    <s v="09_농업전문지"/>
    <n v="1.5"/>
    <d v="2019-08-14T00:00:00"/>
  </r>
  <r>
    <n v="3541"/>
    <s v="8_국립축산과학원"/>
    <s v="0_본원"/>
    <x v="14"/>
    <s v="권응기"/>
    <s v="보도자료73"/>
    <s v="“소들도 더워요”…여름철 먹이·환경 관리 유의"/>
    <s v="한국영농신문"/>
    <d v="2019-08-12T00:00:00"/>
    <n v="6"/>
    <s v="09_농업전문지"/>
    <n v="1.5"/>
    <d v="2019-08-14T00:00:00"/>
  </r>
  <r>
    <n v="3542"/>
    <s v="8_국립축산과학원"/>
    <s v="2_축산자원개발부"/>
    <x v="8"/>
    <s v="이승수"/>
    <s v="보도자료70"/>
    <s v="축과원, 한국형 씨돼지 9마리 선발"/>
    <s v="한국농어민신문"/>
    <d v="2019-08-13T00:00:00"/>
    <m/>
    <s v="09_농업전문지"/>
    <n v="1.5"/>
    <d v="2019-08-14T00:00:00"/>
  </r>
  <r>
    <n v="3543"/>
    <s v="8_국립축산과학원"/>
    <s v="2_축산자원개발부"/>
    <x v="8"/>
    <s v="박미나"/>
    <s v="보도자료75"/>
    <s v="농진청 ‘한우 교배계획 길라잡이 26호’ 농가보급"/>
    <s v="새만금일보"/>
    <d v="2019-08-13T00:00:00"/>
    <n v="6"/>
    <s v="09_지방일간지"/>
    <n v="1.5"/>
    <d v="2019-08-14T00:00:00"/>
  </r>
  <r>
    <n v="3544"/>
    <s v="8_국립축산과학원"/>
    <s v="1_축산생명환경부"/>
    <x v="7"/>
    <s v="김상호"/>
    <m/>
    <s v="현장르포-한우 마블링의 비밀·정책적 지원 필요"/>
    <s v="경인일보"/>
    <d v="2019-08-14T00:00:00"/>
    <m/>
    <s v="09_지방일간지"/>
    <n v="1.5"/>
    <d v="2019-08-14T00:00:00"/>
  </r>
  <r>
    <n v="3545"/>
    <s v="8_국립축산과학원"/>
    <s v="2_축산자원개발부"/>
    <x v="8"/>
    <s v="박미나"/>
    <s v="보도자료75"/>
    <s v="농진청, ‘한우 교배계획 길라잡이 26호’...농가 보급"/>
    <s v="로컬투데이"/>
    <d v="2019-08-13T00:00:00"/>
    <m/>
    <s v="13_인터넷포털"/>
    <n v="0.1"/>
    <d v="2019-08-14T00:00:00"/>
  </r>
  <r>
    <n v="3546"/>
    <s v="8_국립축산과학원"/>
    <s v="2_축산자원개발부"/>
    <x v="8"/>
    <s v="박미나"/>
    <s v="보도자료75"/>
    <s v="맞춤형 정액, 한우 교배계획 길라잡이를 확인하세요"/>
    <s v="미디어투데이"/>
    <d v="2019-08-13T00:00:00"/>
    <m/>
    <s v="13_인터넷포털"/>
    <n v="0.1"/>
    <d v="2019-08-14T00:00:00"/>
  </r>
  <r>
    <n v="3547"/>
    <s v="8_국립축산과학원"/>
    <s v="2_축산자원개발부"/>
    <x v="8"/>
    <s v="박미나"/>
    <s v="보도자료75"/>
    <s v="맞춤형 정액, 한우 교배계획 길라잡이를 확인하세요"/>
    <s v="전남인터넷신문"/>
    <d v="2019-08-13T00:00:00"/>
    <m/>
    <s v="13_인터넷포털"/>
    <n v="0.1"/>
    <d v="2019-08-14T00:00:00"/>
  </r>
  <r>
    <n v="3548"/>
    <s v="8_국립축산과학원"/>
    <s v="0_본원"/>
    <x v="14"/>
    <s v="권응기"/>
    <s v="기고"/>
    <s v="[기고] 권응기 연구관-한우 품질 넘어 시장 차별성 높여야"/>
    <s v="축산경제"/>
    <d v="2019-08-16T00:00:00"/>
    <m/>
    <s v="17_농업전문지"/>
    <n v="8"/>
    <d v="2019-08-16T00:00:00"/>
  </r>
  <r>
    <n v="3549"/>
    <s v="8_국립축산과학원"/>
    <s v="0_본원"/>
    <x v="15"/>
    <s v="이성수"/>
    <m/>
    <s v="강원, 멸종위기 품종 ‘칡소’ 유전자원 보존 선두주자"/>
    <s v="신아일보"/>
    <d v="2019-08-15T00:00:00"/>
    <m/>
    <s v="08_기타일간지"/>
    <n v="2"/>
    <d v="2019-08-16T00:00:00"/>
  </r>
  <r>
    <n v="3550"/>
    <s v="8_국립축산과학원"/>
    <s v="0_본원"/>
    <x v="4"/>
    <s v="차재범"/>
    <s v="보도자료74"/>
    <s v="“‘우리맛닭’으로 토종닭 산업 활성화”"/>
    <s v="축산경제"/>
    <d v="2019-08-12T00:00:00"/>
    <n v="10"/>
    <s v="09_농업전문지"/>
    <n v="1.5"/>
    <d v="2019-08-16T00:00:00"/>
  </r>
  <r>
    <n v="3551"/>
    <s v="8_국립축산과학원"/>
    <s v="0_본원"/>
    <x v="4"/>
    <s v="차재범"/>
    <m/>
    <s v="‘이례적인 가격하락에 토종닭 농가 울상’"/>
    <s v="한국농업신문"/>
    <d v="2019-08-14T00:00:00"/>
    <m/>
    <s v="09_농업전문지"/>
    <n v="1.5"/>
    <d v="2019-08-16T00:00:00"/>
  </r>
  <r>
    <n v="3552"/>
    <s v="8_국립축산과학원"/>
    <s v="0_본원"/>
    <x v="4"/>
    <s v="차재범"/>
    <s v="보도자료74"/>
    <s v="‘우리맛닭’으로 토종닭 소비촉진 노린다"/>
    <s v="한국농업신문"/>
    <d v="2019-08-14T00:00:00"/>
    <m/>
    <s v="09_농업전문지"/>
    <n v="1.5"/>
    <d v="2019-08-16T00:00:00"/>
  </r>
  <r>
    <n v="3553"/>
    <s v="8_국립축산과학원"/>
    <s v="2_축산자원개발부"/>
    <x v="8"/>
    <s v="박미나"/>
    <s v="보도자료75"/>
    <s v="&lt;한우 교배 계획 길라잡이&gt; 맞춤형 정액 확인하세요"/>
    <s v="한국영농신문"/>
    <d v="2019-08-15T00:00:00"/>
    <m/>
    <s v="09_농업전문지"/>
    <n v="1.5"/>
    <d v="2019-08-16T00:00:00"/>
  </r>
  <r>
    <n v="3554"/>
    <s v="8_국립축산과학원"/>
    <s v="2_축산자원개발부"/>
    <x v="8"/>
    <s v="박미나"/>
    <s v="보도자료75"/>
    <s v="한우 교배계획, 길라잡이로 확인"/>
    <s v="농업인신문"/>
    <d v="2019-08-16T00:00:00"/>
    <m/>
    <s v="09_농업전문지"/>
    <n v="1.5"/>
    <d v="2019-08-16T00:00:00"/>
  </r>
  <r>
    <n v="3555"/>
    <s v="8_국립축산과학원"/>
    <s v="0_본원"/>
    <x v="15"/>
    <s v="이성수"/>
    <m/>
    <s v="강원도, 멸종위험 품종 ‘칡소’ 유전자원 보존의 선두주자"/>
    <s v="강원신문"/>
    <d v="2019-08-16T00:00:00"/>
    <m/>
    <s v="11_기타(지역주간지)"/>
    <n v="0.5"/>
    <d v="2019-08-16T00:00:00"/>
  </r>
  <r>
    <n v="3556"/>
    <s v="8_국립축산과학원"/>
    <s v="0_본원"/>
    <x v="15"/>
    <s v="이성수"/>
    <m/>
    <s v="강원도, 멸종위험 품종 ‘칡소’ 유전자원 보존의 선두주자"/>
    <s v="세계타임즈"/>
    <d v="2019-08-16T00:00:00"/>
    <m/>
    <s v="11_기타(지역주간지)"/>
    <n v="0.5"/>
    <d v="2019-08-16T00:00:00"/>
  </r>
  <r>
    <n v="3557"/>
    <s v="8_국립축산과학원"/>
    <s v="0_본원"/>
    <x v="15"/>
    <s v="이성수"/>
    <m/>
    <s v="강원도, 멸종위험 품종 ‘칡소’ 유전자원 보존의 선두주자"/>
    <s v="국제뉴스"/>
    <d v="2019-08-15T00:00:00"/>
    <m/>
    <s v="13_인터넷포털"/>
    <n v="0.1"/>
    <d v="2019-08-16T00:00:00"/>
  </r>
  <r>
    <n v="3558"/>
    <s v="8_국립축산과학원"/>
    <s v="0_본원"/>
    <x v="15"/>
    <s v="이성수"/>
    <m/>
    <s v="강원축산기술硏, 지역 칡소 전수조사 결과 발표"/>
    <s v="동양뉴스통신"/>
    <d v="2019-08-15T00:00:00"/>
    <m/>
    <s v="13_인터넷포털"/>
    <n v="0.1"/>
    <d v="2019-08-16T00:00:00"/>
  </r>
  <r>
    <n v="3559"/>
    <s v="8_국립축산과학원"/>
    <s v="0_본원"/>
    <x v="15"/>
    <s v="이성수"/>
    <m/>
    <s v="강원도, 멸종위험 ‘칡소’·‘개체 증식 나선다’"/>
    <s v="뉴데일리"/>
    <d v="2019-08-15T00:00:00"/>
    <m/>
    <s v="13_인터넷포털"/>
    <n v="0.1"/>
    <d v="2019-08-16T00:00:00"/>
  </r>
  <r>
    <n v="3560"/>
    <s v="8_국립축산과학원"/>
    <s v="0_본원"/>
    <x v="15"/>
    <s v="이성수"/>
    <m/>
    <s v="강원도, 멸종위험 품종 ‘칡소’ 유전자원 보존의 선두주자"/>
    <s v="한국공보뉴스"/>
    <d v="2019-08-16T00:00:00"/>
    <m/>
    <s v="13_인터넷포털"/>
    <n v="0.1"/>
    <d v="2019-08-16T00:00:00"/>
  </r>
  <r>
    <n v="3561"/>
    <s v="8_국립축산과학원"/>
    <s v="0_본원"/>
    <x v="15"/>
    <s v="이성수"/>
    <m/>
    <s v="강원도, 멸종위험 품종 ‘칡소’ 유전자원 보존의 선두주자"/>
    <s v="뉴스에이"/>
    <d v="2019-08-16T00:00:00"/>
    <m/>
    <s v="13_인터넷포털"/>
    <n v="0.1"/>
    <d v="2019-08-16T00:00:00"/>
  </r>
  <r>
    <n v="3562"/>
    <s v="8_국립축산과학원"/>
    <s v="0_본원"/>
    <x v="4"/>
    <s v="천동원"/>
    <s v="기고"/>
    <s v="[기고] 천동원 소장-축산현장 애로기술 해결 위한 닭 키우기[100문 100답] Q80"/>
    <s v="축산신문"/>
    <d v="2019-08-16T00:00:00"/>
    <n v="15"/>
    <s v="17_농업전문지"/>
    <n v="8"/>
    <d v="2019-08-19T00:00:00"/>
  </r>
  <r>
    <n v="3563"/>
    <s v="8_국립축산과학원"/>
    <s v="2_축산자원개발부"/>
    <x v="0"/>
    <s v="정현정"/>
    <s v="기고"/>
    <s v="[기고] 정현정 연구관-이상기후에 대비하는 양돈인의 자세"/>
    <s v="농수축산신문"/>
    <d v="2019-08-16T00:00:00"/>
    <n v="10"/>
    <s v="17_농업전문지"/>
    <n v="8"/>
    <d v="2019-08-19T00:00:00"/>
  </r>
  <r>
    <n v="3564"/>
    <s v="8_국립축산과학원"/>
    <s v="1_축산생명환경부"/>
    <x v="9"/>
    <s v="전중환"/>
    <s v="기고"/>
    <s v="[기고] 전중환 연구사-동물복지 염소농장 인증기준"/>
    <s v="축산신문"/>
    <d v="2019-08-16T00:00:00"/>
    <n v="15"/>
    <s v="17_농업전문지"/>
    <n v="8"/>
    <d v="2019-08-19T00:00:00"/>
  </r>
  <r>
    <n v="3565"/>
    <s v="8_국립축산과학원"/>
    <s v="2_축산자원개발부"/>
    <x v="0"/>
    <s v="강석진"/>
    <m/>
    <s v="가축전염병 방역 ‘살처분-매몰’ 외 대안은 없을까"/>
    <s v="경향신문"/>
    <d v="2019-08-17T00:00:00"/>
    <m/>
    <s v="07_중앙일간지"/>
    <n v="5"/>
    <d v="2019-08-19T00:00:00"/>
  </r>
  <r>
    <n v="3566"/>
    <s v="8_국립축산과학원"/>
    <s v="0_본원"/>
    <x v="15"/>
    <s v="이성수"/>
    <m/>
    <s v="강원도, 멸종위기 ‘칡소’ 전국 최다...948마리 보존"/>
    <s v="뉴시스"/>
    <d v="2019-08-18T00:00:00"/>
    <m/>
    <s v="07_중앙일간지"/>
    <n v="5"/>
    <d v="2019-08-19T00:00:00"/>
  </r>
  <r>
    <n v="3567"/>
    <s v="8_국립축산과학원"/>
    <s v="2_축산자원개발부"/>
    <x v="8"/>
    <s v="박미나"/>
    <s v="보도자료75"/>
    <s v="맞춤형 정액, 한우 교배계획 길라잡이 확인하세요"/>
    <s v="농축유통신문"/>
    <d v="2019-08-16T00:00:00"/>
    <m/>
    <s v="09_농업전문지"/>
    <n v="1.5"/>
    <d v="2019-08-19T00:00:00"/>
  </r>
  <r>
    <n v="3568"/>
    <s v="8_국립축산과학원"/>
    <s v="2_축산자원개발부"/>
    <x v="8"/>
    <s v="박미나"/>
    <s v="보도자료75"/>
    <s v="올 신규 보증씨수소 유전능력 평가 정보 반영"/>
    <s v="축산신문"/>
    <d v="2019-08-16T00:00:00"/>
    <n v="4"/>
    <s v="09_농업전문지"/>
    <n v="1.5"/>
    <d v="2019-08-19T00:00:00"/>
  </r>
  <r>
    <n v="3569"/>
    <s v="8_국립축산과학원"/>
    <s v="2_축산자원개발부"/>
    <x v="8"/>
    <s v="이승수"/>
    <s v="보도자료70"/>
    <s v="농진청, 한국형 종돈 9두 선발"/>
    <s v="양돈타임스"/>
    <d v="2019-08-15T00:00:00"/>
    <n v="7"/>
    <s v="09_농업전문지"/>
    <n v="1.5"/>
    <d v="2019-08-19T00:00:00"/>
  </r>
  <r>
    <n v="3570"/>
    <s v="8_국립축산과학원"/>
    <s v="0_본원"/>
    <x v="15"/>
    <s v="이성수"/>
    <m/>
    <s v="강원도 ‘칡소’ 유전자원 보존의 선두주자"/>
    <s v="농수축산신문"/>
    <d v="2019-08-16T00:00:00"/>
    <m/>
    <s v="09_농업전문지"/>
    <n v="1.5"/>
    <d v="2019-08-19T00:00:00"/>
  </r>
  <r>
    <n v="3571"/>
    <s v="8_국립축산과학원"/>
    <s v="2_축산자원개발부"/>
    <x v="8"/>
    <s v="박미나"/>
    <s v="보도자료75"/>
    <s v="새로 선발된 보증씨수소 반영 ‘한우 교배계획 길라잡이’ 보급"/>
    <s v="농수축산신문"/>
    <d v="2019-08-16T00:00:00"/>
    <m/>
    <s v="09_농업전문지"/>
    <n v="1.5"/>
    <d v="2019-08-19T00:00:00"/>
  </r>
  <r>
    <n v="3572"/>
    <s v="8_국립축산과학원"/>
    <s v="1_축산생명환경부"/>
    <x v="9"/>
    <s v="김종복"/>
    <s v="보도자료69"/>
    <s v="‘여름철 축사정전’ 대비요령"/>
    <s v="농축산기계"/>
    <d v="2019-08-10T00:00:00"/>
    <n v="12"/>
    <s v="10_기타전문지"/>
    <n v="1"/>
    <d v="2019-08-19T00:00:00"/>
  </r>
  <r>
    <n v="3573"/>
    <s v="8_국립축산과학원"/>
    <s v="0_본원"/>
    <x v="4"/>
    <s v="차재범"/>
    <s v="보도자료74"/>
    <s v="‘우리맛닭’ 생산기반 확대 나선다"/>
    <s v="농축산기계"/>
    <d v="2019-08-10T00:00:00"/>
    <n v="12"/>
    <s v="10_기타전문지"/>
    <n v="1"/>
    <d v="2019-08-19T00:00:00"/>
  </r>
  <r>
    <n v="3574"/>
    <s v="8_국립축산과학원"/>
    <s v="0_본원"/>
    <x v="14"/>
    <s v="권응기"/>
    <s v="보도자료73"/>
    <s v="태양이 싫어유~!(포토뉴스)"/>
    <s v="농축산기계"/>
    <d v="2019-08-10T00:00:00"/>
    <n v="12"/>
    <s v="10_기타전문지"/>
    <n v="1"/>
    <d v="2019-08-19T00:00:00"/>
  </r>
  <r>
    <n v="3575"/>
    <s v="8_국립축산과학원"/>
    <s v="0_본원"/>
    <x v="15"/>
    <s v="이성수"/>
    <m/>
    <s v="강원도, ‘칡소’ 유전자원 보존 앞장서"/>
    <s v="뉴스메이커"/>
    <d v="2019-08-18T00:00:00"/>
    <m/>
    <s v="10_기타월간지"/>
    <n v="1"/>
    <d v="2019-08-19T00:00:00"/>
  </r>
  <r>
    <n v="3576"/>
    <s v="8_국립축산과학원"/>
    <s v="2_축산자원개발부"/>
    <x v="8"/>
    <s v="이승수"/>
    <s v="보도자료70"/>
    <s v="‘한국형 씨돼지’ 9마리 뽑아…개량속도↑"/>
    <s v="한국양돈신문"/>
    <d v="2019-08-13T00:00:00"/>
    <n v="4"/>
    <s v="10_기타전문지"/>
    <n v="1"/>
    <d v="2019-08-19T00:00:00"/>
  </r>
  <r>
    <n v="3577"/>
    <s v="8_국립축산과학원"/>
    <s v="1_축산생명환경부"/>
    <x v="9"/>
    <s v="김종복"/>
    <s v="보도자료69"/>
    <s v="여름철 축사 정전, 철저히 대비해야"/>
    <s v="낙농신문"/>
    <d v="2019-08-15T00:00:00"/>
    <n v="5"/>
    <s v="10_기타전문지"/>
    <n v="1"/>
    <d v="2019-08-19T00:00:00"/>
  </r>
  <r>
    <n v="3578"/>
    <s v="8_국립축산과학원"/>
    <s v="0_본원"/>
    <x v="2"/>
    <s v="이준엽"/>
    <s v="보도자료51"/>
    <s v="‘최우수 책임 운영기관’ 선정"/>
    <s v="낙농신문"/>
    <d v="2019-08-15T00:00:00"/>
    <n v="5"/>
    <s v="10_기타전문지"/>
    <n v="1"/>
    <d v="2019-08-19T00:00:00"/>
  </r>
  <r>
    <n v="3579"/>
    <s v="8_국립축산과학원"/>
    <s v="2_축산자원개발부"/>
    <x v="12"/>
    <s v="기광석"/>
    <m/>
    <s v="젖소 생산적온 범위 5-20℃ 최대 발휘"/>
    <s v="낙농신문"/>
    <d v="2018-08-15T00:00:00"/>
    <n v="13"/>
    <s v="10_기타전문지"/>
    <n v="1"/>
    <d v="2019-08-19T00:00:00"/>
  </r>
  <r>
    <n v="3580"/>
    <s v="8_국립축산과학원"/>
    <s v="2_축산자원개발부"/>
    <x v="12"/>
    <s v="기광석"/>
    <m/>
    <s v="건초 되새김 작용, 침 생성량 많아"/>
    <s v="낙농신문"/>
    <d v="2018-08-15T00:00:00"/>
    <n v="14"/>
    <s v="10_기타전문지"/>
    <n v="1"/>
    <d v="2019-08-19T00:00:00"/>
  </r>
  <r>
    <n v="3581"/>
    <s v="8_국립축산과학원"/>
    <s v="2_축산자원개발부"/>
    <x v="12"/>
    <s v="박지후"/>
    <s v="보도자료76"/>
    <s v="젖소 더위 스트레스 측정 지표 활용 방법"/>
    <s v="환경일보"/>
    <d v="2019-08-20T00:00:00"/>
    <m/>
    <s v="08_기타일간지"/>
    <n v="2"/>
    <d v="2019-08-20T00:00:00"/>
  </r>
  <r>
    <n v="3582"/>
    <s v="8_국립축산과학원"/>
    <s v="2_축산자원개발부"/>
    <x v="8"/>
    <s v="박미나"/>
    <s v="보도자료75"/>
    <s v="암소별 씨수소 교배조합 ‘한눈에’"/>
    <s v="한국농어민신문"/>
    <d v="2019-08-16T00:00:00"/>
    <m/>
    <s v="09_농업전문지"/>
    <n v="1.5"/>
    <d v="2019-08-20T00:00:00"/>
  </r>
  <r>
    <n v="3583"/>
    <s v="8_국립축산과학원"/>
    <s v="2_축산자원개발부"/>
    <x v="8"/>
    <s v="박미나"/>
    <s v="보도자료75"/>
    <s v="한우 교배계획 길라잡이 26호 보급"/>
    <s v="농촌여성신문"/>
    <d v="2019-08-19T00:00:00"/>
    <n v="3"/>
    <s v="09_농업전문지"/>
    <n v="1.5"/>
    <d v="2019-08-20T00:00:00"/>
  </r>
  <r>
    <n v="3584"/>
    <s v="8_국립축산과학원"/>
    <s v="2_축산자원개발부"/>
    <x v="8"/>
    <s v="박미나"/>
    <s v="보도자료75"/>
    <s v="맞춤형 정액, 한우 교배계획 길라잡이를 확인하세요"/>
    <s v="정책브리핑"/>
    <d v="2019-08-13T00:00:00"/>
    <m/>
    <s v="12_대한민국 정책포털(korea.kr)"/>
    <n v="1"/>
    <d v="2019-08-20T00:00:00"/>
  </r>
  <r>
    <n v="3585"/>
    <s v="8_국립축산과학원"/>
    <s v="2_축산자원개발부"/>
    <x v="8"/>
    <s v="박미나"/>
    <s v="보도자료75"/>
    <s v="맞춤형 정액, 한우 교배계획 길라잡이를 확인하세요"/>
    <s v="뉴스렙"/>
    <d v="2019-08-13T00:00:00"/>
    <m/>
    <s v="13_인터넷포털"/>
    <n v="0.1"/>
    <d v="2019-08-20T00:00:00"/>
  </r>
  <r>
    <n v="3586"/>
    <s v="8_국립축산과학원"/>
    <s v="2_축산자원개발부"/>
    <x v="8"/>
    <s v="박미나"/>
    <s v="보도자료75"/>
    <s v="맞춤형 정액, 한우 교배계획 길라잡이를 확인하세요"/>
    <s v="국토매일"/>
    <d v="2019-08-13T00:00:00"/>
    <m/>
    <s v="13_인터넷포털"/>
    <n v="0.1"/>
    <d v="2019-08-20T00:00:00"/>
  </r>
  <r>
    <n v="3587"/>
    <s v="8_국립축산과학원"/>
    <s v="2_축산자원개발부"/>
    <x v="8"/>
    <s v="박미나"/>
    <s v="보도자료75"/>
    <s v="맞춤형 정액, 한우 교배계획 길라잡이를 확인하세요"/>
    <s v="더시그널뉴스"/>
    <d v="2019-08-13T00:00:00"/>
    <m/>
    <s v="13_인터넷포털"/>
    <n v="0.1"/>
    <d v="2019-08-20T00:00:00"/>
  </r>
  <r>
    <n v="3588"/>
    <s v="8_국립축산과학원"/>
    <s v="2_축산자원개발부"/>
    <x v="8"/>
    <s v="박미나"/>
    <s v="보도자료75"/>
    <s v="맞춤형 정액, 한우 교배계획 길라잡이를 확인하세요"/>
    <s v="정필"/>
    <d v="2019-08-13T00:00:00"/>
    <m/>
    <s v="13_인터넷포털"/>
    <n v="0.1"/>
    <d v="2019-08-20T00:00:00"/>
  </r>
  <r>
    <n v="3589"/>
    <s v="8_국립축산과학원"/>
    <s v="0_본원"/>
    <x v="13"/>
    <s v="정성훈"/>
    <m/>
    <s v="성주군, 맞춤형 종합컨설팅으로 한우농가 애로기술 해결"/>
    <s v="케이에스피뉴스"/>
    <d v="2019-08-20T00:00:00"/>
    <m/>
    <s v="13_인터넷포털"/>
    <n v="0.1"/>
    <d v="2019-08-20T00:00:00"/>
  </r>
  <r>
    <n v="3590"/>
    <s v="8_국립축산과학원"/>
    <s v="0_본원"/>
    <x v="4"/>
    <s v="천동원"/>
    <s v="기고"/>
    <s v="[기고] 천동원 소장-축산현장 애로기술 해결 위한 닭 키우기[100문 100답] Q81,82"/>
    <s v="축산신문"/>
    <d v="2019-08-20T00:00:00"/>
    <n v="15"/>
    <s v="17_농업전문지"/>
    <n v="8"/>
    <d v="2019-08-21T00:00:00"/>
  </r>
  <r>
    <n v="3591"/>
    <s v="8_국립축산과학원"/>
    <s v="0_본원"/>
    <x v="4"/>
    <s v="차재범"/>
    <s v="보도자료74"/>
    <s v="소비자 사로잡은 ‘우리맛닭’ 이제는 마케팅"/>
    <s v="농축환경신문"/>
    <d v="2019-08-15T00:00:00"/>
    <n v="3"/>
    <s v="09_농업전문지"/>
    <n v="1.5"/>
    <d v="2019-08-21T00:00:00"/>
  </r>
  <r>
    <n v="3592"/>
    <s v="8_국립축산과학원"/>
    <s v="0_본원"/>
    <x v="4"/>
    <s v="천동원"/>
    <m/>
    <s v="감흥 없는 ‘동물복지농장 인증제’"/>
    <s v="축산신문"/>
    <d v="2019-08-20T00:00:00"/>
    <n v="2"/>
    <s v="09_농업전문지"/>
    <n v="1.5"/>
    <d v="2019-08-21T00:00:00"/>
  </r>
  <r>
    <n v="3593"/>
    <s v="8_국립축산과학원"/>
    <s v="2_축산자원개발부"/>
    <x v="12"/>
    <s v="박지후"/>
    <s v="보도자료76"/>
    <s v="젖소의 더위 스트레스 확인과 대응 방법은?"/>
    <s v="전민일보"/>
    <d v="2019-08-20T00:00:00"/>
    <m/>
    <s v="09_지방일간지"/>
    <n v="1.5"/>
    <d v="2019-08-21T00:00:00"/>
  </r>
  <r>
    <n v="3594"/>
    <s v="8_국립축산과학원"/>
    <s v="0_본원"/>
    <x v="13"/>
    <s v="정성훈"/>
    <m/>
    <s v="성주군 맞춤형 종합컨설팅으로 한우농가 애로기술 해결"/>
    <s v="대경일보"/>
    <d v="2019-08-20T00:00:00"/>
    <m/>
    <s v="09_지방일간지"/>
    <n v="1.5"/>
    <d v="2019-08-21T00:00:00"/>
  </r>
  <r>
    <n v="3595"/>
    <s v="8_국립축산과학원"/>
    <s v="0_본원"/>
    <x v="13"/>
    <s v="정성훈"/>
    <m/>
    <s v="성주군, 맞춤형 종합컨설팅으로 한우농가 애로기술 해결!"/>
    <s v="타임뉴스"/>
    <d v="2019-08-20T00:00:00"/>
    <m/>
    <s v="13_인터넷포털"/>
    <n v="0.1"/>
    <d v="2019-08-21T00:00:00"/>
  </r>
  <r>
    <n v="3596"/>
    <s v="8_국립축산과학원"/>
    <s v="2_축산자원개발부"/>
    <x v="12"/>
    <s v="박지후"/>
    <s v="보도자료76"/>
    <s v="젖소의 더위 스트레스 확인과 대응 방법은?"/>
    <s v="서울신문"/>
    <d v="2019-08-21T00:00:00"/>
    <m/>
    <s v="07_중앙일간지"/>
    <n v="5"/>
    <d v="2019-08-22T00:00:00"/>
  </r>
  <r>
    <n v="3597"/>
    <s v="8_국립축산과학원"/>
    <s v="2_축산자원개발부"/>
    <x v="12"/>
    <s v="박지후"/>
    <s v="보도자료76"/>
    <s v="농촌진흥청, ‘젖소 더위 스트레스 측정 지표 활용 방법’ 소개"/>
    <s v="매일일보"/>
    <d v="2019-08-21T00:00:00"/>
    <m/>
    <s v="08_기타일간지"/>
    <n v="2"/>
    <d v="2019-08-22T00:00:00"/>
  </r>
  <r>
    <n v="3598"/>
    <s v="8_국립축산과학원"/>
    <s v="2_축산자원개발부"/>
    <x v="12"/>
    <s v="박지후"/>
    <s v="보도자료76"/>
    <s v="더위 먹은 젖소, 어떻게 확인하나…"/>
    <s v="농촌여성신문"/>
    <d v="2019-08-21T00:00:00"/>
    <m/>
    <s v="09_농업전문지"/>
    <n v="1.5"/>
    <d v="2019-08-22T00:00:00"/>
  </r>
  <r>
    <n v="3599"/>
    <s v="8_국립축산과학원"/>
    <s v="2_축산자원개발부"/>
    <x v="12"/>
    <s v="박지후"/>
    <s v="보도자료76"/>
    <s v="젖소들 더위 스트레스, 이렇게 대응해야"/>
    <s v="한국영농신문"/>
    <d v="2019-08-22T00:00:00"/>
    <m/>
    <s v="09_농업전문지"/>
    <n v="1.5"/>
    <d v="2019-08-22T00:00:00"/>
  </r>
  <r>
    <n v="3600"/>
    <s v="8_국립축산과학원"/>
    <s v="0_본원"/>
    <x v="13"/>
    <s v="정성훈"/>
    <m/>
    <s v="성주, 한우농가 애로기술 맞춤형 종합컨설팅"/>
    <s v="대구신문"/>
    <d v="2019-08-21T00:00:00"/>
    <m/>
    <s v="09_지방일간지"/>
    <n v="1.5"/>
    <d v="2019-08-22T00:00:00"/>
  </r>
  <r>
    <n v="3601"/>
    <s v="8_국립축산과학원"/>
    <s v="2_축산자원개발부"/>
    <x v="8"/>
    <s v="박미나"/>
    <s v="보도자료75"/>
    <s v="소비자 입맛 잡은 우리맛닭, 생산 기반 확대 나서"/>
    <s v="농식품PLUS신문"/>
    <d v="2019-08-15T00:00:00"/>
    <n v="19"/>
    <s v="10_기타전문지"/>
    <n v="1"/>
    <d v="2019-08-22T00:00:00"/>
  </r>
  <r>
    <n v="3602"/>
    <s v="8_국립축산과학원"/>
    <s v="2_축산자원개발부"/>
    <x v="12"/>
    <s v="박지후"/>
    <s v="보도자료76"/>
    <s v="가축 더위지수 72·분당호흡 80회 이상, 냉각시스템 가동"/>
    <s v="식약일보"/>
    <d v="2019-08-21T00:00:00"/>
    <m/>
    <s v="10_기타전문지"/>
    <n v="1"/>
    <d v="2019-08-22T00:00:00"/>
  </r>
  <r>
    <n v="3603"/>
    <s v="8_국립축산과학원"/>
    <s v="2_축산자원개발부"/>
    <x v="8"/>
    <s v="박미나"/>
    <s v="보도자료75"/>
    <s v="맞춤형 정액, 한우 교배계획 길라잡이 확인"/>
    <s v="버섯신문"/>
    <d v="2019-08-15T00:00:00"/>
    <n v="16"/>
    <s v="09_농업전문지"/>
    <n v="1.5"/>
    <d v="2019-08-22T00:00:00"/>
  </r>
  <r>
    <n v="3604"/>
    <s v="8_국립축산과학원"/>
    <s v="0_본원"/>
    <x v="13"/>
    <s v="정성훈"/>
    <m/>
    <s v="맞춤형 종합컨설팅으로 한우농가 애로기술 해결(성주)"/>
    <s v="대구경북일보"/>
    <d v="2019-08-21T00:00:00"/>
    <n v="4"/>
    <s v="11_기타(지역주간지)"/>
    <n v="0.5"/>
    <d v="2019-08-22T00:00:00"/>
  </r>
  <r>
    <n v="3605"/>
    <s v="8_국립축산과학원"/>
    <s v="2_축산자원개발부"/>
    <x v="12"/>
    <s v="박지후"/>
    <s v="보도자료76"/>
    <s v="여름철 젖소의 고온 스트레스 측정 지표 활용 방법 소개"/>
    <s v="국제뉴스"/>
    <d v="2019-08-22T00:00:00"/>
    <m/>
    <s v="13_인터넷포털"/>
    <n v="0.1"/>
    <d v="2019-08-22T00:00:00"/>
  </r>
  <r>
    <n v="3606"/>
    <s v="8_국립축산과학원"/>
    <s v="2_축산자원개발부"/>
    <x v="12"/>
    <s v="박지후"/>
    <s v="보도자료76"/>
    <s v="젖소의 더위 스트레스 확인과 대응 방법은?"/>
    <s v="농업경제신문"/>
    <d v="2019-08-22T00:00:00"/>
    <m/>
    <s v="13_인터넷포털"/>
    <n v="0.1"/>
    <d v="2019-08-22T00:00:00"/>
  </r>
  <r>
    <n v="3607"/>
    <s v="8_국립축산과학원"/>
    <s v="2_축산자원개발부"/>
    <x v="12"/>
    <s v="박지후"/>
    <s v="보도자료76"/>
    <s v="“여름철 젖소 더위 스트레스 낮추면 우유생산 3~5kg 증가”"/>
    <s v="라이브팜뉴스"/>
    <d v="2019-08-22T00:00:00"/>
    <m/>
    <s v="13_인터넷포털"/>
    <n v="0.1"/>
    <d v="2019-08-22T00:00:00"/>
  </r>
  <r>
    <n v="3608"/>
    <s v="8_국립축산과학원"/>
    <s v="0_본원"/>
    <x v="4"/>
    <s v="차재범"/>
    <s v="보도자료74"/>
    <s v="우리맛닭, 생산 기반 확대 나선다"/>
    <s v="농업정보신문"/>
    <d v="2019-08-19T00:00:00"/>
    <n v="10"/>
    <s v="09_농업전문지"/>
    <n v="1.5"/>
    <d v="2019-08-23T00:00:00"/>
  </r>
  <r>
    <n v="3609"/>
    <s v="8_국립축산과학원"/>
    <s v="0_본원"/>
    <x v="4"/>
    <s v="차재범"/>
    <s v="보도자료74"/>
    <s v="“토종닭 ‘우리맛닭’ 생산기반·소비확대 적극 나서겠다”"/>
    <s v="한국식품의약신문"/>
    <d v="2019-08-12T00:00:00"/>
    <n v="11"/>
    <s v="09_농업전문지"/>
    <n v="1.5"/>
    <d v="2019-08-23T00:00:00"/>
  </r>
  <r>
    <n v="3610"/>
    <s v="8_국립축산과학원"/>
    <s v="2_축산자원개발부"/>
    <x v="12"/>
    <s v="박지후"/>
    <s v="보도자료76"/>
    <s v="젖소 더위 스트레스 확인 방법은?"/>
    <s v="전업농신문"/>
    <d v="2019-08-22T00:00:00"/>
    <m/>
    <s v="09_농업전문지"/>
    <n v="1.5"/>
    <d v="2019-08-23T00:00:00"/>
  </r>
  <r>
    <n v="3611"/>
    <s v="8_국립축산과학원"/>
    <s v="2_축산자원개발부"/>
    <x v="8"/>
    <s v="김시동"/>
    <m/>
    <s v="전북 무허가 한우정액 유통 드러나...농식품부 등 실태조사 나서"/>
    <s v="전북일보"/>
    <d v="2019-08-22T00:00:00"/>
    <m/>
    <s v="09_지방일간지"/>
    <n v="1.5"/>
    <d v="2019-08-23T00:00:00"/>
  </r>
  <r>
    <n v="3612"/>
    <s v="8_국립축산과학원"/>
    <s v="2_축산자원개발부"/>
    <x v="12"/>
    <s v="박지후"/>
    <s v="보도자료76"/>
    <s v="젖소의 더위 스트레스 확인과 대응 방법은?"/>
    <s v="정책브리핑"/>
    <d v="2019-08-21T00:00:00"/>
    <m/>
    <s v="12_대한민국 정책포털(korea.kr)"/>
    <n v="1"/>
    <d v="2019-08-23T00:00:00"/>
  </r>
  <r>
    <n v="3613"/>
    <s v="8_국립축산과학원"/>
    <s v="0_본원"/>
    <x v="15"/>
    <s v="이성수"/>
    <m/>
    <s v="강원도, 멸종위기 ‘칡소’ 유전자원 보존"/>
    <s v="농업경제신문"/>
    <d v="2019-08-23T00:00:00"/>
    <m/>
    <s v="13_인터넷포털"/>
    <n v="0.1"/>
    <d v="2019-08-23T00:00:00"/>
  </r>
  <r>
    <n v="3614"/>
    <s v="8_국립축산과학원"/>
    <s v="0_본원"/>
    <x v="13"/>
    <s v="정성훈"/>
    <m/>
    <s v="성주군, 맞춤형 종합컨설팅으로 한우농가 애로기술 해결"/>
    <s v="더뉴스코리아"/>
    <d v="2019-08-20T00:00:00"/>
    <m/>
    <s v="13_인터넷포털"/>
    <n v="0.1"/>
    <d v="2019-08-23T00:00:00"/>
  </r>
  <r>
    <n v="3615"/>
    <s v="8_국립축산과학원"/>
    <s v="0_본원"/>
    <x v="13"/>
    <s v="정성훈"/>
    <m/>
    <s v="성주군 ‘종합컨설팅’으로 축산 농가 위기 극복 지원"/>
    <s v="칠성고라이프"/>
    <d v="2019-08-21T00:00:00"/>
    <m/>
    <s v="13_인터넷포털"/>
    <n v="0.1"/>
    <d v="2019-08-23T00:00:00"/>
  </r>
  <r>
    <n v="3616"/>
    <s v="8_국립축산과학원"/>
    <s v="0_본원"/>
    <x v="4"/>
    <s v="천동원"/>
    <s v="기고"/>
    <s v="[기고] 천동원 소장-축산현장 애로기술 해결 위한 닭 키우기[100문 100답] Q83,84"/>
    <s v="축산신문"/>
    <d v="2019-08-23T00:00:00"/>
    <n v="15"/>
    <s v="17_농업전문지"/>
    <n v="8"/>
    <d v="2019-08-26T00:00:00"/>
  </r>
  <r>
    <n v="3617"/>
    <s v="8_국립축산과학원"/>
    <s v="1_축산생명환경부"/>
    <x v="7"/>
    <s v="이슬"/>
    <s v="기고"/>
    <s v="[기고] 이슬 연구사-한우 영양 균형, 섬유질배합사료로 한 번에 해결"/>
    <s v="농수축산신문"/>
    <d v="2019-08-23T00:00:00"/>
    <n v="7"/>
    <s v="17_농업전문지"/>
    <n v="8"/>
    <d v="2019-08-26T00:00:00"/>
  </r>
  <r>
    <n v="3618"/>
    <s v="8_국립축산과학원"/>
    <s v="0_본원"/>
    <x v="4"/>
    <s v="강보석"/>
    <m/>
    <s v="노른자 2개인 ‘쌍란’, 품질 문제 없을까?"/>
    <s v="헤럴드경제"/>
    <d v="2019-08-25T00:00:00"/>
    <m/>
    <s v="07_중앙일간지"/>
    <n v="5"/>
    <d v="2019-08-26T00:00:00"/>
  </r>
  <r>
    <n v="3619"/>
    <s v="8_국립축산과학원"/>
    <s v="1_축산생명환경부"/>
    <x v="1"/>
    <s v="오건봉"/>
    <m/>
    <s v="“이종이식 우리가 최고”…韓·中·日 각축전"/>
    <s v="디지털타임스"/>
    <d v="2019-08-23T00:00:00"/>
    <n v="16"/>
    <s v="08_기타일간지"/>
    <n v="2"/>
    <d v="2019-08-26T00:00:00"/>
  </r>
  <r>
    <n v="3620"/>
    <s v="8_국립축산과학원"/>
    <s v="2_축산자원개발부"/>
    <x v="12"/>
    <s v="박지후"/>
    <s v="보도자료76"/>
    <s v="더위지수·분당 호흡 확인해 젖소 스트레스 줄여야"/>
    <s v="축산신문"/>
    <d v="2019-08-23T00:00:00"/>
    <n v="3"/>
    <s v="09_농업전문지"/>
    <n v="1.5"/>
    <d v="2019-08-26T00:00:00"/>
  </r>
  <r>
    <n v="3621"/>
    <s v="8_국립축산과학원"/>
    <s v="0_본원"/>
    <x v="14"/>
    <s v="조상래"/>
    <s v="보도자료72"/>
    <s v="“청년 농부의 한우 키우기, 농진청이 돕는다”"/>
    <s v="축산신문"/>
    <d v="2019-08-23T00:00:00"/>
    <n v="3"/>
    <s v="09_농업전문지"/>
    <n v="1.5"/>
    <d v="2019-08-26T00:00:00"/>
  </r>
  <r>
    <n v="3622"/>
    <s v="8_국립축산과학원"/>
    <s v="0_본원"/>
    <x v="14"/>
    <s v="한만희"/>
    <m/>
    <s v="한우자조금, 한우 수출 힘 보탠다"/>
    <s v="농수축산신문"/>
    <d v="2019-08-23T00:00:00"/>
    <m/>
    <s v="09_농업전문지"/>
    <n v="1.5"/>
    <d v="2019-08-26T00:00:00"/>
  </r>
  <r>
    <n v="3623"/>
    <s v="8_국립축산과학원"/>
    <s v="2_축산자원개발부"/>
    <x v="12"/>
    <s v="박지후"/>
    <s v="보도자료76"/>
    <s v="축산과학원, ‘젖소 스트레스 측정표’ 소개"/>
    <s v="한국농어민신문"/>
    <d v="2019-08-23T00:00:00"/>
    <m/>
    <s v="09_농업전문지"/>
    <n v="1.5"/>
    <d v="2019-08-26T00:00:00"/>
  </r>
  <r>
    <n v="3624"/>
    <s v="8_국립축산과학원"/>
    <s v="2_축산자원개발부"/>
    <x v="12"/>
    <s v="박지후"/>
    <s v="보도자료76"/>
    <s v="젖소, 더위 스트레스 측정 지표로 극복"/>
    <s v="농업인신문"/>
    <d v="2019-08-23T00:00:00"/>
    <m/>
    <s v="09_농업전문지"/>
    <n v="1.5"/>
    <d v="2019-08-26T00:00:00"/>
  </r>
  <r>
    <n v="3625"/>
    <s v="8_국립축산과학원"/>
    <s v="2_축산자원개발부"/>
    <x v="8"/>
    <s v="박미나"/>
    <s v="보도자료75"/>
    <s v="올해 선발한 보증씨수소 유전능력 수록"/>
    <s v="한우신문"/>
    <d v="2019-08-20T00:00:00"/>
    <n v="4"/>
    <s v="10_기타전문지"/>
    <n v="1"/>
    <d v="2019-08-26T00:00:00"/>
  </r>
  <r>
    <n v="3626"/>
    <s v="8_국립축산과학원"/>
    <s v="1_축산생명환경부"/>
    <x v="7"/>
    <s v="백열창"/>
    <m/>
    <s v="반추작용 유지위해 볏집 1kg내외 급여 적당"/>
    <s v="한우신문"/>
    <d v="2019-08-20T00:00:00"/>
    <s v="12,13"/>
    <s v="10_기타전문지"/>
    <n v="1"/>
    <d v="2019-08-26T00:00:00"/>
  </r>
  <r>
    <n v="3627"/>
    <s v="8_국립축산과학원"/>
    <s v="0_본원"/>
    <x v="13"/>
    <s v="박종문"/>
    <s v="보도자료77"/>
    <s v="농촌진흥청 주관 가축인공수정사 시험 11월 시행"/>
    <s v="오가닉라이프"/>
    <d v="2019-08-26T00:00:00"/>
    <m/>
    <s v="13_인터넷포털"/>
    <n v="0.1"/>
    <d v="2019-08-26T00:00:00"/>
  </r>
  <r>
    <n v="3628"/>
    <s v="8_국립축산과학원"/>
    <s v="2_축산자원개발부"/>
    <x v="8"/>
    <s v="박미나"/>
    <m/>
    <s v="농협, 한우 ‘보증씨수소’ 선발.. 연간 2000억원 농가소득 증대"/>
    <s v="이데일리"/>
    <d v="2019-08-27T00:00:00"/>
    <m/>
    <s v="07_중앙일간지"/>
    <n v="5"/>
    <d v="2019-08-27T00:00:00"/>
  </r>
  <r>
    <n v="3629"/>
    <s v="8_국립축산과학원"/>
    <s v="0_본원"/>
    <x v="13"/>
    <s v="박종문"/>
    <s v="보도자료77"/>
    <s v="농진청 주관 가축인공수정사 시험 11월 시행"/>
    <s v="환경일보"/>
    <d v="2019-08-26T00:00:00"/>
    <m/>
    <s v="08_기타일간지"/>
    <n v="2"/>
    <d v="2019-08-27T00:00:00"/>
  </r>
  <r>
    <n v="3630"/>
    <s v="8_국립축산과학원"/>
    <s v="0_본원"/>
    <x v="4"/>
    <s v="차재범"/>
    <s v="보도자료74"/>
    <s v="소비자 입맛 잡은 우리맛닭, 생산 기반 확대 나선다"/>
    <s v="농업축산신문"/>
    <d v="2019-08-19T00:00:00"/>
    <n v="5"/>
    <s v="09_농업전문지"/>
    <n v="1.5"/>
    <d v="2019-08-27T00:00:00"/>
  </r>
  <r>
    <n v="3631"/>
    <s v="8_국립축산과학원"/>
    <s v="0_본원"/>
    <x v="13"/>
    <s v="박종문"/>
    <s v="보도자료77"/>
    <s v="농촌진흥청 주관 가축인공수정사 시험 11월 시행"/>
    <s v="농기자재신문"/>
    <d v="2019-08-26T00:00:00"/>
    <m/>
    <s v="09_농업전문지"/>
    <n v="1.5"/>
    <d v="2019-08-27T00:00:00"/>
  </r>
  <r>
    <n v="3632"/>
    <s v="8_국립축산과학원"/>
    <s v="0_본원"/>
    <x v="4"/>
    <s v="강보석"/>
    <m/>
    <s v="계란 한 판이 전부 노른자 2개 쌍란"/>
    <s v="일간경기"/>
    <d v="2019-08-26T00:00:00"/>
    <n v="19"/>
    <s v="09_지방일간지"/>
    <n v="1.5"/>
    <d v="2019-08-27T00:00:00"/>
  </r>
  <r>
    <n v="3633"/>
    <s v="8_국립축산과학원"/>
    <s v="2_축산자원개발부"/>
    <x v="8"/>
    <s v="김시동"/>
    <m/>
    <s v="전북도, 한우정액 불법 유통 점검"/>
    <s v="전북일보"/>
    <d v="2019-08-26T00:00:00"/>
    <m/>
    <s v="09_지방일간지"/>
    <n v="1.5"/>
    <d v="2019-08-27T00:00:00"/>
  </r>
  <r>
    <n v="3634"/>
    <s v="8_국립축산과학원"/>
    <s v="0_본원"/>
    <x v="13"/>
    <s v="박종문"/>
    <s v="보도자료77"/>
    <s v="농촌진흥청 주관 가축인공수정사 시험 11월 시행"/>
    <s v="정책브리핑"/>
    <d v="2019-08-27T00:00:00"/>
    <m/>
    <s v="12_대한민국 정책포털(korea.kr)"/>
    <n v="1"/>
    <d v="2019-08-27T00:00:00"/>
  </r>
  <r>
    <n v="3635"/>
    <s v="8_국립축산과학원"/>
    <s v="2_축산자원개발부"/>
    <x v="8"/>
    <s v="김시동"/>
    <m/>
    <s v="한우정액 불법유통 여부 합동점검"/>
    <s v="투데이안"/>
    <d v="2019-08-26T00:00:00"/>
    <m/>
    <s v="13_인터넷포털"/>
    <n v="0.1"/>
    <d v="2019-08-27T00:00:00"/>
  </r>
  <r>
    <n v="3636"/>
    <s v="8_국립축산과학원"/>
    <s v="0_본원"/>
    <x v="13"/>
    <s v="박종문"/>
    <s v="보도자료77"/>
    <s v="농진청, 11월 16일 가축인공수정사 시험 시행"/>
    <s v="라이브팜뉴스"/>
    <d v="2019-08-27T00:00:00"/>
    <m/>
    <s v="13_인터넷포털"/>
    <n v="0.1"/>
    <d v="2019-08-27T00:00:00"/>
  </r>
  <r>
    <n v="3637"/>
    <s v="8_국립축산과학원"/>
    <s v="0_본원"/>
    <x v="4"/>
    <s v="천동원"/>
    <s v="기고"/>
    <s v="[기고] 천동원 소장-축산현장 애로기술 해결 위한 닭 키우기[100문 100답] Q85~88"/>
    <s v="축산신문"/>
    <d v="2019-08-27T00:00:00"/>
    <n v="15"/>
    <s v="17_농업전문지"/>
    <n v="8"/>
    <d v="2019-08-28T00:00:00"/>
  </r>
  <r>
    <n v="3638"/>
    <s v="8_국립축산과학원"/>
    <s v="0_본원"/>
    <x v="13"/>
    <s v="박종문"/>
    <s v="보도자료77"/>
    <s v="농촌진흥청 주관 가축인공수정사 시험 11월 시행"/>
    <s v="서울신문"/>
    <d v="2019-08-27T00:00:00"/>
    <m/>
    <s v="07_중앙일간지"/>
    <n v="5"/>
    <d v="2019-08-28T00:00:00"/>
  </r>
  <r>
    <n v="3639"/>
    <s v="8_국립축산과학원"/>
    <s v="0_본원"/>
    <x v="4"/>
    <s v="김현수"/>
    <m/>
    <s v="LG유플러스-국립축산과학원, ‘5G 스마트 축산’ 솔루션 개발"/>
    <s v="아주경제"/>
    <d v="2019-08-28T00:00:00"/>
    <m/>
    <s v="07_중앙일간지"/>
    <n v="5"/>
    <d v="2019-08-28T00:00:00"/>
  </r>
  <r>
    <n v="3640"/>
    <s v="8_국립축산과학원"/>
    <s v="0_본원"/>
    <x v="4"/>
    <s v="김현수"/>
    <m/>
    <s v="LGU+·국립축산과학원, 5G 기반 ‘스마트 축산’ 활성화"/>
    <s v="아시아경제"/>
    <d v="2019-08-28T00:00:00"/>
    <m/>
    <s v="07_중앙일간지"/>
    <n v="5"/>
    <d v="2019-08-28T00:00:00"/>
  </r>
  <r>
    <n v="3641"/>
    <s v="8_국립축산과학원"/>
    <s v="0_본원"/>
    <x v="4"/>
    <s v="김현수"/>
    <m/>
    <s v="LGU+, 5G ‘스마트 축산’ 활성화 추진"/>
    <s v="이투데이"/>
    <d v="2019-08-28T00:00:00"/>
    <m/>
    <s v="07_중앙일간지"/>
    <n v="5"/>
    <d v="2019-08-28T00:00:00"/>
  </r>
  <r>
    <n v="3642"/>
    <s v="8_국립축산과학원"/>
    <s v="0_본원"/>
    <x v="4"/>
    <s v="김현수"/>
    <m/>
    <s v="LGU+-국립축산과학원, 5G 기반 ‘스마트 축산’ 추진"/>
    <s v="뉴시스"/>
    <d v="2019-08-28T00:00:00"/>
    <m/>
    <s v="07_중앙일간지"/>
    <n v="5"/>
    <d v="2019-08-28T00:00:00"/>
  </r>
  <r>
    <n v="3643"/>
    <s v="8_국립축산과학원"/>
    <s v="0_본원"/>
    <x v="13"/>
    <s v="박종문"/>
    <s v="보도자료77"/>
    <s v="농촌진흥청 주관, ‘가축인공수정사 시험’ 11월 시행"/>
    <s v="매일일보"/>
    <d v="2019-08-27T00:00:00"/>
    <m/>
    <s v="08_기타일간지"/>
    <n v="2"/>
    <d v="2019-08-28T00:00:00"/>
  </r>
  <r>
    <n v="3644"/>
    <s v="8_국립축산과학원"/>
    <s v="0_본원"/>
    <x v="4"/>
    <s v="김현수"/>
    <m/>
    <s v="LG유플러스-국립축산과학원, 5G ‘스마트 축산’ 활성화 추진"/>
    <s v="아시아타임즈"/>
    <d v="2019-08-28T00:00:00"/>
    <m/>
    <s v="08_기타일간지"/>
    <n v="2"/>
    <d v="2019-08-28T00:00:00"/>
  </r>
  <r>
    <n v="3645"/>
    <s v="8_국립축산과학원"/>
    <s v="2_축산자원개발부"/>
    <x v="8"/>
    <s v="박미나"/>
    <s v="보도자료75"/>
    <s v="맞춤형 정액 ‘한우 교배계획 길라잡이’ 확인"/>
    <s v="농축환경신문"/>
    <d v="2019-08-22T00:00:00"/>
    <n v="5"/>
    <s v="09_농업전문지"/>
    <n v="1.5"/>
    <d v="2019-08-28T00:00:00"/>
  </r>
  <r>
    <n v="3646"/>
    <s v="8_국립축산과학원"/>
    <s v="0_본원"/>
    <x v="14"/>
    <s v="윤호백"/>
    <m/>
    <s v="유전적 다양성 확대…한우산업 지속가능성 높여야"/>
    <s v="축산신문"/>
    <d v="2019-08-27T00:00:00"/>
    <n v="4"/>
    <s v="09_농업전문지"/>
    <n v="1.5"/>
    <d v="2019-08-28T00:00:00"/>
  </r>
  <r>
    <n v="3647"/>
    <s v="8_국립축산과학원"/>
    <s v="0_본원"/>
    <x v="13"/>
    <s v="박종문"/>
    <s v="보도자료77"/>
    <s v="농촌진흥청 주관 ‘가축인공수정사’ 시험 오는 11월 시행"/>
    <s v="전민일보"/>
    <d v="2019-08-27T00:00:00"/>
    <n v="5"/>
    <s v="09_지방일간지"/>
    <n v="1.5"/>
    <d v="2019-08-28T00:00:00"/>
  </r>
  <r>
    <n v="3648"/>
    <s v="8_국립축산과학원"/>
    <s v="0_본원"/>
    <x v="13"/>
    <s v="박종문"/>
    <s v="보도자료77"/>
    <s v="가축인공수정사 시험 농진청, 필기 11월16일"/>
    <s v="전북중앙"/>
    <d v="2019-08-27T00:00:00"/>
    <n v="2"/>
    <s v="09_지방일간지"/>
    <n v="1.5"/>
    <d v="2019-08-28T00:00:00"/>
  </r>
  <r>
    <n v="3649"/>
    <s v="8_국립축산과학원"/>
    <s v="0_본원"/>
    <x v="13"/>
    <s v="박종문"/>
    <s v="보도자료77"/>
    <s v="11월 ‘가축인공수정사’ 시험 전주서 시행"/>
    <s v="전라일보"/>
    <d v="2019-08-27T00:00:00"/>
    <n v="6"/>
    <s v="09_지방일간지"/>
    <n v="1.5"/>
    <d v="2019-08-28T00:00:00"/>
  </r>
  <r>
    <n v="3650"/>
    <s v="8_국립축산과학원"/>
    <s v="0_본원"/>
    <x v="13"/>
    <s v="박종문"/>
    <s v="보도자료77"/>
    <s v="‘가축인공수정사’ 시험 11월 시행"/>
    <s v="전주일보"/>
    <d v="2019-08-27T00:00:00"/>
    <n v="5"/>
    <s v="09_지방일간지"/>
    <n v="1.5"/>
    <d v="2019-08-28T00:00:00"/>
  </r>
  <r>
    <n v="3651"/>
    <s v="8_국립축산과학원"/>
    <s v="0_본원"/>
    <x v="13"/>
    <s v="박종문"/>
    <s v="보도자료77"/>
    <s v="농진청, 가축인공수정사 시험 11월 시행"/>
    <s v="전북연합신문"/>
    <d v="2019-08-27T00:00:00"/>
    <n v="5"/>
    <s v="09_지방일간지"/>
    <n v="1.5"/>
    <d v="2019-08-28T00:00:00"/>
  </r>
  <r>
    <n v="3652"/>
    <s v="8_국립축산과학원"/>
    <s v="2_축산자원개발부"/>
    <x v="8"/>
    <s v="김시동"/>
    <m/>
    <s v="전북 한우정액 불법유통 행정처분 경고"/>
    <s v="전라일보"/>
    <d v="2019-08-27T00:00:00"/>
    <n v="2"/>
    <s v="09_지방일간지"/>
    <n v="1.5"/>
    <d v="2019-08-28T00:00:00"/>
  </r>
  <r>
    <n v="3653"/>
    <s v="8_국립축산과학원"/>
    <s v="2_축산자원개발부"/>
    <x v="8"/>
    <s v="김시동"/>
    <m/>
    <s v="한우정액 불법유통 사전 차단…오늘부터 실태 점검"/>
    <s v="전주일보"/>
    <d v="2019-08-27T00:00:00"/>
    <n v="2"/>
    <s v="09_지방일간지"/>
    <n v="1.5"/>
    <d v="2019-08-28T00:00:00"/>
  </r>
  <r>
    <n v="3654"/>
    <s v="8_국립축산과학원"/>
    <s v="2_축산자원개발부"/>
    <x v="8"/>
    <s v="김시동"/>
    <m/>
    <s v="道, 한우정액 불법유통 합동점검"/>
    <s v="전북도민일보"/>
    <d v="2019-08-27T00:00:00"/>
    <n v="6"/>
    <s v="09_지방일간지"/>
    <n v="1.5"/>
    <d v="2019-08-28T00:00:00"/>
  </r>
  <r>
    <n v="3655"/>
    <s v="8_국립축산과학원"/>
    <s v="0_본원"/>
    <x v="13"/>
    <s v="박종문"/>
    <s v="보도자료77"/>
    <s v="가축인공수정사 시험 11월 시행"/>
    <s v="식약일보"/>
    <d v="2019-08-27T00:00:00"/>
    <m/>
    <s v="10_기타전문지"/>
    <n v="1"/>
    <d v="2019-08-28T00:00:00"/>
  </r>
  <r>
    <n v="3656"/>
    <s v="8_국립축산과학원"/>
    <s v="0_본원"/>
    <x v="13"/>
    <s v="김근영"/>
    <s v="보도자료78"/>
    <s v="면역력 떨어지는 환절기, 가축 건강 지키는 방법은?"/>
    <s v="식약일보"/>
    <d v="2019-08-27T00:00:00"/>
    <m/>
    <s v="10_기타전문지"/>
    <n v="1"/>
    <d v="2019-08-28T00:00:00"/>
  </r>
  <r>
    <n v="3657"/>
    <s v="8_국립축산과학원"/>
    <s v="0_본원"/>
    <x v="4"/>
    <s v="김현수"/>
    <m/>
    <s v="LG유플러스-국립축산과학원, 5G 기반 ‘스마트축산’ 활성화 맞손"/>
    <s v="서울파이낸스"/>
    <d v="2019-08-28T00:00:00"/>
    <m/>
    <s v="10_주간지"/>
    <n v="1"/>
    <d v="2019-08-28T00:00:00"/>
  </r>
  <r>
    <n v="3658"/>
    <s v="8_국립축산과학원"/>
    <s v="0_본원"/>
    <x v="4"/>
    <s v="김현수"/>
    <m/>
    <s v="LG유플러스, 5G 스마트 축산 활성화 나선다"/>
    <s v="이코노믹리뷰"/>
    <d v="2019-08-28T00:00:00"/>
    <m/>
    <s v="10_기타월간지"/>
    <n v="1"/>
    <d v="2019-08-28T00:00:00"/>
  </r>
  <r>
    <n v="3659"/>
    <s v="8_국립축산과학원"/>
    <s v="0_본원"/>
    <x v="4"/>
    <s v="김현수"/>
    <m/>
    <s v="LG유플러스, 국립축산과학원과 5G로 ‘스마트 축산’ 활성화"/>
    <s v="조선비즈"/>
    <d v="2019-08-28T00:00:00"/>
    <m/>
    <s v="11_기타(지역주간지)"/>
    <n v="0.5"/>
    <d v="2019-08-28T00:00:00"/>
  </r>
  <r>
    <n v="3660"/>
    <s v="8_국립축산과학원"/>
    <s v="0_본원"/>
    <x v="13"/>
    <s v="김근영"/>
    <s v="보도자료78"/>
    <s v="환절기만 되면 면역력 뚝↓... “보온·환기 신경써야”"/>
    <s v="라이브팜뉴스"/>
    <d v="2019-08-27T00:00:00"/>
    <m/>
    <s v="13_인터넷포털"/>
    <n v="0.1"/>
    <d v="2019-08-28T00:00:00"/>
  </r>
  <r>
    <n v="3661"/>
    <s v="8_국립축산과학원"/>
    <s v="0_본원"/>
    <x v="13"/>
    <s v="박종문"/>
    <s v="보도자료77"/>
    <s v="농진청, ‘가축인공수정사’ 필기시험 11월 시행"/>
    <s v="팜인사이트"/>
    <d v="2019-08-27T00:00:00"/>
    <m/>
    <s v="13_인터넷포털"/>
    <n v="0.1"/>
    <d v="2019-08-28T00:00:00"/>
  </r>
  <r>
    <n v="3662"/>
    <s v="8_국립축산과학원"/>
    <s v="0_본원"/>
    <x v="4"/>
    <s v="김현수"/>
    <m/>
    <s v="LG유플러스-국립축산과학원, 5G 스마트 축산 활성화"/>
    <s v="EBN"/>
    <d v="2019-08-28T00:00:00"/>
    <m/>
    <s v="13_인터넷포털"/>
    <n v="0.1"/>
    <d v="2019-08-28T00:00:00"/>
  </r>
  <r>
    <n v="3663"/>
    <s v="8_국립축산과학원"/>
    <s v="0_본원"/>
    <x v="4"/>
    <s v="김현수"/>
    <m/>
    <s v="LG U+, 5G 기반 ‘스마트 축산’ 활성화 추진"/>
    <s v="넥스트데일리"/>
    <d v="2019-08-28T00:00:00"/>
    <m/>
    <s v="13_인터넷포털"/>
    <n v="0.1"/>
    <d v="2019-08-28T00:00:00"/>
  </r>
  <r>
    <n v="3664"/>
    <s v="8_국립축산과학원"/>
    <s v="0_본원"/>
    <x v="4"/>
    <s v="김현수"/>
    <m/>
    <s v="LG유플러스-국립축산과학원, 5G 기반 ‘스마트축산’ 활성화 추진"/>
    <s v="디지털투데이"/>
    <d v="2019-08-28T00:00:00"/>
    <m/>
    <s v="13_인터넷포털"/>
    <n v="0.1"/>
    <d v="2019-08-28T00:00:00"/>
  </r>
  <r>
    <n v="3665"/>
    <s v="8_국립축산과학원"/>
    <s v="0_본원"/>
    <x v="4"/>
    <s v="김현수"/>
    <m/>
    <s v="LGU+, 5G 기반 ‘스마트 축산’ 활성화 추진"/>
    <s v="SR타임스"/>
    <d v="2019-08-28T00:00:00"/>
    <m/>
    <s v="13_인터넷포털"/>
    <n v="0.1"/>
    <d v="2019-08-28T00:00:00"/>
  </r>
  <r>
    <n v="3666"/>
    <s v="8_국립축산과학원"/>
    <s v="0_본원"/>
    <x v="4"/>
    <s v="김현수"/>
    <m/>
    <s v="LGU+, 국립축산과학원과 5G ‘스마트 축산’ 활성화 추진"/>
    <s v="데일리안"/>
    <d v="2019-08-28T00:00:00"/>
    <m/>
    <s v="13_인터넷포털"/>
    <n v="0.1"/>
    <d v="2019-08-28T00:00:00"/>
  </r>
  <r>
    <n v="3667"/>
    <s v="8_국립축산과학원"/>
    <s v="0_본원"/>
    <x v="4"/>
    <s v="김현수"/>
    <m/>
    <s v="LGU+, 국립축산과학원과 5G 기반 스마트 축산 활성화 맞손"/>
    <s v="연합뉴스"/>
    <d v="2019-08-28T00:00:00"/>
    <m/>
    <s v="07_중앙일간지"/>
    <n v="5"/>
    <d v="2019-08-29T00:00:00"/>
  </r>
  <r>
    <n v="3668"/>
    <s v="8_국립축산과학원"/>
    <s v="0_본원"/>
    <x v="4"/>
    <s v="김현수"/>
    <m/>
    <s v="LG유플러스×국립축산과학원, 5G기술로 ‘스마트 축산’ 활성화 추진"/>
    <s v="세계일보"/>
    <d v="2019-08-28T00:00:00"/>
    <m/>
    <s v="07_중앙일간지"/>
    <n v="5"/>
    <d v="2019-08-29T00:00:00"/>
  </r>
  <r>
    <n v="3669"/>
    <s v="8_국립축산과학원"/>
    <s v="0_본원"/>
    <x v="4"/>
    <s v="김현수"/>
    <m/>
    <s v="LG유플러스-국립축산과학원, 5G 기반 ‘스마트 축산’ 활성화 추진"/>
    <s v="아시아투데이"/>
    <d v="2019-08-28T00:00:00"/>
    <m/>
    <s v="07_중앙일간지"/>
    <n v="5"/>
    <d v="2019-08-29T00:00:00"/>
  </r>
  <r>
    <n v="3670"/>
    <s v="8_국립축산과학원"/>
    <s v="0_본원"/>
    <x v="4"/>
    <s v="김현수"/>
    <m/>
    <s v="LGU+, 5G 기반 스마트 축산 활성화 추진"/>
    <s v="서울경제"/>
    <d v="2019-08-28T00:00:00"/>
    <m/>
    <s v="07_중앙일간지"/>
    <n v="5"/>
    <d v="2019-08-29T00:00:00"/>
  </r>
  <r>
    <n v="3671"/>
    <s v="8_국립축산과학원"/>
    <s v="0_본원"/>
    <x v="4"/>
    <s v="김현수"/>
    <m/>
    <s v="LG유플러스-국립축산과학원 ‘축산도 5G로 스마트하게’"/>
    <s v="한국경제"/>
    <d v="2019-08-28T00:00:00"/>
    <m/>
    <s v="07_중앙일간지"/>
    <n v="5"/>
    <d v="2019-08-29T00:00:00"/>
  </r>
  <r>
    <n v="3672"/>
    <s v="8_국립축산과학원"/>
    <s v="0_본원"/>
    <x v="4"/>
    <s v="김현수"/>
    <m/>
    <s v="LGU+, 5G 기반 스마트 축산 활성화 나선다"/>
    <s v="파이낸셜뉴스"/>
    <d v="2019-08-28T00:00:00"/>
    <m/>
    <s v="07_중앙일간지"/>
    <n v="5"/>
    <d v="2019-08-29T00:00:00"/>
  </r>
  <r>
    <n v="3673"/>
    <s v="8_국립축산과학원"/>
    <s v="0_본원"/>
    <x v="4"/>
    <s v="김현수"/>
    <m/>
    <s v="LG유플러스-국립축산과학원, 5G 기반 ‘스마트 축산’ 활성화 협력 추진"/>
    <s v="동아일보"/>
    <d v="2019-08-28T00:00:00"/>
    <m/>
    <s v="07_중앙일간지"/>
    <n v="5"/>
    <d v="2019-08-29T00:00:00"/>
  </r>
  <r>
    <n v="3674"/>
    <s v="8_국립축산과학원"/>
    <s v="0_본원"/>
    <x v="4"/>
    <s v="김현수"/>
    <m/>
    <s v="LG유플러스, 5G 기반 ‘스마트 축산’ 활성화 추진"/>
    <s v="매일경제"/>
    <d v="2019-08-28T00:00:00"/>
    <m/>
    <s v="07_중앙일간지"/>
    <n v="5"/>
    <d v="2019-08-29T00:00:00"/>
  </r>
  <r>
    <n v="3675"/>
    <s v="8_국립축산과학원"/>
    <s v="0_본원"/>
    <x v="4"/>
    <s v="김현수"/>
    <m/>
    <s v="LGU+, 국립축산과학원과 5G 기반 ‘스마트 축산’ 활성화 나선다"/>
    <s v="뉴스1"/>
    <d v="2019-08-28T00:00:00"/>
    <m/>
    <s v="07_중앙일간지"/>
    <n v="5"/>
    <d v="2019-08-29T00:00:00"/>
  </r>
  <r>
    <n v="3676"/>
    <s v="8_국립축산과학원"/>
    <s v="0_본원"/>
    <x v="4"/>
    <s v="김현수"/>
    <m/>
    <s v="LG유플러스, 스마트축산 활성화 협력"/>
    <s v="문화일보"/>
    <d v="2019-08-28T00:00:00"/>
    <n v="36"/>
    <s v="07_중앙일간지"/>
    <n v="5"/>
    <d v="2019-08-29T00:00:00"/>
  </r>
  <r>
    <n v="3677"/>
    <s v="8_국립축산과학원"/>
    <s v="0_본원"/>
    <x v="4"/>
    <s v="김현수"/>
    <m/>
    <s v="5G 기반 ‘스마트 축산’ 활성화"/>
    <s v="내일신문"/>
    <d v="2019-08-28T00:00:00"/>
    <n v="15"/>
    <s v="07_중앙일간지"/>
    <n v="5"/>
    <d v="2019-08-29T00:00:00"/>
  </r>
  <r>
    <n v="3678"/>
    <s v="8_국립축산과학원"/>
    <s v="0_본원"/>
    <x v="13"/>
    <s v="김근영"/>
    <s v="보도자료78"/>
    <s v="면역력 떨어지는 환절기, 가축 건강 지키려면?"/>
    <s v="서울신문"/>
    <d v="2019-08-28T00:00:00"/>
    <m/>
    <s v="07_중앙일간지"/>
    <n v="5"/>
    <d v="2019-08-29T00:00:00"/>
  </r>
  <r>
    <n v="3679"/>
    <s v="8_국립축산과학원"/>
    <s v="0_본원"/>
    <x v="4"/>
    <s v="김현수"/>
    <m/>
    <s v="5G 기반 ‘스마트 축산’ 활성화 나선다"/>
    <s v="매일일보"/>
    <d v="2019-08-29T00:00:00"/>
    <n v="9"/>
    <s v="08_기타일간지"/>
    <n v="2"/>
    <d v="2019-08-29T00:00:00"/>
  </r>
  <r>
    <n v="3680"/>
    <s v="8_국립축산과학원"/>
    <s v="0_본원"/>
    <x v="4"/>
    <s v="김현수"/>
    <m/>
    <s v="LG유플러스-국립축산과학원, 5G 기반 ‘스마트 축산’ 활성화 추진"/>
    <s v="디지털타임스"/>
    <d v="2019-08-28T00:00:00"/>
    <m/>
    <s v="08_기타일간지"/>
    <n v="2"/>
    <d v="2019-08-29T00:00:00"/>
  </r>
  <r>
    <n v="3681"/>
    <s v="8_국립축산과학원"/>
    <s v="0_본원"/>
    <x v="4"/>
    <s v="김현수"/>
    <m/>
    <s v="LG유플러스-국립축산과학원, 5G 기반 ‘스마트 축산’ 활성화 추진"/>
    <s v="에너지경제"/>
    <d v="2019-08-28T00:00:00"/>
    <m/>
    <s v="08_기타일간지"/>
    <n v="2"/>
    <d v="2019-08-29T00:00:00"/>
  </r>
  <r>
    <n v="3682"/>
    <s v="8_국립축산과학원"/>
    <s v="0_본원"/>
    <x v="4"/>
    <s v="김현수"/>
    <m/>
    <s v="LG유플러스-국립축산과학원, 5G로 축산 활성화...기술협력 MOU"/>
    <s v="뉴스핌"/>
    <d v="2019-08-28T00:00:00"/>
    <m/>
    <s v="11_기타(지역주간지)"/>
    <n v="0.5"/>
    <d v="2019-08-29T00:00:00"/>
  </r>
  <r>
    <n v="3683"/>
    <s v="8_국립축산과학원"/>
    <s v="0_본원"/>
    <x v="4"/>
    <s v="김현수"/>
    <m/>
    <s v="LGU+-국립축산과학원, 5G 접목 ‘축산’ 협력 추진"/>
    <s v="파이낸셜신문"/>
    <d v="2019-08-28T00:00:00"/>
    <m/>
    <s v="11_기타(지역주간지)"/>
    <n v="0.5"/>
    <d v="2019-08-29T00:00:00"/>
  </r>
  <r>
    <n v="3684"/>
    <s v="8_국립축산과학원"/>
    <s v="0_본원"/>
    <x v="4"/>
    <s v="김현수"/>
    <m/>
    <s v="LG유플러스-국립축산과학원, 5G 기반 ‘스마트 축산’ 활성화 추진"/>
    <s v="CNB뉴스"/>
    <d v="2019-08-28T00:00:00"/>
    <m/>
    <s v="13_인터넷포털"/>
    <n v="0.1"/>
    <d v="2019-08-29T00:00:00"/>
  </r>
  <r>
    <n v="3685"/>
    <s v="8_국립축산과학원"/>
    <s v="0_본원"/>
    <x v="13"/>
    <s v="박종문"/>
    <s v="보도자료77"/>
    <s v="농촌진흥청 주관 ‘가축인공수정사’ 시험 11월 시행"/>
    <s v="농업경제신문"/>
    <d v="2019-08-28T00:00:00"/>
    <m/>
    <s v="13_인터넷포털"/>
    <n v="0.1"/>
    <d v="2019-08-29T00:00:00"/>
  </r>
  <r>
    <n v="3686"/>
    <s v="8_국립축산과학원"/>
    <s v="0_본원"/>
    <x v="4"/>
    <s v="김현수"/>
    <m/>
    <s v="5G 기반 ‘스마트 축산’ 최초적용..LG유플, 국립축산과학원과 MOU"/>
    <s v="한국정경신문"/>
    <d v="2019-08-28T00:00:00"/>
    <m/>
    <s v="13_인터넷포털"/>
    <n v="0.1"/>
    <d v="2019-08-29T00:00:00"/>
  </r>
  <r>
    <n v="3687"/>
    <s v="8_국립축산과학원"/>
    <s v="0_본원"/>
    <x v="4"/>
    <s v="김현수"/>
    <m/>
    <s v="LGU+·국립축산과학원, 5G 기반 ‘스마트 축산’ 활성화 추진"/>
    <s v="데이터넷"/>
    <d v="2019-08-28T00:00:00"/>
    <m/>
    <s v="13_인터넷포털"/>
    <n v="0.1"/>
    <d v="2019-08-29T00:00:00"/>
  </r>
  <r>
    <n v="3688"/>
    <s v="8_국립축산과학원"/>
    <s v="0_본원"/>
    <x v="4"/>
    <s v="김현수"/>
    <m/>
    <s v="LGU+, 국립축산과학원과 5G 기반 스마트 축산 활성화 추진"/>
    <s v="뉴스토마토"/>
    <d v="2019-08-28T00:00:00"/>
    <m/>
    <s v="13_인터넷포털"/>
    <n v="0.1"/>
    <d v="2019-08-29T00:00:00"/>
  </r>
  <r>
    <n v="3689"/>
    <s v="8_국립축산과학원"/>
    <s v="0_본원"/>
    <x v="4"/>
    <s v="김현수"/>
    <m/>
    <s v="LGU+, 국립축산과학원과 5G 기반 ‘스마트 축산’ 활성화 추진"/>
    <s v="팍스경제TV"/>
    <d v="2019-08-28T00:00:00"/>
    <m/>
    <s v="13_인터넷포털"/>
    <n v="0.1"/>
    <d v="2019-08-29T00:00:00"/>
  </r>
  <r>
    <n v="3690"/>
    <s v="8_국립축산과학원"/>
    <s v="0_본원"/>
    <x v="4"/>
    <s v="김현수"/>
    <m/>
    <s v="5G 기반 ‘스마트 축산’ 활성화 추진"/>
    <s v="뉴스워커"/>
    <d v="2019-08-28T00:00:00"/>
    <m/>
    <s v="13_인터넷포털"/>
    <n v="0.1"/>
    <d v="2019-08-29T00:00:00"/>
  </r>
  <r>
    <n v="3691"/>
    <s v="8_국립축산과학원"/>
    <s v="0_본원"/>
    <x v="4"/>
    <s v="김현수"/>
    <m/>
    <s v="LG유플러스, 농촌진흥청과 손 잡고 5G 기반 스마트 축산 활성화 나서"/>
    <s v="녹색경제"/>
    <d v="2019-08-28T00:00:00"/>
    <m/>
    <s v="13_인터넷포털"/>
    <n v="0.1"/>
    <d v="2019-08-29T00:00:00"/>
  </r>
  <r>
    <n v="3692"/>
    <s v="8_국립축산과학원"/>
    <s v="0_본원"/>
    <x v="4"/>
    <s v="천동원"/>
    <s v="기고"/>
    <s v="[기고] 천동원 소장-축산현장 애로기술 해결 위한 닭 키우기[100문 100답] Q89~92"/>
    <s v="축산신문"/>
    <d v="2019-08-30T00:00:00"/>
    <n v="15"/>
    <s v="17_농업전문지"/>
    <n v="8"/>
    <d v="2019-09-02T00:00:00"/>
  </r>
  <r>
    <n v="3693"/>
    <s v="8_국립축산과학원"/>
    <s v="2_축산자원개발부"/>
    <x v="0"/>
    <s v="조규호"/>
    <s v="기고"/>
    <s v="[기고] 조규호 연구관-흑돈사랑"/>
    <s v="농수축산신문"/>
    <d v="2019-08-30T00:00:00"/>
    <n v="8"/>
    <s v="17_농업전문지"/>
    <n v="8"/>
    <d v="2019-09-02T00:00:00"/>
  </r>
  <r>
    <n v="3694"/>
    <s v="8_국립축산과학원"/>
    <s v="1_축산생명환경부"/>
    <x v="1"/>
    <s v="황성수"/>
    <m/>
    <s v="&lt;이종 이식③&gt; 선진국과 격차 좁힌다...정부 간 협업은 과제"/>
    <s v="아주경제"/>
    <d v="2019-08-29T00:00:00"/>
    <m/>
    <s v="07_중앙일간지"/>
    <n v="5"/>
    <d v="2019-09-02T00:00:00"/>
  </r>
  <r>
    <n v="3695"/>
    <s v="8_국립축산과학원"/>
    <s v="2_축산자원개발부"/>
    <x v="8"/>
    <s v="박미나"/>
    <m/>
    <s v="농협 한우개량사업소, ‘한우 보증씨수소 선발증서 교부식’ 성료"/>
    <s v="세계일보"/>
    <d v="2019-08-29T00:00:00"/>
    <m/>
    <s v="07_중앙일간지"/>
    <n v="5"/>
    <d v="2019-09-02T00:00:00"/>
  </r>
  <r>
    <n v="3696"/>
    <s v="8_국립축산과학원"/>
    <s v="0_본원"/>
    <x v="13"/>
    <s v="김근영"/>
    <s v="보도자료78"/>
    <s v="농촌진흥청, 환절기 가축·축사 관리 요령 제시"/>
    <s v="매일일보"/>
    <d v="2019-08-29T00:00:00"/>
    <m/>
    <s v="08_기타일간지"/>
    <n v="2"/>
    <d v="2019-09-02T00:00:00"/>
  </r>
  <r>
    <n v="3697"/>
    <s v="8_국립축산과학원"/>
    <s v="0_본원"/>
    <x v="4"/>
    <s v="김현수"/>
    <s v="보도자료79"/>
    <s v="국립축산과학원-LG유플러스, ‘스마트축산 활성화를 위한 업무협약’ 체결"/>
    <s v="매일일보"/>
    <d v="2019-08-29T00:00:00"/>
    <m/>
    <s v="08_기타일간지"/>
    <n v="2"/>
    <d v="2019-09-02T00:00:00"/>
  </r>
  <r>
    <n v="3698"/>
    <s v="8_국립축산과학원"/>
    <s v="0_본원"/>
    <x v="4"/>
    <s v="김현수"/>
    <m/>
    <s v="LG유플러스, 5G 기반 ‘스마트 축산’ 활성화 추진"/>
    <s v="환경일보"/>
    <d v="2019-08-28T00:00:00"/>
    <m/>
    <s v="08_기타일간지"/>
    <n v="2"/>
    <d v="2019-09-02T00:00:00"/>
  </r>
  <r>
    <n v="3699"/>
    <s v="8_국립축산과학원"/>
    <s v="0_본원"/>
    <x v="13"/>
    <s v="김근영"/>
    <s v="보도자료78"/>
    <s v="농진청, 환절기 가축·축사 관리 요령 제시"/>
    <s v="환경일보"/>
    <d v="2019-08-28T00:00:00"/>
    <m/>
    <s v="08_기타일간지"/>
    <n v="2"/>
    <d v="2019-09-02T00:00:00"/>
  </r>
  <r>
    <n v="3700"/>
    <s v="8_국립축산과학원"/>
    <s v="0_본원"/>
    <x v="4"/>
    <s v="김현수"/>
    <m/>
    <s v="LG유플러스-국립축산과학원, 5G 기반 ‘스마트 축산’ 활성화"/>
    <s v="전자신문"/>
    <d v="2019-08-28T00:00:00"/>
    <m/>
    <s v="08_기타일간지"/>
    <n v="2"/>
    <d v="2019-09-02T00:00:00"/>
  </r>
  <r>
    <n v="3701"/>
    <s v="8_국립축산과학원"/>
    <s v="0_본원"/>
    <x v="4"/>
    <s v="김현수"/>
    <m/>
    <s v="‘5G로 축산 경쟁력 강화’...LG유플러스-국립축산과학원 MOU 체결"/>
    <s v="신아일보"/>
    <d v="2019-08-28T00:00:00"/>
    <m/>
    <s v="08_기타일간지"/>
    <n v="2"/>
    <d v="2019-09-02T00:00:00"/>
  </r>
  <r>
    <n v="3702"/>
    <s v="8_국립축산과학원"/>
    <s v="0_본원"/>
    <x v="4"/>
    <s v="김현수"/>
    <m/>
    <s v="LGU+, 국립축산과학원과 5G 기반 ‘스마트 축산’ 활성화 추진"/>
    <s v="천지일보"/>
    <d v="2019-08-28T00:00:00"/>
    <m/>
    <s v="08_기타일간지"/>
    <n v="2"/>
    <d v="2019-09-02T00:00:00"/>
  </r>
  <r>
    <n v="3703"/>
    <s v="8_국립축산과학원"/>
    <s v="0_본원"/>
    <x v="4"/>
    <s v="김현수"/>
    <s v="보도자료79"/>
    <s v="국립축산과학원-LG유플러스, 스마트축산 활성화 맞손"/>
    <s v="환경일보"/>
    <d v="2019-08-28T00:00:00"/>
    <m/>
    <s v="08_기타일간지"/>
    <n v="2"/>
    <d v="2019-09-02T00:00:00"/>
  </r>
  <r>
    <n v="3704"/>
    <s v="8_국립축산과학원"/>
    <s v="1_축산생명환경부"/>
    <x v="5"/>
    <s v="김진형"/>
    <m/>
    <s v="(동정) 소규모 육가공연구회 교육 실시"/>
    <s v="축산신문"/>
    <d v="2019-08-30T00:00:00"/>
    <n v="12"/>
    <s v="09_농업전문지"/>
    <n v="1.5"/>
    <d v="2019-09-02T00:00:00"/>
  </r>
  <r>
    <n v="3705"/>
    <s v="8_국립축산과학원"/>
    <s v="0_본원"/>
    <x v="13"/>
    <s v="박종문"/>
    <s v="보도자료77"/>
    <s v="올 가축인공수정사 시험 11월 전주서"/>
    <s v="축산신문"/>
    <d v="2019-08-30T00:00:00"/>
    <n v="12"/>
    <s v="09_농업전문지"/>
    <n v="1.5"/>
    <d v="2019-09-02T00:00:00"/>
  </r>
  <r>
    <n v="3706"/>
    <s v="8_국립축산과학원"/>
    <s v="0_본원"/>
    <x v="13"/>
    <s v="김근영"/>
    <s v="보도자료78"/>
    <s v="환절기, 가축·축사 관리 요령은?"/>
    <s v="전업농신문"/>
    <d v="2019-08-28T00:00:00"/>
    <m/>
    <s v="09_농업전문지"/>
    <n v="1.5"/>
    <d v="2019-09-02T00:00:00"/>
  </r>
  <r>
    <n v="3707"/>
    <s v="8_국립축산과학원"/>
    <s v="0_본원"/>
    <x v="4"/>
    <s v="김현수"/>
    <s v="보도자료79"/>
    <s v="축산과학원-LG유플러스, 스마트축산 활성화 협력"/>
    <s v="식품저널"/>
    <d v="2019-08-28T00:00:00"/>
    <m/>
    <s v="09_농업전문지"/>
    <n v="1.5"/>
    <d v="2019-09-02T00:00:00"/>
  </r>
  <r>
    <n v="3708"/>
    <s v="8_국립축산과학원"/>
    <s v="0_본원"/>
    <x v="4"/>
    <s v="김현수"/>
    <s v="보도자료79"/>
    <s v="축산과학원-LG U+, 스마트축산 활성화 ‘맞손’"/>
    <s v="전업농신문"/>
    <d v="2019-08-28T00:00:00"/>
    <m/>
    <s v="09_농업전문지"/>
    <n v="1.5"/>
    <d v="2019-09-02T00:00:00"/>
  </r>
  <r>
    <n v="3709"/>
    <s v="8_국립축산과학원"/>
    <s v="0_본원"/>
    <x v="13"/>
    <s v="김근영"/>
    <s v="보도자료78"/>
    <s v="“환절기엔 가축들도 감기 걸려요”"/>
    <s v="한국영농신문"/>
    <d v="2019-08-28T00:00:00"/>
    <m/>
    <s v="09_농업전문지"/>
    <n v="1.5"/>
    <d v="2019-09-02T00:00:00"/>
  </r>
  <r>
    <n v="3710"/>
    <s v="8_국립축산과학원"/>
    <s v="0_본원"/>
    <x v="4"/>
    <s v="김현수"/>
    <s v="보도자료79"/>
    <s v="스마트 축산 성큼... ‘닭’을 ‘앱’으로 관리한다"/>
    <s v="대한급식신문"/>
    <d v="2019-08-28T00:00:00"/>
    <m/>
    <s v="09_농업전문지"/>
    <n v="1.5"/>
    <d v="2019-09-02T00:00:00"/>
  </r>
  <r>
    <n v="3711"/>
    <s v="8_국립축산과학원"/>
    <s v="0_본원"/>
    <x v="13"/>
    <s v="박종문"/>
    <s v="보도자료77"/>
    <s v="가축 인공 수정사 시험 11월 시행"/>
    <s v="한국영농신문"/>
    <d v="2019-08-29T00:00:00"/>
    <m/>
    <s v="09_농업전문지"/>
    <n v="1.5"/>
    <d v="2019-09-02T00:00:00"/>
  </r>
  <r>
    <n v="3712"/>
    <s v="8_국립축산과학원"/>
    <s v="0_본원"/>
    <x v="4"/>
    <s v="김현수"/>
    <s v="보도자료79"/>
    <s v="국립축산과학원, LG유플러스와 스마트 축산 활성화 나선다"/>
    <s v="한국영농신문"/>
    <d v="2019-08-29T00:00:00"/>
    <m/>
    <s v="09_농업전문지"/>
    <n v="1.5"/>
    <d v="2019-09-02T00:00:00"/>
  </r>
  <r>
    <n v="3713"/>
    <s v="8_국립축산과학원"/>
    <s v="2_축산자원개발부"/>
    <x v="8"/>
    <s v="박미나"/>
    <m/>
    <s v="한우개량사업소, 한우 보증씨스소 선발증서 교부"/>
    <s v="농축유통신문"/>
    <d v="2019-08-30T00:00:00"/>
    <m/>
    <s v="09_농업전문지"/>
    <n v="1.5"/>
    <d v="2019-09-02T00:00:00"/>
  </r>
  <r>
    <n v="3714"/>
    <s v="8_국립축산과학원"/>
    <s v="0_본원"/>
    <x v="4"/>
    <s v="김현수"/>
    <s v="보도자료79"/>
    <s v="국립축산과학원과 ㈜LG유플러스 간 업무협약식"/>
    <s v="전라일보"/>
    <d v="2019-08-29T00:00:00"/>
    <n v="6"/>
    <s v="09_지방일간지"/>
    <n v="1.5"/>
    <d v="2019-09-02T00:00:00"/>
  </r>
  <r>
    <n v="3715"/>
    <s v="8_국립축산과학원"/>
    <s v="0_본원"/>
    <x v="4"/>
    <s v="김현수"/>
    <s v="보도자료79"/>
    <s v="국립축산과학원-LG유플러스, 스마트축산 ‘맞손’"/>
    <s v="전주매일"/>
    <d v="2019-08-29T00:00:00"/>
    <n v="6"/>
    <s v="09_지방일간지"/>
    <n v="1.5"/>
    <d v="2019-09-02T00:00:00"/>
  </r>
  <r>
    <n v="3716"/>
    <s v="8_국립축산과학원"/>
    <s v="0_본원"/>
    <x v="4"/>
    <s v="김현수"/>
    <s v="보도자료79"/>
    <s v="5G기반 스마트축산 활성화 추진"/>
    <s v="전라매일"/>
    <d v="2019-08-29T00:00:00"/>
    <n v="2"/>
    <s v="09_지방일간지"/>
    <n v="1.5"/>
    <d v="2019-09-02T00:00:00"/>
  </r>
  <r>
    <n v="3717"/>
    <s v="8_국립축산과학원"/>
    <s v="0_본원"/>
    <x v="13"/>
    <s v="정성훈"/>
    <m/>
    <s v="아산시, 축산 농가 맞춤형 종합컨설팅"/>
    <s v="대전투데이"/>
    <d v="2019-08-29T00:00:00"/>
    <n v="6"/>
    <s v="09_지방일간지"/>
    <n v="1.5"/>
    <d v="2019-09-02T00:00:00"/>
  </r>
  <r>
    <n v="3718"/>
    <s v="8_국립축산과학원"/>
    <s v="0_본원"/>
    <x v="4"/>
    <s v="김현수"/>
    <s v="보도자료79"/>
    <s v="국립축산과학원-LG유플러스, 스마트축산 활성화 맞손"/>
    <s v="전북도민일보"/>
    <d v="2019-08-28T00:00:00"/>
    <m/>
    <s v="09_지방일간지"/>
    <n v="1.5"/>
    <d v="2019-09-02T00:00:00"/>
  </r>
  <r>
    <n v="3719"/>
    <s v="8_국립축산과학원"/>
    <s v="2_축산자원개발부"/>
    <x v="8"/>
    <s v="박미나"/>
    <m/>
    <s v="농협, 한우 보증씨수소 26마리 선발증서 교부식"/>
    <s v="부산일보"/>
    <d v="2019-08-29T00:00:00"/>
    <m/>
    <s v="09_지방일간지"/>
    <n v="1.5"/>
    <d v="2019-09-02T00:00:00"/>
  </r>
  <r>
    <n v="3720"/>
    <s v="8_국립축산과학원"/>
    <s v="0_본원"/>
    <x v="4"/>
    <s v="김현수"/>
    <m/>
    <s v="LG U+, 축산과학원과 스마트축산 활성화 맞손"/>
    <s v="metro"/>
    <d v="2019-08-29T00:00:00"/>
    <n v="6"/>
    <s v="10_무가지"/>
    <n v="1"/>
    <d v="2019-09-02T00:00:00"/>
  </r>
  <r>
    <n v="3721"/>
    <s v="8_국립축산과학원"/>
    <s v="0_본원"/>
    <x v="4"/>
    <s v="김현수"/>
    <m/>
    <s v="LG유플러스-국립축산과학원, 5G로 축산업 경쟁력 강화"/>
    <s v="이뉴스투데이"/>
    <d v="2019-08-28T00:00:00"/>
    <m/>
    <s v="10_주간지"/>
    <n v="1"/>
    <d v="2019-09-02T00:00:00"/>
  </r>
  <r>
    <n v="3722"/>
    <s v="8_국립축산과학원"/>
    <s v="0_본원"/>
    <x v="4"/>
    <s v="김현수"/>
    <m/>
    <s v="LGU+, 국립축산과학원과 손 잡고 5G 기반 ‘스마트 축산’ 활성화 추진"/>
    <s v="뉴스웨이"/>
    <d v="2019-08-28T00:00:00"/>
    <m/>
    <s v="10_주간지"/>
    <n v="1"/>
    <d v="2019-09-02T00:00:00"/>
  </r>
  <r>
    <n v="3723"/>
    <s v="8_국립축산과학원"/>
    <s v="0_본원"/>
    <x v="4"/>
    <s v="김현수"/>
    <m/>
    <s v="LG유플러-국립축산과학원, 5G 활용 ‘스마트 축산’ 활성화 추진"/>
    <s v="초이스경제"/>
    <d v="2019-08-28T00:00:00"/>
    <m/>
    <s v="10_기타월간지"/>
    <n v="1"/>
    <d v="2019-09-02T00:00:00"/>
  </r>
  <r>
    <n v="3724"/>
    <s v="8_국립축산과학원"/>
    <s v="0_본원"/>
    <x v="4"/>
    <s v="김현수"/>
    <m/>
    <s v="LG유플러스, 국립축산과학원과 5G 기반 ‘스마트 축산’ 활성화 추진"/>
    <s v="금융경제신문"/>
    <d v="2019-08-28T00:00:00"/>
    <m/>
    <s v="10_기타전문지"/>
    <n v="1"/>
    <d v="2019-09-02T00:00:00"/>
  </r>
  <r>
    <n v="3725"/>
    <s v="8_국립축산과학원"/>
    <s v="0_본원"/>
    <x v="4"/>
    <s v="김현수"/>
    <m/>
    <s v="LG유플러스-국립축산과학원, 5G 기반 ‘스마트 축산’ 활성화 추진"/>
    <s v="전기신문"/>
    <d v="2019-08-28T00:00:00"/>
    <m/>
    <s v="10_기타전문지"/>
    <n v="1"/>
    <d v="2019-09-02T00:00:00"/>
  </r>
  <r>
    <n v="3726"/>
    <s v="8_국립축산과학원"/>
    <s v="0_본원"/>
    <x v="4"/>
    <s v="김현수"/>
    <m/>
    <s v="LGU+-국립축산과학원, 5G 기반 ‘스마트 축산’ 활성화 추진"/>
    <s v="시사오늘"/>
    <d v="2019-08-28T00:00:00"/>
    <m/>
    <s v="10_기타월간지"/>
    <n v="1"/>
    <d v="2019-09-02T00:00:00"/>
  </r>
  <r>
    <n v="3727"/>
    <s v="8_국립축산과학원"/>
    <s v="0_본원"/>
    <x v="4"/>
    <s v="김현수"/>
    <m/>
    <s v="LG유플러스-국립축산과학원, 5G 기반 스마트축산 활성화 협약"/>
    <s v="브릿지경제"/>
    <d v="2019-08-28T00:00:00"/>
    <m/>
    <s v="11_기타(지역주간지)"/>
    <n v="0.5"/>
    <d v="2019-09-02T00:00:00"/>
  </r>
  <r>
    <n v="3728"/>
    <s v="8_국립축산과학원"/>
    <s v="0_본원"/>
    <x v="13"/>
    <s v="정성훈"/>
    <m/>
    <s v="아산시, 축산농가 기술경쟁력 높인다"/>
    <s v="충남신문"/>
    <d v="2019-08-28T00:00:00"/>
    <m/>
    <s v="11_기타(지역주간지)"/>
    <n v="0.5"/>
    <d v="2019-09-02T00:00:00"/>
  </r>
  <r>
    <n v="3729"/>
    <s v="8_국립축산과학원"/>
    <s v="2_축산자원개발부"/>
    <x v="8"/>
    <s v="박미나"/>
    <m/>
    <s v="LG유플러스-농진청, 5G 기술로 축산업 경쟁력 강화 협약…“농가 소득 향상”"/>
    <s v="일요주간"/>
    <d v="2019-08-29T00:00:00"/>
    <m/>
    <s v="11_기타(지역주간지)"/>
    <n v="0.5"/>
    <d v="2019-09-02T00:00:00"/>
  </r>
  <r>
    <n v="3730"/>
    <s v="8_국립축산과학원"/>
    <s v="0_본원"/>
    <x v="4"/>
    <s v="김현수"/>
    <m/>
    <s v="LG유플러스-국립축산과학원, 5G 기반 ‘스마트 축산’ 활성화 추진"/>
    <s v="뉴스웍스"/>
    <d v="2019-08-28T00:00:00"/>
    <m/>
    <s v="13_인터넷포털"/>
    <n v="0.1"/>
    <d v="2019-09-02T00:00:00"/>
  </r>
  <r>
    <n v="3731"/>
    <s v="8_국립축산과학원"/>
    <s v="0_본원"/>
    <x v="4"/>
    <s v="김현수"/>
    <m/>
    <s v="‘5G 기반 스마트축산 활성화’에 LGU+-국립축산과학원 맞손"/>
    <s v="투데이코리아"/>
    <d v="2019-08-28T00:00:00"/>
    <m/>
    <s v="13_인터넷포털"/>
    <n v="0.1"/>
    <d v="2019-09-02T00:00:00"/>
  </r>
  <r>
    <n v="3732"/>
    <s v="8_국립축산과학원"/>
    <s v="0_본원"/>
    <x v="4"/>
    <s v="김현수"/>
    <m/>
    <s v="“5G 기술로 축산업 경쟁력 강화한다”"/>
    <s v="농업경제신문"/>
    <d v="2019-08-28T00:00:00"/>
    <m/>
    <s v="13_인터넷포털"/>
    <n v="0.1"/>
    <d v="2019-09-02T00:00:00"/>
  </r>
  <r>
    <n v="3733"/>
    <s v="8_국립축산과학원"/>
    <s v="0_본원"/>
    <x v="4"/>
    <s v="김현수"/>
    <m/>
    <s v="LG유플러스-국립축산과학원, 5G 기반 ‘스마트 축산’ 활성화 협력 추진"/>
    <s v="아이티비즈"/>
    <d v="2019-08-28T00:00:00"/>
    <m/>
    <s v="13_인터넷포털"/>
    <n v="0.1"/>
    <d v="2019-09-02T00:00:00"/>
  </r>
  <r>
    <n v="3734"/>
    <s v="8_국립축산과학원"/>
    <s v="0_본원"/>
    <x v="4"/>
    <s v="김현수"/>
    <m/>
    <s v="LG유플러스, 국립축산과학원 5G ‘스마트 축산’ 도입... 축산업 경쟁력 강화"/>
    <s v="FETV"/>
    <d v="2019-08-28T00:00:00"/>
    <m/>
    <s v="13_인터넷포털"/>
    <n v="0.1"/>
    <d v="2019-09-02T00:00:00"/>
  </r>
  <r>
    <n v="3735"/>
    <s v="8_국립축산과학원"/>
    <s v="0_본원"/>
    <x v="4"/>
    <s v="김현수"/>
    <m/>
    <s v="LGU+, 5G 기반 ‘스마트 축산’ 활성화 박차"/>
    <s v="디지털데일리"/>
    <d v="2019-08-28T00:00:00"/>
    <m/>
    <s v="13_인터넷포털"/>
    <n v="0.1"/>
    <d v="2019-09-02T00:00:00"/>
  </r>
  <r>
    <n v="3736"/>
    <s v="8_국립축산과학원"/>
    <s v="0_본원"/>
    <x v="4"/>
    <s v="김현수"/>
    <m/>
    <s v="LGU플러스, 국립축산과학원과 ‘5G 축산 활성화’ 맞손"/>
    <s v="중소기업신문"/>
    <d v="2019-08-28T00:00:00"/>
    <m/>
    <s v="13_인터넷포털"/>
    <n v="0.1"/>
    <d v="2019-09-02T00:00:00"/>
  </r>
  <r>
    <n v="3737"/>
    <s v="8_국립축산과학원"/>
    <s v="0_본원"/>
    <x v="13"/>
    <s v="정성훈"/>
    <m/>
    <s v="아산시, 한우 등 축산 농가 맞춤형 종합컨설팅 진행"/>
    <s v="C뉴스041"/>
    <d v="2019-08-28T00:00:00"/>
    <m/>
    <s v="13_인터넷포털"/>
    <n v="0.1"/>
    <d v="2019-09-02T00:00:00"/>
  </r>
  <r>
    <n v="3738"/>
    <s v="8_국립축산과학원"/>
    <s v="0_본원"/>
    <x v="4"/>
    <s v="김현수"/>
    <m/>
    <s v="LGU플러스·국립축산과학원, 5G 기반 ‘스마트 축산’ 추진"/>
    <s v="파이낸셜데일리"/>
    <d v="2019-08-28T00:00:00"/>
    <m/>
    <s v="13_인터넷포털"/>
    <n v="0.1"/>
    <d v="2019-09-02T00:00:00"/>
  </r>
  <r>
    <n v="3739"/>
    <s v="8_국립축산과학원"/>
    <s v="0_본원"/>
    <x v="4"/>
    <s v="김현수"/>
    <m/>
    <s v="국립축산과학원-LG유플러스, 5G 기반 ‘스마트 축산’ 활성화 추진(LG보도자료)"/>
    <s v="뉴스워치"/>
    <d v="2019-08-28T00:00:00"/>
    <m/>
    <s v="13_인터넷포털"/>
    <n v="0.1"/>
    <d v="2019-09-02T00:00:00"/>
  </r>
  <r>
    <n v="3740"/>
    <s v="8_국립축산과학원"/>
    <s v="0_본원"/>
    <x v="4"/>
    <s v="김현수"/>
    <m/>
    <s v="LG유플러스-국립축산과학원, ‘5G 스마트 축산 활성화’ MOU 체결"/>
    <s v="청년일보"/>
    <d v="2019-08-28T00:00:00"/>
    <m/>
    <s v="13_인터넷포털"/>
    <n v="0.1"/>
    <d v="2019-09-02T00:00:00"/>
  </r>
  <r>
    <n v="3741"/>
    <s v="8_국립축산과학원"/>
    <s v="0_본원"/>
    <x v="4"/>
    <s v="김현수"/>
    <m/>
    <s v="LGU+, 국립축산과학원과 5G 기반 ‘스마트 축산’ 활성화 추진"/>
    <s v="미디어펜"/>
    <d v="2019-08-28T00:00:00"/>
    <m/>
    <s v="13_인터넷포털"/>
    <n v="0.1"/>
    <d v="2019-09-02T00:00:00"/>
  </r>
  <r>
    <n v="3742"/>
    <s v="8_국립축산과학원"/>
    <s v="0_본원"/>
    <x v="4"/>
    <s v="김현수"/>
    <m/>
    <s v="LG유플러스-국립축산과학원, 5G 기반 ‘스마트 축산’ 활성화 추진"/>
    <s v="프레스맨"/>
    <d v="2019-08-28T00:00:00"/>
    <m/>
    <s v="13_인터넷포털"/>
    <n v="0.1"/>
    <d v="2019-09-02T00:00:00"/>
  </r>
  <r>
    <n v="3743"/>
    <s v="8_국립축산과학원"/>
    <s v="0_본원"/>
    <x v="4"/>
    <s v="김현수"/>
    <m/>
    <s v="LGU+, 국립축산과학원과 ‘맞손’…5G 기반 ‘스마트 축산’ 활성화 추진한다"/>
    <s v="글로벌경제신문"/>
    <d v="2019-08-28T00:00:00"/>
    <m/>
    <s v="13_인터넷포털"/>
    <n v="0.1"/>
    <d v="2019-09-02T00:00:00"/>
  </r>
  <r>
    <n v="3744"/>
    <s v="8_국립축산과학원"/>
    <s v="0_본원"/>
    <x v="4"/>
    <s v="김현수"/>
    <m/>
    <s v="LG유플러스-국립축산과학원, 5G 기반 ‘스마트 축산’ 추진"/>
    <s v="데일리그리드"/>
    <d v="2019-08-28T00:00:00"/>
    <m/>
    <s v="13_인터넷포털"/>
    <n v="0.1"/>
    <d v="2019-09-02T00:00:00"/>
  </r>
  <r>
    <n v="3745"/>
    <s v="8_국립축산과학원"/>
    <s v="0_본원"/>
    <x v="4"/>
    <s v="김현수"/>
    <m/>
    <s v="LG유플러스-국립축산과학원, 5G 기반 ‘스마트 축산’ 활성화 추진"/>
    <s v="스마트경제"/>
    <d v="2019-08-28T00:00:00"/>
    <m/>
    <s v="13_인터넷포털"/>
    <n v="0.1"/>
    <d v="2019-09-02T00:00:00"/>
  </r>
  <r>
    <n v="3746"/>
    <s v="8_국립축산과학원"/>
    <s v="0_본원"/>
    <x v="4"/>
    <s v="김현수"/>
    <m/>
    <s v="LGU+, 국립축산과학원과 5G 기반 ‘스마트 축산’ 활성화 추진"/>
    <s v="비즈트리뷴"/>
    <d v="2019-08-28T00:00:00"/>
    <m/>
    <s v="13_인터넷포털"/>
    <n v="0.1"/>
    <d v="2019-09-02T00:00:00"/>
  </r>
  <r>
    <n v="3747"/>
    <s v="8_국립축산과학원"/>
    <s v="0_본원"/>
    <x v="4"/>
    <s v="김현수"/>
    <m/>
    <s v="LG유플러스, 국립축산과학원과 5G 기반 ‘스마트 축산’ 활성화 추진"/>
    <s v="업다운뉴스"/>
    <d v="2019-08-28T00:00:00"/>
    <m/>
    <s v="13_인터넷포털"/>
    <n v="0.1"/>
    <d v="2019-09-02T00:00:00"/>
  </r>
  <r>
    <n v="3748"/>
    <s v="8_국립축산과학원"/>
    <s v="0_본원"/>
    <x v="4"/>
    <s v="김현수"/>
    <m/>
    <s v="LGU+, 5G 활용 ‘스마트 축산’ 실증 진행"/>
    <s v="아이뉴스24"/>
    <d v="2019-08-28T00:00:00"/>
    <m/>
    <s v="13_인터넷포털"/>
    <n v="0.1"/>
    <d v="2019-09-02T00:00:00"/>
  </r>
  <r>
    <n v="3749"/>
    <s v="8_국립축산과학원"/>
    <s v="0_본원"/>
    <x v="4"/>
    <s v="김현수"/>
    <m/>
    <s v="LG유플러스-국립축산과학원, 5G 기반 ‘스마트 축산’ 활성화"/>
    <s v="테크월드"/>
    <d v="2019-08-28T00:00:00"/>
    <m/>
    <s v="13_인터넷포털"/>
    <n v="0.1"/>
    <d v="2019-09-02T00:00:00"/>
  </r>
  <r>
    <n v="3750"/>
    <s v="8_국립축산과학원"/>
    <s v="0_본원"/>
    <x v="13"/>
    <s v="정성훈"/>
    <m/>
    <s v="“축산 경영·번식 컨설팅으로 기술경쟁력 높인다”"/>
    <s v="아산투데이"/>
    <d v="2019-08-28T00:00:00"/>
    <m/>
    <s v="13_인터넷포털"/>
    <n v="0.1"/>
    <d v="2019-09-02T00:00:00"/>
  </r>
  <r>
    <n v="3751"/>
    <s v="8_국립축산과학원"/>
    <s v="0_본원"/>
    <x v="13"/>
    <s v="정성훈"/>
    <m/>
    <s v="아산시, 올해 9년차 한우 등 축산 농가 맞춤형 종합컨설팅 진행"/>
    <s v="한국공보뉴스"/>
    <d v="2019-08-28T00:00:00"/>
    <m/>
    <s v="13_인터넷포털"/>
    <n v="0.1"/>
    <d v="2019-09-02T00:00:00"/>
  </r>
  <r>
    <n v="3752"/>
    <s v="8_국립축산과학원"/>
    <s v="0_본원"/>
    <x v="4"/>
    <s v="김현수"/>
    <m/>
    <s v="LG유플러스-국립축산과학원, 5G ‘스마트 축산’ 활성화 추진"/>
    <s v="폴리뉴스"/>
    <d v="2019-08-28T00:00:00"/>
    <m/>
    <s v="13_인터넷포털"/>
    <n v="0.1"/>
    <d v="2019-09-02T00:00:00"/>
  </r>
  <r>
    <n v="3753"/>
    <s v="8_국립축산과학원"/>
    <s v="0_본원"/>
    <x v="13"/>
    <s v="정성훈"/>
    <m/>
    <s v="9년차 한우 등 축산 농가 맞춤형 종합컨설팅"/>
    <s v="온양신문"/>
    <d v="2019-08-28T00:00:00"/>
    <m/>
    <s v="13_인터넷포털"/>
    <n v="0.1"/>
    <d v="2019-09-02T00:00:00"/>
  </r>
  <r>
    <n v="3754"/>
    <s v="8_국립축산과학원"/>
    <s v="0_본원"/>
    <x v="13"/>
    <s v="김근영"/>
    <s v="보도자료78"/>
    <s v="면역력 떨어지는 환절기, 가축 건강 지키려면?"/>
    <s v="미디어투데이"/>
    <d v="2019-08-28T00:00:00"/>
    <m/>
    <s v="13_인터넷포털"/>
    <n v="0.1"/>
    <d v="2019-09-02T00:00:00"/>
  </r>
  <r>
    <n v="3755"/>
    <s v="8_국립축산과학원"/>
    <s v="0_본원"/>
    <x v="13"/>
    <s v="김근영"/>
    <s v="보도자료78"/>
    <s v="농진청, 면역력 떨어지는 환절기... 보온·환기·위생 철저"/>
    <s v="로컬투데이"/>
    <d v="2019-08-28T00:00:00"/>
    <m/>
    <s v="13_인터넷포털"/>
    <n v="0.1"/>
    <d v="2019-09-02T00:00:00"/>
  </r>
  <r>
    <n v="3756"/>
    <s v="8_국립축산과학원"/>
    <s v="0_본원"/>
    <x v="4"/>
    <s v="김현수"/>
    <m/>
    <s v="LG유플러스, 국립축산과학원과 5G 기반 스마트 축산 활성화"/>
    <s v="헤드라인뉴스"/>
    <d v="2019-08-28T00:00:00"/>
    <m/>
    <s v="13_인터넷포털"/>
    <n v="0.1"/>
    <d v="2019-09-02T00:00:00"/>
  </r>
  <r>
    <n v="3757"/>
    <s v="8_국립축산과학원"/>
    <s v="0_본원"/>
    <x v="13"/>
    <s v="김근영"/>
    <s v="보도자료78"/>
    <s v="면역력 떨어지는 환절기, 가축 건강 지키려면?"/>
    <s v="경기앤뉴스"/>
    <d v="2019-08-28T00:00:00"/>
    <m/>
    <s v="13_인터넷포털"/>
    <n v="0.1"/>
    <d v="2019-09-02T00:00:00"/>
  </r>
  <r>
    <n v="3758"/>
    <s v="8_국립축산과학원"/>
    <s v="0_본원"/>
    <x v="13"/>
    <s v="김근영"/>
    <s v="보도자료78"/>
    <s v="면역력 떨어지는 환절기, 가축 건강 지키려면?"/>
    <s v="강원경제신문"/>
    <d v="2019-08-28T00:00:00"/>
    <m/>
    <s v="13_인터넷포털"/>
    <n v="0.1"/>
    <d v="2019-09-02T00:00:00"/>
  </r>
  <r>
    <n v="3759"/>
    <s v="8_국립축산과학원"/>
    <s v="0_본원"/>
    <x v="4"/>
    <s v="김현수"/>
    <m/>
    <s v="LG유플러스-국립축산과학원, 5G 기반 ‘스마트 축산’ 활성화 협력 추진"/>
    <s v="빅데이터뉴스"/>
    <d v="2019-08-28T00:00:00"/>
    <m/>
    <s v="13_인터넷포털"/>
    <n v="0.1"/>
    <d v="2019-09-02T00:00:00"/>
  </r>
  <r>
    <n v="3760"/>
    <s v="8_국립축산과학원"/>
    <s v="0_본원"/>
    <x v="4"/>
    <s v="김현수"/>
    <m/>
    <s v="LG유플러스, 축산과학원과 5G 활용 스마트 축산 구축"/>
    <s v="조세일보"/>
    <d v="2019-08-28T00:00:00"/>
    <m/>
    <s v="13_인터넷포털"/>
    <n v="0.1"/>
    <d v="2019-09-02T00:00:00"/>
  </r>
  <r>
    <n v="3761"/>
    <s v="8_국립축산과학원"/>
    <s v="0_본원"/>
    <x v="4"/>
    <s v="김현수"/>
    <s v="보도자료79"/>
    <s v="“이젠 축산도 스마트 시대”"/>
    <s v="그린포스트코리아"/>
    <d v="2019-08-28T00:00:00"/>
    <m/>
    <s v="13_인터넷포털"/>
    <n v="0.1"/>
    <d v="2019-09-02T00:00:00"/>
  </r>
  <r>
    <n v="3762"/>
    <s v="8_국립축산과학원"/>
    <s v="0_본원"/>
    <x v="4"/>
    <s v="김현수"/>
    <m/>
    <s v="LG유플러스-축산원, 5G 기반 ‘스마트 축산’ 활성화 협력"/>
    <s v="톱데일리"/>
    <d v="2019-08-28T00:00:00"/>
    <m/>
    <s v="13_인터넷포털"/>
    <n v="0.1"/>
    <d v="2019-09-02T00:00:00"/>
  </r>
  <r>
    <n v="3763"/>
    <s v="8_국립축산과학원"/>
    <s v="0_본원"/>
    <x v="4"/>
    <s v="김현수"/>
    <m/>
    <s v="LG유플러스-국립축산과학원, 5G 기반 ‘스마트 축산’ 활성화 추진"/>
    <s v="비지니스코리아"/>
    <d v="2019-08-28T00:00:00"/>
    <m/>
    <s v="13_인터넷포털"/>
    <n v="0.1"/>
    <d v="2019-09-02T00:00:00"/>
  </r>
  <r>
    <n v="3764"/>
    <s v="8_국립축산과학원"/>
    <s v="0_본원"/>
    <x v="4"/>
    <s v="김현수"/>
    <m/>
    <s v="LG유플러스, 국립축산과학원과 5G 기반 ‘스마트 축산’ 활성화 추진"/>
    <s v="비즈니스포스트"/>
    <d v="2019-08-28T00:00:00"/>
    <m/>
    <s v="13_인터넷포털"/>
    <n v="0.1"/>
    <d v="2019-09-02T00:00:00"/>
  </r>
  <r>
    <n v="3765"/>
    <s v="8_국립축산과학원"/>
    <s v="0_본원"/>
    <x v="4"/>
    <s v="김현수"/>
    <m/>
    <s v="LG유플러스-국립축산과학원, 5G 기반 ‘스마트 축산’ 활성화 추진"/>
    <s v="NSP통신"/>
    <d v="2019-08-28T00:00:00"/>
    <m/>
    <s v="13_인터넷포털"/>
    <n v="0.1"/>
    <d v="2019-09-02T00:00:00"/>
  </r>
  <r>
    <n v="3766"/>
    <s v="8_국립축산과학원"/>
    <s v="0_본원"/>
    <x v="4"/>
    <s v="김현수"/>
    <m/>
    <s v="LG유플러스-국립축산과학원, 5G 기반 ‘스마트 축산’ 활성화 추진"/>
    <s v="파이낸셜투데이"/>
    <d v="2019-08-28T00:00:00"/>
    <m/>
    <s v="13_인터넷포털"/>
    <n v="0.1"/>
    <d v="2019-09-02T00:00:00"/>
  </r>
  <r>
    <n v="3767"/>
    <s v="8_국립축산과학원"/>
    <s v="0_본원"/>
    <x v="13"/>
    <s v="정성훈"/>
    <m/>
    <s v="아산시, 올해 9년차 한우 등 축산 농가 맞춤형 종합컨설팅"/>
    <s v="뉴스충청인"/>
    <d v="2019-08-28T00:00:00"/>
    <m/>
    <s v="13_인터넷포털"/>
    <n v="0.1"/>
    <d v="2019-09-02T00:00:00"/>
  </r>
  <r>
    <n v="3768"/>
    <s v="8_국립축산과학원"/>
    <s v="0_본원"/>
    <x v="4"/>
    <s v="김현수"/>
    <m/>
    <s v="LG유플러스-국립축산과학원, 5G 기반 ‘스마트 축산’ 활성화 추진"/>
    <s v="아이티데일리"/>
    <d v="2019-08-28T00:00:00"/>
    <m/>
    <s v="13_인터넷포털"/>
    <n v="0.1"/>
    <d v="2019-09-02T00:00:00"/>
  </r>
  <r>
    <n v="3769"/>
    <s v="8_국립축산과학원"/>
    <s v="0_본원"/>
    <x v="13"/>
    <s v="김근영"/>
    <s v="보도자료78"/>
    <s v="농진청, 환절기 가축과 축사 관리 요령 제시"/>
    <s v="농업경제신문"/>
    <d v="2019-08-29T00:00:00"/>
    <m/>
    <s v="13_인터넷포털"/>
    <n v="0.1"/>
    <d v="2019-09-02T00:00:00"/>
  </r>
  <r>
    <n v="3770"/>
    <s v="8_국립축산과학원"/>
    <s v="0_본원"/>
    <x v="4"/>
    <s v="김현수"/>
    <m/>
    <s v="LG유플러스-국립축산과학원, MOU 체결"/>
    <s v="BI코리아"/>
    <d v="2019-08-29T00:00:00"/>
    <m/>
    <s v="13_인터넷포털"/>
    <n v="0.1"/>
    <d v="2019-09-02T00:00:00"/>
  </r>
  <r>
    <n v="3771"/>
    <s v="8_국립축산과학원"/>
    <s v="0_본원"/>
    <x v="4"/>
    <s v="김현수"/>
    <s v="보도자료79"/>
    <s v="5G 기반 스마트축산시대 ‘성큼’"/>
    <s v="라이브팜뉴스"/>
    <d v="2019-08-29T00:00:00"/>
    <m/>
    <s v="13_인터넷포털"/>
    <n v="0.1"/>
    <d v="2019-09-02T00:00:00"/>
  </r>
  <r>
    <n v="3772"/>
    <s v="8_국립축산과학원"/>
    <s v="0_본원"/>
    <x v="11"/>
    <s v="문규철"/>
    <s v="보도자료81"/>
    <s v="농진청, 추석 앞두고 복지시설에 전직원 모금액 전달"/>
    <s v="아시아투데이"/>
    <d v="2019-09-02T00:00:00"/>
    <m/>
    <s v="07_중앙일간지"/>
    <n v="5"/>
    <d v="2019-09-03T00:00:00"/>
  </r>
  <r>
    <n v="3773"/>
    <s v="8_국립축산과학원"/>
    <s v="0_본원"/>
    <x v="10"/>
    <s v="김남영"/>
    <m/>
    <s v="제1회 유소년 오픈승마대회"/>
    <s v="연합뉴스"/>
    <d v="2019-09-02T00:00:00"/>
    <m/>
    <s v="07_중앙일간지"/>
    <n v="5"/>
    <d v="2019-09-03T00:00:00"/>
  </r>
  <r>
    <n v="3774"/>
    <s v="8_국립축산과학원"/>
    <s v="0_본원"/>
    <x v="10"/>
    <s v="김남영"/>
    <m/>
    <s v="농촌진흥청 승용마, 유소년 오픈승마대회 참가"/>
    <s v="뉴스1"/>
    <d v="2019-09-02T00:00:00"/>
    <m/>
    <s v="07_중앙일간지"/>
    <n v="5"/>
    <d v="2019-09-03T00:00:00"/>
  </r>
  <r>
    <n v="3775"/>
    <s v="8_국립축산과학원"/>
    <s v="2_축산자원개발부"/>
    <x v="8"/>
    <s v="박미나"/>
    <m/>
    <s v="농협 한우개량사업소, 한우 보증씨수소 선발증서 교부식 개최"/>
    <s v="천지일보"/>
    <d v="2019-08-31T00:00:00"/>
    <m/>
    <s v="08_기타일간지"/>
    <n v="2"/>
    <d v="2019-09-03T00:00:00"/>
  </r>
  <r>
    <n v="3776"/>
    <s v="8_국립축산과학원"/>
    <s v="0_본원"/>
    <x v="13"/>
    <s v="박종문"/>
    <s v="보도자료77"/>
    <s v="가축인공수정사 시험 11월 시행"/>
    <s v="농축유통신문"/>
    <d v="2019-08-30T00:00:00"/>
    <m/>
    <s v="09_농업전문지"/>
    <n v="1.5"/>
    <d v="2019-09-03T00:00:00"/>
  </r>
  <r>
    <n v="3777"/>
    <s v="8_국립축산과학원"/>
    <s v="0_본원"/>
    <x v="13"/>
    <s v="박종문"/>
    <s v="보도자료77"/>
    <s v="‘가축인공수정사’ 시험 올해 11월 시행"/>
    <s v="농수축산신문"/>
    <d v="2019-08-30T00:00:00"/>
    <m/>
    <s v="09_농업전문지"/>
    <n v="1.5"/>
    <d v="2019-09-03T00:00:00"/>
  </r>
  <r>
    <n v="3778"/>
    <s v="8_국립축산과학원"/>
    <s v="2_축산자원개발부"/>
    <x v="8"/>
    <s v="박미나"/>
    <m/>
    <s v="한우 육종농가, 보증씨수소 생산 ‘앞장’"/>
    <s v="농수축산신문"/>
    <d v="2019-08-30T00:00:00"/>
    <m/>
    <s v="09_농업전문지"/>
    <n v="1.5"/>
    <d v="2019-09-03T00:00:00"/>
  </r>
  <r>
    <n v="3779"/>
    <s v="8_국립축산과학원"/>
    <s v="1_축산생명환경부"/>
    <x v="5"/>
    <s v="김진형"/>
    <m/>
    <s v="Q. 남은 고기를 신선하고 맛있게 먹으려면 어떻게 보관해야 하나요?"/>
    <s v="한국농정신문"/>
    <d v="2019-09-01T00:00:00"/>
    <m/>
    <s v="09_농업전문지"/>
    <n v="1.5"/>
    <d v="2019-09-03T00:00:00"/>
  </r>
  <r>
    <n v="3780"/>
    <s v="8_국립축산과학원"/>
    <s v="0_본원"/>
    <x v="15"/>
    <s v="전다연"/>
    <s v="보도자료80"/>
    <s v="사슴 번식기 가을, 사양 관리 따라 소득 달라져"/>
    <s v="전업농신문"/>
    <d v="2019-09-02T00:00:00"/>
    <m/>
    <s v="09_농업전문지"/>
    <n v="1.5"/>
    <d v="2019-09-03T00:00:00"/>
  </r>
  <r>
    <n v="3781"/>
    <s v="8_국립축산과학원"/>
    <s v="0_본원"/>
    <x v="15"/>
    <s v="전다연"/>
    <s v="보도자료80"/>
    <s v="사슴, 가을은 발정하는 달"/>
    <s v="팜&amp;마켓매거진"/>
    <d v="2019-09-02T00:00:00"/>
    <m/>
    <s v="09_농업전문지"/>
    <n v="1.5"/>
    <d v="2019-09-03T00:00:00"/>
  </r>
  <r>
    <n v="3782"/>
    <s v="8_국립축산과학원"/>
    <s v="0_본원"/>
    <x v="13"/>
    <s v="박종문"/>
    <s v="보도자료77"/>
    <s v="가축인공수정사 시험"/>
    <s v="팜&amp;마켓매거진"/>
    <d v="2019-08-30T00:00:00"/>
    <m/>
    <s v="09_농업전문지"/>
    <n v="1.5"/>
    <d v="2019-09-03T00:00:00"/>
  </r>
  <r>
    <n v="3783"/>
    <s v="8_국립축산과학원"/>
    <s v="0_본원"/>
    <x v="13"/>
    <s v="박종문"/>
    <s v="보도자료77"/>
    <s v="가축인공수정사 시험 11월 시행"/>
    <s v="농업인신문"/>
    <d v="2019-08-30T00:00:00"/>
    <m/>
    <s v="09_농업전문지"/>
    <n v="1.5"/>
    <d v="2019-09-03T00:00:00"/>
  </r>
  <r>
    <n v="3784"/>
    <s v="8_국립축산과학원"/>
    <s v="0_본원"/>
    <x v="4"/>
    <s v="김현수"/>
    <s v="보도자료79"/>
    <s v="축산과학원-LG유플러스, 스마트축산 활성화 맞손"/>
    <s v="농업인신문"/>
    <d v="2019-09-02T00:00:00"/>
    <n v="5"/>
    <s v="09_농업전문지"/>
    <n v="1.5"/>
    <d v="2019-09-03T00:00:00"/>
  </r>
  <r>
    <n v="3785"/>
    <s v="8_국립축산과학원"/>
    <s v="0_본원"/>
    <x v="13"/>
    <s v="박종문"/>
    <s v="보도자료77"/>
    <s v="농촌진흥청 주관 가축인공수정사 시험 11월 시행"/>
    <s v="전북도민일보"/>
    <d v="2019-08-26T00:00:00"/>
    <m/>
    <s v="09_지방일간지"/>
    <n v="1.5"/>
    <d v="2019-09-03T00:00:00"/>
  </r>
  <r>
    <n v="3786"/>
    <s v="8_국립축산과학원"/>
    <s v="2_축산자원개발부"/>
    <x v="12"/>
    <s v="기광석"/>
    <m/>
    <s v="사료 섭취량, 기온 30℃부터 크게 감소"/>
    <s v="낙농신문"/>
    <d v="2019-08-22T00:00:00"/>
    <n v="13"/>
    <s v="10_기타전문지"/>
    <n v="1"/>
    <d v="2019-09-03T00:00:00"/>
  </r>
  <r>
    <n v="3787"/>
    <s v="8_국립축산과학원"/>
    <s v="2_축산자원개발부"/>
    <x v="12"/>
    <s v="기광석"/>
    <m/>
    <s v="초산 생성량, 조사료 양과 질 비례"/>
    <s v="낙농신문"/>
    <d v="2019-08-22T00:00:00"/>
    <n v="14"/>
    <s v="10_기타전문지"/>
    <n v="1"/>
    <d v="2019-09-03T00:00:00"/>
  </r>
  <r>
    <n v="3788"/>
    <s v="8_국립축산과학원"/>
    <s v="2_축산자원개발부"/>
    <x v="0"/>
    <s v="문홍길"/>
    <m/>
    <s v="생균제, 장내 흡수율 높이고 악취 감소시켜"/>
    <s v="한국양돈신문"/>
    <d v="2019-08-27T00:00:00"/>
    <n v="12"/>
    <s v="10_기타전문지"/>
    <n v="1"/>
    <d v="2019-09-03T00:00:00"/>
  </r>
  <r>
    <n v="3789"/>
    <s v="8_국립축산과학원"/>
    <s v="0_본원"/>
    <x v="4"/>
    <s v="김현수"/>
    <m/>
    <s v="LGU+·축산과학원 ‘스마트 축산’ 추진"/>
    <s v="CNB저널"/>
    <d v="2019-08-30T00:00:00"/>
    <m/>
    <s v="10_기타월간지"/>
    <n v="1"/>
    <d v="2019-09-03T00:00:00"/>
  </r>
  <r>
    <n v="3790"/>
    <s v="8_국립축산과학원"/>
    <s v="0_본원"/>
    <x v="13"/>
    <s v="박종문"/>
    <s v="보도자료77"/>
    <s v="농촌진흥청 주관 가축인공수정사 시험 11월 시행"/>
    <s v="정책브리핑"/>
    <d v="2019-08-27T00:00:00"/>
    <m/>
    <s v="12_대한민국 정책포털(korea.kr)"/>
    <n v="1"/>
    <d v="2019-09-03T00:00:00"/>
  </r>
  <r>
    <n v="3791"/>
    <s v="8_국립축산과학원"/>
    <s v="0_본원"/>
    <x v="13"/>
    <s v="김근영"/>
    <s v="보도자료78"/>
    <s v="면역력 떨어지는 환절기, 가축 건강 지키려면?"/>
    <s v="정책브리핑"/>
    <d v="2019-08-28T00:00:00"/>
    <m/>
    <s v="12_대한민국 정책포털(korea.kr)"/>
    <n v="1"/>
    <d v="2019-09-03T00:00:00"/>
  </r>
  <r>
    <n v="3792"/>
    <s v="8_국립축산과학원"/>
    <s v="0_본원"/>
    <x v="4"/>
    <s v="김현수"/>
    <s v="보도자료79"/>
    <s v="국립축산과학원-LG유플러스, 스마트축산 활성화 맞손"/>
    <s v="정책브리핑"/>
    <d v="2019-08-29T00:00:00"/>
    <m/>
    <s v="12_대한민국 정책포털(korea.kr)"/>
    <n v="1"/>
    <d v="2019-09-03T00:00:00"/>
  </r>
  <r>
    <n v="3793"/>
    <s v="8_국립축산과학원"/>
    <s v="0_본원"/>
    <x v="4"/>
    <s v="김현수"/>
    <m/>
    <s v="LG유플러스-농진청, 5G 기술로 축산업 경쟁력 강화 협약…“농가 소득 향상”"/>
    <s v="일요주간"/>
    <d v="2019-08-30T00:00:00"/>
    <m/>
    <s v="11_기타(지역주간지)"/>
    <n v="0.5"/>
    <d v="2019-09-03T00:00:00"/>
  </r>
  <r>
    <n v="3794"/>
    <s v="8_국립축산과학원"/>
    <s v="2_축산자원개발부"/>
    <x v="8"/>
    <s v="박미나"/>
    <m/>
    <s v="농협, 한우 보증씨수소 26두 선발증서 첫 교부"/>
    <s v="라이브팜뉴스"/>
    <d v="2019-08-30T00:00:00"/>
    <m/>
    <s v="13_인터넷포털"/>
    <n v="0.1"/>
    <d v="2019-09-03T00:00:00"/>
  </r>
  <r>
    <n v="3795"/>
    <s v="8_국립축산과학원"/>
    <s v="2_축산자원개발부"/>
    <x v="8"/>
    <s v="박미나"/>
    <m/>
    <s v="농협한우개량사업소 ‘한우 보증씨수소’ 연간 26두 선발"/>
    <s v="포커스데일리"/>
    <d v="2019-09-01T00:00:00"/>
    <m/>
    <s v="13_인터넷포털"/>
    <n v="0.1"/>
    <d v="2019-09-03T00:00:00"/>
  </r>
  <r>
    <n v="3796"/>
    <s v="8_국립축산과학원"/>
    <s v="2_축산자원개발부"/>
    <x v="8"/>
    <s v="박미나"/>
    <m/>
    <s v="한우 보증씨수소 선발증서 교부식 가져"/>
    <s v="팜인사이트"/>
    <d v="2019-09-02T00:00:00"/>
    <m/>
    <s v="13_인터넷포털"/>
    <n v="0.1"/>
    <d v="2019-09-03T00:00:00"/>
  </r>
  <r>
    <n v="3797"/>
    <s v="8_국립축산과학원"/>
    <s v="0_본원"/>
    <x v="11"/>
    <s v="문규철"/>
    <s v="보도자료81"/>
    <s v="농진청·농어촌공, 추석 맞아 복지시설 위문"/>
    <s v="프레시안"/>
    <d v="2019-09-02T00:00:00"/>
    <m/>
    <s v="13_인터넷포털"/>
    <n v="0.1"/>
    <d v="2019-09-03T00:00:00"/>
  </r>
  <r>
    <n v="3798"/>
    <s v="8_국립축산과학원"/>
    <s v="0_본원"/>
    <x v="13"/>
    <s v="박종문"/>
    <s v="보도자료77"/>
    <s v="농촌진흥청 주관 가축인공수정사 시험 11월 시행"/>
    <s v="서울Pn"/>
    <d v="2019-08-27T00:00:00"/>
    <m/>
    <s v="13_인터넷포털"/>
    <n v="0.1"/>
    <d v="2019-09-03T00:00:00"/>
  </r>
  <r>
    <n v="3799"/>
    <s v="8_국립축산과학원"/>
    <s v="0_본원"/>
    <x v="13"/>
    <s v="김근영"/>
    <s v="보도자료78"/>
    <s v="면역력 떨어지는 환절기, 가축 건강 지키려면?"/>
    <s v="업코리아"/>
    <d v="2019-08-28T00:00:00"/>
    <m/>
    <s v="13_인터넷포털"/>
    <n v="0.1"/>
    <d v="2019-09-03T00:00:00"/>
  </r>
  <r>
    <n v="3800"/>
    <s v="8_국립축산과학원"/>
    <s v="0_본원"/>
    <x v="13"/>
    <s v="김근영"/>
    <s v="보도자료78"/>
    <s v="면역력 떨어지는 환절기, 가축 건강 지키려면?"/>
    <s v="뉴스렙"/>
    <d v="2019-08-28T00:00:00"/>
    <m/>
    <s v="13_인터넷포털"/>
    <n v="0.1"/>
    <d v="2019-09-03T00:00:00"/>
  </r>
  <r>
    <n v="3801"/>
    <s v="8_국립축산과학원"/>
    <s v="0_본원"/>
    <x v="13"/>
    <s v="김근영"/>
    <s v="보도자료78"/>
    <s v="면역력 떨어지는 환절기, 가축 건강 지키려면?"/>
    <s v="미디어라이프"/>
    <d v="2019-08-28T00:00:00"/>
    <m/>
    <s v="13_인터넷포털"/>
    <n v="0.1"/>
    <d v="2019-09-03T00:00:00"/>
  </r>
  <r>
    <n v="3802"/>
    <s v="8_국립축산과학원"/>
    <s v="0_본원"/>
    <x v="4"/>
    <s v="김현수"/>
    <m/>
    <s v="LGU+, 국립축산과학원과 5G 기반 ‘스마트 축산’ 활성화 맞손"/>
    <s v="뉴데일리"/>
    <d v="2019-08-28T00:00:00"/>
    <m/>
    <s v="13_인터넷포털"/>
    <n v="0.1"/>
    <d v="2019-09-03T00:00:00"/>
  </r>
  <r>
    <n v="3803"/>
    <s v="8_국립축산과학원"/>
    <s v="0_본원"/>
    <x v="4"/>
    <s v="김현수"/>
    <m/>
    <s v="LG유플러스, 국립축산과학원과 5G 기반 ‘스마트 축산’ 활성화 추진"/>
    <s v="컨슈머타임스"/>
    <d v="2019-08-28T00:00:00"/>
    <m/>
    <s v="13_인터넷포털"/>
    <n v="0.1"/>
    <d v="2019-09-03T00:00:00"/>
  </r>
  <r>
    <n v="3804"/>
    <s v="8_국립축산과학원"/>
    <s v="0_본원"/>
    <x v="4"/>
    <s v="김현수"/>
    <m/>
    <s v="LG유플러스-국립축산과학원, 5G 기반 ‘스마트 축산’ 활성화 추진"/>
    <s v="서울와이어"/>
    <d v="2019-08-28T00:00:00"/>
    <m/>
    <s v="13_인터넷포털"/>
    <n v="0.1"/>
    <d v="2019-09-03T00:00:00"/>
  </r>
  <r>
    <n v="3805"/>
    <s v="8_국립축산과학원"/>
    <s v="0_본원"/>
    <x v="4"/>
    <s v="김현수"/>
    <m/>
    <s v="LG유플러스-국립축산과학원, 5G 기반 ‘스마트 축산’ 활성화 추진"/>
    <s v="뉴스브라이트"/>
    <d v="2019-08-28T00:00:00"/>
    <m/>
    <s v="13_인터넷포털"/>
    <n v="0.1"/>
    <d v="2019-09-03T00:00:00"/>
  </r>
  <r>
    <n v="3806"/>
    <s v="8_국립축산과학원"/>
    <s v="0_본원"/>
    <x v="4"/>
    <s v="김현수"/>
    <m/>
    <s v="LG유플러스, 국립축산과학원과 5G 기반 ‘스마트 축산’ 활성화 추진"/>
    <s v="로이슈"/>
    <d v="2019-08-28T00:00:00"/>
    <m/>
    <s v="13_인터넷포털"/>
    <n v="0.1"/>
    <d v="2019-09-03T00:00:00"/>
  </r>
  <r>
    <n v="3807"/>
    <s v="8_국립축산과학원"/>
    <s v="0_본원"/>
    <x v="4"/>
    <s v="김현수"/>
    <m/>
    <s v="무인 가축관리 등 5G기반 스마트축산 시동"/>
    <s v="e경제뉴스"/>
    <d v="2019-08-28T00:00:00"/>
    <m/>
    <s v="13_인터넷포털"/>
    <n v="0.1"/>
    <d v="2019-09-03T00:00:00"/>
  </r>
  <r>
    <n v="3808"/>
    <s v="8_국립축산과학원"/>
    <s v="0_본원"/>
    <x v="4"/>
    <s v="김현수"/>
    <m/>
    <s v="LGU+, 국립축산과학원과 5G 기반 ‘스마트 축산’ 활성화 맞손"/>
    <s v="뉴데일리경제"/>
    <d v="2019-08-28T00:00:00"/>
    <m/>
    <s v="13_인터넷포털"/>
    <n v="0.1"/>
    <d v="2019-09-03T00:00:00"/>
  </r>
  <r>
    <n v="3809"/>
    <s v="8_국립축산과학원"/>
    <s v="1_축산생명환경부"/>
    <x v="7"/>
    <s v="백열창"/>
    <s v="기고"/>
    <s v="[기고] 백열창 연구사-반추가축 사료의 단백질 이야기"/>
    <s v="월간축산"/>
    <d v="2019-08-01T00:00:00"/>
    <s v="104-105"/>
    <s v="17_농업전문지"/>
    <n v="8"/>
    <d v="2019-09-03T00:00:00"/>
  </r>
  <r>
    <n v="3810"/>
    <s v="8_국립축산과학원"/>
    <s v="0_본원"/>
    <x v="14"/>
    <s v="조상래"/>
    <s v="기고"/>
    <s v="[기고] 조상래 연구사-번식우 사양관리 요령"/>
    <s v="월간한우"/>
    <d v="2019-08-01T00:00:00"/>
    <s v="82-89"/>
    <s v="17_농업전문지"/>
    <n v="8"/>
    <d v="2019-09-03T00:00:00"/>
  </r>
  <r>
    <n v="3811"/>
    <s v="8_국립축산과학원"/>
    <s v="1_축산생명환경부"/>
    <x v="9"/>
    <s v="권경석"/>
    <s v="기고"/>
    <s v="[기고] 권경석 연구사-낙농부문 스마트팜 현재와 미래"/>
    <s v="월간 낙농·육우"/>
    <d v="2019-08-01T00:00:00"/>
    <s v="137-141"/>
    <s v="18_월간지"/>
    <n v="4"/>
    <d v="2019-09-03T00:00:00"/>
  </r>
  <r>
    <n v="3812"/>
    <s v="8_국립축산과학원"/>
    <s v="2_축산자원개발부"/>
    <x v="12"/>
    <s v="박지후"/>
    <s v="기고"/>
    <s v="[기고] 박지후 연구사-젖소의 스트레스, 어떻게 알 수 있을까?"/>
    <s v="서울우유"/>
    <d v="2019-08-01T00:00:00"/>
    <s v="32-41"/>
    <s v="18_월간지"/>
    <n v="4"/>
    <d v="2019-09-03T00:00:00"/>
  </r>
  <r>
    <n v="3813"/>
    <s v="8_국립축산과학원"/>
    <s v="2_축산자원개발부"/>
    <x v="0"/>
    <s v="김조은"/>
    <s v="기고"/>
    <s v="[기고] 김조은 연구사-자돈의 이유 스트레스와 좋은 생균제(Probiotics) 선택 방법"/>
    <s v="Pig&amp;Pork 한돈"/>
    <d v="2019-08-01T00:00:00"/>
    <m/>
    <s v="18_월간지"/>
    <n v="4"/>
    <d v="2019-09-03T00:00:00"/>
  </r>
  <r>
    <n v="3814"/>
    <s v="8_국립축산과학원"/>
    <s v="0_본원"/>
    <x v="15"/>
    <s v="김승창"/>
    <s v="보도자료58"/>
    <s v="칡소 판별 기준 명확해져…종축 육성에 기여"/>
    <s v="월간축산"/>
    <d v="2019-08-01T00:00:00"/>
    <n v="74"/>
    <s v="09_농업전문지"/>
    <n v="1.5"/>
    <d v="2019-09-03T00:00:00"/>
  </r>
  <r>
    <n v="3815"/>
    <s v="8_국립축산과학원"/>
    <s v="2_축산자원개발부"/>
    <x v="6"/>
    <s v="김원호"/>
    <m/>
    <s v="조사료 생산성 향상…토양 개량 효과도 있어"/>
    <s v="월간축산"/>
    <d v="2019-08-01T00:00:00"/>
    <s v="82-85"/>
    <s v="09_농업전문지"/>
    <n v="1.5"/>
    <d v="2019-09-03T00:00:00"/>
  </r>
  <r>
    <n v="3816"/>
    <s v="8_국립축산과학원"/>
    <s v="2_축산자원개발부"/>
    <x v="0"/>
    <s v="김두완"/>
    <s v="보도자료59"/>
    <s v="여름철, 돼지 위 건강관리"/>
    <s v="월간축산"/>
    <d v="2019-08-01T00:00:00"/>
    <s v="100-101"/>
    <s v="09_농업전문지"/>
    <n v="1.5"/>
    <d v="2019-09-03T00:00:00"/>
  </r>
  <r>
    <n v="3817"/>
    <s v="8_국립축산과학원"/>
    <s v="2_축산자원개발부"/>
    <x v="0"/>
    <s v="백선영"/>
    <s v="보도자료64"/>
    <s v="여름철 돼지 액상정액 관리"/>
    <s v="월간축산"/>
    <d v="2019-08-01T00:00:00"/>
    <s v="102-103"/>
    <s v="09_농업전문지"/>
    <n v="1.5"/>
    <d v="2019-09-03T00:00:00"/>
  </r>
  <r>
    <n v="3818"/>
    <s v="8_국립축산과학원"/>
    <s v="2_축산자원개발부"/>
    <x v="8"/>
    <s v="박미나"/>
    <s v="보도자료62"/>
    <s v="농진청, 유전능력 뛰어난 씨수소 새로 선발"/>
    <s v="월간축산"/>
    <d v="2019-08-01T00:00:00"/>
    <n v="132"/>
    <s v="09_농업전문지"/>
    <n v="1.5"/>
    <d v="2019-09-03T00:00:00"/>
  </r>
  <r>
    <n v="3819"/>
    <s v="8_국립축산과학원"/>
    <s v="0_본원"/>
    <x v="15"/>
    <s v="김승창"/>
    <s v="보도자료58"/>
    <s v="재래 품종 '칡소' 판별 기술 개발"/>
    <s v="월간한우"/>
    <d v="2019-08-01T00:00:00"/>
    <n v="96"/>
    <s v="09_농업전문지"/>
    <n v="1.5"/>
    <d v="2019-09-03T00:00:00"/>
  </r>
  <r>
    <n v="3820"/>
    <s v="8_국립축산과학원"/>
    <s v="2_축산자원개발부"/>
    <x v="8"/>
    <s v="박미나"/>
    <s v="보도자료62"/>
    <s v="보증씨수소 16두 신규 선발"/>
    <s v="월간한우"/>
    <d v="2019-08-01T00:00:00"/>
    <n v="97"/>
    <s v="09_농업전문지"/>
    <n v="1.5"/>
    <d v="2019-09-03T00:00:00"/>
  </r>
  <r>
    <n v="3821"/>
    <s v="8_국립축산과학원"/>
    <s v="0_본원"/>
    <x v="3"/>
    <s v="노재희"/>
    <s v="보도자료66"/>
    <s v="건강한 여름나기…깨끗한 음수관리가 중요"/>
    <s v="월간한우"/>
    <d v="2019-08-01T00:00:00"/>
    <n v="104"/>
    <s v="09_농업전문지"/>
    <n v="1.5"/>
    <d v="2019-09-03T00:00:00"/>
  </r>
  <r>
    <n v="3822"/>
    <s v="8_국립축산과학원"/>
    <s v="0_본원"/>
    <x v="3"/>
    <s v="최창용"/>
    <s v="보도자료61"/>
    <s v="방목장에 그늘막·간이급수기 설치 필요"/>
    <s v="월간한우"/>
    <d v="2019-08-01T00:00:00"/>
    <n v="172"/>
    <s v="09_농업전문지"/>
    <n v="1.5"/>
    <d v="2019-09-03T00:00:00"/>
  </r>
  <r>
    <n v="3823"/>
    <s v="8_국립축산과학원"/>
    <s v="0_본원"/>
    <x v="14"/>
    <s v="조상래"/>
    <s v="보도자료63"/>
    <s v="소 번식 첨단기술 공유…'한·일 국제심포지엄' 열어"/>
    <s v="월간한우"/>
    <d v="2019-08-01T00:00:00"/>
    <n v="173"/>
    <s v="09_농업전문지"/>
    <n v="1.5"/>
    <d v="2019-09-03T00:00:00"/>
  </r>
  <r>
    <n v="3824"/>
    <s v="8_국립축산과학원"/>
    <s v="0_본원"/>
    <x v="14"/>
    <s v="조상래"/>
    <s v="보도자료67"/>
    <s v="신비로움 생명과학 배우는 '생생 체험'"/>
    <s v="월간한우"/>
    <d v="2019-08-01T00:00:00"/>
    <n v="184"/>
    <s v="09_농업전문지"/>
    <n v="1.5"/>
    <d v="2019-09-03T00:00:00"/>
  </r>
  <r>
    <n v="3825"/>
    <s v="8_국립축산과학원"/>
    <s v="2_축산자원개발부"/>
    <x v="0"/>
    <s v="백선영"/>
    <s v="보도자료64"/>
    <s v="농진청, 돼지정액 세균오염 차단을"/>
    <s v="월간한돈"/>
    <d v="2019-08-01T00:00:00"/>
    <n v="450"/>
    <s v="10_월간지"/>
    <n v="1"/>
    <d v="2019-09-03T00:00:00"/>
  </r>
  <r>
    <n v="3826"/>
    <s v="8_국립축산과학원"/>
    <s v="2_축산자원개발부"/>
    <x v="0"/>
    <s v="김두완"/>
    <s v="보도자료59"/>
    <s v="여름철 돼지 위궤양 예방 위해 세심한 관리 필요"/>
    <s v="PigPork 한돈"/>
    <d v="2019-08-01T00:00:00"/>
    <n v="174"/>
    <s v="10_월간지"/>
    <n v="1"/>
    <d v="2019-09-03T00:00:00"/>
  </r>
  <r>
    <n v="3827"/>
    <s v="8_국립축산과학원"/>
    <s v="2_축산자원개발부"/>
    <x v="0"/>
    <s v="백선영"/>
    <s v="보도자료64"/>
    <s v="여름철 돼지 액상 정액, 위생적인 관리 필요"/>
    <s v="PigPork 한돈"/>
    <d v="2019-08-01T00:00:00"/>
    <n v="175"/>
    <s v="10_월간지"/>
    <n v="1"/>
    <d v="2019-09-03T00:00:00"/>
  </r>
  <r>
    <n v="3828"/>
    <s v="8_국립축산과학원"/>
    <s v="1_축산생명환경부"/>
    <x v="9"/>
    <s v="정광화"/>
    <m/>
    <s v="(사)한국축산학회 종합심포지엄 및 학술발표회'에서 '제4회 우진 B&amp;G 학술상' 시상"/>
    <s v="PigPork 한돈"/>
    <d v="2019-08-01T00:00:00"/>
    <n v="194"/>
    <s v="10_월간지"/>
    <n v="1"/>
    <d v="2019-09-03T00:00:00"/>
  </r>
  <r>
    <n v="3829"/>
    <s v="8_국립축산과학원"/>
    <s v="2_축산자원개발부"/>
    <x v="12"/>
    <s v="김언태,이지환"/>
    <m/>
    <s v="8월 사양관리"/>
    <s v="월간 낙농·육우"/>
    <d v="2019-08-01T00:00:00"/>
    <s v="182-185"/>
    <s v="10_월간지"/>
    <n v="1"/>
    <d v="2019-09-03T00:00:00"/>
  </r>
  <r>
    <n v="3830"/>
    <s v="8_국립축산과학원"/>
    <s v="0_본원"/>
    <x v="13"/>
    <s v="김창한"/>
    <s v="보도자료53"/>
    <s v="여름철 고온기에 꼭 알아둬야 할 닭 건강 관리법"/>
    <s v="월간양계"/>
    <d v="2019-08-01T00:00:00"/>
    <n v="129"/>
    <s v="10_월간지"/>
    <n v="1"/>
    <d v="2019-09-03T00:00:00"/>
  </r>
  <r>
    <n v="3831"/>
    <s v="8_국립축산과학원"/>
    <s v="0_본원"/>
    <x v="3"/>
    <s v="노재희"/>
    <s v="보도자료66"/>
    <s v="가축의 건강한 여름나기, 깨끗한 물관리부터!"/>
    <s v="월간닭고기"/>
    <d v="2019-08-01T00:00:00"/>
    <s v="29-30"/>
    <s v="10_월간지"/>
    <n v="1"/>
    <d v="2019-09-03T00:00:00"/>
  </r>
  <r>
    <n v="3832"/>
    <s v="8_국립축산과학원"/>
    <s v="1_축산생명환경부"/>
    <x v="9"/>
    <s v="김종복"/>
    <s v="보도자료69"/>
    <s v="여름철 축사 정전', 철저히 대비 하세요"/>
    <s v="월간닭고기"/>
    <d v="2019-08-01T00:00:00"/>
    <s v="30-31"/>
    <s v="10_월간지"/>
    <n v="1"/>
    <d v="2019-09-03T00:00:00"/>
  </r>
  <r>
    <n v="3833"/>
    <s v="8_국립축산과학원"/>
    <s v="0_본원"/>
    <x v="4"/>
    <s v="강환구"/>
    <s v="보도자료71"/>
    <s v="「육용종계 사양관리 지침서 및 최신 부화관리 매뉴얼」 발간"/>
    <s v="월간닭고기"/>
    <d v="2019-08-01T00:00:00"/>
    <s v="31-32"/>
    <s v="10_월간지"/>
    <n v="1"/>
    <d v="2019-09-03T00:00:00"/>
  </r>
  <r>
    <n v="3834"/>
    <s v="8_국립축산과학원"/>
    <s v="0_본원"/>
    <x v="4"/>
    <s v="천동원"/>
    <s v="기고"/>
    <s v="[기고] 천동원 소장-축산현장 애로기술 해결 위한 닭 키우기[100문 100답] Q93,94"/>
    <s v="축산신문"/>
    <d v="2019-09-03T00:00:00"/>
    <n v="15"/>
    <s v="17_농업전문지"/>
    <n v="8"/>
    <d v="2019-09-04T00:00:00"/>
  </r>
  <r>
    <n v="3835"/>
    <s v="8_국립축산과학원"/>
    <s v="0_본원"/>
    <x v="11"/>
    <s v="문규철"/>
    <s v="보도자료81"/>
    <s v="농진청, 추석 맞아 이웃사랑 나눔 실천"/>
    <s v="환경일보"/>
    <d v="2019-09-02T00:00:00"/>
    <m/>
    <s v="08_기타일간지"/>
    <n v="2"/>
    <d v="2019-09-04T00:00:00"/>
  </r>
  <r>
    <n v="3836"/>
    <s v="8_국립축산과학원"/>
    <s v="0_본원"/>
    <x v="15"/>
    <s v="전다연"/>
    <s v="보도자료80"/>
    <s v="사슴 번식의 계절 ‘가을’"/>
    <s v="한국영농신문"/>
    <d v="2019-09-02T00:00:00"/>
    <m/>
    <s v="09_농업전문지"/>
    <n v="1.5"/>
    <d v="2019-09-04T00:00:00"/>
  </r>
  <r>
    <n v="3837"/>
    <s v="8_국립축산과학원"/>
    <s v="2_축산자원개발부"/>
    <x v="8"/>
    <s v="박미나"/>
    <m/>
    <s v="한우개량사업소, ‘한우 보증씨수소 선발’"/>
    <s v="한국농촌경제신문"/>
    <d v="2019-09-03T00:00:00"/>
    <m/>
    <s v="09_농업전문지"/>
    <n v="1.5"/>
    <d v="2019-09-04T00:00:00"/>
  </r>
  <r>
    <n v="3838"/>
    <s v="8_국립축산과학원"/>
    <s v="0_본원"/>
    <x v="4"/>
    <s v="김현수"/>
    <s v="보도자료79"/>
    <s v="“5G 기술로 축산업 경쟁력 강화·농가소득 향상 기대”"/>
    <s v="축산신문"/>
    <d v="2019-09-03T00:00:00"/>
    <n v="3"/>
    <s v="09_농업전문지"/>
    <n v="1.5"/>
    <d v="2019-09-04T00:00:00"/>
  </r>
  <r>
    <n v="3839"/>
    <s v="8_국립축산과학원"/>
    <s v="0_본원"/>
    <x v="13"/>
    <s v="박종문"/>
    <s v="보도자료77"/>
    <s v="농진청, 가축인공수정사 시험 11월 시행"/>
    <s v="농축환경신문"/>
    <d v="2019-08-29T00:00:00"/>
    <n v="8"/>
    <s v="09_농업전문지"/>
    <n v="1.5"/>
    <d v="2019-09-04T00:00:00"/>
  </r>
  <r>
    <n v="3840"/>
    <s v="8_국립축산과학원"/>
    <s v="1_축산생명환경부"/>
    <x v="5"/>
    <s v="조수현"/>
    <m/>
    <s v="Q. 명절 때마다 쇠고기와 돼지고기를 선물 받거나 여유있게 구입하는 바람에…"/>
    <s v="한국농정신문"/>
    <d v="2019-09-02T00:00:00"/>
    <n v="4"/>
    <s v="09_농업전문지"/>
    <n v="1.5"/>
    <d v="2019-09-04T00:00:00"/>
  </r>
  <r>
    <n v="3841"/>
    <s v="8_국립축산과학원"/>
    <s v="2_축산자원개발부"/>
    <x v="8"/>
    <s v="박미나"/>
    <m/>
    <s v="보증씨수소 생산한 자랑스러운 한우인들"/>
    <s v="축산신문"/>
    <d v="2019-09-03T00:00:00"/>
    <n v="4"/>
    <s v="09_농업전문지"/>
    <n v="1.5"/>
    <d v="2019-09-04T00:00:00"/>
  </r>
  <r>
    <n v="3842"/>
    <s v="8_국립축산과학원"/>
    <s v="0_본원"/>
    <x v="11"/>
    <s v="문규철"/>
    <s v="보도자료81"/>
    <s v="농촌진흥청, 추석 맞아 복지시설 방문해 사랑 나눔 실천"/>
    <s v="전민일보"/>
    <d v="2019-09-02T00:00:00"/>
    <m/>
    <s v="09_지방일간지"/>
    <n v="1.5"/>
    <d v="2019-09-04T00:00:00"/>
  </r>
  <r>
    <n v="3843"/>
    <s v="8_국립축산과학원"/>
    <s v="2_축산자원개발부"/>
    <x v="12"/>
    <s v="김태일"/>
    <m/>
    <s v="농기평 ‘5G 및 100세 시대 한우산업 방향 모색’ 워크숍"/>
    <s v="국제신문"/>
    <d v="2019-09-03T00:00:00"/>
    <m/>
    <s v="09_지방일간지"/>
    <n v="1.5"/>
    <d v="2019-09-04T00:00:00"/>
  </r>
  <r>
    <n v="3844"/>
    <s v="8_국립축산과학원"/>
    <s v="2_축산자원개발부"/>
    <x v="8"/>
    <s v="박미나"/>
    <m/>
    <s v="농기평 ‘5G 및 100세 시대 한우산업 방향 모색’ 워크숍"/>
    <s v="국제신문"/>
    <d v="2019-09-03T00:00:00"/>
    <m/>
    <s v="09_지방일간지"/>
    <n v="1.5"/>
    <d v="2019-09-04T00:00:00"/>
  </r>
  <r>
    <n v="3845"/>
    <s v="8_국립축산과학원"/>
    <s v="0_본원"/>
    <x v="15"/>
    <s v="전다연"/>
    <s v="보도자료80"/>
    <s v="사슴 번식계절 가을, 충분한 영양공급 우선"/>
    <s v="식약일보"/>
    <d v="2019-09-02T00:00:00"/>
    <m/>
    <s v="10_기타전문지"/>
    <n v="1"/>
    <d v="2019-09-04T00:00:00"/>
  </r>
  <r>
    <n v="3846"/>
    <s v="8_국립축산과학원"/>
    <s v="0_본원"/>
    <x v="15"/>
    <s v="전다연"/>
    <s v="보도자료80"/>
    <s v="가을은 사슴의 번식기... 적절한 사양관리가 소득과 직결"/>
    <s v="라이브팜뉴스"/>
    <d v="2019-09-02T00:00:00"/>
    <m/>
    <s v="13_인터넷포털"/>
    <n v="0.1"/>
    <d v="2019-09-04T00:00:00"/>
  </r>
  <r>
    <n v="3847"/>
    <s v="8_국립축산과학원"/>
    <s v="0_본원"/>
    <x v="15"/>
    <s v="전다연"/>
    <s v="보도자료80"/>
    <s v="사슴 번식기 가을철 세심한 관리 당부"/>
    <s v="농업경제신문"/>
    <d v="2019-09-03T00:00:00"/>
    <m/>
    <s v="13_인터넷포털"/>
    <n v="0.1"/>
    <d v="2019-09-04T00:00:00"/>
  </r>
  <r>
    <n v="3848"/>
    <s v="8_국립축산과학원"/>
    <s v="0_본원"/>
    <x v="11"/>
    <s v="문규철"/>
    <s v="보도자료81"/>
    <s v="농촌진흥청, 추석 맞아 복지시설에 성금 전달"/>
    <s v="오가닉라이프"/>
    <d v="2019-09-03T00:00:00"/>
    <m/>
    <s v="13_인터넷포털"/>
    <n v="0.1"/>
    <d v="2019-09-04T00:00:00"/>
  </r>
  <r>
    <n v="3849"/>
    <s v="8_국립축산과학원"/>
    <s v="2_축산자원개발부"/>
    <x v="12"/>
    <s v="김태일"/>
    <m/>
    <s v="‘5G·100세 시대’... 한우산업 방향은?"/>
    <s v="아주경제"/>
    <d v="2019-09-03T00:00:00"/>
    <m/>
    <s v="07_중앙일간지"/>
    <n v="5"/>
    <d v="2019-09-05T00:00:00"/>
  </r>
  <r>
    <n v="3850"/>
    <s v="8_국립축산과학원"/>
    <s v="2_축산자원개발부"/>
    <x v="8"/>
    <s v="박미나"/>
    <m/>
    <s v="‘5G·100세 시대’... 한우산업 방향은?"/>
    <s v="아주경제"/>
    <d v="2019-09-03T00:00:00"/>
    <m/>
    <s v="07_중앙일간지"/>
    <n v="5"/>
    <d v="2019-09-05T00:00:00"/>
  </r>
  <r>
    <n v="3851"/>
    <s v="8_국립축산과학원"/>
    <s v="0_본원"/>
    <x v="15"/>
    <s v="조창연"/>
    <m/>
    <s v="국가지식재산위원장 표창에 손승우·최홍수 교수...유공자 포상 15점 수여"/>
    <s v="전자신문"/>
    <d v="2019-09-04T00:00:00"/>
    <m/>
    <s v="08_기타일간지"/>
    <n v="2"/>
    <d v="2019-09-05T00:00:00"/>
  </r>
  <r>
    <n v="3852"/>
    <s v="8_국립축산과학원"/>
    <s v="2_축산자원개발부"/>
    <x v="12"/>
    <s v="김태일"/>
    <m/>
    <s v="5G시대-100세 시대에 ‘한우 산업’ 발전 방향은?"/>
    <s v="한국영농신문"/>
    <d v="2019-09-03T00:00:00"/>
    <m/>
    <s v="09_농업전문지"/>
    <n v="1.5"/>
    <d v="2019-09-05T00:00:00"/>
  </r>
  <r>
    <n v="3853"/>
    <s v="8_국립축산과학원"/>
    <s v="2_축산자원개발부"/>
    <x v="8"/>
    <s v="박미나"/>
    <m/>
    <s v="5G시대-100세 시대에 ‘한우 산업’ 발전 방향은?"/>
    <s v="한국영농신문"/>
    <d v="2019-09-03T00:00:00"/>
    <m/>
    <s v="09_농업전문지"/>
    <n v="1.5"/>
    <d v="2019-09-05T00:00:00"/>
  </r>
  <r>
    <n v="3854"/>
    <s v="8_국립축산과학원"/>
    <s v="0_본원"/>
    <x v="4"/>
    <s v="김현수"/>
    <s v="보도자료79"/>
    <s v="축과원-LG유플러스, 스마트축산 협력키로"/>
    <s v="한국농어민신문"/>
    <d v="2019-09-04T00:00:00"/>
    <m/>
    <s v="09_농업전문지"/>
    <n v="1.5"/>
    <d v="2019-09-05T00:00:00"/>
  </r>
  <r>
    <n v="3855"/>
    <s v="8_국립축산과학원"/>
    <s v="0_본원"/>
    <x v="11"/>
    <s v="문규철"/>
    <s v="보도자료81"/>
    <s v="농진청, 추석 맞아 소외계층에 따뜻한 마음 전해"/>
    <s v="전업농신문"/>
    <d v="2019-09-04T00:00:00"/>
    <m/>
    <s v="09_농업전문지"/>
    <n v="1.5"/>
    <d v="2019-09-05T00:00:00"/>
  </r>
  <r>
    <n v="3856"/>
    <s v="8_국립축산과학원"/>
    <s v="0_본원"/>
    <x v="11"/>
    <s v="문규철"/>
    <s v="보도자료81"/>
    <s v="국립축산과학원, 사회복지시설에 성금 전달"/>
    <s v="전북도민일보"/>
    <d v="2019-09-04T00:00:00"/>
    <n v="15"/>
    <s v="09_지방일간지"/>
    <n v="1.5"/>
    <d v="2019-09-05T00:00:00"/>
  </r>
  <r>
    <n v="3857"/>
    <s v="8_국립축산과학원"/>
    <s v="0_본원"/>
    <x v="11"/>
    <s v="문규철"/>
    <s v="보도자료81"/>
    <s v="“훈훈한 추석명절 보내시길”"/>
    <s v="전주매일"/>
    <d v="2019-09-04T00:00:00"/>
    <n v="4"/>
    <s v="09_지방일간지"/>
    <n v="1.5"/>
    <d v="2019-09-05T00:00:00"/>
  </r>
  <r>
    <n v="3858"/>
    <s v="8_국립축산과학원"/>
    <s v="0_본원"/>
    <x v="13"/>
    <s v="정성훈"/>
    <m/>
    <s v="태안군, 한우농가 맞춤형 종합컨설팅 실시!"/>
    <s v="중도일보"/>
    <d v="2019-09-04T00:00:00"/>
    <m/>
    <s v="09_지방일간지"/>
    <n v="1.5"/>
    <d v="2019-09-05T00:00:00"/>
  </r>
  <r>
    <n v="3859"/>
    <s v="8_국립축산과학원"/>
    <s v="0_본원"/>
    <x v="13"/>
    <s v="정성훈"/>
    <m/>
    <s v="태안군, 한우농가 맞춤형 종합컨설팅 실시"/>
    <s v="대전일보"/>
    <d v="2019-09-04T00:00:00"/>
    <m/>
    <s v="09_지방일간지"/>
    <n v="1.5"/>
    <d v="2019-09-05T00:00:00"/>
  </r>
  <r>
    <n v="3860"/>
    <s v="8_국립축산과학원"/>
    <s v="0_본원"/>
    <x v="13"/>
    <s v="정성훈"/>
    <m/>
    <s v="태안군, 한우농가 맞춤형 종합컨설팅 실시"/>
    <s v="충남일보"/>
    <d v="2019-09-04T00:00:00"/>
    <m/>
    <s v="09_지방일간지"/>
    <n v="1.5"/>
    <d v="2019-09-05T00:00:00"/>
  </r>
  <r>
    <n v="3861"/>
    <s v="8_국립축산과학원"/>
    <s v="0_본원"/>
    <x v="11"/>
    <s v="문규철"/>
    <s v="보도자료81"/>
    <s v="농진청, 추석 맞아 복지시설에 성금 전달"/>
    <s v="식약일보"/>
    <d v="2019-09-03T00:00:00"/>
    <m/>
    <s v="10_기타전문지"/>
    <n v="1"/>
    <d v="2019-09-05T00:00:00"/>
  </r>
  <r>
    <n v="3862"/>
    <s v="8_국립축산과학원"/>
    <s v="0_본원"/>
    <x v="11"/>
    <s v="문규철"/>
    <s v="보도자료81"/>
    <s v="농촌진흥청, 추석 맞아 복지시설에 성금 전달"/>
    <s v="코리아데일리"/>
    <d v="2019-09-03T00:00:00"/>
    <m/>
    <s v="13_인터넷포털"/>
    <n v="0.1"/>
    <d v="2019-09-05T00:00:00"/>
  </r>
  <r>
    <n v="3863"/>
    <s v="8_국립축산과학원"/>
    <s v="0_본원"/>
    <x v="11"/>
    <s v="문규철"/>
    <s v="보도자료81"/>
    <s v="농촌진흥청, 추석 맞아 복지시설에 성금 전달"/>
    <s v="창업일보"/>
    <d v="2019-09-03T00:00:00"/>
    <m/>
    <s v="13_인터넷포털"/>
    <n v="0.1"/>
    <d v="2019-09-05T00:00:00"/>
  </r>
  <r>
    <n v="3864"/>
    <s v="8_국립축산과학원"/>
    <s v="0_본원"/>
    <x v="13"/>
    <s v="정성훈"/>
    <m/>
    <s v="태안군, 한우농가 맞춤형 종합컨설팅 실시"/>
    <s v="케이에스피뉴스"/>
    <d v="2019-09-04T00:00:00"/>
    <m/>
    <s v="13_인터넷포털"/>
    <n v="0.1"/>
    <d v="2019-09-05T00:00:00"/>
  </r>
  <r>
    <n v="3865"/>
    <s v="8_국립축산과학원"/>
    <s v="1_축산생명환경부"/>
    <x v="9"/>
    <s v="이동현"/>
    <m/>
    <s v="농정거버넌스 역량강화 워크숍"/>
    <s v="투데이안"/>
    <d v="2019-09-04T00:00:00"/>
    <m/>
    <s v="13_인터넷포털"/>
    <n v="0.1"/>
    <d v="2019-09-05T00:00:00"/>
  </r>
  <r>
    <n v="3866"/>
    <s v="8_국립축산과학원"/>
    <s v="1_축산생명환경부"/>
    <x v="9"/>
    <s v="이동현"/>
    <m/>
    <s v="익산시, 희망농정위 등 농정거버넌스 역량강화 워크숍"/>
    <s v="뉴시스"/>
    <d v="2019-09-04T00:00:00"/>
    <m/>
    <s v="07_중앙일간지"/>
    <n v="5"/>
    <d v="2019-09-06T00:00:00"/>
  </r>
  <r>
    <n v="3867"/>
    <s v="8_국립축산과학원"/>
    <s v="1_축산생명환경부"/>
    <x v="9"/>
    <s v="이동현"/>
    <m/>
    <s v="익산시, 농정거버넌스 역량강화 워크숍 개최"/>
    <s v="뉴스1"/>
    <d v="2019-09-04T00:00:00"/>
    <m/>
    <s v="07_중앙일간지"/>
    <n v="5"/>
    <d v="2019-09-06T00:00:00"/>
  </r>
  <r>
    <n v="3868"/>
    <s v="8_국립축산과학원"/>
    <s v="1_축산생명환경부"/>
    <x v="9"/>
    <s v="곽정훈"/>
    <m/>
    <s v="‘개똥’도 ‘오줌’도 쓸 곳이 있다?"/>
    <s v="아시아경제"/>
    <d v="2019-09-05T00:00:00"/>
    <m/>
    <s v="07_중앙일간지"/>
    <n v="5"/>
    <d v="2019-09-06T00:00:00"/>
  </r>
  <r>
    <n v="3869"/>
    <s v="8_국립축산과학원"/>
    <s v="0_본원"/>
    <x v="13"/>
    <s v="정성훈"/>
    <m/>
    <s v="태안군, 한우농가 맞춤형 종합컨설팅 실시!"/>
    <s v="전국매일신문"/>
    <d v="2019-09-04T00:00:00"/>
    <m/>
    <s v="08_기타일간지"/>
    <n v="2"/>
    <d v="2019-09-06T00:00:00"/>
  </r>
  <r>
    <n v="3870"/>
    <s v="8_국립축산과학원"/>
    <s v="2_축산자원개발부"/>
    <x v="12"/>
    <s v="김태일"/>
    <m/>
    <s v="5G 및 100세 시대에 걸맞는 한우산업 방향 모색"/>
    <s v="농기자재신문"/>
    <d v="2019-09-04T00:00:00"/>
    <m/>
    <s v="09_농업전문지"/>
    <n v="1.5"/>
    <d v="2019-09-06T00:00:00"/>
  </r>
  <r>
    <n v="3871"/>
    <s v="8_국립축산과학원"/>
    <s v="2_축산자원개발부"/>
    <x v="8"/>
    <s v="박미나"/>
    <m/>
    <s v="5G 및 100세 시대에 걸맞는 한우산업 방향 모색"/>
    <s v="농기자재신문"/>
    <d v="2019-09-04T00:00:00"/>
    <m/>
    <s v="09_농업전문지"/>
    <n v="1.5"/>
    <d v="2019-09-06T00:00:00"/>
  </r>
  <r>
    <n v="3872"/>
    <s v="8_국립축산과학원"/>
    <s v="0_본원"/>
    <x v="2"/>
    <s v="공소은"/>
    <m/>
    <s v="축과원 ‘한우리’ 새 명칭 공모"/>
    <s v="양돈타임스"/>
    <d v="2019-09-05T00:00:00"/>
    <n v="10"/>
    <s v="09_농업전문지"/>
    <n v="1.5"/>
    <d v="2019-09-06T00:00:00"/>
  </r>
  <r>
    <n v="3873"/>
    <s v="8_국립축산과학원"/>
    <s v="0_본원"/>
    <x v="13"/>
    <s v="김근영"/>
    <s v="보도자료78"/>
    <s v="커지는 일교차, 호흡기 질병 주의를"/>
    <s v="양돈타임스"/>
    <d v="2019-09-05T00:00:00"/>
    <n v="2"/>
    <s v="09_농업전문지"/>
    <n v="1.5"/>
    <d v="2019-09-06T00:00:00"/>
  </r>
  <r>
    <n v="3874"/>
    <s v="8_국립축산과학원"/>
    <s v="0_본원"/>
    <x v="13"/>
    <s v="박종문"/>
    <s v="보도자료77"/>
    <s v="가축인공수정사 11월 시험"/>
    <s v="양돈타임스"/>
    <d v="2019-09-05T00:00:00"/>
    <n v="3"/>
    <s v="09_농업전문지"/>
    <n v="1.5"/>
    <d v="2019-09-06T00:00:00"/>
  </r>
  <r>
    <n v="3875"/>
    <s v="8_국립축산과학원"/>
    <s v="0_본원"/>
    <x v="13"/>
    <s v="정성훈"/>
    <m/>
    <s v="태안군, 한우농가 맞춤형 종합컨설팅... 한우농가 애로 해결"/>
    <s v="충청신문"/>
    <d v="2019-09-04T00:00:00"/>
    <m/>
    <s v="09_지방일간지"/>
    <n v="1.5"/>
    <d v="2019-09-06T00:00:00"/>
  </r>
  <r>
    <n v="3876"/>
    <s v="8_국립축산과학원"/>
    <s v="1_축산생명환경부"/>
    <x v="9"/>
    <s v="이동현"/>
    <m/>
    <s v="익산시, 농정거버넌스 역량강화 워크숍 개최"/>
    <s v="전라일보"/>
    <d v="2019-09-04T00:00:00"/>
    <m/>
    <s v="09_지방일간지"/>
    <n v="1.5"/>
    <d v="2019-09-06T00:00:00"/>
  </r>
  <r>
    <n v="3877"/>
    <s v="8_국립축산과학원"/>
    <s v="0_본원"/>
    <x v="13"/>
    <s v="정성훈"/>
    <m/>
    <s v="태안군, 한우농가 애로 해결 앞장"/>
    <s v="충청일보"/>
    <d v="2019-09-04T00:00:00"/>
    <m/>
    <s v="09_지방일간지"/>
    <n v="1.5"/>
    <d v="2019-09-06T00:00:00"/>
  </r>
  <r>
    <n v="3878"/>
    <s v="8_국립축산과학원"/>
    <s v="0_본원"/>
    <x v="14"/>
    <s v="조상래"/>
    <s v="보도자료82"/>
    <s v="농촌진흥청·전국한우협회 6일·9일 한우종합기술 교육"/>
    <s v="전주일보"/>
    <d v="2019-09-05T00:00:00"/>
    <n v="4"/>
    <s v="09_지방일간지"/>
    <n v="1.5"/>
    <d v="2019-09-06T00:00:00"/>
  </r>
  <r>
    <n v="3879"/>
    <s v="8_국립축산과학원"/>
    <s v="1_축산생명환경부"/>
    <x v="9"/>
    <s v="이동현"/>
    <m/>
    <s v="익산, 지역농업 능동적 변화 활로 모색"/>
    <s v="전북연합신문"/>
    <d v="2019-09-05T00:00:00"/>
    <n v="7"/>
    <s v="09_지방일간지"/>
    <n v="1.5"/>
    <d v="2019-09-06T00:00:00"/>
  </r>
  <r>
    <n v="3880"/>
    <s v="8_국립축산과학원"/>
    <s v="1_축산생명환경부"/>
    <x v="9"/>
    <s v="이동현"/>
    <m/>
    <s v="익산, 농정거버넌스 역량강화 워크숍"/>
    <s v="전주매일"/>
    <d v="2019-09-05T00:00:00"/>
    <n v="7"/>
    <s v="09_지방일간지"/>
    <n v="1.5"/>
    <d v="2019-09-06T00:00:00"/>
  </r>
  <r>
    <n v="3881"/>
    <s v="8_국립축산과학원"/>
    <s v="1_축산생명환경부"/>
    <x v="9"/>
    <s v="이동현"/>
    <m/>
    <s v="익산, 농정거버넌스 역량강화 워크숍"/>
    <s v="전라매일"/>
    <d v="2019-09-05T00:00:00"/>
    <n v="10"/>
    <s v="09_지방일간지"/>
    <n v="1.5"/>
    <d v="2019-09-06T00:00:00"/>
  </r>
  <r>
    <n v="3882"/>
    <s v="8_국립축산과학원"/>
    <s v="1_축산생명환경부"/>
    <x v="9"/>
    <s v="이동현"/>
    <m/>
    <s v="익산시, 농정거버넌스 역량강화 워크숍"/>
    <s v="새전북신문"/>
    <d v="2019-09-05T00:00:00"/>
    <n v="7"/>
    <s v="09_지방일간지"/>
    <n v="1.5"/>
    <d v="2019-09-06T00:00:00"/>
  </r>
  <r>
    <n v="3883"/>
    <s v="8_국립축산과학원"/>
    <s v="0_본원"/>
    <x v="13"/>
    <s v="정성훈"/>
    <m/>
    <s v="태안군, 축산농가 맞춤형 종합컨설팅 실시"/>
    <s v="충청매일"/>
    <d v="2019-09-05T00:00:00"/>
    <n v="10"/>
    <s v="09_지방일간지"/>
    <n v="1.5"/>
    <d v="2019-09-06T00:00:00"/>
  </r>
  <r>
    <n v="3884"/>
    <s v="8_국립축산과학원"/>
    <s v="1_축산생명환경부"/>
    <x v="9"/>
    <s v="이동현"/>
    <m/>
    <s v="익산시, 농정거버넌스 역량강화 워크숍 개최"/>
    <s v="전북도민일보"/>
    <d v="2019-09-04T00:00:00"/>
    <m/>
    <s v="09_지방일간지"/>
    <n v="1.5"/>
    <d v="2019-09-06T00:00:00"/>
  </r>
  <r>
    <n v="3885"/>
    <s v="8_국립축산과학원"/>
    <s v="1_축산생명환경부"/>
    <x v="9"/>
    <s v="이동현"/>
    <m/>
    <s v="익산시, 농정거버넌스 역량 강화 워크숍 개최"/>
    <s v="전북일보"/>
    <d v="2019-09-04T00:00:00"/>
    <m/>
    <s v="09_지방일간지"/>
    <n v="1.5"/>
    <d v="2019-09-06T00:00:00"/>
  </r>
  <r>
    <n v="3886"/>
    <s v="8_국립축산과학원"/>
    <s v="0_본원"/>
    <x v="13"/>
    <s v="정성훈"/>
    <m/>
    <s v="태안군, 한우농가 맞춤형 종합컨설팅 진행"/>
    <s v="충청투데이"/>
    <d v="2019-09-05T00:00:00"/>
    <m/>
    <s v="09_지방일간지"/>
    <n v="1.5"/>
    <d v="2019-09-06T00:00:00"/>
  </r>
  <r>
    <n v="3887"/>
    <s v="8_국립축산과학원"/>
    <s v="0_본원"/>
    <x v="15"/>
    <s v="조창연"/>
    <m/>
    <s v="정부·민간, 대외 경제여건 악화 속 지식재산 기반 다지기 ‘힘 모은다’"/>
    <s v="이뉴스투데이"/>
    <d v="2019-09-04T00:00:00"/>
    <m/>
    <s v="10_주간지"/>
    <n v="1"/>
    <d v="2019-09-06T00:00:00"/>
  </r>
  <r>
    <n v="3888"/>
    <s v="8_국립축산과학원"/>
    <s v="1_축산생명환경부"/>
    <x v="9"/>
    <s v="이동현"/>
    <m/>
    <s v="전북도 익산시, 농정거버넌스 역량강화 워크숍 개최"/>
    <s v="코리아플러스"/>
    <d v="2019-09-05T00:00:00"/>
    <m/>
    <s v="11_기타(지역주간지)"/>
    <n v="0.5"/>
    <d v="2019-09-06T00:00:00"/>
  </r>
  <r>
    <n v="3889"/>
    <s v="8_국립축산과학원"/>
    <s v="0_본원"/>
    <x v="13"/>
    <s v="정성훈"/>
    <m/>
    <s v="태안군, 한우농가 맞춤형 종합컨설팅 실시!"/>
    <s v="세계타임즈"/>
    <d v="2019-09-04T00:00:00"/>
    <m/>
    <s v="11_기타(지역주간지)"/>
    <n v="0.5"/>
    <d v="2019-09-06T00:00:00"/>
  </r>
  <r>
    <n v="3890"/>
    <s v="8_국립축산과학원"/>
    <s v="0_본원"/>
    <x v="13"/>
    <s v="정성훈"/>
    <m/>
    <s v="태안군, ‘한우농가’ 컨설팅 실시"/>
    <s v="로컬투데이"/>
    <d v="2019-09-04T00:00:00"/>
    <m/>
    <s v="13_인터넷포털"/>
    <n v="0.1"/>
    <d v="2019-09-06T00:00:00"/>
  </r>
  <r>
    <n v="3891"/>
    <s v="8_국립축산과학원"/>
    <s v="2_축산자원개발부"/>
    <x v="12"/>
    <s v="김태일"/>
    <m/>
    <s v="농기평, ‘한우기술공감 회원 역량강화 워크숍’ 개최"/>
    <s v="팜인사이트"/>
    <d v="2019-09-04T00:00:00"/>
    <m/>
    <s v="13_인터넷포털"/>
    <n v="0.1"/>
    <d v="2019-09-06T00:00:00"/>
  </r>
  <r>
    <n v="3892"/>
    <s v="8_국립축산과학원"/>
    <s v="2_축산자원개발부"/>
    <x v="8"/>
    <s v="박미나"/>
    <m/>
    <s v="농기평, ‘한우기술공감 회원 역량강화 워크숍’ 개최"/>
    <s v="팜인사이트"/>
    <d v="2019-09-04T00:00:00"/>
    <m/>
    <s v="13_인터넷포털"/>
    <n v="0.1"/>
    <d v="2019-09-06T00:00:00"/>
  </r>
  <r>
    <n v="3893"/>
    <s v="8_국립축산과학원"/>
    <s v="1_축산생명환경부"/>
    <x v="9"/>
    <s v="이동현"/>
    <m/>
    <s v="익산시, 농정거버넌스 역량강화 워크숍 개최"/>
    <s v="케이에스피뉴스"/>
    <d v="2019-09-04T00:00:00"/>
    <m/>
    <s v="13_인터넷포털"/>
    <n v="0.1"/>
    <d v="2019-09-06T00:00:00"/>
  </r>
  <r>
    <n v="3894"/>
    <s v="8_국립축산과학원"/>
    <s v="0_본원"/>
    <x v="4"/>
    <s v="천동원"/>
    <s v="기고"/>
    <s v="[기고] 천동원 소장-축산현장 애로기술 해결 위한 닭 키우기[100문 100답] Q95,96"/>
    <s v="축산신문"/>
    <d v="2019-09-06T00:00:00"/>
    <n v="15"/>
    <s v="17_농업전문지"/>
    <n v="8"/>
    <d v="2019-09-09T00:00:00"/>
  </r>
  <r>
    <n v="3895"/>
    <s v="8_국립축산과학원"/>
    <s v="0_본원"/>
    <x v="4"/>
    <s v="권일"/>
    <s v="기고"/>
    <s v="[기고] 권일 연구사-오리산업에서 토종오리의 가치"/>
    <s v="농수축산신문"/>
    <d v="2019-09-06T00:00:00"/>
    <n v="6"/>
    <s v="17_농업전문지"/>
    <n v="8"/>
    <d v="2019-09-09T00:00:00"/>
  </r>
  <r>
    <n v="3896"/>
    <s v="8_국립축산과학원"/>
    <s v="1_축산생명환경부"/>
    <x v="9"/>
    <s v="곽정훈"/>
    <m/>
    <s v="농식품부, 퇴비유통전문조직 140곳 육성(포토뉴스)"/>
    <s v="연합뉴스"/>
    <d v="2019-09-05T00:00:00"/>
    <m/>
    <s v="07_중앙일간지"/>
    <n v="5"/>
    <d v="2019-09-09T00:00:00"/>
  </r>
  <r>
    <n v="3897"/>
    <s v="8_국립축산과학원"/>
    <s v="0_본원"/>
    <x v="4"/>
    <s v="권일"/>
    <m/>
    <s v="삼계탕은 전문점에서만? 간편 삼계탕·생닭으로 어디서나"/>
    <s v="머니투데이"/>
    <d v="2019-09-07T00:00:00"/>
    <m/>
    <s v="07_중앙일간지"/>
    <n v="5"/>
    <d v="2019-09-09T00:00:00"/>
  </r>
  <r>
    <n v="3898"/>
    <s v="8_국립축산과학원"/>
    <s v="0_본원"/>
    <x v="14"/>
    <s v="조상래"/>
    <s v="보도자료82"/>
    <s v="농촌진흥청-전국한우협회 공동, 한우 종합기술 교육 실시"/>
    <s v="매일일보"/>
    <d v="2019-09-06T00:00:00"/>
    <m/>
    <s v="08_기타일간지"/>
    <n v="2"/>
    <d v="2019-09-09T00:00:00"/>
  </r>
  <r>
    <n v="3899"/>
    <s v="8_국립축산과학원"/>
    <s v="0_본원"/>
    <x v="15"/>
    <s v="전다연"/>
    <s v="보도자료80"/>
    <s v="사슴 번식계절 가을, 세심한 관리 중요"/>
    <s v="환경일보"/>
    <d v="2019-09-02T00:00:00"/>
    <m/>
    <s v="08_기타일간지"/>
    <n v="2"/>
    <d v="2019-09-09T00:00:00"/>
  </r>
  <r>
    <n v="3900"/>
    <s v="8_국립축산과학원"/>
    <s v="0_본원"/>
    <x v="13"/>
    <s v="박종문"/>
    <s v="보도자료77"/>
    <s v="농진청 ‘가축인공수정사’ 필기시험 11월 16일 시행"/>
    <s v="한국농어민신문"/>
    <d v="2019-09-05T00:00:00"/>
    <m/>
    <s v="09_농업전문지"/>
    <n v="1.5"/>
    <d v="2019-09-09T00:00:00"/>
  </r>
  <r>
    <n v="3901"/>
    <s v="8_국립축산과학원"/>
    <s v="0_본원"/>
    <x v="2"/>
    <s v="양창범"/>
    <m/>
    <s v="(축사) 첨단 축산기술 개발 보급 앞장"/>
    <s v="축산경제"/>
    <d v="2019-09-02T00:00:00"/>
    <n v="5"/>
    <s v="09_농업전문지"/>
    <n v="1.5"/>
    <d v="2019-09-09T00:00:00"/>
  </r>
  <r>
    <n v="3902"/>
    <s v="8_국립축산과학원"/>
    <s v="0_본원"/>
    <x v="14"/>
    <s v="조상래"/>
    <s v="보도자료82"/>
    <s v="“한우 사육에 필요한 기술 알려드려요”"/>
    <s v="한국영농신문"/>
    <d v="2019-09-08T00:00:00"/>
    <m/>
    <s v="09_농업전문지"/>
    <n v="1.5"/>
    <d v="2019-09-09T00:00:00"/>
  </r>
  <r>
    <n v="3903"/>
    <s v="8_국립축산과학원"/>
    <s v="2_축산자원개발부"/>
    <x v="8"/>
    <s v="김시동"/>
    <m/>
    <s v="농협, 한우정액 암거래 근절 고심"/>
    <s v="한국농정신문"/>
    <d v="2019-09-08T00:00:00"/>
    <m/>
    <s v="09_농업전문지"/>
    <n v="1.5"/>
    <d v="2019-09-09T00:00:00"/>
  </r>
  <r>
    <n v="3904"/>
    <s v="8_국립축산과학원"/>
    <s v="0_본원"/>
    <x v="4"/>
    <s v="차재범"/>
    <s v="보도자료83"/>
    <s v="‘구구 데이’엔 영양 풍부한 달걀 드세요"/>
    <s v="한국영농신문"/>
    <d v="2019-09-08T00:00:00"/>
    <m/>
    <s v="09_농업전문지"/>
    <n v="1.5"/>
    <d v="2019-09-09T00:00:00"/>
  </r>
  <r>
    <n v="3905"/>
    <s v="8_국립축산과학원"/>
    <s v="0_본원"/>
    <x v="13"/>
    <s v="유지현"/>
    <m/>
    <s v="농촌진흥청, 우수 저서·인문 도서 독후감 우수작 발표"/>
    <s v="한국영농신문"/>
    <d v="2019-09-08T00:00:00"/>
    <m/>
    <s v="09_농업전문지"/>
    <n v="1.5"/>
    <d v="2019-09-09T00:00:00"/>
  </r>
  <r>
    <n v="3906"/>
    <s v="8_국립축산과학원"/>
    <s v="0_본원"/>
    <x v="4"/>
    <s v="차재범"/>
    <s v="보도자료83"/>
    <s v="9월 9일 ‘구구데이’, 신선한 달걀 고르는 법"/>
    <s v="식품저널"/>
    <d v="2019-09-09T00:00:00"/>
    <m/>
    <s v="09_농업전문지"/>
    <n v="1.5"/>
    <d v="2019-09-09T00:00:00"/>
  </r>
  <r>
    <n v="3907"/>
    <s v="8_국립축산과학원"/>
    <s v="0_본원"/>
    <x v="15"/>
    <s v="전다연"/>
    <s v="보도자료80"/>
    <s v="사슴 번식철 관리가 소득과 직결"/>
    <s v="농촌여성신문"/>
    <d v="2019-09-06T00:00:00"/>
    <m/>
    <s v="09_농업전문지"/>
    <n v="1.5"/>
    <d v="2019-09-09T00:00:00"/>
  </r>
  <r>
    <n v="3908"/>
    <s v="8_국립축산과학원"/>
    <s v="0_본원"/>
    <x v="4"/>
    <s v="차재범"/>
    <s v="보도자료83"/>
    <s v="농진청, ‘구구데이’...달걀 효능·신선도 정보 제공"/>
    <s v="전업농신문"/>
    <d v="2019-09-09T00:00:00"/>
    <m/>
    <s v="09_농업전문지"/>
    <n v="1.5"/>
    <d v="2019-09-09T00:00:00"/>
  </r>
  <r>
    <n v="3909"/>
    <s v="8_국립축산과학원"/>
    <s v="0_본원"/>
    <x v="11"/>
    <s v="문규철"/>
    <s v="보도자료81"/>
    <s v="농촌진흥청, 추석 맞아 복지시설에 성금 전달"/>
    <s v="농업인신문"/>
    <d v="2019-09-03T00:00:00"/>
    <m/>
    <s v="09_농업전문지"/>
    <n v="1.5"/>
    <d v="2019-09-09T00:00:00"/>
  </r>
  <r>
    <n v="3910"/>
    <s v="8_국립축산과학원"/>
    <s v="0_본원"/>
    <x v="13"/>
    <s v="유지현"/>
    <m/>
    <s v="농촌진흥청, 최우수저서 ‘도시농업 텃밭채소’ 선정"/>
    <s v="전주일보"/>
    <d v="2019-09-08T00:00:00"/>
    <n v="13"/>
    <s v="09_지방일간지"/>
    <n v="1.5"/>
    <d v="2019-09-09T00:00:00"/>
  </r>
  <r>
    <n v="3911"/>
    <s v="8_국립축산과학원"/>
    <s v="0_본원"/>
    <x v="11"/>
    <s v="문규철"/>
    <s v="보도자료81"/>
    <s v="농촌진흥청, 추석 맞아 복지시설에 성금 전달"/>
    <s v="전라일보"/>
    <d v="2019-09-03T00:00:00"/>
    <m/>
    <s v="09_지방일간지"/>
    <n v="1.5"/>
    <d v="2019-09-09T00:00:00"/>
  </r>
  <r>
    <n v="3912"/>
    <s v="8_국립축산과학원"/>
    <s v="0_본원"/>
    <x v="13"/>
    <s v="정성훈"/>
    <m/>
    <s v="태안군, 한우농가 맞춤형 종합컨설팅 실시!"/>
    <s v="엔디엔뉴스"/>
    <d v="2019-09-05T00:00:00"/>
    <m/>
    <s v="10_기타월간지"/>
    <n v="1"/>
    <d v="2019-09-09T00:00:00"/>
  </r>
  <r>
    <n v="3913"/>
    <s v="8_국립축산과학원"/>
    <s v="0_본원"/>
    <x v="14"/>
    <s v="조상래"/>
    <s v="보도자료82"/>
    <s v="“한우사육 현장 꼭 필요한 기술 소개”"/>
    <s v="식약일보"/>
    <d v="2019-09-05T00:00:00"/>
    <m/>
    <s v="10_기타전문지"/>
    <n v="1"/>
    <d v="2019-09-09T00:00:00"/>
  </r>
  <r>
    <n v="3914"/>
    <s v="8_국립축산과학원"/>
    <s v="0_본원"/>
    <x v="15"/>
    <s v="전다연"/>
    <s v="보도자료80"/>
    <s v="사슴 번식계절 가을, 세심한 관리는 소득과 직결"/>
    <s v="정책브리핑"/>
    <d v="2019-09-02T00:00:00"/>
    <m/>
    <s v="12_대한민국 정책포털(korea.kr)"/>
    <n v="1"/>
    <d v="2019-09-09T00:00:00"/>
  </r>
  <r>
    <n v="3915"/>
    <s v="8_국립축산과학원"/>
    <s v="0_본원"/>
    <x v="11"/>
    <s v="문규철"/>
    <s v="보도자료81"/>
    <s v="농촌진흥청, 추석 맞아 복지시설에 성금 전달"/>
    <s v="당진신문"/>
    <d v="2019-09-03T00:00:00"/>
    <m/>
    <s v="11_기타(지역주간지)"/>
    <n v="0.5"/>
    <d v="2019-09-09T00:00:00"/>
  </r>
  <r>
    <n v="3916"/>
    <s v="8_국립축산과학원"/>
    <s v="0_본원"/>
    <x v="11"/>
    <s v="문규철"/>
    <s v="보도자료81"/>
    <s v="농촌진흥청, 추석 맞아 복지시설에 성금 전달"/>
    <s v="광명지역신문"/>
    <d v="2019-09-03T00:00:00"/>
    <m/>
    <s v="11_기타(지역주간지)"/>
    <n v="0.5"/>
    <d v="2019-09-09T00:00:00"/>
  </r>
  <r>
    <n v="3917"/>
    <s v="8_국립축산과학원"/>
    <s v="1_축산생명환경부"/>
    <x v="9"/>
    <s v="이동현"/>
    <m/>
    <s v="익산시, 농정거버넌스 역량강화 워크숍 개최"/>
    <s v="익산시민뉴스"/>
    <d v="2019-09-05T00:00:00"/>
    <m/>
    <s v="13_인터넷포털"/>
    <n v="0.1"/>
    <d v="2019-09-09T00:00:00"/>
  </r>
  <r>
    <n v="3918"/>
    <s v="8_국립축산과학원"/>
    <s v="0_본원"/>
    <x v="2"/>
    <s v="이근석"/>
    <m/>
    <s v="국립축산과학원, ‘정부기관 사회적 가치 구현 사례 및 방향’ 교육 개최"/>
    <s v="국제뉴스"/>
    <d v="2019-09-05T00:00:00"/>
    <m/>
    <s v="13_인터넷포털"/>
    <n v="0.1"/>
    <d v="2019-09-09T00:00:00"/>
  </r>
  <r>
    <n v="3919"/>
    <s v="8_국립축산과학원"/>
    <s v="0_본원"/>
    <x v="14"/>
    <s v="조상래"/>
    <s v="보도자료82"/>
    <s v="농촌진흥청과 전국한우협회 한우 종합기술 교육을 실시"/>
    <s v="농업경제신문"/>
    <d v="2019-09-06T00:00:00"/>
    <m/>
    <s v="13_인터넷포털"/>
    <n v="0.1"/>
    <d v="2019-09-09T00:00:00"/>
  </r>
  <r>
    <n v="3920"/>
    <s v="8_국립축산과학원"/>
    <s v="2_축산자원개발부"/>
    <x v="6"/>
    <s v="최기준"/>
    <m/>
    <s v="강원도청, 친환경 축산분야 역량강화를 위한 교육개최"/>
    <s v="국제뉴스"/>
    <d v="2019-09-08T00:00:00"/>
    <m/>
    <s v="13_인터넷포털"/>
    <n v="0.1"/>
    <d v="2019-09-09T00:00:00"/>
  </r>
  <r>
    <n v="3921"/>
    <s v="8_국립축산과학원"/>
    <s v="0_본원"/>
    <x v="4"/>
    <s v="차재범"/>
    <s v="보도자료83"/>
    <s v="“신선란 알고 먹자”…농진청, ‘구구데이’ 달걀 정보 소개"/>
    <s v="국제뉴스"/>
    <d v="2019-09-08T00:00:00"/>
    <m/>
    <s v="13_인터넷포털"/>
    <n v="0.1"/>
    <d v="2019-09-09T00:00:00"/>
  </r>
  <r>
    <n v="3922"/>
    <s v="8_국립축산과학원"/>
    <s v="2_축산자원개발부"/>
    <x v="6"/>
    <s v="최기준"/>
    <m/>
    <s v="강원도, 가축분 퇴비 현장 적용 기술교육 실시"/>
    <s v="동양뉴스통신"/>
    <d v="2019-09-08T00:00:00"/>
    <m/>
    <s v="13_인터넷포털"/>
    <n v="0.1"/>
    <d v="2019-09-09T00:00:00"/>
  </r>
  <r>
    <n v="3923"/>
    <s v="8_국립축산과학원"/>
    <s v="0_본원"/>
    <x v="13"/>
    <s v="유지현"/>
    <m/>
    <s v="농촌진흥청, 최우수저서 ‘도시농업 텃밭채소’ 선정!"/>
    <s v="더코리아뉴스"/>
    <d v="2019-09-09T00:00:00"/>
    <m/>
    <s v="13_인터넷포털"/>
    <n v="0.1"/>
    <d v="2019-09-09T00:00:00"/>
  </r>
  <r>
    <n v="3924"/>
    <s v="8_국립축산과학원"/>
    <s v="0_본원"/>
    <x v="13"/>
    <s v="유지현"/>
    <m/>
    <s v="농진청, 우수저서·인문도서 독후감 우수작 발표"/>
    <s v="아유경제"/>
    <d v="2019-09-09T00:00:00"/>
    <m/>
    <s v="13_인터넷포털"/>
    <n v="0.1"/>
    <d v="2019-09-09T00:00:00"/>
  </r>
  <r>
    <n v="3925"/>
    <s v="8_국립축산과학원"/>
    <s v="0_본원"/>
    <x v="4"/>
    <s v="차재범"/>
    <s v="보도자료83"/>
    <s v="‘구구데이’엔 신선한 달걀 찾아볼까"/>
    <s v="전남인터넷신문"/>
    <d v="2019-09-09T00:00:00"/>
    <m/>
    <s v="13_인터넷포털"/>
    <n v="0.1"/>
    <d v="2019-09-09T00:00:00"/>
  </r>
  <r>
    <n v="3926"/>
    <s v="8_국립축산과학원"/>
    <s v="0_본원"/>
    <x v="11"/>
    <s v="문규철"/>
    <s v="보도자료81"/>
    <s v="농촌진흥청, 「농촌진흥청, 추석 맞아 복지시설에 성금 전달」"/>
    <s v="화이트페이퍼"/>
    <d v="2019-09-03T00:00:00"/>
    <m/>
    <s v="13_인터넷포털"/>
    <n v="0.1"/>
    <d v="2019-09-09T00:00:00"/>
  </r>
  <r>
    <n v="3927"/>
    <s v="8_국립축산과학원"/>
    <s v="0_본원"/>
    <x v="11"/>
    <s v="문규철"/>
    <s v="보도자료81"/>
    <s v="농촌진흥청, 추석 맞아 복지시설에 성금 전달"/>
    <s v="제주교통복지신문"/>
    <d v="2019-09-03T00:00:00"/>
    <m/>
    <s v="13_인터넷포털"/>
    <n v="0.1"/>
    <d v="2019-09-09T00:00:00"/>
  </r>
  <r>
    <n v="3928"/>
    <s v="8_국립축산과학원"/>
    <s v="0_본원"/>
    <x v="11"/>
    <s v="문규철"/>
    <s v="보도자료81"/>
    <s v="농촌진흥청, 추석 맞아 복지시설에 성금 전달"/>
    <s v="뉴스페이퍼"/>
    <d v="2019-09-03T00:00:00"/>
    <m/>
    <s v="13_인터넷포털"/>
    <n v="0.1"/>
    <d v="2019-09-09T00:00:00"/>
  </r>
  <r>
    <n v="3929"/>
    <s v="8_국립축산과학원"/>
    <s v="0_본원"/>
    <x v="11"/>
    <s v="문규철"/>
    <s v="보도자료81"/>
    <s v="농촌진흥청, 추석 맞아 복지시설에 성금 전달"/>
    <s v="블록체인밸리"/>
    <d v="2019-09-03T00:00:00"/>
    <m/>
    <s v="13_인터넷포털"/>
    <n v="0.1"/>
    <d v="2019-09-09T00:00:00"/>
  </r>
  <r>
    <n v="3930"/>
    <s v="8_국립축산과학원"/>
    <s v="0_본원"/>
    <x v="2"/>
    <s v="양창범"/>
    <s v="기고"/>
    <s v="[기고] 양창범 원장-한우의 자존심 함께 지켜야"/>
    <s v="한국농어민신문"/>
    <d v="2019-09-05T00:00:00"/>
    <m/>
    <s v="17_농업전문지"/>
    <n v="8"/>
    <d v="2019-09-10T00:00:00"/>
  </r>
  <r>
    <n v="3931"/>
    <s v="8_국립축산과학원"/>
    <s v="0_본원"/>
    <x v="4"/>
    <s v="차재범"/>
    <s v="보도자료83"/>
    <s v="농촌진흥청, ‘구구데이’ 맞아 달걀의 효능과 유익한 정보 소개"/>
    <s v="매일일보"/>
    <d v="2019-09-09T00:00:00"/>
    <m/>
    <s v="08_기타일간지"/>
    <n v="2"/>
    <d v="2019-09-10T00:00:00"/>
  </r>
  <r>
    <n v="3932"/>
    <s v="8_국립축산과학원"/>
    <s v="0_본원"/>
    <x v="4"/>
    <s v="차재범"/>
    <s v="보도자료83"/>
    <s v="9월 9일, ‘구구데이’엔 신선한 달걀을"/>
    <s v="대한급식신문"/>
    <d v="2019-09-09T00:00:00"/>
    <m/>
    <s v="09_농업전문지"/>
    <n v="1.5"/>
    <d v="2019-09-10T00:00:00"/>
  </r>
  <r>
    <n v="3933"/>
    <s v="8_국립축산과학원"/>
    <s v="0_본원"/>
    <x v="14"/>
    <s v="조상래"/>
    <s v="보도자료82"/>
    <s v="한우 사육 기술 알아가세요"/>
    <s v="농축유통신문"/>
    <d v="2019-09-09T00:00:00"/>
    <m/>
    <s v="09_농업전문지"/>
    <n v="1.5"/>
    <d v="2019-09-10T00:00:00"/>
  </r>
  <r>
    <n v="3934"/>
    <s v="8_국립축산과학원"/>
    <s v="0_본원"/>
    <x v="10"/>
    <s v="김남영"/>
    <m/>
    <s v="우리가 만든 승용마, 유소년 오픈승마대회 출전"/>
    <s v="농축유통신문"/>
    <d v="2019-09-09T00:00:00"/>
    <m/>
    <s v="09_농업전문지"/>
    <n v="1.5"/>
    <d v="2019-09-10T00:00:00"/>
  </r>
  <r>
    <n v="3935"/>
    <s v="8_국립축산과학원"/>
    <s v="1_축산생명환경부"/>
    <x v="5"/>
    <s v="조수현"/>
    <s v="보도자료84"/>
    <s v="국·탕 요리, 근막 있어야 감칠맛 더해... 얼린 소고기는 냉장해동"/>
    <s v="팜&amp;마켓매거진"/>
    <d v="2019-09-10T00:00:00"/>
    <m/>
    <s v="09_농업전문지"/>
    <n v="1.5"/>
    <d v="2019-09-10T00:00:00"/>
  </r>
  <r>
    <n v="3936"/>
    <s v="8_국립축산과학원"/>
    <s v="0_본원"/>
    <x v="4"/>
    <s v="김현수"/>
    <s v="보도자료79"/>
    <s v="국립축산과학원-LG유플러스 ‘스마트축산 활성화’ 협력"/>
    <s v="농축유통신문"/>
    <d v="2019-09-09T00:00:00"/>
    <m/>
    <s v="09_농업전문지"/>
    <n v="1.5"/>
    <d v="2019-09-10T00:00:00"/>
  </r>
  <r>
    <n v="3937"/>
    <s v="8_국립축산과학원"/>
    <s v="1_축산생명환경부"/>
    <x v="5"/>
    <s v="김진형"/>
    <m/>
    <s v="농산물 수출 100억 달성을 위한 제언"/>
    <s v="농수축산신문"/>
    <d v="2019-09-10T00:00:00"/>
    <m/>
    <s v="09_농업전문지"/>
    <n v="1.5"/>
    <d v="2019-09-10T00:00:00"/>
  </r>
  <r>
    <n v="3938"/>
    <s v="8_국립축산과학원"/>
    <s v="0_본원"/>
    <x v="4"/>
    <s v="차재범"/>
    <s v="보도자료83"/>
    <s v="‘구구데이’ 신선한 달걀 고르는 법은?…흰자 적게 퍼져야"/>
    <s v="부산일보"/>
    <d v="2019-09-08T00:00:00"/>
    <m/>
    <s v="09_지방일간지"/>
    <n v="1.5"/>
    <d v="2019-09-10T00:00:00"/>
  </r>
  <r>
    <n v="3939"/>
    <s v="8_국립축산과학원"/>
    <s v="2_축산자원개발부"/>
    <x v="8"/>
    <s v="김시동"/>
    <m/>
    <s v="한우정액 불법유통 논란…전북, 대대적 점검"/>
    <s v="한우신문"/>
    <d v="2019-09-03T00:00:00"/>
    <n v="10"/>
    <s v="10_기타전문지"/>
    <n v="1"/>
    <d v="2019-09-10T00:00:00"/>
  </r>
  <r>
    <n v="3940"/>
    <s v="8_국립축산과학원"/>
    <s v="0_본원"/>
    <x v="13"/>
    <s v="박종문"/>
    <s v="보도자료77"/>
    <s v="농촌진흥청 주관 가축인공수정사 시험 11월 전북 전주서 시행"/>
    <s v="한우신문"/>
    <d v="2019-09-03T00:00:00"/>
    <n v="10"/>
    <s v="10_기타전문지"/>
    <n v="1"/>
    <d v="2019-09-10T00:00:00"/>
  </r>
  <r>
    <n v="3941"/>
    <s v="8_국립축산과학원"/>
    <s v="1_축산생명환경부"/>
    <x v="7"/>
    <s v="김상호"/>
    <m/>
    <s v="한우 비육시 최소 세단계로 사육단계 나눠 사료배합"/>
    <s v="한우신문"/>
    <d v="2019-09-03T00:00:00"/>
    <n v="12"/>
    <s v="10_기타전문지"/>
    <n v="1"/>
    <d v="2019-09-10T00:00:00"/>
  </r>
  <r>
    <n v="3942"/>
    <s v="8_국립축산과학원"/>
    <s v="2_축산자원개발부"/>
    <x v="12"/>
    <s v="박지후"/>
    <s v="보도자료76"/>
    <s v="젖소 더위 스트레스 지표 활용법 소개"/>
    <s v="낙농신문"/>
    <d v="2019-09-05T00:00:00"/>
    <n v="5"/>
    <s v="10_기타전문지"/>
    <n v="1"/>
    <d v="2019-09-10T00:00:00"/>
  </r>
  <r>
    <n v="3943"/>
    <s v="8_국립축산과학원"/>
    <s v="2_축산자원개발부"/>
    <x v="12"/>
    <s v="기광석"/>
    <m/>
    <s v="환경온도, 사료 소화율 크게 영향 미쳐"/>
    <s v="낙농신문"/>
    <d v="2019-09-05T00:00:00"/>
    <n v="13"/>
    <s v="10_기타전문지"/>
    <n v="1"/>
    <d v="2019-09-10T00:00:00"/>
  </r>
  <r>
    <n v="3944"/>
    <s v="8_국립축산과학원"/>
    <s v="2_축산자원개발부"/>
    <x v="12"/>
    <s v="기광석"/>
    <m/>
    <s v="전체 우군 중 2/3 반추위 산도 5.8 이하"/>
    <s v="낙농신문"/>
    <d v="2019-09-05T00:00:00"/>
    <n v="14"/>
    <s v="10_기타전문지"/>
    <n v="1"/>
    <d v="2019-09-10T00:00:00"/>
  </r>
  <r>
    <n v="3945"/>
    <s v="8_국립축산과학원"/>
    <s v="0_본원"/>
    <x v="4"/>
    <s v="차재범"/>
    <s v="보도자료83"/>
    <s v="달걀, 시력 보호·두뇌 발달 도움"/>
    <s v="식약일보"/>
    <d v="2019-09-09T00:00:00"/>
    <m/>
    <s v="10_기타전문지"/>
    <n v="1"/>
    <d v="2019-09-10T00:00:00"/>
  </r>
  <r>
    <n v="3946"/>
    <s v="8_국립축산과학원"/>
    <s v="0_본원"/>
    <x v="13"/>
    <s v="유지현"/>
    <m/>
    <s v="최우수 저서 “도시농업 텃밭채소” 선정"/>
    <s v="식약일보"/>
    <d v="2019-09-09T00:00:00"/>
    <m/>
    <s v="10_기타전문지"/>
    <n v="1"/>
    <d v="2019-09-10T00:00:00"/>
  </r>
  <r>
    <n v="3947"/>
    <s v="8_국립축산과학원"/>
    <s v="0_본원"/>
    <x v="14"/>
    <s v="조상래"/>
    <s v="보도자료82"/>
    <s v="한우 사육 현장에 꼭 필요한 기술 알려드려요"/>
    <s v="정책브리핑"/>
    <d v="2019-09-05T00:00:00"/>
    <m/>
    <s v="12_대한민국 정책포털(korea.kr)"/>
    <n v="1"/>
    <d v="2019-09-10T00:00:00"/>
  </r>
  <r>
    <n v="3948"/>
    <s v="8_국립축산과학원"/>
    <s v="0_본원"/>
    <x v="10"/>
    <s v="김남영"/>
    <m/>
    <s v="한국형 승용마 ‘모구리’, 힘차게 뛰어보자"/>
    <s v="말산업저널"/>
    <d v="2019-09-04T00:00:00"/>
    <m/>
    <s v="10_기타전문지"/>
    <n v="1"/>
    <d v="2019-09-10T00:00:00"/>
  </r>
  <r>
    <n v="3949"/>
    <s v="8_국립축산과학원"/>
    <s v="1_축산생명환경부"/>
    <x v="5"/>
    <s v="조수현"/>
    <s v="보도자료84"/>
    <s v="추석 명절, 요리에 맞는 소고기 부위 고르세요"/>
    <s v="강원신문"/>
    <d v="2019-09-10T00:00:00"/>
    <m/>
    <s v="11_기타(지역주간지)"/>
    <n v="0.5"/>
    <d v="2019-09-10T00:00:00"/>
  </r>
  <r>
    <n v="3950"/>
    <s v="8_국립축산과학원"/>
    <s v="0_본원"/>
    <x v="13"/>
    <s v="유지현"/>
    <m/>
    <s v="농촌진흥청, 최우수저서 ‘도시농업 텃밭채소’ 선정"/>
    <s v="농업경제신문"/>
    <d v="2019-09-10T00:00:00"/>
    <m/>
    <s v="13_인터넷포털"/>
    <n v="0.1"/>
    <d v="2019-09-10T00:00:00"/>
  </r>
  <r>
    <n v="3951"/>
    <s v="8_국립축산과학원"/>
    <s v="0_본원"/>
    <x v="4"/>
    <s v="차재범"/>
    <s v="보도자료83"/>
    <s v="농진청, ‘구구데이’ 맞아 달걀의 효능 및 유익한 정보 소개"/>
    <s v="농업경제신문"/>
    <d v="2019-09-10T00:00:00"/>
    <m/>
    <s v="13_인터넷포털"/>
    <n v="0.1"/>
    <d v="2019-09-10T00:00:00"/>
  </r>
  <r>
    <n v="3952"/>
    <s v="8_국립축산과학원"/>
    <s v="0_본원"/>
    <x v="14"/>
    <s v="조상래"/>
    <s v="보도자료82"/>
    <s v="한우 사육 현장에 꼭 필요한 기술 알려드려요"/>
    <s v="한국안전방송"/>
    <d v="2019-09-05T00:00:00"/>
    <m/>
    <s v="13_인터넷포털"/>
    <n v="0.1"/>
    <d v="2019-09-10T00:00:00"/>
  </r>
  <r>
    <n v="3953"/>
    <s v="8_국립축산과학원"/>
    <s v="2_축산자원개발부"/>
    <x v="6"/>
    <s v="최기준"/>
    <m/>
    <s v="강원, 친환경 축산 교육으로 직무역량 강화"/>
    <s v="에코타임스"/>
    <d v="2019-09-10T00:00:00"/>
    <m/>
    <s v="13_인터넷포털"/>
    <n v="0.1"/>
    <d v="2019-09-10T00:00:00"/>
  </r>
  <r>
    <n v="3954"/>
    <s v="8_국립축산과학원"/>
    <s v="1_축산생명환경부"/>
    <x v="5"/>
    <s v="조수현"/>
    <s v="보도자료84"/>
    <s v="추석, 요리에 맞는 소고기 부위 고르세요"/>
    <s v="메디컬투데이"/>
    <d v="2019-09-10T00:00:00"/>
    <m/>
    <s v="13_인터넷포털"/>
    <n v="0.1"/>
    <d v="2019-09-10T00:00:00"/>
  </r>
  <r>
    <n v="3955"/>
    <s v="8_국립축산과학원"/>
    <s v="0_본원"/>
    <x v="4"/>
    <s v="천동원"/>
    <s v="기고"/>
    <s v="[기고] 천동원 소장-축산현장 애로기술 해결 위한 닭 키우기[100문 100답] Q97,98"/>
    <s v="축산신문"/>
    <d v="2019-09-10T00:00:00"/>
    <n v="15"/>
    <s v="17_농업전문지"/>
    <n v="8"/>
    <d v="2019-09-11T00:00:00"/>
  </r>
  <r>
    <n v="3956"/>
    <s v="8_국립축산과학원"/>
    <s v="0_본원"/>
    <x v="11"/>
    <s v="문규철"/>
    <m/>
    <s v="태풍에 쓰러진 벼 세우는 손길들"/>
    <s v="국민일보"/>
    <d v="2019-09-11T00:00:00"/>
    <n v="15"/>
    <s v="07_중앙일간지"/>
    <n v="5"/>
    <d v="2019-09-11T00:00:00"/>
  </r>
  <r>
    <n v="3957"/>
    <s v="8_국립축산과학원"/>
    <s v="0_본원"/>
    <x v="11"/>
    <s v="문규철"/>
    <m/>
    <s v="한 포기라도 더... 태풍 피해 복구 돕는 국립축산과학원 직원들"/>
    <s v="서울신문"/>
    <d v="2019-09-10T00:00:00"/>
    <m/>
    <s v="07_중앙일간지"/>
    <n v="5"/>
    <d v="2019-09-11T00:00:00"/>
  </r>
  <r>
    <n v="3958"/>
    <s v="8_국립축산과학원"/>
    <s v="0_본원"/>
    <x v="11"/>
    <s v="문규철"/>
    <m/>
    <s v="태풍 피해 농가 돕는 농진청 직원들"/>
    <s v="연합뉴스"/>
    <d v="2019-09-10T00:00:00"/>
    <m/>
    <s v="07_중앙일간지"/>
    <n v="5"/>
    <d v="2019-09-11T00:00:00"/>
  </r>
  <r>
    <n v="3959"/>
    <s v="8_국립축산과학원"/>
    <s v="0_본원"/>
    <x v="11"/>
    <s v="문규철"/>
    <m/>
    <s v="태풍 링링의 흔적"/>
    <s v="뉴시스"/>
    <d v="2019-09-10T00:00:00"/>
    <m/>
    <s v="07_중앙일간지"/>
    <n v="5"/>
    <d v="2019-09-11T00:00:00"/>
  </r>
  <r>
    <n v="3960"/>
    <s v="8_국립축산과학원"/>
    <s v="0_본원"/>
    <x v="11"/>
    <s v="문규철"/>
    <m/>
    <s v="농촌진흥청, 태풍 피해 농가 일손돕기"/>
    <s v="뉴스1"/>
    <d v="2019-09-10T00:00:00"/>
    <m/>
    <s v="07_중앙일간지"/>
    <n v="5"/>
    <d v="2019-09-11T00:00:00"/>
  </r>
  <r>
    <n v="3961"/>
    <s v="8_국립축산과학원"/>
    <s v="1_축산생명환경부"/>
    <x v="5"/>
    <s v="조수현"/>
    <s v="보도자료84"/>
    <s v="추석 요리에 알맞은 소고기 부위는 무엇?"/>
    <s v="파이낸셜뉴스"/>
    <d v="2019-09-10T00:00:00"/>
    <m/>
    <s v="07_중앙일간지"/>
    <n v="5"/>
    <d v="2019-09-11T00:00:00"/>
  </r>
  <r>
    <n v="3962"/>
    <s v="8_국립축산과학원"/>
    <s v="1_축산생명환경부"/>
    <x v="5"/>
    <s v="조수현"/>
    <s v="보도자료84"/>
    <s v="추석, 요리에 맞는 소고기 부위 고르세요"/>
    <s v="서울신문"/>
    <d v="2019-09-10T00:00:00"/>
    <m/>
    <s v="07_중앙일간지"/>
    <n v="5"/>
    <d v="2019-09-11T00:00:00"/>
  </r>
  <r>
    <n v="3963"/>
    <s v="8_국립축산과학원"/>
    <s v="0_본원"/>
    <x v="4"/>
    <s v="차재범"/>
    <s v="보도자료74"/>
    <s v="소비자 입맛 잡은 우리맛닭, 생산 기반 확대 나선다"/>
    <s v="네이버팜"/>
    <d v="2019-08-08T00:00:00"/>
    <m/>
    <s v="25_네이버팜(텍스트 콘텐츠 포스팅)"/>
    <n v="3"/>
    <d v="2019-09-11T00:00:00"/>
  </r>
  <r>
    <n v="3964"/>
    <s v="8_국립축산과학원"/>
    <s v="1_축산생명환경부"/>
    <x v="16"/>
    <s v="채한화"/>
    <m/>
    <s v="검은닭=오골계? 오골계는 사실 00색, 토종 오계와는 달라요"/>
    <s v="네이버팜"/>
    <d v="2019-08-11T00:00:00"/>
    <m/>
    <s v="25_네이버팜(텍스트 콘텐츠 포스팅)"/>
    <n v="3"/>
    <d v="2019-09-11T00:00:00"/>
  </r>
  <r>
    <n v="3965"/>
    <s v="8_국립축산과학원"/>
    <s v="0_본원"/>
    <x v="14"/>
    <s v="권응기"/>
    <s v="보도자료73"/>
    <s v="사람도 소도 더운 여름 꼼꼼한 관리로 더위를 이겨내요"/>
    <s v="네이버팜"/>
    <d v="2019-08-14T00:00:00"/>
    <m/>
    <s v="25_네이버팜(텍스트 콘텐츠 포스팅)"/>
    <n v="3"/>
    <d v="2019-09-11T00:00:00"/>
  </r>
  <r>
    <n v="3966"/>
    <s v="8_국립축산과학원"/>
    <s v="2_축산자원개발부"/>
    <x v="8"/>
    <s v="박미나"/>
    <m/>
    <s v="농협 한우개량사업소, ‘한우 보증씨수소 선발증서 교부식’ 열어"/>
    <s v="한국영농신문"/>
    <d v="2019-09-09T00:00:00"/>
    <n v="3"/>
    <s v="09_농업전문지"/>
    <n v="1.5"/>
    <d v="2019-09-11T00:00:00"/>
  </r>
  <r>
    <n v="3967"/>
    <s v="8_국립축산과학원"/>
    <s v="0_본원"/>
    <x v="11"/>
    <s v="문규철"/>
    <s v="보도자료81"/>
    <s v="“우리 농축산물로 풍요로운 한가위 보내세요”"/>
    <s v="축산신문"/>
    <d v="2019-09-10T00:00:00"/>
    <n v="12"/>
    <s v="09_농업전문지"/>
    <n v="1.5"/>
    <d v="2019-09-11T00:00:00"/>
  </r>
  <r>
    <n v="3968"/>
    <s v="8_국립축산과학원"/>
    <s v="0_본원"/>
    <x v="14"/>
    <s v="조상래"/>
    <s v="보도자료82"/>
    <s v="한우농가 맞춤형 종합교육 실시"/>
    <s v="농수축산신문"/>
    <d v="2019-09-10T00:00:00"/>
    <n v="7"/>
    <s v="09_농업전문지"/>
    <n v="1.5"/>
    <d v="2019-09-11T00:00:00"/>
  </r>
  <r>
    <n v="3969"/>
    <s v="8_국립축산과학원"/>
    <s v="0_본원"/>
    <x v="13"/>
    <s v="김근영"/>
    <s v="보도자료78"/>
    <s v="면역력 떨어지는 환절기 가축 건강 챙기세요"/>
    <s v="축산신문"/>
    <d v="2019-09-10T00:00:00"/>
    <n v="16"/>
    <s v="09_농업전문지"/>
    <n v="1.5"/>
    <d v="2019-09-11T00:00:00"/>
  </r>
  <r>
    <n v="3970"/>
    <s v="8_국립축산과학원"/>
    <s v="2_축산자원개발부"/>
    <x v="0"/>
    <s v="문홍길"/>
    <m/>
    <s v="돼지 지제 개량 도모한다"/>
    <s v="축산신문"/>
    <d v="2019-09-10T00:00:00"/>
    <n v="6"/>
    <s v="09_농업전문지"/>
    <n v="1.5"/>
    <d v="2019-09-11T00:00:00"/>
  </r>
  <r>
    <n v="3971"/>
    <s v="8_국립축산과학원"/>
    <s v="2_축산자원개발부"/>
    <x v="12"/>
    <s v="김태일"/>
    <m/>
    <s v="5G·100세 시대에 맞는 한우산업은?"/>
    <s v="축산신문"/>
    <d v="2019-09-10T00:00:00"/>
    <n v="12"/>
    <s v="09_농업전문지"/>
    <n v="1.5"/>
    <d v="2019-09-11T00:00:00"/>
  </r>
  <r>
    <n v="3972"/>
    <s v="8_국립축산과학원"/>
    <s v="2_축산자원개발부"/>
    <x v="8"/>
    <s v="박미나"/>
    <m/>
    <s v="5G·100세 시대에 맞는 한우산업은?"/>
    <s v="축산신문"/>
    <d v="2019-09-10T00:00:00"/>
    <n v="12"/>
    <s v="09_농업전문지"/>
    <n v="1.5"/>
    <d v="2019-09-11T00:00:00"/>
  </r>
  <r>
    <n v="3973"/>
    <s v="8_국립축산과학원"/>
    <s v="1_축산생명환경부"/>
    <x v="5"/>
    <s v="조수현"/>
    <s v="보도자료84"/>
    <s v="추석, 요리에 맞는 소고기 부위 고르세요"/>
    <s v="대한급식신문"/>
    <d v="2019-09-10T00:00:00"/>
    <m/>
    <s v="09_농업전문지"/>
    <n v="1.5"/>
    <d v="2019-09-11T00:00:00"/>
  </r>
  <r>
    <n v="3974"/>
    <s v="8_국립축산과학원"/>
    <s v="0_본원"/>
    <x v="4"/>
    <s v="차재범"/>
    <s v="보도자료83"/>
    <s v="‘구구데이’엔 신선한 달걀 찾아볼까"/>
    <s v="삼남일보"/>
    <d v="2019-09-09T00:00:00"/>
    <n v="5"/>
    <s v="09_지방일간지"/>
    <n v="1.5"/>
    <d v="2019-09-11T00:00:00"/>
  </r>
  <r>
    <n v="3975"/>
    <s v="8_국립축산과학원"/>
    <s v="1_축산생명환경부"/>
    <x v="1"/>
    <s v="박응우"/>
    <m/>
    <s v="치매유발 유전자 발현 복제돼지 생산기술 美특허 획득"/>
    <s v="제주매일"/>
    <d v="2019-09-10T00:00:00"/>
    <n v="1"/>
    <s v="09_지방일간지"/>
    <n v="1.5"/>
    <d v="2019-09-11T00:00:00"/>
  </r>
  <r>
    <n v="3976"/>
    <s v="8_국립축산과학원"/>
    <s v="0_본원"/>
    <x v="2"/>
    <s v="전익수"/>
    <m/>
    <s v="내고향에선 지금…함평-국립축산과학원 이전 속도전"/>
    <s v="남도일보"/>
    <d v="2019-09-10T00:00:00"/>
    <m/>
    <s v="09_지방일간지"/>
    <n v="1.5"/>
    <d v="2019-09-11T00:00:00"/>
  </r>
  <r>
    <n v="3977"/>
    <s v="8_국립축산과학원"/>
    <s v="1_축산생명환경부"/>
    <x v="5"/>
    <s v="조수현"/>
    <s v="보도자료84"/>
    <s v="추석, 요리에 맞는 소고기 부위 고르세요"/>
    <s v="전북도민일보"/>
    <d v="2019-09-10T00:00:00"/>
    <m/>
    <s v="09_지방일간지"/>
    <n v="1.5"/>
    <d v="2019-09-11T00:00:00"/>
  </r>
  <r>
    <n v="3978"/>
    <s v="8_국립축산과학원"/>
    <s v="1_축산생명환경부"/>
    <x v="5"/>
    <s v="조수현"/>
    <s v="보도자료84"/>
    <s v="추석요리에 맞는 소고기 부위는?"/>
    <s v="식약일보"/>
    <d v="2019-09-10T00:00:00"/>
    <m/>
    <s v="10_기타전문지"/>
    <n v="1"/>
    <d v="2019-09-11T00:00:00"/>
  </r>
  <r>
    <n v="3979"/>
    <s v="8_국립축산과학원"/>
    <s v="1_축산생명환경부"/>
    <x v="5"/>
    <s v="조수현"/>
    <s v="보도자료84"/>
    <s v="추석, 요리에 맞는 소고기 부위 고르세요"/>
    <s v="로컬세계"/>
    <d v="2019-09-11T00:00:00"/>
    <m/>
    <s v="13_인터넷포털"/>
    <n v="0.1"/>
    <d v="2019-09-11T00:00:00"/>
  </r>
  <r>
    <n v="3980"/>
    <s v="8_국립축산과학원"/>
    <s v="1_축산생명환경부"/>
    <x v="5"/>
    <s v="조수현"/>
    <s v="보도자료84"/>
    <s v="농진청, 추석 요리에 알맞은 소고기 고르는 요령과 보관 방법 소개"/>
    <s v="농업경제신문"/>
    <d v="2019-09-11T00:00:00"/>
    <m/>
    <s v="13_인터넷포털"/>
    <n v="0.1"/>
    <d v="2019-09-11T00:00:00"/>
  </r>
  <r>
    <n v="3981"/>
    <s v="8_국립축산과학원"/>
    <s v="1_축산생명환경부"/>
    <x v="5"/>
    <s v="조수현"/>
    <s v="보도자료84"/>
    <s v="갈비찜엔 지방·힘줄 적은 부위... 소고기 선택 이렇게(뉴스17)"/>
    <s v="연합뉴스TV"/>
    <d v="2019-09-12T00:00:00"/>
    <m/>
    <s v="02_TV-케이블중앙"/>
    <n v="4"/>
    <d v="2019-09-16T00:00:00"/>
  </r>
  <r>
    <n v="3982"/>
    <s v="8_국립축산과학원"/>
    <s v="0_본원"/>
    <x v="11"/>
    <s v="문규철"/>
    <m/>
    <s v="강풍에 쓰러진 벼 세우기"/>
    <s v="전국매일신문"/>
    <d v="2019-09-11T00:00:00"/>
    <n v="14"/>
    <s v="08_기타일간지"/>
    <n v="2"/>
    <d v="2019-09-16T00:00:00"/>
  </r>
  <r>
    <n v="3983"/>
    <s v="8_국립축산과학원"/>
    <s v="2_축산자원개발부"/>
    <x v="6"/>
    <s v="김원호"/>
    <m/>
    <s v="장흥군, 목초 신품종으로 ‘수입 종자’ 대체"/>
    <s v="신아일보"/>
    <d v="2019-09-16T00:00:00"/>
    <m/>
    <s v="08_기타일간지"/>
    <n v="2"/>
    <d v="2019-09-16T00:00:00"/>
  </r>
  <r>
    <n v="3984"/>
    <s v="8_국립축산과학원"/>
    <s v="2_축산자원개발부"/>
    <x v="6"/>
    <s v="김원호"/>
    <m/>
    <s v="장흥군, 목초 신품종으로 ‘수입 종자’ 대체"/>
    <s v="에너지경제"/>
    <d v="2019-09-16T00:00:00"/>
    <m/>
    <s v="08_기타일간지"/>
    <n v="2"/>
    <d v="2019-09-16T00:00:00"/>
  </r>
  <r>
    <n v="3985"/>
    <s v="8_국립축산과학원"/>
    <s v="2_축산자원개발부"/>
    <x v="6"/>
    <s v="김원호"/>
    <m/>
    <s v="장흥군, 목초 신품종으로 ‘수입 종자’ 생산 노력"/>
    <s v="매일일보"/>
    <d v="2019-09-16T00:00:00"/>
    <m/>
    <s v="08_기타일간지"/>
    <n v="2"/>
    <d v="2019-09-16T00:00:00"/>
  </r>
  <r>
    <n v="3986"/>
    <s v="8_국립축산과학원"/>
    <s v="0_본원"/>
    <x v="4"/>
    <s v="김현수"/>
    <s v="보도자료79"/>
    <s v="LG유플러스와 ‘스마트축산 활성화’ 앞장"/>
    <s v="농축환경신문"/>
    <d v="2019-09-05T00:00:00"/>
    <n v="3"/>
    <s v="09_농업전문지"/>
    <n v="1.5"/>
    <d v="2019-09-16T00:00:00"/>
  </r>
  <r>
    <n v="3987"/>
    <s v="8_국립축산과학원"/>
    <s v="0_본원"/>
    <x v="13"/>
    <s v="박현경"/>
    <m/>
    <s v="축사 주변 고인 물 없애고 사료 관리 철저해야"/>
    <s v="농민신문"/>
    <d v="2019-09-11T00:00:00"/>
    <n v="7"/>
    <s v="09_농업전문지"/>
    <n v="1.5"/>
    <d v="2019-09-16T00:00:00"/>
  </r>
  <r>
    <n v="3988"/>
    <s v="8_국립축산과학원"/>
    <s v="2_축산자원개발부"/>
    <x v="8"/>
    <s v="박미나"/>
    <m/>
    <s v="‘한우 보증씨수소 선발증서 교부식’ 개최"/>
    <s v="농축환경신문"/>
    <d v="2019-09-05T00:00:00"/>
    <n v="4"/>
    <s v="09_농업전문지"/>
    <n v="1.5"/>
    <d v="2019-09-16T00:00:00"/>
  </r>
  <r>
    <n v="3989"/>
    <s v="8_국립축산과학원"/>
    <s v="1_축산생명환경부"/>
    <x v="5"/>
    <s v="조수현"/>
    <s v="보도자료84"/>
    <s v="명절 요리에 맞는 소고기 부위 따로 있다?"/>
    <s v="한국영농신문"/>
    <d v="2019-09-12T00:00:00"/>
    <m/>
    <s v="09_농업전문지"/>
    <n v="1.5"/>
    <d v="2019-09-16T00:00:00"/>
  </r>
  <r>
    <n v="3990"/>
    <s v="8_국립축산과학원"/>
    <s v="0_본원"/>
    <x v="11"/>
    <s v="문규철"/>
    <m/>
    <s v="태풍 링링의 흔적"/>
    <s v="전주매일"/>
    <d v="2019-09-11T00:00:00"/>
    <n v="1"/>
    <s v="09_지방일간지"/>
    <n v="1.5"/>
    <d v="2019-09-16T00:00:00"/>
  </r>
  <r>
    <n v="3991"/>
    <s v="8_국립축산과학원"/>
    <s v="0_본원"/>
    <x v="11"/>
    <s v="문규철"/>
    <m/>
    <s v="태풍 피해 일손돕기"/>
    <s v="전민일보"/>
    <d v="2019-09-11T00:00:00"/>
    <n v="2"/>
    <s v="09_지방일간지"/>
    <n v="1.5"/>
    <d v="2019-09-16T00:00:00"/>
  </r>
  <r>
    <n v="3992"/>
    <s v="8_국립축산과학원"/>
    <s v="1_축산생명환경부"/>
    <x v="5"/>
    <s v="조수현"/>
    <s v="보도자료84"/>
    <s v="농진청 “추석, 요리에 맞는 소고기 부위 고르세요”"/>
    <s v="전민일보"/>
    <d v="2019-09-11T00:00:00"/>
    <n v="5"/>
    <s v="09_지방일간지"/>
    <n v="1.5"/>
    <d v="2019-09-16T00:00:00"/>
  </r>
  <r>
    <n v="3993"/>
    <s v="8_국립축산과학원"/>
    <s v="1_축산생명환경부"/>
    <x v="5"/>
    <s v="조수현"/>
    <s v="보도자료84"/>
    <s v="“추석 음식, 알맞은 소고기 부위 고르세요”"/>
    <s v="경남일보"/>
    <d v="2019-09-11T00:00:00"/>
    <n v="9"/>
    <s v="09_지방일간지"/>
    <n v="1.5"/>
    <d v="2019-09-16T00:00:00"/>
  </r>
  <r>
    <n v="3994"/>
    <s v="8_국립축산과학원"/>
    <s v="1_축산생명환경부"/>
    <x v="5"/>
    <s v="조수현"/>
    <s v="보도자료84"/>
    <s v="앞다리살·설깃살·참갈비 등 명절 맞춤 부위"/>
    <s v="광주매일신문"/>
    <d v="2019-09-11T00:00:00"/>
    <n v="14"/>
    <s v="09_지방일간지"/>
    <n v="1.5"/>
    <d v="2019-09-16T00:00:00"/>
  </r>
  <r>
    <n v="3995"/>
    <s v="8_국립축산과학원"/>
    <s v="2_축산자원개발부"/>
    <x v="6"/>
    <s v="김원호"/>
    <m/>
    <s v="장흥군, 목초 신품종으로 ‘수입 종자’ 대체"/>
    <s v="무등일보"/>
    <d v="2019-09-16T00:00:00"/>
    <m/>
    <s v="09_지방일간지"/>
    <n v="1.5"/>
    <d v="2019-09-16T00:00:00"/>
  </r>
  <r>
    <n v="3996"/>
    <s v="8_국립축산과학원"/>
    <s v="2_축산자원개발부"/>
    <x v="6"/>
    <s v="김원호"/>
    <m/>
    <s v="장흥군, 목초 신품종으로 ‘수입 종자’ 대체"/>
    <s v="일요서울"/>
    <d v="2019-09-16T00:00:00"/>
    <m/>
    <s v="10_주간지"/>
    <n v="1"/>
    <d v="2019-09-16T00:00:00"/>
  </r>
  <r>
    <n v="3997"/>
    <s v="8_국립축산과학원"/>
    <s v="2_축산자원개발부"/>
    <x v="0"/>
    <s v="문홍길"/>
    <m/>
    <s v="청정축산으로 시작되는 김천의 미래 100년"/>
    <s v="세계타임즈"/>
    <d v="2019-09-13T00:00:00"/>
    <m/>
    <s v="11_기타(지역주간지)"/>
    <n v="0.5"/>
    <d v="2019-09-16T00:00:00"/>
  </r>
  <r>
    <n v="3998"/>
    <s v="8_국립축산과학원"/>
    <s v="2_축산자원개발부"/>
    <x v="0"/>
    <s v="문홍길"/>
    <m/>
    <s v="청정 축산으로 시작되는 경북 김천의 미래 100년"/>
    <s v="브릿지경제"/>
    <d v="2019-09-15T00:00:00"/>
    <m/>
    <s v="11_기타(지역주간지)"/>
    <n v="0.5"/>
    <d v="2019-09-16T00:00:00"/>
  </r>
  <r>
    <n v="3999"/>
    <s v="8_국립축산과학원"/>
    <s v="2_축산자원개발부"/>
    <x v="6"/>
    <s v="김원호"/>
    <m/>
    <s v="장흥군, 목초 신품종으로 ‘수입 종자’ 대체"/>
    <s v="뉴스핌"/>
    <d v="2019-09-16T00:00:00"/>
    <m/>
    <s v="11_기타(지역주간지)"/>
    <n v="0.5"/>
    <d v="2019-09-16T00:00:00"/>
  </r>
  <r>
    <n v="4000"/>
    <s v="8_국립축산과학원"/>
    <s v="2_축산자원개발부"/>
    <x v="6"/>
    <s v="김원호"/>
    <m/>
    <s v="장흥군, 목초 신품종으로 ‘수입 종자’ 대체"/>
    <s v="브릿지경제"/>
    <d v="2019-09-16T00:00:00"/>
    <m/>
    <s v="11_기타(지역주간지)"/>
    <n v="0.5"/>
    <d v="2019-09-16T00:00:00"/>
  </r>
  <r>
    <n v="4001"/>
    <s v="8_국립축산과학원"/>
    <s v="1_축산생명환경부"/>
    <x v="5"/>
    <s v="조수현"/>
    <s v="보도자료84"/>
    <s v="추석요리에 맞는 소고기 부위 고르려면…"/>
    <s v="데일리안"/>
    <d v="2019-09-11T00:00:00"/>
    <m/>
    <s v="13_인터넷포털"/>
    <n v="0.1"/>
    <d v="2019-09-16T00:00:00"/>
  </r>
  <r>
    <n v="4002"/>
    <s v="8_국립축산과학원"/>
    <s v="2_축산자원개발부"/>
    <x v="0"/>
    <s v="문홍길"/>
    <m/>
    <s v="청정축산으로 시작되는 김천의 미래 100년"/>
    <s v="한국공보뉴스"/>
    <d v="2019-09-11T00:00:00"/>
    <m/>
    <s v="13_인터넷포털"/>
    <n v="0.1"/>
    <d v="2019-09-16T00:00:00"/>
  </r>
  <r>
    <n v="4003"/>
    <s v="8_국립축산과학원"/>
    <s v="2_축산자원개발부"/>
    <x v="0"/>
    <s v="문홍길"/>
    <m/>
    <s v="청정축산으로 시작되는 김천의 미래 100년"/>
    <s v="경북TV뉴스"/>
    <d v="2019-09-11T00:00:00"/>
    <m/>
    <s v="13_인터넷포털"/>
    <n v="0.1"/>
    <d v="2019-09-16T00:00:00"/>
  </r>
  <r>
    <n v="4004"/>
    <s v="8_국립축산과학원"/>
    <s v="2_축산자원개발부"/>
    <x v="0"/>
    <s v="문홍길"/>
    <m/>
    <s v="청정축산으로 시작되는 김천의 미래 100년"/>
    <s v="구미뉴스"/>
    <d v="2019-09-11T00:00:00"/>
    <m/>
    <s v="13_인터넷포털"/>
    <n v="0.1"/>
    <d v="2019-09-16T00:00:00"/>
  </r>
  <r>
    <n v="4005"/>
    <s v="8_국립축산과학원"/>
    <s v="1_축산생명환경부"/>
    <x v="5"/>
    <s v="조수현"/>
    <s v="보도자료84"/>
    <s v="추석 요리용 소고기 고르는 법...올바른 보관 방법은?"/>
    <s v="뉴스웍스"/>
    <d v="2019-09-12T00:00:00"/>
    <m/>
    <s v="13_인터넷포털"/>
    <n v="0.1"/>
    <d v="2019-09-16T00:00:00"/>
  </r>
  <r>
    <n v="4006"/>
    <s v="8_국립축산과학원"/>
    <s v="2_축산자원개발부"/>
    <x v="0"/>
    <s v="문홍길"/>
    <m/>
    <s v="청정축산으로 시작되는 김천의 미래 100년"/>
    <s v="영남타임즈"/>
    <d v="2019-09-12T00:00:00"/>
    <m/>
    <s v="13_인터넷포털"/>
    <n v="0.1"/>
    <d v="2019-09-16T00:00:00"/>
  </r>
  <r>
    <n v="4007"/>
    <s v="8_국립축산과학원"/>
    <s v="2_축산자원개발부"/>
    <x v="0"/>
    <s v="문홍길"/>
    <m/>
    <s v="김천시 “청정축산으로 김천의 100년 미래 만든다”"/>
    <s v="포커스데일리"/>
    <d v="2019-09-12T00:00:00"/>
    <m/>
    <s v="13_인터넷포털"/>
    <n v="0.1"/>
    <d v="2019-09-16T00:00:00"/>
  </r>
  <r>
    <n v="4008"/>
    <s v="8_국립축산과학원"/>
    <s v="1_축산생명환경부"/>
    <x v="5"/>
    <s v="조수현"/>
    <s v="보도자료84"/>
    <s v="추석 차례상, 소고기 고르는 법과 보관 요령"/>
    <s v="오가닉라이프"/>
    <d v="2019-09-12T00:00:00"/>
    <m/>
    <s v="13_인터넷포털"/>
    <n v="0.1"/>
    <d v="2019-09-16T00:00:00"/>
  </r>
  <r>
    <n v="4009"/>
    <s v="8_국립축산과학원"/>
    <s v="2_축산자원개발부"/>
    <x v="0"/>
    <s v="문홍길"/>
    <m/>
    <s v="김천시, 청정축산으로 시작되는 김천의 미래 100년"/>
    <s v="프라임경북뉴스"/>
    <d v="2019-09-12T00:00:00"/>
    <m/>
    <s v="13_인터넷포털"/>
    <n v="0.1"/>
    <d v="2019-09-16T00:00:00"/>
  </r>
  <r>
    <n v="4010"/>
    <s v="8_국립축산과학원"/>
    <s v="1_축산생명환경부"/>
    <x v="5"/>
    <s v="조수현"/>
    <s v="보도자료84"/>
    <s v="추석 요리, 남은 소고기 보관법"/>
    <s v="퀸"/>
    <d v="2019-09-13T00:00:00"/>
    <m/>
    <s v="13_인터넷포털"/>
    <n v="0.1"/>
    <d v="2019-09-16T00:00:00"/>
  </r>
  <r>
    <n v="4011"/>
    <s v="8_국립축산과학원"/>
    <s v="2_축산자원개발부"/>
    <x v="0"/>
    <s v="문홍길"/>
    <m/>
    <s v="청정축산으로 시작되는 김천의 미래 100년"/>
    <s v="GBN경북방송"/>
    <d v="2019-09-16T00:00:00"/>
    <m/>
    <s v="13_인터넷포털"/>
    <n v="0.1"/>
    <d v="2019-09-16T00:00:00"/>
  </r>
  <r>
    <n v="4012"/>
    <s v="8_국립축산과학원"/>
    <s v="2_축산자원개발부"/>
    <x v="6"/>
    <s v="김원호"/>
    <m/>
    <s v="장흥군, 목초 신품종으로 ‘수입종자’ 대체"/>
    <s v="톡톡뉴스"/>
    <d v="2019-09-16T00:00:00"/>
    <m/>
    <s v="13_인터넷포털"/>
    <n v="0.1"/>
    <d v="2019-09-16T00:00:00"/>
  </r>
  <r>
    <n v="4013"/>
    <s v="8_국립축산과학원"/>
    <s v="2_축산자원개발부"/>
    <x v="6"/>
    <s v="김원호"/>
    <m/>
    <s v="장흥군, 목초 신품종으로 ‘수입 종자’ 대체"/>
    <s v="전라닷컴"/>
    <d v="2019-09-16T00:00:00"/>
    <m/>
    <s v="13_인터넷포털"/>
    <n v="0.1"/>
    <d v="2019-09-16T00:00:00"/>
  </r>
  <r>
    <n v="4014"/>
    <s v="8_국립축산과학원"/>
    <s v="2_축산자원개발부"/>
    <x v="6"/>
    <s v="김원호"/>
    <m/>
    <s v="장흥군, 목초 신품종으로 ‘수입 종자’ 대체"/>
    <s v="위키트리"/>
    <d v="2019-09-16T00:00:00"/>
    <m/>
    <s v="13_인터넷포털"/>
    <n v="0.1"/>
    <d v="2019-09-16T00:00:00"/>
  </r>
  <r>
    <n v="4015"/>
    <s v="8_국립축산과학원"/>
    <s v="2_축산자원개발부"/>
    <x v="6"/>
    <s v="김원호"/>
    <m/>
    <s v="장흥군, 목초 신품종으로 ‘수입 종자’ 대체"/>
    <s v="NSP통신"/>
    <d v="2019-09-16T00:00:00"/>
    <m/>
    <s v="13_인터넷포털"/>
    <n v="0.1"/>
    <d v="2019-09-16T00:00:00"/>
  </r>
  <r>
    <n v="4016"/>
    <s v="8_국립축산과학원"/>
    <s v="2_축산자원개발부"/>
    <x v="6"/>
    <s v="김원호"/>
    <m/>
    <s v="장흥군, 목초 신품종으로 ‘수입 종자’ 대체"/>
    <s v="뉴스워커"/>
    <d v="2019-09-16T00:00:00"/>
    <m/>
    <s v="13_인터넷포털"/>
    <n v="0.1"/>
    <d v="2019-09-16T00:00:00"/>
  </r>
  <r>
    <n v="4017"/>
    <s v="8_국립축산과학원"/>
    <s v="2_축산자원개발부"/>
    <x v="6"/>
    <s v="김원호"/>
    <m/>
    <s v="장흥군, 목초 신품종으로 ‘수입 종자’ 대체"/>
    <s v="전남인터넷신문"/>
    <d v="2019-09-16T00:00:00"/>
    <m/>
    <s v="13_인터넷포털"/>
    <n v="0.1"/>
    <d v="2019-09-16T00:00:00"/>
  </r>
  <r>
    <n v="4018"/>
    <s v="8_국립축산과학원"/>
    <s v="2_축산자원개발부"/>
    <x v="6"/>
    <s v="김원호"/>
    <m/>
    <s v="장흥군, 적응성 높은 ‘이탈리안 라이그라스’ 신품종 보급"/>
    <s v="뉴스1"/>
    <d v="2019-09-16T00:00:00"/>
    <m/>
    <s v="07_중앙일간지"/>
    <n v="5"/>
    <d v="2019-09-17T00:00:00"/>
  </r>
  <r>
    <n v="4019"/>
    <s v="8_국립축산과학원"/>
    <s v="2_축산자원개발부"/>
    <x v="6"/>
    <s v="김원호"/>
    <m/>
    <s v="장흥군, 목초 신품종으로 ‘수입 종자’ 대체"/>
    <s v="아시아뉴스통신"/>
    <d v="2019-09-16T00:00:00"/>
    <m/>
    <s v="07_중앙일간지"/>
    <n v="5"/>
    <d v="2019-09-17T00:00:00"/>
  </r>
  <r>
    <n v="4020"/>
    <s v="8_국립축산과학원"/>
    <s v="2_축산자원개발부"/>
    <x v="6"/>
    <s v="김원호"/>
    <m/>
    <s v="장흥군, 조사료 안정적 생산 온힘"/>
    <s v="서울일보"/>
    <d v="2019-09-16T00:00:00"/>
    <m/>
    <s v="08_기타일간지"/>
    <n v="2"/>
    <d v="2019-09-17T00:00:00"/>
  </r>
  <r>
    <n v="4021"/>
    <s v="8_국립축산과학원"/>
    <s v="2_축산자원개발부"/>
    <x v="6"/>
    <s v="김원호"/>
    <m/>
    <s v="장흥군, 양질의 조사료 안정적 생산 노력 기울여"/>
    <s v="천지일보"/>
    <d v="2019-09-16T00:00:00"/>
    <m/>
    <s v="08_기타일간지"/>
    <n v="2"/>
    <d v="2019-09-17T00:00:00"/>
  </r>
  <r>
    <n v="4022"/>
    <s v="8_국립축산과학원"/>
    <s v="0_본원"/>
    <x v="4"/>
    <s v="김현수"/>
    <s v="보도자료79"/>
    <s v="축과원, LGU+와 스마트 축산 활성화 맞손"/>
    <s v="한국농기계신문"/>
    <d v="2019-09-15T00:00:00"/>
    <n v="9"/>
    <s v="09_농업전문지"/>
    <n v="1.5"/>
    <d v="2019-09-17T00:00:00"/>
  </r>
  <r>
    <n v="4023"/>
    <s v="8_국립축산과학원"/>
    <s v="2_축산자원개발부"/>
    <x v="6"/>
    <s v="김원호"/>
    <m/>
    <s v="장흥군, 목초 신품종으로 ‘수입 종자’ 대체"/>
    <s v="선경일보"/>
    <d v="2019-09-16T00:00:00"/>
    <m/>
    <s v="09_지방일간지"/>
    <n v="1.5"/>
    <d v="2019-09-17T00:00:00"/>
  </r>
  <r>
    <n v="4024"/>
    <s v="8_국립축산과학원"/>
    <s v="2_축산자원개발부"/>
    <x v="6"/>
    <s v="김원호"/>
    <m/>
    <s v="장흥군, 목초 신품종으로 ‘수입 종자’ 대체"/>
    <s v="내외일보"/>
    <d v="2019-09-16T00:00:00"/>
    <m/>
    <s v="09_지방일간지"/>
    <n v="1.5"/>
    <d v="2019-09-17T00:00:00"/>
  </r>
  <r>
    <n v="4025"/>
    <s v="8_국립축산과학원"/>
    <s v="2_축산자원개발부"/>
    <x v="6"/>
    <s v="김원호"/>
    <m/>
    <s v="장흥군, 목초 신품종으로 ‘수입 종자’ 대체"/>
    <s v="시대일보"/>
    <d v="2019-09-16T00:00:00"/>
    <m/>
    <s v="09_지방일간지"/>
    <n v="1.5"/>
    <d v="2019-09-17T00:00:00"/>
  </r>
  <r>
    <n v="4026"/>
    <s v="8_국립축산과학원"/>
    <s v="2_축산자원개발부"/>
    <x v="6"/>
    <s v="김원호"/>
    <m/>
    <s v="장흥군, 목초 신품종으로 수입종자 대체"/>
    <s v="시민일보"/>
    <d v="2019-09-16T00:00:00"/>
    <m/>
    <s v="09_지방일간지"/>
    <n v="1.5"/>
    <d v="2019-09-17T00:00:00"/>
  </r>
  <r>
    <n v="4027"/>
    <s v="8_국립축산과학원"/>
    <s v="2_축산자원개발부"/>
    <x v="0"/>
    <s v="문홍길"/>
    <m/>
    <s v="김천시, 축산과 신설 “청정축산 기반으로 축산 부흥 미래 기틀 마련”"/>
    <s v="경북신문"/>
    <d v="2019-09-16T00:00:00"/>
    <m/>
    <s v="09_지방일간지"/>
    <n v="1.5"/>
    <d v="2019-09-17T00:00:00"/>
  </r>
  <r>
    <n v="4028"/>
    <s v="8_국립축산과학원"/>
    <s v="0_본원"/>
    <x v="4"/>
    <s v="차재범"/>
    <s v="보도자료83"/>
    <s v="“신선란 알고 먹자”…농진청, ‘구구데이’ 달걀 정보 소개"/>
    <s v="국제신문"/>
    <d v="2019-09-08T00:00:00"/>
    <m/>
    <s v="09_지방일간지"/>
    <n v="1.5"/>
    <d v="2019-09-17T00:00:00"/>
  </r>
  <r>
    <n v="4029"/>
    <s v="8_국립축산과학원"/>
    <s v="0_본원"/>
    <x v="4"/>
    <s v="차재범"/>
    <s v="보도자료83"/>
    <s v="‘구구데이’엔 신선한 달걀 찾아볼까"/>
    <s v="정책브리핑"/>
    <d v="2019-09-09T00:00:00"/>
    <m/>
    <s v="12_대한민국 정책포털(korea.kr)"/>
    <n v="1"/>
    <d v="2019-09-17T00:00:00"/>
  </r>
  <r>
    <n v="4030"/>
    <s v="8_국립축산과학원"/>
    <s v="2_축산자원개발부"/>
    <x v="6"/>
    <s v="김원호"/>
    <m/>
    <s v="전남 장흥군, 목초 신품종으로 ‘수입 종자’ 대체"/>
    <s v="충청리뷰"/>
    <d v="2019-09-16T00:00:00"/>
    <m/>
    <s v="11_기타(지역주간지)"/>
    <n v="0.5"/>
    <d v="2019-09-17T00:00:00"/>
  </r>
  <r>
    <n v="4031"/>
    <s v="8_국립축산과학원"/>
    <s v="2_축산자원개발부"/>
    <x v="6"/>
    <s v="김원호"/>
    <m/>
    <s v="장흥군, 목초 신품종으로 ‘수입 종자’ 대체"/>
    <s v="케이에스피뉴스"/>
    <d v="2019-09-16T00:00:00"/>
    <m/>
    <s v="13_인터넷포털"/>
    <n v="0.1"/>
    <d v="2019-09-17T00:00:00"/>
  </r>
  <r>
    <n v="4032"/>
    <s v="8_국립축산과학원"/>
    <s v="2_축산자원개발부"/>
    <x v="6"/>
    <s v="김원호"/>
    <m/>
    <s v="전남 장흥군, 양질 조사료 안정적 공급 박차"/>
    <s v="머니S"/>
    <d v="2019-09-16T00:00:00"/>
    <m/>
    <s v="13_인터넷포털"/>
    <n v="0.1"/>
    <d v="2019-09-17T00:00:00"/>
  </r>
  <r>
    <n v="4033"/>
    <s v="8_국립축산과학원"/>
    <s v="2_축산자원개발부"/>
    <x v="6"/>
    <s v="김원호"/>
    <m/>
    <s v="장흥군, 목초 신품종으로 ‘수입 종자’ 대체"/>
    <s v="일등방송"/>
    <d v="2019-09-16T00:00:00"/>
    <m/>
    <s v="13_인터넷포털"/>
    <n v="0.1"/>
    <d v="2019-09-17T00:00:00"/>
  </r>
  <r>
    <n v="4034"/>
    <s v="8_국립축산과학원"/>
    <s v="2_축산자원개발부"/>
    <x v="6"/>
    <s v="김원호"/>
    <m/>
    <s v="장흥군, 목초 신품종으로 ‘수입 종자’ 대체"/>
    <s v="투데이광주"/>
    <d v="2019-09-16T00:00:00"/>
    <m/>
    <s v="13_인터넷포털"/>
    <n v="0.1"/>
    <d v="2019-09-17T00:00:00"/>
  </r>
  <r>
    <n v="4035"/>
    <s v="8_국립축산과학원"/>
    <s v="2_축산자원개발부"/>
    <x v="0"/>
    <s v="문홍길"/>
    <m/>
    <s v="김천의 미래 100년, 청정축산으로 시작"/>
    <s v="표준방송FMTV"/>
    <d v="2019-09-16T00:00:00"/>
    <m/>
    <s v="13_인터넷포털"/>
    <n v="0.1"/>
    <d v="2019-09-17T00:00:00"/>
  </r>
  <r>
    <n v="4036"/>
    <s v="8_국립축산과학원"/>
    <s v="2_축산자원개발부"/>
    <x v="6"/>
    <s v="김원호"/>
    <m/>
    <s v="장흥군, 목초 신품종으로 ‘수입 종자’ 대체"/>
    <s v="NGTV"/>
    <d v="2019-09-16T00:00:00"/>
    <m/>
    <s v="13_인터넷포털"/>
    <n v="0.1"/>
    <d v="2019-09-17T00:00:00"/>
  </r>
  <r>
    <n v="4037"/>
    <s v="8_국립축산과학원"/>
    <s v="0_본원"/>
    <x v="4"/>
    <s v="차재범"/>
    <s v="보도자료83"/>
    <s v="달걀, 시력 보호·두뇌 발달 도와…껍데기 산란 정보 알면 더 안전"/>
    <s v="메디컬투데이"/>
    <d v="2019-09-08T00:00:00"/>
    <m/>
    <s v="13_인터넷포털"/>
    <n v="0.1"/>
    <d v="2019-09-17T00:00:00"/>
  </r>
  <r>
    <n v="4038"/>
    <s v="8_국립축산과학원"/>
    <s v="0_본원"/>
    <x v="4"/>
    <s v="차재범"/>
    <s v="보도자료83"/>
    <s v="신선한 달걀 알고 먹자"/>
    <s v="라이브팜뉴스"/>
    <d v="2019-09-10T00:00:00"/>
    <m/>
    <s v="13_인터넷포털"/>
    <n v="0.1"/>
    <d v="2019-09-17T00:00:00"/>
  </r>
  <r>
    <n v="4039"/>
    <s v="8_국립축산과학원"/>
    <s v="0_본원"/>
    <x v="4"/>
    <s v="차재범"/>
    <s v="보도자료83"/>
    <s v="콜레스테롤 걱정 NO, 맛있게 먹자! 신선한 달걀 선택법은?"/>
    <s v="하이닥"/>
    <d v="2019-09-09T00:00:00"/>
    <m/>
    <s v="13_인터넷포털"/>
    <n v="0.1"/>
    <d v="2019-09-17T00:00:00"/>
  </r>
  <r>
    <n v="4040"/>
    <s v="8_국립축산과학원"/>
    <s v="0_본원"/>
    <x v="4"/>
    <s v="차재범"/>
    <s v="보도자료83"/>
    <s v="농진청, 달걀의 효능과 신선도에 관한 유익한 정보 소개"/>
    <s v="KNS뉴스통신"/>
    <d v="2019-09-09T00:00:00"/>
    <m/>
    <s v="13_인터넷포털"/>
    <n v="0.1"/>
    <d v="2019-09-17T00:00:00"/>
  </r>
  <r>
    <n v="4041"/>
    <s v="8_국립축산과학원"/>
    <s v="1_축산생명환경부"/>
    <x v="5"/>
    <s v="조수현"/>
    <s v="보도자료84"/>
    <s v="추석, 요리에 맞는 소고기 부위 고르세요"/>
    <s v="미디어투데이"/>
    <d v="2019-09-10T00:00:00"/>
    <m/>
    <s v="13_인터넷포털"/>
    <n v="0.1"/>
    <d v="2019-09-17T00:00:00"/>
  </r>
  <r>
    <n v="4042"/>
    <s v="8_국립축산과학원"/>
    <s v="1_축산생명환경부"/>
    <x v="5"/>
    <s v="조수현"/>
    <s v="보도자료84"/>
    <s v="추석, 요리에 맞는 소고기 부위 고르세요"/>
    <s v="경기앤뉴스"/>
    <d v="2019-09-10T00:00:00"/>
    <m/>
    <s v="13_인터넷포털"/>
    <n v="0.1"/>
    <d v="2019-09-17T00:00:00"/>
  </r>
  <r>
    <n v="4043"/>
    <s v="8_국립축산과학원"/>
    <s v="2_축산자원개발부"/>
    <x v="8"/>
    <s v="김시동"/>
    <s v="기고"/>
    <s v="[기고] 김시동 과장-가축개량 패러다임 전환"/>
    <s v="농수축산신문"/>
    <d v="2019-09-17T00:00:00"/>
    <n v="7"/>
    <s v="17_농업전문지"/>
    <n v="8"/>
    <d v="2019-09-18T00:00:00"/>
  </r>
  <r>
    <n v="4044"/>
    <s v="8_국립축산과학원"/>
    <s v="1_축산생명환경부"/>
    <x v="9"/>
    <s v="전중환"/>
    <s v="기고"/>
    <s v="[기고] 전중환 연구사-동물복지 오리농장 인증기준"/>
    <s v="축산신문"/>
    <d v="2019-09-17T00:00:00"/>
    <n v="15"/>
    <s v="17_농업전문지"/>
    <n v="8"/>
    <d v="2019-09-18T00:00:00"/>
  </r>
  <r>
    <n v="4045"/>
    <s v="8_국립축산과학원"/>
    <s v="1_축산생명환경부"/>
    <x v="5"/>
    <s v="조수현"/>
    <s v="보도자료84"/>
    <s v="추석 요리별 소고기 부위는…"/>
    <s v="농촌여성신문"/>
    <d v="2019-09-10T00:00:00"/>
    <m/>
    <s v="09_농업전문지"/>
    <n v="1.5"/>
    <d v="2019-09-18T00:00:00"/>
  </r>
  <r>
    <n v="4046"/>
    <s v="8_국립축산과학원"/>
    <s v="1_축산생명환경부"/>
    <x v="5"/>
    <s v="조수현"/>
    <s v="보도자료84"/>
    <s v="농촌진흥청 “국·탕엔 소고기 근막있어야 감칠맛”"/>
    <s v="부산일보"/>
    <d v="2019-09-10T00:00:00"/>
    <m/>
    <s v="09_지방일간지"/>
    <n v="1.5"/>
    <d v="2019-09-18T00:00:00"/>
  </r>
  <r>
    <n v="4047"/>
    <s v="8_국립축산과학원"/>
    <s v="2_축산자원개발부"/>
    <x v="6"/>
    <s v="김원호"/>
    <m/>
    <s v="라이그라스 종자 무료 공급"/>
    <s v="서울매일"/>
    <d v="2019-09-17T00:00:00"/>
    <n v="10"/>
    <s v="09_지방일간지"/>
    <n v="1.5"/>
    <d v="2019-09-18T00:00:00"/>
  </r>
  <r>
    <n v="4048"/>
    <s v="8_국립축산과학원"/>
    <s v="2_축산자원개발부"/>
    <x v="6"/>
    <s v="김원호"/>
    <m/>
    <s v="목초 신품종으로 ‘수입 종자’ 대체"/>
    <s v="전광투데이"/>
    <d v="2019-09-17T00:00:00"/>
    <n v="8"/>
    <s v="09_지방일간지"/>
    <n v="1.5"/>
    <d v="2019-09-18T00:00:00"/>
  </r>
  <r>
    <n v="4049"/>
    <s v="8_국립축산과학원"/>
    <s v="2_축산자원개발부"/>
    <x v="6"/>
    <s v="김원호"/>
    <m/>
    <s v="장흥군, 목초 신품종으로 ‘수입 종자’ 대체"/>
    <s v="더대한일보"/>
    <d v="2019-09-17T00:00:00"/>
    <n v="6"/>
    <s v="09_지방일간지"/>
    <n v="1.5"/>
    <d v="2019-09-18T00:00:00"/>
  </r>
  <r>
    <n v="4050"/>
    <s v="8_국립축산과학원"/>
    <s v="2_축산자원개발부"/>
    <x v="6"/>
    <s v="김원호"/>
    <m/>
    <s v="장흥 목초 신품종 보급…‘수입 종자’ 대체"/>
    <s v="호남매일"/>
    <d v="2019-09-17T00:00:00"/>
    <n v="6"/>
    <s v="09_지방일간지"/>
    <n v="1.5"/>
    <d v="2019-09-18T00:00:00"/>
  </r>
  <r>
    <n v="4051"/>
    <s v="8_국립축산과학원"/>
    <s v="2_축산자원개발부"/>
    <x v="6"/>
    <s v="김원호"/>
    <m/>
    <s v="장흥군, 목초 신품종으로 ‘수입 종자’ 대체"/>
    <s v="산경일보"/>
    <d v="2019-09-17T00:00:00"/>
    <n v="14"/>
    <s v="09_지방일간지"/>
    <n v="1.5"/>
    <d v="2019-09-18T00:00:00"/>
  </r>
  <r>
    <n v="4052"/>
    <s v="8_국립축산과학원"/>
    <s v="2_축산자원개발부"/>
    <x v="6"/>
    <s v="김원호"/>
    <m/>
    <s v="장흥군, 목초 신품종 ‘수입 종자’ 대체"/>
    <s v="호남신문"/>
    <d v="2019-09-17T00:00:00"/>
    <n v="7"/>
    <s v="09_지방일간지"/>
    <n v="1.5"/>
    <d v="2019-09-18T00:00:00"/>
  </r>
  <r>
    <n v="4053"/>
    <s v="8_국립축산과학원"/>
    <s v="2_축산자원개발부"/>
    <x v="6"/>
    <s v="김원호"/>
    <m/>
    <s v="장흥, 목초 신품종으로 ‘수입 종자’ 대체"/>
    <s v="전남도민일보"/>
    <d v="2019-09-17T00:00:00"/>
    <n v="7"/>
    <s v="09_지방일간지"/>
    <n v="1.5"/>
    <d v="2019-09-18T00:00:00"/>
  </r>
  <r>
    <n v="4054"/>
    <s v="8_국립축산과학원"/>
    <s v="2_축산자원개발부"/>
    <x v="6"/>
    <s v="김원호"/>
    <m/>
    <s v="장흥군, 목초 신품종으로 수입 종자 대체"/>
    <s v="광남일보"/>
    <d v="2019-09-17T00:00:00"/>
    <n v="8"/>
    <s v="09_지방일간지"/>
    <n v="1.5"/>
    <d v="2019-09-18T00:00:00"/>
  </r>
  <r>
    <n v="4055"/>
    <s v="8_국립축산과학원"/>
    <s v="1_축산생명환경부"/>
    <x v="5"/>
    <s v="조수현"/>
    <s v="보도자료84"/>
    <s v="추석, 요리에 맞는 소고기 부위 고르세요"/>
    <s v="정책브리핑"/>
    <d v="2019-09-10T00:00:00"/>
    <m/>
    <s v="12_대한민국 정책포털(korea.kr)"/>
    <n v="1"/>
    <d v="2019-09-18T00:00:00"/>
  </r>
  <r>
    <n v="4056"/>
    <s v="8_국립축산과학원"/>
    <s v="0_본원"/>
    <x v="14"/>
    <s v="조상래"/>
    <s v="보도자료82"/>
    <s v="농진청-한우협, 한우종합기술교육 실시"/>
    <s v="농축산기계"/>
    <d v="2019-09-05T00:00:00"/>
    <n v="16"/>
    <s v="10_기타전문지"/>
    <n v="1"/>
    <d v="2019-09-18T00:00:00"/>
  </r>
  <r>
    <n v="4057"/>
    <s v="8_국립축산과학원"/>
    <s v="0_본원"/>
    <x v="13"/>
    <s v="김근영"/>
    <s v="보도자료78"/>
    <s v="“바람막이 설치, 보온·환기·위생 철저히”"/>
    <s v="농축산기계"/>
    <d v="2019-09-05T00:00:00"/>
    <n v="16"/>
    <s v="10_기타전문지"/>
    <n v="1"/>
    <d v="2019-09-18T00:00:00"/>
  </r>
  <r>
    <n v="4058"/>
    <s v="8_국립축산과학원"/>
    <s v="0_본원"/>
    <x v="4"/>
    <s v="김현수"/>
    <s v="보도자료79"/>
    <s v="농진청-LGU+, 스마트축산 맞손"/>
    <s v="농축산기계"/>
    <d v="2019-09-05T00:00:00"/>
    <n v="16"/>
    <s v="10_기타전문지"/>
    <n v="1"/>
    <d v="2019-09-18T00:00:00"/>
  </r>
  <r>
    <n v="4059"/>
    <s v="8_국립축산과학원"/>
    <s v="0_본원"/>
    <x v="10"/>
    <s v="양병철"/>
    <m/>
    <s v="(가축육종연구실) “제주 3大보물 보존·육성에 최선”"/>
    <s v="농축산기계"/>
    <d v="2019-09-05T00:00:00"/>
    <n v="13"/>
    <s v="10_기타전문지"/>
    <n v="1"/>
    <d v="2019-09-18T00:00:00"/>
  </r>
  <r>
    <n v="4060"/>
    <s v="8_국립축산과학원"/>
    <s v="2_축산자원개발부"/>
    <x v="12"/>
    <s v="김태일"/>
    <m/>
    <s v="5G·100세 시대…한우산업 방향 모색"/>
    <s v="농축산기계"/>
    <d v="2019-09-05T00:00:00"/>
    <n v="5"/>
    <s v="10_기타전문지"/>
    <n v="1"/>
    <d v="2019-09-18T00:00:00"/>
  </r>
  <r>
    <n v="4061"/>
    <s v="8_국립축산과학원"/>
    <s v="2_축산자원개발부"/>
    <x v="8"/>
    <s v="박미나"/>
    <m/>
    <s v="5G·100세 시대…한우산업 방향 모색"/>
    <s v="농축산기계"/>
    <d v="2019-09-05T00:00:00"/>
    <n v="5"/>
    <s v="10_기타전문지"/>
    <n v="1"/>
    <d v="2019-09-18T00:00:00"/>
  </r>
  <r>
    <n v="4062"/>
    <s v="8_국립축산과학원"/>
    <s v="2_축산자원개발부"/>
    <x v="6"/>
    <s v="김원호"/>
    <m/>
    <s v="장흥군, 목초 신품종으로 ‘수입 종자’ 대체"/>
    <s v="광전매일신문"/>
    <d v="2019-09-17T00:00:00"/>
    <n v="5"/>
    <s v="11_기타(지역주간지)"/>
    <n v="0.5"/>
    <d v="2019-09-18T00:00:00"/>
  </r>
  <r>
    <n v="4063"/>
    <s v="8_국립축산과학원"/>
    <s v="1_축산생명환경부"/>
    <x v="5"/>
    <s v="조수현"/>
    <s v="보도자료84"/>
    <s v="추석, 요리에 맞는 소고기 부위 고르세요"/>
    <s v="강원경제신문"/>
    <d v="2019-09-10T00:00:00"/>
    <m/>
    <s v="13_인터넷포털"/>
    <n v="0.1"/>
    <d v="2019-09-18T00:00:00"/>
  </r>
  <r>
    <n v="4064"/>
    <s v="8_국립축산과학원"/>
    <s v="1_축산생명환경부"/>
    <x v="5"/>
    <s v="조수현"/>
    <s v="보도자료84"/>
    <s v="추석, 요리에 맞는 소고기 부위 고르세요"/>
    <s v="뉴스렙"/>
    <d v="2019-09-11T00:00:00"/>
    <m/>
    <s v="13_인터넷포털"/>
    <n v="0.1"/>
    <d v="2019-09-18T00:00:00"/>
  </r>
  <r>
    <n v="4065"/>
    <s v="8_국립축산과학원"/>
    <s v="1_축산생명환경부"/>
    <x v="5"/>
    <s v="조수현"/>
    <s v="보도자료84"/>
    <s v="요리에 맞는 소고기 부위 고르세요"/>
    <s v="코리안스피릿"/>
    <d v="2019-09-10T00:00:00"/>
    <m/>
    <s v="13_인터넷포털"/>
    <n v="0.1"/>
    <d v="2019-09-18T00:00:00"/>
  </r>
  <r>
    <n v="4066"/>
    <s v="8_국립축산과학원"/>
    <s v="1_축산생명환경부"/>
    <x v="5"/>
    <s v="조수현"/>
    <s v="보도자료84"/>
    <s v="추석, 요리에 맞는 소고기 부위 고르세요"/>
    <s v="한국뉴스"/>
    <d v="2019-09-10T00:00:00"/>
    <m/>
    <s v="13_인터넷포털"/>
    <n v="0.1"/>
    <d v="2019-09-18T00:00:00"/>
  </r>
  <r>
    <n v="4067"/>
    <s v="8_국립축산과학원"/>
    <s v="1_축산생명환경부"/>
    <x v="5"/>
    <s v="조수현"/>
    <s v="보도자료84"/>
    <s v="농진청, 추석용 소고기 고르는 요령과 보관 방법 소개"/>
    <s v="KNS뉴스통신"/>
    <d v="2019-09-10T00:00:00"/>
    <m/>
    <s v="13_인터넷포털"/>
    <n v="0.1"/>
    <d v="2019-09-18T00:00:00"/>
  </r>
  <r>
    <n v="4068"/>
    <s v="8_국립축산과학원"/>
    <s v="1_축산생명환경부"/>
    <x v="5"/>
    <s v="조수현"/>
    <s v="보도자료84"/>
    <s v="추석, 요리에 맞는 소고기 부위 고르세요"/>
    <s v="미디어라이프"/>
    <d v="2019-09-10T00:00:00"/>
    <m/>
    <s v="13_인터넷포털"/>
    <n v="0.1"/>
    <d v="2019-09-18T00:00:00"/>
  </r>
  <r>
    <n v="4069"/>
    <s v="8_국립축산과학원"/>
    <s v="1_축산생명환경부"/>
    <x v="5"/>
    <s v="조수현"/>
    <s v="보도자료84"/>
    <s v="최고인기 추석 선물 ‘소고기’, 고르는 요령과 알맞은 보관 방법"/>
    <s v="소믈리에타임즈"/>
    <d v="2019-09-10T00:00:00"/>
    <m/>
    <s v="13_인터넷포털"/>
    <n v="0.1"/>
    <d v="2019-09-18T00:00:00"/>
  </r>
  <r>
    <n v="4070"/>
    <s v="8_국립축산과학원"/>
    <s v="0_본원"/>
    <x v="2"/>
    <s v="김광식"/>
    <m/>
    <s v="농식품부, 26~28 ‘국제축산박람회’...돼지열병 발생국가 제외"/>
    <s v="뉴시스"/>
    <d v="2019-09-18T00:00:00"/>
    <m/>
    <s v="07_중앙일간지"/>
    <n v="5"/>
    <d v="2019-09-19T00:00:00"/>
  </r>
  <r>
    <n v="4071"/>
    <s v="8_국립축산과학원"/>
    <s v="1_축산생명환경부"/>
    <x v="16"/>
    <s v="김태헌"/>
    <m/>
    <s v="전북대, 우간다에 낙농업 생산성 향상 노하우 가르친다"/>
    <s v="뉴시스"/>
    <d v="2019-09-19T00:00:00"/>
    <m/>
    <s v="07_중앙일간지"/>
    <n v="5"/>
    <d v="2019-09-19T00:00:00"/>
  </r>
  <r>
    <n v="4072"/>
    <s v="8_국립축산과학원"/>
    <s v="2_축산자원개발부"/>
    <x v="12"/>
    <s v="기광석"/>
    <m/>
    <s v="경주, 젖소 우유 단백질 향상기술 보급... 농가소득 증대 기여"/>
    <s v="아시아일보"/>
    <d v="2019-09-18T00:00:00"/>
    <m/>
    <s v="08_기타일간지"/>
    <n v="2"/>
    <d v="2019-09-19T00:00:00"/>
  </r>
  <r>
    <n v="4073"/>
    <s v="8_국립축산과학원"/>
    <s v="2_축산자원개발부"/>
    <x v="8"/>
    <s v="박미나"/>
    <m/>
    <s v="한우개량사업소, ‘한우 보증씨수소’ 선발"/>
    <s v="한국농촌경제신문"/>
    <d v="2019-09-06T00:00:00"/>
    <n v="4"/>
    <s v="09_농업전문지"/>
    <n v="1.5"/>
    <d v="2019-09-19T00:00:00"/>
  </r>
  <r>
    <n v="4074"/>
    <s v="8_국립축산과학원"/>
    <s v="0_본원"/>
    <x v="2"/>
    <s v="김광식"/>
    <m/>
    <s v="‘한국국제축산박람회’ 9월26일부터 대구에서 열린다"/>
    <s v="한국농촌경제신문"/>
    <d v="2019-09-19T00:00:00"/>
    <m/>
    <s v="09_농업전문지"/>
    <n v="1.5"/>
    <d v="2019-09-19T00:00:00"/>
  </r>
  <r>
    <n v="4075"/>
    <s v="8_국립축산과학원"/>
    <s v="2_축산자원개발부"/>
    <x v="6"/>
    <s v="김원호"/>
    <m/>
    <s v="장흥 ‘이탈리안 라이그라스’ 신품종 보급"/>
    <s v="전남매일"/>
    <d v="2019-09-18T00:00:00"/>
    <n v="11"/>
    <s v="09_지방일간지"/>
    <n v="1.5"/>
    <d v="2019-09-19T00:00:00"/>
  </r>
  <r>
    <n v="4076"/>
    <s v="8_국립축산과학원"/>
    <s v="2_축산자원개발부"/>
    <x v="0"/>
    <s v="문홍길"/>
    <m/>
    <s v="“올해는 축산부흥 원년”…‘청정 김천’ 명성 이어간다"/>
    <s v="경북연합일보"/>
    <d v="2019-09-18T00:00:00"/>
    <n v="12"/>
    <s v="09_지방일간지"/>
    <n v="1.5"/>
    <d v="2019-09-19T00:00:00"/>
  </r>
  <r>
    <n v="4077"/>
    <s v="8_국립축산과학원"/>
    <s v="2_축산자원개발부"/>
    <x v="12"/>
    <s v="기광석"/>
    <m/>
    <s v="경주시, 우유 단백질 높이는 천연 항산화 사료 젖소 농가에 보급"/>
    <s v="경북신문"/>
    <d v="2019-09-18T00:00:00"/>
    <m/>
    <s v="09_지방일간지"/>
    <n v="1.5"/>
    <d v="2019-09-19T00:00:00"/>
  </r>
  <r>
    <n v="4078"/>
    <s v="8_국립축산과학원"/>
    <s v="2_축산자원개발부"/>
    <x v="12"/>
    <s v="기광석"/>
    <m/>
    <s v="경주농기센터, 천연 항산화 젖소사료 보급"/>
    <s v="경북도민일보"/>
    <d v="2019-09-18T00:00:00"/>
    <m/>
    <s v="09_지방일간지"/>
    <n v="1.5"/>
    <d v="2019-09-19T00:00:00"/>
  </r>
  <r>
    <n v="4079"/>
    <s v="8_국립축산과학원"/>
    <s v="2_축산자원개발부"/>
    <x v="12"/>
    <s v="기광석"/>
    <m/>
    <s v="경주시, 젖소 우유 단백질 향상기술 보급 농가소득 증대 기여"/>
    <s v="대경일보"/>
    <d v="2019-09-18T00:00:00"/>
    <m/>
    <s v="09_지방일간지"/>
    <n v="1.5"/>
    <d v="2019-09-19T00:00:00"/>
  </r>
  <r>
    <n v="4080"/>
    <s v="8_국립축산과학원"/>
    <s v="2_축산자원개발부"/>
    <x v="12"/>
    <s v="기광석"/>
    <m/>
    <s v="경주시, 젖소 우유 단백질 향상기술 보급 농가소득 증대 기여"/>
    <s v="일요신문"/>
    <d v="2019-09-18T00:00:00"/>
    <m/>
    <s v="10_주간지"/>
    <n v="1"/>
    <d v="2019-09-19T00:00:00"/>
  </r>
  <r>
    <n v="4081"/>
    <s v="8_국립축산과학원"/>
    <s v="2_축산자원개발부"/>
    <x v="12"/>
    <s v="기광석"/>
    <m/>
    <s v="경주시, 젖소 간기능 개선 및 유단백율 향상 기술보급"/>
    <s v="뉴스웨이"/>
    <d v="2019-09-19T00:00:00"/>
    <m/>
    <s v="10_주간지"/>
    <n v="1"/>
    <d v="2019-09-19T00:00:00"/>
  </r>
  <r>
    <n v="4082"/>
    <s v="8_국립축산과학원"/>
    <s v="2_축산자원개발부"/>
    <x v="12"/>
    <s v="기광석"/>
    <m/>
    <s v="경주시, 젖소 우유 단백질 향상기술 보급 ‘농가 소득증대 기여’"/>
    <s v="CBN뉴스"/>
    <d v="2019-09-18T00:00:00"/>
    <m/>
    <s v="13_인터넷포털"/>
    <n v="0.1"/>
    <d v="2019-09-19T00:00:00"/>
  </r>
  <r>
    <n v="4083"/>
    <s v="8_국립축산과학원"/>
    <s v="2_축산자원개발부"/>
    <x v="12"/>
    <s v="기광석"/>
    <m/>
    <s v="경주시, 젖소 우유 단백질 향상기술 보급 농가소득 증대 기여"/>
    <s v="드림저널"/>
    <d v="2019-09-18T00:00:00"/>
    <m/>
    <s v="13_인터넷포털"/>
    <n v="0.1"/>
    <d v="2019-09-19T00:00:00"/>
  </r>
  <r>
    <n v="4084"/>
    <s v="8_국립축산과학원"/>
    <s v="2_축산자원개발부"/>
    <x v="12"/>
    <s v="기광석"/>
    <m/>
    <s v="경주시, 젖소 우유 단백질 향상기술 보급 농가소득 증대 기여"/>
    <s v="케이에스피뉴스"/>
    <d v="2019-09-18T00:00:00"/>
    <m/>
    <s v="13_인터넷포털"/>
    <n v="0.1"/>
    <d v="2019-09-19T00:00:00"/>
  </r>
  <r>
    <n v="4085"/>
    <s v="8_국립축산과학원"/>
    <s v="2_축산자원개발부"/>
    <x v="12"/>
    <s v="기광석"/>
    <m/>
    <s v="경주시, 젖소 우유 단백질 향상기술 보급 농가소득 증대 기여"/>
    <s v="GBN경북방송"/>
    <d v="2019-09-18T00:00:00"/>
    <m/>
    <s v="13_인터넷포털"/>
    <n v="0.1"/>
    <d v="2019-09-19T00:00:00"/>
  </r>
  <r>
    <n v="4086"/>
    <s v="8_국립축산과학원"/>
    <s v="2_축산자원개발부"/>
    <x v="12"/>
    <s v="기광석"/>
    <m/>
    <s v="경주시농업기술센터, 젖소 간 기능 개선 및 유단백율 향상 기술 보급"/>
    <s v="내외뉴스통신"/>
    <d v="2019-09-18T00:00:00"/>
    <m/>
    <s v="13_인터넷포털"/>
    <n v="0.1"/>
    <d v="2019-09-19T00:00:00"/>
  </r>
  <r>
    <n v="4087"/>
    <s v="8_국립축산과학원"/>
    <s v="1_축산생명환경부"/>
    <x v="16"/>
    <s v="김태헌"/>
    <m/>
    <s v="전북대, 우간다 낙농업 고위급 대상 국내 초청 연수 실시"/>
    <s v="일간전북"/>
    <d v="2019-09-19T00:00:00"/>
    <m/>
    <s v="13_인터넷포털"/>
    <n v="0.1"/>
    <d v="2019-09-19T00:00:00"/>
  </r>
  <r>
    <n v="4088"/>
    <s v="8_국립축산과학원"/>
    <s v="1_축산생명환경부"/>
    <x v="16"/>
    <s v="김태헌"/>
    <m/>
    <s v="우간다 낙농업 고위급, 전북대서 한국 개량기술 배운다"/>
    <s v="대학저널"/>
    <d v="2019-09-19T00:00:00"/>
    <m/>
    <s v="13_인터넷포털"/>
    <n v="0.1"/>
    <d v="2019-09-19T00:00:00"/>
  </r>
  <r>
    <n v="4089"/>
    <s v="8_국립축산과학원"/>
    <s v="0_본원"/>
    <x v="2"/>
    <s v="김광식"/>
    <m/>
    <s v="농식품부, ‘국제축산박람회’에 돼지열병 발생국가 참여 제한"/>
    <s v="글로벌경제신문"/>
    <d v="2019-09-19T00:00:00"/>
    <m/>
    <s v="13_인터넷포털"/>
    <n v="0.1"/>
    <d v="2019-09-19T00:00:00"/>
  </r>
  <r>
    <n v="4090"/>
    <s v="8_국립축산과학원"/>
    <s v="1_축산생명환경부"/>
    <x v="16"/>
    <s v="김태헌"/>
    <m/>
    <s v="우간다 낙농업 고위급, 전북대서 한국 개량기술 배운다"/>
    <s v="투데이안"/>
    <d v="2019-09-19T00:00:00"/>
    <m/>
    <s v="13_인터넷포털"/>
    <n v="0.1"/>
    <d v="2019-09-19T00:00:00"/>
  </r>
  <r>
    <n v="4091"/>
    <s v="8_국립축산과학원"/>
    <s v="0_본원"/>
    <x v="2"/>
    <s v="김광식"/>
    <m/>
    <s v="ASF 발생국 제한·양돈농가 불참... 국제축산박람회 26~28일 개최"/>
    <s v="라이브팜뉴스"/>
    <d v="2019-09-19T00:00:00"/>
    <m/>
    <s v="13_인터넷포털"/>
    <n v="0.1"/>
    <d v="2019-09-19T00:00:00"/>
  </r>
  <r>
    <n v="4092"/>
    <s v="8_국립축산과학원"/>
    <s v="2_축산자원개발부"/>
    <x v="6"/>
    <s v="김원호"/>
    <m/>
    <s v="산지생태축산의 시대(김원호 과장님 인터뷰)"/>
    <s v="YTN사이언스"/>
    <d v="2019-09-19T00:00:00"/>
    <m/>
    <s v="02_TV-케이블중앙"/>
    <n v="4"/>
    <d v="2019-09-20T00:00:00"/>
  </r>
  <r>
    <n v="4093"/>
    <s v="8_국립축산과학원"/>
    <s v="2_축산자원개발부"/>
    <x v="0"/>
    <s v="문홍길"/>
    <m/>
    <s v="“생매장 살처분 중단하고 인도적 살처분 시행해야”"/>
    <s v="파이낸셜뉴스"/>
    <d v="2019-09-20T00:00:00"/>
    <m/>
    <s v="07_중앙일간지"/>
    <n v="5"/>
    <d v="2019-09-20T00:00:00"/>
  </r>
  <r>
    <n v="4094"/>
    <s v="8_국립축산과학원"/>
    <s v="0_본원"/>
    <x v="4"/>
    <s v="차재범"/>
    <s v="보도자료83"/>
    <s v="농진청, 껍데기 산란 정보 알면 더 안전하고 유익"/>
    <s v="농축환경신문"/>
    <d v="2019-09-12T00:00:00"/>
    <n v="4"/>
    <s v="09_농업전문지"/>
    <n v="1.5"/>
    <d v="2019-09-20T00:00:00"/>
  </r>
  <r>
    <n v="4095"/>
    <s v="8_국립축산과학원"/>
    <s v="2_축산자원개발부"/>
    <x v="12"/>
    <s v="기광석"/>
    <m/>
    <s v="경주, 고품질 우유 생산 돕는다"/>
    <s v="경상투데이"/>
    <d v="2019-09-19T00:00:00"/>
    <n v="5"/>
    <s v="09_지방일간지"/>
    <n v="1.5"/>
    <d v="2019-09-20T00:00:00"/>
  </r>
  <r>
    <n v="4096"/>
    <s v="8_국립축산과학원"/>
    <s v="2_축산자원개발부"/>
    <x v="12"/>
    <s v="기광석"/>
    <m/>
    <s v="젖소 우유 단백질 향상기술 보급 나서"/>
    <s v="경북연합일보"/>
    <d v="2019-09-19T00:00:00"/>
    <n v="3"/>
    <s v="09_지방일간지"/>
    <n v="1.5"/>
    <d v="2019-09-20T00:00:00"/>
  </r>
  <r>
    <n v="4097"/>
    <s v="8_국립축산과학원"/>
    <s v="1_축산생명환경부"/>
    <x v="16"/>
    <s v="김태헌"/>
    <m/>
    <s v="우간다 낙농업 고위급, 전북대서 한국 갸량기술 배운다"/>
    <s v="전주매일"/>
    <d v="2019-09-19T00:00:00"/>
    <m/>
    <s v="09_지방일간지"/>
    <n v="1.5"/>
    <d v="2019-09-20T00:00:00"/>
  </r>
  <r>
    <n v="4098"/>
    <s v="8_국립축산과학원"/>
    <s v="1_축산생명환경부"/>
    <x v="16"/>
    <s v="김태헌"/>
    <m/>
    <s v="전북대 우간다 낙농기술 지원을 통한 생산성 향상 사업 실시"/>
    <s v="전라일보"/>
    <d v="2019-09-19T00:00:00"/>
    <m/>
    <s v="09_지방일간지"/>
    <n v="1.5"/>
    <d v="2019-09-20T00:00:00"/>
  </r>
  <r>
    <n v="4099"/>
    <s v="8_국립축산과학원"/>
    <s v="1_축산생명환경부"/>
    <x v="16"/>
    <s v="김태헌"/>
    <m/>
    <s v="우간다 낙농업 고위급, 전북대서 한국 개량기술 배운다"/>
    <s v="전북도민일보"/>
    <d v="2019-09-19T00:00:00"/>
    <m/>
    <s v="09_지방일간지"/>
    <n v="1.5"/>
    <d v="2019-09-20T00:00:00"/>
  </r>
  <r>
    <n v="4100"/>
    <s v="8_국립축산과학원"/>
    <s v="0_본원"/>
    <x v="13"/>
    <s v="김근영"/>
    <s v="보도자료78"/>
    <s v="신생자돈·이유자돈, 보온 환기에 신경써야"/>
    <s v="한국양돈신문"/>
    <d v="2019-09-10T00:00:00"/>
    <n v="5"/>
    <s v="10_기타전문지"/>
    <n v="1"/>
    <d v="2019-09-20T00:00:00"/>
  </r>
  <r>
    <n v="4101"/>
    <s v="8_국립축산과학원"/>
    <s v="0_본원"/>
    <x v="13"/>
    <s v="김근영"/>
    <s v="보도자료78"/>
    <s v="환절기 유방염 우려, 조기발견 치료"/>
    <s v="낙농신문"/>
    <d v="2019-09-12T00:00:00"/>
    <n v="5"/>
    <s v="10_기타전문지"/>
    <n v="1"/>
    <d v="2019-09-20T00:00:00"/>
  </r>
  <r>
    <n v="4102"/>
    <s v="8_국립축산과학원"/>
    <s v="0_본원"/>
    <x v="4"/>
    <s v="김현수"/>
    <s v="보도자료79"/>
    <s v="5G 기술 축산업 경쟁력 강화"/>
    <s v="낙농신문"/>
    <d v="2019-09-12T00:00:00"/>
    <n v="5"/>
    <s v="10_기타전문지"/>
    <n v="1"/>
    <d v="2019-09-20T00:00:00"/>
  </r>
  <r>
    <n v="4103"/>
    <s v="8_국립축산과학원"/>
    <s v="0_본원"/>
    <x v="13"/>
    <s v="박종문"/>
    <s v="보도자료77"/>
    <s v="가축인공수정사 시험 11월 시행"/>
    <s v="낙농신문"/>
    <d v="2019-09-12T00:00:00"/>
    <n v="5"/>
    <s v="10_기타전문지"/>
    <n v="1"/>
    <d v="2019-09-20T00:00:00"/>
  </r>
  <r>
    <n v="4104"/>
    <s v="8_국립축산과학원"/>
    <s v="2_축산자원개발부"/>
    <x v="12"/>
    <s v="기광석"/>
    <m/>
    <s v="초산우·다산우 분리 사육 바람직"/>
    <s v="낙농신문"/>
    <d v="2019-09-12T00:00:00"/>
    <n v="13"/>
    <s v="10_기타전문지"/>
    <n v="1"/>
    <d v="2019-09-20T00:00:00"/>
  </r>
  <r>
    <n v="4105"/>
    <s v="8_국립축산과학원"/>
    <s v="2_축산자원개발부"/>
    <x v="12"/>
    <s v="기광석"/>
    <m/>
    <s v="배합사료 급격한 분해 소화불량 대사성 질병 우려"/>
    <s v="낙농신문"/>
    <d v="2019-09-12T00:00:00"/>
    <n v="13"/>
    <s v="10_기타전문지"/>
    <n v="1"/>
    <d v="2019-09-20T00:00:00"/>
  </r>
  <r>
    <n v="4106"/>
    <s v="8_국립축산과학원"/>
    <s v="2_축산자원개발부"/>
    <x v="12"/>
    <s v="기광석"/>
    <m/>
    <s v="농후사료 급여회수 늘리면 유량 증가"/>
    <s v="낙농신문"/>
    <d v="2019-09-12T00:00:00"/>
    <n v="14"/>
    <s v="10_기타전문지"/>
    <n v="1"/>
    <d v="2019-09-20T00:00:00"/>
  </r>
  <r>
    <n v="4107"/>
    <s v="8_국립축산과학원"/>
    <s v="1_축산생명환경부"/>
    <x v="16"/>
    <s v="김태헌"/>
    <m/>
    <s v="전북대, 우간다 낙농 생산성 향상 위한 초청연수 진행"/>
    <s v="한국대학신문"/>
    <d v="2019-09-19T00:00:00"/>
    <m/>
    <s v="10_주간지"/>
    <n v="1"/>
    <d v="2019-09-20T00:00:00"/>
  </r>
  <r>
    <n v="4108"/>
    <s v="8_국립축산과학원"/>
    <s v="0_본원"/>
    <x v="2"/>
    <s v="김광식"/>
    <m/>
    <s v="2019 한국국제축산박람회 개최"/>
    <s v="대한뉴스"/>
    <d v="2019-09-20T00:00:00"/>
    <m/>
    <s v="10_기타월간지"/>
    <n v="1"/>
    <d v="2019-09-20T00:00:00"/>
  </r>
  <r>
    <n v="4109"/>
    <s v="8_국립축산과학원"/>
    <s v="2_축산자원개발부"/>
    <x v="12"/>
    <s v="기광석"/>
    <m/>
    <s v="젖소 우유 단백질 향상기술 보급"/>
    <s v="대구경북일보"/>
    <d v="2019-09-19T00:00:00"/>
    <n v="9"/>
    <s v="11_기타(지역주간지)"/>
    <n v="0.5"/>
    <d v="2019-09-20T00:00:00"/>
  </r>
  <r>
    <n v="4110"/>
    <s v="8_국립축산과학원"/>
    <s v="1_축산생명환경부"/>
    <x v="16"/>
    <s v="김태헌"/>
    <m/>
    <s v="우간다 낙농업 고위급, 전북대서 한국 개량기술 배운다"/>
    <s v="데일리투머로우"/>
    <d v="2019-09-19T00:00:00"/>
    <m/>
    <s v="13_인터넷포털"/>
    <n v="0.1"/>
    <d v="2019-09-20T00:00:00"/>
  </r>
  <r>
    <n v="4111"/>
    <s v="8_국립축산과학원"/>
    <s v="1_축산생명환경부"/>
    <x v="16"/>
    <s v="김태헌"/>
    <m/>
    <s v="전북대, 우간다 낙농 생산성 향상 위한 초청연수 진행"/>
    <s v="프레시안"/>
    <d v="2019-09-19T00:00:00"/>
    <m/>
    <s v="13_인터넷포털"/>
    <n v="0.1"/>
    <d v="2019-09-20T00:00:00"/>
  </r>
  <r>
    <n v="4112"/>
    <s v="8_국립축산과학원"/>
    <s v="0_본원"/>
    <x v="14"/>
    <s v="김의형"/>
    <s v="보도자료85"/>
    <s v="큰 일교차로 한우·젖소 스트레스...“차단막으로 환기 철저”"/>
    <s v="라이브팜뉴스"/>
    <d v="2019-09-20T00:00:00"/>
    <m/>
    <s v="13_인터넷포털"/>
    <n v="0.1"/>
    <d v="2019-09-20T00:00:00"/>
  </r>
  <r>
    <n v="4113"/>
    <s v="8_국립축산과학원"/>
    <s v="2_축산자원개발부"/>
    <x v="12"/>
    <s v="하승민"/>
    <s v="보도자료86"/>
    <s v="큰 일교차로 한우·젖소 스트레스...“차단막으로 환기 철저”"/>
    <s v="라이브팜뉴스"/>
    <d v="2019-09-20T00:00:00"/>
    <m/>
    <s v="13_인터넷포털"/>
    <n v="0.1"/>
    <d v="2019-09-20T00:00:00"/>
  </r>
  <r>
    <n v="4114"/>
    <s v="8_국립축산과학원"/>
    <s v="0_본원"/>
    <x v="4"/>
    <s v="천동원"/>
    <s v="기고"/>
    <s v="[기고] 천동원 소장-축산현장 애로기술 해결 위한 닭 키우기[100문 100답] Q99,100"/>
    <s v="축산신문"/>
    <d v="2019-09-20T00:00:00"/>
    <n v="15"/>
    <s v="17_농업전문지"/>
    <n v="8"/>
    <d v="2019-09-23T00:00:00"/>
  </r>
  <r>
    <n v="4115"/>
    <s v="8_국립축산과학원"/>
    <s v="2_축산자원개발부"/>
    <x v="6"/>
    <s v="김기용"/>
    <s v="기고"/>
    <s v="[기고] 김기용 연구관-동계 사료작물 재배 확대의 중요성"/>
    <s v="농수축산신문"/>
    <d v="2019-09-20T00:00:00"/>
    <n v="6"/>
    <s v="17_농업전문지"/>
    <n v="8"/>
    <d v="2019-09-23T00:00:00"/>
  </r>
  <r>
    <n v="4116"/>
    <s v="8_국립축산과학원"/>
    <s v="2_축산자원개발부"/>
    <x v="8"/>
    <s v="박미나"/>
    <m/>
    <s v="장흥군 축산사업소, ‘장흥한우’ 개량방법 교육 실시"/>
    <s v="서울일보"/>
    <d v="2019-09-23T00:00:00"/>
    <m/>
    <s v="08_기타일간지"/>
    <n v="2"/>
    <d v="2019-09-23T00:00:00"/>
  </r>
  <r>
    <n v="4117"/>
    <s v="8_국립축산과학원"/>
    <s v="2_축산자원개발부"/>
    <x v="6"/>
    <s v="최기준"/>
    <m/>
    <s v="“좋은 퇴비 생산하려면 우상관리가 중요”"/>
    <s v="축산신문"/>
    <d v="2019-09-20T00:00:00"/>
    <n v="8"/>
    <s v="09_농업전문지"/>
    <n v="1.5"/>
    <d v="2019-09-23T00:00:00"/>
  </r>
  <r>
    <n v="4118"/>
    <s v="8_국립축산과학원"/>
    <s v="0_본원"/>
    <x v="14"/>
    <s v="김의형"/>
    <s v="보도자료85"/>
    <s v="한우-젖소, 환절기 질병에 주의해야"/>
    <s v="한국영농신문"/>
    <d v="2019-09-22T00:00:00"/>
    <m/>
    <s v="09_농업전문지"/>
    <n v="1.5"/>
    <d v="2019-09-23T00:00:00"/>
  </r>
  <r>
    <n v="4119"/>
    <s v="8_국립축산과학원"/>
    <s v="2_축산자원개발부"/>
    <x v="12"/>
    <s v="하승민"/>
    <s v="보도자료86"/>
    <s v="한우-젖소, 환절기 질병에 주의해야"/>
    <s v="한국영농신문"/>
    <d v="2019-09-22T00:00:00"/>
    <m/>
    <s v="09_농업전문지"/>
    <n v="1.5"/>
    <d v="2019-09-23T00:00:00"/>
  </r>
  <r>
    <n v="4120"/>
    <s v="8_국립축산과학원"/>
    <s v="0_본원"/>
    <x v="2"/>
    <s v="김광식"/>
    <m/>
    <s v="축산업 교류의 장 열린다"/>
    <s v="한국영농신문"/>
    <d v="2019-09-22T00:00:00"/>
    <m/>
    <s v="09_농업전문지"/>
    <n v="1.5"/>
    <d v="2019-09-23T00:00:00"/>
  </r>
  <r>
    <n v="4121"/>
    <s v="8_국립축산과학원"/>
    <s v="0_본원"/>
    <x v="14"/>
    <s v="김의형"/>
    <s v="보도자료85"/>
    <s v="농진청 “한우와 젖소, 환절기 질병에 주의하세요”"/>
    <s v="전민일보"/>
    <d v="2019-09-20T00:00:00"/>
    <n v="4"/>
    <s v="09_지방일간지"/>
    <n v="1.5"/>
    <d v="2019-09-23T00:00:00"/>
  </r>
  <r>
    <n v="4122"/>
    <s v="8_국립축산과학원"/>
    <s v="2_축산자원개발부"/>
    <x v="12"/>
    <s v="하승민"/>
    <s v="보도자료86"/>
    <s v="농진청 “한우와 젖소, 환절기 질병에 주의하세요”"/>
    <s v="전민일보"/>
    <d v="2019-09-20T00:00:00"/>
    <n v="4"/>
    <s v="09_지방일간지"/>
    <n v="1.5"/>
    <d v="2019-09-23T00:00:00"/>
  </r>
  <r>
    <n v="4123"/>
    <s v="8_국립축산과학원"/>
    <s v="0_본원"/>
    <x v="14"/>
    <s v="김의형"/>
    <s v="보도자료85"/>
    <s v="농진청, 환절기 한우·젖소 호흡기 질병 주의 당부"/>
    <s v="전북일보"/>
    <d v="2019-09-20T00:00:00"/>
    <n v="6"/>
    <s v="09_지방일간지"/>
    <n v="1.5"/>
    <d v="2019-09-23T00:00:00"/>
  </r>
  <r>
    <n v="4124"/>
    <s v="8_국립축산과학원"/>
    <s v="2_축산자원개발부"/>
    <x v="12"/>
    <s v="하승민"/>
    <s v="보도자료86"/>
    <s v="농진청, 환절기 한우·젖소 호흡기 질병 주의 당부"/>
    <s v="전북일보"/>
    <d v="2019-09-20T00:00:00"/>
    <n v="6"/>
    <s v="09_지방일간지"/>
    <n v="1.5"/>
    <d v="2019-09-23T00:00:00"/>
  </r>
  <r>
    <n v="4125"/>
    <s v="8_국립축산과학원"/>
    <s v="0_본원"/>
    <x v="14"/>
    <s v="김의형"/>
    <s v="보도자료85"/>
    <s v="“한우·젖소, 환절기 질병 주의해야”"/>
    <s v="전라매일"/>
    <d v="2019-09-20T00:00:00"/>
    <n v="4"/>
    <s v="09_지방일간지"/>
    <n v="1.5"/>
    <d v="2019-09-23T00:00:00"/>
  </r>
  <r>
    <n v="4126"/>
    <s v="8_국립축산과학원"/>
    <s v="2_축산자원개발부"/>
    <x v="12"/>
    <s v="하승민"/>
    <s v="보도자료86"/>
    <s v="“한우·젖소, 환절기 질병 주의해야”"/>
    <s v="전라매일"/>
    <d v="2019-09-20T00:00:00"/>
    <n v="4"/>
    <s v="09_지방일간지"/>
    <n v="1.5"/>
    <d v="2019-09-23T00:00:00"/>
  </r>
  <r>
    <n v="4127"/>
    <s v="8_국립축산과학원"/>
    <s v="0_본원"/>
    <x v="14"/>
    <s v="김의형"/>
    <s v="보도자료85"/>
    <s v="한우와 젖소, 환절기 질병에 주의 하세요"/>
    <s v="삼남일보"/>
    <d v="2019-09-20T00:00:00"/>
    <n v="5"/>
    <s v="09_지방일간지"/>
    <n v="1.5"/>
    <d v="2019-09-23T00:00:00"/>
  </r>
  <r>
    <n v="4128"/>
    <s v="8_국립축산과학원"/>
    <s v="2_축산자원개발부"/>
    <x v="12"/>
    <s v="하승민"/>
    <s v="보도자료86"/>
    <s v="한우와 젖소, 환절기 질병에 주의 하세요"/>
    <s v="삼남일보"/>
    <d v="2019-09-20T00:00:00"/>
    <n v="5"/>
    <s v="09_지방일간지"/>
    <n v="1.5"/>
    <d v="2019-09-23T00:00:00"/>
  </r>
  <r>
    <n v="4129"/>
    <s v="8_국립축산과학원"/>
    <s v="1_축산생명환경부"/>
    <x v="16"/>
    <s v="김태헌"/>
    <m/>
    <s v="전북대, 우간다 낙농업 고위급 대상 국내 초청 연수 진행"/>
    <s v="전북타임스"/>
    <d v="2019-09-20T00:00:00"/>
    <n v="5"/>
    <s v="09_지방일간지"/>
    <n v="1.5"/>
    <d v="2019-09-23T00:00:00"/>
  </r>
  <r>
    <n v="4130"/>
    <s v="8_국립축산과학원"/>
    <s v="1_축산생명환경부"/>
    <x v="16"/>
    <s v="김태헌"/>
    <m/>
    <s v="우간다 낙농업 고위급 인사, 한국 개량 기술 배운다"/>
    <s v="전라매일"/>
    <d v="2019-09-20T00:00:00"/>
    <n v="7"/>
    <s v="09_지방일간지"/>
    <n v="1.5"/>
    <d v="2019-09-23T00:00:00"/>
  </r>
  <r>
    <n v="4131"/>
    <s v="8_국립축산과학원"/>
    <s v="1_축산생명환경부"/>
    <x v="16"/>
    <s v="김태헌"/>
    <m/>
    <s v="전북대, 우간다 낙농 생산성 향상 기술지원 본격 나서"/>
    <s v="삼남일보"/>
    <d v="2019-09-20T00:00:00"/>
    <n v="2"/>
    <s v="09_지방일간지"/>
    <n v="1.5"/>
    <d v="2019-09-23T00:00:00"/>
  </r>
  <r>
    <n v="4132"/>
    <s v="8_국립축산과학원"/>
    <s v="1_축산생명환경부"/>
    <x v="16"/>
    <s v="김태헌"/>
    <m/>
    <s v="전북대 우간다에 낙농업 선진기술 전파"/>
    <s v="전북연합신문"/>
    <d v="2019-09-20T00:00:00"/>
    <n v="4"/>
    <s v="09_지방일간지"/>
    <n v="1.5"/>
    <d v="2019-09-23T00:00:00"/>
  </r>
  <r>
    <n v="4133"/>
    <s v="8_국립축산과학원"/>
    <s v="1_축산생명환경부"/>
    <x v="16"/>
    <s v="김태헌"/>
    <m/>
    <s v="전북대 개발 축산기술, 우간다 낙농기술 지원"/>
    <s v="전주일보"/>
    <d v="2019-09-20T00:00:00"/>
    <n v="4"/>
    <s v="09_지방일간지"/>
    <n v="1.5"/>
    <d v="2019-09-23T00:00:00"/>
  </r>
  <r>
    <n v="4134"/>
    <s v="8_국립축산과학원"/>
    <s v="2_축산자원개발부"/>
    <x v="8"/>
    <s v="박미나"/>
    <m/>
    <s v="장흥한우 효율적 개량방법 찾는다"/>
    <s v="중도일보"/>
    <d v="2019-09-22T00:00:00"/>
    <m/>
    <s v="09_지방일간지"/>
    <n v="1.5"/>
    <d v="2019-09-23T00:00:00"/>
  </r>
  <r>
    <n v="4135"/>
    <s v="8_국립축산과학원"/>
    <s v="2_축산자원개발부"/>
    <x v="8"/>
    <s v="박미나"/>
    <m/>
    <s v="장흥군, ‘장흥한우’ 효율적 개량방안 발굴 추진"/>
    <s v="시민일보"/>
    <d v="2019-09-23T00:00:00"/>
    <m/>
    <s v="09_지방일간지"/>
    <n v="1.5"/>
    <d v="2019-09-23T00:00:00"/>
  </r>
  <r>
    <n v="4136"/>
    <s v="8_국립축산과학원"/>
    <s v="2_축산자원개발부"/>
    <x v="8"/>
    <s v="박미나"/>
    <m/>
    <s v="‘정남진 장흥한우’ 명품화 시동걸었다"/>
    <s v="무등일보"/>
    <d v="2019-09-23T00:00:00"/>
    <m/>
    <s v="09_지방일간지"/>
    <n v="1.5"/>
    <d v="2019-09-23T00:00:00"/>
  </r>
  <r>
    <n v="4137"/>
    <s v="8_국립축산과학원"/>
    <s v="2_축산자원개발부"/>
    <x v="8"/>
    <s v="박미나"/>
    <m/>
    <s v="‘장흥한우’ 효율적 개량방법 찾는다"/>
    <s v="서울매일"/>
    <d v="2019-09-23T00:00:00"/>
    <m/>
    <s v="09_지방일간지"/>
    <n v="1.5"/>
    <d v="2019-09-23T00:00:00"/>
  </r>
  <r>
    <n v="4138"/>
    <s v="8_국립축산과학원"/>
    <s v="0_본원"/>
    <x v="14"/>
    <s v="김의형"/>
    <s v="보도자료85"/>
    <s v="한우-젖소, 환절기 질병 주의"/>
    <s v="식약일보"/>
    <d v="2019-09-20T00:00:00"/>
    <m/>
    <s v="10_기타전문지"/>
    <n v="1"/>
    <d v="2019-09-23T00:00:00"/>
  </r>
  <r>
    <n v="4139"/>
    <s v="8_국립축산과학원"/>
    <s v="2_축산자원개발부"/>
    <x v="12"/>
    <s v="하승민"/>
    <s v="보도자료86"/>
    <s v="한우-젖소, 환절기 질병 주의"/>
    <s v="식약일보"/>
    <d v="2019-09-20T00:00:00"/>
    <m/>
    <s v="10_기타전문지"/>
    <n v="1"/>
    <d v="2019-09-23T00:00:00"/>
  </r>
  <r>
    <n v="4140"/>
    <s v="8_국립축산과학원"/>
    <s v="2_축산자원개발부"/>
    <x v="8"/>
    <s v="박미나"/>
    <m/>
    <s v="‘장흥한우’ 효율적 개량방법 찾는다"/>
    <s v="뉴스메이커"/>
    <d v="2019-09-21T00:00:00"/>
    <m/>
    <s v="10_기타월간지"/>
    <n v="1"/>
    <d v="2019-09-23T00:00:00"/>
  </r>
  <r>
    <n v="4141"/>
    <s v="8_국립축산과학원"/>
    <s v="0_본원"/>
    <x v="14"/>
    <s v="김의형"/>
    <s v="보도자료85"/>
    <s v="환절기 축사 관리로 가축 건강 지키자"/>
    <s v="말산업저널"/>
    <d v="2019-09-22T00:00:00"/>
    <m/>
    <s v="10_기타전문지"/>
    <n v="1"/>
    <d v="2019-09-23T00:00:00"/>
  </r>
  <r>
    <n v="4142"/>
    <s v="8_국립축산과학원"/>
    <s v="2_축산자원개발부"/>
    <x v="12"/>
    <s v="하승민"/>
    <s v="보도자료86"/>
    <s v="환절기 축사 관리로 가축 건강 지키자"/>
    <s v="말산업저널"/>
    <d v="2019-09-22T00:00:00"/>
    <m/>
    <s v="10_기타전문지"/>
    <n v="1"/>
    <d v="2019-09-23T00:00:00"/>
  </r>
  <r>
    <n v="4143"/>
    <s v="8_국립축산과학원"/>
    <s v="2_축산자원개발부"/>
    <x v="0"/>
    <s v="문홍길"/>
    <m/>
    <s v="청정축산으로 미래 100년 김천축산 만든다!"/>
    <s v="세명일보"/>
    <d v="2019-09-20T00:00:00"/>
    <n v="16"/>
    <s v="11_기타(지역주간지)"/>
    <n v="0.5"/>
    <d v="2019-09-23T00:00:00"/>
  </r>
  <r>
    <n v="4144"/>
    <s v="8_국립축산과학원"/>
    <s v="2_축산자원개발부"/>
    <x v="8"/>
    <s v="박미나"/>
    <m/>
    <s v="장흥군, ‘장흥한우’ 효율적 개량 방법 모색"/>
    <s v="NSP통신"/>
    <d v="2019-09-21T00:00:00"/>
    <m/>
    <s v="13_인터넷포털"/>
    <n v="0.1"/>
    <d v="2019-09-23T00:00:00"/>
  </r>
  <r>
    <n v="4145"/>
    <s v="8_국립축산과학원"/>
    <s v="2_축산자원개발부"/>
    <x v="8"/>
    <s v="박미나"/>
    <m/>
    <s v="‘장흥한우’ 효율적 개량방법 찾는다"/>
    <s v="전남인터넷신문"/>
    <d v="2019-09-21T00:00:00"/>
    <m/>
    <s v="13_인터넷포털"/>
    <n v="0.1"/>
    <d v="2019-09-23T00:00:00"/>
  </r>
  <r>
    <n v="4146"/>
    <s v="8_국립축산과학원"/>
    <s v="2_축산자원개발부"/>
    <x v="8"/>
    <s v="박미나"/>
    <m/>
    <s v="장흥군...‘장흥한우’ 효율적 개량방법 찾는다"/>
    <s v="뉴스워커"/>
    <d v="2019-09-22T00:00:00"/>
    <m/>
    <s v="13_인터넷포털"/>
    <n v="0.1"/>
    <d v="2019-09-23T00:00:00"/>
  </r>
  <r>
    <n v="4147"/>
    <s v="8_국립축산과학원"/>
    <s v="2_축산자원개발부"/>
    <x v="8"/>
    <s v="박미나"/>
    <m/>
    <s v="‘장흥한우’ 효율적 개량방법 찾는다"/>
    <s v="톡톡뉴스"/>
    <d v="2019-09-22T00:00:00"/>
    <m/>
    <s v="13_인터넷포털"/>
    <n v="0.1"/>
    <d v="2019-09-23T00:00:00"/>
  </r>
  <r>
    <n v="4148"/>
    <s v="8_국립축산과학원"/>
    <s v="2_축산자원개발부"/>
    <x v="8"/>
    <s v="박미나"/>
    <m/>
    <s v="‘우수한 장흥한우’ 개량 사업 매진"/>
    <s v="포커스데일리"/>
    <d v="2019-09-22T00:00:00"/>
    <m/>
    <s v="13_인터넷포털"/>
    <n v="0.1"/>
    <d v="2019-09-23T00:00:00"/>
  </r>
  <r>
    <n v="4149"/>
    <s v="8_국립축산과학원"/>
    <s v="2_축산자원개발부"/>
    <x v="8"/>
    <s v="박미나"/>
    <m/>
    <s v="‘장흥한우’ 효율적 개량방법 찾는다"/>
    <s v="위키트리"/>
    <d v="2019-09-22T00:00:00"/>
    <m/>
    <s v="13_인터넷포털"/>
    <n v="0.1"/>
    <d v="2019-09-23T00:00:00"/>
  </r>
  <r>
    <n v="4150"/>
    <s v="8_국립축산과학원"/>
    <s v="2_축산자원개발부"/>
    <x v="8"/>
    <s v="박미나"/>
    <m/>
    <s v="‘장흥한우’, 효율적 개량방법 찾는다"/>
    <s v="NGTV"/>
    <d v="2019-09-22T00:00:00"/>
    <m/>
    <s v="13_인터넷포털"/>
    <n v="0.1"/>
    <d v="2019-09-23T00:00:00"/>
  </r>
  <r>
    <n v="4151"/>
    <s v="8_국립축산과학원"/>
    <s v="2_축산자원개발부"/>
    <x v="8"/>
    <s v="박미나"/>
    <m/>
    <s v="‘장흥한우’ 효율적 개량방법 찾는다"/>
    <s v="전라닷컴"/>
    <d v="2019-09-23T00:00:00"/>
    <m/>
    <s v="13_인터넷포털"/>
    <n v="0.1"/>
    <d v="2019-09-23T00:00:00"/>
  </r>
  <r>
    <n v="4152"/>
    <s v="8_국립축산과학원"/>
    <s v="0_본원"/>
    <x v="14"/>
    <s v="김의형"/>
    <s v="보도자료85"/>
    <s v="한우·젖소 일교차 큰 환절기에 호흡기 질병 ‘주의’"/>
    <s v="농업경제신문"/>
    <d v="2019-09-23T00:00:00"/>
    <m/>
    <s v="13_인터넷포털"/>
    <n v="0.1"/>
    <d v="2019-09-23T00:00:00"/>
  </r>
  <r>
    <n v="4153"/>
    <s v="8_국립축산과학원"/>
    <s v="2_축산자원개발부"/>
    <x v="12"/>
    <s v="하승민"/>
    <s v="보도자료86"/>
    <s v="한우·젖소 일교차 큰 환절기에 호흡기 질병 ‘주의’"/>
    <s v="농업경제신문"/>
    <d v="2019-09-23T00:00:00"/>
    <m/>
    <s v="13_인터넷포털"/>
    <n v="0.1"/>
    <d v="2019-09-23T00:00:00"/>
  </r>
  <r>
    <n v="4154"/>
    <s v="8_국립축산과학원"/>
    <s v="1_축산생명환경부"/>
    <x v="16"/>
    <s v="최봉환"/>
    <s v="보도자료87"/>
    <s v="대한민국 토종 삽살개, 우리 고유 품종 확인"/>
    <s v="IPN뉴스"/>
    <d v="2019-09-23T00:00:00"/>
    <m/>
    <s v="13_인터넷포털"/>
    <n v="0.1"/>
    <d v="2019-09-23T00:00:00"/>
  </r>
  <r>
    <n v="4155"/>
    <s v="8_국립축산과학원"/>
    <s v="1_축산생명환경부"/>
    <x v="16"/>
    <s v="최봉환"/>
    <s v="보도자료87"/>
    <s v="대한민국 토종 삽살개, 우리 고유 품종 확인"/>
    <s v="강원경제신문"/>
    <d v="2019-09-23T00:00:00"/>
    <m/>
    <s v="13_인터넷포털"/>
    <n v="0.1"/>
    <d v="2019-09-23T00:00:00"/>
  </r>
  <r>
    <n v="4156"/>
    <s v="8_국립축산과학원"/>
    <s v="1_축산생명환경부"/>
    <x v="16"/>
    <s v="최봉환"/>
    <s v="보도자료87"/>
    <s v="대한민국 토종 삽살개, 우리 고유 품종 확인"/>
    <s v="전남인터넷신문"/>
    <d v="2019-09-23T00:00:00"/>
    <m/>
    <s v="13_인터넷포털"/>
    <n v="0.1"/>
    <d v="2019-09-23T00:00:00"/>
  </r>
  <r>
    <n v="4157"/>
    <s v="8_국립축산과학원"/>
    <s v="1_축산생명환경부"/>
    <x v="16"/>
    <s v="임다정"/>
    <m/>
    <s v="ASF 국내 백신 개발 첫발…베트남과 손잡고 감염경로 밝힌다(KBS NEWS)"/>
    <s v="KBS RADIO"/>
    <d v="2019-09-24T00:00:00"/>
    <m/>
    <s v="05_라디오-중앙"/>
    <n v="3"/>
    <d v="2019-09-24T00:00:00"/>
  </r>
  <r>
    <n v="4158"/>
    <s v="8_국립축산과학원"/>
    <s v="1_축산생명환경부"/>
    <x v="16"/>
    <s v="임다정"/>
    <m/>
    <s v="ASF 국내 백신 개발 첫발...베트남과 손잡고 감염경로 밝힌다"/>
    <s v="연합뉴스"/>
    <d v="2019-09-24T00:00:00"/>
    <m/>
    <s v="07_중앙일간지"/>
    <n v="5"/>
    <d v="2019-09-24T00:00:00"/>
  </r>
  <r>
    <n v="4159"/>
    <s v="8_국립축산과학원"/>
    <s v="1_축산생명환경부"/>
    <x v="16"/>
    <s v="최봉환"/>
    <s v="보도자료87"/>
    <s v="대한민국 토종 삽살개, 우리 고유 품종 확인"/>
    <s v="서울신문"/>
    <d v="2019-09-23T00:00:00"/>
    <m/>
    <s v="07_중앙일간지"/>
    <n v="5"/>
    <d v="2019-09-24T00:00:00"/>
  </r>
  <r>
    <n v="4160"/>
    <s v="8_국립축산과학원"/>
    <s v="1_축산생명환경부"/>
    <x v="5"/>
    <s v="김윤석"/>
    <s v="보도자료88"/>
    <s v="농촌진흥청 ,이달의 신간(닭·오리고기 수출 규격 안내서 발간)"/>
    <s v="서울신문"/>
    <d v="2019-09-23T00:00:00"/>
    <m/>
    <s v="07_중앙일간지"/>
    <n v="5"/>
    <d v="2019-09-24T00:00:00"/>
  </r>
  <r>
    <n v="4161"/>
    <s v="8_국립축산과학원"/>
    <s v="0_본원"/>
    <x v="2"/>
    <s v="전익수"/>
    <m/>
    <s v="국립축산과학원 축산자원개발부, 함평군 이전 확정"/>
    <s v="연합뉴스"/>
    <d v="2019-09-24T00:00:00"/>
    <m/>
    <s v="07_중앙일간지"/>
    <n v="5"/>
    <d v="2019-09-24T00:00:00"/>
  </r>
  <r>
    <n v="4162"/>
    <s v="8_국립축산과학원"/>
    <s v="0_본원"/>
    <x v="2"/>
    <s v="전익수"/>
    <m/>
    <s v="국립축산과학원 축산자원개발부, 전남 함평 이전 확정"/>
    <s v="뉴스1"/>
    <d v="2019-09-24T00:00:00"/>
    <m/>
    <s v="07_중앙일간지"/>
    <n v="5"/>
    <d v="2019-09-24T00:00:00"/>
  </r>
  <r>
    <n v="4163"/>
    <s v="8_국립축산과학원"/>
    <s v="0_본원"/>
    <x v="2"/>
    <s v="전익수"/>
    <m/>
    <s v="함평군에 ‘국립축산과학원 축산자원개발부’ 들어선다"/>
    <s v="아시아경제"/>
    <d v="2019-09-24T00:00:00"/>
    <m/>
    <s v="07_중앙일간지"/>
    <n v="5"/>
    <d v="2019-09-24T00:00:00"/>
  </r>
  <r>
    <n v="4164"/>
    <s v="8_국립축산과학원"/>
    <s v="0_본원"/>
    <x v="2"/>
    <s v="전익수"/>
    <m/>
    <s v="국립축산과학원 축산자원개발부 이전 본격화"/>
    <s v="파이낸셜뉴스"/>
    <d v="2019-09-24T00:00:00"/>
    <m/>
    <s v="07_중앙일간지"/>
    <n v="5"/>
    <d v="2019-09-24T00:00:00"/>
  </r>
  <r>
    <n v="4165"/>
    <s v="8_국립축산과학원"/>
    <s v="0_본원"/>
    <x v="2"/>
    <s v="전익수"/>
    <m/>
    <s v="국립축산과학원 축산자원개발부 함평 이전 본격화"/>
    <s v="뉴시스"/>
    <d v="2019-09-24T00:00:00"/>
    <m/>
    <s v="07_중앙일간지"/>
    <n v="5"/>
    <d v="2019-09-24T00:00:00"/>
  </r>
  <r>
    <n v="4166"/>
    <s v="8_국립축산과학원"/>
    <s v="2_축산자원개발부"/>
    <x v="8"/>
    <s v="박미나"/>
    <m/>
    <s v="‘장흥한우’ 효율적 개량 방법 모색"/>
    <s v="일간투데이"/>
    <d v="2019-09-23T00:00:00"/>
    <n v="15"/>
    <s v="08_기타일간지"/>
    <n v="2"/>
    <d v="2019-09-24T00:00:00"/>
  </r>
  <r>
    <n v="4167"/>
    <s v="8_국립축산과학원"/>
    <s v="0_본원"/>
    <x v="2"/>
    <s v="전익수"/>
    <m/>
    <s v="국립축산과학원 축산자원개발부 전남 함평군 이전 확정"/>
    <s v="천지일보"/>
    <d v="2019-09-24T00:00:00"/>
    <m/>
    <s v="08_기타일간지"/>
    <n v="2"/>
    <d v="2019-09-24T00:00:00"/>
  </r>
  <r>
    <n v="4168"/>
    <s v="8_국립축산과학원"/>
    <s v="1_축산생명환경부"/>
    <x v="16"/>
    <s v="최봉환"/>
    <s v="보도자료87"/>
    <s v="‘삽살개’ 우리나라 고유 유전자 확인돼"/>
    <s v="농축유통신문"/>
    <d v="2019-09-23T00:00:00"/>
    <m/>
    <s v="09_농업전문지"/>
    <n v="1.5"/>
    <d v="2019-09-24T00:00:00"/>
  </r>
  <r>
    <n v="4169"/>
    <s v="8_국립축산과학원"/>
    <s v="0_본원"/>
    <x v="14"/>
    <s v="김의형"/>
    <s v="보도자료85"/>
    <s v="환절기 한우-젖소 호흡기 질병 관리법은?"/>
    <s v="농축유통신문"/>
    <d v="2019-09-23T00:00:00"/>
    <m/>
    <s v="09_농업전문지"/>
    <n v="1.5"/>
    <d v="2019-09-24T00:00:00"/>
  </r>
  <r>
    <n v="4170"/>
    <s v="8_국립축산과학원"/>
    <s v="2_축산자원개발부"/>
    <x v="12"/>
    <s v="하승민"/>
    <s v="보도자료86"/>
    <s v="환절기 한우-젖소 호흡기 질병 관리법은?"/>
    <s v="농축유통신문"/>
    <d v="2019-09-23T00:00:00"/>
    <m/>
    <s v="09_농업전문지"/>
    <n v="1.5"/>
    <d v="2019-09-24T00:00:00"/>
  </r>
  <r>
    <n v="4171"/>
    <s v="8_국립축산과학원"/>
    <s v="1_축산생명환경부"/>
    <x v="5"/>
    <s v="김윤석"/>
    <s v="보도자료88"/>
    <s v="농촌진흥청, 이달의 신간 소개(닭·오리고기 수출 규격 안내서 발간)"/>
    <s v="한국영농신문"/>
    <d v="2019-09-23T00:00:00"/>
    <m/>
    <s v="09_농업전문지"/>
    <n v="1.5"/>
    <d v="2019-09-24T00:00:00"/>
  </r>
  <r>
    <n v="4172"/>
    <s v="8_국립축산과학원"/>
    <s v="1_축산생명환경부"/>
    <x v="16"/>
    <s v="최봉환"/>
    <s v="보도자료87"/>
    <s v="대한민국 토종 삽살개, 우리 고유 품종 확인"/>
    <s v="한국영농신문"/>
    <d v="2019-09-23T00:00:00"/>
    <m/>
    <s v="09_농업전문지"/>
    <n v="1.5"/>
    <d v="2019-09-24T00:00:00"/>
  </r>
  <r>
    <n v="4173"/>
    <s v="8_국립축산과학원"/>
    <s v="2_축산자원개발부"/>
    <x v="8"/>
    <s v="박미나"/>
    <m/>
    <s v="‘장흥한우’ 효율적 개량방법 찾는다"/>
    <s v="전광투데이"/>
    <d v="2019-09-23T00:00:00"/>
    <n v="9"/>
    <s v="09_지방일간지"/>
    <n v="1.5"/>
    <d v="2019-09-24T00:00:00"/>
  </r>
  <r>
    <n v="4174"/>
    <s v="8_국립축산과학원"/>
    <s v="2_축산자원개발부"/>
    <x v="8"/>
    <s v="박미나"/>
    <m/>
    <s v="‘장흥한우’ 효율적 개량방법 찾는다"/>
    <s v="호남매일"/>
    <d v="2019-09-23T00:00:00"/>
    <n v="5"/>
    <s v="09_지방일간지"/>
    <n v="1.5"/>
    <d v="2019-09-24T00:00:00"/>
  </r>
  <r>
    <n v="4175"/>
    <s v="8_국립축산과학원"/>
    <s v="0_본원"/>
    <x v="2"/>
    <s v="전익수"/>
    <m/>
    <s v="국립축산과학원 축산자원개발부, 함평으로 이전"/>
    <s v="무등일보"/>
    <d v="2019-09-24T00:00:00"/>
    <m/>
    <s v="09_지방일간지"/>
    <n v="1.5"/>
    <d v="2019-09-24T00:00:00"/>
  </r>
  <r>
    <n v="4176"/>
    <s v="8_국립축산과학원"/>
    <s v="1_축산생명환경부"/>
    <x v="16"/>
    <s v="임다정"/>
    <m/>
    <s v="아프리카돼지열병 백신 개발 추진…오늘 출근길 쌀쌀"/>
    <s v="글로벌이코노믹"/>
    <d v="2019-09-24T00:00:00"/>
    <m/>
    <s v="10_주간지"/>
    <n v="1"/>
    <d v="2019-09-24T00:00:00"/>
  </r>
  <r>
    <n v="4177"/>
    <s v="8_국립축산과학원"/>
    <s v="1_축산생명환경부"/>
    <x v="16"/>
    <s v="최봉환"/>
    <s v="보도자료87"/>
    <s v="토종 삽살개, 우리 고유 품종 확인"/>
    <s v="식약일보"/>
    <d v="2019-09-23T00:00:00"/>
    <m/>
    <s v="10_기타전문지"/>
    <n v="1"/>
    <d v="2019-09-24T00:00:00"/>
  </r>
  <r>
    <n v="4178"/>
    <s v="8_국립축산과학원"/>
    <s v="0_본원"/>
    <x v="2"/>
    <s v="전익수"/>
    <m/>
    <s v="국립축산과학원 축산자원개발부 전남 함평군 이전 확정"/>
    <s v="일요서울"/>
    <d v="2019-09-24T00:00:00"/>
    <m/>
    <s v="10_주간지"/>
    <n v="1"/>
    <d v="2019-09-24T00:00:00"/>
  </r>
  <r>
    <n v="4179"/>
    <s v="8_국립축산과학원"/>
    <s v="0_본원"/>
    <x v="2"/>
    <s v="전익수"/>
    <m/>
    <s v="국립축산과학원 축산자원개발부 전남 함평군 이전 확정"/>
    <s v="대한뉴스"/>
    <d v="2019-09-24T00:00:00"/>
    <m/>
    <s v="10_기타월간지"/>
    <n v="1"/>
    <d v="2019-09-24T00:00:00"/>
  </r>
  <r>
    <n v="4180"/>
    <s v="8_국립축산과학원"/>
    <s v="0_본원"/>
    <x v="2"/>
    <s v="전익수"/>
    <m/>
    <s v="국립축산과학원 축산자원개발부 함평군 이전 확정"/>
    <s v="이뉴스투데이"/>
    <d v="2019-09-24T00:00:00"/>
    <m/>
    <s v="10_주간지"/>
    <n v="1"/>
    <d v="2019-09-24T00:00:00"/>
  </r>
  <r>
    <n v="4181"/>
    <s v="8_국립축산과학원"/>
    <s v="0_본원"/>
    <x v="2"/>
    <s v="전익수"/>
    <m/>
    <s v="국립축산과학원 축산자원개발부 전남 함평군 이전 확정"/>
    <s v="metro"/>
    <d v="2019-09-24T00:00:00"/>
    <m/>
    <s v="10_무가지"/>
    <n v="1"/>
    <d v="2019-09-24T00:00:00"/>
  </r>
  <r>
    <n v="4182"/>
    <s v="8_국립축산과학원"/>
    <s v="0_본원"/>
    <x v="2"/>
    <s v="전익수"/>
    <m/>
    <s v="국립축산과학원 축산자원개발부 함평 이전 확정"/>
    <s v="뉴스핌"/>
    <d v="2019-09-24T00:00:00"/>
    <m/>
    <s v="11_기타(지역주간지)"/>
    <n v="0.5"/>
    <d v="2019-09-24T00:00:00"/>
  </r>
  <r>
    <n v="4183"/>
    <s v="8_국립축산과학원"/>
    <s v="0_본원"/>
    <x v="2"/>
    <s v="전익수"/>
    <m/>
    <s v="국립축산과학원 축산자원개발부 전남 함평군 이전 확정"/>
    <s v="브릿지경제"/>
    <d v="2019-09-24T00:00:00"/>
    <m/>
    <s v="11_기타(지역주간지)"/>
    <n v="0.5"/>
    <d v="2019-09-24T00:00:00"/>
  </r>
  <r>
    <n v="4184"/>
    <s v="8_국립축산과학원"/>
    <s v="1_축산생명환경부"/>
    <x v="16"/>
    <s v="최봉환"/>
    <s v="보도자료87"/>
    <s v="대한민국 토종 삽살개, 우리 고유 품종 확인"/>
    <s v="뉴스에이"/>
    <d v="2019-09-23T00:00:00"/>
    <m/>
    <s v="13_인터넷포털"/>
    <n v="0.1"/>
    <d v="2019-09-24T00:00:00"/>
  </r>
  <r>
    <n v="4185"/>
    <s v="8_국립축산과학원"/>
    <s v="0_본원"/>
    <x v="2"/>
    <s v="김광식"/>
    <m/>
    <s v="농림축산식품부, 26~28 ‘국제축산박람회’... 국립축산과학원...등 참여"/>
    <s v="이코노뉴스"/>
    <d v="2019-09-23T00:00:00"/>
    <m/>
    <s v="13_인터넷포털"/>
    <n v="0.1"/>
    <d v="2019-09-24T00:00:00"/>
  </r>
  <r>
    <n v="4186"/>
    <s v="8_국립축산과학원"/>
    <s v="1_축산생명환경부"/>
    <x v="16"/>
    <s v="최봉환"/>
    <s v="보도자료87"/>
    <s v="대한민국 토종 삽살개, 우리 고유 품종 확인"/>
    <s v="농업경제신문"/>
    <d v="2019-09-24T00:00:00"/>
    <m/>
    <s v="13_인터넷포털"/>
    <n v="0.1"/>
    <d v="2019-09-24T00:00:00"/>
  </r>
  <r>
    <n v="4187"/>
    <s v="8_국립축산과학원"/>
    <s v="0_본원"/>
    <x v="2"/>
    <s v="전익수"/>
    <m/>
    <s v="함평군에 국립축산과학원 축산자원개발부 이전 확정"/>
    <s v="여성종합뉴스"/>
    <d v="2019-09-24T00:00:00"/>
    <m/>
    <s v="13_인터넷포털"/>
    <n v="0.1"/>
    <d v="2019-09-24T00:00:00"/>
  </r>
  <r>
    <n v="4188"/>
    <s v="8_국립축산과학원"/>
    <s v="0_본원"/>
    <x v="2"/>
    <s v="전익수"/>
    <m/>
    <s v="국립축산과학원 축산자원개발부 전남 함평군 이전 확정"/>
    <s v="내외뉴스통신"/>
    <d v="2019-09-24T00:00:00"/>
    <m/>
    <s v="13_인터넷포털"/>
    <n v="0.1"/>
    <d v="2019-09-24T00:00:00"/>
  </r>
  <r>
    <n v="4189"/>
    <s v="8_국립축산과학원"/>
    <s v="0_본원"/>
    <x v="2"/>
    <s v="전익수"/>
    <m/>
    <s v="국립축산과학원 축산자원개발부, 전남 함평군 이전 확정"/>
    <s v="위키트리"/>
    <d v="2019-09-24T00:00:00"/>
    <m/>
    <s v="13_인터넷포털"/>
    <n v="0.1"/>
    <d v="2019-09-24T00:00:00"/>
  </r>
  <r>
    <n v="4190"/>
    <s v="8_국립축산과학원"/>
    <s v="0_본원"/>
    <x v="2"/>
    <s v="전익수"/>
    <m/>
    <s v="국립축산과학원 축산자원개발부, 전남 함평군 이전 확정"/>
    <s v="노컷뉴스"/>
    <d v="2019-09-24T00:00:00"/>
    <m/>
    <s v="13_인터넷포털"/>
    <n v="0.1"/>
    <d v="2019-09-24T00:00:00"/>
  </r>
  <r>
    <n v="4191"/>
    <s v="8_국립축산과학원"/>
    <s v="0_본원"/>
    <x v="2"/>
    <s v="전익수"/>
    <m/>
    <s v="국립축산과학원, ‘축산자원개발부’…‘전남 함평군 이전 확정’"/>
    <s v="뉴스워커"/>
    <d v="2019-09-24T00:00:00"/>
    <m/>
    <s v="13_인터넷포털"/>
    <n v="0.1"/>
    <d v="2019-09-24T00:00:00"/>
  </r>
  <r>
    <n v="4192"/>
    <s v="8_국립축산과학원"/>
    <s v="0_본원"/>
    <x v="2"/>
    <s v="전익수"/>
    <m/>
    <s v="함평군, 국립축산과학원 축산자원개발부 함평군으로 이전 확정"/>
    <s v="뉴스타운"/>
    <d v="2019-09-24T00:00:00"/>
    <m/>
    <s v="13_인터넷포털"/>
    <n v="0.1"/>
    <d v="2019-09-24T00:00:00"/>
  </r>
  <r>
    <n v="4193"/>
    <s v="8_국립축산과학원"/>
    <s v="0_본원"/>
    <x v="2"/>
    <s v="전익수"/>
    <m/>
    <s v="국립축산과학원 축산자원개발부 전남 함평군 이전 확정"/>
    <s v="톡톡뉴스"/>
    <d v="2019-09-24T00:00:00"/>
    <m/>
    <s v="13_인터넷포털"/>
    <n v="0.1"/>
    <d v="2019-09-24T00:00:00"/>
  </r>
  <r>
    <n v="4194"/>
    <s v="8_국립축산과학원"/>
    <s v="0_본원"/>
    <x v="2"/>
    <s v="전익수"/>
    <m/>
    <s v="국립축산과학원 축산자원개발부 이전 본격화"/>
    <s v="전남인터넷신문"/>
    <d v="2019-09-24T00:00:00"/>
    <m/>
    <s v="13_인터넷포털"/>
    <n v="0.1"/>
    <d v="2019-09-24T00:00:00"/>
  </r>
  <r>
    <n v="4195"/>
    <s v="8_국립축산과학원"/>
    <s v="0_본원"/>
    <x v="2"/>
    <s v="전익수"/>
    <m/>
    <s v="국립축산과학원 축산자원개발부 함평군 이전 확정"/>
    <s v="더한국타임즈"/>
    <d v="2019-09-24T00:00:00"/>
    <m/>
    <s v="13_인터넷포털"/>
    <n v="0.1"/>
    <d v="2019-09-24T00:00:00"/>
  </r>
  <r>
    <n v="4196"/>
    <s v="8_국립축산과학원"/>
    <s v="0_본원"/>
    <x v="4"/>
    <s v="천동원"/>
    <s v="기고"/>
    <s v="[기고] 천동원 소장-축산현장 애로기술 해결 위한 닭 키우기[100문 100답]"/>
    <s v="축산신문"/>
    <d v="2019-09-24T00:00:00"/>
    <n v="15"/>
    <s v="17_농업전문지"/>
    <n v="8"/>
    <d v="2019-09-26T00:00:00"/>
  </r>
  <r>
    <n v="4197"/>
    <s v="8_국립축산과학원"/>
    <s v="1_축산생명환경부"/>
    <x v="16"/>
    <s v="임다정"/>
    <m/>
    <s v="농촌진흥청, 돼지열병 백신개발 사전연구 착수"/>
    <s v="KTV"/>
    <d v="2019-09-24T00:00:00"/>
    <m/>
    <s v="02_TV-케이블중앙"/>
    <n v="4"/>
    <d v="2019-09-26T00:00:00"/>
  </r>
  <r>
    <n v="4198"/>
    <s v="8_국립축산과학원"/>
    <s v="1_축산생명환경부"/>
    <x v="16"/>
    <s v="임다정"/>
    <m/>
    <s v="아프리카돼지열병 백신 개발 사전연구 돌입(사이언스뉴스)"/>
    <s v="YTN사이언스"/>
    <d v="2019-09-24T00:00:00"/>
    <m/>
    <s v="02_TV-케이블중앙"/>
    <n v="4"/>
    <d v="2019-09-26T00:00:00"/>
  </r>
  <r>
    <n v="4199"/>
    <s v="8_국립축산과학원"/>
    <s v="1_축산생명환경부"/>
    <x v="16"/>
    <s v="임다정"/>
    <m/>
    <s v="정부, 돼지열병 백신 개발 다음달 연구 착수(뉴스포커스)"/>
    <s v="연합뉴스TV"/>
    <d v="2019-09-24T00:00:00"/>
    <m/>
    <s v="02_TV-케이블중앙"/>
    <n v="4"/>
    <d v="2019-09-26T00:00:00"/>
  </r>
  <r>
    <n v="4200"/>
    <s v="8_국립축산과학원"/>
    <s v="1_축산생명환경부"/>
    <x v="16"/>
    <s v="임다정"/>
    <m/>
    <s v="ASF 국내 백신 개발 첫발"/>
    <s v="내일신문"/>
    <d v="2019-09-24T00:00:00"/>
    <n v="15"/>
    <s v="07_중앙일간지"/>
    <n v="5"/>
    <d v="2019-09-26T00:00:00"/>
  </r>
  <r>
    <n v="4201"/>
    <s v="8_국립축산과학원"/>
    <s v="1_축산생명환경부"/>
    <x v="16"/>
    <s v="박종은"/>
    <s v="보도자료90"/>
    <s v="돼지 등지방 발달 관여 유전자 조절 인자 찾아"/>
    <s v="서울신문"/>
    <d v="2019-09-25T00:00:00"/>
    <m/>
    <s v="07_중앙일간지"/>
    <n v="5"/>
    <d v="2019-09-26T00:00:00"/>
  </r>
  <r>
    <n v="4202"/>
    <s v="8_국립축산과학원"/>
    <s v="0_본원"/>
    <x v="2"/>
    <s v="전익수"/>
    <m/>
    <s v="축산원 자원개발부, 천안서 함평 이전 확정"/>
    <s v="아시아투데이"/>
    <d v="2019-09-26T00:00:00"/>
    <n v="23"/>
    <s v="07_중앙일간지"/>
    <n v="5"/>
    <d v="2019-09-26T00:00:00"/>
  </r>
  <r>
    <n v="4203"/>
    <s v="8_국립축산과학원"/>
    <s v="0_본원"/>
    <x v="2"/>
    <s v="전익수"/>
    <m/>
    <s v="국립축산과학원 축산자원개발부 함평 이전 확정"/>
    <s v="한국일보"/>
    <d v="2019-09-24T00:00:00"/>
    <m/>
    <s v="07_중앙일간지"/>
    <n v="5"/>
    <d v="2019-09-26T00:00:00"/>
  </r>
  <r>
    <n v="4204"/>
    <s v="8_국립축산과학원"/>
    <s v="2_축산자원개발부"/>
    <x v="6"/>
    <s v="김원호"/>
    <m/>
    <s v="“올해 파종할 맥류 정부 보급종 종자 신청하세요”"/>
    <s v="뉴시스"/>
    <d v="2019-09-25T00:00:00"/>
    <m/>
    <s v="07_중앙일간지"/>
    <n v="5"/>
    <d v="2019-09-26T00:00:00"/>
  </r>
  <r>
    <n v="4205"/>
    <s v="8_국립축산과학원"/>
    <s v="0_본원"/>
    <x v="2"/>
    <s v="전익수"/>
    <m/>
    <s v="함평군, 국립축산과학원 축산자원개발부 들어온다"/>
    <s v="서울일보"/>
    <d v="2019-09-24T00:00:00"/>
    <m/>
    <s v="08_기타일간지"/>
    <n v="2"/>
    <d v="2019-09-26T00:00:00"/>
  </r>
  <r>
    <n v="4206"/>
    <s v="8_국립축산과학원"/>
    <s v="0_본원"/>
    <x v="2"/>
    <s v="전익수"/>
    <m/>
    <s v="축산자원개발부, 함평군 이전 확정"/>
    <s v="아시아일보"/>
    <d v="2019-09-24T00:00:00"/>
    <m/>
    <s v="08_기타일간지"/>
    <n v="2"/>
    <d v="2019-09-26T00:00:00"/>
  </r>
  <r>
    <n v="4207"/>
    <s v="8_국립축산과학원"/>
    <s v="0_본원"/>
    <x v="2"/>
    <s v="전익수"/>
    <m/>
    <s v="국립축산과학원 축산자원개발부 전남 함평군 이전 확정"/>
    <s v="아시아타임즈"/>
    <d v="2019-09-24T00:00:00"/>
    <m/>
    <s v="08_기타일간지"/>
    <n v="2"/>
    <d v="2019-09-26T00:00:00"/>
  </r>
  <r>
    <n v="4208"/>
    <s v="8_국립축산과학원"/>
    <s v="1_축산생명환경부"/>
    <x v="16"/>
    <s v="박종은"/>
    <s v="보도자료90"/>
    <s v="농촌진흥청 “돼지 등지방 발달 관여 유전자 조절 인자 찾아”"/>
    <s v="매일일보"/>
    <d v="2019-09-26T00:00:00"/>
    <m/>
    <s v="08_기타일간지"/>
    <n v="2"/>
    <d v="2019-09-26T00:00:00"/>
  </r>
  <r>
    <n v="4209"/>
    <s v="8_국립축산과학원"/>
    <s v="2_축산자원개발부"/>
    <x v="0"/>
    <s v="문홍길"/>
    <m/>
    <s v="악성 가축전염병 없는 청정축산 부흥원년 마무리"/>
    <s v="서울일보"/>
    <d v="2019-09-25T00:00:00"/>
    <m/>
    <s v="08_기타일간지"/>
    <n v="2"/>
    <d v="2019-09-26T00:00:00"/>
  </r>
  <r>
    <n v="4210"/>
    <s v="8_국립축산과학원"/>
    <s v="0_본원"/>
    <x v="14"/>
    <s v="조상래"/>
    <s v="보도자료82"/>
    <s v="한우 사육 현장에 꼭 필요한 기술 알려드려요"/>
    <s v="농업축산신문"/>
    <d v="2019-09-18T00:00:00"/>
    <n v="18"/>
    <s v="09_농업전문지"/>
    <n v="1.5"/>
    <d v="2019-09-26T00:00:00"/>
  </r>
  <r>
    <n v="4211"/>
    <s v="8_국립축산과학원"/>
    <s v="2_축산자원개발부"/>
    <x v="8"/>
    <s v="박미나"/>
    <m/>
    <s v="농협축산경제, 한우 보증씨수소 선발증서 교부"/>
    <s v="농업축산신문"/>
    <d v="2019-09-18T00:00:00"/>
    <n v="12"/>
    <s v="09_농업전문지"/>
    <n v="1.5"/>
    <d v="2019-09-26T00:00:00"/>
  </r>
  <r>
    <n v="4212"/>
    <s v="8_국립축산과학원"/>
    <s v="0_본원"/>
    <x v="10"/>
    <s v="유지현"/>
    <s v="보도자료89"/>
    <s v="마분 퇴비, 정해진 양만 겨울 사료 작물에 사용해야"/>
    <s v="한국영농신문"/>
    <d v="2019-09-24T00:00:00"/>
    <m/>
    <s v="09_농업전문지"/>
    <n v="1.5"/>
    <d v="2019-09-26T00:00:00"/>
  </r>
  <r>
    <n v="4213"/>
    <s v="8_국립축산과학원"/>
    <s v="1_축산생명환경부"/>
    <x v="16"/>
    <s v="박종은"/>
    <s v="보도자료90"/>
    <s v="돼지 육량 결정하는 유전자 조절인자 찾았다"/>
    <s v="농촌여성신문"/>
    <d v="2019-09-25T00:00:00"/>
    <m/>
    <s v="09_농업전문지"/>
    <n v="1.5"/>
    <d v="2019-09-26T00:00:00"/>
  </r>
  <r>
    <n v="4214"/>
    <s v="8_국립축산과학원"/>
    <s v="0_본원"/>
    <x v="2"/>
    <s v="전익수"/>
    <m/>
    <s v="국립축산과학원 축산자원개발부 전남 함평군 이전 확정"/>
    <s v="한성일보"/>
    <d v="2019-09-24T00:00:00"/>
    <m/>
    <s v="09_지방일간지"/>
    <n v="1.5"/>
    <d v="2019-09-26T00:00:00"/>
  </r>
  <r>
    <n v="4215"/>
    <s v="8_국립축산과학원"/>
    <s v="1_축산생명환경부"/>
    <x v="16"/>
    <s v="박종은"/>
    <s v="보도자료90"/>
    <s v="농진청 돼지 등지방 발달 유전자 조절 인자 찾아"/>
    <s v="전북도민일보"/>
    <d v="2019-09-25T00:00:00"/>
    <n v="6"/>
    <s v="09_지방일간지"/>
    <n v="1.5"/>
    <d v="2019-09-26T00:00:00"/>
  </r>
  <r>
    <n v="4216"/>
    <s v="8_국립축산과학원"/>
    <s v="0_본원"/>
    <x v="2"/>
    <s v="전익수"/>
    <m/>
    <s v="국립축산과학원 축산자원개발부 함평 이전 합의…2027년까지 마무리"/>
    <s v="호남신문"/>
    <d v="2019-09-25T00:00:00"/>
    <n v="1"/>
    <s v="09_지방일간지"/>
    <n v="1.5"/>
    <d v="2019-09-26T00:00:00"/>
  </r>
  <r>
    <n v="4217"/>
    <s v="8_국립축산과학원"/>
    <s v="0_본원"/>
    <x v="2"/>
    <s v="전익수"/>
    <m/>
    <s v="국립축산과학원 축산자원개발부, 함평군 이전 확정"/>
    <s v="광주타임즈"/>
    <d v="2019-09-25T00:00:00"/>
    <n v="6"/>
    <s v="09_지방일간지"/>
    <n v="1.5"/>
    <d v="2019-09-26T00:00:00"/>
  </r>
  <r>
    <n v="4218"/>
    <s v="8_국립축산과학원"/>
    <s v="0_본원"/>
    <x v="2"/>
    <s v="전익수"/>
    <m/>
    <s v="‘국립축산과학원 축산자원개발부’ 함평군 이전 확정"/>
    <s v="호남매일"/>
    <d v="2019-09-25T00:00:00"/>
    <n v="6"/>
    <s v="09_지방일간지"/>
    <n v="1.5"/>
    <d v="2019-09-26T00:00:00"/>
  </r>
  <r>
    <n v="4219"/>
    <s v="8_국립축산과학원"/>
    <s v="0_본원"/>
    <x v="2"/>
    <s v="전익수"/>
    <m/>
    <s v="국립축산과학원 축산자원개발부 이전 본격화"/>
    <s v="광남일보"/>
    <d v="2019-09-25T00:00:00"/>
    <n v="8"/>
    <s v="09_지방일간지"/>
    <n v="1.5"/>
    <d v="2019-09-26T00:00:00"/>
  </r>
  <r>
    <n v="4220"/>
    <s v="8_국립축산과학원"/>
    <s v="0_본원"/>
    <x v="2"/>
    <s v="전익수"/>
    <m/>
    <s v="국립축산과학원 축산자원개발부 이전 확정"/>
    <s v="시대일보"/>
    <d v="2019-09-25T00:00:00"/>
    <n v="10"/>
    <s v="09_지방일간지"/>
    <n v="1.5"/>
    <d v="2019-09-26T00:00:00"/>
  </r>
  <r>
    <n v="4221"/>
    <s v="8_국립축산과학원"/>
    <s v="0_본원"/>
    <x v="2"/>
    <s v="전익수"/>
    <m/>
    <s v="국립축산과학원 개발부 함평 이전 본격화"/>
    <s v="광주매일신문"/>
    <d v="2019-09-25T00:00:00"/>
    <n v="2"/>
    <s v="09_지방일간지"/>
    <n v="1.5"/>
    <d v="2019-09-26T00:00:00"/>
  </r>
  <r>
    <n v="4222"/>
    <s v="8_국립축산과학원"/>
    <s v="0_본원"/>
    <x v="2"/>
    <s v="전익수"/>
    <m/>
    <s v="국립축산과학원 축산자원개발부 함평 이전"/>
    <s v="호남일보"/>
    <d v="2019-09-25T00:00:00"/>
    <n v="6"/>
    <s v="09_지방일간지"/>
    <n v="1.5"/>
    <d v="2019-09-26T00:00:00"/>
  </r>
  <r>
    <n v="4223"/>
    <s v="8_국립축산과학원"/>
    <s v="0_본원"/>
    <x v="2"/>
    <s v="전익수"/>
    <m/>
    <s v="축산자원개발부 ‘청정 전남’ 이전 본격화"/>
    <s v="남도일보"/>
    <d v="2019-09-25T00:00:00"/>
    <n v="3"/>
    <s v="09_지방일간지"/>
    <n v="1.5"/>
    <d v="2019-09-26T00:00:00"/>
  </r>
  <r>
    <n v="4224"/>
    <s v="8_국립축산과학원"/>
    <s v="0_본원"/>
    <x v="2"/>
    <s v="전익수"/>
    <m/>
    <s v="국립축산과학원 축산자원개발부, 함평 이전 확정"/>
    <s v="전남일보"/>
    <d v="2019-09-25T00:00:00"/>
    <n v="11"/>
    <s v="09_지방일간지"/>
    <n v="1.5"/>
    <d v="2019-09-26T00:00:00"/>
  </r>
  <r>
    <n v="4225"/>
    <s v="8_국립축산과학원"/>
    <s v="0_본원"/>
    <x v="2"/>
    <s v="전익수"/>
    <m/>
    <s v="축산자원개발부 함평군에 새둥지"/>
    <s v="시민일보"/>
    <d v="2019-09-25T00:00:00"/>
    <n v="10"/>
    <s v="09_지방일간지"/>
    <n v="1.5"/>
    <d v="2019-09-26T00:00:00"/>
  </r>
  <r>
    <n v="4226"/>
    <s v="8_국립축산과학원"/>
    <s v="0_본원"/>
    <x v="2"/>
    <s v="전익수"/>
    <m/>
    <s v="국립축산과학원 축산자원개발부 함평군 이전 확정"/>
    <s v="더대한일보"/>
    <d v="2019-09-25T00:00:00"/>
    <n v="5"/>
    <s v="09_지방일간지"/>
    <n v="1.5"/>
    <d v="2019-09-26T00:00:00"/>
  </r>
  <r>
    <n v="4227"/>
    <s v="8_국립축산과학원"/>
    <s v="0_본원"/>
    <x v="2"/>
    <s v="전익수"/>
    <m/>
    <s v="‘천안 성환 종축장’ 함평으로 이전 확정"/>
    <s v="충청투데이"/>
    <d v="2019-09-25T00:00:00"/>
    <n v="5"/>
    <s v="09_지방일간지"/>
    <n v="1.5"/>
    <d v="2019-09-26T00:00:00"/>
  </r>
  <r>
    <n v="4228"/>
    <s v="8_국립축산과학원"/>
    <s v="1_축산생명환경부"/>
    <x v="16"/>
    <s v="임다정"/>
    <m/>
    <s v="농진청, 베트남과 ASF 백신 개발 ‘첫발’"/>
    <s v="동양일보"/>
    <d v="2019-09-25T00:00:00"/>
    <n v="11"/>
    <s v="09_지방일간지"/>
    <n v="1.5"/>
    <d v="2019-09-26T00:00:00"/>
  </r>
  <r>
    <n v="4229"/>
    <s v="8_국립축산과학원"/>
    <s v="1_축산생명환경부"/>
    <x v="16"/>
    <s v="임다정"/>
    <m/>
    <s v="정부, 베트남 손잡고 ‘돼지 흑사병’ 백신 개발 사전연구 돌입"/>
    <s v="대구일보"/>
    <d v="2019-09-25T00:00:00"/>
    <n v="14"/>
    <s v="09_지방일간지"/>
    <n v="1.5"/>
    <d v="2019-09-26T00:00:00"/>
  </r>
  <r>
    <n v="4230"/>
    <s v="8_국립축산과학원"/>
    <s v="0_본원"/>
    <x v="2"/>
    <s v="전익수"/>
    <m/>
    <s v="50년 숙원 성환종축장, 전남함평 이전 최종 확정"/>
    <s v="충청일보"/>
    <d v="2019-09-24T00:00:00"/>
    <m/>
    <s v="09_지방일간지"/>
    <n v="1.5"/>
    <d v="2019-09-26T00:00:00"/>
  </r>
  <r>
    <n v="4231"/>
    <s v="8_국립축산과학원"/>
    <s v="0_본원"/>
    <x v="2"/>
    <s v="전익수"/>
    <m/>
    <s v="50년 숙원 성환종축장, 전남함평 이전 최종 확정"/>
    <s v="대전투데이"/>
    <d v="2019-09-24T00:00:00"/>
    <m/>
    <s v="09_지방일간지"/>
    <n v="1.5"/>
    <d v="2019-09-26T00:00:00"/>
  </r>
  <r>
    <n v="4232"/>
    <s v="8_국립축산과학원"/>
    <s v="0_본원"/>
    <x v="2"/>
    <s v="전익수"/>
    <m/>
    <s v="국립축산과학원 축산자원개발부 이전 본격화"/>
    <s v="도민일보"/>
    <d v="2019-09-24T00:00:00"/>
    <m/>
    <s v="09_지방일간지"/>
    <n v="1.5"/>
    <d v="2019-09-26T00:00:00"/>
  </r>
  <r>
    <n v="4233"/>
    <s v="8_국립축산과학원"/>
    <s v="0_본원"/>
    <x v="2"/>
    <s v="전익수"/>
    <m/>
    <s v="국립축산과학원 축산자원개발부 함평 이전 확정"/>
    <s v="중도일보"/>
    <d v="2019-09-24T00:00:00"/>
    <m/>
    <s v="09_지방일간지"/>
    <n v="1.5"/>
    <d v="2019-09-26T00:00:00"/>
  </r>
  <r>
    <n v="4234"/>
    <s v="8_국립축산과학원"/>
    <s v="0_본원"/>
    <x v="2"/>
    <s v="전익수"/>
    <m/>
    <s v="50년 숙원 천안 성환종축장, 함평 이전 확정"/>
    <s v="금강일보"/>
    <d v="2019-09-24T00:00:00"/>
    <m/>
    <s v="09_지방일간지"/>
    <n v="1.5"/>
    <d v="2019-09-26T00:00:00"/>
  </r>
  <r>
    <n v="4235"/>
    <s v="8_국립축산과학원"/>
    <s v="0_본원"/>
    <x v="2"/>
    <s v="전익수"/>
    <m/>
    <s v="천안 성환종축장, 전남함평 이전 최종 확정"/>
    <s v="충청신문"/>
    <d v="2019-09-25T00:00:00"/>
    <m/>
    <s v="09_지방일간지"/>
    <n v="1.5"/>
    <d v="2019-09-26T00:00:00"/>
  </r>
  <r>
    <n v="4236"/>
    <s v="8_국립축산과학원"/>
    <s v="0_본원"/>
    <x v="11"/>
    <s v="문규철"/>
    <m/>
    <s v="함양군, 태풍 피해 농가 긴급복구 일손 돕기"/>
    <s v="뉴스경남"/>
    <d v="2019-09-25T00:00:00"/>
    <m/>
    <s v="09_지방일간지"/>
    <n v="1.5"/>
    <d v="2019-09-26T00:00:00"/>
  </r>
  <r>
    <n v="4237"/>
    <s v="8_국립축산과학원"/>
    <s v="0_본원"/>
    <x v="2"/>
    <s v="전익수"/>
    <m/>
    <s v="국립축산과학원 축산자원개발부 함평군 이전 확정"/>
    <s v="프라임경제"/>
    <d v="2019-09-24T00:00:00"/>
    <m/>
    <s v="10_주간지"/>
    <n v="1"/>
    <d v="2019-09-26T00:00:00"/>
  </r>
  <r>
    <n v="4238"/>
    <s v="8_국립축산과학원"/>
    <s v="0_본원"/>
    <x v="2"/>
    <s v="전익수"/>
    <m/>
    <s v="함평군, 국립축산과학원 축산자원개발부 이전 확정"/>
    <s v="뉴스웨이"/>
    <d v="2019-09-24T00:00:00"/>
    <m/>
    <s v="10_주간지"/>
    <n v="1"/>
    <d v="2019-09-26T00:00:00"/>
  </r>
  <r>
    <n v="4239"/>
    <s v="8_국립축산과학원"/>
    <s v="1_축산생명환경부"/>
    <x v="16"/>
    <s v="박종은"/>
    <s v="보도자료90"/>
    <s v="돼지 등지방 발달 관여 유전자 조절인자 발견"/>
    <s v="식약일보"/>
    <d v="2019-09-25T00:00:00"/>
    <m/>
    <s v="10_기타전문지"/>
    <n v="1"/>
    <d v="2019-09-26T00:00:00"/>
  </r>
  <r>
    <n v="4240"/>
    <s v="8_국립축산과학원"/>
    <s v="0_본원"/>
    <x v="2"/>
    <s v="전익수"/>
    <m/>
    <s v="국립축산과학원 축산자원개발부, 함평군 이전 확정"/>
    <s v="시민의소리"/>
    <d v="2019-09-24T00:00:00"/>
    <m/>
    <s v="11_기타(지역주간지)"/>
    <n v="0.5"/>
    <d v="2019-09-26T00:00:00"/>
  </r>
  <r>
    <n v="4241"/>
    <s v="8_국립축산과학원"/>
    <s v="0_본원"/>
    <x v="2"/>
    <s v="전익수"/>
    <m/>
    <s v="국립축산과학원 축산자원개발부 함평군 이전 확정"/>
    <s v="광전매일신문"/>
    <d v="2019-09-25T00:00:00"/>
    <n v="4"/>
    <s v="11_기타(지역주간지)"/>
    <n v="0.5"/>
    <d v="2019-09-26T00:00:00"/>
  </r>
  <r>
    <n v="4242"/>
    <s v="8_국립축산과학원"/>
    <s v="0_본원"/>
    <x v="2"/>
    <s v="전익수"/>
    <m/>
    <s v="성환종축장, 전남함평 이전 최종 확정!"/>
    <s v="충남신문"/>
    <d v="2019-09-24T00:00:00"/>
    <m/>
    <s v="11_기타(지역주간지)"/>
    <n v="0.5"/>
    <d v="2019-09-26T00:00:00"/>
  </r>
  <r>
    <n v="4243"/>
    <s v="8_국립축산과학원"/>
    <s v="0_본원"/>
    <x v="2"/>
    <s v="전익수"/>
    <m/>
    <s v="국립축산과학원 축산자원개발부 전남 함평군으로 이전 확정"/>
    <s v="한국공보뉴스"/>
    <d v="2019-09-24T00:00:00"/>
    <m/>
    <s v="13_인터넷포털"/>
    <n v="0.1"/>
    <d v="2019-09-26T00:00:00"/>
  </r>
  <r>
    <n v="4244"/>
    <s v="8_국립축산과학원"/>
    <s v="0_본원"/>
    <x v="2"/>
    <s v="전익수"/>
    <m/>
    <s v="국립축산과학원 축산자원개발부... 전남 함평군 이전 확정"/>
    <s v="로컬투데이"/>
    <d v="2019-09-24T00:00:00"/>
    <m/>
    <s v="13_인터넷포털"/>
    <n v="0.1"/>
    <d v="2019-09-26T00:00:00"/>
  </r>
  <r>
    <n v="4245"/>
    <s v="8_국립축산과학원"/>
    <s v="0_본원"/>
    <x v="2"/>
    <s v="전익수"/>
    <m/>
    <s v="국립축산과학원 축산자원개발부 전남 함평군 이전 확정"/>
    <s v="케이에스피뉴스"/>
    <d v="2019-09-24T00:00:00"/>
    <m/>
    <s v="13_인터넷포털"/>
    <n v="0.1"/>
    <d v="2019-09-26T00:00:00"/>
  </r>
  <r>
    <n v="4246"/>
    <s v="8_국립축산과학원"/>
    <s v="0_본원"/>
    <x v="2"/>
    <s v="전익수"/>
    <m/>
    <s v="국립축산과학원 축산자원개발부, 함평군 이전 확정"/>
    <s v="프레시안"/>
    <d v="2019-09-24T00:00:00"/>
    <m/>
    <s v="13_인터넷포털"/>
    <n v="0.1"/>
    <d v="2019-09-26T00:00:00"/>
  </r>
  <r>
    <n v="4247"/>
    <s v="8_국립축산과학원"/>
    <s v="0_본원"/>
    <x v="2"/>
    <s v="전익수"/>
    <m/>
    <s v="국립축산과학원 축산자원개발부 전남 함평군 이전확정"/>
    <s v="호남타임즈"/>
    <d v="2019-09-24T00:00:00"/>
    <m/>
    <s v="13_인터넷포털"/>
    <n v="0.1"/>
    <d v="2019-09-26T00:00:00"/>
  </r>
  <r>
    <n v="4248"/>
    <s v="8_국립축산과학원"/>
    <s v="0_본원"/>
    <x v="2"/>
    <s v="전익수"/>
    <m/>
    <s v="국립축산과학원 축산자원개발부 전남 함평군 이전 확정"/>
    <s v="일등방송"/>
    <d v="2019-09-24T00:00:00"/>
    <m/>
    <s v="13_인터넷포털"/>
    <n v="0.1"/>
    <d v="2019-09-26T00:00:00"/>
  </r>
  <r>
    <n v="4249"/>
    <s v="8_국립축산과학원"/>
    <s v="0_본원"/>
    <x v="2"/>
    <s v="전익수"/>
    <m/>
    <s v="국립축산과학원 축산자원개발부 이전 본격화"/>
    <s v="남도방송"/>
    <d v="2019-09-24T00:00:00"/>
    <m/>
    <s v="13_인터넷포털"/>
    <n v="0.1"/>
    <d v="2019-09-26T00:00:00"/>
  </r>
  <r>
    <n v="4250"/>
    <s v="8_국립축산과학원"/>
    <s v="0_본원"/>
    <x v="2"/>
    <s v="전익수"/>
    <m/>
    <s v="축산자원개발부 전남 함평 이전 확정"/>
    <s v="포커스데일리"/>
    <d v="2019-09-24T00:00:00"/>
    <m/>
    <s v="13_인터넷포털"/>
    <n v="0.1"/>
    <d v="2019-09-26T00:00:00"/>
  </r>
  <r>
    <n v="4251"/>
    <s v="8_국립축산과학원"/>
    <s v="0_본원"/>
    <x v="2"/>
    <s v="전익수"/>
    <m/>
    <s v="천안 성환종축장, 전남함평 이전 최종 확정"/>
    <s v="백제뉴스"/>
    <d v="2019-09-24T00:00:00"/>
    <m/>
    <s v="13_인터넷포털"/>
    <n v="0.1"/>
    <d v="2019-09-26T00:00:00"/>
  </r>
  <r>
    <n v="4252"/>
    <s v="8_국립축산과학원"/>
    <s v="0_본원"/>
    <x v="2"/>
    <s v="전익수"/>
    <m/>
    <s v="국립축산과학원 축산자원개발부 전남 함평군 이전 확정"/>
    <s v="한국농어촌방송"/>
    <d v="2019-09-24T00:00:00"/>
    <m/>
    <s v="13_인터넷포털"/>
    <n v="0.1"/>
    <d v="2019-09-26T00:00:00"/>
  </r>
  <r>
    <n v="4253"/>
    <s v="8_국립축산과학원"/>
    <s v="0_본원"/>
    <x v="2"/>
    <s v="전익수"/>
    <m/>
    <s v="국립축산과학원 축산자원개발부, 함평군 이전 확정"/>
    <s v="미디어전남"/>
    <d v="2019-09-24T00:00:00"/>
    <m/>
    <s v="13_인터넷포털"/>
    <n v="0.1"/>
    <d v="2019-09-26T00:00:00"/>
  </r>
  <r>
    <n v="4254"/>
    <s v="8_국립축산과학원"/>
    <s v="0_본원"/>
    <x v="2"/>
    <s v="전익수"/>
    <m/>
    <s v="‘국립축산과학원 축산자원개발부 함평 이전’ 사실상 확정"/>
    <s v="중앙통신뉴스"/>
    <d v="2019-09-24T00:00:00"/>
    <m/>
    <s v="13_인터넷포털"/>
    <n v="0.1"/>
    <d v="2019-09-26T00:00:00"/>
  </r>
  <r>
    <n v="4255"/>
    <s v="8_국립축산과학원"/>
    <s v="0_본원"/>
    <x v="2"/>
    <s v="전익수"/>
    <m/>
    <s v="국립축산과학원 축산자원개발부 전남 함평군 이전 확정"/>
    <s v="전라닷컴"/>
    <d v="2019-09-24T00:00:00"/>
    <m/>
    <s v="13_인터넷포털"/>
    <n v="0.1"/>
    <d v="2019-09-26T00:00:00"/>
  </r>
  <r>
    <n v="4256"/>
    <s v="8_국립축산과학원"/>
    <s v="0_본원"/>
    <x v="2"/>
    <s v="전익수"/>
    <m/>
    <s v="천안 성환종축장, 전남 함평군 이전 확정"/>
    <s v="디트뉴스24"/>
    <d v="2019-09-24T00:00:00"/>
    <m/>
    <s v="13_인터넷포털"/>
    <n v="0.1"/>
    <d v="2019-09-26T00:00:00"/>
  </r>
  <r>
    <n v="4257"/>
    <s v="8_국립축산과학원"/>
    <s v="0_본원"/>
    <x v="2"/>
    <s v="전익수"/>
    <m/>
    <s v="국립축산과학원 축산자원개발부 전남 함평군 이전 확정"/>
    <s v="NGTV"/>
    <d v="2019-09-24T00:00:00"/>
    <m/>
    <s v="13_인터넷포털"/>
    <n v="0.1"/>
    <d v="2019-09-26T00:00:00"/>
  </r>
  <r>
    <n v="4258"/>
    <s v="8_국립축산과학원"/>
    <s v="0_본원"/>
    <x v="2"/>
    <s v="전익수"/>
    <m/>
    <s v="함평군, 국립축산과학원 축산자원개발부 전남 함평군 이전 확정"/>
    <s v="투데이광주"/>
    <d v="2019-09-25T00:00:00"/>
    <m/>
    <s v="13_인터넷포털"/>
    <n v="0.1"/>
    <d v="2019-09-26T00:00:00"/>
  </r>
  <r>
    <n v="4259"/>
    <s v="8_국립축산과학원"/>
    <s v="1_축산생명환경부"/>
    <x v="16"/>
    <s v="임다정"/>
    <m/>
    <s v="한-베트남, 돼지열병 유전자발현 양상 감염 분석 공동연구 착수"/>
    <s v="메디컬투데이"/>
    <d v="2019-09-25T00:00:00"/>
    <m/>
    <s v="13_인터넷포털"/>
    <n v="0.1"/>
    <d v="2019-09-26T00:00:00"/>
  </r>
  <r>
    <n v="4260"/>
    <s v="8_국립축산과학원"/>
    <s v="0_본원"/>
    <x v="2"/>
    <s v="전익수"/>
    <m/>
    <s v="국립축산과학원 축산자원개발부, 전남 함평군 이전 확정"/>
    <s v="빅데이터뉴스"/>
    <d v="2019-09-25T00:00:00"/>
    <m/>
    <s v="13_인터넷포털"/>
    <n v="0.1"/>
    <d v="2019-09-26T00:00:00"/>
  </r>
  <r>
    <n v="4261"/>
    <s v="8_국립축산과학원"/>
    <s v="0_본원"/>
    <x v="2"/>
    <s v="전익수"/>
    <m/>
    <s v="함평군, “국립축산과학원 자원개발부 이전 확정”"/>
    <s v="데일리저널"/>
    <d v="2019-09-25T00:00:00"/>
    <m/>
    <s v="13_인터넷포털"/>
    <n v="0.1"/>
    <d v="2019-09-26T00:00:00"/>
  </r>
  <r>
    <n v="4262"/>
    <s v="8_국립축산과학원"/>
    <s v="0_본원"/>
    <x v="10"/>
    <s v="유지현"/>
    <s v="보도자료89"/>
    <s v="마분 퇴비, 정량만 겨울 사료작물에 사용해야"/>
    <s v="농업경제신문"/>
    <d v="2019-09-25T00:00:00"/>
    <m/>
    <s v="13_인터넷포털"/>
    <n v="0.1"/>
    <d v="2019-09-26T00:00:00"/>
  </r>
  <r>
    <n v="4263"/>
    <s v="8_국립축산과학원"/>
    <s v="0_본원"/>
    <x v="11"/>
    <s v="문규철"/>
    <m/>
    <s v="함양군 태풍 피해 농가 긴급복구 일손 돕기"/>
    <s v="케이에스피뉴스"/>
    <d v="2019-09-25T00:00:00"/>
    <m/>
    <s v="13_인터넷포털"/>
    <n v="0.1"/>
    <d v="2019-09-26T00:00:00"/>
  </r>
  <r>
    <n v="4264"/>
    <s v="8_국립축산과학원"/>
    <s v="0_본원"/>
    <x v="2"/>
    <s v="전익수"/>
    <m/>
    <s v="천안 축산과학원 함평 이전 최종 확정"/>
    <s v="MBC광주"/>
    <d v="2019-09-25T00:00:00"/>
    <m/>
    <s v="02_TV-지방"/>
    <n v="4"/>
    <d v="2019-09-27T00:00:00"/>
  </r>
  <r>
    <n v="4265"/>
    <s v="8_국립축산과학원"/>
    <s v="0_본원"/>
    <x v="2"/>
    <s v="전익수"/>
    <m/>
    <s v="국립축산과학원 축산자원개발부 함평 이전 확정"/>
    <s v="전업농신문"/>
    <d v="2019-09-26T00:00:00"/>
    <m/>
    <s v="09_농업전문지"/>
    <n v="1.5"/>
    <d v="2019-09-27T00:00:00"/>
  </r>
  <r>
    <n v="4266"/>
    <s v="8_국립축산과학원"/>
    <s v="0_본원"/>
    <x v="14"/>
    <s v="김의형"/>
    <s v="보도자료85"/>
    <s v="한우·젖소, 환절기 질병 주의하세요~"/>
    <s v="농촌여성신문"/>
    <d v="2019-09-20T00:00:00"/>
    <m/>
    <s v="09_농업전문지"/>
    <n v="1.5"/>
    <d v="2019-09-27T00:00:00"/>
  </r>
  <r>
    <n v="4267"/>
    <s v="8_국립축산과학원"/>
    <s v="2_축산자원개발부"/>
    <x v="12"/>
    <s v="하승민"/>
    <s v="보도자료86"/>
    <s v="한우·젖소, 환절기 질병 주의하세요~"/>
    <s v="농촌여성신문"/>
    <d v="2019-09-20T00:00:00"/>
    <m/>
    <s v="09_농업전문지"/>
    <n v="1.5"/>
    <d v="2019-09-27T00:00:00"/>
  </r>
  <r>
    <n v="4268"/>
    <s v="8_국립축산과학원"/>
    <s v="1_축산생명환경부"/>
    <x v="16"/>
    <s v="박종은"/>
    <s v="보도자료90"/>
    <s v="돼지 등지방 살 찌우는 유전자 찾았다"/>
    <s v="대한급식신문"/>
    <d v="2019-09-26T00:00:00"/>
    <m/>
    <s v="09_농업전문지"/>
    <n v="1.5"/>
    <d v="2019-09-27T00:00:00"/>
  </r>
  <r>
    <n v="4269"/>
    <s v="8_국립축산과학원"/>
    <s v="0_본원"/>
    <x v="10"/>
    <s v="유지현"/>
    <s v="보도자료89"/>
    <s v="마분 퇴비, 정량만 겨울사료작물에 뿌리세요~"/>
    <s v="농촌여성신문"/>
    <d v="2019-09-24T00:00:00"/>
    <m/>
    <s v="09_농업전문지"/>
    <n v="1.5"/>
    <d v="2019-09-27T00:00:00"/>
  </r>
  <r>
    <n v="4270"/>
    <s v="8_국립축산과학원"/>
    <s v="0_본원"/>
    <x v="10"/>
    <s v="유지현"/>
    <s v="보도자료89"/>
    <s v="‘마분퇴비’로 수질오염 줄이고 농작물수량 확보"/>
    <s v="영농자재신문"/>
    <d v="2019-09-25T00:00:00"/>
    <m/>
    <s v="09_농업전문지"/>
    <n v="1.5"/>
    <d v="2019-09-27T00:00:00"/>
  </r>
  <r>
    <n v="4271"/>
    <s v="8_국립축산과학원"/>
    <s v="1_축산생명환경부"/>
    <x v="16"/>
    <s v="박종은"/>
    <s v="보도자료90"/>
    <s v="돼지 등지방 발달 관여 유전자 조절 인자 찾아"/>
    <s v="농업인신문"/>
    <d v="2019-09-27T00:00:00"/>
    <m/>
    <s v="09_농업전문지"/>
    <n v="1.5"/>
    <d v="2019-09-27T00:00:00"/>
  </r>
  <r>
    <n v="4272"/>
    <s v="8_국립축산과학원"/>
    <s v="0_본원"/>
    <x v="2"/>
    <s v="전익수"/>
    <m/>
    <s v="함평에 축산과학원 자원개발부 온다"/>
    <s v="전남매일"/>
    <d v="2019-09-25T00:00:00"/>
    <m/>
    <s v="09_지방일간지"/>
    <n v="1.5"/>
    <d v="2019-09-27T00:00:00"/>
  </r>
  <r>
    <n v="4273"/>
    <s v="8_국립축산과학원"/>
    <s v="0_본원"/>
    <x v="11"/>
    <s v="문규철"/>
    <m/>
    <s v="함양군 태풍 피해 농가 긴급복구, 70여 명 비닐하우스 복구잡업"/>
    <s v="한남일보"/>
    <d v="2019-09-26T00:00:00"/>
    <m/>
    <s v="09_지방일간지"/>
    <n v="1.5"/>
    <d v="2019-09-27T00:00:00"/>
  </r>
  <r>
    <n v="4274"/>
    <s v="8_국립축산과학원"/>
    <s v="0_본원"/>
    <x v="11"/>
    <s v="문규철"/>
    <m/>
    <s v="함양 공무원들, 태풍 피해 농가 긴급복구 지원"/>
    <s v="경남일보"/>
    <d v="2019-09-26T00:00:00"/>
    <m/>
    <s v="09_지방일간지"/>
    <n v="1.5"/>
    <d v="2019-09-27T00:00:00"/>
  </r>
  <r>
    <n v="4275"/>
    <s v="8_국립축산과학원"/>
    <s v="2_축산자원개발부"/>
    <x v="6"/>
    <s v="김원호"/>
    <m/>
    <s v="장흥, 양질 조사료 안정적 생산 노력"/>
    <s v="한우신문"/>
    <d v="2019-09-17T00:00:00"/>
    <n v="5"/>
    <s v="10_기타전문지"/>
    <n v="1"/>
    <d v="2019-09-27T00:00:00"/>
  </r>
  <r>
    <n v="4276"/>
    <s v="8_국립축산과학원"/>
    <s v="0_본원"/>
    <x v="14"/>
    <s v="한만희"/>
    <m/>
    <s v="비타민A 함량 높으면 지방축적 저하로 육질등급 낮아"/>
    <s v="한우신문"/>
    <d v="2019-09-17T00:00:00"/>
    <n v="12"/>
    <s v="10_기타전문지"/>
    <n v="1"/>
    <d v="2019-09-27T00:00:00"/>
  </r>
  <r>
    <n v="4277"/>
    <s v="8_국립축산과학원"/>
    <s v="0_본원"/>
    <x v="14"/>
    <s v="조상래"/>
    <s v="보도자료82"/>
    <s v="전국 101개 농가 ‘한우종합기술교육’ 실시"/>
    <s v="한우신문"/>
    <d v="2019-09-17T00:00:00"/>
    <n v="15"/>
    <s v="10_기타전문지"/>
    <n v="1"/>
    <d v="2019-09-27T00:00:00"/>
  </r>
  <r>
    <n v="4278"/>
    <s v="8_국립축산과학원"/>
    <s v="2_축산자원개발부"/>
    <x v="12"/>
    <s v="기광석"/>
    <m/>
    <s v="효소제, 미생물 이용 일반 사료첨가제"/>
    <s v="낙농신문"/>
    <d v="2019-09-26T00:00:00"/>
    <n v="13"/>
    <s v="10_기타전문지"/>
    <n v="1"/>
    <d v="2019-09-27T00:00:00"/>
  </r>
  <r>
    <n v="4279"/>
    <s v="8_국립축산과학원"/>
    <s v="2_축산자원개발부"/>
    <x v="12"/>
    <s v="기광석"/>
    <m/>
    <s v="태아성장 필요 영양소 임신말기 증가"/>
    <s v="낙농신문"/>
    <d v="2019-09-26T00:00:00"/>
    <n v="14"/>
    <s v="10_기타전문지"/>
    <n v="1"/>
    <d v="2019-09-27T00:00:00"/>
  </r>
  <r>
    <n v="4280"/>
    <s v="8_국립축산과학원"/>
    <s v="0_본원"/>
    <x v="14"/>
    <s v="김의형"/>
    <s v="보도자료85"/>
    <s v="한우와 젖소, 환절기 질병에 주의 하세요"/>
    <s v="정책브리핑"/>
    <d v="2019-09-19T00:00:00"/>
    <m/>
    <s v="12_대한민국 정책포털(korea.kr)"/>
    <n v="1"/>
    <d v="2019-09-27T00:00:00"/>
  </r>
  <r>
    <n v="4281"/>
    <s v="8_국립축산과학원"/>
    <s v="2_축산자원개발부"/>
    <x v="12"/>
    <s v="하승민"/>
    <s v="보도자료86"/>
    <s v="한우와 젖소, 환절기 질병에 주의 하세요"/>
    <s v="정책브리핑"/>
    <d v="2019-09-19T00:00:00"/>
    <m/>
    <s v="12_대한민국 정책포털(korea.kr)"/>
    <n v="1"/>
    <d v="2019-09-27T00:00:00"/>
  </r>
  <r>
    <n v="4282"/>
    <s v="8_국립축산과학원"/>
    <s v="1_축산생명환경부"/>
    <x v="16"/>
    <s v="최봉환"/>
    <s v="보도자료87"/>
    <s v="대한민국 토종 삽살개, 우리 고유 품종 확인"/>
    <s v="정책브리핑"/>
    <d v="2019-09-23T00:00:00"/>
    <m/>
    <s v="12_대한민국 정책포털(korea.kr)"/>
    <n v="1"/>
    <d v="2019-09-27T00:00:00"/>
  </r>
  <r>
    <n v="4283"/>
    <s v="8_국립축산과학원"/>
    <s v="1_축산생명환경부"/>
    <x v="5"/>
    <s v="김윤석"/>
    <s v="보도자료88"/>
    <s v="농촌진흥청, 이달의 신간(닭·오리고기 수출 규격 안내서 발간)"/>
    <s v="정책브리핑"/>
    <d v="2019-09-23T00:00:00"/>
    <m/>
    <s v="12_대한민국 정책포털(korea.kr)"/>
    <n v="1"/>
    <d v="2019-09-27T00:00:00"/>
  </r>
  <r>
    <n v="4284"/>
    <s v="8_국립축산과학원"/>
    <s v="0_본원"/>
    <x v="10"/>
    <s v="유지현"/>
    <s v="보도자료89"/>
    <s v="마분 퇴비, 정해진 양만 겨울 사료작물에 뿌리세요"/>
    <s v="정책브리핑"/>
    <d v="2019-09-24T00:00:00"/>
    <m/>
    <s v="12_대한민국 정책포털(korea.kr)"/>
    <n v="1"/>
    <d v="2019-09-27T00:00:00"/>
  </r>
  <r>
    <n v="4285"/>
    <s v="8_국립축산과학원"/>
    <s v="1_축산생명환경부"/>
    <x v="16"/>
    <s v="박종은"/>
    <s v="보도자료90"/>
    <s v="돼지 등지방 발달 관여 유전자 조절 인자 찾아"/>
    <s v="정책브리핑"/>
    <d v="2019-09-25T00:00:00"/>
    <m/>
    <s v="12_대한민국 정책포털(korea.kr)"/>
    <n v="1"/>
    <d v="2019-09-27T00:00:00"/>
  </r>
  <r>
    <n v="4286"/>
    <s v="8_국립축산과학원"/>
    <s v="0_본원"/>
    <x v="11"/>
    <s v="문규철"/>
    <m/>
    <s v="함양군 태풍 피해 농가 긴급복구 일손 돕기"/>
    <s v="세계타임즈"/>
    <d v="2019-09-25T00:00:00"/>
    <m/>
    <s v="11_기타(지역주간지)"/>
    <n v="0.5"/>
    <d v="2019-09-27T00:00:00"/>
  </r>
  <r>
    <n v="4287"/>
    <s v="8_국립축산과학원"/>
    <s v="0_본원"/>
    <x v="11"/>
    <s v="문규철"/>
    <m/>
    <s v="함양군 태풍 피해 농가 긴급복구 일손 돕기"/>
    <s v="경남데일리"/>
    <d v="2019-09-25T00:00:00"/>
    <m/>
    <s v="13_인터넷포털"/>
    <n v="0.1"/>
    <d v="2019-09-27T00:00:00"/>
  </r>
  <r>
    <n v="4288"/>
    <s v="8_국립축산과학원"/>
    <s v="0_본원"/>
    <x v="11"/>
    <s v="문규철"/>
    <m/>
    <s v="함양군 태풍 피해 농가 긴급복구 일손돕기"/>
    <s v="서울시정일보"/>
    <d v="2019-09-25T00:00:00"/>
    <m/>
    <s v="13_인터넷포털"/>
    <n v="0.1"/>
    <d v="2019-09-27T00:00:00"/>
  </r>
  <r>
    <n v="4289"/>
    <s v="8_국립축산과학원"/>
    <s v="0_본원"/>
    <x v="11"/>
    <s v="문규철"/>
    <m/>
    <s v="군, 태풍 피해 농가 긴급 복구 일손 돕기"/>
    <s v="쿠키뉴스"/>
    <d v="2019-09-25T00:00:00"/>
    <m/>
    <s v="13_인터넷포털"/>
    <n v="0.1"/>
    <d v="2019-09-27T00:00:00"/>
  </r>
  <r>
    <n v="4290"/>
    <s v="8_국립축산과학원"/>
    <s v="0_본원"/>
    <x v="2"/>
    <s v="전익수"/>
    <m/>
    <s v="국립축산과학원 축산자원개발부 전남 함평군 이전 확정"/>
    <s v="브레이크뉴스"/>
    <d v="2019-09-26T00:00:00"/>
    <m/>
    <s v="13_인터넷포털"/>
    <n v="0.1"/>
    <d v="2019-09-27T00:00:00"/>
  </r>
  <r>
    <n v="4291"/>
    <s v="8_국립축산과학원"/>
    <s v="1_축산생명환경부"/>
    <x v="16"/>
    <s v="박종은"/>
    <s v="보도자료90"/>
    <s v="농진청 “돼지 등지방 발달 관여 유전자 조절 인자 찾아”"/>
    <s v="농업경제신문"/>
    <d v="2019-09-26T00:00:00"/>
    <m/>
    <s v="13_인터넷포털"/>
    <n v="0.1"/>
    <d v="2019-09-27T00:00:00"/>
  </r>
  <r>
    <n v="4292"/>
    <s v="8_국립축산과학원"/>
    <s v="0_본원"/>
    <x v="14"/>
    <s v="김의형"/>
    <s v="보도자료85"/>
    <s v="농진청, 환절기 한우·젖소 호흡기 질병 주의 당부"/>
    <s v="프레시안"/>
    <d v="2019-09-19T00:00:00"/>
    <m/>
    <s v="13_인터넷포털"/>
    <n v="0.1"/>
    <d v="2019-09-27T00:00:00"/>
  </r>
  <r>
    <n v="4293"/>
    <s v="8_국립축산과학원"/>
    <s v="2_축산자원개발부"/>
    <x v="12"/>
    <s v="하승민"/>
    <s v="보도자료86"/>
    <s v="농진청, 환절기 한우·젖소 호흡기 질병 주의 당부"/>
    <s v="프레시안"/>
    <d v="2019-09-19T00:00:00"/>
    <m/>
    <s v="13_인터넷포털"/>
    <n v="0.1"/>
    <d v="2019-09-27T00:00:00"/>
  </r>
  <r>
    <n v="4294"/>
    <s v="8_국립축산과학원"/>
    <s v="1_축산생명환경부"/>
    <x v="16"/>
    <s v="최봉환"/>
    <s v="보도자료87"/>
    <s v="대한민국 토종 삽살개, 우리 고유 품종 확인"/>
    <s v="미디어투데이"/>
    <d v="2019-09-23T00:00:00"/>
    <m/>
    <s v="13_인터넷포털"/>
    <n v="0.1"/>
    <d v="2019-09-27T00:00:00"/>
  </r>
  <r>
    <n v="4295"/>
    <s v="8_국립축산과학원"/>
    <s v="1_축산생명환경부"/>
    <x v="16"/>
    <s v="최봉환"/>
    <s v="보도자료87"/>
    <s v="농진청, 대한민국 토종 삽살개...우리 고유 품종 확인"/>
    <s v="로컬투데이"/>
    <d v="2019-09-23T00:00:00"/>
    <m/>
    <s v="13_인터넷포털"/>
    <n v="0.1"/>
    <d v="2019-09-27T00:00:00"/>
  </r>
  <r>
    <n v="4296"/>
    <s v="8_국립축산과학원"/>
    <s v="1_축산생명환경부"/>
    <x v="16"/>
    <s v="최봉환"/>
    <s v="보도자료87"/>
    <s v="대한민국 토종 삽살개, 우리 고유 품종 확인"/>
    <s v="뉴스렙"/>
    <d v="2019-09-23T00:00:00"/>
    <m/>
    <s v="13_인터넷포털"/>
    <n v="0.1"/>
    <d v="2019-09-27T00:00:00"/>
  </r>
  <r>
    <n v="4297"/>
    <s v="8_국립축산과학원"/>
    <s v="1_축산생명환경부"/>
    <x v="16"/>
    <s v="최봉환"/>
    <s v="보도자료87"/>
    <s v="대한민국 토종 삽살개, 우리 고유 품종 확인"/>
    <s v="업코리아"/>
    <d v="2019-09-23T00:00:00"/>
    <m/>
    <s v="13_인터넷포털"/>
    <n v="0.1"/>
    <d v="2019-09-27T00:00:00"/>
  </r>
  <r>
    <n v="4298"/>
    <s v="8_국립축산과학원"/>
    <s v="1_축산생명환경부"/>
    <x v="16"/>
    <s v="최봉환"/>
    <s v="보도자료87"/>
    <s v="삽살개, 외국개와 섞이지 않은 ‘순종’ 인증"/>
    <s v="세이프타임즈"/>
    <d v="2019-09-23T00:00:00"/>
    <m/>
    <s v="13_인터넷포털"/>
    <n v="0.1"/>
    <d v="2019-09-27T00:00:00"/>
  </r>
  <r>
    <n v="4299"/>
    <s v="8_국립축산과학원"/>
    <s v="1_축산생명환경부"/>
    <x v="16"/>
    <s v="최봉환"/>
    <s v="보도자료87"/>
    <s v="대한민국 토종 삽살개, 유전적 독창성 밝히다"/>
    <s v="코리안스피릿"/>
    <d v="2019-09-23T00:00:00"/>
    <m/>
    <s v="13_인터넷포털"/>
    <n v="0.1"/>
    <d v="2019-09-27T00:00:00"/>
  </r>
  <r>
    <n v="4300"/>
    <s v="8_국립축산과학원"/>
    <s v="1_축산생명환경부"/>
    <x v="16"/>
    <s v="최봉환"/>
    <s v="보도자료87"/>
    <s v="농진청, 대한민국 토종 삽살개, 우리 고유 품종 확인"/>
    <s v="KNS뉴스통신"/>
    <d v="2019-09-23T00:00:00"/>
    <m/>
    <s v="13_인터넷포털"/>
    <n v="0.1"/>
    <d v="2019-09-27T00:00:00"/>
  </r>
  <r>
    <n v="4301"/>
    <s v="8_국립축산과학원"/>
    <s v="1_축산생명환경부"/>
    <x v="16"/>
    <s v="최봉환"/>
    <s v="보도자료87"/>
    <s v="대한민국 토종 삽살개, 우리 고유 품종 확인"/>
    <s v="더뉴스코리아"/>
    <d v="2019-09-23T00:00:00"/>
    <m/>
    <s v="13_인터넷포털"/>
    <n v="0.1"/>
    <d v="2019-09-27T00:00:00"/>
  </r>
  <r>
    <n v="4302"/>
    <s v="8_국립축산과학원"/>
    <s v="1_축산생명환경부"/>
    <x v="16"/>
    <s v="최봉환"/>
    <s v="보도자료87"/>
    <s v="토종 삽살개, 대한민국 고유 품종 확인"/>
    <s v="우리문화신문"/>
    <d v="2019-09-24T00:00:00"/>
    <m/>
    <s v="13_인터넷포털"/>
    <n v="0.1"/>
    <d v="2019-09-27T00:00:00"/>
  </r>
  <r>
    <n v="4303"/>
    <s v="8_국립축산과학원"/>
    <s v="1_축산생명환경부"/>
    <x v="9"/>
    <s v="이동현"/>
    <m/>
    <s v="예천군농업기술센터, 청년농업인 한우 아카데미"/>
    <s v="예천뉴스"/>
    <d v="2019-09-26T00:00:00"/>
    <m/>
    <s v="13_인터넷포털"/>
    <n v="0.1"/>
    <d v="2019-09-27T00:00:00"/>
  </r>
  <r>
    <n v="4304"/>
    <s v="8_국립축산과학원"/>
    <s v="0_본원"/>
    <x v="10"/>
    <s v="유지현"/>
    <s v="보도자료89"/>
    <s v="농진청, “마분 퇴비, 정해진 양만 겨울 사료작물에 뿌리세요”"/>
    <s v="KNS뉴스통신"/>
    <d v="2019-09-24T00:00:00"/>
    <m/>
    <s v="13_인터넷포털"/>
    <n v="0.1"/>
    <d v="2019-09-27T00:00:00"/>
  </r>
  <r>
    <n v="4305"/>
    <s v="8_국립축산과학원"/>
    <s v="1_축산생명환경부"/>
    <x v="16"/>
    <s v="박종은"/>
    <s v="보도자료90"/>
    <s v="돼지 등지방 발달 관여 유전자 조절 인자 찾아"/>
    <s v="뉴스쉐어"/>
    <d v="2019-09-25T00:00:00"/>
    <m/>
    <s v="13_인터넷포털"/>
    <n v="0.1"/>
    <d v="2019-09-27T00:00:00"/>
  </r>
  <r>
    <n v="4306"/>
    <s v="8_국립축산과학원"/>
    <s v="0_본원"/>
    <x v="4"/>
    <s v="천동원"/>
    <s v="기고"/>
    <s v="[기고] 천동원 소장-축산현장 애로기술 해결 위한 닭 키우기[100문 100답]"/>
    <s v="축산신문"/>
    <d v="2019-09-27T00:00:00"/>
    <n v="15"/>
    <s v="17_농업전문지"/>
    <n v="8"/>
    <d v="2019-09-30T00:00:00"/>
  </r>
  <r>
    <n v="4307"/>
    <s v="8_국립축산과학원"/>
    <s v="2_축산자원개발부"/>
    <x v="0"/>
    <s v="정학재"/>
    <s v="기고"/>
    <s v="[기고] 정학재 연구사-돼지 동결정액으로 인공수정과 수태율 개선"/>
    <s v="농수축산신문"/>
    <d v="2019-09-27T00:00:00"/>
    <n v="14"/>
    <s v="17_농업전문지"/>
    <n v="8"/>
    <d v="2019-09-30T00:00:00"/>
  </r>
  <r>
    <n v="4308"/>
    <s v="8_국립축산과학원"/>
    <s v="1_축산생명환경부"/>
    <x v="16"/>
    <s v="최봉환"/>
    <s v="보도자료87"/>
    <s v="농진청, 삽살개의 유전적 독창성 확인(사이언스 투데이)"/>
    <s v="YTN"/>
    <d v="2019-09-26T00:00:00"/>
    <m/>
    <s v="02_TV-케이블중앙"/>
    <n v="4"/>
    <d v="2019-09-30T00:00:00"/>
  </r>
  <r>
    <n v="4309"/>
    <s v="8_국립축산과학원"/>
    <s v="1_축산생명환경부"/>
    <x v="16"/>
    <s v="임다정"/>
    <m/>
    <s v="농촌진흥청, 베트남서 ASF 백신 개발 관련 실험 조사"/>
    <s v="YTN사이언스"/>
    <d v="2019-09-27T00:00:00"/>
    <m/>
    <s v="02_TV-케이블중앙"/>
    <n v="4"/>
    <d v="2019-09-30T00:00:00"/>
  </r>
  <r>
    <n v="4310"/>
    <s v="8_국립축산과학원"/>
    <s v="0_본원"/>
    <x v="11"/>
    <s v="문규철"/>
    <m/>
    <s v="함양, 태풍 피해 농가 긴급복구 일손 돕기"/>
    <s v="신아일보"/>
    <d v="2019-09-27T00:00:00"/>
    <n v="17"/>
    <s v="08_기타일간지"/>
    <n v="2"/>
    <d v="2019-09-30T00:00:00"/>
  </r>
  <r>
    <n v="4311"/>
    <s v="8_국립축산과학원"/>
    <s v="0_본원"/>
    <x v="14"/>
    <s v="한만희"/>
    <m/>
    <s v="(동정) 개량단기 축군운영 세미나"/>
    <s v="축산신문"/>
    <d v="2019-09-27T00:00:00"/>
    <n v="17"/>
    <s v="09_농업전문지"/>
    <n v="1.5"/>
    <d v="2019-09-30T00:00:00"/>
  </r>
  <r>
    <n v="4312"/>
    <s v="8_국립축산과학원"/>
    <s v="0_본원"/>
    <x v="2"/>
    <s v="양창범"/>
    <m/>
    <s v="(축사) 기술혁신·품종개량 연구 강화 스마트 축산 활성화 앞당길 것"/>
    <s v="축산신문"/>
    <d v="2019-09-27T00:00:00"/>
    <n v="9"/>
    <s v="09_농업전문지"/>
    <n v="1.5"/>
    <d v="2019-09-30T00:00:00"/>
  </r>
  <r>
    <n v="4313"/>
    <s v="8_국립축산과학원"/>
    <s v="1_축산생명환경부"/>
    <x v="16"/>
    <s v="최봉환"/>
    <s v="보도자료87"/>
    <s v="대한민국 토종 삽살개, 우리 고유 품종 확인"/>
    <s v="축산신문"/>
    <d v="2019-09-27T00:00:00"/>
    <n v="8"/>
    <s v="09_농업전문지"/>
    <n v="1.5"/>
    <d v="2019-09-30T00:00:00"/>
  </r>
  <r>
    <n v="4314"/>
    <s v="8_국립축산과학원"/>
    <s v="1_축산생명환경부"/>
    <x v="5"/>
    <s v="김윤석"/>
    <s v="보도자료88"/>
    <s v="수출용 가금육 소개, 용이해진다"/>
    <s v="축산신문"/>
    <d v="2019-09-27T00:00:00"/>
    <n v="8"/>
    <s v="09_농업전문지"/>
    <n v="1.5"/>
    <d v="2019-09-30T00:00:00"/>
  </r>
  <r>
    <n v="4315"/>
    <s v="8_국립축산과학원"/>
    <s v="0_본원"/>
    <x v="14"/>
    <s v="김의형"/>
    <s v="보도자료85"/>
    <s v="“한우·젖소, 환절기 질병 주의하세요”"/>
    <s v="축산신문"/>
    <d v="2019-09-27T00:00:00"/>
    <n v="19"/>
    <s v="09_농업전문지"/>
    <n v="1.5"/>
    <d v="2019-09-30T00:00:00"/>
  </r>
  <r>
    <n v="4316"/>
    <s v="8_국립축산과학원"/>
    <s v="2_축산자원개발부"/>
    <x v="12"/>
    <s v="하승민"/>
    <s v="보도자료86"/>
    <s v="“한우·젖소, 환절기 질병 주의하세요”"/>
    <s v="축산신문"/>
    <d v="2019-09-27T00:00:00"/>
    <n v="19"/>
    <s v="09_농업전문지"/>
    <n v="1.5"/>
    <d v="2019-09-30T00:00:00"/>
  </r>
  <r>
    <n v="4317"/>
    <s v="8_국립축산과학원"/>
    <s v="2_축산자원개발부"/>
    <x v="0"/>
    <s v="문홍길"/>
    <m/>
    <s v="오직 ‘맛’으로 승부 소비자 선택 받아…이베리코도 넘는다"/>
    <s v="축산신문"/>
    <d v="2019-09-27T00:00:00"/>
    <n v="21"/>
    <s v="09_농업전문지"/>
    <n v="1.5"/>
    <d v="2019-09-30T00:00:00"/>
  </r>
  <r>
    <n v="4318"/>
    <s v="8_국립축산과학원"/>
    <s v="1_축산생명환경부"/>
    <x v="5"/>
    <s v="김윤석"/>
    <s v="보도자료88"/>
    <s v="축산과학원, 닭·오리고기 수출 규격 안내서 발간"/>
    <s v="한국농어민신문"/>
    <d v="2019-09-27T00:00:00"/>
    <m/>
    <s v="09_농업전문지"/>
    <n v="1.5"/>
    <d v="2019-09-30T00:00:00"/>
  </r>
  <r>
    <n v="4319"/>
    <s v="8_국립축산과학원"/>
    <s v="0_본원"/>
    <x v="2"/>
    <s v="전익수"/>
    <m/>
    <s v="국립축산과학원 축산자원개발부 함평 이전 확정"/>
    <s v="광주일보"/>
    <d v="2019-09-30T00:00:00"/>
    <m/>
    <s v="09_지방일간지"/>
    <n v="1.5"/>
    <d v="2019-09-30T00:00:00"/>
  </r>
  <r>
    <n v="4320"/>
    <s v="8_국립축산과학원"/>
    <s v="1_축산생명환경부"/>
    <x v="16"/>
    <s v="최봉환"/>
    <s v="보도자료87"/>
    <s v="삽살개가 한국 토종개 임이 유전자 분석 결과 밝혀졌다"/>
    <s v="데일리연합"/>
    <d v="2019-09-29T00:00:00"/>
    <m/>
    <s v="13_인터넷포털"/>
    <n v="0.1"/>
    <d v="2019-09-30T00:00:00"/>
  </r>
  <r>
    <n v="4321"/>
    <s v="8_국립축산과학원"/>
    <s v="0_본원"/>
    <x v="15"/>
    <s v="전다연"/>
    <s v="기고"/>
    <s v="[기고] 전다연 연구사-사슴고기·꼬리 등으로 생산물 다양화해야"/>
    <s v="월간축산"/>
    <d v="2019-09-01T00:00:00"/>
    <s v="50-51"/>
    <s v="17_농업전문지"/>
    <n v="8"/>
    <d v="2019-09-30T00:00:00"/>
  </r>
  <r>
    <n v="4322"/>
    <s v="8_국립축산과학원"/>
    <s v="0_본원"/>
    <x v="14"/>
    <s v="황소미"/>
    <s v="기고"/>
    <s v="[기고] 황소미 연구사-가을철 환절기 사양관리 요령"/>
    <s v="월간한우"/>
    <d v="2019-09-01T00:00:00"/>
    <s v="114-117"/>
    <s v="17_농업전문지"/>
    <n v="8"/>
    <d v="2019-09-30T00:00:00"/>
  </r>
  <r>
    <n v="4323"/>
    <s v="8_국립축산과학원"/>
    <s v="2_축산자원개발부"/>
    <x v="0"/>
    <s v="김두완"/>
    <s v="기고"/>
    <s v="[기고] 김두완 연구사-돼지고기 품질 개선을 위한 농장단계 사양관리"/>
    <s v="Pig&amp;Pork 한돈"/>
    <d v="2019-09-01T00:00:00"/>
    <s v="282-287"/>
    <s v="18_월간지"/>
    <n v="4"/>
    <d v="2019-09-30T00:00:00"/>
  </r>
  <r>
    <n v="4324"/>
    <s v="8_국립축산과학원"/>
    <s v="0_본원"/>
    <x v="4"/>
    <s v="홍의철"/>
    <s v="기고"/>
    <s v="[기고] 홍의철 연구사-동물복지를 위한 육계사 바닥재 관리 방안"/>
    <s v="월간양계"/>
    <d v="2019-09-01T00:00:00"/>
    <s v="170-172"/>
    <s v="18_월간지"/>
    <n v="4"/>
    <d v="2019-09-30T00:00:00"/>
  </r>
  <r>
    <n v="4325"/>
    <s v="8_국립축산과학원"/>
    <s v="1_축산생명환경부"/>
    <x v="16"/>
    <s v="최봉환"/>
    <s v="보도자료68"/>
    <s v="제주개는 토종개"/>
    <s v="월간축산"/>
    <d v="2019-09-01T00:00:00"/>
    <n v="74"/>
    <s v="9_농업전문지"/>
    <n v="1.5"/>
    <d v="2019-09-30T00:00:00"/>
  </r>
  <r>
    <n v="4326"/>
    <s v="8_국립축산과학원"/>
    <s v="1_축산생명환경부"/>
    <x v="5"/>
    <s v="조수현"/>
    <m/>
    <s v="고기 연해지고 맛과 풍미 높아져 부가가치 향상"/>
    <s v="월간축산"/>
    <d v="2019-09-01T00:00:00"/>
    <s v="82-85"/>
    <s v="9_농업전문지"/>
    <n v="1.5"/>
    <d v="2019-09-30T00:00:00"/>
  </r>
  <r>
    <n v="4327"/>
    <s v="8_국립축산과학원"/>
    <s v="2_축산자원개발부"/>
    <x v="8"/>
    <s v="이승수"/>
    <s v="보도자료70"/>
    <s v="한국형 씨돼지' 9마리 선발"/>
    <s v="월간축산"/>
    <d v="2019-09-01T00:00:00"/>
    <s v="96-97"/>
    <s v="9_농업전문지"/>
    <n v="1.5"/>
    <d v="2019-09-30T00:00:00"/>
  </r>
  <r>
    <n v="4328"/>
    <s v="8_국립축산과학원"/>
    <s v="2_축산자원개발부"/>
    <x v="6"/>
    <s v="최기준"/>
    <m/>
    <s v="옥수수 심은 뒤 IRG와 귀리 혼파"/>
    <s v="월간축산"/>
    <d v="2019-09-01T00:00:00"/>
    <s v="100-101"/>
    <s v="9_농업전문지"/>
    <n v="1.5"/>
    <d v="2019-09-30T00:00:00"/>
  </r>
  <r>
    <n v="4329"/>
    <s v="8_국립축산과학원"/>
    <s v="0_본원"/>
    <x v="3"/>
    <s v="최창용"/>
    <s v="보도자료61"/>
    <s v="가축 방목 방목장에 뙤약볕 피할 그늘막 설치해야"/>
    <s v="월간축산"/>
    <d v="2019-09-01T00:00:00"/>
    <n v="102"/>
    <s v="9_농업전문지"/>
    <n v="1.5"/>
    <d v="2019-09-30T00:00:00"/>
  </r>
  <r>
    <n v="4330"/>
    <s v="8_국립축산과학원"/>
    <s v="0_본원"/>
    <x v="3"/>
    <s v="노재희"/>
    <s v="보도자료66"/>
    <s v="깨끗한 물관리 급수조 매일 청소하고 급수시설 정기적으로 소독해야"/>
    <s v="월간축산"/>
    <d v="2019-09-01T00:00:00"/>
    <n v="103"/>
    <s v="9_농업전문지"/>
    <n v="1.5"/>
    <d v="2019-09-30T00:00:00"/>
  </r>
  <r>
    <n v="4331"/>
    <s v="8_국립축산과학원"/>
    <s v="1_축산생명환경부"/>
    <x v="9"/>
    <s v="정광화"/>
    <m/>
    <s v="축산 미생물 활용 영역 확대"/>
    <s v="월간축산"/>
    <d v="2019-09-01T00:00:00"/>
    <s v="114-115"/>
    <s v="9_농업전문지"/>
    <n v="1.5"/>
    <d v="2019-09-30T00:00:00"/>
  </r>
  <r>
    <n v="4332"/>
    <s v="8_국립축산과학원"/>
    <s v="0_본원"/>
    <x v="4"/>
    <s v="차재범"/>
    <s v="보도자료74"/>
    <s v="축산과학원, 토종닭산업 키운다"/>
    <s v="월간축산"/>
    <d v="2019-09-01T00:00:00"/>
    <n v="134"/>
    <s v="9_농업전문지"/>
    <n v="1.5"/>
    <d v="2019-09-30T00:00:00"/>
  </r>
  <r>
    <n v="4333"/>
    <s v="8_국립축산과학원"/>
    <s v="2_축산자원개발부"/>
    <x v="8"/>
    <s v="최연호"/>
    <s v="보도자료65"/>
    <s v="젖소 보증씨수소 4마리 신규 선발"/>
    <s v="월간축산"/>
    <d v="2019-09-01T00:00:00"/>
    <n v="135"/>
    <s v="9_농업전문지"/>
    <n v="1.5"/>
    <d v="2019-09-30T00:00:00"/>
  </r>
  <r>
    <n v="4334"/>
    <s v="8_국립축산과학원"/>
    <s v="2_축산자원개발부"/>
    <x v="8"/>
    <s v="박미나"/>
    <s v="보도자료75"/>
    <s v="농진청, 한우 교배계획 길라잡이 26호 보급"/>
    <s v="월간한우"/>
    <d v="2019-09-01T00:00:00"/>
    <n v="168"/>
    <s v="9_농업전문지"/>
    <n v="1.5"/>
    <d v="2019-09-30T00:00:00"/>
  </r>
  <r>
    <n v="4335"/>
    <s v="8_국립축산과학원"/>
    <s v="0_본원"/>
    <x v="14"/>
    <s v="조상래"/>
    <s v="보도자료72"/>
    <s v="2세대 한우농가 대상 맞춤형 종합 교육 실시"/>
    <s v="월간한우"/>
    <d v="2019-09-01T00:00:00"/>
    <n v="181"/>
    <s v="9_농업전문지"/>
    <n v="1.5"/>
    <d v="2019-09-30T00:00:00"/>
  </r>
  <r>
    <n v="4336"/>
    <s v="8_국립축산과학원"/>
    <s v="1_축산생명환경부"/>
    <x v="9"/>
    <s v="김종복"/>
    <s v="보도자료69"/>
    <s v="축사 정전' 이렇게 대비 하자"/>
    <s v="월간한우"/>
    <d v="2019-09-01T00:00:00"/>
    <n v="185"/>
    <s v="9_농업전문지"/>
    <n v="1.5"/>
    <d v="2019-09-30T00:00:00"/>
  </r>
  <r>
    <n v="4337"/>
    <s v="8_국립축산과학원"/>
    <s v="2_축산자원개발부"/>
    <x v="12"/>
    <s v="박지후"/>
    <s v="보도자료76"/>
    <s v="젖소의 더위 스트레스 확인과 대응 방법은?"/>
    <s v="월간낙농"/>
    <d v="2019-09-01T00:00:00"/>
    <n v="153"/>
    <s v="10_월간지"/>
    <n v="1"/>
    <d v="2019-09-30T00:00:00"/>
  </r>
  <r>
    <n v="4338"/>
    <s v="8_국립축산과학원"/>
    <s v="2_축산자원개발부"/>
    <x v="12"/>
    <s v="이현정,하승민"/>
    <m/>
    <s v="9월 사양관리"/>
    <s v="월간 낙농·육우"/>
    <d v="2019-09-01T00:00:00"/>
    <s v="174-179"/>
    <s v="10_월간지"/>
    <n v="1"/>
    <d v="2019-09-30T00:00:00"/>
  </r>
  <r>
    <n v="4339"/>
    <s v="8_국립축산과학원"/>
    <s v="2_축산자원개발부"/>
    <x v="8"/>
    <s v="이승수"/>
    <s v="보도자료70"/>
    <s v="농촌진흥청, 돼지 개량 속도낸다… '한국형 씨돼지' 9마리 뽑아"/>
    <s v="PigPork 한돈"/>
    <d v="2019-09-01T00:00:00"/>
    <n v="175"/>
    <s v="10_월간지"/>
    <n v="1"/>
    <d v="2019-09-30T00:00:00"/>
  </r>
  <r>
    <n v="4340"/>
    <s v="8_국립축산과학원"/>
    <s v="2_축산자원개발부"/>
    <x v="8"/>
    <s v="이승수"/>
    <s v="보도자료70"/>
    <s v="농진청, 한국형 돼지 개량 '가속' 씨돼지 9두 선발…네트워크사업 활용"/>
    <s v="월간한돈"/>
    <d v="2019-09-01T00:00:00"/>
    <n v="435"/>
    <s v="10_월간지"/>
    <n v="1"/>
    <d v="2019-09-30T00:00:00"/>
  </r>
  <r>
    <n v="4341"/>
    <s v="8_국립축산과학원"/>
    <s v="0_본원"/>
    <x v="4"/>
    <s v="차재범"/>
    <s v="보도자료74"/>
    <s v="우리맛닭 소비·생산기반 확대 온 힘"/>
    <s v="월간양계"/>
    <d v="2019-09-01T00:00:00"/>
    <n v="177"/>
    <s v="10_월간지"/>
    <n v="1"/>
    <d v="2019-09-30T00:00:00"/>
  </r>
  <r>
    <n v="4342"/>
    <s v="8_국립축산과학원"/>
    <s v="0_본원"/>
    <x v="13"/>
    <s v="김근영"/>
    <s v="보도자료78"/>
    <s v="면역력 떨어지는 환절기, 축사 관리요령 제시"/>
    <s v="월간닭고기"/>
    <d v="2019-09-01T00:00:00"/>
    <n v="28"/>
    <s v="10_월간지"/>
    <n v="1"/>
    <d v="2019-09-30T00:00:00"/>
  </r>
  <r>
    <n v="4343"/>
    <s v="8_국립축산과학원"/>
    <s v="0_본원"/>
    <x v="13"/>
    <s v="박종문"/>
    <s v="보도자료77"/>
    <s v="가축인공수정사 시험 11월 시행"/>
    <s v="월간닭고기"/>
    <d v="2019-09-01T00:00:00"/>
    <n v="29"/>
    <s v="10_월간지"/>
    <n v="1"/>
    <d v="2019-09-30T00:00:00"/>
  </r>
  <r>
    <n v="4344"/>
    <s v="8_국립축산과학원"/>
    <s v="0_본원"/>
    <x v="11"/>
    <s v="문규철"/>
    <s v="보도자료81"/>
    <s v="추석 맞아 복지시설에 성금 전달"/>
    <s v="월간닭고기"/>
    <d v="2019-09-01T00:00:00"/>
    <s v="29-30"/>
    <s v="10_월간지"/>
    <n v="1"/>
    <d v="2019-09-30T00:00:00"/>
  </r>
  <r>
    <n v="4345"/>
    <s v="8_국립축산과학원"/>
    <s v="0_본원"/>
    <x v="4"/>
    <s v="김현수"/>
    <s v="보도자료79"/>
    <s v="국립축산과학원-LG유플러스 스마트축산 활성화 맞손"/>
    <s v="월간닭고기"/>
    <d v="2019-09-01T00:00:00"/>
    <n v="30"/>
    <s v="10_월간지"/>
    <n v="1"/>
    <d v="2019-09-30T00:00:00"/>
  </r>
  <r>
    <n v="4346"/>
    <s v="8_국립축산과학원"/>
    <s v="1_축산생명환경부"/>
    <x v="5"/>
    <s v="김윤석"/>
    <s v="보도자료88"/>
    <s v="닭고기 수출 규격 안내"/>
    <s v="월간닭고기"/>
    <d v="2019-09-01T00:00:00"/>
    <s v="73-82"/>
    <s v="10_월간지"/>
    <n v="1"/>
    <d v="2019-09-30T00:00:00"/>
  </r>
  <r>
    <n v="4347"/>
    <s v="8_국립축산과학원"/>
    <s v="0_본원"/>
    <x v="15"/>
    <s v="이진욱"/>
    <s v="기고"/>
    <s v="[기고] 이진욱 연구사-재래가축의 가치를 찾아서"/>
    <s v="농업정보신문"/>
    <d v="2019-09-25T00:00:00"/>
    <n v="2"/>
    <s v="17_농업전문지"/>
    <n v="8"/>
    <d v="2019-10-01T00:00:00"/>
  </r>
  <r>
    <n v="4348"/>
    <s v="8_국립축산과학원"/>
    <s v="1_축산생명환경부"/>
    <x v="16"/>
    <s v="임다정"/>
    <m/>
    <s v="농진청, 베트남서 ASF 백신 개발 사전연구 추진"/>
    <s v="농업인신문"/>
    <d v="2019-09-30T00:00:00"/>
    <n v="2"/>
    <s v="09_농업전문지"/>
    <n v="1.5"/>
    <d v="2019-10-01T00:00:00"/>
  </r>
  <r>
    <n v="4349"/>
    <s v="8_국립축산과학원"/>
    <s v="0_본원"/>
    <x v="2"/>
    <s v="전익수"/>
    <m/>
    <s v="축산과학원 축산자원개발부 함평군으로 이전"/>
    <s v="농업인신문"/>
    <d v="2019-09-30T00:00:00"/>
    <n v="2"/>
    <s v="09_농업전문지"/>
    <n v="1.5"/>
    <d v="2019-10-01T00:00:00"/>
  </r>
  <r>
    <n v="4350"/>
    <s v="8_국립축산과학원"/>
    <s v="0_본원"/>
    <x v="2"/>
    <s v="양창범"/>
    <m/>
    <s v="전북 지역 농산물 소비 촉진, 공공 기관들이 앞장"/>
    <s v="한국영농신문"/>
    <d v="2019-09-29T00:00:00"/>
    <m/>
    <s v="09_농업전문지"/>
    <n v="1.5"/>
    <d v="2019-10-01T00:00:00"/>
  </r>
  <r>
    <n v="4351"/>
    <s v="8_국립축산과학원"/>
    <s v="0_본원"/>
    <x v="2"/>
    <s v="양창범"/>
    <m/>
    <s v="전주혁신도시 공공기관, 신선한 농산물 먹는다"/>
    <s v="전주일보"/>
    <d v="2019-09-30T00:00:00"/>
    <n v="3"/>
    <s v="09_지방일간지"/>
    <n v="1.5"/>
    <d v="2019-10-01T00:00:00"/>
  </r>
  <r>
    <n v="4352"/>
    <s v="8_국립축산과학원"/>
    <s v="0_본원"/>
    <x v="2"/>
    <s v="양창범"/>
    <m/>
    <s v="혁신도시 이전기관 로컬푸드 먹는다"/>
    <s v="새전북신문"/>
    <d v="2019-09-30T00:00:00"/>
    <n v="2"/>
    <s v="09_지방일간지"/>
    <n v="1.5"/>
    <d v="2019-10-01T00:00:00"/>
  </r>
  <r>
    <n v="4353"/>
    <s v="8_국립축산과학원"/>
    <s v="0_본원"/>
    <x v="2"/>
    <s v="양창범"/>
    <m/>
    <s v="지자체·혁신도시 공공기관, 지역 농산물 소비 확대 맞손"/>
    <s v="전북일보"/>
    <d v="2019-09-30T00:00:00"/>
    <n v="2"/>
    <s v="09_지방일간지"/>
    <n v="1.5"/>
    <d v="2019-10-01T00:00:00"/>
  </r>
  <r>
    <n v="4354"/>
    <s v="8_국립축산과학원"/>
    <s v="0_본원"/>
    <x v="2"/>
    <s v="양창범"/>
    <m/>
    <s v="전북혁신도시 공공기관, 신선한 전주푸드 공급"/>
    <s v="전북타임스"/>
    <d v="2019-09-30T00:00:00"/>
    <n v="4"/>
    <s v="09_지방일간지"/>
    <n v="1.5"/>
    <d v="2019-10-01T00:00:00"/>
  </r>
  <r>
    <n v="4355"/>
    <s v="8_국립축산과학원"/>
    <s v="0_본원"/>
    <x v="2"/>
    <s v="양창범"/>
    <m/>
    <s v="전북혁신도시 이전기관 로컬푸드 먹는다"/>
    <s v="호남제일신문"/>
    <d v="2019-09-30T00:00:00"/>
    <n v="1"/>
    <s v="09_지방일간지"/>
    <n v="1.5"/>
    <d v="2019-10-01T00:00:00"/>
  </r>
  <r>
    <n v="4356"/>
    <s v="8_국립축산과학원"/>
    <s v="0_본원"/>
    <x v="2"/>
    <s v="양창범"/>
    <m/>
    <s v="지역 농산물 소비 공공기관이 앞장선다"/>
    <s v="광주일보"/>
    <d v="2019-09-30T00:00:00"/>
    <n v="15"/>
    <s v="09_지방일간지"/>
    <n v="1.5"/>
    <d v="2019-10-01T00:00:00"/>
  </r>
  <r>
    <n v="4357"/>
    <s v="8_국립축산과학원"/>
    <s v="0_본원"/>
    <x v="2"/>
    <s v="양창범"/>
    <m/>
    <s v="혁신도시 이전기관 ‘로컬푸드’ 먹는다"/>
    <s v="전민일보"/>
    <d v="2019-09-30T00:00:00"/>
    <n v="2"/>
    <s v="09_지방일간지"/>
    <n v="1.5"/>
    <d v="2019-10-01T00:00:00"/>
  </r>
  <r>
    <n v="4358"/>
    <s v="8_국립축산과학원"/>
    <s v="0_본원"/>
    <x v="2"/>
    <s v="양창범"/>
    <m/>
    <s v="전북혁신도시 공공기관, 신선한 전주푸드 먹는다"/>
    <s v="새만금일보"/>
    <d v="2019-09-30T00:00:00"/>
    <n v="1"/>
    <s v="09_지방일간지"/>
    <n v="1.5"/>
    <d v="2019-10-01T00:00:00"/>
  </r>
  <r>
    <n v="4359"/>
    <s v="8_국립축산과학원"/>
    <s v="0_본원"/>
    <x v="2"/>
    <s v="양창범"/>
    <m/>
    <s v="혁신도시 공공기관, 전주푸드 먹는다"/>
    <s v="전라매일"/>
    <d v="2019-09-30T00:00:00"/>
    <n v="7"/>
    <s v="09_지방일간지"/>
    <n v="1.5"/>
    <d v="2019-10-01T00:00:00"/>
  </r>
  <r>
    <n v="4360"/>
    <s v="8_국립축산과학원"/>
    <s v="0_본원"/>
    <x v="10"/>
    <s v="우제훈"/>
    <s v="보도자료92"/>
    <s v="한라산 조릿대 조절 말 방목 ‘효과’ 재확인"/>
    <s v="한라일보"/>
    <d v="2019-10-01T00:00:00"/>
    <m/>
    <s v="09_지방일간지"/>
    <n v="1.5"/>
    <d v="2019-10-01T00:00:00"/>
  </r>
  <r>
    <n v="4361"/>
    <s v="8_국립축산과학원"/>
    <s v="2_축산자원개발부"/>
    <x v="0"/>
    <s v="문홍길"/>
    <m/>
    <s v="청정축산으로 시작되는 김천의 미래 100년"/>
    <s v="도민일보"/>
    <d v="2019-10-01T00:00:00"/>
    <m/>
    <s v="09_지방일간지"/>
    <n v="1.5"/>
    <d v="2019-10-01T00:00:00"/>
  </r>
  <r>
    <n v="4362"/>
    <s v="8_국립축산과학원"/>
    <s v="2_축산자원개발부"/>
    <x v="8"/>
    <s v="박미나"/>
    <m/>
    <s v="충남 한우 ‘후보씨수소’로 선정"/>
    <s v="대전일보"/>
    <d v="2019-10-01T00:00:00"/>
    <m/>
    <s v="09_지방일간지"/>
    <n v="1.5"/>
    <d v="2019-10-01T00:00:00"/>
  </r>
  <r>
    <n v="4363"/>
    <s v="8_국립축산과학원"/>
    <s v="0_본원"/>
    <x v="10"/>
    <s v="우제훈"/>
    <s v="보도자료92"/>
    <s v="농촌진흥청 말 1주일 방목으로 제주조릿대 식생조절 가능(JIBS기사뉴스)"/>
    <s v="JIBS"/>
    <d v="2019-10-01T00:00:00"/>
    <m/>
    <s v="06_라디오-지방"/>
    <n v="1.5"/>
    <d v="2019-10-02T00:00:00"/>
  </r>
  <r>
    <n v="4364"/>
    <s v="8_국립축산과학원"/>
    <s v="2_축산자원개발부"/>
    <x v="6"/>
    <s v="김기용"/>
    <s v="보도자료91"/>
    <s v="겨울철 사료작물, 서둘러 씨앗 뿌려야"/>
    <s v="서울신문"/>
    <d v="2019-10-01T00:00:00"/>
    <m/>
    <s v="07_중앙일간지"/>
    <n v="5"/>
    <d v="2019-10-02T00:00:00"/>
  </r>
  <r>
    <n v="4365"/>
    <s v="8_국립축산과학원"/>
    <s v="0_본원"/>
    <x v="10"/>
    <s v="우제훈"/>
    <s v="보도자료92"/>
    <s v="한라산 골칫덩이 제주조릿대, ‘말 방목’ 효과 있네"/>
    <s v="서울신문"/>
    <d v="2019-10-01T00:00:00"/>
    <m/>
    <s v="07_중앙일간지"/>
    <n v="5"/>
    <d v="2019-10-02T00:00:00"/>
  </r>
  <r>
    <n v="4366"/>
    <s v="8_국립축산과학원"/>
    <s v="0_본원"/>
    <x v="10"/>
    <s v="유지현"/>
    <s v="보도자료89"/>
    <s v="마분 퇴비 ‘정량만 겨울 사료작물에 뿌려야’"/>
    <s v="농축환경신문"/>
    <d v="2019-09-26T00:00:00"/>
    <n v="5"/>
    <s v="09_농업전문지"/>
    <n v="1.5"/>
    <d v="2019-10-02T00:00:00"/>
  </r>
  <r>
    <n v="4367"/>
    <s v="8_국립축산과학원"/>
    <s v="0_본원"/>
    <x v="4"/>
    <s v="천동원"/>
    <m/>
    <s v="동물복지 축산 확산 방안 논의될 듯"/>
    <s v="농수축산신문"/>
    <d v="2019-10-01T00:00:00"/>
    <n v="9"/>
    <s v="09_농업전문지"/>
    <n v="1.5"/>
    <d v="2019-10-02T00:00:00"/>
  </r>
  <r>
    <n v="4368"/>
    <s v="8_국립축산과학원"/>
    <s v="0_본원"/>
    <x v="14"/>
    <s v="김의형"/>
    <s v="보도자료85"/>
    <s v="한우·젖소 환절기 호흡기 질병 조심해야"/>
    <s v="한국농어민신문"/>
    <d v="2019-10-01T00:00:00"/>
    <m/>
    <s v="09_농업전문지"/>
    <n v="1.5"/>
    <d v="2019-10-02T00:00:00"/>
  </r>
  <r>
    <n v="4369"/>
    <s v="8_국립축산과학원"/>
    <s v="2_축산자원개발부"/>
    <x v="12"/>
    <s v="하승민"/>
    <s v="보도자료86"/>
    <s v="한우·젖소 환절기 호흡기 질병 조심해야"/>
    <s v="한국농어민신문"/>
    <d v="2019-10-01T00:00:00"/>
    <m/>
    <s v="09_농업전문지"/>
    <n v="1.5"/>
    <d v="2019-10-02T00:00:00"/>
  </r>
  <r>
    <n v="4370"/>
    <s v="8_국립축산과학원"/>
    <s v="0_본원"/>
    <x v="14"/>
    <s v="김의형"/>
    <s v="보도자료85"/>
    <s v="한우·젖소 호흡기질병 주의"/>
    <s v="농수축산신문"/>
    <d v="2019-10-01T00:00:00"/>
    <m/>
    <s v="09_농업전문지"/>
    <n v="1.5"/>
    <d v="2019-10-02T00:00:00"/>
  </r>
  <r>
    <n v="4371"/>
    <s v="8_국립축산과학원"/>
    <s v="2_축산자원개발부"/>
    <x v="12"/>
    <s v="하승민"/>
    <s v="보도자료86"/>
    <s v="한우·젖소 호흡기질병 주의"/>
    <s v="농수축산신문"/>
    <d v="2019-10-01T00:00:00"/>
    <m/>
    <s v="09_농업전문지"/>
    <n v="1.5"/>
    <d v="2019-10-02T00:00:00"/>
  </r>
  <r>
    <n v="4372"/>
    <s v="8_국립축산과학원"/>
    <s v="2_축산자원개발부"/>
    <x v="6"/>
    <s v="김기용"/>
    <s v="보도자료91"/>
    <s v="이탈리안 라이그라스, 파종 시기 놓치면 생산량 50% 넘게 줄어"/>
    <s v="식약일보"/>
    <d v="2019-10-01T00:00:00"/>
    <m/>
    <s v="10_기타전문지"/>
    <n v="1"/>
    <d v="2019-10-02T00:00:00"/>
  </r>
  <r>
    <n v="4373"/>
    <s v="8_국립축산과학원"/>
    <s v="0_본원"/>
    <x v="10"/>
    <s v="우제훈"/>
    <s v="보도자료92"/>
    <s v="제주조릿대 군락 ‘말 방목’ 생육 조절 효과"/>
    <s v="식약일보"/>
    <d v="2019-10-01T00:00:00"/>
    <m/>
    <s v="10_기타전문지"/>
    <n v="1"/>
    <d v="2019-10-02T00:00:00"/>
  </r>
  <r>
    <n v="4374"/>
    <s v="8_국립축산과학원"/>
    <s v="0_본원"/>
    <x v="10"/>
    <s v="우제훈"/>
    <s v="보도자료92"/>
    <s v="한라산 골칫덩이 제주조릿대, ‘말 방목’에 효과 있음을 입증"/>
    <s v="여원뉴스"/>
    <d v="2019-10-01T00:00:00"/>
    <m/>
    <s v="13_인터넷포털"/>
    <n v="0.1"/>
    <d v="2019-10-02T00:00:00"/>
  </r>
  <r>
    <n v="4375"/>
    <s v="8_국립축산과학원"/>
    <s v="0_본원"/>
    <x v="10"/>
    <s v="우제훈"/>
    <s v="보도자료92"/>
    <s v="한라산 조릿대 조절 말 방목 ‘효과’"/>
    <s v="농업경제신문"/>
    <d v="2019-10-02T00:00:00"/>
    <m/>
    <s v="13_인터넷포털"/>
    <n v="0.1"/>
    <d v="2019-10-02T00:00:00"/>
  </r>
  <r>
    <n v="4376"/>
    <s v="8_국립축산과학원"/>
    <s v="2_축산자원개발부"/>
    <x v="6"/>
    <s v="김기용"/>
    <s v="보도자료91"/>
    <s v="이탈리안 라이그라스 파종 10일 이상 늦어지면 생산량 50% 넘게 줄어"/>
    <s v="농업경제신문"/>
    <d v="2019-10-02T00:00:00"/>
    <m/>
    <s v="13_인터넷포털"/>
    <n v="0.1"/>
    <d v="2019-10-02T00:00:00"/>
  </r>
  <r>
    <n v="4377"/>
    <s v="8_국립축산과학원"/>
    <s v="2_축산자원개발부"/>
    <x v="6"/>
    <s v="김기용"/>
    <s v="보도자료91"/>
    <s v="겨울철 사료작물, 서둘러 씨앗 뿌려야"/>
    <s v="서울Pn"/>
    <d v="2019-10-01T00:00:00"/>
    <m/>
    <s v="13_인터넷포털"/>
    <n v="0.1"/>
    <d v="2019-10-02T00:00:00"/>
  </r>
  <r>
    <n v="4378"/>
    <s v="8_국립축산과학원"/>
    <s v="2_축산자원개발부"/>
    <x v="0"/>
    <s v="홍준기"/>
    <s v="보도자료93"/>
    <s v="농진청, ‘원클릭 유전체 선발 및 최적 교배1호’ 프로그램 개발"/>
    <s v="아유경제"/>
    <d v="2019-10-02T00:00:00"/>
    <m/>
    <s v="13_인터넷포털"/>
    <n v="0.1"/>
    <d v="2019-10-02T00:00:00"/>
  </r>
  <r>
    <n v="4379"/>
    <s v="8_국립축산과학원"/>
    <s v="2_축산자원개발부"/>
    <x v="0"/>
    <s v="홍준기"/>
    <s v="보도자료93"/>
    <s v="유전체 정보 활용으로 우수 씨돼지 쉽게 선발"/>
    <s v="에코타임스"/>
    <d v="2019-10-02T00:00:00"/>
    <m/>
    <s v="13_인터넷포털"/>
    <n v="0.1"/>
    <d v="2019-10-02T00:00:00"/>
  </r>
  <r>
    <n v="4380"/>
    <s v="8_국립축산과학원"/>
    <s v="2_축산자원개발부"/>
    <x v="0"/>
    <s v="홍준기"/>
    <s v="보도자료93"/>
    <s v="유전체 정보 활용으로 돼지 개량 쉬워진다"/>
    <s v="뉴스렙"/>
    <d v="2019-10-02T00:00:00"/>
    <m/>
    <s v="13_인터넷포털"/>
    <n v="0.1"/>
    <d v="2019-10-02T00:00:00"/>
  </r>
  <r>
    <n v="4381"/>
    <s v="8_국립축산과학원"/>
    <s v="2_축산자원개발부"/>
    <x v="0"/>
    <s v="홍준기"/>
    <s v="보도자료93"/>
    <s v="유전체 정보 활용으로 돼지 개량 쉬워진다"/>
    <s v="미디어라이프"/>
    <d v="2019-10-02T00:00:00"/>
    <m/>
    <s v="13_인터넷포털"/>
    <n v="0.1"/>
    <d v="2019-10-02T00:00:00"/>
  </r>
  <r>
    <n v="4382"/>
    <s v="8_국립축산과학원"/>
    <s v="0_본원"/>
    <x v="4"/>
    <s v="천동원"/>
    <s v="기고"/>
    <s v="[기고] 천동원 소장-축산현장 애로기술 해결 위한 닭 키우기[100문 100답]"/>
    <s v="축산신문"/>
    <d v="2019-10-04T00:00:00"/>
    <n v="16"/>
    <s v="17_농업전문지"/>
    <n v="8"/>
    <d v="2019-10-04T00:00:00"/>
  </r>
  <r>
    <n v="4383"/>
    <s v="8_국립축산과학원"/>
    <s v="1_축산생명환경부"/>
    <x v="7"/>
    <s v="이유경"/>
    <s v="기고"/>
    <s v="[기고] 이유경 연구사-검은 코끼리 기후변화, 축산의 대응"/>
    <s v="농수축산신문"/>
    <d v="2019-10-04T00:00:00"/>
    <n v="6"/>
    <s v="17_농업전문지"/>
    <n v="8"/>
    <d v="2019-10-04T00:00:00"/>
  </r>
  <r>
    <n v="4384"/>
    <s v="8_국립축산과학원"/>
    <s v="2_축산자원개발부"/>
    <x v="0"/>
    <s v="홍준기"/>
    <s v="보도자료93"/>
    <s v="유전체 정보 활용으로 돼지 개량 쉬워진다"/>
    <s v="서울신문"/>
    <d v="2019-10-02T00:00:00"/>
    <m/>
    <s v="07_중앙일간지"/>
    <n v="5"/>
    <d v="2019-10-04T00:00:00"/>
  </r>
  <r>
    <n v="4385"/>
    <s v="8_국립축산과학원"/>
    <s v="2_축산자원개발부"/>
    <x v="0"/>
    <s v="홍준기"/>
    <s v="보도자료93"/>
    <s v="농촌진흥청, ‘돼지 유전체 선발 및 최적 교배 프로그램’ 개발"/>
    <s v="매일일보"/>
    <d v="2019-10-02T00:00:00"/>
    <m/>
    <s v="08_기타일간지"/>
    <n v="2"/>
    <d v="2019-10-04T00:00:00"/>
  </r>
  <r>
    <n v="4386"/>
    <s v="8_국립축산과학원"/>
    <s v="2_축산자원개발부"/>
    <x v="6"/>
    <s v="김기용"/>
    <s v="보도자료91"/>
    <s v="겨울철 사료작물, 서둘러 씨앗 뿌려야"/>
    <s v="환경일보"/>
    <d v="2019-10-02T00:00:00"/>
    <m/>
    <s v="08_기타일간지"/>
    <n v="2"/>
    <d v="2019-10-04T00:00:00"/>
  </r>
  <r>
    <n v="4387"/>
    <s v="8_국립축산과학원"/>
    <s v="0_본원"/>
    <x v="10"/>
    <s v="우제훈"/>
    <s v="보도자료92"/>
    <s v="제주조릿대, ‘말 방목’ 효과"/>
    <s v="팜&amp;마켓매거진"/>
    <d v="2019-10-04T00:00:00"/>
    <m/>
    <s v="09_농업전문지"/>
    <n v="1.5"/>
    <d v="2019-10-04T00:00:00"/>
  </r>
  <r>
    <n v="4388"/>
    <s v="8_국립축산과학원"/>
    <s v="0_본원"/>
    <x v="10"/>
    <s v="우제훈"/>
    <s v="보도자료92"/>
    <s v="한라산 골칫덩이 제주조릿대, ‘말 방목’ 효과 있네"/>
    <s v="농업인신문"/>
    <d v="2019-10-04T00:00:00"/>
    <m/>
    <s v="09_농업전문지"/>
    <n v="1.5"/>
    <d v="2019-10-04T00:00:00"/>
  </r>
  <r>
    <n v="4389"/>
    <s v="8_국립축산과학원"/>
    <s v="2_축산자원개발부"/>
    <x v="0"/>
    <s v="홍준기"/>
    <s v="보도자료93"/>
    <s v="유전체 활용 ‘우량씨돼지’ 종돈장 자체 선발 가능"/>
    <s v="한국임업신문"/>
    <d v="2019-10-03T00:00:00"/>
    <n v="7"/>
    <s v="09_농업전문지"/>
    <n v="1.5"/>
    <d v="2019-10-04T00:00:00"/>
  </r>
  <r>
    <n v="4390"/>
    <s v="8_국립축산과학원"/>
    <s v="2_축산자원개발부"/>
    <x v="0"/>
    <s v="홍준기"/>
    <s v="보도자료93"/>
    <s v="유전체 정보 활용으로 돼지 개량 쉬워진다"/>
    <s v="삼남일보"/>
    <d v="2019-10-02T00:00:00"/>
    <n v="5"/>
    <s v="09_지방일간지"/>
    <n v="1.5"/>
    <d v="2019-10-04T00:00:00"/>
  </r>
  <r>
    <n v="4391"/>
    <s v="8_국립축산과학원"/>
    <s v="2_축산자원개발부"/>
    <x v="0"/>
    <s v="홍준기"/>
    <s v="보도자료93"/>
    <s v="유전체 정보 활용, 돼지 개량 쉬워진다"/>
    <s v="새만금일보"/>
    <d v="2019-10-02T00:00:00"/>
    <n v="6"/>
    <s v="09_지방일간지"/>
    <n v="1.5"/>
    <d v="2019-10-04T00:00:00"/>
  </r>
  <r>
    <n v="4392"/>
    <s v="8_국립축산과학원"/>
    <s v="2_축산자원개발부"/>
    <x v="6"/>
    <s v="김기용"/>
    <s v="보도자료91"/>
    <s v="농진청 “겨울철 사료작물 ‘IRC’ 늦게 파종하면 생산량 50% 줄어"/>
    <s v="전민일보"/>
    <d v="2019-10-02T00:00:00"/>
    <n v="4"/>
    <s v="09_지방일간지"/>
    <n v="1.5"/>
    <d v="2019-10-04T00:00:00"/>
  </r>
  <r>
    <n v="4393"/>
    <s v="8_국립축산과학원"/>
    <s v="0_본원"/>
    <x v="14"/>
    <s v="김의형"/>
    <s v="보도자료85"/>
    <s v="“환절기 호흡기질병 위험…야간 차단막 필요”"/>
    <s v="농축산기계"/>
    <d v="2019-09-20T00:00:00"/>
    <n v="12"/>
    <s v="10_기타전문지"/>
    <n v="1"/>
    <d v="2019-10-04T00:00:00"/>
  </r>
  <r>
    <n v="4394"/>
    <s v="8_국립축산과학원"/>
    <s v="2_축산자원개발부"/>
    <x v="12"/>
    <s v="하승민"/>
    <s v="보도자료86"/>
    <s v="“환절기 호흡기질병 위험…야간 차단막 필요”"/>
    <s v="농축산기계"/>
    <d v="2019-09-20T00:00:00"/>
    <n v="12"/>
    <s v="10_기타전문지"/>
    <n v="1"/>
    <d v="2019-10-04T00:00:00"/>
  </r>
  <r>
    <n v="4395"/>
    <s v="8_국립축산과학원"/>
    <s v="0_본원"/>
    <x v="14"/>
    <s v="조상래"/>
    <s v="보도자료82"/>
    <s v="농진청·한우협, 한우사육 현장기술교육 실시"/>
    <s v="농축산기계"/>
    <d v="2019-09-20T00:00:00"/>
    <n v="12"/>
    <s v="10_기타전문지"/>
    <n v="1"/>
    <d v="2019-10-04T00:00:00"/>
  </r>
  <r>
    <n v="4396"/>
    <s v="8_국립축산과학원"/>
    <s v="2_축산자원개발부"/>
    <x v="0"/>
    <s v="홍준기"/>
    <s v="보도자료93"/>
    <s v="돼지 유전체 선발 및 최적 교배 프로그램 개발"/>
    <s v="식약일보"/>
    <d v="2019-10-02T00:00:00"/>
    <m/>
    <s v="10_기타전문지"/>
    <n v="1"/>
    <d v="2019-10-04T00:00:00"/>
  </r>
  <r>
    <n v="4397"/>
    <s v="8_국립축산과학원"/>
    <s v="0_본원"/>
    <x v="10"/>
    <s v="유지현"/>
    <s v="보도자료89"/>
    <s v="말똥 어디다 쓰나…목초 재배에 크게 도움된다"/>
    <s v="말산업저널"/>
    <d v="2019-10-03T00:00:00"/>
    <m/>
    <s v="10_기타전문지"/>
    <n v="1"/>
    <d v="2019-10-04T00:00:00"/>
  </r>
  <r>
    <n v="4398"/>
    <s v="8_국립축산과학원"/>
    <s v="2_축산자원개발부"/>
    <x v="6"/>
    <s v="김기용"/>
    <s v="보도자료91"/>
    <s v="겨울철 사료작물, 서둘러 씨앗 뿌려야"/>
    <s v="정책브리핑"/>
    <d v="2019-10-01T00:00:00"/>
    <m/>
    <s v="12_대한민국 정책포털(korea.kr)"/>
    <n v="1"/>
    <d v="2019-10-04T00:00:00"/>
  </r>
  <r>
    <n v="4399"/>
    <s v="8_국립축산과학원"/>
    <s v="0_본원"/>
    <x v="10"/>
    <s v="우제훈"/>
    <s v="보도자료92"/>
    <s v="한라산 골칫덩이 제주조릿대, ‘말 방목’ 효과 있네"/>
    <s v="정책브리핑"/>
    <d v="2019-10-01T00:00:00"/>
    <m/>
    <s v="12_대한민국 정책포털(korea.kr)"/>
    <n v="1"/>
    <d v="2019-10-04T00:00:00"/>
  </r>
  <r>
    <n v="4400"/>
    <s v="8_국립축산과학원"/>
    <s v="0_본원"/>
    <x v="10"/>
    <s v="우제훈"/>
    <s v="보도자료92"/>
    <s v="조릿대에 잠식되는 생태계, 해법은 말 방목"/>
    <s v="서귀포신문"/>
    <d v="2019-10-02T00:00:00"/>
    <m/>
    <s v="11_기타(지역주간지)"/>
    <n v="0.5"/>
    <d v="2019-10-04T00:00:00"/>
  </r>
  <r>
    <n v="4401"/>
    <s v="8_국립축산과학원"/>
    <s v="2_축산자원개발부"/>
    <x v="0"/>
    <s v="홍준기"/>
    <s v="보도자료93"/>
    <s v="유전체 정보 활용으로 돼지 개량 쉬워진다"/>
    <s v="강원경제신문"/>
    <d v="2019-10-02T00:00:00"/>
    <m/>
    <s v="13_인터넷포털"/>
    <n v="0.1"/>
    <d v="2019-10-04T00:00:00"/>
  </r>
  <r>
    <n v="4402"/>
    <s v="8_국립축산과학원"/>
    <s v="2_축산자원개발부"/>
    <x v="0"/>
    <s v="홍준기"/>
    <s v="보도자료93"/>
    <s v="유전체 정보 활용으로 돼지 개량 쉬워진다"/>
    <s v="농업경제신문"/>
    <d v="2019-10-04T00:00:00"/>
    <m/>
    <s v="13_인터넷포털"/>
    <n v="0.1"/>
    <d v="2019-10-04T00:00:00"/>
  </r>
  <r>
    <n v="4403"/>
    <s v="8_국립축산과학원"/>
    <s v="1_축산생명환경부"/>
    <x v="16"/>
    <s v="임다정"/>
    <m/>
    <s v="농진청 “국제축산연구소와 돼지열병 감염원리 공동연구”"/>
    <s v="뉴시스"/>
    <d v="2019-10-07T00:00:00"/>
    <m/>
    <s v="07_중앙일간지"/>
    <n v="5"/>
    <d v="2019-10-07T00:00:00"/>
  </r>
  <r>
    <n v="4404"/>
    <s v="8_국립축산과학원"/>
    <s v="2_축산자원개발부"/>
    <x v="0"/>
    <s v="홍준기"/>
    <s v="보도자료93"/>
    <s v="유전체 정보 활용으로 돼지 개량 쉬워진다"/>
    <s v="환경일보"/>
    <d v="2019-10-02T00:00:00"/>
    <m/>
    <s v="08_기타일간지"/>
    <n v="2"/>
    <d v="2019-10-07T00:00:00"/>
  </r>
  <r>
    <n v="4405"/>
    <s v="8_국립축산과학원"/>
    <s v="2_축산자원개발부"/>
    <x v="6"/>
    <s v="김기용"/>
    <s v="보도자료91"/>
    <s v="겨울철 사료작물, 서둘러 씨앗 뿌려야"/>
    <s v="농기자재신문"/>
    <d v="2019-10-04T00:00:00"/>
    <m/>
    <s v="09_농업전문지"/>
    <n v="1.5"/>
    <d v="2019-10-07T00:00:00"/>
  </r>
  <r>
    <n v="4406"/>
    <s v="8_국립축산과학원"/>
    <s v="2_축산자원개발부"/>
    <x v="0"/>
    <s v="홍준기"/>
    <s v="보도자료93"/>
    <s v="손쉽게 우수 씨돼지 선발 가능한 프로그램 개발"/>
    <s v="농수축산신문"/>
    <d v="2019-10-04T00:00:00"/>
    <m/>
    <s v="09_농업전문지"/>
    <n v="1.5"/>
    <d v="2019-10-07T00:00:00"/>
  </r>
  <r>
    <n v="4407"/>
    <s v="8_국립축산과학원"/>
    <s v="2_축산자원개발부"/>
    <x v="0"/>
    <s v="홍준기"/>
    <s v="보도자료93"/>
    <s v="유전체 정보 활용으로 돼지 개량 쉬워진다"/>
    <s v="농업인신문"/>
    <d v="2019-10-04T00:00:00"/>
    <m/>
    <s v="09_농업전문지"/>
    <n v="1.5"/>
    <d v="2019-10-07T00:00:00"/>
  </r>
  <r>
    <n v="4408"/>
    <s v="8_국립축산과학원"/>
    <s v="0_본원"/>
    <x v="10"/>
    <s v="우제훈"/>
    <s v="보도자료92"/>
    <s v="한라산 골칫덩이 제주조릿대, ‘말 방목’으로 조절"/>
    <s v="농촌여성신문"/>
    <d v="2019-10-07T00:00:00"/>
    <m/>
    <s v="09_농업전문지"/>
    <n v="1.5"/>
    <d v="2019-10-07T00:00:00"/>
  </r>
  <r>
    <n v="4409"/>
    <s v="8_국립축산과학원"/>
    <s v="2_축산자원개발부"/>
    <x v="0"/>
    <s v="홍준기"/>
    <s v="보도자료93"/>
    <s v="유전체 정보 활용으로 돼지 개량 쉬워진다"/>
    <s v="정책브리핑"/>
    <d v="2019-10-02T00:00:00"/>
    <m/>
    <s v="12_대한민국 정책포털(korea.kr)"/>
    <n v="1"/>
    <d v="2019-10-07T00:00:00"/>
  </r>
  <r>
    <n v="4410"/>
    <s v="8_국립축산과학원"/>
    <s v="0_본원"/>
    <x v="13"/>
    <s v="손지용"/>
    <s v="보도자료94"/>
    <s v="농촌진흥청, ‘스마트한 축산통계 30’ 최신 통계 정보 반영"/>
    <s v="오가닉라이프"/>
    <d v="2019-10-07T00:00:00"/>
    <m/>
    <s v="13_인터넷포털"/>
    <n v="0.1"/>
    <d v="2019-10-07T00:00:00"/>
  </r>
  <r>
    <n v="4411"/>
    <s v="8_국립축산과학원"/>
    <s v="2_축산자원개발부"/>
    <x v="0"/>
    <s v="홍준기"/>
    <s v="보도자료93"/>
    <s v="유전체 정보 활용으로 돼지 개량 쉬워진다"/>
    <s v="중부뉴스통신"/>
    <d v="2019-10-02T00:00:00"/>
    <m/>
    <s v="13_인터넷포털"/>
    <n v="0.1"/>
    <d v="2019-10-07T00:00:00"/>
  </r>
  <r>
    <n v="4412"/>
    <s v="8_국립축산과학원"/>
    <s v="2_축산자원개발부"/>
    <x v="0"/>
    <s v="홍준기"/>
    <s v="보도자료93"/>
    <s v="유전체 정보 활용으로 돼지 개량 쉬워진다"/>
    <s v="정필"/>
    <d v="2019-10-02T00:00:00"/>
    <m/>
    <s v="13_인터넷포털"/>
    <n v="0.1"/>
    <d v="2019-10-07T00:00:00"/>
  </r>
  <r>
    <n v="4413"/>
    <s v="8_국립축산과학원"/>
    <s v="2_축산자원개발부"/>
    <x v="0"/>
    <s v="홍준기"/>
    <s v="보도자료93"/>
    <s v="유전체 정보 활용으로 돼지 개량 쉬워진다"/>
    <s v="피디언"/>
    <d v="2019-10-02T00:00:00"/>
    <m/>
    <s v="13_인터넷포털"/>
    <n v="0.1"/>
    <d v="2019-10-07T00:00:00"/>
  </r>
  <r>
    <n v="4414"/>
    <s v="8_국립축산과학원"/>
    <s v="0_본원"/>
    <x v="13"/>
    <s v="박종문"/>
    <s v="보도자료95"/>
    <s v="가축인공수정사 면허시험 시행 무기한 연기"/>
    <s v="프레시안"/>
    <d v="2019-10-07T00:00:00"/>
    <m/>
    <s v="13_인터넷포털"/>
    <n v="0.1"/>
    <d v="2019-10-07T00:00:00"/>
  </r>
  <r>
    <n v="4415"/>
    <s v="8_국립축산과학원"/>
    <s v="0_본원"/>
    <x v="13"/>
    <s v="손지용"/>
    <s v="보도자료94"/>
    <s v="“축산 통계 업그레이드”…농진청, ‘스마트한 축산통계 30’ 자료 갱신"/>
    <s v="프레시안"/>
    <d v="2019-10-07T00:00:00"/>
    <m/>
    <s v="13_인터넷포털"/>
    <n v="0.1"/>
    <d v="2019-10-07T00:00:00"/>
  </r>
  <r>
    <n v="4416"/>
    <s v="8_국립축산과학원"/>
    <s v="0_본원"/>
    <x v="13"/>
    <s v="박종문"/>
    <s v="보도자료95"/>
    <s v="농진청, 가축인공수정사 면허시험 연기"/>
    <s v="라이브팜뉴스"/>
    <d v="2019-10-07T00:00:00"/>
    <m/>
    <s v="13_인터넷포털"/>
    <n v="0.1"/>
    <d v="2019-10-07T00:00:00"/>
  </r>
  <r>
    <n v="4417"/>
    <s v="8_국립축산과학원"/>
    <s v="0_본원"/>
    <x v="13"/>
    <s v="박종문"/>
    <s v="보도자료95"/>
    <s v="아프리카돼지열병에 가축인공수정사 면허시험 연기"/>
    <s v="연합뉴스"/>
    <d v="2019-10-07T00:00:00"/>
    <m/>
    <s v="07_중앙일간지"/>
    <n v="5"/>
    <d v="2019-10-08T00:00:00"/>
  </r>
  <r>
    <n v="4418"/>
    <s v="8_국립축산과학원"/>
    <s v="1_축산생명환경부"/>
    <x v="16"/>
    <s v="임다정"/>
    <m/>
    <s v="농진청, 국제축산연구소와 ‘돼지열병’ 공동연구"/>
    <s v="헤럴드경제"/>
    <d v="2019-10-07T00:00:00"/>
    <n v="6"/>
    <s v="07_중앙일간지"/>
    <n v="5"/>
    <d v="2019-10-08T00:00:00"/>
  </r>
  <r>
    <n v="4419"/>
    <s v="8_국립축산과학원"/>
    <s v="1_축산생명환경부"/>
    <x v="16"/>
    <s v="임다정"/>
    <m/>
    <s v="농촌진흥청장 ‘국제축산연구소와 아프리카돼지열병 공동연구’"/>
    <s v="연합뉴스"/>
    <d v="2019-10-07T00:00:00"/>
    <m/>
    <s v="07_중앙일간지"/>
    <n v="5"/>
    <d v="2019-10-08T00:00:00"/>
  </r>
  <r>
    <n v="4420"/>
    <s v="8_국립축산과학원"/>
    <s v="1_축산생명환경부"/>
    <x v="16"/>
    <s v="임다정"/>
    <m/>
    <s v="김경규 청장 “아프리카돼지열병 유전자 분석 중”"/>
    <s v="이데일리"/>
    <d v="2019-10-07T00:00:00"/>
    <m/>
    <s v="07_중앙일간지"/>
    <n v="5"/>
    <d v="2019-10-08T00:00:00"/>
  </r>
  <r>
    <n v="4421"/>
    <s v="8_국립축산과학원"/>
    <s v="0_본원"/>
    <x v="13"/>
    <s v="손지용"/>
    <s v="보도자료94"/>
    <s v="축산 통계도 한 번에 스마트하게"/>
    <s v="대한급식신문"/>
    <d v="2019-10-07T00:00:00"/>
    <m/>
    <s v="09_농업전문지"/>
    <n v="1.5"/>
    <d v="2019-10-08T00:00:00"/>
  </r>
  <r>
    <n v="4422"/>
    <s v="8_국립축산과학원"/>
    <s v="2_축산자원개발부"/>
    <x v="6"/>
    <s v="김기용"/>
    <s v="보도자료91"/>
    <s v="겨울철 사료작물, 서둘러 씨앗 뿌려야"/>
    <s v="한국영농신문"/>
    <d v="2019-10-07T00:00:00"/>
    <m/>
    <s v="09_농업전문지"/>
    <n v="1.5"/>
    <d v="2019-10-08T00:00:00"/>
  </r>
  <r>
    <n v="4423"/>
    <s v="8_국립축산과학원"/>
    <s v="2_축산자원개발부"/>
    <x v="0"/>
    <s v="홍준기"/>
    <s v="보도자료93"/>
    <s v="돼지 개량, 유전체 정보 활용으로 쉬워진다"/>
    <s v="한국영농신문"/>
    <d v="2019-10-07T00:00:00"/>
    <m/>
    <s v="09_농업전문지"/>
    <n v="1.5"/>
    <d v="2019-10-08T00:00:00"/>
  </r>
  <r>
    <n v="4424"/>
    <s v="8_국립축산과학원"/>
    <s v="0_본원"/>
    <x v="10"/>
    <s v="우제훈"/>
    <s v="보도자료92"/>
    <s v="골칫덩이 조릿대, ‘말’ 풀어 키워 잡는다"/>
    <s v="한국영농신문"/>
    <d v="2019-10-08T00:00:00"/>
    <m/>
    <s v="09_농업전문지"/>
    <n v="1.5"/>
    <d v="2019-10-08T00:00:00"/>
  </r>
  <r>
    <n v="4425"/>
    <s v="8_국립축산과학원"/>
    <s v="0_본원"/>
    <x v="2"/>
    <s v="전익수"/>
    <m/>
    <s v="국립축산과학원 축산자원개발부 전남 함평에 둥지 튼다"/>
    <s v="한우신문"/>
    <d v="2019-10-01T00:00:00"/>
    <n v="5"/>
    <s v="10_기타전문지"/>
    <n v="1"/>
    <d v="2019-10-08T00:00:00"/>
  </r>
  <r>
    <n v="4426"/>
    <s v="8_국립축산과학원"/>
    <s v="0_본원"/>
    <x v="14"/>
    <s v="한만희"/>
    <m/>
    <s v="우사면적 100~900㎡ 신고, 900㎡이상 허가 대상"/>
    <s v="한우신문"/>
    <d v="2019-10-01T00:00:00"/>
    <s v="12-13"/>
    <s v="10_기타전문지"/>
    <n v="1"/>
    <d v="2019-10-08T00:00:00"/>
  </r>
  <r>
    <n v="4427"/>
    <s v="8_국립축산과학원"/>
    <s v="0_본원"/>
    <x v="14"/>
    <s v="김의형"/>
    <s v="보도자료85"/>
    <s v="면역력 떨어진 환절기엔 축사환경 관리 가장 중요"/>
    <s v="한우신문"/>
    <d v="2019-10-01T00:00:00"/>
    <n v="15"/>
    <s v="10_기타전문지"/>
    <n v="1"/>
    <d v="2019-10-08T00:00:00"/>
  </r>
  <r>
    <n v="4428"/>
    <s v="8_국립축산과학원"/>
    <s v="2_축산자원개발부"/>
    <x v="12"/>
    <s v="하승민"/>
    <s v="보도자료86"/>
    <s v="면역력 떨어진 환절기엔 축사환경 관리 가장 중요"/>
    <s v="한우신문"/>
    <d v="2019-10-01T00:00:00"/>
    <n v="15"/>
    <s v="10_기타전문지"/>
    <n v="1"/>
    <d v="2019-10-08T00:00:00"/>
  </r>
  <r>
    <n v="4429"/>
    <s v="8_국립축산과학원"/>
    <s v="0_본원"/>
    <x v="14"/>
    <s v="김의형"/>
    <s v="보도자료85"/>
    <s v="환절기 호흡기-설사병 백신으로 예방"/>
    <s v="낙농신문"/>
    <d v="2019-10-03T00:00:00"/>
    <n v="5"/>
    <s v="10_기타전문지"/>
    <n v="1"/>
    <d v="2019-10-08T00:00:00"/>
  </r>
  <r>
    <n v="4430"/>
    <s v="8_국립축산과학원"/>
    <s v="2_축산자원개발부"/>
    <x v="12"/>
    <s v="하승민"/>
    <s v="보도자료86"/>
    <s v="환절기 호흡기-설사병 백신으로 예방"/>
    <s v="낙농신문"/>
    <d v="2019-10-03T00:00:00"/>
    <n v="5"/>
    <s v="10_기타전문지"/>
    <n v="1"/>
    <d v="2019-10-08T00:00:00"/>
  </r>
  <r>
    <n v="4431"/>
    <s v="8_국립축산과학원"/>
    <s v="2_축산자원개발부"/>
    <x v="12"/>
    <s v="기광석"/>
    <m/>
    <s v="생균제 사료 첨가, 질병 발생 저감"/>
    <s v="낙농신문"/>
    <d v="2019-10-03T00:00:00"/>
    <n v="13"/>
    <s v="10_기타전문지"/>
    <n v="1"/>
    <d v="2019-10-08T00:00:00"/>
  </r>
  <r>
    <n v="4432"/>
    <s v="8_국립축산과학원"/>
    <s v="2_축산자원개발부"/>
    <x v="12"/>
    <s v="기광석"/>
    <m/>
    <s v="단백질 급여 증가, 후산정체 등 감소"/>
    <s v="낙농신문"/>
    <d v="2019-10-03T00:00:00"/>
    <n v="14"/>
    <s v="10_기타전문지"/>
    <n v="1"/>
    <d v="2019-10-08T00:00:00"/>
  </r>
  <r>
    <n v="4433"/>
    <s v="8_국립축산과학원"/>
    <s v="0_본원"/>
    <x v="13"/>
    <s v="손지용"/>
    <s v="보도자료94"/>
    <s v="30가지 주요 축산 통계를 한 번에"/>
    <s v="정책브리핑"/>
    <d v="2019-10-08T00:00:00"/>
    <m/>
    <s v="12_대한민국 정책포털(korea.kr)"/>
    <n v="1"/>
    <d v="2019-10-08T00:00:00"/>
  </r>
  <r>
    <n v="4434"/>
    <s v="8_국립축산과학원"/>
    <s v="0_본원"/>
    <x v="13"/>
    <s v="손지용"/>
    <s v="보도자료94"/>
    <s v="농촌진흥청, ‘스마트한 축산통계 30’ 최신 통계 정보 반영"/>
    <s v="매일일보"/>
    <d v="2019-10-08T00:00:00"/>
    <m/>
    <s v="08_기타일간지"/>
    <n v="2"/>
    <d v="2019-10-10T00:00:00"/>
  </r>
  <r>
    <n v="4435"/>
    <s v="8_국립축산과학원"/>
    <s v="1_축산생명환경부"/>
    <x v="16"/>
    <s v="박종은"/>
    <s v="보도자료90"/>
    <s v="농진청 축과원, 돼지 등지방 발달 조절인자 발견"/>
    <s v="농수축산신문"/>
    <d v="2019-10-08T00:00:00"/>
    <m/>
    <s v="09_농업전문지"/>
    <n v="1.5"/>
    <d v="2019-10-10T00:00:00"/>
  </r>
  <r>
    <n v="4436"/>
    <s v="8_국립축산과학원"/>
    <s v="0_본원"/>
    <x v="13"/>
    <s v="박종문"/>
    <s v="보도자료95"/>
    <s v="2019년도 가축 인공 수정사 면허 시험 시행 연기"/>
    <s v="한국영농신문"/>
    <d v="2019-10-09T00:00:00"/>
    <m/>
    <s v="09_농업전문지"/>
    <n v="1.5"/>
    <d v="2019-10-10T00:00:00"/>
  </r>
  <r>
    <n v="4437"/>
    <s v="8_국립축산과학원"/>
    <s v="0_본원"/>
    <x v="13"/>
    <s v="박종문"/>
    <s v="보도자료95"/>
    <s v="농진청, 가축안공수정사 면허시험 시행 연기"/>
    <s v="삼남일보"/>
    <d v="2019-10-08T00:00:00"/>
    <n v="5"/>
    <s v="09_지방일간지"/>
    <n v="1.5"/>
    <d v="2019-10-10T00:00:00"/>
  </r>
  <r>
    <n v="4438"/>
    <s v="8_국립축산과학원"/>
    <s v="0_본원"/>
    <x v="13"/>
    <s v="박종문"/>
    <s v="보도자료95"/>
    <s v="농진청 돼지열병 확산 방지 가축인공수정사 면허시험 연기"/>
    <s v="전북도민일보"/>
    <d v="2019-10-08T00:00:00"/>
    <n v="6"/>
    <s v="09_지방일간지"/>
    <n v="1.5"/>
    <d v="2019-10-10T00:00:00"/>
  </r>
  <r>
    <n v="4439"/>
    <s v="8_국립축산과학원"/>
    <s v="0_본원"/>
    <x v="13"/>
    <s v="박종문"/>
    <s v="보도자료95"/>
    <s v="2019 가축인공수정사 면허시험 연기"/>
    <s v="전주일보"/>
    <d v="2019-10-08T00:00:00"/>
    <n v="4"/>
    <s v="09_지방일간지"/>
    <n v="1.5"/>
    <d v="2019-10-10T00:00:00"/>
  </r>
  <r>
    <n v="4440"/>
    <s v="8_국립축산과학원"/>
    <s v="0_본원"/>
    <x v="13"/>
    <s v="박종문"/>
    <s v="보도자료95"/>
    <s v="가축인공수정사 시험 연기"/>
    <s v="전북중앙"/>
    <d v="2019-10-08T00:00:00"/>
    <n v="6"/>
    <s v="09_지방일간지"/>
    <n v="1.5"/>
    <d v="2019-10-10T00:00:00"/>
  </r>
  <r>
    <n v="4441"/>
    <s v="8_국립축산과학원"/>
    <s v="0_본원"/>
    <x v="13"/>
    <s v="박종문"/>
    <s v="보도자료95"/>
    <s v="가축인공수정사 면허시험 시행 연기"/>
    <s v="새전북신문"/>
    <d v="2019-10-08T00:00:00"/>
    <n v="4"/>
    <s v="09_지방일간지"/>
    <n v="1.5"/>
    <d v="2019-10-10T00:00:00"/>
  </r>
  <r>
    <n v="4442"/>
    <s v="8_국립축산과학원"/>
    <s v="0_본원"/>
    <x v="13"/>
    <s v="손지용"/>
    <s v="보도자료94"/>
    <s v="농진청, ‘스마트한 축산통계 30’ 최신 통계 정보 반영"/>
    <s v="전민일보"/>
    <d v="2019-10-08T00:00:00"/>
    <n v="5"/>
    <s v="09_지방일간지"/>
    <n v="1.5"/>
    <d v="2019-10-10T00:00:00"/>
  </r>
  <r>
    <n v="4443"/>
    <s v="8_국립축산과학원"/>
    <s v="0_본원"/>
    <x v="13"/>
    <s v="손지용"/>
    <s v="보도자료94"/>
    <s v="농진청 ‘스마트한 축산통계 30’ 최신 자료로 갱신"/>
    <s v="전북일보"/>
    <d v="2019-10-08T00:00:00"/>
    <n v="6"/>
    <s v="09_지방일간지"/>
    <n v="1.5"/>
    <d v="2019-10-10T00:00:00"/>
  </r>
  <r>
    <n v="4444"/>
    <s v="8_국립축산과학원"/>
    <s v="0_본원"/>
    <x v="13"/>
    <s v="손지용"/>
    <s v="보도자료94"/>
    <s v="농진청, ‘스마트한 축산통계 30’ 갱신"/>
    <s v="전라매일"/>
    <d v="2019-10-08T00:00:00"/>
    <n v="4"/>
    <s v="09_지방일간지"/>
    <n v="1.5"/>
    <d v="2019-10-10T00:00:00"/>
  </r>
  <r>
    <n v="4445"/>
    <s v="8_국립축산과학원"/>
    <s v="0_본원"/>
    <x v="13"/>
    <s v="손지용"/>
    <s v="보도자료94"/>
    <s v="스마트한 축산통계 30 농진청, 최신자료 갱신"/>
    <s v="전주매일"/>
    <d v="2019-10-08T00:00:00"/>
    <n v="6"/>
    <s v="09_지방일간지"/>
    <n v="1.5"/>
    <d v="2019-10-10T00:00:00"/>
  </r>
  <r>
    <n v="4446"/>
    <s v="8_국립축산과학원"/>
    <s v="1_축산생명환경부"/>
    <x v="16"/>
    <s v="임다정"/>
    <m/>
    <s v="농진청 “국제축산연구소와 돼지열병 감염원리 공동연구”"/>
    <s v="경안일보"/>
    <d v="2019-10-08T00:00:00"/>
    <n v="9"/>
    <s v="09_지방일간지"/>
    <n v="1.5"/>
    <d v="2019-10-10T00:00:00"/>
  </r>
  <r>
    <n v="4447"/>
    <s v="8_국립축산과학원"/>
    <s v="1_축산생명환경부"/>
    <x v="16"/>
    <s v="임다정"/>
    <m/>
    <s v="“국제축산硏과 돼지열병 감염경로 추적”"/>
    <s v="경기일보"/>
    <d v="2019-10-08T00:00:00"/>
    <n v="8"/>
    <s v="09_지방일간지"/>
    <n v="1.5"/>
    <d v="2019-10-10T00:00:00"/>
  </r>
  <r>
    <n v="4448"/>
    <s v="8_국립축산과학원"/>
    <s v="1_축산생명환경부"/>
    <x v="16"/>
    <s v="임다정"/>
    <m/>
    <s v="“베트남과 돼지열병 공동연구”"/>
    <s v="대구신문"/>
    <d v="2019-10-08T00:00:00"/>
    <n v="12"/>
    <s v="09_지방일간지"/>
    <n v="1.5"/>
    <d v="2019-10-10T00:00:00"/>
  </r>
  <r>
    <n v="4449"/>
    <s v="8_국립축산과학원"/>
    <s v="0_본원"/>
    <x v="13"/>
    <s v="박종문"/>
    <s v="보도자료95"/>
    <s v="2019년도 가축인공수정사 면허시험 시행 연기"/>
    <s v="식약일보"/>
    <d v="2019-10-08T00:00:00"/>
    <m/>
    <s v="10_기타전문지"/>
    <n v="1"/>
    <d v="2019-10-10T00:00:00"/>
  </r>
  <r>
    <n v="4450"/>
    <s v="8_국립축산과학원"/>
    <s v="0_본원"/>
    <x v="13"/>
    <s v="박종문"/>
    <s v="보도자료95"/>
    <s v="2019년도 가축인공수정사 면허시험 시행 연기!"/>
    <s v="더코리아뉴스"/>
    <d v="2019-10-08T00:00:00"/>
    <m/>
    <s v="13_인터넷포털"/>
    <n v="0.1"/>
    <d v="2019-10-10T00:00:00"/>
  </r>
  <r>
    <n v="4451"/>
    <s v="8_국립축산과학원"/>
    <s v="0_본원"/>
    <x v="13"/>
    <s v="박종문"/>
    <s v="보도자료95"/>
    <s v="아프리카돼지열병 심각, 가축인공수정사 면허시험 연기"/>
    <s v="여원뉴스"/>
    <d v="2019-10-08T00:00:00"/>
    <m/>
    <s v="13_인터넷포털"/>
    <n v="0.1"/>
    <d v="2019-10-10T00:00:00"/>
  </r>
  <r>
    <n v="4452"/>
    <s v="8_국립축산과학원"/>
    <s v="0_본원"/>
    <x v="13"/>
    <s v="박종문"/>
    <s v="보도자료95"/>
    <s v="2019년도 가축인공수정사 면허시험 시행 연기"/>
    <s v="전주인터넷뉴스"/>
    <d v="2019-10-08T00:00:00"/>
    <m/>
    <s v="13_인터넷포털"/>
    <n v="0.1"/>
    <d v="2019-10-10T00:00:00"/>
  </r>
  <r>
    <n v="4453"/>
    <s v="8_국립축산과학원"/>
    <s v="0_본원"/>
    <x v="13"/>
    <s v="손지용"/>
    <s v="보도자료94"/>
    <s v="‘스마트한 축산통계 30’ 프로그램 갱신"/>
    <s v="농업경제신문"/>
    <d v="2019-10-10T00:00:00"/>
    <m/>
    <s v="13_인터넷포털"/>
    <n v="0.1"/>
    <d v="2019-10-10T00:00:00"/>
  </r>
  <r>
    <n v="4454"/>
    <s v="8_국립축산과학원"/>
    <s v="0_본원"/>
    <x v="13"/>
    <s v="박종문"/>
    <s v="보도자료95"/>
    <s v="2019년도 가축인공수정사 면허시험 시행 연기"/>
    <s v="농업경제신문"/>
    <d v="2019-10-10T00:00:00"/>
    <m/>
    <s v="13_인터넷포털"/>
    <n v="0.1"/>
    <d v="2019-10-10T00:00:00"/>
  </r>
  <r>
    <n v="4455"/>
    <s v="8_국립축산과학원"/>
    <s v="0_본원"/>
    <x v="13"/>
    <s v="박종문"/>
    <s v="보도자료95"/>
    <s v="아프리카돼지열병에 가축인공수정사 면허시험 연기(KBS NEWS)"/>
    <s v="KBS RADIO"/>
    <d v="2019-10-07T00:00:00"/>
    <m/>
    <s v="05_라디오-중앙"/>
    <n v="3"/>
    <d v="2019-10-11T00:00:00"/>
  </r>
  <r>
    <n v="4456"/>
    <s v="8_국립축산과학원"/>
    <s v="0_본원"/>
    <x v="13"/>
    <s v="손지용"/>
    <s v="보도자료94"/>
    <s v="농진청 ‘스마트한 축산통계 30’ 최신 자료 갱신"/>
    <s v="환경일보"/>
    <d v="2019-10-10T00:00:00"/>
    <m/>
    <s v="08_기타일간지"/>
    <n v="2"/>
    <d v="2019-10-11T00:00:00"/>
  </r>
  <r>
    <n v="4457"/>
    <s v="8_국립축산과학원"/>
    <s v="0_본원"/>
    <x v="13"/>
    <s v="박종문"/>
    <s v="보도자료95"/>
    <s v="ASF 발병으로 가축인공수정사 면허시험 연기"/>
    <s v="환경일보"/>
    <d v="2019-10-10T00:00:00"/>
    <m/>
    <s v="08_기타일간지"/>
    <n v="2"/>
    <d v="2019-10-11T00:00:00"/>
  </r>
  <r>
    <n v="4458"/>
    <s v="8_국립축산과학원"/>
    <s v="2_축산자원개발부"/>
    <x v="6"/>
    <s v="김기용"/>
    <s v="보도자료91"/>
    <s v="겨울철 사료작물 ‘지금 씨앗 뿌려야’"/>
    <s v="농축환경신문"/>
    <d v="2019-10-03T00:00:00"/>
    <n v="5"/>
    <s v="09_농업전문지"/>
    <n v="1.5"/>
    <d v="2019-10-11T00:00:00"/>
  </r>
  <r>
    <n v="4459"/>
    <s v="8_국립축산과학원"/>
    <s v="0_본원"/>
    <x v="10"/>
    <s v="우제훈"/>
    <s v="보도자료92"/>
    <s v="골칫덩이 제주조릿대 ‘말 방목 효과’ 확인"/>
    <s v="농축환경신문"/>
    <d v="2019-10-03T00:00:00"/>
    <n v="5"/>
    <s v="09_농업전문지"/>
    <n v="1.5"/>
    <d v="2019-10-11T00:00:00"/>
  </r>
  <r>
    <n v="4460"/>
    <s v="8_국립축산과학원"/>
    <s v="1_축산생명환경부"/>
    <x v="16"/>
    <s v="박종은"/>
    <s v="보도자료90"/>
    <s v="등지방 관여 유전자 조절 인자 찾아"/>
    <s v="양돈타임스"/>
    <d v="2019-10-03T00:00:00"/>
    <n v="2"/>
    <s v="09_농업전문지"/>
    <n v="1.5"/>
    <d v="2019-10-11T00:00:00"/>
  </r>
  <r>
    <n v="4461"/>
    <s v="8_국립축산과학원"/>
    <s v="1_축산생명환경부"/>
    <x v="16"/>
    <s v="박종은"/>
    <s v="보도자료90"/>
    <s v="돼지 등지방 발달 ‘유전자 조절 인자’ 찾아내"/>
    <s v="농축환경신문"/>
    <d v="2019-10-03T00:00:00"/>
    <n v="4"/>
    <s v="09_농업전문지"/>
    <n v="1.5"/>
    <d v="2019-10-11T00:00:00"/>
  </r>
  <r>
    <n v="4462"/>
    <s v="8_국립축산과학원"/>
    <s v="0_본원"/>
    <x v="13"/>
    <s v="박종문"/>
    <s v="보도자료95"/>
    <s v="ASF에 가축인공수정사 면허시험 연기"/>
    <s v="농촌여성신문"/>
    <d v="2019-10-08T00:00:00"/>
    <m/>
    <s v="09_농업전문지"/>
    <n v="1.5"/>
    <d v="2019-10-11T00:00:00"/>
  </r>
  <r>
    <n v="4463"/>
    <s v="8_국립축산과학원"/>
    <s v="0_본원"/>
    <x v="13"/>
    <s v="손지용"/>
    <s v="보도자료94"/>
    <s v="축산통계 여기에 다 있네~"/>
    <s v="농촌여성신문"/>
    <d v="2019-10-11T00:00:00"/>
    <m/>
    <s v="09_농업전문지"/>
    <n v="1.5"/>
    <d v="2019-10-11T00:00:00"/>
  </r>
  <r>
    <n v="4464"/>
    <s v="8_국립축산과학원"/>
    <s v="0_본원"/>
    <x v="13"/>
    <s v="손지용"/>
    <s v="보도자료94"/>
    <s v="“30가지 축산 통계를 한 번에” 농진청, 프로그램 자료 최신화"/>
    <s v="경남일보"/>
    <d v="2019-10-10T00:00:00"/>
    <n v="9"/>
    <s v="09_지방일간지"/>
    <n v="1.5"/>
    <d v="2019-10-11T00:00:00"/>
  </r>
  <r>
    <n v="4465"/>
    <s v="8_국립축산과학원"/>
    <s v="0_본원"/>
    <x v="13"/>
    <s v="박종문"/>
    <s v="보도자료95"/>
    <s v="2019년도 가축인공수정사 면허시험 시행 연기"/>
    <s v="정책브리핑"/>
    <d v="2019-10-08T00:00:00"/>
    <m/>
    <s v="12_대한민국 정책포털(korea.kr)"/>
    <n v="1"/>
    <d v="2019-10-11T00:00:00"/>
  </r>
  <r>
    <n v="4466"/>
    <s v="8_국립축산과학원"/>
    <s v="0_본원"/>
    <x v="13"/>
    <s v="박종문"/>
    <s v="보도자료95"/>
    <s v="가축인공수정사 시험, 아프리카돼지열병으로 연기"/>
    <s v="말산업저널"/>
    <d v="2019-10-09T00:00:00"/>
    <m/>
    <s v="10_기타전문지"/>
    <n v="1"/>
    <d v="2019-10-11T00:00:00"/>
  </r>
  <r>
    <n v="4467"/>
    <s v="8_국립축산과학원"/>
    <s v="0_본원"/>
    <x v="13"/>
    <s v="박종문"/>
    <s v="보도자료95"/>
    <s v="올해 가축인공수정사 면허시험 시행 연기"/>
    <s v="보건뉴스"/>
    <d v="2019-10-10T00:00:00"/>
    <m/>
    <s v="13_인터넷포털"/>
    <n v="0.1"/>
    <d v="2019-10-11T00:00:00"/>
  </r>
  <r>
    <n v="4468"/>
    <s v="8_국립축산과학원"/>
    <s v="0_본원"/>
    <x v="13"/>
    <s v="손지용"/>
    <s v="보도자료94"/>
    <s v="30가지 주요 축산 통계를 한 번에"/>
    <s v="보건뉴스"/>
    <d v="2019-10-10T00:00:00"/>
    <m/>
    <s v="13_인터넷포털"/>
    <n v="0.1"/>
    <d v="2019-10-11T00:00:00"/>
  </r>
  <r>
    <n v="4469"/>
    <s v="8_국립축산과학원"/>
    <s v="1_축산생명환경부"/>
    <x v="5"/>
    <s v="조수현"/>
    <m/>
    <s v="소고기 고르는 요령과 보관 방법은?…얼린 소고기는 냉장 해동해야"/>
    <s v="메디컬월드뉴스"/>
    <d v="2019-10-11T00:00:00"/>
    <m/>
    <s v="13_인터넷포털"/>
    <n v="0.1"/>
    <d v="2019-10-11T00:00:00"/>
  </r>
  <r>
    <n v="4470"/>
    <s v="8_국립축산과학원"/>
    <s v="0_본원"/>
    <x v="13"/>
    <s v="박종문"/>
    <s v="보도자료95"/>
    <s v="가축인공수정사 시험, 아프리가돼지열병으로 연기"/>
    <s v="미디어피아"/>
    <d v="2019-10-09T00:00:00"/>
    <m/>
    <s v="13_인터넷포털"/>
    <n v="0.1"/>
    <d v="2019-10-11T00:00:00"/>
  </r>
  <r>
    <n v="4471"/>
    <s v="8_국립축산과학원"/>
    <s v="0_본원"/>
    <x v="13"/>
    <s v="박종문"/>
    <s v="보도자료95"/>
    <s v="2019년도 가축인공수정사 면허시험 시행 연기"/>
    <s v="청솔뉴스"/>
    <d v="2019-10-08T00:00:00"/>
    <m/>
    <s v="13_인터넷포털"/>
    <n v="0.1"/>
    <d v="2019-10-11T00:00:00"/>
  </r>
  <r>
    <n v="4472"/>
    <s v="8_국립축산과학원"/>
    <s v="0_본원"/>
    <x v="13"/>
    <s v="박종문"/>
    <s v="보도자료95"/>
    <s v="2019년도 가축인공수정사 면허시험 시행 연기"/>
    <s v="뉴트리션"/>
    <d v="2019-10-08T00:00:00"/>
    <m/>
    <s v="13_인터넷포털"/>
    <n v="0.1"/>
    <d v="2019-10-11T00:00:00"/>
  </r>
  <r>
    <n v="4473"/>
    <s v="8_국립축산과학원"/>
    <s v="0_본원"/>
    <x v="4"/>
    <s v="천동원"/>
    <s v="기고"/>
    <s v="[기고] 천동원 소장-축산현장 애로기술 해결 위한 닭 키우기[100문 100답]"/>
    <s v="축산신문"/>
    <d v="2019-10-11T00:00:00"/>
    <n v="15"/>
    <s v="17_농업전문지"/>
    <n v="8"/>
    <d v="2019-10-14T00:00:00"/>
  </r>
  <r>
    <n v="4474"/>
    <s v="8_국립축산과학원"/>
    <s v="1_축산생명환경부"/>
    <x v="9"/>
    <s v="전중환"/>
    <s v="기고"/>
    <s v="[기고] 전중환 연구사-羊頭狗肉:겉으로는 훌륭하게 내세우나 속은 변변찮음"/>
    <s v="축산신문"/>
    <d v="2019-10-11T00:00:00"/>
    <n v="15"/>
    <s v="17_농업전문지"/>
    <n v="8"/>
    <d v="2019-10-14T00:00:00"/>
  </r>
  <r>
    <n v="4475"/>
    <s v="8_국립축산과학원"/>
    <s v="0_본원"/>
    <x v="10"/>
    <s v="조인철"/>
    <s v="보도자료96"/>
    <s v="제주흑돼지 맛 비결, 육질 유전자 ‘MYH3’ 찾았다"/>
    <s v="국민일보"/>
    <d v="2019-10-14T00:00:00"/>
    <m/>
    <s v="07_중앙일간지"/>
    <n v="5"/>
    <d v="2019-10-14T00:00:00"/>
  </r>
  <r>
    <n v="4476"/>
    <s v="8_국립축산과학원"/>
    <s v="0_본원"/>
    <x v="10"/>
    <s v="조인철"/>
    <s v="보도자료96"/>
    <s v="제주 흑돼지 맛은 ‘이것’ 때문?"/>
    <s v="한겨레"/>
    <d v="2019-10-14T00:00:00"/>
    <m/>
    <s v="07_중앙일간지"/>
    <n v="5"/>
    <d v="2019-10-14T00:00:00"/>
  </r>
  <r>
    <n v="4477"/>
    <s v="8_국립축산과학원"/>
    <s v="0_본원"/>
    <x v="13"/>
    <s v="박종문"/>
    <s v="보도자료95"/>
    <s v="2019년도 가축인공수정사 면허시험 시행 연기"/>
    <s v="축산신문"/>
    <d v="2019-10-11T00:00:00"/>
    <n v="2"/>
    <s v="09_농업전문지"/>
    <n v="1.5"/>
    <d v="2019-10-14T00:00:00"/>
  </r>
  <r>
    <n v="4478"/>
    <s v="8_국립축산과학원"/>
    <s v="2_축산자원개발부"/>
    <x v="0"/>
    <s v="홍준기"/>
    <s v="보도자료93"/>
    <s v="돼지 유전체 정보 활용 우수 씨돼지 선발한다"/>
    <s v="한국농어민신문"/>
    <d v="2019-10-11T00:00:00"/>
    <n v="7"/>
    <s v="09_농업전문지"/>
    <n v="1.5"/>
    <d v="2019-10-14T00:00:00"/>
  </r>
  <r>
    <n v="4479"/>
    <s v="8_국립축산과학원"/>
    <s v="1_축산생명환경부"/>
    <x v="16"/>
    <s v="임다정"/>
    <m/>
    <s v="“ASF 백신, 연구 진행 부숙도 분석기관 증설”"/>
    <s v="축산신문"/>
    <d v="2019-10-11T00:00:00"/>
    <n v="2"/>
    <s v="09_농업전문지"/>
    <n v="1.5"/>
    <d v="2019-10-14T00:00:00"/>
  </r>
  <r>
    <n v="4480"/>
    <s v="8_국립축산과학원"/>
    <s v="0_본원"/>
    <x v="13"/>
    <s v="박종문"/>
    <s v="보도자료95"/>
    <s v="‘가축인공수정사’ 면허시험 연기"/>
    <s v="한국농어민신문"/>
    <d v="2019-10-11T00:00:00"/>
    <m/>
    <s v="09_농업전문지"/>
    <n v="1.5"/>
    <d v="2019-10-14T00:00:00"/>
  </r>
  <r>
    <n v="4481"/>
    <s v="8_국립축산과학원"/>
    <s v="0_본원"/>
    <x v="14"/>
    <s v="김의형"/>
    <s v="보도자료85"/>
    <s v="환절기 축사관리·질병예방법은?"/>
    <s v="한국농정신문"/>
    <d v="2019-10-13T00:00:00"/>
    <m/>
    <s v="09_농업전문지"/>
    <n v="1.5"/>
    <d v="2019-10-14T00:00:00"/>
  </r>
  <r>
    <n v="4482"/>
    <s v="8_국립축산과학원"/>
    <s v="2_축산자원개발부"/>
    <x v="12"/>
    <s v="하승민"/>
    <s v="보도자료86"/>
    <s v="환절기 축사관리·질병예방법은?"/>
    <s v="한국농정신문"/>
    <d v="2019-10-13T00:00:00"/>
    <m/>
    <s v="09_농업전문지"/>
    <n v="1.5"/>
    <d v="2019-10-14T00:00:00"/>
  </r>
  <r>
    <n v="4483"/>
    <s v="8_국립축산과학원"/>
    <s v="0_본원"/>
    <x v="13"/>
    <s v="박종문"/>
    <s v="보도자료95"/>
    <s v="농촌진흥청, 가축인공수정사 면허시험 연기"/>
    <s v="한국농정신문"/>
    <d v="2019-10-13T00:00:00"/>
    <m/>
    <s v="09_농업전문지"/>
    <n v="1.5"/>
    <d v="2019-10-14T00:00:00"/>
  </r>
  <r>
    <n v="4484"/>
    <s v="8_국립축산과학원"/>
    <s v="0_본원"/>
    <x v="10"/>
    <s v="조인철"/>
    <s v="보도자료96"/>
    <s v="제주흑돼지 맛의 비결은 ‘변이 유전자’ 때문?…농진청, 변이 확인"/>
    <s v="금강일보"/>
    <d v="2019-10-14T00:00:00"/>
    <m/>
    <s v="09_지방일간지"/>
    <n v="1.5"/>
    <d v="2019-10-14T00:00:00"/>
  </r>
  <r>
    <n v="4485"/>
    <s v="8_국립축산과학원"/>
    <s v="0_본원"/>
    <x v="13"/>
    <s v="손지용"/>
    <s v="보도자료94"/>
    <s v="30가지 주요 축산 통계 한 번에 보자"/>
    <s v="말산업저널"/>
    <d v="2019-10-14T00:00:00"/>
    <m/>
    <s v="10_기타전문지"/>
    <n v="1"/>
    <d v="2019-10-14T00:00:00"/>
  </r>
  <r>
    <n v="4486"/>
    <s v="8_국립축산과학원"/>
    <s v="0_본원"/>
    <x v="10"/>
    <s v="우제훈"/>
    <s v="보도자료92"/>
    <s v="골칫거리 제주조릿대, 말(馬) 방목 효과 확인"/>
    <s v="말산업저널"/>
    <d v="2019-10-14T00:00:00"/>
    <m/>
    <s v="10_기타전문지"/>
    <n v="1"/>
    <d v="2019-10-14T00:00:00"/>
  </r>
  <r>
    <n v="4487"/>
    <s v="8_국립축산과학원"/>
    <s v="0_본원"/>
    <x v="10"/>
    <s v="조인철"/>
    <s v="보도자료96"/>
    <s v="제주재래돼지 고기 맛(육질) 비밀 풀려"/>
    <s v="오가닉라이프"/>
    <d v="2019-10-14T00:00:00"/>
    <m/>
    <s v="13_인터넷포털"/>
    <n v="0.1"/>
    <d v="2019-10-14T00:00:00"/>
  </r>
  <r>
    <n v="4488"/>
    <s v="8_국립축산과학원"/>
    <s v="0_본원"/>
    <x v="10"/>
    <s v="조인철"/>
    <s v="보도자료96"/>
    <s v="제주재래돼지고기 맛있는 이유 찾았다"/>
    <s v="에코타임스"/>
    <d v="2019-10-14T00:00:00"/>
    <m/>
    <s v="13_인터넷포털"/>
    <n v="0.1"/>
    <d v="2019-10-14T00:00:00"/>
  </r>
  <r>
    <n v="4489"/>
    <s v="8_국립축산과학원"/>
    <s v="0_본원"/>
    <x v="10"/>
    <s v="조인철"/>
    <s v="보도자료96"/>
    <s v="제주 재래돼지 고기 맛 결정 유전자 발견(뉴스투데이)"/>
    <s v="MBC제주"/>
    <d v="2019-10-14T00:00:00"/>
    <m/>
    <s v="02_TV-지방"/>
    <n v="4"/>
    <d v="2019-10-15T00:00:00"/>
  </r>
  <r>
    <n v="4490"/>
    <s v="8_국립축산과학원"/>
    <s v="0_본원"/>
    <x v="10"/>
    <s v="조인철"/>
    <s v="보도자료96"/>
    <s v="제주 흑돼지 맛의 비밀... 변이 유전자 발견(사이언스투데이)"/>
    <s v="YTN사이언스"/>
    <d v="2019-10-14T00:00:00"/>
    <m/>
    <s v="02_TV-케이블중앙"/>
    <n v="4"/>
    <d v="2019-10-15T00:00:00"/>
  </r>
  <r>
    <n v="4491"/>
    <s v="8_국립축산과학원"/>
    <s v="0_본원"/>
    <x v="10"/>
    <s v="조인철"/>
    <s v="보도자료96"/>
    <s v="제주재래돼지, 고기 맛(육질)의 비밀 풀었다"/>
    <s v="서울신문"/>
    <d v="2019-10-14T00:00:00"/>
    <m/>
    <s v="07_중앙일간지"/>
    <n v="5"/>
    <d v="2019-10-15T00:00:00"/>
  </r>
  <r>
    <n v="4492"/>
    <s v="8_국립축산과학원"/>
    <s v="0_본원"/>
    <x v="10"/>
    <s v="조인철"/>
    <s v="보도자료96"/>
    <s v="제주흑돼지 변이 유전자 찾아...맛의 비밀 결정한 듯"/>
    <s v="연합뉴스"/>
    <d v="2019-10-14T00:00:00"/>
    <m/>
    <s v="07_중앙일간지"/>
    <n v="5"/>
    <d v="2019-10-15T00:00:00"/>
  </r>
  <r>
    <n v="4493"/>
    <s v="8_국립축산과학원"/>
    <s v="0_본원"/>
    <x v="10"/>
    <s v="조인철"/>
    <s v="보도자료96"/>
    <s v="제주 재래돼지 고기맛 유전자 규명, 난축맛돈 뛰어넘나"/>
    <s v="뉴시스"/>
    <d v="2019-10-14T00:00:00"/>
    <m/>
    <s v="07_중앙일간지"/>
    <n v="5"/>
    <d v="2019-10-15T00:00:00"/>
  </r>
  <r>
    <n v="4494"/>
    <s v="8_국립축산과학원"/>
    <s v="0_본원"/>
    <x v="10"/>
    <s v="조인철"/>
    <s v="보도자료96"/>
    <s v="제주 재래흑돼지 육질 비밀 풀렸다"/>
    <s v="뉴스1"/>
    <d v="2019-10-14T00:00:00"/>
    <m/>
    <s v="07_중앙일간지"/>
    <n v="5"/>
    <d v="2019-10-15T00:00:00"/>
  </r>
  <r>
    <n v="4495"/>
    <s v="8_국립축산과학원"/>
    <s v="0_본원"/>
    <x v="10"/>
    <s v="조인철"/>
    <s v="보도자료96"/>
    <s v="농촌진흥청, 근내 지방 함량·적색육 3배 많은 육질유전자 찾아"/>
    <s v="매일일보"/>
    <d v="2019-10-14T00:00:00"/>
    <m/>
    <s v="08_기타일간지"/>
    <n v="2"/>
    <d v="2019-10-15T00:00:00"/>
  </r>
  <r>
    <n v="4496"/>
    <s v="8_국립축산과학원"/>
    <s v="0_본원"/>
    <x v="13"/>
    <s v="손지용"/>
    <s v="보도자료94"/>
    <s v="30가지 주요 축산 통계를 한 번에"/>
    <s v="농업인신문"/>
    <d v="2019-10-14T00:00:00"/>
    <n v="6"/>
    <s v="09_농업전문지"/>
    <n v="1.5"/>
    <d v="2019-10-15T00:00:00"/>
  </r>
  <r>
    <n v="4497"/>
    <s v="8_국립축산과학원"/>
    <s v="0_본원"/>
    <x v="13"/>
    <s v="박종문"/>
    <s v="보도자료95"/>
    <s v="가축인공수정사 시험 연기"/>
    <s v="농업인신문"/>
    <d v="2019-10-14T00:00:00"/>
    <n v="2"/>
    <s v="09_농업전문지"/>
    <n v="1.5"/>
    <d v="2019-10-15T00:00:00"/>
  </r>
  <r>
    <n v="4498"/>
    <s v="8_국립축산과학원"/>
    <s v="2_축산자원개발부"/>
    <x v="6"/>
    <s v="김기용"/>
    <s v="보도자료91"/>
    <s v="겨울철 사료작물, 서둘러 씨앗 뿌리세요"/>
    <s v="전업농신문"/>
    <d v="2019-10-09T00:00:00"/>
    <n v="11"/>
    <s v="09_농업전문지"/>
    <n v="1.5"/>
    <d v="2019-10-15T00:00:00"/>
  </r>
  <r>
    <n v="4499"/>
    <s v="8_국립축산과학원"/>
    <s v="0_본원"/>
    <x v="10"/>
    <s v="조인철"/>
    <s v="보도자료96"/>
    <s v="제주재래돼지, 고기 맛의 비밀 풀었다"/>
    <s v="대한급식신문"/>
    <d v="2019-10-14T00:00:00"/>
    <m/>
    <s v="09_농업전문지"/>
    <n v="1.5"/>
    <d v="2019-10-15T00:00:00"/>
  </r>
  <r>
    <n v="4500"/>
    <s v="8_국립축산과학원"/>
    <s v="0_본원"/>
    <x v="10"/>
    <s v="조인철"/>
    <s v="보도자료96"/>
    <s v="제주 돼지, 왜 맛있을까?"/>
    <s v="한국영농신문"/>
    <d v="2019-10-14T00:00:00"/>
    <m/>
    <s v="09_농업전문지"/>
    <n v="1.5"/>
    <d v="2019-10-15T00:00:00"/>
  </r>
  <r>
    <n v="4501"/>
    <s v="8_국립축산과학원"/>
    <s v="0_본원"/>
    <x v="10"/>
    <s v="조인철"/>
    <s v="보도자료96"/>
    <s v="제주 재래돼지, 고기 맛 비밀 풀었다"/>
    <s v="전업농신문"/>
    <d v="2019-10-15T00:00:00"/>
    <m/>
    <s v="09_농업전문지"/>
    <n v="1.5"/>
    <d v="2019-10-15T00:00:00"/>
  </r>
  <r>
    <n v="4502"/>
    <s v="8_국립축산과학원"/>
    <s v="0_본원"/>
    <x v="10"/>
    <s v="조인철"/>
    <s v="보도자료96"/>
    <s v="제주토종돼지 맛 비밀 풀렸다"/>
    <s v="한라일보"/>
    <d v="2019-10-14T00:00:00"/>
    <n v="5"/>
    <s v="09_지방일간지"/>
    <n v="1.5"/>
    <d v="2019-10-15T00:00:00"/>
  </r>
  <r>
    <n v="4503"/>
    <s v="8_국립축산과학원"/>
    <s v="0_본원"/>
    <x v="10"/>
    <s v="조인철"/>
    <s v="보도자료96"/>
    <s v="제주 재래돼지, 근내 지방 함량·적색육 3배 많은 육질 유전자 발견"/>
    <s v="식약일보"/>
    <d v="2019-10-14T00:00:00"/>
    <m/>
    <s v="10_기타전문지"/>
    <n v="1"/>
    <d v="2019-10-15T00:00:00"/>
  </r>
  <r>
    <n v="4504"/>
    <s v="8_국립축산과학원"/>
    <s v="0_본원"/>
    <x v="10"/>
    <s v="조인철"/>
    <s v="보도자료96"/>
    <s v="제주 재래돼지의 ‘맛있는 비밀’ 풀렸다"/>
    <s v="제주신보"/>
    <d v="2019-10-14T00:00:00"/>
    <n v="7"/>
    <s v="11_기타(지역주간지)"/>
    <n v="0.5"/>
    <d v="2019-10-15T00:00:00"/>
  </r>
  <r>
    <n v="4505"/>
    <s v="8_국립축산과학원"/>
    <s v="0_본원"/>
    <x v="10"/>
    <s v="조인철"/>
    <s v="보도자료96"/>
    <s v="제주재래돼지가 맛있는 이유 “육질유전자 비밀에 있다”"/>
    <s v="라이브팜뉴스"/>
    <d v="2019-10-14T00:00:00"/>
    <m/>
    <s v="13_인터넷포털"/>
    <n v="0.1"/>
    <d v="2019-10-15T00:00:00"/>
  </r>
  <r>
    <n v="4506"/>
    <s v="8_국립축산과학원"/>
    <s v="0_본원"/>
    <x v="10"/>
    <s v="조인철"/>
    <s v="보도자료96"/>
    <s v="농진청, 제주재래돼지 고기 맛 관여 유전자 찾다"/>
    <s v="농업경제신문"/>
    <d v="2019-10-15T00:00:00"/>
    <m/>
    <s v="13_인터넷포털"/>
    <n v="0.1"/>
    <d v="2019-10-15T00:00:00"/>
  </r>
  <r>
    <n v="4507"/>
    <s v="8_국립축산과학원"/>
    <s v="0_본원"/>
    <x v="4"/>
    <s v="천동원"/>
    <s v="기고"/>
    <s v="[기고] 천동원 소장-축산현장 애로기술 해결 위한 닭 키우기[100문 100답]"/>
    <s v="축산신문"/>
    <d v="2019-10-15T00:00:00"/>
    <n v="15"/>
    <s v="17_농업전문지"/>
    <n v="8"/>
    <d v="2019-10-16T00:00:00"/>
  </r>
  <r>
    <n v="4508"/>
    <s v="8_국립축산과학원"/>
    <s v="2_축산자원개발부"/>
    <x v="6"/>
    <s v="이기원"/>
    <s v="보도자료97"/>
    <s v="농촌진흥청, 초지 조성용 풀사료 ‘톨 페스큐’ 새 품종 개발"/>
    <s v="매일일보"/>
    <d v="2019-10-15T00:00:00"/>
    <m/>
    <s v="08_기타일간지"/>
    <n v="2"/>
    <d v="2019-10-16T00:00:00"/>
  </r>
  <r>
    <n v="4509"/>
    <s v="8_국립축산과학원"/>
    <s v="0_본원"/>
    <x v="10"/>
    <s v="조인철"/>
    <s v="보도자료96"/>
    <s v="농진청, 제주돼지 고기맛 비밀 밝혀"/>
    <s v="대구신문"/>
    <d v="2019-10-13T00:00:00"/>
    <m/>
    <s v="09_지방일간지"/>
    <n v="1.5"/>
    <d v="2019-10-16T00:00:00"/>
  </r>
  <r>
    <n v="4510"/>
    <s v="8_국립축산과학원"/>
    <s v="0_본원"/>
    <x v="10"/>
    <s v="조인철"/>
    <s v="보도자료96"/>
    <s v="제주재래돼지 고기 맛의 비밀 ‘유전자’"/>
    <s v="제주신문"/>
    <d v="2019-10-14T00:00:00"/>
    <m/>
    <s v="09_지방일간지"/>
    <n v="1.5"/>
    <d v="2019-10-16T00:00:00"/>
  </r>
  <r>
    <n v="4511"/>
    <s v="8_국립축산과학원"/>
    <s v="0_본원"/>
    <x v="10"/>
    <s v="조인철"/>
    <s v="보도자료96"/>
    <s v="제주흑돼지 맛 비결 찾았다... 변이 유전자 확인"/>
    <s v="제주일보"/>
    <d v="2019-10-14T00:00:00"/>
    <m/>
    <s v="09_지방일간지"/>
    <n v="1.5"/>
    <d v="2019-10-16T00:00:00"/>
  </r>
  <r>
    <n v="4512"/>
    <s v="8_국립축산과학원"/>
    <s v="0_본원"/>
    <x v="10"/>
    <s v="조인철"/>
    <s v="보도자료96"/>
    <s v="제주흑돼지 맛의 비결은 ‘변이 유전자’"/>
    <s v="제민일보"/>
    <d v="2019-10-14T00:00:00"/>
    <m/>
    <s v="09_지방일간지"/>
    <n v="1.5"/>
    <d v="2019-10-16T00:00:00"/>
  </r>
  <r>
    <n v="4513"/>
    <s v="8_국립축산과학원"/>
    <s v="0_본원"/>
    <x v="10"/>
    <s v="조인철"/>
    <s v="보도자료96"/>
    <s v="제주재래돼지, 맛의 비밀 풀었다"/>
    <s v="새만금일보"/>
    <d v="2019-10-15T00:00:00"/>
    <n v="6"/>
    <s v="09_지방일간지"/>
    <n v="1.5"/>
    <d v="2019-10-16T00:00:00"/>
  </r>
  <r>
    <n v="4514"/>
    <s v="8_국립축산과학원"/>
    <s v="0_본원"/>
    <x v="10"/>
    <s v="조인철"/>
    <s v="보도자료96"/>
    <s v="농진청, 제주재래돼지 고기 맛 관여 유전자 찾다"/>
    <s v="전라매일"/>
    <d v="2019-10-15T00:00:00"/>
    <n v="4"/>
    <s v="09_지방일간지"/>
    <n v="1.5"/>
    <d v="2019-10-16T00:00:00"/>
  </r>
  <r>
    <n v="4515"/>
    <s v="8_국립축산과학원"/>
    <s v="0_본원"/>
    <x v="10"/>
    <s v="조인철"/>
    <s v="보도자료96"/>
    <s v="제주재래돼지, 고기 맛(육질)의 비밀 풀었다"/>
    <s v="호남제일신문"/>
    <d v="2019-10-15T00:00:00"/>
    <n v="5"/>
    <s v="09_지방일간지"/>
    <n v="1.5"/>
    <d v="2019-10-16T00:00:00"/>
  </r>
  <r>
    <n v="4516"/>
    <s v="8_국립축산과학원"/>
    <s v="0_본원"/>
    <x v="10"/>
    <s v="조인철"/>
    <s v="보도자료96"/>
    <s v="농진청, 제주재래돼지 고기 맛 비밀 밝혀"/>
    <s v="전북타임스"/>
    <d v="2019-10-15T00:00:00"/>
    <n v="7"/>
    <s v="09_지방일간지"/>
    <n v="1.5"/>
    <d v="2019-10-16T00:00:00"/>
  </r>
  <r>
    <n v="4517"/>
    <s v="8_국립축산과학원"/>
    <s v="2_축산자원개발부"/>
    <x v="6"/>
    <s v="이기원"/>
    <s v="보도자료97"/>
    <s v="농진청, 초지 조성용 풀사료 톨 페스큐 새 품종 개발"/>
    <s v="삼남일보"/>
    <d v="2019-10-15T00:00:00"/>
    <n v="5"/>
    <s v="09_지방일간지"/>
    <n v="1.5"/>
    <d v="2019-10-16T00:00:00"/>
  </r>
  <r>
    <n v="4518"/>
    <s v="8_국립축산과학원"/>
    <s v="0_본원"/>
    <x v="10"/>
    <s v="조인철"/>
    <s v="보도자료96"/>
    <s v="제주재래돼지, 고기 맛(육질)의 비밀 풀었다"/>
    <s v="정책브리핑"/>
    <d v="2019-10-14T00:00:00"/>
    <m/>
    <s v="12_대한민국 정책포털(korea.kr)"/>
    <n v="1"/>
    <d v="2019-10-16T00:00:00"/>
  </r>
  <r>
    <n v="4519"/>
    <s v="8_국립축산과학원"/>
    <s v="2_축산자원개발부"/>
    <x v="6"/>
    <s v="이기원"/>
    <s v="보도자료97"/>
    <s v="농촌진흥청, 풀사료 새 품종 톨 페스큐 ‘그린마스터 4호’ 개발!"/>
    <s v="더코리아뉴스"/>
    <d v="2019-10-15T00:00:00"/>
    <m/>
    <s v="13_인터넷포털"/>
    <n v="0.1"/>
    <d v="2019-10-16T00:00:00"/>
  </r>
  <r>
    <n v="4520"/>
    <s v="8_국립축산과학원"/>
    <s v="0_본원"/>
    <x v="10"/>
    <s v="조인철"/>
    <s v="보도자료96"/>
    <s v="제주토종흑돼지 ‘맛의 비밀’ 유전자로 알아냈다"/>
    <s v="제이누리"/>
    <d v="2019-10-14T00:00:00"/>
    <m/>
    <s v="13_인터넷포털"/>
    <n v="0.1"/>
    <d v="2019-10-16T00:00:00"/>
  </r>
  <r>
    <n v="4521"/>
    <s v="8_국립축산과학원"/>
    <s v="0_본원"/>
    <x v="10"/>
    <s v="조인철"/>
    <s v="보도자료96"/>
    <s v="제주재래돼지, 고기 맛=육질의 비밀 드디어 풀렸다"/>
    <s v="여원뉴스"/>
    <d v="2019-10-14T00:00:00"/>
    <m/>
    <s v="13_인터넷포털"/>
    <n v="0.1"/>
    <d v="2019-10-16T00:00:00"/>
  </r>
  <r>
    <n v="4522"/>
    <s v="8_국립축산과학원"/>
    <s v="0_본원"/>
    <x v="10"/>
    <s v="조인철"/>
    <s v="보도자료96"/>
    <s v="제주재래돼지, 고기 맛(육질)의 비밀 풀었다"/>
    <s v="우리문화신문"/>
    <d v="2019-10-15T00:00:00"/>
    <m/>
    <s v="13_인터넷포털"/>
    <n v="0.1"/>
    <d v="2019-10-16T00:00:00"/>
  </r>
  <r>
    <n v="4523"/>
    <s v="8_국립축산과학원"/>
    <s v="0_본원"/>
    <x v="10"/>
    <s v="조인철"/>
    <s v="보도자료96"/>
    <s v="제주재래돼지고기 맛의 비밀은?"/>
    <s v="코리안스피릿"/>
    <d v="2019-10-14T00:00:00"/>
    <m/>
    <s v="13_인터넷포털"/>
    <n v="0.1"/>
    <d v="2019-10-16T00:00:00"/>
  </r>
  <r>
    <n v="4524"/>
    <s v="8_국립축산과학원"/>
    <s v="0_본원"/>
    <x v="10"/>
    <s v="조인철"/>
    <s v="보도자료96"/>
    <s v="농진청, 제주 흑돼지 맛 결정 변이 유전자 확인(KBS NEWS)"/>
    <s v="KBS RADIO"/>
    <d v="2019-10-14T00:00:00"/>
    <m/>
    <s v="05_라디오-중앙"/>
    <n v="3"/>
    <d v="2019-10-17T00:00:00"/>
  </r>
  <r>
    <n v="4525"/>
    <s v="8_국립축산과학원"/>
    <s v="0_본원"/>
    <x v="10"/>
    <s v="조인철"/>
    <s v="보도자료96"/>
    <s v="제주흑돼지 변이 유전자 찾아...맛의 비밀 결정한듯"/>
    <s v="매일경제"/>
    <d v="2019-10-14T00:00:00"/>
    <m/>
    <s v="07_중앙일간지"/>
    <n v="5"/>
    <d v="2019-10-17T00:00:00"/>
  </r>
  <r>
    <n v="4526"/>
    <s v="8_국립축산과학원"/>
    <s v="2_축산자원개발부"/>
    <x v="6"/>
    <s v="이기원"/>
    <s v="보도자료97"/>
    <s v="초지 조성용 풀사료 톨 페스큐 새 품종 탄생"/>
    <s v="환경일보"/>
    <d v="2019-10-15T00:00:00"/>
    <m/>
    <s v="08_기타일간지"/>
    <n v="2"/>
    <d v="2019-10-17T00:00:00"/>
  </r>
  <r>
    <n v="4527"/>
    <s v="8_국립축산과학원"/>
    <s v="0_본원"/>
    <x v="10"/>
    <s v="우제훈"/>
    <s v="보도자료92"/>
    <s v="골칫덩이 제주조릿대 ‘말 방목’ 효과 봐"/>
    <s v="한국농촌경제신문"/>
    <d v="2019-09-30T00:00:00"/>
    <n v="5"/>
    <s v="09_농업전문지"/>
    <n v="1.5"/>
    <d v="2019-10-17T00:00:00"/>
  </r>
  <r>
    <n v="4528"/>
    <s v="8_국립축산과학원"/>
    <s v="0_본원"/>
    <x v="14"/>
    <s v="장선식"/>
    <m/>
    <s v="소고기 등급판정 보완 기준 적용 &lt;下&gt; 특별한 사양관리 필요한가"/>
    <s v="농수축산신문"/>
    <d v="2019-10-15T00:00:00"/>
    <m/>
    <s v="09_농업전문지"/>
    <n v="1.5"/>
    <d v="2019-10-17T00:00:00"/>
  </r>
  <r>
    <n v="4529"/>
    <s v="8_국립축산과학원"/>
    <s v="0_본원"/>
    <x v="10"/>
    <s v="조인철"/>
    <s v="보도자료96"/>
    <s v="제주재래돼지, 고기 맛(육질)의 비밀"/>
    <s v="팜&amp;마켓매거진"/>
    <d v="2019-10-16T00:00:00"/>
    <m/>
    <s v="09_농업전문지"/>
    <n v="1.5"/>
    <d v="2019-10-17T00:00:00"/>
  </r>
  <r>
    <n v="4530"/>
    <s v="8_국립축산과학원"/>
    <s v="0_본원"/>
    <x v="10"/>
    <s v="조인철"/>
    <s v="보도자료96"/>
    <s v="제주돼지 ‘고기맛’ 비밀 풀었다"/>
    <s v="한국농촌경제신문"/>
    <d v="2019-10-16T00:00:00"/>
    <m/>
    <s v="09_농업전문지"/>
    <n v="1.5"/>
    <d v="2019-10-17T00:00:00"/>
  </r>
  <r>
    <n v="4531"/>
    <s v="8_국립축산과학원"/>
    <s v="0_본원"/>
    <x v="13"/>
    <s v="박종문"/>
    <s v="보도자료95"/>
    <s v="‘가축인공수정사’ 면허시험 연기"/>
    <s v="한국농촌경제신문"/>
    <d v="2019-10-17T00:00:00"/>
    <m/>
    <s v="09_농업전문지"/>
    <n v="1.5"/>
    <d v="2019-10-17T00:00:00"/>
  </r>
  <r>
    <n v="4532"/>
    <s v="8_국립축산과학원"/>
    <s v="2_축산자원개발부"/>
    <x v="6"/>
    <s v="이기원"/>
    <s v="보도자료97"/>
    <s v="그린마스터 4호, 외국 품종보다 사료가치·생산성 우수"/>
    <s v="식약일보"/>
    <d v="2019-10-15T00:00:00"/>
    <m/>
    <s v="10_기타전문지"/>
    <n v="1"/>
    <d v="2019-10-17T00:00:00"/>
  </r>
  <r>
    <n v="4533"/>
    <s v="8_국립축산과학원"/>
    <s v="0_본원"/>
    <x v="2"/>
    <s v="전익수"/>
    <m/>
    <s v="국립축산과학원 축산자원개발부 전남 함평에 둥지 튼다"/>
    <s v="한국양돈신문"/>
    <d v="2019-10-18T00:00:00"/>
    <n v="7"/>
    <s v="10_기타전문지"/>
    <n v="1"/>
    <d v="2019-10-17T00:00:00"/>
  </r>
  <r>
    <n v="4534"/>
    <s v="8_국립축산과학원"/>
    <s v="2_축산자원개발부"/>
    <x v="0"/>
    <s v="문홍길"/>
    <m/>
    <s v="발효사료, 항생제사료 대비 출하일령 3~4일 단축"/>
    <s v="한국양돈신문"/>
    <d v="2019-10-18T00:00:00"/>
    <n v="12"/>
    <s v="10_기타전문지"/>
    <n v="1"/>
    <d v="2019-10-17T00:00:00"/>
  </r>
  <r>
    <n v="4535"/>
    <s v="8_국립축산과학원"/>
    <s v="2_축산자원개발부"/>
    <x v="0"/>
    <s v="홍준기"/>
    <s v="보도자료93"/>
    <s v="유전체 정보 활용으로 돼지개량 쉬워진다"/>
    <s v="한국양돈신문"/>
    <d v="2019-10-18T00:00:00"/>
    <n v="15"/>
    <s v="10_기타전문지"/>
    <n v="1"/>
    <d v="2019-10-17T00:00:00"/>
  </r>
  <r>
    <n v="4536"/>
    <s v="8_국립축산과학원"/>
    <s v="2_축산자원개발부"/>
    <x v="6"/>
    <s v="이기원"/>
    <s v="보도자료97"/>
    <s v="초지에 알맞은 풀사료 ‘그린마스터 4호’ 개발"/>
    <s v="농업경제신문"/>
    <d v="2019-10-16T00:00:00"/>
    <m/>
    <s v="13_인터넷포털"/>
    <n v="0.1"/>
    <d v="2019-10-17T00:00:00"/>
  </r>
  <r>
    <n v="4537"/>
    <s v="8_국립축산과학원"/>
    <s v="0_본원"/>
    <x v="4"/>
    <s v="천동원"/>
    <m/>
    <s v="황실토종닭농장, ‘황실재래닭’ 토종닭으로 인정"/>
    <s v="라이브팜뉴스"/>
    <d v="2019-10-16T00:00:00"/>
    <m/>
    <s v="13_인터넷포털"/>
    <n v="0.1"/>
    <d v="2019-10-17T00:00:00"/>
  </r>
  <r>
    <n v="4538"/>
    <s v="8_국립축산과학원"/>
    <s v="0_본원"/>
    <x v="13"/>
    <s v="손지용"/>
    <s v="보도자료94"/>
    <s v="주요 축산 통계 한 번에 보여드립니다"/>
    <s v="한국영농신문"/>
    <d v="2019-10-14T00:00:00"/>
    <n v="4"/>
    <s v="09_농업전문지"/>
    <n v="1.5"/>
    <d v="2019-10-18T00:00:00"/>
  </r>
  <r>
    <n v="4539"/>
    <s v="8_국립축산과학원"/>
    <s v="2_축산자원개발부"/>
    <x v="6"/>
    <s v="이기원"/>
    <s v="보도자료97"/>
    <s v="초지 조성용 풀사료, 톨 페스큐 새 품종 개발"/>
    <s v="농축유통신문"/>
    <d v="2019-10-18T00:00:00"/>
    <m/>
    <s v="09_농업전문지"/>
    <n v="1.5"/>
    <d v="2019-10-18T00:00:00"/>
  </r>
  <r>
    <n v="4540"/>
    <s v="8_국립축산과학원"/>
    <s v="2_축산자원개발부"/>
    <x v="6"/>
    <s v="이기원"/>
    <s v="보도자료97"/>
    <s v="초지사료 ‘톨 페스큐’ 신품종 개발"/>
    <s v="농촌여성신문"/>
    <d v="2019-10-18T00:00:00"/>
    <m/>
    <s v="09_농업전문지"/>
    <n v="1.5"/>
    <d v="2019-10-18T00:00:00"/>
  </r>
  <r>
    <n v="4541"/>
    <s v="8_국립축산과학원"/>
    <s v="2_축산자원개발부"/>
    <x v="6"/>
    <s v="이기원"/>
    <s v="보도자료97"/>
    <s v="초지 조성용 풀사료, 톨 페스큐 새 품종 개발"/>
    <s v="농업인신문"/>
    <d v="2019-10-18T00:00:00"/>
    <m/>
    <s v="09_농업전문지"/>
    <n v="1.5"/>
    <d v="2019-10-18T00:00:00"/>
  </r>
  <r>
    <n v="4542"/>
    <s v="8_국립축산과학원"/>
    <s v="0_본원"/>
    <x v="10"/>
    <s v="조인철"/>
    <s v="보도자료96"/>
    <s v="제주재래돼지, 고기 맛(육질)의 비밀 풀었다"/>
    <s v="농업인신문"/>
    <d v="2019-10-18T00:00:00"/>
    <m/>
    <s v="09_농업전문지"/>
    <n v="1.5"/>
    <d v="2019-10-18T00:00:00"/>
  </r>
  <r>
    <n v="4543"/>
    <s v="8_국립축산과학원"/>
    <s v="2_축산자원개발부"/>
    <x v="6"/>
    <s v="이기원"/>
    <s v="보도자료97"/>
    <s v="초지 조성용 풀사료, 톨 페스큐 새 품종 개발"/>
    <s v="정책브리핑"/>
    <d v="2019-10-15T00:00:00"/>
    <m/>
    <s v="12_대한민국 정책포털(korea.kr)"/>
    <n v="1"/>
    <d v="2019-10-18T00:00:00"/>
  </r>
  <r>
    <n v="4544"/>
    <s v="8_국립축산과학원"/>
    <s v="2_축산자원개발부"/>
    <x v="6"/>
    <s v="이기원"/>
    <s v="보도자료97"/>
    <s v="초지 조성용 풀사료, 톨 페스큐 새 품종 개발"/>
    <s v="진주인터넷뉴스"/>
    <d v="2019-10-15T00:00:00"/>
    <m/>
    <s v="13_인터넷포털"/>
    <n v="0.1"/>
    <d v="2019-10-18T00:00:00"/>
  </r>
  <r>
    <n v="4545"/>
    <s v="8_국립축산과학원"/>
    <s v="2_축산자원개발부"/>
    <x v="6"/>
    <s v="이기원"/>
    <s v="보도자료97"/>
    <s v="농진청, 우리나라 초지 조성에 맞는 새 품종 톨 페스큐 개발"/>
    <s v="글로벌경제신문"/>
    <d v="2019-10-15T00:00:00"/>
    <m/>
    <s v="13_인터넷포털"/>
    <n v="0.1"/>
    <d v="2019-10-18T00:00:00"/>
  </r>
  <r>
    <n v="4546"/>
    <s v="8_국립축산과학원"/>
    <s v="2_축산자원개발부"/>
    <x v="6"/>
    <s v="이기원"/>
    <s v="보도자료97"/>
    <s v="농진청, 톨 페스큐 개발...우리나라 초지 조성에 맞는 새 품종"/>
    <s v="웹데일리"/>
    <d v="2019-10-15T00:00:00"/>
    <m/>
    <s v="13_인터넷포털"/>
    <n v="0.1"/>
    <d v="2019-10-18T00:00:00"/>
  </r>
  <r>
    <n v="4547"/>
    <s v="8_국립축산과학원"/>
    <s v="2_축산자원개발부"/>
    <x v="6"/>
    <s v="이기원"/>
    <s v="보도자료97"/>
    <s v="농진청, 초지 조성용 풀사료 ‘톨 페스큐’ 새 품종 개발"/>
    <s v="KNS뉴스통신"/>
    <d v="2019-10-15T00:00:00"/>
    <m/>
    <s v="13_인터넷포털"/>
    <n v="0.1"/>
    <d v="2019-10-18T00:00:00"/>
  </r>
  <r>
    <n v="4548"/>
    <s v="8_국립축산과학원"/>
    <s v="0_본원"/>
    <x v="4"/>
    <s v="천동원"/>
    <s v="기고"/>
    <s v="[기고] 천동원 소장-축산현장 애로기술 해결 위한 닭 키우기[100문 100답]"/>
    <s v="축산신문"/>
    <d v="2019-10-18T00:00:00"/>
    <n v="15"/>
    <s v="17_농업전문지"/>
    <n v="8"/>
    <d v="2019-10-21T00:00:00"/>
  </r>
  <r>
    <n v="4549"/>
    <s v="8_국립축산과학원"/>
    <s v="2_축산자원개발부"/>
    <x v="12"/>
    <s v="이현정"/>
    <s v="기고"/>
    <s v="[기고] 이현정 연구관-(한우 단기비육기술) “28개월 출하로 사료비 8% 절감”"/>
    <s v="농축산기계"/>
    <d v="2019-10-10T00:00:00"/>
    <n v="9"/>
    <s v="18_기타전문지"/>
    <n v="4"/>
    <d v="2019-10-21T00:00:00"/>
  </r>
  <r>
    <n v="4550"/>
    <s v="8_국립축산과학원"/>
    <s v="0_본원"/>
    <x v="10"/>
    <s v="우제훈"/>
    <s v="기고"/>
    <s v="[기고] 우제훈 연구사-제주조릿대, 사료로 쓰고 한라산도 살린다"/>
    <s v="농수축산신문"/>
    <d v="2019-10-18T00:00:00"/>
    <n v="6"/>
    <s v="17_농업전문지"/>
    <n v="8"/>
    <d v="2019-10-21T00:00:00"/>
  </r>
  <r>
    <n v="4551"/>
    <s v="8_국립축산과학원"/>
    <s v="0_본원"/>
    <x v="10"/>
    <s v="조인철"/>
    <s v="보도자료96"/>
    <s v="제주 재래돼지, 고기 맛의 비밀 풀었다"/>
    <s v="축산신문"/>
    <d v="2019-10-18T00:00:00"/>
    <n v="16"/>
    <s v="09_농업전문지"/>
    <n v="1.5"/>
    <d v="2019-10-21T00:00:00"/>
  </r>
  <r>
    <n v="4552"/>
    <s v="8_국립축산과학원"/>
    <s v="2_축산자원개발부"/>
    <x v="6"/>
    <s v="이기원"/>
    <s v="보도자료97"/>
    <s v="초지 조성용 풀사료 톨 페스큐 새 품종 개발"/>
    <s v="축산신문"/>
    <d v="2019-10-18T00:00:00"/>
    <n v="16"/>
    <s v="09_농업전문지"/>
    <n v="1.5"/>
    <d v="2019-10-21T00:00:00"/>
  </r>
  <r>
    <n v="4553"/>
    <s v="8_국립축산과학원"/>
    <s v="0_본원"/>
    <x v="13"/>
    <s v="손지용"/>
    <s v="보도자료94"/>
    <s v="축산과학원 ‘스마트한 축산통계 30’ 최신 자료 배포"/>
    <s v="한국농어민신문"/>
    <d v="2019-10-18T00:00:00"/>
    <m/>
    <s v="09_농업전문지"/>
    <n v="1.5"/>
    <d v="2019-10-21T00:00:00"/>
  </r>
  <r>
    <n v="4554"/>
    <s v="8_국립축산과학원"/>
    <s v="2_축산자원개발부"/>
    <x v="8"/>
    <s v="김시동"/>
    <m/>
    <s v="젖소 계획교배 프로그램 본격 보급"/>
    <s v="축산경제"/>
    <d v="2019-10-18T00:00:00"/>
    <m/>
    <s v="09_농업전문지"/>
    <n v="1.5"/>
    <d v="2019-10-21T00:00:00"/>
  </r>
  <r>
    <n v="4555"/>
    <s v="8_국립축산과학원"/>
    <s v="1_축산생명환경부"/>
    <x v="16"/>
    <s v="최봉환"/>
    <s v="보도자료87"/>
    <s v="토종 삽살개 국가적 관리·보존해야"/>
    <s v="농축산기계"/>
    <d v="2019-10-10T00:00:00"/>
    <n v="12"/>
    <s v="10_기타전문지"/>
    <n v="1"/>
    <d v="2019-10-21T00:00:00"/>
  </r>
  <r>
    <n v="4556"/>
    <s v="8_국립축산과학원"/>
    <s v="0_본원"/>
    <x v="13"/>
    <s v="손지용"/>
    <s v="보도자료94"/>
    <s v="“30가지 주요축산 통계를 한번에”"/>
    <s v="농축산기계"/>
    <d v="2019-10-10T00:00:00"/>
    <n v="12"/>
    <s v="10_기타전문지"/>
    <n v="1"/>
    <d v="2019-10-21T00:00:00"/>
  </r>
  <r>
    <n v="4557"/>
    <s v="8_국립축산과학원"/>
    <s v="2_축산자원개발부"/>
    <x v="0"/>
    <s v="홍준기"/>
    <s v="보도자료93"/>
    <s v="돼지개량, 유전체 정보 활용으로 쉬워진다"/>
    <s v="농축산기계"/>
    <d v="2019-10-10T00:00:00"/>
    <n v="12"/>
    <s v="10_기타전문지"/>
    <n v="1"/>
    <d v="2019-10-21T00:00:00"/>
  </r>
  <r>
    <n v="4558"/>
    <s v="8_국립축산과학원"/>
    <s v="2_축산자원개발부"/>
    <x v="6"/>
    <s v="김기용"/>
    <s v="보도자료91"/>
    <s v="겨울철 사료작물, 서둘러 씨앗 뿌려야"/>
    <s v="낙농신문"/>
    <d v="2019-10-17T00:00:00"/>
    <n v="5"/>
    <s v="10_기타전문지"/>
    <n v="1"/>
    <d v="2019-10-21T00:00:00"/>
  </r>
  <r>
    <n v="4559"/>
    <s v="8_국립축산과학원"/>
    <s v="2_축산자원개발부"/>
    <x v="12"/>
    <s v="기광석"/>
    <m/>
    <s v="생균제, 소화과정서 살아 남아야 효과"/>
    <s v="낙농신문"/>
    <d v="2019-10-17T00:00:00"/>
    <n v="13"/>
    <s v="10_기타전문지"/>
    <n v="1"/>
    <d v="2019-10-21T00:00:00"/>
  </r>
  <r>
    <n v="4560"/>
    <s v="8_국립축산과학원"/>
    <s v="2_축산자원개발부"/>
    <x v="12"/>
    <s v="기광석"/>
    <m/>
    <s v="최고 비유기까지 영양상태 불균형"/>
    <s v="낙농신문"/>
    <d v="2019-10-17T00:00:00"/>
    <n v="14"/>
    <s v="10_기타전문지"/>
    <n v="1"/>
    <d v="2019-10-21T00:00:00"/>
  </r>
  <r>
    <n v="4561"/>
    <s v="8_국립축산과학원"/>
    <s v="0_본원"/>
    <x v="13"/>
    <s v="손지용"/>
    <s v="보도자료98"/>
    <s v="소비자 61% “육질 연하고 부드러운 소고기 선호”"/>
    <s v="라이브팜뉴스"/>
    <d v="2019-10-21T00:00:00"/>
    <m/>
    <s v="13_인터넷포털"/>
    <n v="0.1"/>
    <d v="2019-10-21T00:00:00"/>
  </r>
  <r>
    <n v="4562"/>
    <s v="8_국립축산과학원"/>
    <s v="0_본원"/>
    <x v="13"/>
    <s v="손지용"/>
    <s v="보도자료98"/>
    <s v="“그때 그때 달라요”...소고기 구매성향, 식생활 습관·경제여건 따라"/>
    <s v="프레시안"/>
    <d v="2019-10-21T00:00:00"/>
    <m/>
    <s v="13_인터넷포털"/>
    <n v="0.1"/>
    <d v="2019-10-21T00:00:00"/>
  </r>
  <r>
    <n v="4563"/>
    <s v="8_국립축산과학원"/>
    <s v="0_본원"/>
    <x v="13"/>
    <s v="손지용"/>
    <s v="보도자료98"/>
    <s v="식생활 습관·경제적 여건 따라 소고기 구매 달라져"/>
    <s v="서울신문"/>
    <d v="2019-10-22T00:00:00"/>
    <m/>
    <s v="07_중앙일간지"/>
    <n v="5"/>
    <d v="2019-10-23T00:00:00"/>
  </r>
  <r>
    <n v="4564"/>
    <s v="8_국립축산과학원"/>
    <s v="0_본원"/>
    <x v="10"/>
    <s v="김남영"/>
    <m/>
    <s v="가을 하늘 아래 여유롭게 풀 뜯는 ‘한라마’"/>
    <s v="한국일보"/>
    <d v="2019-10-22T00:00:00"/>
    <m/>
    <s v="07_중앙일간지"/>
    <n v="5"/>
    <d v="2019-10-23T00:00:00"/>
  </r>
  <r>
    <n v="4565"/>
    <s v="8_국립축산과학원"/>
    <s v="0_본원"/>
    <x v="10"/>
    <s v="김남영"/>
    <m/>
    <s v="여유롭게 풀 뜯는 ‘한라마’"/>
    <s v="연합뉴스"/>
    <d v="2019-10-22T00:00:00"/>
    <m/>
    <s v="07_중앙일간지"/>
    <n v="5"/>
    <d v="2019-10-23T00:00:00"/>
  </r>
  <r>
    <n v="4566"/>
    <s v="8_국립축산과학원"/>
    <s v="0_본원"/>
    <x v="10"/>
    <s v="김남영"/>
    <m/>
    <s v="푸른 하늘 아래 풀 뜯는 한라마"/>
    <s v="뉴시스"/>
    <d v="2019-10-22T00:00:00"/>
    <m/>
    <s v="07_중앙일간지"/>
    <n v="5"/>
    <d v="2019-10-23T00:00:00"/>
  </r>
  <r>
    <n v="4567"/>
    <s v="8_국립축산과학원"/>
    <s v="0_본원"/>
    <x v="10"/>
    <s v="김남영"/>
    <m/>
    <s v="맑은 하늘 아래 풀 뜯는 한라마"/>
    <s v="뉴스1"/>
    <d v="2019-10-22T00:00:00"/>
    <m/>
    <s v="07_중앙일간지"/>
    <n v="5"/>
    <d v="2019-10-23T00:00:00"/>
  </r>
  <r>
    <n v="4568"/>
    <s v="8_국립축산과학원"/>
    <s v="0_본원"/>
    <x v="13"/>
    <s v="손지용"/>
    <s v="보도자료98"/>
    <s v="농촌진흥청, 전국 1000명 대상 소고기 소비 경향 조사"/>
    <s v="매일일보"/>
    <d v="2019-10-22T00:00:00"/>
    <m/>
    <s v="08_기타일간지"/>
    <n v="2"/>
    <d v="2019-10-23T00:00:00"/>
  </r>
  <r>
    <n v="4569"/>
    <s v="8_국립축산과학원"/>
    <s v="2_축산자원개발부"/>
    <x v="0"/>
    <s v="홍준기"/>
    <s v="보도자료93"/>
    <s v="농진청 ‘원클릭 유전체 선발 및 최적 교배 1호’ 개발"/>
    <s v="농업축산신문"/>
    <d v="2019-10-14T00:00:00"/>
    <n v="12"/>
    <s v="09_농업전문지"/>
    <n v="1.5"/>
    <d v="2019-10-23T00:00:00"/>
  </r>
  <r>
    <n v="4570"/>
    <s v="8_국립축산과학원"/>
    <s v="2_축산자원개발부"/>
    <x v="0"/>
    <s v="홍준기"/>
    <s v="보도자료93"/>
    <s v="유전체 정보 활용 “돼지 개량 쉬워진다”"/>
    <s v="농축환경신문"/>
    <d v="2019-10-10T00:00:00"/>
    <n v="5"/>
    <s v="09_농업전문지"/>
    <n v="1.5"/>
    <d v="2019-10-23T00:00:00"/>
  </r>
  <r>
    <n v="4571"/>
    <s v="8_국립축산과학원"/>
    <s v="0_본원"/>
    <x v="13"/>
    <s v="손지용"/>
    <s v="보도자료94"/>
    <s v="30가지 주요 축산통계 ‘한 번에 클릭^^’"/>
    <s v="농축환경신문"/>
    <d v="2019-10-10T00:00:00"/>
    <n v="4"/>
    <s v="09_농업전문지"/>
    <n v="1.5"/>
    <d v="2019-10-23T00:00:00"/>
  </r>
  <r>
    <n v="4572"/>
    <s v="8_국립축산과학원"/>
    <s v="0_본원"/>
    <x v="13"/>
    <s v="손지용"/>
    <s v="보도자료94"/>
    <s v="농진청, 30가지 주요 축산 통계 한 번에"/>
    <s v="농업축산신문"/>
    <d v="2019-10-14T00:00:00"/>
    <n v="7"/>
    <s v="09_농업전문지"/>
    <n v="1.5"/>
    <d v="2019-10-23T00:00:00"/>
  </r>
  <r>
    <n v="4573"/>
    <s v="8_국립축산과학원"/>
    <s v="0_본원"/>
    <x v="13"/>
    <s v="박종문"/>
    <s v="보도자료95"/>
    <s v="올해 가축인공수정사 면허시험 ‘연기’"/>
    <s v="농축환경신문"/>
    <d v="2019-10-10T00:00:00"/>
    <n v="5"/>
    <s v="09_농업전문지"/>
    <n v="1.5"/>
    <d v="2019-10-23T00:00:00"/>
  </r>
  <r>
    <n v="4574"/>
    <s v="8_국립축산과학원"/>
    <s v="0_본원"/>
    <x v="13"/>
    <s v="손지용"/>
    <s v="보도자료94"/>
    <s v="스마트 축산 통계 30개 한 번에 확인"/>
    <s v="한국농기계신문"/>
    <d v="2019-10-15T00:00:00"/>
    <n v="12"/>
    <s v="09_농업전문지"/>
    <n v="1.5"/>
    <d v="2019-10-23T00:00:00"/>
  </r>
  <r>
    <n v="4575"/>
    <s v="8_국립축산과학원"/>
    <s v="0_본원"/>
    <x v="13"/>
    <s v="손지용"/>
    <s v="보도자료94"/>
    <s v="주요 축산통계 한눈에~"/>
    <s v="축산경제"/>
    <d v="2019-10-14T00:00:00"/>
    <n v="6"/>
    <s v="09_농업전문지"/>
    <n v="1.5"/>
    <d v="2019-10-23T00:00:00"/>
  </r>
  <r>
    <n v="4576"/>
    <s v="8_국립축산과학원"/>
    <s v="2_축산자원개발부"/>
    <x v="0"/>
    <s v="홍준기"/>
    <s v="보도자료93"/>
    <s v="유전체 정보로 우수한 돼지 개량한다"/>
    <s v="한국농기계신문"/>
    <d v="2019-10-15T00:00:00"/>
    <n v="12"/>
    <s v="09_농업전문지"/>
    <n v="1.5"/>
    <d v="2019-10-23T00:00:00"/>
  </r>
  <r>
    <n v="4577"/>
    <s v="8_국립축산과학원"/>
    <s v="2_축산자원개발부"/>
    <x v="0"/>
    <s v="홍준기"/>
    <s v="보도자료93"/>
    <s v="유전체 정보 활용으로 돼지 개량"/>
    <s v="농업정보신문"/>
    <d v="2019-10-14T00:00:00"/>
    <n v="10"/>
    <s v="09_농업전문지"/>
    <n v="1.5"/>
    <d v="2019-10-23T00:00:00"/>
  </r>
  <r>
    <n v="4578"/>
    <s v="8_국립축산과학원"/>
    <s v="0_본원"/>
    <x v="13"/>
    <s v="박종문"/>
    <s v="보도자료95"/>
    <s v="가축인공수정사 시험 연기"/>
    <s v="축산경제"/>
    <d v="2019-10-14T00:00:00"/>
    <n v="11"/>
    <s v="09_농업전문지"/>
    <n v="1.5"/>
    <d v="2019-10-23T00:00:00"/>
  </r>
  <r>
    <n v="4579"/>
    <s v="8_국립축산과학원"/>
    <s v="0_본원"/>
    <x v="13"/>
    <s v="손지용"/>
    <s v="보도자료98"/>
    <s v="식생활·경제 여건 따라 소고기 구매 달라진다"/>
    <s v="대한급식신문"/>
    <d v="2019-10-21T00:00:00"/>
    <m/>
    <s v="09_농업전문지"/>
    <n v="1.5"/>
    <d v="2019-10-23T00:00:00"/>
  </r>
  <r>
    <n v="4580"/>
    <s v="8_국립축산과학원"/>
    <s v="0_본원"/>
    <x v="13"/>
    <s v="손지용"/>
    <s v="보도자료98"/>
    <s v="소고기 소비량, 식생활 습관-경제적 여건 따라 변화"/>
    <s v="한국영농신문"/>
    <d v="2019-10-22T00:00:00"/>
    <m/>
    <s v="09_농업전문지"/>
    <n v="1.5"/>
    <d v="2019-10-23T00:00:00"/>
  </r>
  <r>
    <n v="4581"/>
    <s v="8_국립축산과학원"/>
    <s v="0_본원"/>
    <x v="13"/>
    <s v="손지용"/>
    <s v="보도자료98"/>
    <s v="“소고기 구매성향, 식생활 습관·경제여건이 좌우”"/>
    <s v="전업농신문"/>
    <d v="2019-10-23T00:00:00"/>
    <m/>
    <s v="09_농업전문지"/>
    <n v="1.5"/>
    <d v="2019-10-23T00:00:00"/>
  </r>
  <r>
    <n v="4582"/>
    <s v="8_국립축산과학원"/>
    <s v="0_본원"/>
    <x v="4"/>
    <s v="천동원"/>
    <m/>
    <s v="‘황실재래닭’ 토종닭으로 인정…토종닭 다양성 확보 기대"/>
    <s v="농축유통신문"/>
    <d v="2019-10-23T00:00:00"/>
    <m/>
    <s v="09_농업전문지"/>
    <n v="1.5"/>
    <d v="2019-10-23T00:00:00"/>
  </r>
  <r>
    <n v="4583"/>
    <s v="8_국립축산과학원"/>
    <s v="0_본원"/>
    <x v="13"/>
    <s v="손지용"/>
    <s v="보도자료98"/>
    <s v="식생활 습관·경제적 여건 따라 소고기 구매 달라져"/>
    <s v="전주매일"/>
    <d v="2019-10-22T00:00:00"/>
    <n v="6"/>
    <s v="09_지방일간지"/>
    <n v="1.5"/>
    <d v="2019-10-23T00:00:00"/>
  </r>
  <r>
    <n v="4584"/>
    <s v="8_국립축산과학원"/>
    <s v="0_본원"/>
    <x v="13"/>
    <s v="손지용"/>
    <s v="보도자료98"/>
    <s v="농진청 “식생활 습관·경제적 여건 따라 소고기 구매 차이”"/>
    <s v="전민일보"/>
    <d v="2019-10-22T00:00:00"/>
    <n v="5"/>
    <s v="09_지방일간지"/>
    <n v="1.5"/>
    <d v="2019-10-23T00:00:00"/>
  </r>
  <r>
    <n v="4585"/>
    <s v="8_국립축산과학원"/>
    <s v="0_본원"/>
    <x v="13"/>
    <s v="손지용"/>
    <s v="보도자료98"/>
    <s v="“가정 내 소고기 소비 늘었다” 34.8%"/>
    <s v="전라일보"/>
    <d v="2019-10-22T00:00:00"/>
    <n v="6"/>
    <s v="09_지방일간지"/>
    <n v="1.5"/>
    <d v="2019-10-23T00:00:00"/>
  </r>
  <r>
    <n v="4586"/>
    <s v="8_국립축산과학원"/>
    <s v="0_본원"/>
    <x v="13"/>
    <s v="손지용"/>
    <s v="보도자료98"/>
    <s v="가정내 소고기 소비 35% 늘어"/>
    <s v="전북중앙"/>
    <d v="2019-10-22T00:00:00"/>
    <n v="6"/>
    <s v="09_지방일간지"/>
    <n v="1.5"/>
    <d v="2019-10-23T00:00:00"/>
  </r>
  <r>
    <n v="4587"/>
    <s v="8_국립축산과학원"/>
    <s v="0_본원"/>
    <x v="13"/>
    <s v="손지용"/>
    <s v="보도자료98"/>
    <s v="식생활 습관·경제적 여건 따라 소고기 구매 달라져"/>
    <s v="전남인터넷신문"/>
    <d v="2019-10-22T00:00:00"/>
    <m/>
    <s v="13_인터넷포털"/>
    <n v="0.1"/>
    <d v="2019-10-23T00:00:00"/>
  </r>
  <r>
    <n v="4588"/>
    <s v="8_국립축산과학원"/>
    <s v="0_본원"/>
    <x v="13"/>
    <s v="손지용"/>
    <s v="보도자료98"/>
    <s v="소고기 소비는 점점 늘어난다 농촌진흥청이 조사했다"/>
    <s v="여원뉴스"/>
    <d v="2019-10-23T00:00:00"/>
    <m/>
    <s v="13_인터넷포털"/>
    <n v="0.1"/>
    <d v="2019-10-23T00:00:00"/>
  </r>
  <r>
    <n v="4589"/>
    <s v="8_국립축산과학원"/>
    <s v="0_본원"/>
    <x v="13"/>
    <s v="손지용"/>
    <s v="보도자료98"/>
    <s v="농촌진흥청, 전국 1000명 대상 소고기 소비 경향 조사"/>
    <s v="농업경제신문"/>
    <d v="2019-10-23T00:00:00"/>
    <m/>
    <s v="13_인터넷포털"/>
    <n v="0.1"/>
    <d v="2019-10-23T00:00:00"/>
  </r>
  <r>
    <n v="4590"/>
    <s v="8_국립축산과학원"/>
    <s v="0_본원"/>
    <x v="10"/>
    <s v="김남영"/>
    <m/>
    <s v="깊어가는 가을 하늘 아래 풀 뜯는 승용마들"/>
    <s v="보건뉴스"/>
    <d v="2019-10-23T00:00:00"/>
    <m/>
    <s v="13_인터넷포털"/>
    <n v="0.1"/>
    <d v="2019-10-23T00:00:00"/>
  </r>
  <r>
    <n v="4591"/>
    <s v="8_국립축산과학원"/>
    <s v="0_본원"/>
    <x v="13"/>
    <s v="박종문"/>
    <s v="보도자료95"/>
    <s v="2019년도 가축인공수정사 면허시험 시행 연기"/>
    <s v="버섯신문"/>
    <d v="2019-10-15T00:00:00"/>
    <n v="2"/>
    <s v="09_농업전문지"/>
    <n v="1.5"/>
    <d v="2019-10-24T00:00:00"/>
  </r>
  <r>
    <n v="4592"/>
    <s v="8_국립축산과학원"/>
    <s v="0_본원"/>
    <x v="13"/>
    <s v="유지현"/>
    <s v="보도자료99"/>
    <s v="학교에서 동물 기르며, 바른 인성 키워요"/>
    <s v="대한급식신문"/>
    <d v="2019-10-23T00:00:00"/>
    <m/>
    <s v="09_농업전문지"/>
    <n v="1.5"/>
    <d v="2019-10-24T00:00:00"/>
  </r>
  <r>
    <n v="4593"/>
    <s v="8_국립축산과학원"/>
    <s v="0_본원"/>
    <x v="10"/>
    <s v="김남영"/>
    <m/>
    <s v="이렇게 맛있다니…나 살찌려나 봐요"/>
    <s v="대경일보"/>
    <d v="2019-10-23T00:00:00"/>
    <n v="19"/>
    <s v="09_지방일간지"/>
    <n v="1.5"/>
    <d v="2019-10-24T00:00:00"/>
  </r>
  <r>
    <n v="4594"/>
    <s v="8_국립축산과학원"/>
    <s v="0_본원"/>
    <x v="10"/>
    <s v="김남영"/>
    <m/>
    <s v="천고마비…여유롭게 풀 뜯는 ‘한라마’"/>
    <s v="경북매일"/>
    <d v="2019-10-23T00:00:00"/>
    <n v="19"/>
    <s v="09_지방일간지"/>
    <n v="1.5"/>
    <d v="2019-10-24T00:00:00"/>
  </r>
  <r>
    <n v="4595"/>
    <s v="8_국립축산과학원"/>
    <s v="0_본원"/>
    <x v="10"/>
    <s v="김남영"/>
    <m/>
    <s v="푸른 하늘 아래 풀 뜯는 한라마"/>
    <s v="경북신문"/>
    <d v="2019-10-23T00:00:00"/>
    <n v="18"/>
    <s v="09_지방일간지"/>
    <n v="1.5"/>
    <d v="2019-10-24T00:00:00"/>
  </r>
  <r>
    <n v="4596"/>
    <s v="8_국립축산과학원"/>
    <s v="0_본원"/>
    <x v="10"/>
    <s v="김남영"/>
    <m/>
    <s v="가을햇살 즐기는 한라마"/>
    <s v="경상매일신문"/>
    <d v="2019-10-23T00:00:00"/>
    <n v="19"/>
    <s v="09_지방일간지"/>
    <n v="1.5"/>
    <d v="2019-10-24T00:00:00"/>
  </r>
  <r>
    <n v="4597"/>
    <s v="8_국립축산과학원"/>
    <s v="0_본원"/>
    <x v="10"/>
    <s v="김남영"/>
    <m/>
    <s v="푸른 하늘 아래 풀 뜯는 한라마"/>
    <s v="전주매일"/>
    <d v="2019-10-23T00:00:00"/>
    <n v="4"/>
    <s v="09_지방일간지"/>
    <n v="1.5"/>
    <d v="2019-10-24T00:00:00"/>
  </r>
  <r>
    <n v="4598"/>
    <s v="8_국립축산과학원"/>
    <s v="0_본원"/>
    <x v="10"/>
    <s v="김남영"/>
    <m/>
    <s v="여유롭게 풀 뜯어먹는 ‘한라마’들"/>
    <s v="제주일보"/>
    <d v="2019-10-23T00:00:00"/>
    <n v="6"/>
    <s v="09_지방일간지"/>
    <n v="1.5"/>
    <d v="2019-10-24T00:00:00"/>
  </r>
  <r>
    <n v="4599"/>
    <s v="8_국립축산과학원"/>
    <s v="0_본원"/>
    <x v="10"/>
    <s v="조인철"/>
    <s v="보도자료96"/>
    <s v="제주재래돼지, 고기 맛(육질)의 비밀 풀어"/>
    <s v="농식품PLUS신문"/>
    <d v="2019-10-15T00:00:00"/>
    <n v="19"/>
    <s v="10_기타전문지"/>
    <n v="1"/>
    <d v="2019-10-24T00:00:00"/>
  </r>
  <r>
    <n v="4600"/>
    <s v="8_국립축산과학원"/>
    <s v="0_본원"/>
    <x v="13"/>
    <s v="손지용"/>
    <s v="보도자료94"/>
    <s v="30가지 주요 축산 통계를 한 번에"/>
    <s v="농식품PLUS신문"/>
    <d v="2019-10-15T00:00:00"/>
    <n v="18"/>
    <s v="10_기타전문지"/>
    <n v="1"/>
    <d v="2019-10-24T00:00:00"/>
  </r>
  <r>
    <n v="4601"/>
    <s v="8_국립축산과학원"/>
    <s v="0_본원"/>
    <x v="13"/>
    <s v="유지현"/>
    <s v="보도자료99"/>
    <s v="학교에서 동물 기르며 바른 인성도 키워요"/>
    <s v="식약일보"/>
    <d v="2019-10-23T00:00:00"/>
    <m/>
    <s v="10_기타전문지"/>
    <n v="1"/>
    <d v="2019-10-24T00:00:00"/>
  </r>
  <r>
    <n v="4602"/>
    <s v="8_국립축산과학원"/>
    <s v="0_본원"/>
    <x v="13"/>
    <s v="손지용"/>
    <s v="보도자료98"/>
    <s v="식생활 습관·경제적 여건 따라 소고기 구매 달라져"/>
    <s v="정책브리핑"/>
    <d v="2019-10-22T00:00:00"/>
    <m/>
    <s v="12_대한민국 정책포털(korea.kr)"/>
    <n v="1"/>
    <d v="2019-10-24T00:00:00"/>
  </r>
  <r>
    <n v="4603"/>
    <s v="8_국립축산과학원"/>
    <s v="0_본원"/>
    <x v="2"/>
    <s v="양창범"/>
    <m/>
    <s v="완주군, 혁신도시 콩쥐팥쥐도서관 개관"/>
    <s v="뉴스핌"/>
    <d v="2019-10-23T00:00:00"/>
    <m/>
    <s v="11_기타(지역주간지)"/>
    <n v="0.5"/>
    <d v="2019-10-24T00:00:00"/>
  </r>
  <r>
    <n v="4604"/>
    <s v="8_국립축산과학원"/>
    <s v="0_본원"/>
    <x v="13"/>
    <s v="유지현"/>
    <s v="보도자료99"/>
    <s v="농촌진흥청 ‘동물교감교육’, 교육부 인성교육 프로그램 인증"/>
    <s v="프레시안"/>
    <d v="2019-10-23T00:00:00"/>
    <m/>
    <s v="13_인터넷포털"/>
    <n v="0.1"/>
    <d v="2019-10-24T00:00:00"/>
  </r>
  <r>
    <n v="4605"/>
    <s v="8_국립축산과학원"/>
    <s v="0_본원"/>
    <x v="13"/>
    <s v="손지용"/>
    <s v="보도자료98"/>
    <s v="“식생활 습관·경제 여건 따라 소고기 구입 달라져”"/>
    <s v="팜인사이트"/>
    <d v="2019-10-23T00:00:00"/>
    <m/>
    <s v="13_인터넷포털"/>
    <n v="0.1"/>
    <d v="2019-10-24T00:00:00"/>
  </r>
  <r>
    <n v="4606"/>
    <s v="8_국립축산과학원"/>
    <s v="2_축산자원개발부"/>
    <x v="6"/>
    <s v="임은아"/>
    <m/>
    <s v="농식품부, 사료제조업 불필요한 규제 없애고 잔류농약 검사 강화(포토뉴스)"/>
    <s v="투데이코리아"/>
    <d v="2019-10-23T00:00:00"/>
    <m/>
    <s v="13_인터넷포털"/>
    <n v="0.1"/>
    <d v="2019-10-24T00:00:00"/>
  </r>
  <r>
    <n v="4607"/>
    <s v="8_국립축산과학원"/>
    <s v="1_축산생명환경부"/>
    <x v="9"/>
    <s v="이동준"/>
    <s v="보도자료100"/>
    <s v="농촌진흥청, ‘깔짚우사 및 퇴비사 관리 기술’ 제시"/>
    <s v="일간전북"/>
    <d v="2019-10-24T00:00:00"/>
    <m/>
    <s v="13_인터넷포털"/>
    <n v="0.1"/>
    <d v="2019-10-24T00:00:00"/>
  </r>
  <r>
    <n v="4608"/>
    <s v="8_국립축산과학원"/>
    <s v="0_본원"/>
    <x v="13"/>
    <s v="유지현"/>
    <s v="보도자료99"/>
    <s v="“학교에서 동물 기르며 바른 인성도 키워요”"/>
    <s v="오가닉라이프"/>
    <d v="2019-10-24T00:00:00"/>
    <m/>
    <s v="13_인터넷포털"/>
    <n v="0.1"/>
    <d v="2019-10-24T00:00:00"/>
  </r>
  <r>
    <n v="4609"/>
    <s v="8_국립축산과학원"/>
    <s v="0_본원"/>
    <x v="13"/>
    <s v="유지현"/>
    <s v="보도자료99"/>
    <s v="학교에서 동물 기르며 바른 인성도 키워요"/>
    <s v="중부뉴스통신"/>
    <d v="2019-10-24T00:00:00"/>
    <m/>
    <s v="13_인터넷포털"/>
    <n v="0.1"/>
    <d v="2019-10-24T00:00:00"/>
  </r>
  <r>
    <n v="4610"/>
    <s v="8_국립축산과학원"/>
    <s v="0_본원"/>
    <x v="13"/>
    <s v="유지현"/>
    <s v="보도자료99"/>
    <s v="학교에서 동물 기르며 바른 인성도 키워요"/>
    <s v="미디어투데이"/>
    <d v="2019-10-24T00:00:00"/>
    <m/>
    <s v="13_인터넷포털"/>
    <n v="0.1"/>
    <d v="2019-10-24T00:00:00"/>
  </r>
  <r>
    <n v="4611"/>
    <s v="8_국립축산과학원"/>
    <s v="0_본원"/>
    <x v="13"/>
    <s v="유지현"/>
    <s v="보도자료99"/>
    <s v="학교에서 동물 기르며 바른 인성도 키워요"/>
    <s v="IPN뉴스"/>
    <d v="2019-10-24T00:00:00"/>
    <m/>
    <s v="13_인터넷포털"/>
    <n v="0.1"/>
    <d v="2019-10-24T00:00:00"/>
  </r>
  <r>
    <n v="4612"/>
    <s v="8_국립축산과학원"/>
    <s v="0_본원"/>
    <x v="13"/>
    <s v="유지현"/>
    <s v="보도자료99"/>
    <s v="농촌진흥청, ‘동물교감교육’ 교육부 인성교육 프로그램 인증!"/>
    <s v="더코리아뉴스"/>
    <d v="2019-10-24T00:00:00"/>
    <m/>
    <s v="13_인터넷포털"/>
    <n v="0.1"/>
    <d v="2019-10-24T00:00:00"/>
  </r>
  <r>
    <n v="4613"/>
    <s v="8_국립축산과학원"/>
    <s v="0_본원"/>
    <x v="13"/>
    <s v="손지용"/>
    <s v="보도자료98"/>
    <s v="식생활 습관, 경제적 여건에 따라 소고기 소비량 달라져"/>
    <s v="코리안스피릿"/>
    <d v="2019-10-22T00:00:00"/>
    <m/>
    <s v="13_인터넷포털"/>
    <n v="0.1"/>
    <d v="2019-10-24T00:00:00"/>
  </r>
  <r>
    <n v="4614"/>
    <s v="8_국립축산과학원"/>
    <s v="0_본원"/>
    <x v="13"/>
    <s v="손지용"/>
    <s v="보도자료98"/>
    <s v="전국 1000명 대상 소고기 소비 경향 조사 실시"/>
    <s v="식품외식경영"/>
    <d v="2019-10-24T00:00:00"/>
    <m/>
    <s v="13_인터넷포털"/>
    <n v="0.1"/>
    <d v="2019-10-24T00:00:00"/>
  </r>
  <r>
    <n v="4615"/>
    <s v="8_국립축산과학원"/>
    <s v="0_본원"/>
    <x v="13"/>
    <s v="유지현"/>
    <s v="보도자료99"/>
    <s v="학교에서 동물 기르며 바른 인성도 키워요"/>
    <s v="서울신문"/>
    <d v="2019-10-24T00:00:00"/>
    <m/>
    <s v="07_중앙일간지"/>
    <n v="5"/>
    <d v="2019-10-25T00:00:00"/>
  </r>
  <r>
    <n v="4616"/>
    <s v="8_국립축산과학원"/>
    <s v="1_축산생명환경부"/>
    <x v="5"/>
    <s v="조수현"/>
    <m/>
    <s v="담양군, 한우 숙성기술 활용 저지방부위 시식회"/>
    <s v="아시아뉴스통신"/>
    <d v="2019-10-24T00:00:00"/>
    <m/>
    <s v="07_중앙일간지"/>
    <n v="5"/>
    <d v="2019-10-25T00:00:00"/>
  </r>
  <r>
    <n v="4617"/>
    <s v="8_국립축산과학원"/>
    <s v="0_본원"/>
    <x v="13"/>
    <s v="유지현"/>
    <s v="보도자료99"/>
    <s v="농촌진흥청, ‘동물교감교육’ 교육부 인성교육 프로그램으로 인증"/>
    <s v="매일일보"/>
    <d v="2019-10-24T00:00:00"/>
    <m/>
    <s v="08_기타일간지"/>
    <n v="2"/>
    <d v="2019-10-25T00:00:00"/>
  </r>
  <r>
    <n v="4618"/>
    <s v="8_국립축산과학원"/>
    <s v="0_본원"/>
    <x v="13"/>
    <s v="손지용"/>
    <s v="보도자료94"/>
    <s v="‘스마트한 축산통계 30’ 자료 갱신"/>
    <s v="전업농신문"/>
    <d v="2019-10-16T00:00:00"/>
    <n v="8"/>
    <s v="09_농업전문지"/>
    <n v="1.5"/>
    <d v="2019-10-25T00:00:00"/>
  </r>
  <r>
    <n v="4619"/>
    <s v="8_국립축산과학원"/>
    <s v="0_본원"/>
    <x v="10"/>
    <s v="조인철"/>
    <s v="보도자료96"/>
    <s v="제주 재래돼지 “육질의 비밀 풀었다”"/>
    <s v="농축환경신문"/>
    <d v="2019-10-17T00:00:00"/>
    <n v="8"/>
    <s v="09_농업전문지"/>
    <n v="1.5"/>
    <d v="2019-10-25T00:00:00"/>
  </r>
  <r>
    <n v="4620"/>
    <s v="8_국립축산과학원"/>
    <s v="1_축산생명환경부"/>
    <x v="9"/>
    <s v="이동준"/>
    <s v="보도자료100"/>
    <s v="깔짚 우사-퇴비사 관리 기술로 퇴비 질 높인다"/>
    <s v="한국영농신문"/>
    <d v="2019-10-25T00:00:00"/>
    <m/>
    <s v="09_농업전문지"/>
    <n v="1.5"/>
    <d v="2019-10-25T00:00:00"/>
  </r>
  <r>
    <n v="4621"/>
    <s v="8_국립축산과학원"/>
    <s v="0_본원"/>
    <x v="13"/>
    <s v="손지용"/>
    <s v="보도자료98"/>
    <s v="우리국민, 수입산 보다 ‘국산 소고기’ 구입 선호한다"/>
    <s v="농축유통신문"/>
    <d v="2019-10-25T00:00:00"/>
    <m/>
    <s v="09_농업전문지"/>
    <n v="1.5"/>
    <d v="2019-10-25T00:00:00"/>
  </r>
  <r>
    <n v="4622"/>
    <s v="8_국립축산과학원"/>
    <s v="1_축산생명환경부"/>
    <x v="5"/>
    <s v="조수현"/>
    <m/>
    <s v="담양군, 한우 숙성기술 활용 저지방부위 시식회"/>
    <s v="내외일보"/>
    <d v="2019-10-24T00:00:00"/>
    <m/>
    <s v="09_지방일간지"/>
    <n v="1.5"/>
    <d v="2019-10-25T00:00:00"/>
  </r>
  <r>
    <n v="4623"/>
    <s v="8_국립축산과학원"/>
    <s v="0_본원"/>
    <x v="13"/>
    <s v="유지현"/>
    <s v="보도자료99"/>
    <s v="동물교감교육 교육부 인성교육 프로그램 인증"/>
    <s v="전북도민일보"/>
    <d v="2019-10-24T00:00:00"/>
    <n v="15"/>
    <s v="09_지방일간지"/>
    <n v="1.5"/>
    <d v="2019-10-25T00:00:00"/>
  </r>
  <r>
    <n v="4624"/>
    <s v="8_국립축산과학원"/>
    <s v="0_본원"/>
    <x v="13"/>
    <s v="유지현"/>
    <s v="보도자료99"/>
    <s v="농진청 동물교감교육 인증 현판식"/>
    <s v="전주일보"/>
    <d v="2019-10-24T00:00:00"/>
    <n v="5"/>
    <s v="09_지방일간지"/>
    <n v="1.5"/>
    <d v="2019-10-25T00:00:00"/>
  </r>
  <r>
    <n v="4625"/>
    <s v="8_국립축산과학원"/>
    <s v="0_본원"/>
    <x v="13"/>
    <s v="유지현"/>
    <s v="보도자료99"/>
    <s v="동물교감교육, 교육부 인성교육 프로그램 ‘인증’"/>
    <s v="전라매일"/>
    <d v="2019-10-24T00:00:00"/>
    <n v="4"/>
    <s v="09_지방일간지"/>
    <n v="1.5"/>
    <d v="2019-10-25T00:00:00"/>
  </r>
  <r>
    <n v="4626"/>
    <s v="8_국립축산과학원"/>
    <s v="0_본원"/>
    <x v="13"/>
    <s v="유지현"/>
    <s v="보도자료99"/>
    <s v="농진청 동물교감교육, 교육부 인성교육 프로그램 인증"/>
    <s v="전북타임스"/>
    <d v="2019-10-24T00:00:00"/>
    <n v="5"/>
    <s v="09_지방일간지"/>
    <n v="1.5"/>
    <d v="2019-10-25T00:00:00"/>
  </r>
  <r>
    <n v="4627"/>
    <s v="8_국립축산과학원"/>
    <s v="0_본원"/>
    <x v="13"/>
    <s v="유지현"/>
    <s v="보도자료99"/>
    <s v="동물교감교육 인성교육 효과 인증 현판식 가져"/>
    <s v="전북중앙"/>
    <d v="2019-10-24T00:00:00"/>
    <n v="6"/>
    <s v="09_지방일간지"/>
    <n v="1.5"/>
    <d v="2019-10-25T00:00:00"/>
  </r>
  <r>
    <n v="4628"/>
    <s v="8_국립축산과학원"/>
    <s v="0_본원"/>
    <x v="13"/>
    <s v="유지현"/>
    <s v="보도자료99"/>
    <s v="학교에서 동물 기르며 바른 인성 ‘쑥쑥’"/>
    <s v="전북연합신문"/>
    <d v="2019-10-24T00:00:00"/>
    <n v="5"/>
    <s v="09_지방일간지"/>
    <n v="1.5"/>
    <d v="2019-10-25T00:00:00"/>
  </r>
  <r>
    <n v="4629"/>
    <s v="8_국립축산과학원"/>
    <s v="0_본원"/>
    <x v="13"/>
    <s v="유지현"/>
    <s v="보도자료99"/>
    <s v="“학교에서 동물 기르며 바른 인성도 키워요”"/>
    <s v="전민일보"/>
    <d v="2019-10-24T00:00:00"/>
    <n v="5"/>
    <s v="09_지방일간지"/>
    <n v="1.5"/>
    <d v="2019-10-25T00:00:00"/>
  </r>
  <r>
    <n v="4630"/>
    <s v="8_국립축산과학원"/>
    <s v="0_본원"/>
    <x v="13"/>
    <s v="유지현"/>
    <s v="보도자료99"/>
    <s v="농진청 ‘동물교감교육’ 교육부 인성교육 프로그램 인증"/>
    <s v="새만금일보"/>
    <d v="2019-10-24T00:00:00"/>
    <n v="6"/>
    <s v="09_지방일간지"/>
    <n v="1.5"/>
    <d v="2019-10-25T00:00:00"/>
  </r>
  <r>
    <n v="4631"/>
    <s v="8_국립축산과학원"/>
    <s v="0_본원"/>
    <x v="2"/>
    <s v="양창범"/>
    <m/>
    <s v="완주콩쥐팥쥐도서관 ‘활짝’…인문독서 문화프로그램 운영"/>
    <s v="전주일보"/>
    <d v="2019-10-24T00:00:00"/>
    <n v="9"/>
    <s v="09_지방일간지"/>
    <n v="1.5"/>
    <d v="2019-10-25T00:00:00"/>
  </r>
  <r>
    <n v="4632"/>
    <s v="8_국립축산과학원"/>
    <s v="0_본원"/>
    <x v="2"/>
    <s v="양창범"/>
    <m/>
    <s v="완주군 공동체 사랑방 ‘콩쥐팥쥐도서관’ 개관"/>
    <s v="전북중앙"/>
    <d v="2019-10-24T00:00:00"/>
    <n v="11"/>
    <s v="09_지방일간지"/>
    <n v="1.5"/>
    <d v="2019-10-25T00:00:00"/>
  </r>
  <r>
    <n v="4633"/>
    <s v="8_국립축산과학원"/>
    <s v="0_본원"/>
    <x v="2"/>
    <s v="양창범"/>
    <m/>
    <s v="지식문화공간 콩쥐팥쥐 도서관 문 열어"/>
    <s v="전라일보"/>
    <d v="2019-10-24T00:00:00"/>
    <n v="10"/>
    <s v="09_지방일간지"/>
    <n v="1.5"/>
    <d v="2019-10-25T00:00:00"/>
  </r>
  <r>
    <n v="4634"/>
    <s v="8_국립축산과학원"/>
    <s v="0_본원"/>
    <x v="2"/>
    <s v="양창범"/>
    <m/>
    <s v="전북 혁신도시 내 콩쥐팥쥐도서관 개관"/>
    <s v="전북도민일보"/>
    <d v="2019-10-24T00:00:00"/>
    <n v="10"/>
    <s v="09_지방일간지"/>
    <n v="1.5"/>
    <d v="2019-10-25T00:00:00"/>
  </r>
  <r>
    <n v="4635"/>
    <s v="8_국립축산과학원"/>
    <s v="0_본원"/>
    <x v="2"/>
    <s v="양창범"/>
    <m/>
    <s v="완주 콩쥐팥쥐도서관 문 활짝"/>
    <s v="새만금일보"/>
    <d v="2019-10-24T00:00:00"/>
    <n v="9"/>
    <s v="09_지방일간지"/>
    <n v="1.5"/>
    <d v="2019-10-25T00:00:00"/>
  </r>
  <r>
    <n v="4636"/>
    <s v="8_국립축산과학원"/>
    <s v="0_본원"/>
    <x v="2"/>
    <s v="양창범"/>
    <m/>
    <s v="완주군 콩쥐팥쥐도서관 ‘문 활짝’"/>
    <s v="전라매일"/>
    <d v="2019-10-24T00:00:00"/>
    <n v="8"/>
    <s v="09_지방일간지"/>
    <n v="1.5"/>
    <d v="2019-10-25T00:00:00"/>
  </r>
  <r>
    <n v="4637"/>
    <s v="8_국립축산과학원"/>
    <s v="0_본원"/>
    <x v="2"/>
    <s v="양창범"/>
    <m/>
    <s v="완주군 혁신도시 ‘콩쥐팥쥐도서관’ 개관"/>
    <s v="전북일보"/>
    <d v="2019-10-24T00:00:00"/>
    <n v="8"/>
    <s v="09_지방일간지"/>
    <n v="1.5"/>
    <d v="2019-10-25T00:00:00"/>
  </r>
  <r>
    <n v="4638"/>
    <s v="8_국립축산과학원"/>
    <s v="0_본원"/>
    <x v="2"/>
    <s v="양창범"/>
    <m/>
    <s v="혁신도시 ‘콩쥐팥쥐도서관’ 문 활짝"/>
    <s v="전북타임스"/>
    <d v="2019-10-24T00:00:00"/>
    <n v="13"/>
    <s v="09_지방일간지"/>
    <n v="1.5"/>
    <d v="2019-10-25T00:00:00"/>
  </r>
  <r>
    <n v="4639"/>
    <s v="8_국립축산과학원"/>
    <s v="0_본원"/>
    <x v="2"/>
    <s v="양창범"/>
    <m/>
    <s v="완주군, 혁신도시 콩쥐팥쥐도서관 ‘활짝’"/>
    <s v="전민일보"/>
    <d v="2019-10-24T00:00:00"/>
    <n v="8"/>
    <s v="09_지방일간지"/>
    <n v="1.5"/>
    <d v="2019-10-25T00:00:00"/>
  </r>
  <r>
    <n v="4640"/>
    <s v="8_국립축산과학원"/>
    <s v="0_본원"/>
    <x v="2"/>
    <s v="양창범"/>
    <m/>
    <s v="문화와 여가로 삶의 질 UP! 완주군, 혁신도시 콩쥐팥쥐도서관 개관"/>
    <s v="삼남일보"/>
    <d v="2019-10-24T00:00:00"/>
    <n v="7"/>
    <s v="09_지방일간지"/>
    <n v="1.5"/>
    <d v="2019-10-25T00:00:00"/>
  </r>
  <r>
    <n v="4641"/>
    <s v="8_국립축산과학원"/>
    <s v="0_본원"/>
    <x v="2"/>
    <s v="양창범"/>
    <m/>
    <s v="완주군, 혁신도시에 ‘콩쥐팥쥐도서관’ 문 열어"/>
    <s v="새전북신문"/>
    <d v="2019-10-24T00:00:00"/>
    <n v="9"/>
    <s v="09_지방일간지"/>
    <n v="1.5"/>
    <d v="2019-10-25T00:00:00"/>
  </r>
  <r>
    <n v="4642"/>
    <s v="8_국립축산과학원"/>
    <s v="1_축산생명환경부"/>
    <x v="5"/>
    <s v="조수현"/>
    <m/>
    <s v="담양군, 한우 숙성기술 활용 저지방부위 시식회"/>
    <s v="무등일보"/>
    <d v="2019-10-24T00:00:00"/>
    <m/>
    <s v="09_지방일간지"/>
    <n v="1.5"/>
    <d v="2019-10-25T00:00:00"/>
  </r>
  <r>
    <n v="4643"/>
    <s v="8_국립축산과학원"/>
    <s v="0_본원"/>
    <x v="2"/>
    <s v="양창범"/>
    <m/>
    <s v="완주군, 혁신도시 콩쥐팥쥐도서관 문 열었다"/>
    <s v="글로벌이코노믹"/>
    <d v="2019-10-23T00:00:00"/>
    <m/>
    <s v="10_주간지"/>
    <n v="1"/>
    <d v="2019-10-25T00:00:00"/>
  </r>
  <r>
    <n v="4644"/>
    <s v="8_국립축산과학원"/>
    <s v="1_축산생명환경부"/>
    <x v="5"/>
    <s v="조수현"/>
    <m/>
    <s v="담양군 한우 숙성기술 활용 저지방부위 시식회"/>
    <s v="metro"/>
    <d v="2019-10-24T00:00:00"/>
    <m/>
    <s v="10_무가지"/>
    <n v="1"/>
    <d v="2019-10-25T00:00:00"/>
  </r>
  <r>
    <n v="4645"/>
    <s v="8_국립축산과학원"/>
    <s v="2_축산자원개발부"/>
    <x v="0"/>
    <s v="홍준기"/>
    <s v="보도자료93"/>
    <s v="우수 종돈 쉽게 선발 가능"/>
    <s v="양돈타임스"/>
    <d v="2019-10-17T00:00:00"/>
    <n v="14"/>
    <s v="09_농업전문지"/>
    <n v="1.5"/>
    <d v="2019-10-25T00:00:00"/>
  </r>
  <r>
    <n v="4646"/>
    <s v="8_국립축산과학원"/>
    <s v="0_본원"/>
    <x v="13"/>
    <s v="박종문"/>
    <s v="보도자료95"/>
    <s v="가축인공수정사 시험 연기"/>
    <s v="양돈타임스"/>
    <d v="2019-10-17T00:00:00"/>
    <n v="2"/>
    <s v="09_농업전문지"/>
    <n v="1.5"/>
    <d v="2019-10-25T00:00:00"/>
  </r>
  <r>
    <n v="4647"/>
    <s v="8_국립축산과학원"/>
    <s v="1_축산생명환경부"/>
    <x v="5"/>
    <s v="조수현"/>
    <m/>
    <s v="한우 숙성기술 활용 저지방부위 시식회"/>
    <s v="담양곡성타임스"/>
    <d v="2019-10-24T00:00:00"/>
    <m/>
    <s v="11_기타(지역주간지)"/>
    <n v="0.5"/>
    <d v="2019-10-25T00:00:00"/>
  </r>
  <r>
    <n v="4648"/>
    <s v="8_국립축산과학원"/>
    <s v="0_본원"/>
    <x v="2"/>
    <s v="양창범"/>
    <m/>
    <s v="완주군, 혁신도시 콩쥐팥쥐도서관 문 열었다"/>
    <s v="국제뉴스"/>
    <d v="2019-10-23T00:00:00"/>
    <m/>
    <s v="13_인터넷포털"/>
    <n v="0.1"/>
    <d v="2019-10-25T00:00:00"/>
  </r>
  <r>
    <n v="4649"/>
    <s v="8_국립축산과학원"/>
    <s v="0_본원"/>
    <x v="2"/>
    <s v="양창범"/>
    <m/>
    <s v="완주 혁신도시에 ‘콩쥐팥쥐도서관’"/>
    <s v="쿠키뉴스"/>
    <d v="2019-10-23T00:00:00"/>
    <m/>
    <s v="13_인터넷포털"/>
    <n v="0.1"/>
    <d v="2019-10-25T00:00:00"/>
  </r>
  <r>
    <n v="4650"/>
    <s v="8_국립축산과학원"/>
    <s v="1_축산생명환경부"/>
    <x v="5"/>
    <s v="조수현"/>
    <m/>
    <s v="담양군, 한우 숙성기술 활용 저지방부위 시식회"/>
    <s v="광주인"/>
    <d v="2019-10-24T00:00:00"/>
    <m/>
    <s v="13_인터넷포털"/>
    <n v="0.1"/>
    <d v="2019-10-25T00:00:00"/>
  </r>
  <r>
    <n v="4651"/>
    <s v="8_국립축산과학원"/>
    <s v="1_축산생명환경부"/>
    <x v="5"/>
    <s v="조수현"/>
    <m/>
    <s v="담양군, 한우 숙성기술 활용 저지방부위 시식회...건식숙성으로 부가가치 향상"/>
    <s v="빅데이터뉴스"/>
    <d v="2019-10-24T00:00:00"/>
    <m/>
    <s v="13_인터넷포털"/>
    <n v="0.1"/>
    <d v="2019-10-25T00:00:00"/>
  </r>
  <r>
    <n v="4652"/>
    <s v="8_국립축산과학원"/>
    <s v="2_축산자원개발부"/>
    <x v="8"/>
    <s v="김시동"/>
    <m/>
    <s v="유전평가 활용한 ‘젖소 계획교배 프로그램’ 개발"/>
    <s v="팜인사이트"/>
    <d v="2019-10-24T00:00:00"/>
    <m/>
    <s v="13_인터넷포털"/>
    <n v="0.1"/>
    <d v="2019-10-25T00:00:00"/>
  </r>
  <r>
    <n v="4653"/>
    <s v="8_국립축산과학원"/>
    <s v="1_축산생명환경부"/>
    <x v="5"/>
    <s v="조수현"/>
    <m/>
    <s v="전남 담양군, “한우 숙성기술 활용 저지방부위 시식회” 개최"/>
    <s v="빛가람뉴스"/>
    <d v="2019-10-24T00:00:00"/>
    <m/>
    <s v="13_인터넷포털"/>
    <n v="0.1"/>
    <d v="2019-10-25T00:00:00"/>
  </r>
  <r>
    <n v="4654"/>
    <s v="8_국립축산과학원"/>
    <s v="1_축산생명환경부"/>
    <x v="5"/>
    <s v="조수현"/>
    <m/>
    <s v="담양군, 한우 숙성기술 활용 저지방부위 시식회!!"/>
    <s v="NGTV"/>
    <d v="2019-10-24T00:00:00"/>
    <m/>
    <s v="13_인터넷포털"/>
    <n v="0.1"/>
    <d v="2019-10-25T00:00:00"/>
  </r>
  <r>
    <n v="4655"/>
    <s v="8_국립축산과학원"/>
    <s v="1_축산생명환경부"/>
    <x v="5"/>
    <s v="조수현"/>
    <m/>
    <s v="담양군, 한우 숙성기술 활용 저지방부위 시식회"/>
    <s v="뉴스워커"/>
    <d v="2019-10-24T00:00:00"/>
    <m/>
    <s v="13_인터넷포털"/>
    <n v="0.1"/>
    <d v="2019-10-25T00:00:00"/>
  </r>
  <r>
    <n v="4656"/>
    <s v="8_국립축산과학원"/>
    <s v="1_축산생명환경부"/>
    <x v="5"/>
    <s v="조수현"/>
    <m/>
    <s v="담양군, 한우 숙성기술 활용 저지방부위 시식회"/>
    <s v="전남제일신문"/>
    <d v="2019-10-24T00:00:00"/>
    <m/>
    <s v="13_인터넷포털"/>
    <n v="0.1"/>
    <d v="2019-10-25T00:00:00"/>
  </r>
  <r>
    <n v="4657"/>
    <s v="8_국립축산과학원"/>
    <s v="1_축산생명환경부"/>
    <x v="5"/>
    <s v="조수현"/>
    <m/>
    <s v="담양군, 한우 숙성기술 활용 저지방부위 시식회"/>
    <s v="위키트리"/>
    <d v="2019-10-25T00:00:00"/>
    <m/>
    <s v="13_인터넷포털"/>
    <n v="0.1"/>
    <d v="2019-10-25T00:00:00"/>
  </r>
  <r>
    <n v="4658"/>
    <s v="8_국립축산과학원"/>
    <s v="1_축산생명환경부"/>
    <x v="9"/>
    <s v="이동준"/>
    <s v="보도자료100"/>
    <s v="내년 3월 ‘퇴비부숙도 검사 의무화’ 앞두고 현장기술 지원"/>
    <s v="라이브팜뉴스"/>
    <d v="2019-10-25T00:00:00"/>
    <m/>
    <s v="13_인터넷포털"/>
    <n v="0.1"/>
    <d v="2019-10-25T00:00:00"/>
  </r>
  <r>
    <n v="4659"/>
    <s v="8_국립축산과학원"/>
    <s v="0_본원"/>
    <x v="13"/>
    <s v="유지현"/>
    <s v="보도자료99"/>
    <s v="“학교에서 동물 기르며 바른 인성도 키워요”"/>
    <s v="오가닉라이프"/>
    <d v="2019-10-24T00:00:00"/>
    <m/>
    <s v="13_인터넷포털"/>
    <n v="0.1"/>
    <d v="2019-10-25T00:00:00"/>
  </r>
  <r>
    <n v="4660"/>
    <s v="8_국립축산과학원"/>
    <s v="1_축산생명환경부"/>
    <x v="5"/>
    <s v="조수현"/>
    <m/>
    <s v="담양군, 한우 숙성기술 활용 저지방부위 시식회"/>
    <s v="서울와이어"/>
    <d v="2019-10-24T00:00:00"/>
    <m/>
    <s v="13_인터넷포털"/>
    <n v="0.1"/>
    <d v="2019-10-25T00:00:00"/>
  </r>
  <r>
    <n v="4661"/>
    <s v="8_국립축산과학원"/>
    <s v="0_본원"/>
    <x v="4"/>
    <s v="천동원"/>
    <s v="기고"/>
    <s v="[기고] 천동원 소장-축산현장 애로기술 해결 위한 닭 키우기[100문 100답]"/>
    <s v="축산신문"/>
    <d v="2019-10-25T00:00:00"/>
    <n v="15"/>
    <s v="17_농업전문지"/>
    <n v="8"/>
    <d v="2019-10-28T00:00:00"/>
  </r>
  <r>
    <n v="4662"/>
    <s v="8_국립축산과학원"/>
    <s v="0_본원"/>
    <x v="14"/>
    <s v="조상래"/>
    <s v="기고"/>
    <s v="[기고] 조상래 연구사-한우 첨단 번식기술의 현장 활용도 높여야"/>
    <s v="농수축산신문"/>
    <d v="2019-10-25T00:00:00"/>
    <n v="7"/>
    <s v="17_농업전문지"/>
    <n v="8"/>
    <d v="2019-10-28T00:00:00"/>
  </r>
  <r>
    <n v="4663"/>
    <s v="8_국립축산과학원"/>
    <s v="1_축산생명환경부"/>
    <x v="9"/>
    <s v="이동준"/>
    <s v="보도자료100"/>
    <s v="“깔짚 우사·퇴비사 관리 기술로 퇴비 질 높여요”"/>
    <s v="서울신문"/>
    <d v="2019-10-25T00:00:00"/>
    <m/>
    <s v="07_중앙일간지"/>
    <n v="5"/>
    <d v="2019-10-28T00:00:00"/>
  </r>
  <r>
    <n v="4664"/>
    <s v="8_국립축산과학원"/>
    <s v="1_축산생명환경부"/>
    <x v="9"/>
    <s v="곽정훈"/>
    <m/>
    <s v="제주도, 악취관리 기준과 원칙 따라 합법적으로 추진"/>
    <s v="아시아뉴스통신"/>
    <d v="2019-10-28T00:00:00"/>
    <m/>
    <s v="07_중앙일간지"/>
    <n v="5"/>
    <d v="2019-10-28T00:00:00"/>
  </r>
  <r>
    <n v="4665"/>
    <s v="8_국립축산과학원"/>
    <s v="0_본원"/>
    <x v="13"/>
    <s v="손지용"/>
    <s v="보도자료98"/>
    <s v="“소비자 60%, 수입육보다 국내산 선호”"/>
    <s v="축산신문"/>
    <d v="2019-10-25T00:00:00"/>
    <n v="4"/>
    <s v="09_농업전문지"/>
    <n v="1.5"/>
    <d v="2019-10-28T00:00:00"/>
  </r>
  <r>
    <n v="4666"/>
    <s v="8_국립축산과학원"/>
    <s v="2_축산자원개발부"/>
    <x v="8"/>
    <s v="김시동"/>
    <m/>
    <s v="농협 젖소개량사업소, 젖소 계획교배 프로그램 개발"/>
    <s v="농수축산신문"/>
    <d v="2019-10-25T00:00:00"/>
    <n v="7"/>
    <s v="09_농업전문지"/>
    <n v="1.5"/>
    <d v="2019-10-28T00:00:00"/>
  </r>
  <r>
    <n v="4667"/>
    <s v="8_국립축산과학원"/>
    <s v="1_축산생명환경부"/>
    <x v="9"/>
    <s v="곽정훈"/>
    <m/>
    <s v="제주 양돈농가 악취지역 관리 강화 ‘탄력’"/>
    <s v="한라일보"/>
    <d v="2019-10-28T00:00:00"/>
    <m/>
    <s v="09_지방일간지"/>
    <n v="1.5"/>
    <d v="2019-10-28T00:00:00"/>
  </r>
  <r>
    <n v="4668"/>
    <s v="8_국립축산과학원"/>
    <s v="1_축산생명환경부"/>
    <x v="9"/>
    <s v="이동준"/>
    <s v="보도자료100"/>
    <s v="“깔짚 우사·퇴비사 관리기술 퇴비 질 제고”"/>
    <s v="식약일보"/>
    <d v="2019-10-25T00:00:00"/>
    <m/>
    <s v="10_기타전문지"/>
    <n v="1"/>
    <d v="2019-10-28T00:00:00"/>
  </r>
  <r>
    <n v="4669"/>
    <s v="8_국립축산과학원"/>
    <s v="0_본원"/>
    <x v="13"/>
    <s v="유지현"/>
    <s v="보도자료99"/>
    <s v="학교에서 동물 기르며 바른 인성도 키워요"/>
    <s v="정책브리핑"/>
    <d v="2019-10-24T00:00:00"/>
    <m/>
    <s v="12_대한민국 정책포털(korea.kr)"/>
    <n v="1"/>
    <d v="2019-10-28T00:00:00"/>
  </r>
  <r>
    <n v="4670"/>
    <s v="8_국립축산과학원"/>
    <s v="1_축산생명환경부"/>
    <x v="9"/>
    <s v="이동준"/>
    <s v="보도자료100"/>
    <s v="깔짚 우사·퇴비사 관리 기술로 퇴비 질 높여요"/>
    <s v="진주인터넷뉴스"/>
    <d v="2019-10-25T00:00:00"/>
    <m/>
    <s v="13_인터넷포털"/>
    <n v="0.1"/>
    <d v="2019-10-28T00:00:00"/>
  </r>
  <r>
    <n v="4671"/>
    <s v="8_국립축산과학원"/>
    <s v="1_축산생명환경부"/>
    <x v="9"/>
    <s v="이동준"/>
    <s v="보도자료100"/>
    <s v="농진청 가축분뇨 자가처리 ‘깔짚우사 및 퇴비사 관리 기술’ 제시"/>
    <s v="농업경제신문"/>
    <d v="2019-10-28T00:00:00"/>
    <m/>
    <s v="13_인터넷포털"/>
    <n v="0.1"/>
    <d v="2019-10-28T00:00:00"/>
  </r>
  <r>
    <n v="4672"/>
    <s v="8_국립축산과학원"/>
    <s v="0_본원"/>
    <x v="13"/>
    <s v="유지현"/>
    <s v="보도자료99"/>
    <s v="‘동물교감교육’ 학교에서 동물 기르며 바른 인성도 키워요"/>
    <s v="농업경제신문"/>
    <d v="2019-10-25T00:00:00"/>
    <m/>
    <s v="13_인터넷포털"/>
    <n v="0.1"/>
    <d v="2019-10-28T00:00:00"/>
  </r>
  <r>
    <n v="4673"/>
    <s v="8_국립축산과학원"/>
    <s v="0_본원"/>
    <x v="13"/>
    <s v="유지현"/>
    <s v="보도자료99"/>
    <s v="학교에서 동물 기르며 바른 인성도 키워요"/>
    <s v="진주인터넷뉴스"/>
    <d v="2019-10-24T00:00:00"/>
    <m/>
    <s v="13_인터넷포털"/>
    <n v="0.1"/>
    <d v="2019-10-28T00:00:00"/>
  </r>
  <r>
    <n v="4674"/>
    <s v="8_국립축산과학원"/>
    <s v="0_본원"/>
    <x v="13"/>
    <s v="유지현"/>
    <s v="보도자료99"/>
    <s v="학교에서 동물 기르며 바른 인성도 키워요"/>
    <s v="경기앤뉴스"/>
    <d v="2019-10-24T00:00:00"/>
    <m/>
    <s v="13_인터넷포털"/>
    <n v="0.1"/>
    <d v="2019-10-28T00:00:00"/>
  </r>
  <r>
    <n v="4675"/>
    <s v="8_국립축산과학원"/>
    <s v="0_본원"/>
    <x v="13"/>
    <s v="유지현"/>
    <s v="보도자료99"/>
    <s v="학교에서 동물 기르며 바른 인성도 키워요"/>
    <s v="업코리아"/>
    <d v="2019-10-24T00:00:00"/>
    <m/>
    <s v="13_인터넷포털"/>
    <n v="0.1"/>
    <d v="2019-10-28T00:00:00"/>
  </r>
  <r>
    <n v="4676"/>
    <s v="8_국립축산과학원"/>
    <s v="0_본원"/>
    <x v="13"/>
    <s v="유지현"/>
    <s v="보도자료99"/>
    <s v="학교에서 동물 기르며 바른 인성도 키워요"/>
    <s v="뉴스렙"/>
    <d v="2019-10-24T00:00:00"/>
    <m/>
    <s v="13_인터넷포털"/>
    <n v="0.1"/>
    <d v="2019-10-28T00:00:00"/>
  </r>
  <r>
    <n v="4677"/>
    <s v="8_국립축산과학원"/>
    <s v="0_본원"/>
    <x v="13"/>
    <s v="유지현"/>
    <s v="보도자료99"/>
    <s v="학교에서 동물 기르며 바른 인성도 키워요"/>
    <s v="미디어라이프"/>
    <d v="2019-10-24T00:00:00"/>
    <m/>
    <s v="13_인터넷포털"/>
    <n v="0.1"/>
    <d v="2019-10-28T00:00:00"/>
  </r>
  <r>
    <n v="4678"/>
    <s v="8_국립축산과학원"/>
    <s v="0_본원"/>
    <x v="13"/>
    <s v="유지현"/>
    <s v="보도자료99"/>
    <s v="농촌진흥청, ‘동물교감교육’ 교육부 인성교육 프로그램 인증"/>
    <s v="로컬투데이"/>
    <d v="2019-10-24T00:00:00"/>
    <m/>
    <s v="13_인터넷포털"/>
    <n v="0.1"/>
    <d v="2019-10-28T00:00:00"/>
  </r>
  <r>
    <n v="4679"/>
    <s v="8_국립축산과학원"/>
    <s v="1_축산생명환경부"/>
    <x v="9"/>
    <s v="곽정훈"/>
    <m/>
    <s v="대법원 악취관리지역 지정 반대 최종 기각"/>
    <s v="프레시안"/>
    <d v="2019-10-28T00:00:00"/>
    <m/>
    <s v="13_인터넷포털"/>
    <n v="0.1"/>
    <d v="2019-10-28T00:00:00"/>
  </r>
  <r>
    <n v="4680"/>
    <s v="8_국립축산과학원"/>
    <s v="1_축산생명환경부"/>
    <x v="9"/>
    <s v="곽정훈"/>
    <m/>
    <s v="제주도, 악취와의 전쟁 승리...“원칙에 따라 강력 추진”"/>
    <s v="제주의소리"/>
    <d v="2019-10-28T00:00:00"/>
    <m/>
    <s v="13_인터넷포털"/>
    <n v="0.1"/>
    <d v="2019-10-28T00:00:00"/>
  </r>
  <r>
    <n v="4681"/>
    <s v="8_국립축산과학원"/>
    <s v="1_축산생명환경부"/>
    <x v="9"/>
    <s v="이동준"/>
    <s v="보도자료100"/>
    <s v="농촌진흥청, ‘깔짚우사 및 퇴비사 관리 기술’ 제시"/>
    <s v="매일일보"/>
    <d v="2019-10-28T00:00:00"/>
    <m/>
    <s v="08_기타일간지"/>
    <n v="2"/>
    <d v="2019-10-29T00:00:00"/>
  </r>
  <r>
    <n v="4682"/>
    <s v="8_국립축산과학원"/>
    <s v="1_축산생명환경부"/>
    <x v="16"/>
    <s v="임다정"/>
    <s v="보도자료101"/>
    <s v="한우 성장·면역 관련 유전체 각인 현상 찾아"/>
    <s v="환경일보"/>
    <d v="2019-10-29T00:00:00"/>
    <m/>
    <s v="08_기타일간지"/>
    <n v="2"/>
    <d v="2019-10-29T00:00:00"/>
  </r>
  <r>
    <n v="4683"/>
    <s v="8_국립축산과학원"/>
    <s v="0_본원"/>
    <x v="13"/>
    <s v="손지용"/>
    <s v="보도자료98"/>
    <s v="식생활 습관·경제적 여건 따라 소고기 구매 달라져"/>
    <s v="농업인신문"/>
    <d v="2019-10-28T00:00:00"/>
    <n v="5"/>
    <s v="09_농업전문지"/>
    <n v="1.5"/>
    <d v="2019-10-29T00:00:00"/>
  </r>
  <r>
    <n v="4684"/>
    <s v="8_국립축산과학원"/>
    <s v="2_축산자원개발부"/>
    <x v="6"/>
    <s v="이기원"/>
    <s v="보도자료97"/>
    <s v="농진청, 초지 조성용 풀사료 신품종 개발"/>
    <s v="한국영농신문"/>
    <d v="2019-10-21T00:00:00"/>
    <n v="4"/>
    <s v="09_농업전문지"/>
    <n v="1.5"/>
    <d v="2019-10-29T00:00:00"/>
  </r>
  <r>
    <n v="4685"/>
    <s v="8_국립축산과학원"/>
    <s v="1_축산생명환경부"/>
    <x v="16"/>
    <s v="임다정"/>
    <s v="보도자료101"/>
    <s v="농진청, 한우 성장·면역과 관련된 ‘각인유전자’ 확인"/>
    <s v="농축유통신문"/>
    <d v="2019-10-29T00:00:00"/>
    <m/>
    <s v="09_농업전문지"/>
    <n v="1.5"/>
    <d v="2019-10-29T00:00:00"/>
  </r>
  <r>
    <n v="4686"/>
    <s v="8_국립축산과학원"/>
    <s v="1_축산생명환경부"/>
    <x v="9"/>
    <s v="곽정훈"/>
    <m/>
    <s v="도, 악취관리 기준과 원칙에 따라 강력 추진"/>
    <s v="제주신문"/>
    <d v="2019-10-28T00:00:00"/>
    <m/>
    <s v="09_지방일간지"/>
    <n v="1.5"/>
    <d v="2019-10-29T00:00:00"/>
  </r>
  <r>
    <n v="4687"/>
    <s v="8_국립축산과학원"/>
    <s v="1_축산생명환경부"/>
    <x v="9"/>
    <s v="이동준"/>
    <s v="보도자료100"/>
    <s v="“깔짚 우사·퇴비사 관리 기술로 퇴비 질 높여요”"/>
    <s v="정책브리핑"/>
    <d v="2019-10-25T00:00:00"/>
    <m/>
    <s v="12_대한민국 정책포털(korea.kr)"/>
    <n v="1"/>
    <d v="2019-10-29T00:00:00"/>
  </r>
  <r>
    <n v="4688"/>
    <s v="8_국립축산과학원"/>
    <s v="0_본원"/>
    <x v="2"/>
    <s v="전익수"/>
    <m/>
    <s v="축과원 자원개발부 함평 이전"/>
    <s v="낙농신문"/>
    <d v="2019-10-24T00:00:00"/>
    <n v="4"/>
    <s v="10_기타전문지"/>
    <n v="1"/>
    <d v="2019-10-29T00:00:00"/>
  </r>
  <r>
    <n v="4689"/>
    <s v="8_국립축산과학원"/>
    <s v="0_본원"/>
    <x v="13"/>
    <s v="손지용"/>
    <s v="보도자료94"/>
    <s v="‘스마트한 축산통계 30’ 자료 갱신"/>
    <s v="낙농신문"/>
    <d v="2019-10-24T00:00:00"/>
    <n v="5"/>
    <s v="10_기타전문지"/>
    <n v="1"/>
    <d v="2019-10-29T00:00:00"/>
  </r>
  <r>
    <n v="4690"/>
    <s v="8_국립축산과학원"/>
    <s v="0_본원"/>
    <x v="13"/>
    <s v="박종문"/>
    <s v="보도자료95"/>
    <s v="가축인공수정사 면허시험 연기"/>
    <s v="낙농신문"/>
    <d v="2019-10-24T00:00:00"/>
    <n v="7"/>
    <s v="10_기타전문지"/>
    <n v="1"/>
    <d v="2019-10-29T00:00:00"/>
  </r>
  <r>
    <n v="4691"/>
    <s v="8_국립축산과학원"/>
    <s v="2_축산자원개발부"/>
    <x v="12"/>
    <s v="기광석"/>
    <m/>
    <s v="선택적 배양, 농가 직접 수행 어려워"/>
    <s v="낙농신문"/>
    <d v="2019-10-24T00:00:00"/>
    <n v="13"/>
    <s v="10_기타전문지"/>
    <n v="1"/>
    <d v="2019-10-29T00:00:00"/>
  </r>
  <r>
    <n v="4692"/>
    <s v="8_국립축산과학원"/>
    <s v="2_축산자원개발부"/>
    <x v="12"/>
    <s v="기광석"/>
    <m/>
    <s v="단백질 급여 증가, 후산정체 등 감소"/>
    <s v="낙농신문"/>
    <d v="2019-10-24T00:00:00"/>
    <n v="14"/>
    <s v="10_기타전문지"/>
    <n v="1"/>
    <d v="2019-10-29T00:00:00"/>
  </r>
  <r>
    <n v="4693"/>
    <s v="8_국립축산과학원"/>
    <s v="1_축산생명환경부"/>
    <x v="9"/>
    <s v="곽정훈"/>
    <m/>
    <s v="도내 양돈농가 악취관리 기준·원칙 따라 추진"/>
    <s v="제주신보"/>
    <d v="2019-10-28T00:00:00"/>
    <m/>
    <s v="11_기타(지역주간지)"/>
    <n v="0.5"/>
    <d v="2019-10-29T00:00:00"/>
  </r>
  <r>
    <n v="4694"/>
    <s v="8_국립축산과학원"/>
    <s v="1_축산생명환경부"/>
    <x v="9"/>
    <s v="곽정훈"/>
    <m/>
    <s v="제주도, 악취관리 기준과 원칙 따라 합법적으로 추진"/>
    <s v="시사매거진"/>
    <d v="2019-10-28T00:00:00"/>
    <m/>
    <s v="13_인터넷포털"/>
    <n v="0.1"/>
    <d v="2019-10-29T00:00:00"/>
  </r>
  <r>
    <n v="4695"/>
    <s v="8_국립축산과학원"/>
    <s v="1_축산생명환경부"/>
    <x v="9"/>
    <s v="곽정훈"/>
    <m/>
    <s v="제주도, 악취관리 기준과 원칙 따라 합법적으로 추진"/>
    <s v="케이에스피뉴스"/>
    <d v="2019-10-28T00:00:00"/>
    <m/>
    <s v="13_인터넷포털"/>
    <n v="0.1"/>
    <d v="2019-10-29T00:00:00"/>
  </r>
  <r>
    <n v="4696"/>
    <s v="8_국립축산과학원"/>
    <s v="1_축산생명환경부"/>
    <x v="9"/>
    <s v="곽정훈"/>
    <m/>
    <s v="제주도, 악취관리지역 지정 결정 취소 행정소송 승소... 악취 관리 기준과 원칙 따라 추진"/>
    <s v="일간제주"/>
    <d v="2019-10-28T00:00:00"/>
    <m/>
    <s v="13_인터넷포털"/>
    <n v="0.1"/>
    <d v="2019-10-29T00:00:00"/>
  </r>
  <r>
    <n v="4697"/>
    <s v="8_국립축산과학원"/>
    <s v="1_축산생명환경부"/>
    <x v="9"/>
    <s v="곽정훈"/>
    <m/>
    <s v="제주 악취관리지역 지정 ‘적법’...제주도 ‘승’"/>
    <s v="제주도민일보"/>
    <d v="2019-10-28T00:00:00"/>
    <m/>
    <s v="13_인터넷포털"/>
    <n v="0.1"/>
    <d v="2019-10-29T00:00:00"/>
  </r>
  <r>
    <n v="4698"/>
    <s v="8_국립축산과학원"/>
    <s v="1_축산생명환경부"/>
    <x v="9"/>
    <s v="이동준"/>
    <s v="보도자료100"/>
    <s v="농진청, ‘깔짚우사 및 퇴비사 관리 기술’ 제시"/>
    <s v="KNS뉴스통신"/>
    <d v="2019-10-25T00:00:00"/>
    <m/>
    <s v="13_인터넷포털"/>
    <n v="0.1"/>
    <d v="2019-10-29T00:00:00"/>
  </r>
  <r>
    <n v="4699"/>
    <s v="8_국립축산과학원"/>
    <s v="1_축산생명환경부"/>
    <x v="9"/>
    <s v="이동준"/>
    <s v="보도자료100"/>
    <s v="깔짚 우사·퇴비사 관리 기술로 퇴비 질 높여요"/>
    <s v="한국안전방송"/>
    <d v="2019-10-25T00:00:00"/>
    <m/>
    <s v="13_인터넷포털"/>
    <n v="0.1"/>
    <d v="2019-10-29T00:00:00"/>
  </r>
  <r>
    <n v="4700"/>
    <s v="8_국립축산과학원"/>
    <s v="1_축산생명환경부"/>
    <x v="9"/>
    <s v="곽정훈"/>
    <m/>
    <s v="제주지역 양돈 농가 악취관리지역 반발로 제기한 행정소송 대법원 기각"/>
    <s v="경인투데이뉴스"/>
    <d v="2019-10-29T00:00:00"/>
    <m/>
    <s v="13_인터넷포털"/>
    <n v="0.1"/>
    <d v="2019-10-29T00:00:00"/>
  </r>
  <r>
    <n v="4701"/>
    <s v="8_국립축산과학원"/>
    <s v="1_축산생명환경부"/>
    <x v="16"/>
    <s v="임다정"/>
    <s v="보도자료101"/>
    <s v="한우 성장·면역과 관련된 유전체 각인 현상 찾아"/>
    <s v="중부뉴스통신"/>
    <d v="2019-10-29T00:00:00"/>
    <m/>
    <s v="13_인터넷포털"/>
    <n v="0.1"/>
    <d v="2019-10-29T00:00:00"/>
  </r>
  <r>
    <n v="4702"/>
    <s v="8_국립축산과학원"/>
    <s v="0_본원"/>
    <x v="4"/>
    <s v="조용민"/>
    <s v="기고"/>
    <s v="[기고] 조용민 소장-축산현장 애로기술 해결 위한 닭 키우기[100문 100답]"/>
    <s v="축산신문"/>
    <d v="2019-10-29T00:00:00"/>
    <n v="15"/>
    <s v="17_농업전문지"/>
    <n v="8"/>
    <d v="2019-10-30T00:00:00"/>
  </r>
  <r>
    <n v="4703"/>
    <s v="8_국립축산과학원"/>
    <s v="1_축산생명환경부"/>
    <x v="16"/>
    <s v="임다정"/>
    <s v="보도자료101"/>
    <s v="한우 성장·면역과 관련된 유전체 각인 현상 찾아"/>
    <s v="서울신문"/>
    <d v="2019-10-29T00:00:00"/>
    <m/>
    <s v="07_중앙일간지"/>
    <n v="5"/>
    <d v="2019-10-30T00:00:00"/>
  </r>
  <r>
    <n v="4704"/>
    <s v="8_국립축산과학원"/>
    <s v="1_축산생명환경부"/>
    <x v="16"/>
    <s v="임다정"/>
    <s v="보도자료101"/>
    <s v="농촌진흥청, “한우 성장·면역과 관련된 유전체 각인 현상 찾아”"/>
    <s v="매일일보"/>
    <d v="2019-10-29T00:00:00"/>
    <m/>
    <s v="08_기타일간지"/>
    <n v="2"/>
    <d v="2019-10-30T00:00:00"/>
  </r>
  <r>
    <n v="4705"/>
    <s v="8_국립축산과학원"/>
    <s v="1_축산생명환경부"/>
    <x v="9"/>
    <s v="권경석"/>
    <s v="보도자료102"/>
    <s v="갑자기 찾아온 추위…꼼꼼한 축사관리 당부"/>
    <s v="환경일보"/>
    <d v="2019-10-30T00:00:00"/>
    <m/>
    <s v="08_기타일간지"/>
    <n v="2"/>
    <d v="2019-10-30T00:00:00"/>
  </r>
  <r>
    <n v="4706"/>
    <s v="8_국립축산과학원"/>
    <s v="1_축산생명환경부"/>
    <x v="9"/>
    <s v="곽정훈"/>
    <m/>
    <s v="제주도, 악취관리지역 관련 정책 추진 ‘탄력’"/>
    <s v="전국매일신문"/>
    <d v="2019-10-30T00:00:00"/>
    <m/>
    <s v="08_기타일간지"/>
    <n v="2"/>
    <d v="2019-10-30T00:00:00"/>
  </r>
  <r>
    <n v="4707"/>
    <s v="8_국립축산과학원"/>
    <s v="0_본원"/>
    <x v="13"/>
    <s v="유지현"/>
    <s v="보도자료99"/>
    <s v="“학교에서 동물 기르며 바른 인성 길러요”"/>
    <s v="축산신문"/>
    <d v="2019-10-29T00:00:00"/>
    <n v="12"/>
    <s v="09_농업전문지"/>
    <n v="1.5"/>
    <d v="2019-10-30T00:00:00"/>
  </r>
  <r>
    <n v="4708"/>
    <s v="8_국립축산과학원"/>
    <s v="0_본원"/>
    <x v="13"/>
    <s v="손지용"/>
    <s v="보도자료98"/>
    <s v="소비자 한우 구입시 ‘가격’에 민감"/>
    <s v="농수축산신문"/>
    <d v="2019-10-29T00:00:00"/>
    <n v="7"/>
    <s v="09_농업전문지"/>
    <n v="1.5"/>
    <d v="2019-10-30T00:00:00"/>
  </r>
  <r>
    <n v="4709"/>
    <s v="8_국립축산과학원"/>
    <s v="0_본원"/>
    <x v="10"/>
    <s v="김남영"/>
    <m/>
    <s v="국내산 승용마 ‘한라마’의 망중한"/>
    <s v="축산신문"/>
    <d v="2019-10-29T00:00:00"/>
    <n v="1"/>
    <s v="09_농업전문지"/>
    <n v="1.5"/>
    <d v="2019-10-30T00:00:00"/>
  </r>
  <r>
    <n v="4710"/>
    <s v="8_국립축산과학원"/>
    <s v="2_축산자원개발부"/>
    <x v="8"/>
    <s v="김시동"/>
    <m/>
    <s v="젖소 계획교배 프로그램 국내 첫 개발"/>
    <s v="축산신문"/>
    <d v="2019-10-29T00:00:00"/>
    <n v="3"/>
    <s v="09_농업전문지"/>
    <n v="1.5"/>
    <d v="2019-10-30T00:00:00"/>
  </r>
  <r>
    <n v="4711"/>
    <s v="8_국립축산과학원"/>
    <s v="1_축산생명환경부"/>
    <x v="9"/>
    <s v="이동준"/>
    <s v="보도자료100"/>
    <s v="농진청, 수월한 가축분뇨 처리법 담은 리플릿 배포"/>
    <s v="농수축산신문"/>
    <d v="2019-10-29T00:00:00"/>
    <m/>
    <s v="09_농업전문지"/>
    <n v="1.5"/>
    <d v="2019-10-30T00:00:00"/>
  </r>
  <r>
    <n v="4712"/>
    <s v="8_국립축산과학원"/>
    <s v="1_축산생명환경부"/>
    <x v="16"/>
    <s v="임다정"/>
    <s v="보도자료101"/>
    <s v="한우 성장·면역과 관련된 유전체 각인 현상 찾아"/>
    <s v="위클리오늘"/>
    <d v="2019-10-29T00:00:00"/>
    <m/>
    <s v="10_주간지"/>
    <n v="1"/>
    <d v="2019-10-30T00:00:00"/>
  </r>
  <r>
    <n v="4713"/>
    <s v="8_국립축산과학원"/>
    <s v="1_축산생명환경부"/>
    <x v="16"/>
    <s v="임다정"/>
    <s v="보도자료101"/>
    <s v="한우 성정·면역과 관련된 유전체 각인 현상 발견"/>
    <s v="식약일보"/>
    <d v="2019-10-29T00:00:00"/>
    <m/>
    <s v="10_기타전문지"/>
    <n v="1"/>
    <d v="2019-10-30T00:00:00"/>
  </r>
  <r>
    <n v="4714"/>
    <s v="8_국립축산과학원"/>
    <s v="1_축산생명환경부"/>
    <x v="16"/>
    <s v="임다정"/>
    <s v="보도자료101"/>
    <s v="농진청, 한우의 유전자 발현 모습을 분석 각인(刻印) 유전자 확인"/>
    <s v="농업경제신문"/>
    <d v="2019-10-30T00:00:00"/>
    <m/>
    <s v="13_인터넷포털"/>
    <n v="0.1"/>
    <d v="2019-10-30T00:00:00"/>
  </r>
  <r>
    <n v="4715"/>
    <s v="8_국립축산과학원"/>
    <s v="1_축산생명환경부"/>
    <x v="5"/>
    <s v="조수현"/>
    <m/>
    <s v="한우 숙성기술 활용 저지방부위의 기술교육"/>
    <s v="농업경제신문"/>
    <d v="2019-10-30T00:00:00"/>
    <m/>
    <s v="13_인터넷포털"/>
    <n v="0.1"/>
    <d v="2019-10-30T00:00:00"/>
  </r>
  <r>
    <n v="4716"/>
    <s v="8_국립축산과학원"/>
    <s v="0_본원"/>
    <x v="14"/>
    <s v="장선식"/>
    <s v="기고"/>
    <s v="[기고] 장선식 연구사-조사료 중요성과 급여요령"/>
    <s v="월간한우"/>
    <d v="2019-10-01T00:00:00"/>
    <s v="76-81"/>
    <s v="17_농업전문지"/>
    <n v="8"/>
    <d v="2019-10-30T00:00:00"/>
  </r>
  <r>
    <n v="4717"/>
    <s v="8_국립축산과학원"/>
    <s v="2_축산자원개발부"/>
    <x v="12"/>
    <s v="임현주"/>
    <s v="기고"/>
    <s v="[기고] 임현주 연구사-계절변화에 따른 효율적인 젖소 번식증진 요령"/>
    <s v="서울우유"/>
    <d v="2019-09-01T00:00:00"/>
    <s v="46-55"/>
    <s v="18_월간지"/>
    <n v="4"/>
    <d v="2019-10-30T00:00:00"/>
  </r>
  <r>
    <n v="4718"/>
    <s v="8_국립축산과학원"/>
    <s v="0_본원"/>
    <x v="13"/>
    <s v="김근영"/>
    <s v="보도자료78"/>
    <s v="질 좋은 먹이 충분히 주고 보온"/>
    <s v="월간축산"/>
    <d v="2019-10-01T00:00:00"/>
    <n v="92"/>
    <s v="9_농업전문지"/>
    <n v="1.5"/>
    <d v="2019-10-30T00:00:00"/>
  </r>
  <r>
    <n v="4719"/>
    <s v="8_국립축산과학원"/>
    <s v="2_축산자원개발부"/>
    <x v="12"/>
    <s v="최희철"/>
    <m/>
    <s v="스마트게이트 설치해 착유공간 분리해야 효율적"/>
    <s v="월간축산"/>
    <d v="2019-10-01T00:00:00"/>
    <s v="94-95"/>
    <s v="9_농업전문지"/>
    <n v="1.5"/>
    <d v="2019-10-30T00:00:00"/>
  </r>
  <r>
    <n v="4720"/>
    <s v="8_국립축산과학원"/>
    <s v="0_본원"/>
    <x v="15"/>
    <s v="전다연"/>
    <s v="보도자료80"/>
    <s v="충분한 영양 공급 우선… 수사슴 재생뿔 잘라줘야"/>
    <s v="월간축산"/>
    <d v="2019-10-01T00:00:00"/>
    <s v="96-97"/>
    <s v="9_농업전문지"/>
    <n v="1.5"/>
    <d v="2019-10-30T00:00:00"/>
  </r>
  <r>
    <n v="4721"/>
    <s v="8_국립축산과학원"/>
    <s v="0_본원"/>
    <x v="4"/>
    <s v="강환구"/>
    <s v="보도자료71"/>
    <s v="전란각도 35도 이하에선 병아리 부화율 감소"/>
    <s v="월간축산"/>
    <d v="2019-10-01T00:00:00"/>
    <n v="98"/>
    <s v="9_농업전문지"/>
    <n v="1.5"/>
    <d v="2019-10-30T00:00:00"/>
  </r>
  <r>
    <n v="4722"/>
    <s v="8_국립축산과학원"/>
    <s v="0_본원"/>
    <x v="4"/>
    <s v="차재범"/>
    <s v="보도자료83"/>
    <s v="하루 2개 먹으면 인체 필수영양소 섭취 효과"/>
    <s v="월간축산"/>
    <d v="2019-10-01T00:00:00"/>
    <s v="112-113"/>
    <s v="9_농업전문지"/>
    <n v="1.5"/>
    <d v="2019-10-30T00:00:00"/>
  </r>
  <r>
    <n v="4723"/>
    <s v="8_국립축산과학원"/>
    <s v="0_본원"/>
    <x v="14"/>
    <s v="김의형"/>
    <s v="보도자료85"/>
    <s v="농진청 &quot;한우 환절기 질병에 주의 하세요&quot;"/>
    <s v="월간한우"/>
    <d v="2019-10-01T00:00:00"/>
    <n v="160"/>
    <s v="9_농업전문지"/>
    <n v="1.5"/>
    <d v="2019-10-30T00:00:00"/>
  </r>
  <r>
    <n v="4724"/>
    <s v="8_국립축산과학원"/>
    <s v="0_본원"/>
    <x v="14"/>
    <s v="조상래"/>
    <s v="보도자료82"/>
    <s v="&quot;한우 사육 현장에 꼭 필요한 기술 알려드려요&quot;"/>
    <s v="월간한우"/>
    <d v="2019-10-01T00:00:00"/>
    <n v="166"/>
    <s v="9_농업전문지"/>
    <n v="1.5"/>
    <d v="2019-10-30T00:00:00"/>
  </r>
  <r>
    <n v="4725"/>
    <s v="8_국립축산과학원"/>
    <s v="0_본원"/>
    <x v="13"/>
    <s v="박종문"/>
    <s v="보도자료77"/>
    <s v="가축인공수정사 시험 올해 11월 시행"/>
    <s v="월간한우"/>
    <d v="2019-10-01T00:00:00"/>
    <n v="176"/>
    <s v="9_농업전문지"/>
    <n v="1.5"/>
    <d v="2019-10-30T00:00:00"/>
  </r>
  <r>
    <n v="4726"/>
    <s v="8_국립축산과학원"/>
    <s v="0_본원"/>
    <x v="11"/>
    <s v="문규철"/>
    <s v="보도자료81"/>
    <s v="추석 맞아 복지시설 성급 전달"/>
    <s v="월간한우"/>
    <d v="2019-10-01T00:00:00"/>
    <n v="177"/>
    <s v="9_농업전문지"/>
    <n v="1.5"/>
    <d v="2019-10-30T00:00:00"/>
  </r>
  <r>
    <n v="4727"/>
    <s v="8_국립축산과학원"/>
    <s v="2_축산자원개발부"/>
    <x v="12"/>
    <s v="손준규,박지후"/>
    <m/>
    <s v="10월 사양관리"/>
    <s v="월간 낙농·육우"/>
    <d v="2019-10-01T00:00:00"/>
    <s v="166-169"/>
    <s v="10_월간지"/>
    <n v="1"/>
    <d v="2019-10-30T00:00:00"/>
  </r>
  <r>
    <n v="4728"/>
    <s v="8_국립축산과학원"/>
    <s v="2_축산자원개발부"/>
    <x v="12"/>
    <s v="하승민"/>
    <s v="보도자료86"/>
    <s v="&quot;환절기 질병에 주의하세요&quot;"/>
    <s v="월간낙농"/>
    <d v="2019-10-01T00:00:00"/>
    <n v="73"/>
    <s v="10_월간지"/>
    <n v="1"/>
    <d v="2019-10-30T00:00:00"/>
  </r>
  <r>
    <n v="4729"/>
    <s v="8_국립축산과학원"/>
    <s v="0_본원"/>
    <x v="13"/>
    <s v="김근영"/>
    <s v="보도자료78"/>
    <s v="커지는 일교차, 호흡기 질병 주의를"/>
    <s v="월간한돈"/>
    <d v="2019-10-01T00:00:00"/>
    <n v="450"/>
    <s v="10_월간지"/>
    <n v="1"/>
    <d v="2019-10-30T00:00:00"/>
  </r>
  <r>
    <n v="4730"/>
    <s v="8_국립축산과학원"/>
    <s v="0_본원"/>
    <x v="13"/>
    <s v="박종문"/>
    <s v="보도자료77"/>
    <s v="가축인공수정사' 필기시험 11월 16일 시행"/>
    <s v="월간한돈"/>
    <d v="2019-10-01T00:00:00"/>
    <n v="454"/>
    <s v="10_월간지"/>
    <n v="1"/>
    <d v="2019-10-30T00:00:00"/>
  </r>
  <r>
    <n v="4731"/>
    <s v="8_국립축산과학원"/>
    <s v="2_축산자원개발부"/>
    <x v="0"/>
    <s v="홍준기"/>
    <s v="보도자료93"/>
    <s v="축산과학원, 강건성 개량모델 구축 연구사업 착수"/>
    <s v="월간한돈"/>
    <d v="2019-10-01T00:00:00"/>
    <n v="453"/>
    <s v="10_월간지"/>
    <n v="1"/>
    <d v="2019-10-30T00:00:00"/>
  </r>
  <r>
    <n v="4732"/>
    <s v="8_국립축산과학원"/>
    <s v="1_축산생명환경부"/>
    <x v="9"/>
    <s v="권경석"/>
    <s v="보도자료102"/>
    <s v="갑자기 찾아온 추위, 축사 환기할 때 가축 배려해요"/>
    <s v="서울신문"/>
    <d v="2019-10-30T00:00:00"/>
    <m/>
    <s v="07_중앙일간지"/>
    <n v="5"/>
    <d v="2019-10-31T00:00:00"/>
  </r>
  <r>
    <n v="4733"/>
    <s v="8_국립축산과학원"/>
    <s v="0_본원"/>
    <x v="10"/>
    <s v="조인철"/>
    <s v="보도자료96"/>
    <s v="제주 재래돼지 맛의 비밀 풀려"/>
    <s v="양돈타임스"/>
    <d v="2019-10-24T00:00:00"/>
    <n v="10"/>
    <s v="09_농업전문지"/>
    <n v="1.5"/>
    <d v="2019-10-31T00:00:00"/>
  </r>
  <r>
    <n v="4734"/>
    <s v="8_국립축산과학원"/>
    <s v="0_본원"/>
    <x v="10"/>
    <s v="조인철"/>
    <s v="보도자료96"/>
    <s v="“제주재래돼지, 고기 맛의 비밀 풀었다”"/>
    <s v="농축유통신문"/>
    <d v="2019-10-21T00:00:00"/>
    <n v="2"/>
    <s v="09_농업전문지"/>
    <n v="1.5"/>
    <d v="2019-10-31T00:00:00"/>
  </r>
  <r>
    <n v="4735"/>
    <s v="8_국립축산과학원"/>
    <s v="0_본원"/>
    <x v="2"/>
    <s v="양창범"/>
    <m/>
    <s v="완주군, 혁시도시 콩쥐팥쥐도서관 문 열었다"/>
    <s v="농업인신문"/>
    <d v="2019-10-28T00:00:00"/>
    <m/>
    <s v="09_농업전문지"/>
    <n v="1.5"/>
    <d v="2019-10-31T00:00:00"/>
  </r>
  <r>
    <n v="4736"/>
    <s v="8_국립축산과학원"/>
    <s v="0_본원"/>
    <x v="15"/>
    <s v="이상훈"/>
    <s v="보도자료103"/>
    <s v="축산과학원 가축유전자원센터, 함양 새 청사서 업무 시작"/>
    <s v="식품저널"/>
    <d v="2019-10-31T00:00:00"/>
    <m/>
    <s v="09_농업전문지"/>
    <n v="1.5"/>
    <d v="2019-10-31T00:00:00"/>
  </r>
  <r>
    <n v="4737"/>
    <s v="8_국립축산과학원"/>
    <s v="0_본원"/>
    <x v="15"/>
    <s v="이상훈"/>
    <s v="보도자료103"/>
    <s v="축산과학원 가축유전자원센터 함양 이전...유전자원 보존·연구 산실로"/>
    <s v="부산일보"/>
    <d v="2019-10-31T00:00:00"/>
    <m/>
    <s v="09_지방일간지"/>
    <n v="1.5"/>
    <d v="2019-10-31T00:00:00"/>
  </r>
  <r>
    <n v="4738"/>
    <s v="8_국립축산과학원"/>
    <s v="1_축산생명환경부"/>
    <x v="9"/>
    <s v="권경석"/>
    <s v="보도자료102"/>
    <s v="갑자기 찾아온 추위, 축사 환기 시 가축 배려"/>
    <s v="식약일보"/>
    <d v="2019-10-30T00:00:00"/>
    <m/>
    <s v="10_기타전문지"/>
    <n v="1"/>
    <d v="2019-10-31T00:00:00"/>
  </r>
  <r>
    <n v="4739"/>
    <s v="8_국립축산과학원"/>
    <s v="1_축산생명환경부"/>
    <x v="16"/>
    <s v="임다정"/>
    <s v="보도자료101"/>
    <s v="한우 성장·면역과 관련된 유전체 각인 현상 찾아"/>
    <s v="정책브리핑"/>
    <d v="2019-10-29T00:00:00"/>
    <m/>
    <s v="12_대한민국 정책포털(korea.kr)"/>
    <n v="1"/>
    <d v="2019-10-31T00:00:00"/>
  </r>
  <r>
    <n v="4740"/>
    <s v="8_국립축산과학원"/>
    <s v="1_축산생명환경부"/>
    <x v="9"/>
    <s v="권경석"/>
    <s v="보도자료102"/>
    <s v="갑자기 찾아온 추위, 축사 환기할 때 가축 배려해요"/>
    <s v="정책브리핑"/>
    <d v="2019-10-30T00:00:00"/>
    <m/>
    <s v="12_대한민국 정책포털(korea.kr)"/>
    <n v="1"/>
    <d v="2019-10-31T00:00:00"/>
  </r>
  <r>
    <n v="4741"/>
    <s v="8_국립축산과학원"/>
    <s v="0_본원"/>
    <x v="10"/>
    <s v="조인철"/>
    <s v="보도자료96"/>
    <s v="제주재래돼지, 고기 맛의 비밀 풀었다"/>
    <s v="한국양돈신문"/>
    <d v="2019-10-22T00:00:00"/>
    <n v="15"/>
    <s v="10_기타전문지"/>
    <n v="1"/>
    <d v="2019-10-31T00:00:00"/>
  </r>
  <r>
    <n v="4742"/>
    <s v="8_국립축산과학원"/>
    <s v="0_본원"/>
    <x v="13"/>
    <s v="손지용"/>
    <s v="보도자료98"/>
    <s v="식생활 습관·경제적 여건따라 소고기 구매 달라져"/>
    <s v="한우신문"/>
    <d v="2019-10-29T00:00:00"/>
    <n v="15"/>
    <s v="10_기타전문지"/>
    <n v="1"/>
    <d v="2019-10-31T00:00:00"/>
  </r>
  <r>
    <n v="4743"/>
    <s v="8_국립축산과학원"/>
    <s v="0_본원"/>
    <x v="2"/>
    <s v="양창범"/>
    <m/>
    <s v="완주군, 혁시도시 콩쥐팥쥐도서관 문 열었다"/>
    <s v="광명지역신문"/>
    <d v="2019-10-28T00:00:00"/>
    <m/>
    <s v="11_기타(지역주간지)"/>
    <n v="0.5"/>
    <d v="2019-10-31T00:00:00"/>
  </r>
  <r>
    <n v="4744"/>
    <s v="8_국립축산과학원"/>
    <s v="1_축산생명환경부"/>
    <x v="9"/>
    <s v="권경석"/>
    <s v="보도자료102"/>
    <s v="농촌진흥청, 동절기 가축 면역력 저하와 호흡기 질환 예방 위한 축사관리를 당부"/>
    <s v="농업경제신문"/>
    <d v="2019-10-31T00:00:00"/>
    <m/>
    <s v="13_인터넷포털"/>
    <n v="0.1"/>
    <d v="2019-10-31T00:00:00"/>
  </r>
  <r>
    <n v="4745"/>
    <s v="8_국립축산과학원"/>
    <s v="1_축산생명환경부"/>
    <x v="16"/>
    <s v="임다정"/>
    <s v="보도자료101"/>
    <s v="한우 성장·면역과 관련된 유전체 각인 현상 찾아"/>
    <s v="뉴스렙"/>
    <d v="2019-10-29T00:00:00"/>
    <m/>
    <s v="13_인터넷포털"/>
    <n v="0.1"/>
    <d v="2019-10-31T00:00:00"/>
  </r>
  <r>
    <n v="4746"/>
    <s v="8_국립축산과학원"/>
    <s v="1_축산생명환경부"/>
    <x v="16"/>
    <s v="임다정"/>
    <s v="보도자료101"/>
    <s v="한우 성장·면역과 관련된 유전체 각인 현상 찾아"/>
    <s v="국토매일"/>
    <d v="2019-10-29T00:00:00"/>
    <m/>
    <s v="13_인터넷포털"/>
    <n v="0.1"/>
    <d v="2019-10-31T00:00:00"/>
  </r>
  <r>
    <n v="4747"/>
    <s v="8_국립축산과학원"/>
    <s v="1_축산생명환경부"/>
    <x v="16"/>
    <s v="임다정"/>
    <s v="보도자료101"/>
    <s v="한우 성장·면역과 관련된 유전체 각인 현상 찾아"/>
    <s v="경기시사투데이"/>
    <d v="2019-10-29T00:00:00"/>
    <m/>
    <s v="13_인터넷포털"/>
    <n v="0.1"/>
    <d v="2019-10-31T00:00:00"/>
  </r>
  <r>
    <n v="4748"/>
    <s v="8_국립축산과학원"/>
    <s v="1_축산생명환경부"/>
    <x v="16"/>
    <s v="임다정"/>
    <s v="보도자료101"/>
    <s v="농진청, 한우 성장·면역과 관련된 유전체 각인 현상 찾아"/>
    <s v="KNS뉴스통신"/>
    <d v="2019-10-29T00:00:00"/>
    <m/>
    <s v="13_인터넷포털"/>
    <n v="0.1"/>
    <d v="2019-10-31T00:00:00"/>
  </r>
  <r>
    <n v="4749"/>
    <s v="8_국립축산과학원"/>
    <s v="1_축산생명환경부"/>
    <x v="9"/>
    <s v="권경석"/>
    <s v="보도자료102"/>
    <s v="갑자기 찾아온 추위, 축사 환기할 때 가축 배려해요"/>
    <s v="진주인터넷뉴스"/>
    <d v="2019-10-30T00:00:00"/>
    <m/>
    <s v="13_인터넷포털"/>
    <n v="0.1"/>
    <d v="2019-10-31T00:00:00"/>
  </r>
  <r>
    <n v="4750"/>
    <s v="8_국립축산과학원"/>
    <s v="0_본원"/>
    <x v="2"/>
    <s v="양창범"/>
    <m/>
    <s v="완주군청, 「완주군, 혁신도시 콩쥐팥쥐도서관 문 열었다」"/>
    <s v="화이트페이퍼"/>
    <d v="2019-10-28T00:00:00"/>
    <m/>
    <s v="13_인터넷포털"/>
    <n v="0.1"/>
    <d v="2019-10-31T00:00:00"/>
  </r>
  <r>
    <n v="4751"/>
    <s v="8_국립축산과학원"/>
    <s v="0_본원"/>
    <x v="2"/>
    <s v="양창범"/>
    <m/>
    <s v="완주군, 혁시도시 콩쥐팥쥐도서관 문 열었다"/>
    <s v="제주교통복지신문"/>
    <d v="2019-10-28T00:00:00"/>
    <m/>
    <s v="13_인터넷포털"/>
    <n v="0.1"/>
    <d v="2019-10-31T00:00:00"/>
  </r>
  <r>
    <n v="4752"/>
    <s v="8_국립축산과학원"/>
    <s v="0_본원"/>
    <x v="2"/>
    <s v="양창범"/>
    <m/>
    <s v="완주군, 혁신도시 콩쥐팥쥐도서관 문 열었다"/>
    <s v="뉴스페이퍼"/>
    <d v="2019-10-28T00:00:00"/>
    <m/>
    <s v="13_인터넷포털"/>
    <n v="0.1"/>
    <d v="2019-10-31T00:00:00"/>
  </r>
  <r>
    <n v="4753"/>
    <s v="8_국립축산과학원"/>
    <s v="0_본원"/>
    <x v="2"/>
    <s v="양창범"/>
    <m/>
    <s v="완주군, 혁신도시 콩쥐팥쥐도서관 문 열었다"/>
    <s v="블록체인밸리"/>
    <d v="2019-10-28T00:00:00"/>
    <m/>
    <s v="13_인터넷포털"/>
    <n v="0.1"/>
    <d v="2019-10-31T00:00:00"/>
  </r>
  <r>
    <n v="4754"/>
    <s v="8_국립축산과학원"/>
    <s v="0_본원"/>
    <x v="15"/>
    <s v="이상훈"/>
    <s v="보도자료103"/>
    <s v="국립축산과학원 가축유전자원센터, 경남 함양 시대 열어"/>
    <s v="한국농어촌방송"/>
    <d v="2019-10-31T00:00:00"/>
    <m/>
    <s v="13_인터넷포털"/>
    <n v="0.1"/>
    <d v="2019-10-31T00:00:00"/>
  </r>
  <r>
    <n v="4755"/>
    <s v="8_국립축산과학원"/>
    <s v="0_본원"/>
    <x v="15"/>
    <s v="이상훈"/>
    <s v="보도자료103"/>
    <s v="‘국립축산과학원 가축유전자원센터’ 경남 함양 시대 열었다"/>
    <s v="오가닉라이프"/>
    <d v="2019-10-31T00:00:00"/>
    <m/>
    <s v="13_인터넷포털"/>
    <n v="0.1"/>
    <d v="2019-10-31T00:00:00"/>
  </r>
  <r>
    <n v="4756"/>
    <s v="8_국립축산과학원"/>
    <s v="0_본원"/>
    <x v="15"/>
    <s v="이상훈"/>
    <s v="보도자료103"/>
    <s v="‘농진청 국립축산과학원 가축유전자원센터’ 경남 함양 시대 열어"/>
    <s v="서울경제"/>
    <d v="2019-10-31T00:00:00"/>
    <m/>
    <s v="07_중앙일간지"/>
    <n v="5"/>
    <d v="2019-11-01T00:00:00"/>
  </r>
  <r>
    <n v="4757"/>
    <s v="8_국립축산과학원"/>
    <s v="0_본원"/>
    <x v="15"/>
    <s v="이상훈"/>
    <s v="보도자료103"/>
    <s v="농진청 국립축산과학원 가축유전자원센터, 경남 함양시대 개막"/>
    <s v="아시아투데이"/>
    <d v="2019-10-31T00:00:00"/>
    <m/>
    <s v="07_중앙일간지"/>
    <n v="5"/>
    <d v="2019-11-01T00:00:00"/>
  </r>
  <r>
    <n v="4758"/>
    <s v="8_국립축산과학원"/>
    <s v="0_본원"/>
    <x v="15"/>
    <s v="이상훈"/>
    <s v="보도자료103"/>
    <s v="경남 함양에 국내 가축유전자원 ‘총집결’"/>
    <s v="머니투데이"/>
    <d v="2019-10-31T00:00:00"/>
    <m/>
    <s v="07_중앙일간지"/>
    <n v="5"/>
    <d v="2019-11-01T00:00:00"/>
  </r>
  <r>
    <n v="4759"/>
    <s v="8_국립축산과학원"/>
    <s v="0_본원"/>
    <x v="15"/>
    <s v="이상훈"/>
    <s v="보도자료103"/>
    <s v="국립축산과학원 가축유전자원센터, 경남 함양 신청사 집들이"/>
    <s v="이데일리"/>
    <d v="2019-10-31T00:00:00"/>
    <m/>
    <s v="07_중앙일간지"/>
    <n v="5"/>
    <d v="2019-11-01T00:00:00"/>
  </r>
  <r>
    <n v="4760"/>
    <s v="8_국립축산과학원"/>
    <s v="0_본원"/>
    <x v="15"/>
    <s v="이상훈"/>
    <s v="보도자료103"/>
    <s v="농촌진흥청, “갑자기 찾아온 추위에 꼼꼼한 축사관리 당부”"/>
    <s v="매일일보"/>
    <d v="2019-10-31T00:00:00"/>
    <m/>
    <s v="08_기타일간지"/>
    <n v="2"/>
    <d v="2019-11-01T00:00:00"/>
  </r>
  <r>
    <n v="4761"/>
    <s v="8_국립축산과학원"/>
    <s v="0_본원"/>
    <x v="15"/>
    <s v="이상훈"/>
    <s v="보도자료103"/>
    <s v="가축유전자원센터 경남 함양 신청사로 이전"/>
    <s v="환경일보"/>
    <d v="2019-10-31T00:00:00"/>
    <m/>
    <s v="08_기타일간지"/>
    <n v="2"/>
    <d v="2019-11-01T00:00:00"/>
  </r>
  <r>
    <n v="4762"/>
    <s v="8_국립축산과학원"/>
    <s v="0_본원"/>
    <x v="15"/>
    <s v="이상훈"/>
    <s v="보도자료103"/>
    <s v="국립축산과학원 가축유전자원센터, 함양시대 개막"/>
    <s v="전업농신문"/>
    <d v="2019-10-31T00:00:00"/>
    <m/>
    <s v="09_농업전문지"/>
    <n v="1.5"/>
    <d v="2019-11-01T00:00:00"/>
  </r>
  <r>
    <n v="4763"/>
    <s v="8_국립축산과학원"/>
    <s v="0_본원"/>
    <x v="15"/>
    <s v="이상훈"/>
    <s v="보도자료103"/>
    <s v="농진청 가축유전자원센터, 착공 2년 만에 경남 함양 시대 개막"/>
    <s v="국제신문"/>
    <d v="2019-10-31T00:00:00"/>
    <m/>
    <s v="09_지방일간지"/>
    <n v="1.5"/>
    <d v="2019-11-01T00:00:00"/>
  </r>
  <r>
    <n v="4764"/>
    <s v="8_국립축산과학원"/>
    <s v="1_축산생명환경부"/>
    <x v="9"/>
    <s v="권경석"/>
    <s v="보도자료102"/>
    <s v="환절기·동절기 축사 환기 방법은"/>
    <s v="말산업저널"/>
    <d v="2019-11-01T00:00:00"/>
    <m/>
    <s v="10_기타전문지"/>
    <n v="1"/>
    <d v="2019-11-01T00:00:00"/>
  </r>
  <r>
    <n v="4765"/>
    <s v="8_국립축산과학원"/>
    <s v="0_본원"/>
    <x v="15"/>
    <s v="이상훈"/>
    <s v="보도자료103"/>
    <s v="국립축산과학원 가축유전자원센터, 경남 함양 시대 개막"/>
    <s v="식약일보"/>
    <d v="2019-11-01T00:00:00"/>
    <m/>
    <s v="10_기타전문지"/>
    <n v="1"/>
    <d v="2019-11-01T00:00:00"/>
  </r>
  <r>
    <n v="4766"/>
    <s v="8_국립축산과학원"/>
    <s v="0_본원"/>
    <x v="15"/>
    <s v="이상훈"/>
    <s v="보도자료103"/>
    <s v="가축유전자원센터, 경남 함양 시대 열리다"/>
    <s v="말산업저널"/>
    <d v="2019-11-01T00:00:00"/>
    <m/>
    <s v="10_기타전문지"/>
    <n v="1"/>
    <d v="2019-11-01T00:00:00"/>
  </r>
  <r>
    <n v="4767"/>
    <s v="8_국립축산과학원"/>
    <s v="0_본원"/>
    <x v="15"/>
    <s v="이상훈"/>
    <s v="보도자료103"/>
    <s v="국립축산과학원 가축유전자원센터, 새로운 청사서 업무 시작!"/>
    <s v="더코리아뉴스"/>
    <d v="2019-11-01T00:00:00"/>
    <m/>
    <s v="13_인터넷포털"/>
    <n v="0.1"/>
    <d v="2019-11-01T00:00:00"/>
  </r>
  <r>
    <n v="4768"/>
    <s v="8_국립축산과학원"/>
    <s v="1_축산생명환경부"/>
    <x v="16"/>
    <s v="임다정"/>
    <s v="보도자료101"/>
    <s v="한우 성장·면역과 관련된 유전체 각인 현상 찾아"/>
    <s v="KJA뉴스통신"/>
    <d v="2019-10-29T00:00:00"/>
    <m/>
    <s v="13_인터넷포털"/>
    <n v="0.1"/>
    <d v="2019-11-01T00:00:00"/>
  </r>
  <r>
    <n v="4769"/>
    <s v="8_국립축산과학원"/>
    <s v="1_축산생명환경부"/>
    <x v="16"/>
    <s v="임다정"/>
    <s v="보도자료101"/>
    <s v="한우 성장·면역과 관련된 유전체 각인 현상 찾아"/>
    <s v="정필"/>
    <d v="2019-10-29T00:00:00"/>
    <m/>
    <s v="13_인터넷포털"/>
    <n v="0.1"/>
    <d v="2019-11-01T00:00:00"/>
  </r>
  <r>
    <n v="4770"/>
    <s v="8_국립축산과학원"/>
    <s v="1_축산생명환경부"/>
    <x v="9"/>
    <s v="권경석"/>
    <s v="보도자료102"/>
    <s v="갑자기 찾아온 추위, 축사 환기할 때 가축 배려해요"/>
    <s v="한국안전방송"/>
    <d v="2019-10-30T00:00:00"/>
    <m/>
    <s v="13_인터넷포털"/>
    <n v="0.1"/>
    <d v="2019-11-01T00:00:00"/>
  </r>
  <r>
    <n v="4771"/>
    <s v="8_국립축산과학원"/>
    <s v="0_본원"/>
    <x v="15"/>
    <s v="이상훈"/>
    <s v="보도자료103"/>
    <s v="국립축산과학원 가축유전자원센터, 경남 함양 시대 열어"/>
    <s v="서울신문"/>
    <d v="2019-11-01T00:00:00"/>
    <m/>
    <s v="07_중앙일간지"/>
    <n v="5"/>
    <d v="2019-11-04T00:00:00"/>
  </r>
  <r>
    <n v="4772"/>
    <s v="8_국립축산과학원"/>
    <s v="1_축산생명환경부"/>
    <x v="7"/>
    <s v="김상호"/>
    <m/>
    <s v="“사료요? 내 가족이 먹는 음식이죠”... 제일사료연구소 가보니"/>
    <s v="뉴스1"/>
    <d v="2019-11-04T00:00:00"/>
    <m/>
    <s v="07_중앙일간지"/>
    <n v="5"/>
    <d v="2019-11-04T00:00:00"/>
  </r>
  <r>
    <n v="4773"/>
    <s v="8_국립축산과학원"/>
    <s v="0_본원"/>
    <x v="15"/>
    <s v="이상훈"/>
    <s v="보도자료103"/>
    <s v="국립축산과학원 가축유전자원센터, 경상남도 함양으로 이전 완료"/>
    <s v="아시아뉴스통신"/>
    <d v="2019-11-04T00:00:00"/>
    <m/>
    <s v="07_중앙일간지"/>
    <n v="5"/>
    <d v="2019-11-04T00:00:00"/>
  </r>
  <r>
    <n v="4774"/>
    <s v="8_국립축산과학원"/>
    <s v="0_본원"/>
    <x v="15"/>
    <s v="이상훈"/>
    <s v="보도자료103"/>
    <s v="국립축산과학원 가축유전자원센터, 남원서 함양으로 이전 완료"/>
    <s v="한국경제"/>
    <d v="2019-11-04T00:00:00"/>
    <m/>
    <s v="07_중앙일간지"/>
    <n v="5"/>
    <d v="2019-11-04T00:00:00"/>
  </r>
  <r>
    <n v="4775"/>
    <s v="8_국립축산과학원"/>
    <s v="0_본원"/>
    <x v="15"/>
    <s v="이상훈"/>
    <s v="보도자료103"/>
    <s v="국립축산과학원 가축유전자원센터, 경남 함양서 개관"/>
    <s v="천지일보"/>
    <d v="2019-11-04T00:00:00"/>
    <m/>
    <s v="08_기타일간지"/>
    <n v="2"/>
    <d v="2019-11-04T00:00:00"/>
  </r>
  <r>
    <n v="4776"/>
    <s v="8_국립축산과학원"/>
    <s v="1_축산생명환경부"/>
    <x v="5"/>
    <s v="조수현"/>
    <m/>
    <s v="건식숙성, 저등급 한우 소비 돌파구 되려면&lt;中&gt;수율 감소 최소화한 건식숙성법이 관건"/>
    <s v="농수축산신문"/>
    <d v="2019-11-01T00:00:00"/>
    <m/>
    <s v="09_농업전문지"/>
    <n v="1.5"/>
    <d v="2019-11-04T00:00:00"/>
  </r>
  <r>
    <n v="4777"/>
    <s v="8_국립축산과학원"/>
    <s v="0_본원"/>
    <x v="15"/>
    <s v="이상훈"/>
    <s v="보도자료103"/>
    <s v="가축유전자원센터, 경남 함양 시대 연다"/>
    <s v="한국영농신문"/>
    <d v="2019-11-03T00:00:00"/>
    <m/>
    <s v="09_농업전문지"/>
    <n v="1.5"/>
    <d v="2019-11-04T00:00:00"/>
  </r>
  <r>
    <n v="4778"/>
    <s v="8_국립축산과학원"/>
    <s v="0_본원"/>
    <x v="15"/>
    <s v="이상훈"/>
    <s v="보도자료103"/>
    <s v="가축유전자원센터, 경남 함양 시대 열어 ‘도약’"/>
    <s v="농축유통신문"/>
    <d v="2019-11-04T00:00:00"/>
    <m/>
    <s v="09_농업전문지"/>
    <n v="1.5"/>
    <d v="2019-11-04T00:00:00"/>
  </r>
  <r>
    <n v="4779"/>
    <s v="8_국립축산과학원"/>
    <s v="0_본원"/>
    <x v="15"/>
    <s v="이상훈"/>
    <s v="보도자료103"/>
    <s v="축산과학원 가축유전자원센터, 경남 함양 시대 열어"/>
    <s v="농업인신문"/>
    <d v="2019-11-04T00:00:00"/>
    <m/>
    <s v="09_농업전문지"/>
    <n v="1.5"/>
    <d v="2019-11-04T00:00:00"/>
  </r>
  <r>
    <n v="4780"/>
    <s v="8_국립축산과학원"/>
    <s v="1_축산생명환경부"/>
    <x v="16"/>
    <s v="임다정"/>
    <s v="보도자료101"/>
    <s v="한우 성장·면역 관련 유전체 각인 찾았다"/>
    <s v="경남도민신문"/>
    <d v="2019-11-01T00:00:00"/>
    <n v="11"/>
    <s v="09_지방일간지"/>
    <n v="1.5"/>
    <d v="2019-11-04T00:00:00"/>
  </r>
  <r>
    <n v="4781"/>
    <s v="8_국립축산과학원"/>
    <s v="0_본원"/>
    <x v="15"/>
    <s v="이상훈"/>
    <s v="보도자료103"/>
    <s v="국립축산과학원 가축유전자원센터, 경남 함양 시대 열어"/>
    <s v="정책브리핑"/>
    <d v="2019-11-01T00:00:00"/>
    <m/>
    <s v="12_대한민국 정책포털(korea.kr)"/>
    <n v="1"/>
    <d v="2019-11-04T00:00:00"/>
  </r>
  <r>
    <n v="4782"/>
    <s v="8_국립축산과학원"/>
    <s v="0_본원"/>
    <x v="15"/>
    <s v="이상훈"/>
    <s v="보도자료103"/>
    <s v="국립축산과학원 가축유전자원센터, 함양 이전 완료"/>
    <s v="뉴스핌"/>
    <d v="2019-11-04T00:00:00"/>
    <m/>
    <s v="11_기타(지역주간지)"/>
    <n v="0.5"/>
    <d v="2019-11-04T00:00:00"/>
  </r>
  <r>
    <n v="4783"/>
    <s v="8_국립축산과학원"/>
    <s v="0_본원"/>
    <x v="15"/>
    <s v="이상훈"/>
    <s v="보도자료103"/>
    <s v="축산과학원 가축유전자원센터, 경남 함양시대 열었다"/>
    <s v="라이브팜뉴스"/>
    <d v="2019-11-01T00:00:00"/>
    <m/>
    <s v="13_인터넷포털"/>
    <n v="0.1"/>
    <d v="2019-11-04T00:00:00"/>
  </r>
  <r>
    <n v="4784"/>
    <s v="8_국립축산과학원"/>
    <s v="0_본원"/>
    <x v="15"/>
    <s v="이상훈"/>
    <s v="보도자료103"/>
    <s v="국립축산과학원 가축유전자원센터 이전 완료"/>
    <s v="농업경제신문"/>
    <d v="2019-11-04T00:00:00"/>
    <m/>
    <s v="13_인터넷포털"/>
    <n v="0.1"/>
    <d v="2019-11-04T00:00:00"/>
  </r>
  <r>
    <n v="4785"/>
    <s v="8_국립축산과학원"/>
    <s v="0_본원"/>
    <x v="15"/>
    <s v="이상훈"/>
    <s v="보도자료103"/>
    <s v="국립축산과학원 가축유전자원센터, 경남 함양으로 이전 완료"/>
    <s v="케이에스피뉴스"/>
    <d v="2019-11-04T00:00:00"/>
    <m/>
    <s v="13_인터넷포털"/>
    <n v="0.1"/>
    <d v="2019-11-04T00:00:00"/>
  </r>
  <r>
    <n v="4786"/>
    <s v="8_국립축산과학원"/>
    <s v="0_본원"/>
    <x v="15"/>
    <s v="이상훈"/>
    <s v="보도자료103"/>
    <s v="국립축산과학원 가축유전자원센터, 경남 함양으로 이전 완료"/>
    <s v="중부뉴스통신"/>
    <d v="2019-11-04T00:00:00"/>
    <m/>
    <s v="13_인터넷포털"/>
    <n v="0.1"/>
    <d v="2019-11-04T00:00:00"/>
  </r>
  <r>
    <n v="4787"/>
    <s v="8_국립축산과학원"/>
    <s v="0_본원"/>
    <x v="15"/>
    <s v="이상훈"/>
    <s v="보도자료103"/>
    <s v="국립축산과학원 가축유전자원센터, 함양으로 이전 완료"/>
    <s v="경남데일리"/>
    <d v="2019-11-04T00:00:00"/>
    <m/>
    <s v="13_인터넷포털"/>
    <n v="0.1"/>
    <d v="2019-11-04T00:00:00"/>
  </r>
  <r>
    <n v="4788"/>
    <s v="8_국립축산과학원"/>
    <s v="0_본원"/>
    <x v="15"/>
    <s v="이상훈"/>
    <s v="보도자료103"/>
    <s v="국립축산과학원 가축유전자원센터, 경남 함양 이전 업무 시작"/>
    <s v="노컷뉴스"/>
    <d v="2019-11-04T00:00:00"/>
    <m/>
    <s v="13_인터넷포털"/>
    <n v="0.1"/>
    <d v="2019-11-04T00:00:00"/>
  </r>
  <r>
    <n v="4789"/>
    <s v="8_국립축산과학원"/>
    <s v="0_본원"/>
    <x v="15"/>
    <s v="이상훈"/>
    <s v="보도자료103"/>
    <s v="국립축산과학원 가축유전자원센터, 경남 함양 이전 완료"/>
    <s v="뉴스렙"/>
    <d v="2019-11-04T00:00:00"/>
    <m/>
    <s v="13_인터넷포털"/>
    <n v="0.1"/>
    <d v="2019-11-04T00:00:00"/>
  </r>
  <r>
    <n v="4790"/>
    <s v="8_국립축산과학원"/>
    <s v="0_본원"/>
    <x v="15"/>
    <s v="이상훈"/>
    <s v="보도자료103"/>
    <s v="국립축산과학원 가축유전자원센터, 함양으로 이전 완료"/>
    <s v="경남뉴스투데이"/>
    <d v="2019-11-04T00:00:00"/>
    <m/>
    <s v="13_인터넷포털"/>
    <n v="0.1"/>
    <d v="2019-11-04T00:00:00"/>
  </r>
  <r>
    <n v="4791"/>
    <s v="8_국립축산과학원"/>
    <s v="0_본원"/>
    <x v="15"/>
    <s v="이상훈"/>
    <s v="보도자료103"/>
    <s v="국립축산과학원 가축유전자원센터 종합연구동"/>
    <s v="연합뉴스"/>
    <d v="2019-11-04T00:00:00"/>
    <m/>
    <s v="07_중앙일간지"/>
    <n v="5"/>
    <d v="2019-11-05T00:00:00"/>
  </r>
  <r>
    <n v="4792"/>
    <s v="8_국립축산과학원"/>
    <s v="0_본원"/>
    <x v="15"/>
    <s v="이상훈"/>
    <s v="보도자료103"/>
    <s v="‘국립축산과학원 가축유전자원센터’ 남원서 함양으로 이전"/>
    <s v="뉴스1"/>
    <d v="2019-11-04T00:00:00"/>
    <m/>
    <s v="07_중앙일간지"/>
    <n v="5"/>
    <d v="2019-11-05T00:00:00"/>
  </r>
  <r>
    <n v="4793"/>
    <s v="8_국립축산과학원"/>
    <s v="0_본원"/>
    <x v="15"/>
    <s v="이상훈"/>
    <s v="보도자료103"/>
    <s v="‘국립축산과학원 가축유전자원센터’ 경남 함양에서 업무개시"/>
    <s v="뉴시스"/>
    <d v="2019-11-04T00:00:00"/>
    <m/>
    <s v="07_중앙일간지"/>
    <n v="5"/>
    <d v="2019-11-05T00:00:00"/>
  </r>
  <r>
    <n v="4794"/>
    <s v="8_국립축산과학원"/>
    <s v="1_축산생명환경부"/>
    <x v="16"/>
    <s v="임다정"/>
    <s v="보도자료101"/>
    <s v="한우 성장과 관련 ‘유전체 각인현상’ 찾아"/>
    <s v="농축환경신문"/>
    <d v="2019-10-31T00:00:00"/>
    <n v="5"/>
    <s v="09_농업전문지"/>
    <n v="1.5"/>
    <d v="2019-11-05T00:00:00"/>
  </r>
  <r>
    <n v="4795"/>
    <s v="8_국립축산과학원"/>
    <s v="0_본원"/>
    <x v="13"/>
    <s v="유지현"/>
    <s v="보도자료99"/>
    <s v="학교에서 동물 기르며 바른 인성도 키워요"/>
    <s v="한국4H신문"/>
    <d v="2019-11-01T00:00:00"/>
    <n v="3"/>
    <s v="09_농업전문지"/>
    <n v="1.5"/>
    <d v="2019-11-05T00:00:00"/>
  </r>
  <r>
    <n v="4796"/>
    <s v="8_국립축산과학원"/>
    <s v="0_본원"/>
    <x v="13"/>
    <s v="손지용"/>
    <s v="보도자료98"/>
    <s v="소비자, 국내산 소고기를 수입육보다 더 선호해"/>
    <s v="한국농정신문"/>
    <d v="2019-11-04T00:00:00"/>
    <m/>
    <s v="09_농업전문지"/>
    <n v="1.5"/>
    <d v="2019-11-05T00:00:00"/>
  </r>
  <r>
    <n v="4797"/>
    <s v="8_국립축산과학원"/>
    <s v="0_본원"/>
    <x v="15"/>
    <s v="이상훈"/>
    <s v="보도자료103"/>
    <s v="국립축산과학원 가축유전자원센터, 함양군에 이전 완료"/>
    <s v="뉴스경남"/>
    <d v="2019-11-04T00:00:00"/>
    <m/>
    <s v="09_지방일간지"/>
    <n v="1.5"/>
    <d v="2019-11-05T00:00:00"/>
  </r>
  <r>
    <n v="4798"/>
    <s v="8_국립축산과학원"/>
    <s v="0_본원"/>
    <x v="15"/>
    <s v="이상훈"/>
    <s v="보도자료103"/>
    <s v="국립축산과학원 가축유전자원센터, 함양으로 이전"/>
    <s v="한남일보"/>
    <d v="2019-11-04T00:00:00"/>
    <m/>
    <s v="09_지방일간지"/>
    <n v="1.5"/>
    <d v="2019-11-05T00:00:00"/>
  </r>
  <r>
    <n v="4799"/>
    <s v="8_국립축산과학원"/>
    <s v="0_본원"/>
    <x v="15"/>
    <s v="이상훈"/>
    <s v="보도자료103"/>
    <s v="함양서 국립축산과학원 가축유전자원센터 업무 시작"/>
    <s v="창원일보"/>
    <d v="2019-11-04T00:00:00"/>
    <m/>
    <s v="09_지방일간지"/>
    <n v="1.5"/>
    <d v="2019-11-05T00:00:00"/>
  </r>
  <r>
    <n v="4800"/>
    <s v="8_국립축산과학원"/>
    <s v="0_본원"/>
    <x v="15"/>
    <s v="이상훈"/>
    <s v="보도자료103"/>
    <s v="국립축산과학원 가축유전자원센터, 함양 이전 완료"/>
    <s v="경남도민신문"/>
    <d v="2019-11-04T00:00:00"/>
    <m/>
    <s v="09_지방일간지"/>
    <n v="1.5"/>
    <d v="2019-11-05T00:00:00"/>
  </r>
  <r>
    <n v="4801"/>
    <s v="8_국립축산과학원"/>
    <s v="0_본원"/>
    <x v="15"/>
    <s v="이상훈"/>
    <s v="보도자료103"/>
    <s v="경남도 가축유전자원센터, 함양 이전"/>
    <s v="경남연합일보"/>
    <d v="2019-11-04T00:00:00"/>
    <m/>
    <s v="09_지방일간지"/>
    <n v="1.5"/>
    <d v="2019-11-05T00:00:00"/>
  </r>
  <r>
    <n v="4802"/>
    <s v="8_국립축산과학원"/>
    <s v="0_본원"/>
    <x v="15"/>
    <s v="이상훈"/>
    <s v="보도자료103"/>
    <s v="가축유전자원센터 함양 이전 완료"/>
    <s v="경남일보"/>
    <d v="2019-11-04T00:00:00"/>
    <m/>
    <s v="09_지방일간지"/>
    <n v="1.5"/>
    <d v="2019-11-05T00:00:00"/>
  </r>
  <r>
    <n v="4803"/>
    <s v="8_국립축산과학원"/>
    <s v="0_본원"/>
    <x v="15"/>
    <s v="이상훈"/>
    <s v="보도자료103"/>
    <s v="국립축산과학원 가축유전자원센터 함양 이전 완료"/>
    <s v="경남매일"/>
    <d v="2019-11-04T00:00:00"/>
    <m/>
    <s v="09_지방일간지"/>
    <n v="1.5"/>
    <d v="2019-11-05T00:00:00"/>
  </r>
  <r>
    <n v="4804"/>
    <s v="8_국립축산과학원"/>
    <s v="0_본원"/>
    <x v="15"/>
    <s v="이상훈"/>
    <s v="보도자료103"/>
    <s v="가축유전자원센터 함양에 새 둥지"/>
    <s v="경남도민일보"/>
    <d v="2019-11-05T00:00:00"/>
    <m/>
    <s v="09_지방일간지"/>
    <n v="1.5"/>
    <d v="2019-11-05T00:00:00"/>
  </r>
  <r>
    <n v="4805"/>
    <s v="8_국립축산과학원"/>
    <s v="0_본원"/>
    <x v="15"/>
    <s v="이상훈"/>
    <s v="보도자료103"/>
    <s v="축산과학원 가축유전자원센터, 함양에 문 열어"/>
    <s v="경남신문"/>
    <d v="2019-11-05T00:00:00"/>
    <m/>
    <s v="09_지방일간지"/>
    <n v="1.5"/>
    <d v="2019-11-05T00:00:00"/>
  </r>
  <r>
    <n v="4806"/>
    <s v="8_국립축산과학원"/>
    <s v="0_본원"/>
    <x v="15"/>
    <s v="이상훈"/>
    <s v="보도자료103"/>
    <s v="국립축산과학원 가축유전자원센터, 경남 함양으로 이전 완료"/>
    <s v="세계타임즈"/>
    <d v="2019-11-04T00:00:00"/>
    <m/>
    <s v="11_기타(지역주간지)"/>
    <n v="0.5"/>
    <d v="2019-11-05T00:00:00"/>
  </r>
  <r>
    <n v="4807"/>
    <s v="8_국립축산과학원"/>
    <s v="0_본원"/>
    <x v="15"/>
    <s v="이상훈"/>
    <s v="보도자료103"/>
    <s v="국립축산과학원 가축유전자원센터, 경남 함양 이전 완료"/>
    <s v="쿠키뉴스"/>
    <d v="2019-11-04T00:00:00"/>
    <m/>
    <s v="13_인터넷포털"/>
    <n v="0.1"/>
    <d v="2019-11-05T00:00:00"/>
  </r>
  <r>
    <n v="4808"/>
    <s v="8_국립축산과학원"/>
    <s v="0_본원"/>
    <x v="15"/>
    <s v="이상훈"/>
    <s v="보도자료103"/>
    <s v="국립축산과학원 가축유전자원센터, 경남 함양으로 이전 완료"/>
    <s v="부울경뉴스"/>
    <d v="2019-11-05T00:00:00"/>
    <m/>
    <s v="13_인터넷포털"/>
    <n v="0.1"/>
    <d v="2019-11-05T00:00:00"/>
  </r>
  <r>
    <n v="4809"/>
    <s v="8_국립축산과학원"/>
    <s v="2_축산자원개발부"/>
    <x v="0"/>
    <s v="김두완"/>
    <s v="보도자료104"/>
    <s v="양돈장 주변 울타리 점검…적정 온·습도관리 만전"/>
    <s v="라이브팜뉴스"/>
    <d v="2019-11-05T00:00:00"/>
    <m/>
    <s v="13_인터넷포털"/>
    <n v="0.1"/>
    <d v="2019-11-05T00:00:00"/>
  </r>
  <r>
    <n v="4810"/>
    <s v="8_국립축산과학원"/>
    <s v="2_축산자원개발부"/>
    <x v="0"/>
    <s v="김두완"/>
    <s v="보도자료104"/>
    <s v="농촌진흥청, 겨울철 필수 돈사 관리 방법 제시"/>
    <s v="전남인터넷신문"/>
    <d v="2019-11-05T00:00:00"/>
    <m/>
    <s v="13_인터넷포털"/>
    <n v="0.1"/>
    <d v="2019-11-05T00:00:00"/>
  </r>
  <r>
    <n v="4811"/>
    <s v="8_국립축산과학원"/>
    <s v="0_본원"/>
    <x v="15"/>
    <s v="이상훈"/>
    <s v="보도자료103"/>
    <s v="가축유전자원센터, 경남 함양 시대 열리다"/>
    <s v="미디어피아"/>
    <d v="2019-11-01T00:00:00"/>
    <m/>
    <s v="13_인터넷포털"/>
    <n v="0.1"/>
    <d v="2019-11-05T00:00:00"/>
  </r>
  <r>
    <n v="4812"/>
    <s v="8_국립축산과학원"/>
    <s v="1_축산생명환경부"/>
    <x v="9"/>
    <s v="곽정훈"/>
    <s v="기고"/>
    <s v="[기고] 곽정훈 과장-“지역사회와 공존하는 친환경축산이 대안”"/>
    <s v="농축산기계"/>
    <d v="2019-11-01T00:00:00"/>
    <s v="8,9"/>
    <s v="18_기타전문지"/>
    <n v="4"/>
    <d v="2019-11-06T00:00:00"/>
  </r>
  <r>
    <n v="4813"/>
    <s v="8_국립축산과학원"/>
    <s v="2_축산자원개발부"/>
    <x v="0"/>
    <s v="김두완"/>
    <s v="보도자료104"/>
    <s v="농촌진흥청, 겨울철 필수 돈사 관리 방법 제시"/>
    <s v="서울신문"/>
    <d v="2019-11-05T00:00:00"/>
    <m/>
    <s v="07_중앙일간지"/>
    <n v="5"/>
    <d v="2019-11-06T00:00:00"/>
  </r>
  <r>
    <n v="4814"/>
    <s v="8_국립축산과학원"/>
    <s v="2_축산자원개발부"/>
    <x v="0"/>
    <s v="김두완"/>
    <s v="보도자료104"/>
    <s v="농촌진흥청, 겨울철 필수 돈사 관리 방법 제시"/>
    <s v="매일일보"/>
    <d v="2019-11-06T00:00:00"/>
    <m/>
    <s v="08_기타일간지"/>
    <n v="2"/>
    <d v="2019-11-06T00:00:00"/>
  </r>
  <r>
    <n v="4815"/>
    <s v="8_국립축산과학원"/>
    <s v="2_축산자원개발부"/>
    <x v="6"/>
    <s v="이기원"/>
    <s v="보도자료97"/>
    <s v="풀사료 새품종 톨 페스큐 ‘그린마스터 4호’ 개발"/>
    <s v="한국농어민신문"/>
    <d v="2019-11-05T00:00:00"/>
    <n v="8"/>
    <s v="09_농업전문지"/>
    <n v="1.5"/>
    <d v="2019-11-06T00:00:00"/>
  </r>
  <r>
    <n v="4816"/>
    <s v="8_국립축산과학원"/>
    <s v="2_축산자원개발부"/>
    <x v="0"/>
    <s v="김두완"/>
    <s v="보도자료104"/>
    <s v="농진청, 겨울철 필수 돈사 관리 방법 소개"/>
    <s v="한국영농신문"/>
    <d v="2019-11-05T00:00:00"/>
    <m/>
    <s v="09_농업전문지"/>
    <n v="1.5"/>
    <d v="2019-11-06T00:00:00"/>
  </r>
  <r>
    <n v="4817"/>
    <s v="8_국립축산과학원"/>
    <s v="0_본원"/>
    <x v="15"/>
    <s v="이상훈"/>
    <s v="보도자료103"/>
    <s v="가축유전자원센터 함양 이전 마무리"/>
    <s v="한국농어민신문"/>
    <d v="2019-11-05T00:00:00"/>
    <m/>
    <s v="09_농업전문지"/>
    <n v="1.5"/>
    <d v="2019-11-06T00:00:00"/>
  </r>
  <r>
    <n v="4818"/>
    <s v="8_국립축산과학원"/>
    <s v="2_축산자원개발부"/>
    <x v="0"/>
    <s v="김두완"/>
    <s v="보도자료104"/>
    <s v="겨울철 집돼지 관리 요령은…"/>
    <s v="농촌여성신문"/>
    <d v="2019-11-05T00:00:00"/>
    <m/>
    <s v="09_농업전문지"/>
    <n v="1.5"/>
    <d v="2019-11-06T00:00:00"/>
  </r>
  <r>
    <n v="4819"/>
    <s v="8_국립축산과학원"/>
    <s v="0_본원"/>
    <x v="15"/>
    <s v="이상훈"/>
    <s v="보도자료103"/>
    <s v="가축유전자원센터, 경남 함양시대 개막"/>
    <s v="농축산기계"/>
    <d v="2019-11-01T00:00:00"/>
    <n v="15"/>
    <s v="10_기타전문지"/>
    <n v="1"/>
    <d v="2019-11-06T00:00:00"/>
  </r>
  <r>
    <n v="4820"/>
    <s v="8_국립축산과학원"/>
    <s v="2_축산자원개발부"/>
    <x v="0"/>
    <s v="김두완"/>
    <s v="보도자료104"/>
    <s v="겨울철 필수 돈사 관리 방법 제시"/>
    <s v="식약일보"/>
    <d v="2019-11-05T00:00:00"/>
    <m/>
    <s v="10_기타전문지"/>
    <n v="1"/>
    <d v="2019-11-06T00:00:00"/>
  </r>
  <r>
    <n v="4821"/>
    <s v="8_국립축산과학원"/>
    <s v="2_축산자원개발부"/>
    <x v="0"/>
    <s v="김두완"/>
    <s v="보도자료104"/>
    <s v="농촌진흥청, 겨울철 필수 돈사 관리 방법 제시"/>
    <s v="정책브리핑"/>
    <d v="2019-11-05T00:00:00"/>
    <m/>
    <s v="12_대한민국 정책포털(korea.kr)"/>
    <n v="1"/>
    <d v="2019-11-06T00:00:00"/>
  </r>
  <r>
    <n v="4822"/>
    <s v="8_국립축산과학원"/>
    <s v="2_축산자원개발부"/>
    <x v="0"/>
    <s v="김두완"/>
    <s v="보도자료104"/>
    <s v="농촌진흥청, 겨울철 필수 돈사 관리 방법 제시"/>
    <s v="농업경제신문"/>
    <d v="2019-11-06T00:00:00"/>
    <m/>
    <s v="13_인터넷포털"/>
    <n v="0.1"/>
    <d v="2019-11-06T00:00:00"/>
  </r>
  <r>
    <n v="4823"/>
    <s v="8_국립축산과학원"/>
    <s v="2_축산자원개발부"/>
    <x v="6"/>
    <s v="이세영"/>
    <s v="보도자료105"/>
    <s v="겨울나는 풀사료, 잘 눌러주면 생산량 15% 향상!"/>
    <s v="더코리아뉴스"/>
    <d v="2019-11-06T00:00:00"/>
    <m/>
    <s v="13_인터넷포털"/>
    <n v="0.1"/>
    <d v="2019-11-06T00:00:00"/>
  </r>
  <r>
    <n v="4824"/>
    <s v="8_국립축산과학원"/>
    <s v="2_축산자원개발부"/>
    <x v="6"/>
    <s v="천동원"/>
    <m/>
    <s v="경남도, 풀사료 품질 전국에 알렸다…최우수상·특별상 수상"/>
    <s v="노컷뉴스"/>
    <d v="2019-11-06T00:00:00"/>
    <m/>
    <s v="13_인터넷포털"/>
    <n v="0.1"/>
    <d v="2019-11-06T00:00:00"/>
  </r>
  <r>
    <n v="4825"/>
    <s v="8_국립축산과학원"/>
    <s v="2_축산자원개발부"/>
    <x v="6"/>
    <s v="천동원"/>
    <m/>
    <s v="경남도, 전국 사료작물 사일리지 품질경연대회서 최우수상과 특별상 수상"/>
    <s v="경남데일리"/>
    <d v="2019-11-06T00:00:00"/>
    <m/>
    <s v="13_인터넷포털"/>
    <n v="0.1"/>
    <d v="2019-11-06T00:00:00"/>
  </r>
  <r>
    <n v="4826"/>
    <s v="8_국립축산과학원"/>
    <s v="2_축산자원개발부"/>
    <x v="0"/>
    <s v="김두완"/>
    <s v="보도자료104"/>
    <s v="농촌진흥청, 겨울철 필수 돈사 관리 방법 제시"/>
    <s v="한국안전방송"/>
    <d v="2019-11-06T00:00:00"/>
    <m/>
    <s v="13_인터넷포털"/>
    <n v="0.1"/>
    <d v="2019-11-06T00:00:00"/>
  </r>
  <r>
    <n v="4827"/>
    <s v="8_국립축산과학원"/>
    <s v="2_축산자원개발부"/>
    <x v="0"/>
    <s v="김두완"/>
    <s v="보도자료104"/>
    <s v="겨울철 돈사 소독장비 얼지 않아야"/>
    <s v="완주신문"/>
    <d v="2019-11-04T00:00:00"/>
    <m/>
    <s v="13_인터넷포털"/>
    <n v="0.1"/>
    <d v="2019-11-06T00:00:00"/>
  </r>
  <r>
    <n v="4828"/>
    <s v="8_국립축산과학원"/>
    <s v="1_축산생명환경부"/>
    <x v="9"/>
    <s v="권경석"/>
    <s v="보도자료102"/>
    <s v="환절기·동절기 축사 환기 방법은"/>
    <s v="미디어피아"/>
    <d v="2019-10-31T00:00:00"/>
    <m/>
    <s v="13_인터넷포털"/>
    <n v="0.1"/>
    <d v="2019-11-06T00:00:00"/>
  </r>
  <r>
    <n v="4829"/>
    <s v="8_국립축산과학원"/>
    <s v="2_축산자원개발부"/>
    <x v="6"/>
    <s v="이세영"/>
    <s v="보도자료105"/>
    <s v="겨울나는 풀사료, ‘꾹꾹’ 눌러주면 ‘쑥쑥’ 늘어요"/>
    <s v="서울신문"/>
    <d v="2019-11-06T00:00:00"/>
    <m/>
    <s v="07_중앙일간지"/>
    <n v="5"/>
    <d v="2019-11-07T00:00:00"/>
  </r>
  <r>
    <n v="4830"/>
    <s v="8_국립축산과학원"/>
    <s v="2_축산자원개발부"/>
    <x v="6"/>
    <s v="천동원"/>
    <m/>
    <s v="경남 풀사료작물 품질 전국 ‘최우수’"/>
    <s v="연합뉴스"/>
    <d v="2019-11-06T00:00:00"/>
    <m/>
    <s v="07_중앙일간지"/>
    <n v="5"/>
    <d v="2019-11-07T00:00:00"/>
  </r>
  <r>
    <n v="4831"/>
    <s v="8_국립축산과학원"/>
    <s v="2_축산자원개발부"/>
    <x v="6"/>
    <s v="이세영"/>
    <s v="보도자료105"/>
    <s v="농촌진흥청, “겨울나는 풀사료, 잘 눌러주면 생산성 높일 수 있어”"/>
    <s v="매일일보"/>
    <d v="2019-11-06T00:00:00"/>
    <m/>
    <s v="08_기타일간지"/>
    <n v="2"/>
    <d v="2019-11-07T00:00:00"/>
  </r>
  <r>
    <n v="4832"/>
    <s v="8_국립축산과학원"/>
    <s v="1_축산생명환경부"/>
    <x v="9"/>
    <s v="권경석"/>
    <s v="보도자료102"/>
    <s v="추위 성큼…축사 환기 주의해야"/>
    <s v="농촌여성신문"/>
    <d v="2019-11-04T00:00:00"/>
    <n v="4"/>
    <s v="09_농업전문지"/>
    <n v="1.5"/>
    <d v="2019-11-07T00:00:00"/>
  </r>
  <r>
    <n v="4833"/>
    <s v="8_국립축산과학원"/>
    <s v="2_축산자원개발부"/>
    <x v="6"/>
    <s v="천동원"/>
    <m/>
    <s v="경남, ‘풀사료 품질 우수성’ 전국에 알려"/>
    <s v="국제신문"/>
    <d v="2019-11-06T00:00:00"/>
    <m/>
    <s v="09_지방일간지"/>
    <n v="1.5"/>
    <d v="2019-11-07T00:00:00"/>
  </r>
  <r>
    <n v="4834"/>
    <s v="8_국립축산과학원"/>
    <s v="2_축산자원개발부"/>
    <x v="6"/>
    <s v="천동원"/>
    <m/>
    <s v="도내 ‘풀사료 품질 우수성’ 전국에 알리다"/>
    <s v="한남일보"/>
    <d v="2019-11-06T00:00:00"/>
    <m/>
    <s v="09_지방일간지"/>
    <n v="1.5"/>
    <d v="2019-11-07T00:00:00"/>
  </r>
  <r>
    <n v="4835"/>
    <s v="8_국립축산과학원"/>
    <s v="2_축산자원개발부"/>
    <x v="6"/>
    <s v="천동원"/>
    <m/>
    <s v="경남도 풀사료 품질경연대회서 ‘우수성’ 인정"/>
    <s v="창원일보"/>
    <d v="2019-11-06T00:00:00"/>
    <m/>
    <s v="09_지방일간지"/>
    <n v="1.5"/>
    <d v="2019-11-07T00:00:00"/>
  </r>
  <r>
    <n v="4836"/>
    <s v="8_국립축산과학원"/>
    <s v="2_축산자원개발부"/>
    <x v="6"/>
    <s v="천동원"/>
    <m/>
    <s v="경남도, ‘풀사료 품질 우수성’ 전국에 알리다"/>
    <s v="내외일보"/>
    <d v="2019-11-06T00:00:00"/>
    <m/>
    <s v="09_지방일간지"/>
    <n v="1.5"/>
    <d v="2019-11-07T00:00:00"/>
  </r>
  <r>
    <n v="4837"/>
    <s v="8_국립축산과학원"/>
    <s v="2_축산자원개발부"/>
    <x v="6"/>
    <s v="천동원"/>
    <m/>
    <s v="경남도, ‘풀사료 품질 우수성’ 전국에 알렸다"/>
    <s v="경남연합일보"/>
    <d v="2019-11-06T00:00:00"/>
    <m/>
    <s v="09_지방일간지"/>
    <n v="1.5"/>
    <d v="2019-11-07T00:00:00"/>
  </r>
  <r>
    <n v="4838"/>
    <s v="8_국립축산과학원"/>
    <s v="2_축산자원개발부"/>
    <x v="6"/>
    <s v="천동원"/>
    <m/>
    <s v="고성·밀양 영농조합법인 풀사료 품질 우수성 입증"/>
    <s v="경남도민일보"/>
    <d v="2019-11-07T00:00:00"/>
    <m/>
    <s v="09_지방일간지"/>
    <n v="1.5"/>
    <d v="2019-11-07T00:00:00"/>
  </r>
  <r>
    <n v="4839"/>
    <s v="8_국립축산과학원"/>
    <s v="2_축산자원개발부"/>
    <x v="6"/>
    <s v="이세영"/>
    <s v="보도자료105"/>
    <s v="겨울 풀사료, ‘꾹꾹’ 눌러주면 ‘쑥쑥’ 늘어요"/>
    <s v="식약일보"/>
    <d v="2019-11-06T00:00:00"/>
    <m/>
    <s v="10_기타전문지"/>
    <n v="1"/>
    <d v="2019-11-07T00:00:00"/>
  </r>
  <r>
    <n v="4840"/>
    <s v="8_국립축산과학원"/>
    <s v="2_축산자원개발부"/>
    <x v="6"/>
    <s v="천동원"/>
    <m/>
    <s v="경상남도, ‘풀사료 품질 우수성’ 전국에 알리다"/>
    <s v="세계타임즈"/>
    <d v="2019-11-06T00:00:00"/>
    <m/>
    <s v="11_기타(지역주간지)"/>
    <n v="0.5"/>
    <d v="2019-11-07T00:00:00"/>
  </r>
  <r>
    <n v="4841"/>
    <s v="8_국립축산과학원"/>
    <s v="2_축산자원개발부"/>
    <x v="6"/>
    <s v="천동원"/>
    <m/>
    <s v="경상남도, ‘풀사료 품질 우수성’ 전국에 알리다"/>
    <s v="케이에스피뉴스"/>
    <d v="2019-11-06T00:00:00"/>
    <m/>
    <s v="13_인터넷포털"/>
    <n v="0.1"/>
    <d v="2019-11-07T00:00:00"/>
  </r>
  <r>
    <n v="4842"/>
    <s v="8_국립축산과학원"/>
    <s v="2_축산자원개발부"/>
    <x v="6"/>
    <s v="천동원"/>
    <m/>
    <s v="경상남도, ‘풀사료 품질 우수성’ 전국에 알리다"/>
    <s v="자치행정신문"/>
    <d v="2019-11-06T00:00:00"/>
    <m/>
    <s v="13_인터넷포털"/>
    <n v="0.1"/>
    <d v="2019-11-07T00:00:00"/>
  </r>
  <r>
    <n v="4843"/>
    <s v="8_국립축산과학원"/>
    <s v="2_축산자원개발부"/>
    <x v="6"/>
    <s v="이세영"/>
    <s v="보도자료105"/>
    <s v="겨울을 나는 풀사료 물 빠지는 길 만들어 주고 잘 눌러줘야"/>
    <s v="농업경제신문"/>
    <d v="2019-11-07T00:00:00"/>
    <m/>
    <s v="13_인터넷포털"/>
    <n v="0.1"/>
    <d v="2019-11-07T00:00:00"/>
  </r>
  <r>
    <n v="4844"/>
    <s v="8_국립축산과학원"/>
    <s v="2_축산자원개발부"/>
    <x v="6"/>
    <s v="천동원"/>
    <m/>
    <s v="경남도, 풀사료 품질 우수성 전국에 알리다"/>
    <s v="부울경뉴스"/>
    <d v="2019-11-07T00:00:00"/>
    <m/>
    <s v="13_인터넷포털"/>
    <n v="0.1"/>
    <d v="2019-11-07T00:00:00"/>
  </r>
  <r>
    <n v="4845"/>
    <s v="8_국립축산과학원"/>
    <s v="0_본원"/>
    <x v="14"/>
    <s v="원정일"/>
    <s v="보도자료106"/>
    <s v="농촌진흥청 한우연구소, 입동맞아 방목 끝내고 월동 준비"/>
    <s v="오가닉라이프"/>
    <d v="2019-11-07T00:00:00"/>
    <m/>
    <s v="13_인터넷포털"/>
    <n v="0.1"/>
    <d v="2019-11-07T00:00:00"/>
  </r>
  <r>
    <n v="4846"/>
    <s v="8_국립축산과학원"/>
    <s v="0_본원"/>
    <x v="14"/>
    <s v="원정일"/>
    <s v="보도자료106"/>
    <s v="‘겨울의 문턱’, 대관령 한우 방목 끝내고 월동 준비"/>
    <s v="이데일리"/>
    <d v="2019-11-07T00:00:00"/>
    <m/>
    <s v="07_중앙일간지"/>
    <n v="5"/>
    <d v="2019-11-08T00:00:00"/>
  </r>
  <r>
    <n v="4847"/>
    <s v="8_국립축산과학원"/>
    <s v="0_본원"/>
    <x v="14"/>
    <s v="원정일"/>
    <s v="보도자료106"/>
    <s v="‘한우들의 따뜻한 겨울을 위해’"/>
    <s v="연합뉴스"/>
    <d v="2019-11-07T00:00:00"/>
    <m/>
    <s v="07_중앙일간지"/>
    <n v="5"/>
    <d v="2019-11-08T00:00:00"/>
  </r>
  <r>
    <n v="4848"/>
    <s v="8_국립축산과학원"/>
    <s v="0_본원"/>
    <x v="14"/>
    <s v="원정일"/>
    <s v="보도자료106"/>
    <s v="한우 겨울나기 준비, 축사바닥에 톱밥 까는 사육사"/>
    <s v="뉴시스"/>
    <d v="2019-11-07T00:00:00"/>
    <m/>
    <s v="07_중앙일간지"/>
    <n v="5"/>
    <d v="2019-11-08T00:00:00"/>
  </r>
  <r>
    <n v="4849"/>
    <s v="8_국립축산과학원"/>
    <s v="0_본원"/>
    <x v="14"/>
    <s v="원정일"/>
    <s v="보도자료106"/>
    <s v="한우의 따뜻한 겨울나기를 위해"/>
    <s v="뉴스1"/>
    <d v="2019-11-07T00:00:00"/>
    <m/>
    <s v="07_중앙일간지"/>
    <n v="5"/>
    <d v="2019-11-08T00:00:00"/>
  </r>
  <r>
    <n v="4850"/>
    <s v="8_국립축산과학원"/>
    <s v="2_축산자원개발부"/>
    <x v="0"/>
    <s v="김두완"/>
    <s v="보도자료104"/>
    <s v="농촌진흥청, 겨울철 필수 양돈농가 관리 방법 제시"/>
    <s v="식품외식경제"/>
    <d v="2019-11-08T00:00:00"/>
    <m/>
    <s v="09_농업전문지"/>
    <n v="1.5"/>
    <d v="2019-11-08T00:00:00"/>
  </r>
  <r>
    <n v="4851"/>
    <s v="8_국립축산과학원"/>
    <s v="0_본원"/>
    <x v="14"/>
    <s v="원정일"/>
    <s v="보도자료106"/>
    <s v="대관령 한우, 집으로"/>
    <s v="팜&amp;마켓매거진"/>
    <d v="2019-11-08T00:00:00"/>
    <m/>
    <s v="09_농업전문지"/>
    <n v="1.5"/>
    <d v="2019-11-08T00:00:00"/>
  </r>
  <r>
    <n v="4852"/>
    <s v="8_국립축산과학원"/>
    <s v="0_본원"/>
    <x v="14"/>
    <s v="원정일"/>
    <s v="보도자료106"/>
    <s v="겨울 날 채비 나선 ‘한우’ 이제 집으로…"/>
    <s v="농축유통신문"/>
    <d v="2019-11-08T00:00:00"/>
    <m/>
    <s v="09_농업전문지"/>
    <n v="1.5"/>
    <d v="2019-11-08T00:00:00"/>
  </r>
  <r>
    <n v="4853"/>
    <s v="8_국립축산과학원"/>
    <s v="2_축산자원개발부"/>
    <x v="6"/>
    <s v="이세영"/>
    <s v="보도자료105"/>
    <s v="‘입동’ 추위 매섭네... 겨울나는 풀사료, 잘 눌러줘야"/>
    <s v="한국영농신문"/>
    <d v="2019-11-08T00:00:00"/>
    <m/>
    <s v="09_농업전문지"/>
    <n v="1.5"/>
    <d v="2019-11-08T00:00:00"/>
  </r>
  <r>
    <n v="4854"/>
    <s v="8_국립축산과학원"/>
    <s v="0_본원"/>
    <x v="15"/>
    <s v="이상훈"/>
    <s v="보도자료103"/>
    <s v="축산과학원 가축유전자원센터, 새둥지"/>
    <s v="축산경제"/>
    <d v="2019-11-08T00:00:00"/>
    <m/>
    <s v="09_농업전문지"/>
    <n v="1.5"/>
    <d v="2019-11-08T00:00:00"/>
  </r>
  <r>
    <n v="4855"/>
    <s v="8_국립축산과학원"/>
    <s v="2_축산자원개발부"/>
    <x v="6"/>
    <s v="이세영"/>
    <s v="보도자료105"/>
    <s v="겨울철 풀사료, 잘 눌러주면 생산량 증가"/>
    <s v="농촌여성신문"/>
    <d v="2019-11-06T00:00:00"/>
    <m/>
    <s v="09_농업전문지"/>
    <n v="1.5"/>
    <d v="2019-11-08T00:00:00"/>
  </r>
  <r>
    <n v="4856"/>
    <s v="8_국립축산과학원"/>
    <s v="2_축산자원개발부"/>
    <x v="6"/>
    <s v="이세영"/>
    <s v="보도자료105"/>
    <s v="겨울나는 풀사료, ‘꾹꾹’ 눌러주면 ‘쑥쑥’ 늘어요"/>
    <s v="정책브리핑"/>
    <d v="2019-11-06T00:00:00"/>
    <m/>
    <s v="12_대한민국 정책포털(korea.kr)"/>
    <n v="1"/>
    <d v="2019-11-08T00:00:00"/>
  </r>
  <r>
    <n v="4857"/>
    <s v="8_국립축산과학원"/>
    <s v="0_본원"/>
    <x v="14"/>
    <s v="원정일"/>
    <s v="보도자료106"/>
    <s v="‘겨울의 문턱’, 대관령의 한우도 이제는 집으로 돌아 갈 시간"/>
    <s v="한국농어촌방송"/>
    <d v="2019-11-07T00:00:00"/>
    <m/>
    <s v="13_인터넷포털"/>
    <n v="0.1"/>
    <d v="2019-11-08T00:00:00"/>
  </r>
  <r>
    <n v="4858"/>
    <s v="8_국립축산과학원"/>
    <s v="0_본원"/>
    <x v="14"/>
    <s v="원정일"/>
    <s v="보도자료106"/>
    <s v="농진청 “‘겨울의 문턱’, 대관령은 한우도 이제 집으로”"/>
    <s v="메디컬투데이"/>
    <d v="2019-11-07T00:00:00"/>
    <m/>
    <s v="13_인터넷포털"/>
    <n v="0.1"/>
    <d v="2019-11-08T00:00:00"/>
  </r>
  <r>
    <n v="4859"/>
    <s v="8_국립축산과학원"/>
    <s v="0_본원"/>
    <x v="15"/>
    <s v="김성우"/>
    <m/>
    <s v="육우자조금, 육우 인식개선 지략 모은다"/>
    <s v="라이브팜뉴스"/>
    <d v="2019-11-07T00:00:00"/>
    <m/>
    <s v="13_인터넷포털"/>
    <n v="0.1"/>
    <d v="2019-11-08T00:00:00"/>
  </r>
  <r>
    <n v="4860"/>
    <s v="8_국립축산과학원"/>
    <s v="0_본원"/>
    <x v="14"/>
    <s v="원정일"/>
    <s v="보도자료106"/>
    <s v="‘겨울의 문턱’, 대관령 한우도 이제 집으로"/>
    <s v="경기북도일보"/>
    <d v="2019-11-08T00:00:00"/>
    <m/>
    <s v="13_인터넷포털"/>
    <n v="0.1"/>
    <d v="2019-11-08T00:00:00"/>
  </r>
  <r>
    <n v="4861"/>
    <s v="8_국립축산과학원"/>
    <s v="0_본원"/>
    <x v="14"/>
    <s v="원정일"/>
    <s v="보도자료106"/>
    <s v="농촌진흥청, 한우연구소 입동 월동 준비 들어가!"/>
    <s v="더코리아뉴스"/>
    <d v="2019-11-08T00:00:00"/>
    <m/>
    <s v="13_인터넷포털"/>
    <n v="0.1"/>
    <d v="2019-11-08T00:00:00"/>
  </r>
  <r>
    <n v="4862"/>
    <s v="8_국립축산과학원"/>
    <s v="2_축산자원개발부"/>
    <x v="6"/>
    <s v="이세영"/>
    <s v="보도자료105"/>
    <s v="겨울나는 풀사료, ‘꾹꾹’ 눌러주면 ‘쑥쑥’ 늘어요"/>
    <s v="한국안전방송"/>
    <d v="2019-11-06T00:00:00"/>
    <m/>
    <s v="13_인터넷포털"/>
    <n v="0.1"/>
    <d v="2019-11-08T00:00:00"/>
  </r>
  <r>
    <n v="4863"/>
    <s v="8_국립축산과학원"/>
    <s v="2_축산자원개발부"/>
    <x v="6"/>
    <s v="이세영"/>
    <s v="보도자료105"/>
    <s v="겨울나는 풀사료, ‘꾹꾹’ 눌러주면 ‘쑥쑥’"/>
    <s v="완주신문"/>
    <d v="2019-11-05T00:00:00"/>
    <m/>
    <s v="13_인터넷포털"/>
    <n v="0.1"/>
    <d v="2019-11-08T00:00:00"/>
  </r>
  <r>
    <n v="4864"/>
    <s v="8_국립축산과학원"/>
    <s v="0_본원"/>
    <x v="14"/>
    <s v="원정일"/>
    <s v="보도자료106"/>
    <s v="‘겨울의 문턱’, 대관령은 한우도 이제 집으로"/>
    <s v="서울신문"/>
    <d v="2019-11-08T00:00:00"/>
    <m/>
    <s v="07_중앙일간지"/>
    <n v="5"/>
    <d v="2019-11-11T00:00:00"/>
  </r>
  <r>
    <n v="4865"/>
    <s v="8_국립축산과학원"/>
    <s v="0_본원"/>
    <x v="15"/>
    <s v="이상훈"/>
    <s v="보도자료103"/>
    <s v="함양, 가축유전자원센터 이전 업무 시작"/>
    <s v="서울일보"/>
    <d v="2019-11-08T00:00:00"/>
    <n v="6"/>
    <s v="08_기타일간지"/>
    <n v="2"/>
    <d v="2019-11-11T00:00:00"/>
  </r>
  <r>
    <n v="4866"/>
    <s v="8_국립축산과학원"/>
    <s v="0_본원"/>
    <x v="14"/>
    <s v="원정일"/>
    <s v="보도자료106"/>
    <s v="농촌진흥청 한우연구소, “입동엔 방목 끝내고 월동 준비”"/>
    <s v="매일일보"/>
    <d v="2019-11-10T00:00:00"/>
    <m/>
    <s v="08_기타일간지"/>
    <n v="2"/>
    <d v="2019-11-11T00:00:00"/>
  </r>
  <r>
    <n v="4867"/>
    <s v="8_국립축산과학원"/>
    <s v="2_축산자원개발부"/>
    <x v="0"/>
    <s v="김두완"/>
    <s v="보도자료104"/>
    <s v="“주변 울타리 살피고 장비 관리 철저히”"/>
    <s v="축산신문"/>
    <d v="2019-11-08T00:00:00"/>
    <n v="6"/>
    <s v="09_농업전문지"/>
    <n v="1.5"/>
    <d v="2019-11-11T00:00:00"/>
  </r>
  <r>
    <n v="4868"/>
    <s v="8_국립축산과학원"/>
    <s v="1_축산생명환경부"/>
    <x v="5"/>
    <s v="조수현"/>
    <m/>
    <s v="건식숙성, 저등급 한우 소비 돌파구 되려면 &lt;下&gt; 건조시간 ‘확’줄인 건식숙성한우 유통 ‘코 앞’"/>
    <s v="농수축산신문"/>
    <d v="2019-11-08T00:00:00"/>
    <m/>
    <s v="09_농업전문지"/>
    <n v="1.5"/>
    <d v="2019-11-11T00:00:00"/>
  </r>
  <r>
    <n v="4869"/>
    <s v="8_국립축산과학원"/>
    <s v="0_본원"/>
    <x v="14"/>
    <s v="원정일"/>
    <s v="보도자료106"/>
    <s v="대관령 한우, “이제 집으로”"/>
    <s v="한국영농신문"/>
    <d v="2019-11-09T00:00:00"/>
    <m/>
    <s v="09_농업전문지"/>
    <n v="1.5"/>
    <d v="2019-11-11T00:00:00"/>
  </r>
  <r>
    <n v="4870"/>
    <s v="8_국립축산과학원"/>
    <s v="1_축산생명환경부"/>
    <x v="5"/>
    <s v="김진형"/>
    <m/>
    <s v="Q. 우유를 마시면 좋다는 의견과 좋지 않다는 의견이 상충돼 혼란스러워요, 우유를 먹어도 되나요?"/>
    <s v="한국농정신문"/>
    <d v="2019-11-10T00:00:00"/>
    <m/>
    <s v="09_농업전문지"/>
    <n v="1.5"/>
    <d v="2019-11-11T00:00:00"/>
  </r>
  <r>
    <n v="4871"/>
    <s v="8_국립축산과학원"/>
    <s v="0_본원"/>
    <x v="14"/>
    <s v="원정일"/>
    <s v="보도자료106"/>
    <s v="입동 맞아 대관령 한우도 집으로~"/>
    <s v="농촌여성신문"/>
    <d v="2019-11-08T00:00:00"/>
    <m/>
    <s v="09_농업전문지"/>
    <n v="1.5"/>
    <d v="2019-11-11T00:00:00"/>
  </r>
  <r>
    <n v="4872"/>
    <s v="8_국립축산과학원"/>
    <s v="0_본원"/>
    <x v="14"/>
    <s v="원정일"/>
    <s v="보도자료106"/>
    <s v="‘겨울의 문턱, 대관령은 한우도 이제 집으로’"/>
    <s v="전북타임스"/>
    <d v="2019-11-08T00:00:00"/>
    <n v="1"/>
    <s v="09_지방일간지"/>
    <n v="1.5"/>
    <d v="2019-11-11T00:00:00"/>
  </r>
  <r>
    <n v="4873"/>
    <s v="8_국립축산과학원"/>
    <s v="0_본원"/>
    <x v="14"/>
    <s v="원정일"/>
    <s v="보도자료106"/>
    <s v="“찬바람 걱정마렴”…겨울옷 입은 한우"/>
    <s v="중도일보"/>
    <d v="2019-11-08T00:00:00"/>
    <n v="8"/>
    <s v="09_지방일간지"/>
    <n v="1.5"/>
    <d v="2019-11-11T00:00:00"/>
  </r>
  <r>
    <n v="4874"/>
    <s v="8_국립축산과학원"/>
    <s v="0_본원"/>
    <x v="14"/>
    <s v="원정일"/>
    <s v="보도자료106"/>
    <s v="대관령 한우도 추위 피해 집으로... 한우연구소 겨울 채비"/>
    <s v="부산일보"/>
    <d v="2019-11-07T00:00:00"/>
    <m/>
    <s v="09_지방일간지"/>
    <n v="1.5"/>
    <d v="2019-11-11T00:00:00"/>
  </r>
  <r>
    <n v="4875"/>
    <s v="8_국립축산과학원"/>
    <s v="0_본원"/>
    <x v="14"/>
    <s v="원정일"/>
    <s v="보도자료106"/>
    <s v="대관령 한우, 입동엔 방목 끝내고 월동 준비"/>
    <s v="식약일보"/>
    <d v="2019-11-08T00:00:00"/>
    <m/>
    <s v="10_기타전문지"/>
    <n v="1"/>
    <d v="2019-11-11T00:00:00"/>
  </r>
  <r>
    <n v="4876"/>
    <s v="8_국립축산과학원"/>
    <s v="1_축산생명환경부"/>
    <x v="5"/>
    <s v="김진형"/>
    <m/>
    <s v="부위별로 다 맛있는 돼지고기의 효능"/>
    <s v="정책브리핑"/>
    <d v="2019-11-08T00:00:00"/>
    <m/>
    <s v="12_대한민국 정책포털(korea.kr)"/>
    <n v="1"/>
    <d v="2019-11-11T00:00:00"/>
  </r>
  <r>
    <n v="4877"/>
    <s v="8_국립축산과학원"/>
    <s v="0_본원"/>
    <x v="14"/>
    <s v="원정일"/>
    <s v="보도자료106"/>
    <s v="‘겨울의 문턱’, 대관령은 한우도 이제 집으로"/>
    <s v="정책브리핑"/>
    <d v="2019-11-08T00:00:00"/>
    <m/>
    <s v="12_대한민국 정책포털(korea.kr)"/>
    <n v="1"/>
    <d v="2019-11-11T00:00:00"/>
  </r>
  <r>
    <n v="4878"/>
    <s v="8_국립축산과학원"/>
    <s v="0_본원"/>
    <x v="14"/>
    <s v="원정일"/>
    <s v="보도자료106"/>
    <s v="대관령은 한우, 너무 추워서 축사 안으로"/>
    <s v="더코리아뉴스"/>
    <d v="2019-11-08T00:00:00"/>
    <m/>
    <s v="13_인터넷포털"/>
    <n v="0.1"/>
    <d v="2019-11-11T00:00:00"/>
  </r>
  <r>
    <n v="4879"/>
    <s v="8_국립축산과학원"/>
    <s v="0_본원"/>
    <x v="14"/>
    <s v="원정일"/>
    <s v="보도자료106"/>
    <s v="대관령 한우, 입동(立冬) 맞아 겨울날 채비"/>
    <s v="농업경제신문"/>
    <d v="2019-11-11T00:00:00"/>
    <m/>
    <s v="13_인터넷포털"/>
    <n v="0.1"/>
    <d v="2019-11-11T00:00:00"/>
  </r>
  <r>
    <n v="4880"/>
    <s v="8_국립축산과학원"/>
    <s v="0_본원"/>
    <x v="14"/>
    <s v="원정일"/>
    <s v="보도자료106"/>
    <s v="겨울의 문턱, ‘입동’ 맞아 집으로 돌아가는 대관령 한우"/>
    <s v="소믈리에타임즈"/>
    <d v="2019-11-08T00:00:00"/>
    <m/>
    <s v="13_인터넷포털"/>
    <n v="0.1"/>
    <d v="2019-11-11T00:00:00"/>
  </r>
  <r>
    <n v="4881"/>
    <s v="8_국립축산과학원"/>
    <s v="2_축산자원개발부"/>
    <x v="0"/>
    <s v="김두완"/>
    <s v="보도자료104"/>
    <s v="벌써 ‘쌀쌀’…찬바람 막아주세요"/>
    <s v="양돈타임스"/>
    <d v="2019-11-07T00:00:00"/>
    <n v="7"/>
    <s v="09_농업전문지"/>
    <n v="1.5"/>
    <d v="2019-11-12T00:00:00"/>
  </r>
  <r>
    <n v="4882"/>
    <s v="8_국립축산과학원"/>
    <s v="0_본원"/>
    <x v="15"/>
    <s v="이상훈"/>
    <s v="보도자료103"/>
    <s v="축과원 유전자원센터 함양 이전"/>
    <s v="양돈타임스"/>
    <d v="2019-11-07T00:00:00"/>
    <n v="9"/>
    <s v="09_농업전문지"/>
    <n v="1.5"/>
    <d v="2019-11-12T00:00:00"/>
  </r>
  <r>
    <n v="4883"/>
    <s v="8_국립축산과학원"/>
    <s v="0_본원"/>
    <x v="14"/>
    <s v="원정일"/>
    <s v="보도자료106"/>
    <s v="‘겨울의 문턱’, 대관령은 한우도 이제 집으로"/>
    <s v="대한급식신문"/>
    <d v="2019-11-07T00:00:00"/>
    <m/>
    <s v="09_농업전문지"/>
    <n v="1.5"/>
    <d v="2019-11-12T00:00:00"/>
  </r>
  <r>
    <n v="4884"/>
    <s v="8_국립축산과학원"/>
    <s v="0_본원"/>
    <x v="15"/>
    <s v="이상훈"/>
    <s v="보도자료103"/>
    <s v="축산과학원 가축유전자원센터 경남 함양에 ‘새둥지’"/>
    <s v="한우신문"/>
    <d v="2019-11-05T00:00:00"/>
    <n v="5"/>
    <s v="10_기타전문지"/>
    <n v="1"/>
    <d v="2019-11-12T00:00:00"/>
  </r>
  <r>
    <n v="4885"/>
    <s v="8_국립축산과학원"/>
    <s v="1_축산생명환경부"/>
    <x v="5"/>
    <s v="조수현"/>
    <m/>
    <s v="담양, 한우숙성 저지방부위 시식회"/>
    <s v="한우신문"/>
    <d v="2019-11-05T00:00:00"/>
    <n v="8"/>
    <s v="10_기타전문지"/>
    <n v="1"/>
    <d v="2019-11-12T00:00:00"/>
  </r>
  <r>
    <n v="4886"/>
    <s v="8_국립축산과학원"/>
    <s v="1_축산생명환경부"/>
    <x v="9"/>
    <s v="곽정훈"/>
    <m/>
    <s v="톱밥 5cm 두께로 이용하는게 수분증발량 가장 많아(100문 100답)"/>
    <s v="한우신문"/>
    <d v="2019-11-05T00:00:00"/>
    <n v="12"/>
    <s v="10_기타전문지"/>
    <n v="1"/>
    <d v="2019-11-12T00:00:00"/>
  </r>
  <r>
    <n v="4887"/>
    <s v="8_국립축산과학원"/>
    <s v="1_축산생명환경부"/>
    <x v="16"/>
    <s v="임다정"/>
    <s v="보도자료101"/>
    <s v="한우 성장·면역 관련 ‘유전체 각인’ 현상 규명"/>
    <s v="한우신문"/>
    <d v="2019-11-05T00:00:00"/>
    <n v="15"/>
    <s v="10_기타전문지"/>
    <n v="1"/>
    <d v="2019-11-12T00:00:00"/>
  </r>
  <r>
    <n v="4888"/>
    <s v="8_국립축산과학원"/>
    <s v="1_축산생명환경부"/>
    <x v="9"/>
    <s v="이동준"/>
    <s v="보도자료100"/>
    <s v="깔짚 수분 잘 마르도록 관리…깔짚과 살포량·교체주기 지켜야"/>
    <s v="한우신문"/>
    <d v="2019-11-05T00:00:00"/>
    <n v="15"/>
    <s v="10_기타전문지"/>
    <n v="1"/>
    <d v="2019-11-12T00:00:00"/>
  </r>
  <r>
    <n v="4889"/>
    <s v="8_국립축산과학원"/>
    <s v="2_축산자원개발부"/>
    <x v="8"/>
    <s v="김시동"/>
    <m/>
    <s v="농협, 젖소 계획교배 프로그램 개발"/>
    <s v="낙농신문"/>
    <d v="2019-11-07T00:00:00"/>
    <n v="1"/>
    <s v="10_기타전문지"/>
    <n v="1"/>
    <d v="2019-11-12T00:00:00"/>
  </r>
  <r>
    <n v="4890"/>
    <s v="8_국립축산과학원"/>
    <s v="2_축산자원개발부"/>
    <x v="6"/>
    <s v="이기원"/>
    <s v="보도자료97"/>
    <s v="초지 조성용 톨 페스큐 새 품종 개발"/>
    <s v="낙농신문"/>
    <d v="2019-11-07T00:00:00"/>
    <n v="2"/>
    <s v="10_기타전문지"/>
    <n v="1"/>
    <d v="2019-11-12T00:00:00"/>
  </r>
  <r>
    <n v="4891"/>
    <s v="8_국립축산과학원"/>
    <s v="1_축산생명환경부"/>
    <x v="9"/>
    <s v="이동준"/>
    <s v="보도자료100"/>
    <s v="퇴비사 송풍설비, 퇴비화 효율 높여야"/>
    <s v="낙농신문"/>
    <d v="2019-11-07T00:00:00"/>
    <n v="5"/>
    <s v="10_기타전문지"/>
    <n v="1"/>
    <d v="2019-11-12T00:00:00"/>
  </r>
  <r>
    <n v="4892"/>
    <s v="8_국립축산과학원"/>
    <s v="2_축산자원개발부"/>
    <x v="12"/>
    <s v="기광석"/>
    <m/>
    <s v="반추동물 생균제 효모·곰팡이 ‘효과’"/>
    <s v="낙농신문"/>
    <d v="2019-11-07T00:00:00"/>
    <n v="13"/>
    <s v="10_기타전문지"/>
    <n v="1"/>
    <d v="2019-11-12T00:00:00"/>
  </r>
  <r>
    <n v="4893"/>
    <s v="8_국립축산과학원"/>
    <s v="2_축산자원개발부"/>
    <x v="12"/>
    <s v="기광석"/>
    <m/>
    <s v="우사 내 젖소 과밀사육 상태 확인해야"/>
    <s v="낙농신문"/>
    <d v="2019-11-07T00:00:00"/>
    <n v="14"/>
    <s v="10_기타전문지"/>
    <n v="1"/>
    <d v="2019-11-12T00:00:00"/>
  </r>
  <r>
    <n v="4894"/>
    <s v="8_국립축산과학원"/>
    <s v="0_본원"/>
    <x v="14"/>
    <s v="원정일"/>
    <s v="보도자료106"/>
    <s v="‘겨울의 문턱’, 대관령은 한우도 이제 집으로"/>
    <s v="뉴스쉐어"/>
    <d v="2019-11-08T00:00:00"/>
    <m/>
    <s v="13_인터넷포털"/>
    <n v="0.1"/>
    <d v="2019-11-12T00:00:00"/>
  </r>
  <r>
    <n v="4895"/>
    <s v="8_국립축산과학원"/>
    <s v="0_본원"/>
    <x v="14"/>
    <s v="원정일"/>
    <s v="보도자료106"/>
    <s v="‘겨울의 문턱’, 대관령은 한우도 이제 집으로"/>
    <s v="우리문화신문"/>
    <d v="2019-11-11T00:00:00"/>
    <m/>
    <s v="13_인터넷포털"/>
    <n v="0.1"/>
    <d v="2019-11-12T00:00:00"/>
  </r>
  <r>
    <n v="4896"/>
    <s v="8_국립축산과학원"/>
    <s v="1_축산생명환경부"/>
    <x v="1"/>
    <s v="변승준"/>
    <s v="보도자료107"/>
    <s v="닭의 ‘페록시레독신3’ 단백질, 세포 증식 관여 첫 확인"/>
    <s v="뉴스쉐어"/>
    <d v="2019-11-12T00:00:00"/>
    <m/>
    <s v="13_인터넷포털"/>
    <n v="0.1"/>
    <d v="2019-11-12T00:00:00"/>
  </r>
  <r>
    <n v="4897"/>
    <s v="8_국립축산과학원"/>
    <s v="1_축산생명환경부"/>
    <x v="7"/>
    <s v="김기현"/>
    <m/>
    <s v="반려, 가족의 탄생 "/>
    <s v="YTN사이언스"/>
    <d v="2019-11-07T00:00:00"/>
    <m/>
    <s v="02_TV-케이블중앙"/>
    <n v="4"/>
    <d v="2019-11-13T00:00:00"/>
  </r>
  <r>
    <n v="4898"/>
    <s v="8_국립축산과학원"/>
    <s v="1_축산생명환경부"/>
    <x v="16"/>
    <s v="최봉환"/>
    <m/>
    <s v="반려, 가족의 탄생 "/>
    <s v="YTN사이언스"/>
    <d v="2019-11-07T00:00:00"/>
    <m/>
    <s v="02_TV-케이블중앙"/>
    <n v="4"/>
    <d v="2019-11-13T00:00:00"/>
  </r>
  <r>
    <n v="4899"/>
    <s v="8_국립축산과학원"/>
    <s v="1_축산생명환경부"/>
    <x v="1"/>
    <s v="변승준"/>
    <s v="보도자료107"/>
    <s v="닭의 ‘페록시레독신3’ 단백질, 세포 증식 관여 첫 확인"/>
    <s v="서울신문"/>
    <d v="2019-11-12T00:00:00"/>
    <m/>
    <s v="07_중앙일간지"/>
    <n v="5"/>
    <d v="2019-11-13T00:00:00"/>
  </r>
  <r>
    <n v="4900"/>
    <s v="8_국립축산과학원"/>
    <s v="1_축산생명환경부"/>
    <x v="1"/>
    <s v="변승준"/>
    <s v="보도자료107"/>
    <s v="농촌진흥청, “닭의 ‘페록시레독신3’ 단백질이 세포 증식 향상에 관여”"/>
    <s v="매일일보"/>
    <d v="2019-11-12T00:00:00"/>
    <m/>
    <s v="08_기타일간지"/>
    <n v="2"/>
    <d v="2019-11-13T00:00:00"/>
  </r>
  <r>
    <n v="4901"/>
    <s v="8_국립축산과학원"/>
    <s v="1_축산생명환경부"/>
    <x v="1"/>
    <s v="변승준"/>
    <s v="보도자료107"/>
    <s v="“닭의 ‘페록시레독신3’ 단백질, 세포 증식에 관여”"/>
    <s v="환경일보"/>
    <d v="2019-11-12T00:00:00"/>
    <m/>
    <s v="08_기타일간지"/>
    <n v="2"/>
    <d v="2019-11-13T00:00:00"/>
  </r>
  <r>
    <n v="4902"/>
    <s v="8_국립축산과학원"/>
    <s v="0_본원"/>
    <x v="15"/>
    <s v="이진욱"/>
    <s v="보도자료108"/>
    <s v="염소가 겨울을 건강하게 나려면?"/>
    <s v="환경일보"/>
    <d v="2019-11-13T00:00:00"/>
    <m/>
    <s v="08_기타일간지"/>
    <n v="2"/>
    <d v="2019-11-13T00:00:00"/>
  </r>
  <r>
    <n v="4903"/>
    <s v="8_국립축산과학원"/>
    <s v="2_축산자원개발부"/>
    <x v="6"/>
    <s v="이세영"/>
    <s v="보도자료105"/>
    <s v="“겨울나는 풀사료 ‘꾹꾹’ 눌러주면 ‘쑥쑥’ 늘어요”"/>
    <s v="축산신문"/>
    <d v="2019-11-12T00:00:00"/>
    <n v="16"/>
    <s v="09_농업전문지"/>
    <n v="1.5"/>
    <d v="2019-11-13T00:00:00"/>
  </r>
  <r>
    <n v="4904"/>
    <s v="8_국립축산과학원"/>
    <s v="0_본원"/>
    <x v="15"/>
    <s v="이상훈"/>
    <s v="보도자료103"/>
    <s v="축산원 가축유전자원센터, 함양 시대 ‘활짝’"/>
    <s v="축산신문"/>
    <d v="2019-11-12T00:00:00"/>
    <n v="16"/>
    <s v="09_농업전문지"/>
    <n v="1.5"/>
    <d v="2019-11-13T00:00:00"/>
  </r>
  <r>
    <n v="4905"/>
    <s v="8_국립축산과학원"/>
    <s v="0_본원"/>
    <x v="15"/>
    <s v="이상훈"/>
    <s v="보도자료103"/>
    <s v="축산과학원 가축유전자원센터 ‘함양에 새둥지’"/>
    <s v="농축환경신문"/>
    <d v="2019-11-07T00:00:00"/>
    <n v="8"/>
    <s v="09_농업전문지"/>
    <n v="1.5"/>
    <d v="2019-11-13T00:00:00"/>
  </r>
  <r>
    <n v="4906"/>
    <s v="8_국립축산과학원"/>
    <s v="2_축산자원개발부"/>
    <x v="6"/>
    <s v="천동원"/>
    <m/>
    <s v="마암한우영농법인 사일리지 품질 ‘최우수’"/>
    <s v="축산신문"/>
    <d v="2019-11-12T00:00:00"/>
    <n v="16"/>
    <s v="09_농업전문지"/>
    <n v="1.5"/>
    <d v="2019-11-13T00:00:00"/>
  </r>
  <r>
    <n v="4907"/>
    <s v="8_국립축산과학원"/>
    <s v="0_본원"/>
    <x v="14"/>
    <s v="한만희"/>
    <m/>
    <s v="‘중급육 소고기 생산 전략’ 필요"/>
    <s v="농수축산신문"/>
    <d v="2019-11-12T00:00:00"/>
    <m/>
    <s v="09_농업전문지"/>
    <n v="1.5"/>
    <d v="2019-11-13T00:00:00"/>
  </r>
  <r>
    <n v="4908"/>
    <s v="8_국립축산과학원"/>
    <s v="1_축산생명환경부"/>
    <x v="5"/>
    <s v="조수현"/>
    <m/>
    <s v="한우 건식숙성 정보 공유 ‘드라이에이징 포럼’ 개최"/>
    <s v="농수축산신문"/>
    <d v="2019-11-12T00:00:00"/>
    <m/>
    <s v="09_농업전문지"/>
    <n v="1.5"/>
    <d v="2019-11-13T00:00:00"/>
  </r>
  <r>
    <n v="4909"/>
    <s v="8_국립축산과학원"/>
    <s v="1_축산생명환경부"/>
    <x v="1"/>
    <s v="변승준"/>
    <s v="보도자료107"/>
    <s v="닭 ‘페록시레독신3’ 단백질, 세포 증식 기능 확인"/>
    <s v="농촌여성신문"/>
    <d v="2019-11-12T00:00:00"/>
    <m/>
    <s v="09_농업전문지"/>
    <n v="1.5"/>
    <d v="2019-11-13T00:00:00"/>
  </r>
  <r>
    <n v="4910"/>
    <s v="8_국립축산과학원"/>
    <s v="1_축산생명환경부"/>
    <x v="1"/>
    <s v="변승준"/>
    <s v="보도자료107"/>
    <s v="농진청, 닭 ‘페록시레독신3’ 단백질, 세포증식 관여 첫 확인"/>
    <s v="새만금일보"/>
    <d v="2019-11-12T00:00:00"/>
    <n v="6"/>
    <s v="09_지방일간지"/>
    <n v="1.5"/>
    <d v="2019-11-13T00:00:00"/>
  </r>
  <r>
    <n v="4911"/>
    <s v="8_국립축산과학원"/>
    <s v="1_축산생명환경부"/>
    <x v="1"/>
    <s v="변승준"/>
    <s v="보도자료107"/>
    <s v="닭 ‘페록시레독신3’ 단백질, 세포 증식 관여 첫 확인"/>
    <s v="식약일보"/>
    <d v="2019-11-12T00:00:00"/>
    <m/>
    <s v="10_기타전문지"/>
    <n v="1"/>
    <d v="2019-11-13T00:00:00"/>
  </r>
  <r>
    <n v="4912"/>
    <s v="8_국립축산과학원"/>
    <s v="0_본원"/>
    <x v="11"/>
    <s v="양병준"/>
    <m/>
    <s v="한국에너지대상, 에너지효율·신재생 유공자 포상"/>
    <s v="이투뉴스"/>
    <d v="2019-11-13T00:00:00"/>
    <m/>
    <s v="10_기타전문지"/>
    <n v="1"/>
    <d v="2019-11-13T00:00:00"/>
  </r>
  <r>
    <n v="4913"/>
    <s v="8_국립축산과학원"/>
    <s v="1_축산생명환경부"/>
    <x v="1"/>
    <s v="변승준"/>
    <s v="보도자료107"/>
    <s v="닭 페록시레독신3 단백질 세포 증식 향상 기능 확인"/>
    <s v="농업경제신문"/>
    <d v="2019-11-13T00:00:00"/>
    <m/>
    <s v="13_인터넷포털"/>
    <n v="0.1"/>
    <d v="2019-11-13T00:00:00"/>
  </r>
  <r>
    <n v="4914"/>
    <s v="8_국립축산과학원"/>
    <s v="0_본원"/>
    <x v="11"/>
    <s v="양병준"/>
    <m/>
    <s v="에너지대상...동탑훈장에 ‘나라컨트롤 문성주 대표’"/>
    <s v="지앤이타임즈"/>
    <d v="2019-11-12T00:00:00"/>
    <m/>
    <s v="13_인터넷포털"/>
    <n v="0.1"/>
    <d v="2019-11-13T00:00:00"/>
  </r>
  <r>
    <n v="4915"/>
    <s v="8_국립축산과학원"/>
    <s v="1_축산생명환경부"/>
    <x v="1"/>
    <s v="변승준"/>
    <s v="보도자료107"/>
    <s v="농진청, 닭의 ‘페록시레독신3’ 단백질, 세포 증식 관여 첫 확인"/>
    <s v="KNS뉴스통신"/>
    <d v="2019-11-12T00:00:00"/>
    <m/>
    <s v="13_인터넷포털"/>
    <n v="0.1"/>
    <d v="2019-11-13T00:00:00"/>
  </r>
  <r>
    <n v="4916"/>
    <s v="8_국립축산과학원"/>
    <s v="1_축산생명환경부"/>
    <x v="1"/>
    <s v="변승준"/>
    <s v="보도자료107"/>
    <s v="닭의 ‘페록시레독신3’ 단백질, 세포 증식 관여 첫 확인"/>
    <s v="땡큐굿뉴스"/>
    <d v="2019-11-12T00:00:00"/>
    <m/>
    <s v="13_인터넷포털"/>
    <n v="0.1"/>
    <d v="2019-11-13T00:00:00"/>
  </r>
  <r>
    <n v="4917"/>
    <s v="8_국립축산과학원"/>
    <s v="0_본원"/>
    <x v="10"/>
    <s v="우제훈"/>
    <s v="보도자료92"/>
    <s v="이런 방법이 한라산 식물 위협한 제주조릿대, 이것으로 해결"/>
    <s v="네이버팜"/>
    <d v="2019-10-05T00:00:00"/>
    <m/>
    <s v="25_네이버팜(텍스트 콘텐츠 포스팅)"/>
    <n v="3"/>
    <d v="2019-11-14T00:00:00"/>
  </r>
  <r>
    <n v="4918"/>
    <s v="8_국립축산과학원"/>
    <s v="2_축산자원개발부"/>
    <x v="0"/>
    <s v="홍준기"/>
    <s v="보도자료93"/>
    <s v="양돈농가 유전체 정보 활용으로 우수한 씨돼지 선발 쉬워진다"/>
    <s v="네이버팜"/>
    <d v="2019-10-10T00:00:00"/>
    <m/>
    <s v="25_네이버팜(텍스트 콘텐츠 포스팅)"/>
    <n v="3"/>
    <d v="2019-11-14T00:00:00"/>
  </r>
  <r>
    <n v="4919"/>
    <s v="8_국립축산과학원"/>
    <s v="0_본원"/>
    <x v="10"/>
    <s v="김남영"/>
    <m/>
    <s v="몬딱 좋은 게 마씀(모두 좋다)! 이 가을 신나게 달리馬"/>
    <s v="네이버팜"/>
    <d v="2019-10-18T00:00:00"/>
    <m/>
    <s v="25_네이버팜(텍스트 콘텐츠 포스팅)"/>
    <n v="3"/>
    <d v="2019-11-14T00:00:00"/>
  </r>
  <r>
    <n v="4920"/>
    <s v="8_국립축산과학원"/>
    <s v="1_축산생명환경부"/>
    <x v="1"/>
    <s v="변승준"/>
    <s v="보도자료107"/>
    <s v="닭 ‘페록시레독신3’ 단백질…세포 증식 관여 첫 확인"/>
    <s v="농축유통신문"/>
    <d v="2019-11-14T00:00:00"/>
    <m/>
    <s v="09_농업전문지"/>
    <n v="1.5"/>
    <d v="2019-11-14T00:00:00"/>
  </r>
  <r>
    <n v="4921"/>
    <s v="8_국립축산과학원"/>
    <s v="0_본원"/>
    <x v="4"/>
    <s v="조용민"/>
    <m/>
    <s v="‘양계 명가’ 전북, 국산종자 생산 주도해야"/>
    <s v="전북일보"/>
    <d v="2019-11-13T00:00:00"/>
    <m/>
    <s v="09_지방일간지"/>
    <n v="1.5"/>
    <d v="2019-11-14T00:00:00"/>
  </r>
  <r>
    <n v="4922"/>
    <s v="8_국립축산과학원"/>
    <s v="0_본원"/>
    <x v="2"/>
    <s v="양창범"/>
    <m/>
    <s v="중소가축 활용 동물농장 페스티벌 개최"/>
    <s v="위클리오늘"/>
    <d v="2019-11-14T00:00:00"/>
    <m/>
    <s v="10_주간지"/>
    <n v="1"/>
    <d v="2019-11-14T00:00:00"/>
  </r>
  <r>
    <n v="4923"/>
    <s v="8_국립축산과학원"/>
    <s v="1_축산생명환경부"/>
    <x v="1"/>
    <s v="변승준"/>
    <s v="보도자료107"/>
    <s v="닭의 ‘페록시레독신3’ 단백질, 세포 증식 관여 첫 확인"/>
    <s v="정책브리핑"/>
    <d v="2019-11-12T00:00:00"/>
    <m/>
    <s v="12_대한민국 정책포털(korea.kr)"/>
    <n v="1"/>
    <d v="2019-11-14T00:00:00"/>
  </r>
  <r>
    <n v="4924"/>
    <s v="8_국립축산과학원"/>
    <s v="0_본원"/>
    <x v="15"/>
    <s v="이진욱"/>
    <s v="보도자료108"/>
    <s v="염소가 겨울을 건강하게 나려면?"/>
    <s v="정책브리핑"/>
    <d v="2019-11-14T00:00:00"/>
    <m/>
    <s v="12_대한민국 정책포털(korea.kr)"/>
    <n v="1"/>
    <d v="2019-11-14T00:00:00"/>
  </r>
  <r>
    <n v="4925"/>
    <s v="8_국립축산과학원"/>
    <s v="0_본원"/>
    <x v="15"/>
    <s v="이진욱"/>
    <s v="보도자료108"/>
    <s v="염소 건강한 겨울나기?"/>
    <s v="식약일보"/>
    <d v="2019-11-14T00:00:00"/>
    <m/>
    <s v="10_기타전문지"/>
    <n v="1"/>
    <d v="2019-11-14T00:00:00"/>
  </r>
  <r>
    <n v="4926"/>
    <s v="8_국립축산과학원"/>
    <s v="0_본원"/>
    <x v="15"/>
    <s v="이진욱"/>
    <s v="보도자료108"/>
    <s v="염소가 겨울을 건강하게 나려면?"/>
    <s v="서울Pn"/>
    <d v="2019-11-14T00:00:00"/>
    <m/>
    <s v="13_인터넷포털"/>
    <n v="0.1"/>
    <d v="2019-11-14T00:00:00"/>
  </r>
  <r>
    <n v="4927"/>
    <s v="8_국립축산과학원"/>
    <s v="0_본원"/>
    <x v="2"/>
    <s v="양창범"/>
    <m/>
    <s v="중소가축 활용 동물농장 페스티벌 개최"/>
    <s v="피디언"/>
    <d v="2019-11-14T00:00:00"/>
    <m/>
    <s v="13_인터넷포털"/>
    <n v="0.1"/>
    <d v="2019-11-14T00:00:00"/>
  </r>
  <r>
    <n v="4928"/>
    <s v="8_국립축산과학원"/>
    <s v="0_본원"/>
    <x v="2"/>
    <s v="양창범"/>
    <m/>
    <s v="중소가축 활용 동물농장 페스티벌 개최"/>
    <s v="케이에스피뉴스"/>
    <d v="2019-11-14T00:00:00"/>
    <m/>
    <s v="13_인터넷포털"/>
    <n v="0.1"/>
    <d v="2019-11-14T00:00:00"/>
  </r>
  <r>
    <n v="4929"/>
    <s v="8_국립축산과학원"/>
    <s v="0_본원"/>
    <x v="2"/>
    <s v="김용민"/>
    <m/>
    <s v="국산흑돼지부터 재활로봇까지..'서비스혁신' 공유(‘대한뉴스’)"/>
    <s v="KTV"/>
    <d v="2019-11-13T00:00:00"/>
    <m/>
    <s v="02_TV-케이블중앙"/>
    <n v="4"/>
    <d v="2019-11-15T00:00:00"/>
  </r>
  <r>
    <n v="4930"/>
    <s v="8_국립축산과학원"/>
    <s v="0_본원"/>
    <x v="15"/>
    <s v="이진욱"/>
    <s v="보도자료108"/>
    <s v="염소가 겨울을 건강하게 나려면?"/>
    <s v="서울신문"/>
    <d v="2019-11-14T00:00:00"/>
    <m/>
    <s v="07_중앙일간지"/>
    <n v="5"/>
    <d v="2019-11-15T00:00:00"/>
  </r>
  <r>
    <n v="4931"/>
    <s v="8_국립축산과학원"/>
    <s v="0_본원"/>
    <x v="15"/>
    <s v="이진욱"/>
    <s v="보도자료108"/>
    <s v="농촌진흥청, 겨울철 염소 농가의 피해 예방을 위한 축사 관리 유의 당부"/>
    <s v="매일일보"/>
    <d v="2019-11-14T00:00:00"/>
    <m/>
    <s v="08_기타일간지"/>
    <n v="2"/>
    <d v="2019-11-15T00:00:00"/>
  </r>
  <r>
    <n v="4932"/>
    <s v="8_국립축산과학원"/>
    <s v="0_본원"/>
    <x v="15"/>
    <s v="이진욱"/>
    <s v="보도자료108"/>
    <s v="“겨울철 염소 사육, 사료 10% 이상 더 먹여야”"/>
    <s v="전민일보"/>
    <d v="2019-11-14T00:00:00"/>
    <n v="5"/>
    <s v="09_지방일간지"/>
    <n v="1.5"/>
    <d v="2019-11-15T00:00:00"/>
  </r>
  <r>
    <n v="4933"/>
    <s v="8_국립축산과학원"/>
    <s v="0_본원"/>
    <x v="15"/>
    <s v="이상훈"/>
    <s v="보도자료103"/>
    <s v="축산과학원 가축유전자원센터 경남 함양에 ‘새둥지’"/>
    <s v="한국양돈신문"/>
    <d v="2019-11-12T00:00:00"/>
    <n v="15"/>
    <s v="10_기타전문지"/>
    <n v="1"/>
    <d v="2019-11-15T00:00:00"/>
  </r>
  <r>
    <n v="4934"/>
    <s v="8_국립축산과학원"/>
    <s v="2_축산자원개발부"/>
    <x v="0"/>
    <s v="김두완"/>
    <s v="보도자료104"/>
    <s v="주변 울타리 살피고 소독장비 얼지 않게 관리해야"/>
    <s v="한국양돈신문"/>
    <d v="2019-11-12T00:00:00"/>
    <n v="15"/>
    <s v="10_기타전문지"/>
    <n v="1"/>
    <d v="2019-11-15T00:00:00"/>
  </r>
  <r>
    <n v="4935"/>
    <s v="8_국립축산과학원"/>
    <s v="2_축산자원개발부"/>
    <x v="6"/>
    <s v="천동원"/>
    <m/>
    <s v="경주시 신품종 사료작물 품종별 비교 전시포장 조성"/>
    <s v="위클리오늘"/>
    <d v="2019-11-15T00:00:00"/>
    <m/>
    <s v="10_주간지"/>
    <n v="1"/>
    <d v="2019-11-15T00:00:00"/>
  </r>
  <r>
    <n v="4936"/>
    <s v="8_국립축산과학원"/>
    <s v="0_본원"/>
    <x v="15"/>
    <s v="이진욱"/>
    <s v="보도자료108"/>
    <s v="겨울철 염소 농가의 축사 환경과 사양관리"/>
    <s v="농업경제신문"/>
    <d v="2019-11-15T00:00:00"/>
    <m/>
    <s v="13_인터넷포털"/>
    <n v="0.1"/>
    <d v="2019-11-15T00:00:00"/>
  </r>
  <r>
    <n v="4937"/>
    <s v="8_국립축산과학원"/>
    <s v="0_본원"/>
    <x v="15"/>
    <s v="이진욱"/>
    <s v="보도자료108"/>
    <s v="염소가 겨울을 건강하게 나려면?"/>
    <s v="한국농업인신문"/>
    <d v="2019-11-14T00:00:00"/>
    <m/>
    <s v="13_인터넷포털"/>
    <n v="0.1"/>
    <d v="2019-11-15T00:00:00"/>
  </r>
  <r>
    <n v="4938"/>
    <s v="8_국립축산과학원"/>
    <s v="2_축산자원개발부"/>
    <x v="6"/>
    <s v="천동원"/>
    <m/>
    <s v="경주시 신품종 사료작물 품종별 비교 전시포장 조성"/>
    <s v="드림저널"/>
    <d v="2019-11-15T00:00:00"/>
    <m/>
    <s v="13_인터넷포털"/>
    <n v="0.1"/>
    <d v="2019-11-15T00:00:00"/>
  </r>
  <r>
    <n v="4939"/>
    <s v="8_국립축산과학원"/>
    <s v="2_축산자원개발부"/>
    <x v="6"/>
    <s v="천동원"/>
    <m/>
    <s v="경주농기센터, 신품종 사료작물 품종별 비교 전시포장 조성"/>
    <s v="동양뉴스통신"/>
    <d v="2019-11-15T00:00:00"/>
    <m/>
    <s v="13_인터넷포털"/>
    <n v="0.1"/>
    <d v="2019-11-15T00:00:00"/>
  </r>
  <r>
    <n v="4940"/>
    <s v="8_국립축산과학원"/>
    <s v="2_축산자원개발부"/>
    <x v="6"/>
    <s v="천동원"/>
    <m/>
    <s v="경주시, 신품종 사료작물 품종별 비교 전시포장 조성"/>
    <s v="CBN뉴스"/>
    <d v="2019-11-15T00:00:00"/>
    <m/>
    <s v="13_인터넷포털"/>
    <n v="0.1"/>
    <d v="2019-11-15T00:00:00"/>
  </r>
  <r>
    <n v="4941"/>
    <s v="8_국립축산과학원"/>
    <s v="2_축산자원개발부"/>
    <x v="6"/>
    <s v="천동원"/>
    <m/>
    <s v="경주시 신품종 사료작물 품종별 비교 전시포장 조성"/>
    <s v="경인투데이뉴스"/>
    <d v="2019-11-15T00:00:00"/>
    <m/>
    <s v="13_인터넷포털"/>
    <n v="0.1"/>
    <d v="2019-11-15T00:00:00"/>
  </r>
  <r>
    <n v="4942"/>
    <s v="8_국립축산과학원"/>
    <s v="2_축산자원개발부"/>
    <x v="6"/>
    <s v="천동원"/>
    <m/>
    <s v="경주시 신품종 사료작물 품종별 비교 전시포장 조성"/>
    <s v="케이에스피뉴스"/>
    <d v="2019-11-15T00:00:00"/>
    <m/>
    <s v="13_인터넷포털"/>
    <n v="0.1"/>
    <d v="2019-11-15T00:00:00"/>
  </r>
  <r>
    <n v="4943"/>
    <s v="8_국립축산과학원"/>
    <s v="1_축산생명환경부"/>
    <x v="5"/>
    <s v="김진형"/>
    <m/>
    <s v="부위별로 다 맛있는 돼지고기의 효능"/>
    <s v="포커스데일리"/>
    <d v="2019-11-15T00:00:00"/>
    <m/>
    <s v="13_인터넷포털"/>
    <n v="0.1"/>
    <d v="2019-11-15T00:00:00"/>
  </r>
  <r>
    <n v="4944"/>
    <s v="8_국립축산과학원"/>
    <s v="2_축산자원개발부"/>
    <x v="6"/>
    <s v="최기춘"/>
    <s v="기고"/>
    <s v="[기고] 최기춘 연구관-담근 먹이, 비닐 감는 횟수와 미생물 첨가제가 중요하다"/>
    <s v="농수축산신문"/>
    <d v="2019-11-15T00:00:00"/>
    <n v="8"/>
    <s v="17_농업전문지"/>
    <n v="8"/>
    <d v="2019-11-18T00:00:00"/>
  </r>
  <r>
    <n v="4945"/>
    <s v="8_국립축산과학원"/>
    <s v="0_본원"/>
    <x v="4"/>
    <s v="강보석"/>
    <s v="기고"/>
    <s v="[기고] 강보석 연구관-AI 잠잠하지만 방심 금물 기본에 충실한 관리 요구"/>
    <s v="축산신문"/>
    <d v="2019-11-15T00:00:00"/>
    <n v="1"/>
    <s v="17_농업전문지"/>
    <n v="8"/>
    <d v="2019-11-18T00:00:00"/>
  </r>
  <r>
    <n v="4946"/>
    <s v="8_국립축산과학원"/>
    <s v="0_본원"/>
    <x v="13"/>
    <s v="오형규"/>
    <m/>
    <s v="“AI가 소도 키워요”"/>
    <s v="경향신문"/>
    <d v="2019-11-17T00:00:00"/>
    <m/>
    <s v="07_중앙일간지"/>
    <n v="5"/>
    <d v="2019-11-18T00:00:00"/>
  </r>
  <r>
    <n v="4947"/>
    <s v="8_국립축산과학원"/>
    <s v="2_축산자원개발부"/>
    <x v="6"/>
    <s v="천동원"/>
    <m/>
    <s v="신품종 사료작물 품종별 비교 전시포장 조성"/>
    <s v="환경일보"/>
    <d v="2019-11-15T00:00:00"/>
    <m/>
    <s v="08_기타일간지"/>
    <n v="2"/>
    <d v="2019-11-18T00:00:00"/>
  </r>
  <r>
    <n v="4948"/>
    <s v="8_국립축산과학원"/>
    <s v="2_축산자원개발부"/>
    <x v="6"/>
    <s v="천동원"/>
    <m/>
    <s v="경주, 신품종 사료작물 품종별 비교 전시포장 조성"/>
    <s v="신아일보"/>
    <d v="2019-11-17T00:00:00"/>
    <m/>
    <s v="08_기타일간지"/>
    <n v="2"/>
    <d v="2019-11-18T00:00:00"/>
  </r>
  <r>
    <n v="4949"/>
    <s v="8_국립축산과학원"/>
    <s v="2_축산자원개발부"/>
    <x v="6"/>
    <s v="천동원"/>
    <m/>
    <s v="경주시, 신품종 사료작물 품종별 비교 전시포장 조성"/>
    <s v="스포츠서울"/>
    <d v="2019-11-18T00:00:00"/>
    <m/>
    <s v="08_스포츠신문"/>
    <n v="2"/>
    <d v="2019-11-18T00:00:00"/>
  </r>
  <r>
    <n v="4950"/>
    <s v="8_국립축산과학원"/>
    <s v="1_축산생명환경부"/>
    <x v="1"/>
    <s v="변승준"/>
    <s v="보도자료107"/>
    <s v="닭 PRDX3 단백질, 세포 증식 관여 첫 확인"/>
    <s v="축산신문"/>
    <d v="2019-11-15T00:00:00"/>
    <n v="2"/>
    <s v="09_농업전문지"/>
    <n v="1.5"/>
    <d v="2019-11-18T00:00:00"/>
  </r>
  <r>
    <n v="4951"/>
    <s v="8_국립축산과학원"/>
    <s v="2_축산자원개발부"/>
    <x v="6"/>
    <s v="천동원"/>
    <m/>
    <s v="경주시, 신품종 사료작물 품종별 비교 전시포장 조성"/>
    <s v="경북신문"/>
    <d v="2019-11-17T00:00:00"/>
    <m/>
    <s v="09_지방일간지"/>
    <n v="1.5"/>
    <d v="2019-11-18T00:00:00"/>
  </r>
  <r>
    <n v="4952"/>
    <s v="8_국립축산과학원"/>
    <s v="2_축산자원개발부"/>
    <x v="6"/>
    <s v="천동원"/>
    <m/>
    <s v="경주시 신품종 사료작물 품종별 비교 전시포장 조성"/>
    <s v="대경일보"/>
    <d v="2019-11-17T00:00:00"/>
    <m/>
    <s v="09_지방일간지"/>
    <n v="1.5"/>
    <d v="2019-11-18T00:00:00"/>
  </r>
  <r>
    <n v="4953"/>
    <s v="8_국립축산과학원"/>
    <s v="0_본원"/>
    <x v="15"/>
    <s v="이진욱"/>
    <s v="보도자료108"/>
    <s v="염소가 겨울을 건강하게 나려면?"/>
    <s v="전북도민일보"/>
    <d v="2019-11-13T00:00:00"/>
    <m/>
    <s v="09_지방일간지"/>
    <n v="1.5"/>
    <d v="2019-11-18T00:00:00"/>
  </r>
  <r>
    <n v="4954"/>
    <s v="8_국립축산과학원"/>
    <s v="2_축산자원개발부"/>
    <x v="6"/>
    <s v="천동원"/>
    <m/>
    <s v="경주시, 신품종 사료작물 품종별 비교 전시포장 조성"/>
    <s v="뉴스웨이"/>
    <d v="2019-11-16T00:00:00"/>
    <m/>
    <s v="10_주간지"/>
    <n v="1"/>
    <d v="2019-11-18T00:00:00"/>
  </r>
  <r>
    <n v="4955"/>
    <s v="8_국립축산과학원"/>
    <s v="2_축산자원개발부"/>
    <x v="6"/>
    <s v="천동원"/>
    <m/>
    <s v="경주시 신품종 사료작물 품종별 비교 전시포장 조성"/>
    <s v="대한뉴스"/>
    <d v="2019-11-16T00:00:00"/>
    <m/>
    <s v="10_기타월간지"/>
    <n v="1"/>
    <d v="2019-11-18T00:00:00"/>
  </r>
  <r>
    <n v="4956"/>
    <s v="8_국립축산과학원"/>
    <s v="2_축산자원개발부"/>
    <x v="6"/>
    <s v="천동원"/>
    <m/>
    <s v="경주시농업기술센터, 신품종 사료작물 품종별 비교 전시포장 조성"/>
    <s v="일요서울"/>
    <d v="2019-11-17T00:00:00"/>
    <m/>
    <s v="10_주간지"/>
    <n v="1"/>
    <d v="2019-11-18T00:00:00"/>
  </r>
  <r>
    <n v="4957"/>
    <s v="8_국립축산과학원"/>
    <s v="0_본원"/>
    <x v="13"/>
    <s v="유지현"/>
    <m/>
    <s v="토끼야 안녕 ‘동물교감교육 성과 공유회 개최’"/>
    <s v="위클리오늘"/>
    <d v="2019-11-18T00:00:00"/>
    <m/>
    <s v="10_주간지"/>
    <n v="1"/>
    <d v="2019-11-18T00:00:00"/>
  </r>
  <r>
    <n v="4958"/>
    <s v="8_국립축산과학원"/>
    <s v="0_본원"/>
    <x v="13"/>
    <s v="유지현"/>
    <m/>
    <s v="동물교감교육 성과 공유 페스티벌"/>
    <s v="대구경북일보"/>
    <d v="2019-11-15T00:00:00"/>
    <n v="8"/>
    <s v="11_기타(지역주간지)"/>
    <n v="0.5"/>
    <d v="2019-11-18T00:00:00"/>
  </r>
  <r>
    <n v="4959"/>
    <s v="8_국립축산과학원"/>
    <s v="2_축산자원개발부"/>
    <x v="6"/>
    <s v="천동원"/>
    <m/>
    <s v="경주시 신품종 사료작물 품종별 비교 전시포장 조성"/>
    <s v="GBN경북방송"/>
    <d v="2019-11-16T00:00:00"/>
    <m/>
    <s v="13_인터넷포털"/>
    <n v="0.1"/>
    <d v="2019-11-18T00:00:00"/>
  </r>
  <r>
    <n v="4960"/>
    <s v="8_국립축산과학원"/>
    <s v="0_본원"/>
    <x v="13"/>
    <s v="유지현"/>
    <m/>
    <s v="중소가축 활용 동물교감교육 운영"/>
    <s v="투데이안"/>
    <d v="2019-11-18T00:00:00"/>
    <m/>
    <s v="13_인터넷포털"/>
    <n v="0.1"/>
    <d v="2019-11-18T00:00:00"/>
  </r>
  <r>
    <n v="4961"/>
    <s v="8_국립축산과학원"/>
    <s v="0_본원"/>
    <x v="13"/>
    <s v="유지현"/>
    <m/>
    <s v="토끼야 안녕 ‘동물교감교육 성과 공유회 개최’"/>
    <s v="케이에스피뉴스"/>
    <d v="2019-11-18T00:00:00"/>
    <m/>
    <s v="13_인터넷포털"/>
    <n v="0.1"/>
    <d v="2019-11-18T00:00:00"/>
  </r>
  <r>
    <n v="4962"/>
    <s v="8_국립축산과학원"/>
    <s v="0_본원"/>
    <x v="13"/>
    <s v="유지현"/>
    <m/>
    <s v="토끼야 안녕 ‘동물교감교육 성과 공유회 개최’"/>
    <s v="업코리아"/>
    <d v="2019-11-18T00:00:00"/>
    <m/>
    <s v="13_인터넷포털"/>
    <n v="0.1"/>
    <d v="2019-11-18T00:00:00"/>
  </r>
  <r>
    <n v="4963"/>
    <s v="8_국립축산과학원"/>
    <s v="0_본원"/>
    <x v="13"/>
    <s v="유지현"/>
    <m/>
    <s v="국립축산과학원, 김제 청아초교서 동물교감교육 성과 공유회"/>
    <s v="뉴시스"/>
    <d v="2019-11-18T00:00:00"/>
    <m/>
    <s v="07_중앙일간지"/>
    <n v="5"/>
    <d v="2019-11-19T00:00:00"/>
  </r>
  <r>
    <n v="4964"/>
    <s v="8_국립축산과학원"/>
    <s v="0_본원"/>
    <x v="2"/>
    <s v="이준엽"/>
    <m/>
    <s v="축산원, 행안부장관상 수상"/>
    <s v="축산신문"/>
    <d v="2019-11-15T00:00:00"/>
    <m/>
    <s v="09_농업전문지"/>
    <n v="1.5"/>
    <d v="2019-11-19T00:00:00"/>
  </r>
  <r>
    <n v="4965"/>
    <s v="8_국립축산과학원"/>
    <s v="0_본원"/>
    <x v="14"/>
    <s v="장선식"/>
    <s v="보도자료109"/>
    <s v="겨울철 한우관리, 단계별로 관리 하세요"/>
    <s v="농축유통신문"/>
    <d v="2019-11-19T00:00:00"/>
    <m/>
    <s v="09_농업전문지"/>
    <n v="1.5"/>
    <d v="2019-11-19T00:00:00"/>
  </r>
  <r>
    <n v="4966"/>
    <s v="8_국립축산과학원"/>
    <s v="0_본원"/>
    <x v="13"/>
    <s v="유지현"/>
    <m/>
    <s v="김제시, 토끼야 안녕! 동물교감교육"/>
    <s v="팜&amp;마켓매거진"/>
    <d v="2019-11-19T00:00:00"/>
    <m/>
    <s v="09_농업전문지"/>
    <n v="1.5"/>
    <d v="2019-11-19T00:00:00"/>
  </r>
  <r>
    <n v="4967"/>
    <s v="8_국립축산과학원"/>
    <s v="0_본원"/>
    <x v="13"/>
    <s v="유지현"/>
    <m/>
    <s v="김제시농업기술센터 동물교감교육 성과 공유회 개최"/>
    <s v="전북도민일보"/>
    <d v="2019-11-18T00:00:00"/>
    <m/>
    <s v="09_지방일간지"/>
    <n v="1.5"/>
    <d v="2019-11-19T00:00:00"/>
  </r>
  <r>
    <n v="4968"/>
    <s v="8_국립축산과학원"/>
    <s v="0_본원"/>
    <x v="15"/>
    <s v="이상훈"/>
    <s v="보도자료103"/>
    <s v="토종 가축유전자원의 보고 ‘축산과학원 가축유전자원센터’, 함양으로 이전 완료"/>
    <s v="돼지와사람"/>
    <d v="2019-11-04T00:00:00"/>
    <m/>
    <s v="13_인터넷포털"/>
    <n v="0.1"/>
    <d v="2019-11-19T00:00:00"/>
  </r>
  <r>
    <n v="4969"/>
    <s v="8_국립축산과학원"/>
    <s v="0_본원"/>
    <x v="14"/>
    <s v="장선식"/>
    <s v="보도자료109"/>
    <s v="송아지 배 따뜻하게... 육성우 습도조절로 버짐 예방"/>
    <s v="완주신문"/>
    <d v="2019-11-19T00:00:00"/>
    <m/>
    <s v="13_인터넷포털"/>
    <n v="0.1"/>
    <d v="2019-11-19T00:00:00"/>
  </r>
  <r>
    <n v="4970"/>
    <s v="8_국립축산과학원"/>
    <s v="0_본원"/>
    <x v="15"/>
    <s v="이상훈"/>
    <s v="보도자료103"/>
    <s v="국립축산과학원 가축유전자원센터 “함양 시대”"/>
    <s v="경남미디어"/>
    <d v="2019-11-08T00:00:00"/>
    <m/>
    <s v="13_인터넷포털"/>
    <n v="0.1"/>
    <d v="2019-11-19T00:00:00"/>
  </r>
  <r>
    <n v="4971"/>
    <s v="8_국립축산과학원"/>
    <s v="0_본원"/>
    <x v="13"/>
    <s v="유지현"/>
    <m/>
    <s v="토끼야 안녕 ‘동물교감교육 성과 공유회 개최’"/>
    <s v="더코리아뉴스"/>
    <d v="2019-11-18T00:00:00"/>
    <m/>
    <s v="13_인터넷포털"/>
    <n v="0.1"/>
    <d v="2019-11-19T00:00:00"/>
  </r>
  <r>
    <n v="4972"/>
    <s v="8_국립축산과학원"/>
    <s v="0_본원"/>
    <x v="14"/>
    <s v="장선식"/>
    <s v="보도자료109"/>
    <s v="“음~매 추워”...농진청, 한우 사육단계별 관리방법 제시"/>
    <s v="프레시안"/>
    <d v="2019-11-19T00:00:00"/>
    <m/>
    <s v="13_인터넷포털"/>
    <n v="0.1"/>
    <d v="2019-11-19T00:00:00"/>
  </r>
  <r>
    <n v="4973"/>
    <s v="8_국립축산과학원"/>
    <s v="0_본원"/>
    <x v="14"/>
    <s v="원정일"/>
    <s v="보도자료106"/>
    <s v="겨울 채비 한우연구소 우공들 ‘집으로’"/>
    <s v="축산신문"/>
    <d v="2019-11-19T00:00:00"/>
    <n v="1"/>
    <s v="09_농업전문지"/>
    <n v="1.5"/>
    <d v="2019-11-20T00:00:00"/>
  </r>
  <r>
    <n v="4974"/>
    <s v="8_국립축산과학원"/>
    <s v="0_본원"/>
    <x v="14"/>
    <s v="원정일"/>
    <s v="보도자료106"/>
    <s v="‘겨울의 문턱’엔 대관령 한우도 이제 집으로"/>
    <s v="한국영농신문"/>
    <d v="2019-11-18T00:00:00"/>
    <n v="4"/>
    <s v="09_농업전문지"/>
    <n v="1.5"/>
    <d v="2019-11-20T00:00:00"/>
  </r>
  <r>
    <n v="4975"/>
    <s v="8_국립축산과학원"/>
    <s v="0_본원"/>
    <x v="2"/>
    <s v="이준엽"/>
    <m/>
    <s v="난축맛돈·우리흑돈, 로열티 절감 기여 축산원, 행안부장관상 수상"/>
    <s v="축산신문"/>
    <d v="2019-11-19T00:00:00"/>
    <n v="2"/>
    <s v="09_농업전문지"/>
    <n v="1.5"/>
    <d v="2019-11-20T00:00:00"/>
  </r>
  <r>
    <n v="4976"/>
    <s v="8_국립축산과학원"/>
    <s v="1_축산생명환경부"/>
    <x v="1"/>
    <s v="변승준"/>
    <s v="보도자료107"/>
    <s v="닭 페록시레독신3, 단백질 세포증식 향상 기능 입증"/>
    <s v="농수축산신문"/>
    <d v="2019-11-19T00:00:00"/>
    <m/>
    <s v="09_농업전문지"/>
    <n v="1.5"/>
    <d v="2019-11-20T00:00:00"/>
  </r>
  <r>
    <n v="4977"/>
    <s v="8_국립축산과학원"/>
    <s v="0_본원"/>
    <x v="13"/>
    <s v="유지현"/>
    <m/>
    <s v="중소가축 활용 동물교감교육 운영"/>
    <s v="전라매일"/>
    <d v="2019-11-19T00:00:00"/>
    <n v="11"/>
    <s v="09_지방일간지"/>
    <n v="1.5"/>
    <d v="2019-11-20T00:00:00"/>
  </r>
  <r>
    <n v="4978"/>
    <s v="8_국립축산과학원"/>
    <s v="0_본원"/>
    <x v="13"/>
    <s v="유지현"/>
    <m/>
    <s v="김제시농기센터 동물교감교육 성과 공유회"/>
    <s v="전북도민일보"/>
    <d v="2019-11-19T00:00:00"/>
    <n v="7"/>
    <s v="09_지방일간지"/>
    <n v="1.5"/>
    <d v="2019-11-20T00:00:00"/>
  </r>
  <r>
    <n v="4979"/>
    <s v="8_국립축산과학원"/>
    <s v="0_본원"/>
    <x v="14"/>
    <s v="장선식"/>
    <s v="보도자료109"/>
    <s v="겨울철 한우 사육 단계별 관리 방법 제시"/>
    <s v="정책브리핑"/>
    <d v="2019-11-20T00:00:00"/>
    <m/>
    <s v="12_대한민국 정책포털(korea.kr)"/>
    <n v="1"/>
    <d v="2019-11-20T00:00:00"/>
  </r>
  <r>
    <n v="4980"/>
    <s v="8_국립축산과학원"/>
    <s v="0_본원"/>
    <x v="14"/>
    <s v="장선식"/>
    <s v="보도자료109"/>
    <s v="겨울철 한우 사육 단계별 관리 요령 제시!"/>
    <s v="더코리아뉴스"/>
    <d v="2019-11-20T00:00:00"/>
    <m/>
    <s v="13_인터넷포털"/>
    <n v="0.1"/>
    <d v="2019-11-20T00:00:00"/>
  </r>
  <r>
    <n v="4981"/>
    <s v="8_국립축산과학원"/>
    <s v="0_본원"/>
    <x v="14"/>
    <s v="장선식"/>
    <s v="보도자료109"/>
    <s v="겨울철 한우 사육 단계별 관리 방법 제시"/>
    <s v="서울Pn"/>
    <d v="2019-11-20T00:00:00"/>
    <m/>
    <s v="13_인터넷포털"/>
    <n v="0.1"/>
    <d v="2019-11-20T00:00:00"/>
  </r>
  <r>
    <n v="4982"/>
    <s v="8_국립축산과학원"/>
    <s v="0_본원"/>
    <x v="15"/>
    <s v="이진욱"/>
    <s v="보도자료108"/>
    <s v="농진청, 겨울철 염소 농가의 축사 환경과 사양관리 유의 당부"/>
    <s v="KNS뉴스통신"/>
    <d v="2019-11-14T00:00:00"/>
    <m/>
    <s v="13_인터넷포털"/>
    <n v="0.1"/>
    <d v="2019-11-20T00:00:00"/>
  </r>
  <r>
    <n v="4983"/>
    <s v="8_국립축산과학원"/>
    <s v="0_본원"/>
    <x v="14"/>
    <s v="장선식"/>
    <s v="보도자료109"/>
    <s v="농진청, 겨울철 한우 사육 단계별 관리 방법 제시"/>
    <s v="KNS뉴스통신"/>
    <d v="2019-11-20T00:00:00"/>
    <m/>
    <s v="13_인터넷포털"/>
    <n v="0.1"/>
    <d v="2019-11-20T00:00:00"/>
  </r>
  <r>
    <n v="4984"/>
    <s v="8_국립축산과학원"/>
    <s v="1_축산생명환경부"/>
    <x v="5"/>
    <s v="오미화"/>
    <s v="보도자료110"/>
    <s v="농진청-숙명여대, 생고기용 항균 패치 개발"/>
    <s v="식품저널"/>
    <d v="2019-11-21T00:00:00"/>
    <m/>
    <s v="09_농업전문지"/>
    <n v="1.5"/>
    <d v="2019-11-21T00:00:00"/>
  </r>
  <r>
    <n v="4985"/>
    <s v="8_국립축산과학원"/>
    <s v="1_축산생명환경부"/>
    <x v="5"/>
    <s v="오미화"/>
    <s v="보도자료110"/>
    <s v="항균효과 뛰어난 ‘생고기용’ 패치 개발"/>
    <s v="한국농촌경제신문"/>
    <d v="2019-11-21T00:00:00"/>
    <m/>
    <s v="09_농업전문지"/>
    <n v="1.5"/>
    <d v="2019-11-21T00:00:00"/>
  </r>
  <r>
    <n v="4986"/>
    <s v="8_국립축산과학원"/>
    <s v="0_본원"/>
    <x v="14"/>
    <s v="원정일"/>
    <s v="보도자료106"/>
    <s v="대관령한우, 방목 끝내고 집으로…"/>
    <s v="한우신문"/>
    <d v="2019-11-19T00:00:00"/>
    <n v="2"/>
    <s v="10_기타전문지"/>
    <n v="1"/>
    <d v="2019-11-21T00:00:00"/>
  </r>
  <r>
    <n v="4987"/>
    <s v="8_국립축산과학원"/>
    <s v="2_축산자원개발부"/>
    <x v="6"/>
    <s v="이세영"/>
    <s v="보도자료105"/>
    <s v="땅이 얼기전 잘 눌러주기만 해도 풀사료 생산량 15%나 늘어요"/>
    <s v="한우신문"/>
    <d v="2019-11-19T00:00:00"/>
    <n v="8"/>
    <s v="10_기타전문지"/>
    <n v="1"/>
    <d v="2019-11-21T00:00:00"/>
  </r>
  <r>
    <n v="4988"/>
    <s v="8_국립축산과학원"/>
    <s v="0_본원"/>
    <x v="14"/>
    <s v="한만희"/>
    <m/>
    <s v="송아지설사 발생요인 다양…위생적 사양관리 중요"/>
    <s v="한우신문"/>
    <d v="2019-11-19T00:00:00"/>
    <s v="12,13"/>
    <s v="10_기타전문지"/>
    <n v="1"/>
    <d v="2019-11-21T00:00:00"/>
  </r>
  <r>
    <n v="4989"/>
    <s v="8_국립축산과학원"/>
    <s v="0_본원"/>
    <x v="14"/>
    <s v="장선식"/>
    <s v="보도자료109"/>
    <s v="겨울철 한우 사육단계별 관리방법은?"/>
    <s v="식약일보"/>
    <d v="2019-11-20T00:00:00"/>
    <m/>
    <s v="10_기타전문지"/>
    <n v="1"/>
    <d v="2019-11-21T00:00:00"/>
  </r>
  <r>
    <n v="4990"/>
    <s v="8_국립축산과학원"/>
    <s v="0_본원"/>
    <x v="14"/>
    <s v="장선식"/>
    <s v="보도자료109"/>
    <s v="겨울철 한우 사육 단계별 관리 방법 제시"/>
    <s v="정책브리핑"/>
    <d v="2019-11-20T00:00:00"/>
    <m/>
    <s v="12_대한민국 정책포털(korea.kr)"/>
    <n v="1"/>
    <d v="2019-11-21T00:00:00"/>
  </r>
  <r>
    <n v="4991"/>
    <s v="8_국립축산과학원"/>
    <s v="0_본원"/>
    <x v="13"/>
    <s v="오형규"/>
    <m/>
    <s v="“가축도 겨울엔 추워요”...겨울철 사양관리요령"/>
    <s v="라이브팜뉴스"/>
    <d v="2019-11-19T00:00:00"/>
    <m/>
    <s v="13_인터넷포털"/>
    <n v="0.1"/>
    <d v="2019-11-21T00:00:00"/>
  </r>
  <r>
    <n v="4992"/>
    <s v="8_국립축산과학원"/>
    <s v="0_본원"/>
    <x v="14"/>
    <s v="장선식"/>
    <s v="보도자료109"/>
    <s v="겨울철 한우 사육 단계별 관리 방법은…송아지는 배를 따뜻하게"/>
    <s v="더코리아뉴스"/>
    <d v="2019-11-21T00:00:00"/>
    <m/>
    <s v="13_인터넷포털"/>
    <n v="0.1"/>
    <d v="2019-11-21T00:00:00"/>
  </r>
  <r>
    <n v="4993"/>
    <s v="8_국립축산과학원"/>
    <s v="0_본원"/>
    <x v="14"/>
    <s v="장선식"/>
    <s v="보도자료109"/>
    <s v="농촌진흥청, 겨울철 한우 사육 단계별 관리 방법 제시"/>
    <s v="농업경제신문"/>
    <d v="2019-11-21T00:00:00"/>
    <m/>
    <s v="13_인터넷포털"/>
    <n v="0.1"/>
    <d v="2019-11-21T00:00:00"/>
  </r>
  <r>
    <n v="4994"/>
    <s v="8_국립축산과학원"/>
    <s v="1_축산생명환경부"/>
    <x v="5"/>
    <s v="오미화"/>
    <s v="보도자료110"/>
    <s v="파스처럼 붙이면 ‘불검출’ 식중독균 99% 감소... 농진청, 생고기용 항균 패치 개발"/>
    <s v="조선비즈"/>
    <d v="2019-11-21T00:00:00"/>
    <m/>
    <s v="11_기타(지역주간지)"/>
    <n v="0.5"/>
    <d v="2019-11-21T00:00:00"/>
  </r>
  <r>
    <n v="4995"/>
    <s v="8_국립축산과학원"/>
    <s v="1_축산생명환경부"/>
    <x v="5"/>
    <s v="오미화"/>
    <s v="보도자료110"/>
    <s v="농촌진흥청, 항균 효과 탁월한 생고기용 패치 개발"/>
    <s v="일간전북"/>
    <d v="2019-11-21T00:00:00"/>
    <m/>
    <s v="13_인터넷포털"/>
    <n v="0.1"/>
    <d v="2019-11-21T00:00:00"/>
  </r>
  <r>
    <n v="4996"/>
    <s v="8_국립축산과학원"/>
    <s v="0_본원"/>
    <x v="15"/>
    <s v="이상훈"/>
    <s v="보도자료103"/>
    <s v="가축유전자원센터 운영 돌입..함양군 축산업 경쟁력 상승 기대(뉴스인타임)"/>
    <s v="서경방송"/>
    <d v="2019-11-20T00:00:00"/>
    <m/>
    <s v="03_TV-케이블지방"/>
    <n v="2.5"/>
    <d v="2019-11-22T00:00:00"/>
  </r>
  <r>
    <n v="4997"/>
    <s v="8_국립축산과학원"/>
    <s v="1_축산생명환경부"/>
    <x v="5"/>
    <s v="오미화"/>
    <s v="보도자료110"/>
    <s v="농진청, 생고기에 붙이는 ‘항균 패치’ 개발"/>
    <s v="연합뉴스"/>
    <d v="2019-11-21T00:00:00"/>
    <m/>
    <s v="07_중앙일간지"/>
    <n v="5"/>
    <d v="2019-11-22T00:00:00"/>
  </r>
  <r>
    <n v="4998"/>
    <s v="8_국립축산과학원"/>
    <s v="2_축산자원개발부"/>
    <x v="6"/>
    <s v="정종성"/>
    <m/>
    <s v="‘집으로 들어가요’"/>
    <s v="연합뉴스"/>
    <d v="2019-11-21T00:00:00"/>
    <m/>
    <s v="07_중앙일간지"/>
    <n v="5"/>
    <d v="2019-11-22T00:00:00"/>
  </r>
  <r>
    <n v="4999"/>
    <s v="8_국립축산과학원"/>
    <s v="2_축산자원개발부"/>
    <x v="6"/>
    <s v="정종성"/>
    <m/>
    <s v="‘겨울나기’ 위해 축사 향하는 한우"/>
    <s v="뉴시스"/>
    <d v="2019-11-21T00:00:00"/>
    <m/>
    <s v="07_중앙일간지"/>
    <n v="5"/>
    <d v="2019-11-22T00:00:00"/>
  </r>
  <r>
    <n v="5000"/>
    <s v="8_국립축산과학원"/>
    <s v="2_축산자원개발부"/>
    <x v="6"/>
    <s v="정종성"/>
    <m/>
    <s v="‘겨울은 축사에서 나야지’"/>
    <s v="뉴스1"/>
    <d v="2019-11-21T00:00:00"/>
    <m/>
    <s v="07_중앙일간지"/>
    <n v="5"/>
    <d v="2019-11-22T00:00:00"/>
  </r>
  <r>
    <n v="5001"/>
    <s v="8_국립축산과학원"/>
    <s v="1_축산생명환경부"/>
    <x v="5"/>
    <s v="오미화"/>
    <s v="보도자료110"/>
    <s v="농진청, 생고기에 붙이는 ‘항균 패치’ 개발"/>
    <s v="한국경제"/>
    <d v="2019-11-21T00:00:00"/>
    <m/>
    <s v="07_중앙일간지"/>
    <n v="5"/>
    <d v="2019-11-22T00:00:00"/>
  </r>
  <r>
    <n v="5002"/>
    <s v="8_국립축산과학원"/>
    <s v="0_본원"/>
    <x v="14"/>
    <s v="장선식"/>
    <s v="보도자료109"/>
    <s v="농촌진흥청, 겨울철 한우 사육 단계별 관리 방법 제시"/>
    <s v="매일일보"/>
    <d v="2019-11-21T00:00:00"/>
    <m/>
    <s v="08_기타일간지"/>
    <n v="2"/>
    <d v="2019-11-22T00:00:00"/>
  </r>
  <r>
    <n v="5003"/>
    <s v="8_국립축산과학원"/>
    <s v="1_축산생명환경부"/>
    <x v="5"/>
    <s v="오미화"/>
    <s v="보도자료110"/>
    <s v="항균 효과 뛰어난 생고기용 패치 개발"/>
    <s v="농업인신문"/>
    <d v="2019-11-22T00:00:00"/>
    <m/>
    <s v="09_농업전문지"/>
    <n v="1.5"/>
    <d v="2019-11-22T00:00:00"/>
  </r>
  <r>
    <n v="5004"/>
    <s v="8_국립축산과학원"/>
    <s v="0_본원"/>
    <x v="4"/>
    <s v="강환구"/>
    <m/>
    <s v="가금학회, 계란 소비 활성화위해 전문가 모여"/>
    <s v="농축유통신문"/>
    <d v="2019-11-22T00:00:00"/>
    <m/>
    <s v="09_농업전문지"/>
    <n v="1.5"/>
    <d v="2019-11-22T00:00:00"/>
  </r>
  <r>
    <n v="5005"/>
    <s v="8_국립축산과학원"/>
    <s v="1_축산생명환경부"/>
    <x v="5"/>
    <s v="오미화"/>
    <s v="보도자료110"/>
    <s v="농진청, ‘항균 효과 99%’ 생고기용 패치 개발"/>
    <s v="프레시안"/>
    <d v="2019-11-21T00:00:00"/>
    <m/>
    <s v="13_인터넷포털"/>
    <n v="0.1"/>
    <d v="2019-11-22T00:00:00"/>
  </r>
  <r>
    <n v="5006"/>
    <s v="8_국립축산과학원"/>
    <s v="1_축산생명환경부"/>
    <x v="5"/>
    <s v="오미화"/>
    <s v="보도자료110"/>
    <s v="농촌진흥청, 식중독균 99% 줄인 생고기용 패치 개발!"/>
    <s v="더코리아뉴스"/>
    <d v="2019-11-22T00:00:00"/>
    <m/>
    <s v="13_인터넷포털"/>
    <n v="0.1"/>
    <d v="2019-11-22T00:00:00"/>
  </r>
  <r>
    <n v="5007"/>
    <s v="8_국립축산과학원"/>
    <s v="1_축산생명환경부"/>
    <x v="5"/>
    <s v="오미화"/>
    <s v="보도자료110"/>
    <s v="파스처럼 붙여 식중독균 99% 억제...생고기용 항균패치 개발"/>
    <s v="라이브팜뉴스"/>
    <d v="2019-11-22T00:00:00"/>
    <m/>
    <s v="13_인터넷포털"/>
    <n v="0.1"/>
    <d v="2019-11-22T00:00:00"/>
  </r>
  <r>
    <n v="5008"/>
    <s v="8_국립축산과학원"/>
    <s v="1_축산생명환경부"/>
    <x v="5"/>
    <s v="오미화"/>
    <s v="보도자료110"/>
    <s v="농진청, 식중독균 99% 줄어드는 항균 패치 개발"/>
    <s v="세이프타임즈"/>
    <d v="2019-11-22T00:00:00"/>
    <m/>
    <s v="13_인터넷포털"/>
    <n v="0.1"/>
    <d v="2019-11-22T00:00:00"/>
  </r>
  <r>
    <n v="5009"/>
    <s v="8_국립축산과학원"/>
    <s v="2_축산자원개발부"/>
    <x v="12"/>
    <s v="박성민"/>
    <s v="기고"/>
    <s v="[기고] 박성민 연구사-대한민국 축산 빅데이터 독립을 꿈꾸다"/>
    <s v="농수축산신문"/>
    <d v="2019-11-22T00:00:00"/>
    <n v="6"/>
    <s v="17_농업전문지"/>
    <n v="8"/>
    <d v="2019-11-25T00:00:00"/>
  </r>
  <r>
    <n v="5010"/>
    <s v="8_국립축산과학원"/>
    <s v="1_축산생명환경부"/>
    <x v="5"/>
    <s v="오미화"/>
    <s v="보도자료110"/>
    <s v="농촌진흥청, 항균 효과 뛰어난 생고기용 패치 개발"/>
    <s v="서울신문"/>
    <d v="2019-11-22T00:00:00"/>
    <m/>
    <s v="07_중앙일간지"/>
    <n v="5"/>
    <d v="2019-11-25T00:00:00"/>
  </r>
  <r>
    <n v="5011"/>
    <s v="8_국립축산과학원"/>
    <s v="2_축산자원개발부"/>
    <x v="6"/>
    <s v="정종성"/>
    <m/>
    <s v="‘투뿔 소고기’ 마블링 함량 낮춘다...내달 등급제 개편(사진 자료 인용)"/>
    <s v="이데일리"/>
    <d v="2019-11-25T00:00:00"/>
    <m/>
    <s v="07_중앙일간지"/>
    <n v="5"/>
    <d v="2019-11-25T00:00:00"/>
  </r>
  <r>
    <n v="5012"/>
    <s v="8_국립축산과학원"/>
    <s v="2_축산자원개발부"/>
    <x v="6"/>
    <s v="정종성"/>
    <m/>
    <s v="농진청, ‘산지초지 활용 육성우 방목 기술’ 시험"/>
    <s v="환경일보"/>
    <d v="2019-11-22T00:00:00"/>
    <m/>
    <s v="08_기타일간지"/>
    <n v="2"/>
    <d v="2019-11-25T00:00:00"/>
  </r>
  <r>
    <n v="5013"/>
    <s v="8_국립축산과학원"/>
    <s v="1_축산생명환경부"/>
    <x v="9"/>
    <s v="정광화"/>
    <m/>
    <s v="착유 세정수 처리, 어떻게 해야 하나 지역별 방류기준 차이…목장 ‘맞춤형’ 시설 설치해야"/>
    <s v="축산신문"/>
    <d v="2019-11-22T00:00:00"/>
    <n v="3"/>
    <s v="09_농업전문지"/>
    <n v="1.5"/>
    <d v="2019-11-25T00:00:00"/>
  </r>
  <r>
    <n v="5014"/>
    <s v="8_국립축산과학원"/>
    <s v="1_축산생명환경부"/>
    <x v="5"/>
    <s v="오미화"/>
    <s v="보도자료110"/>
    <s v="고기에 붙이면 식중독균 전멸 ‘항균패치’ 개발"/>
    <s v="대한급식신문"/>
    <d v="2019-11-22T00:00:00"/>
    <m/>
    <s v="09_농업전문지"/>
    <n v="1.5"/>
    <d v="2019-11-25T00:00:00"/>
  </r>
  <r>
    <n v="5015"/>
    <s v="8_국립축산과학원"/>
    <s v="1_축산생명환경부"/>
    <x v="5"/>
    <s v="조수현"/>
    <m/>
    <s v="허경 홍천사랑말한우 드라이에이징사업단장"/>
    <s v="농수축산신문"/>
    <d v="2019-11-22T00:00:00"/>
    <m/>
    <s v="09_농업전문지"/>
    <n v="1.5"/>
    <d v="2019-11-25T00:00:00"/>
  </r>
  <r>
    <n v="5016"/>
    <s v="8_국립축산과학원"/>
    <s v="1_축산생명환경부"/>
    <x v="5"/>
    <s v="오미화"/>
    <s v="보도자료110"/>
    <s v="항균 효과 뛰어난 생고기용 패치 나왔다"/>
    <s v="한국영농신문"/>
    <d v="2019-11-24T00:00:00"/>
    <m/>
    <s v="09_농업전문지"/>
    <n v="1.5"/>
    <d v="2019-11-25T00:00:00"/>
  </r>
  <r>
    <n v="5017"/>
    <s v="8_국립축산과학원"/>
    <s v="1_축산생명환경부"/>
    <x v="5"/>
    <s v="오미화"/>
    <s v="보도자료110"/>
    <s v="항균 효과 뛰어난 생고기용 패치"/>
    <s v="전주매일"/>
    <d v="2019-11-22T00:00:00"/>
    <n v="6"/>
    <s v="09_지방일간지"/>
    <n v="1.5"/>
    <d v="2019-11-25T00:00:00"/>
  </r>
  <r>
    <n v="5018"/>
    <s v="8_국립축산과학원"/>
    <s v="1_축산생명환경부"/>
    <x v="5"/>
    <s v="오미화"/>
    <s v="보도자료110"/>
    <s v="농진청, 항균 효과 뛰어난 생고기용 패치 개발"/>
    <s v="삼남일보"/>
    <d v="2019-11-22T00:00:00"/>
    <n v="5"/>
    <s v="09_지방일간지"/>
    <n v="1.5"/>
    <d v="2019-11-25T00:00:00"/>
  </r>
  <r>
    <n v="5019"/>
    <s v="8_국립축산과학원"/>
    <s v="1_축산생명환경부"/>
    <x v="5"/>
    <s v="오미화"/>
    <s v="보도자료110"/>
    <s v="농진청 개발 항균패치, 식중독균 99% 줄여"/>
    <s v="새만금일보"/>
    <d v="2019-11-22T00:00:00"/>
    <n v="6"/>
    <s v="09_지방일간지"/>
    <n v="1.5"/>
    <d v="2019-11-25T00:00:00"/>
  </r>
  <r>
    <n v="5020"/>
    <s v="8_국립축산과학원"/>
    <s v="1_축산생명환경부"/>
    <x v="5"/>
    <s v="오미화"/>
    <s v="보도자료110"/>
    <s v="농진청, 항균 효과 뛰어난 생고기용 패치 개발"/>
    <s v="새전북신문"/>
    <d v="2019-11-22T00:00:00"/>
    <n v="4"/>
    <s v="09_지방일간지"/>
    <n v="1.5"/>
    <d v="2019-11-25T00:00:00"/>
  </r>
  <r>
    <n v="5021"/>
    <s v="8_국립축산과학원"/>
    <s v="1_축산생명환경부"/>
    <x v="5"/>
    <s v="오미화"/>
    <s v="보도자료110"/>
    <s v="파스처럼 붙이면 ‘불검출’ 식중독균 99% 감소"/>
    <s v="전민일보"/>
    <d v="2019-11-22T00:00:00"/>
    <n v="5"/>
    <s v="09_지방일간지"/>
    <n v="1.5"/>
    <d v="2019-11-25T00:00:00"/>
  </r>
  <r>
    <n v="5022"/>
    <s v="8_국립축산과학원"/>
    <s v="1_축산생명환경부"/>
    <x v="5"/>
    <s v="오미화"/>
    <s v="보도자료110"/>
    <s v="생고기용 항균효과 패치 개발 농진청, 숙명여대와 공동으로"/>
    <s v="전북일보"/>
    <d v="2019-11-22T00:00:00"/>
    <n v="6"/>
    <s v="09_지방일간지"/>
    <n v="1.5"/>
    <d v="2019-11-25T00:00:00"/>
  </r>
  <r>
    <n v="5023"/>
    <s v="8_국립축산과학원"/>
    <s v="2_축산자원개발부"/>
    <x v="6"/>
    <s v="정종성"/>
    <m/>
    <s v="한우들 겨울나기 축사로"/>
    <s v="전민일보"/>
    <d v="2019-11-22T00:00:00"/>
    <n v="2"/>
    <s v="09_지방일간지"/>
    <n v="1.5"/>
    <d v="2019-11-25T00:00:00"/>
  </r>
  <r>
    <n v="5024"/>
    <s v="8_국립축산과학원"/>
    <s v="2_축산자원개발부"/>
    <x v="6"/>
    <s v="정종성"/>
    <m/>
    <s v="춥다 집에 가자"/>
    <s v="새만금일보"/>
    <d v="2019-11-22T00:00:00"/>
    <n v="1"/>
    <s v="09_지방일간지"/>
    <n v="1.5"/>
    <d v="2019-11-25T00:00:00"/>
  </r>
  <r>
    <n v="5025"/>
    <s v="8_국립축산과학원"/>
    <s v="2_축산자원개발부"/>
    <x v="6"/>
    <s v="정종성"/>
    <m/>
    <s v="집으로 가요"/>
    <s v="경북매일"/>
    <d v="2019-11-22T00:00:00"/>
    <n v="19"/>
    <s v="09_지방일간지"/>
    <n v="1.5"/>
    <d v="2019-11-25T00:00:00"/>
  </r>
  <r>
    <n v="5026"/>
    <s v="8_국립축산과학원"/>
    <s v="2_축산자원개발부"/>
    <x v="6"/>
    <s v="정종성"/>
    <m/>
    <s v="‘따뜻한 축사료’ 한우들의 겨울나기"/>
    <s v="삼남일보"/>
    <d v="2019-11-22T00:00:00"/>
    <n v="1"/>
    <s v="09_지방일간지"/>
    <n v="1.5"/>
    <d v="2019-11-25T00:00:00"/>
  </r>
  <r>
    <n v="5027"/>
    <s v="8_국립축산과학원"/>
    <s v="2_축산자원개발부"/>
    <x v="6"/>
    <s v="정종성"/>
    <m/>
    <s v="겨울나기 위해 축사로 들어오는 한우들"/>
    <s v="전주매일"/>
    <d v="2019-11-22T00:00:00"/>
    <n v="6"/>
    <s v="09_지방일간지"/>
    <n v="1.5"/>
    <d v="2019-11-25T00:00:00"/>
  </r>
  <r>
    <n v="5028"/>
    <s v="8_국립축산과학원"/>
    <s v="2_축산자원개발부"/>
    <x v="6"/>
    <s v="정종성"/>
    <m/>
    <s v="‘겨울나기’ 위해 축사 향하는 한우"/>
    <s v="일간경북신문"/>
    <d v="2019-11-22T00:00:00"/>
    <n v="19"/>
    <s v="09_지방일간지"/>
    <n v="1.5"/>
    <d v="2019-11-25T00:00:00"/>
  </r>
  <r>
    <n v="5029"/>
    <s v="8_국립축산과학원"/>
    <s v="1_축산생명환경부"/>
    <x v="1"/>
    <s v="변승준"/>
    <s v="보도자료107"/>
    <s v="닭의 ‘페록시레독신3’ 단백질, 세포 증식 관여 첫 확인"/>
    <s v="농식품PLUS신문"/>
    <d v="2019-11-15T00:00:00"/>
    <n v="18"/>
    <s v="10_기타전문지"/>
    <n v="1"/>
    <d v="2019-11-25T00:00:00"/>
  </r>
  <r>
    <n v="5030"/>
    <s v="8_국립축산과학원"/>
    <s v="0_본원"/>
    <x v="15"/>
    <s v="이상훈"/>
    <s v="보도자료103"/>
    <s v="국립축산과학원 가축유전자원센터, 경남 함양 시대 열어"/>
    <s v="농식품PLUS신문"/>
    <d v="2019-11-15T00:00:00"/>
    <n v="18"/>
    <s v="10_기타전문지"/>
    <n v="1"/>
    <d v="2019-11-25T00:00:00"/>
  </r>
  <r>
    <n v="5031"/>
    <s v="8_국립축산과학원"/>
    <s v="1_축산생명환경부"/>
    <x v="5"/>
    <s v="오미화"/>
    <s v="보도자료110"/>
    <s v="항균 효과 뛰어난 생고기용 패치 개발"/>
    <s v="식약일보"/>
    <d v="2019-11-22T00:00:00"/>
    <m/>
    <s v="10_기타전문지"/>
    <n v="1"/>
    <d v="2019-11-25T00:00:00"/>
  </r>
  <r>
    <n v="5032"/>
    <s v="8_국립축산과학원"/>
    <s v="0_본원"/>
    <x v="10"/>
    <s v="양병철"/>
    <m/>
    <s v="제주4·3 대하소설 ‘화산도’ 점자도서로 점역 발간"/>
    <s v="제주의소리"/>
    <d v="2019-11-23T00:00:00"/>
    <m/>
    <s v="13_인터넷포털"/>
    <n v="0.1"/>
    <d v="2019-11-25T00:00:00"/>
  </r>
  <r>
    <n v="5033"/>
    <s v="8_국립축산과학원"/>
    <s v="1_축산생명환경부"/>
    <x v="5"/>
    <s v="오미화"/>
    <s v="보도자료110"/>
    <s v="농촌진흥청, 항균 효과 생고기용 패치 개발"/>
    <s v="스카이데일리"/>
    <d v="2019-11-24T00:00:00"/>
    <m/>
    <s v="13_인터넷포털"/>
    <n v="0.1"/>
    <d v="2019-11-25T00:00:00"/>
  </r>
  <r>
    <n v="5034"/>
    <s v="8_국립축산과학원"/>
    <s v="1_축산생명환경부"/>
    <x v="5"/>
    <s v="오미화"/>
    <s v="보도자료110"/>
    <s v="농촌진흥청, 항균 효과 뛰어난 생고기용 패치 개발"/>
    <s v="축제뉴스"/>
    <d v="2019-11-24T00:00:00"/>
    <m/>
    <s v="13_인터넷포털"/>
    <n v="0.1"/>
    <d v="2019-11-25T00:00:00"/>
  </r>
  <r>
    <n v="5035"/>
    <s v="8_국립축산과학원"/>
    <s v="1_축산생명환경부"/>
    <x v="1"/>
    <s v="박응우"/>
    <m/>
    <s v="아퓨어스-축산과학원, 이종장기개발 ‘맞손’"/>
    <s v="더벨"/>
    <d v="2019-11-25T00:00:00"/>
    <m/>
    <s v="13_인터넷포털"/>
    <n v="0.1"/>
    <d v="2019-11-25T00:00:00"/>
  </r>
  <r>
    <n v="5036"/>
    <s v="8_국립축산과학원"/>
    <s v="1_축산생명환경부"/>
    <x v="5"/>
    <s v="오미화"/>
    <s v="보도자료110"/>
    <s v="파스처럼 붙여 식중독균 99% 억제...생고기용 항균패치 개발"/>
    <s v="농업경제신문"/>
    <d v="2019-11-25T00:00:00"/>
    <m/>
    <s v="13_인터넷포털"/>
    <n v="0.1"/>
    <d v="2019-11-25T00:00:00"/>
  </r>
  <r>
    <n v="5037"/>
    <s v="8_국립축산과학원"/>
    <s v="1_축산생명환경부"/>
    <x v="5"/>
    <s v="오미화"/>
    <s v="보도자료110"/>
    <s v="하이드로겔 항균 패치로 식중독균 99% 줄어"/>
    <s v="보건뉴스"/>
    <d v="2019-11-25T00:00:00"/>
    <m/>
    <s v="13_인터넷포털"/>
    <n v="0.1"/>
    <d v="2019-11-25T00:00:00"/>
  </r>
  <r>
    <n v="5038"/>
    <s v="8_국립축산과학원"/>
    <s v="0_본원"/>
    <x v="15"/>
    <s v="김승창"/>
    <s v="보도자료111"/>
    <s v="농촌진흥청, 이달의 신간-한국의 가축생명자원 도감 발간"/>
    <s v="서울신문"/>
    <d v="2019-11-25T00:00:00"/>
    <m/>
    <s v="07_중앙일간지"/>
    <n v="5"/>
    <d v="2019-11-26T00:00:00"/>
  </r>
  <r>
    <n v="5039"/>
    <s v="8_국립축산과학원"/>
    <s v="1_축산생명환경부"/>
    <x v="5"/>
    <s v="오미화"/>
    <s v="보도자료110"/>
    <s v="농촌진흥청, 항균 효과 뛰어난 ‘생고기용 패치’ 개발"/>
    <s v="매일일보"/>
    <d v="2019-11-25T00:00:00"/>
    <m/>
    <s v="08_기타일간지"/>
    <n v="2"/>
    <d v="2019-11-26T00:00:00"/>
  </r>
  <r>
    <n v="5040"/>
    <s v="8_국립축산과학원"/>
    <s v="1_축산생명환경부"/>
    <x v="5"/>
    <s v="오미화"/>
    <s v="보도자료110"/>
    <s v="항균 효과 뛰어난 생고기용 패치 개발"/>
    <s v="농업인신문"/>
    <d v="2019-11-25T00:00:00"/>
    <n v="5"/>
    <s v="09_농업전문지"/>
    <n v="1.5"/>
    <d v="2019-11-26T00:00:00"/>
  </r>
  <r>
    <n v="5041"/>
    <s v="8_국립축산과학원"/>
    <s v="0_본원"/>
    <x v="15"/>
    <s v="이진욱"/>
    <s v="보도자료108"/>
    <s v="염소가 겨울을 건강하게 나려면? ‘축사 보온 환기 점검과 사료 10% 이상 더 먹여야’"/>
    <s v="농축환경신문"/>
    <d v="2019-11-21T00:00:00"/>
    <n v="5"/>
    <s v="09_농업전문지"/>
    <n v="1.5"/>
    <d v="2019-11-26T00:00:00"/>
  </r>
  <r>
    <n v="5042"/>
    <s v="8_국립축산과학원"/>
    <s v="0_본원"/>
    <x v="15"/>
    <s v="김승창"/>
    <s v="보도자료111"/>
    <s v="할머니 밭에는 토종 씨앗이 자란다-농촌진흥청, 이달의 신간"/>
    <s v="한국영농신문"/>
    <d v="2019-11-25T00:00:00"/>
    <m/>
    <s v="09_농업전문지"/>
    <n v="1.5"/>
    <d v="2019-11-26T00:00:00"/>
  </r>
  <r>
    <n v="5043"/>
    <s v="8_국립축산과학원"/>
    <s v="0_본원"/>
    <x v="15"/>
    <s v="이성수"/>
    <m/>
    <s v="이성수 국립축산과학원 가축유전자원센터장"/>
    <s v="경남일보"/>
    <d v="2019-11-25T00:00:00"/>
    <m/>
    <s v="09_지방일간지"/>
    <n v="1.5"/>
    <d v="2019-11-26T00:00:00"/>
  </r>
  <r>
    <n v="5044"/>
    <s v="8_국립축산과학원"/>
    <s v="1_축산생명환경부"/>
    <x v="5"/>
    <s v="오미화"/>
    <s v="보도자료110"/>
    <s v="농촌진흥청, 항균 효과 뛰어난 생고기용 패치 개발"/>
    <s v="전북도민일보"/>
    <d v="2019-11-24T00:00:00"/>
    <m/>
    <s v="09_지방일간지"/>
    <n v="1.5"/>
    <d v="2019-11-26T00:00:00"/>
  </r>
  <r>
    <n v="5045"/>
    <s v="8_국립축산과학원"/>
    <s v="0_본원"/>
    <x v="15"/>
    <s v="김승창"/>
    <s v="보도자료111"/>
    <s v="농진청, 할머니 밭 토종씨앗 등 이달의 신간 3권 발간"/>
    <s v="식약일보"/>
    <d v="2019-11-25T00:00:00"/>
    <m/>
    <s v="10_기타전문지"/>
    <n v="1"/>
    <d v="2019-11-26T00:00:00"/>
  </r>
  <r>
    <n v="5046"/>
    <s v="8_국립축산과학원"/>
    <s v="1_축산생명환경부"/>
    <x v="5"/>
    <s v="오미화"/>
    <s v="보도자료110"/>
    <s v="농촌진흥청, 항균 효과 뛰어난 생고기용 패치 개발"/>
    <s v="정책브리핑"/>
    <d v="2019-11-22T00:00:00"/>
    <m/>
    <s v="12_대한민국 정책포털(korea.kr)"/>
    <n v="1"/>
    <d v="2019-11-26T00:00:00"/>
  </r>
  <r>
    <n v="5047"/>
    <s v="8_국립축산과학원"/>
    <s v="0_본원"/>
    <x v="15"/>
    <s v="김승창"/>
    <s v="보도자료111"/>
    <s v="농촌진흥청, 이달의 신간-한국의 가축생명자원 도감 발간"/>
    <s v="정책브리핑"/>
    <d v="2019-11-25T00:00:00"/>
    <m/>
    <s v="12_대한민국 정책포털(korea.kr)"/>
    <n v="1"/>
    <d v="2019-11-26T00:00:00"/>
  </r>
  <r>
    <n v="5048"/>
    <s v="8_국립축산과학원"/>
    <s v="2_축산자원개발부"/>
    <x v="6"/>
    <s v="천동원"/>
    <m/>
    <s v="경남, ‘풀사료 품질 우수성’ 전국에 알려"/>
    <s v="낙농신문"/>
    <d v="2019-11-21T00:00:00"/>
    <n v="2"/>
    <s v="10_기타전문지"/>
    <n v="1"/>
    <d v="2019-11-26T00:00:00"/>
  </r>
  <r>
    <n v="5049"/>
    <s v="8_국립축산과학원"/>
    <s v="2_축산자원개발부"/>
    <x v="6"/>
    <s v="이세영"/>
    <s v="보도자료105"/>
    <s v="겨울 풀사료, 눌러주면 생산성 증가"/>
    <s v="낙농신문"/>
    <d v="2019-11-21T00:00:00"/>
    <n v="5"/>
    <s v="10_기타전문지"/>
    <n v="1"/>
    <d v="2019-11-26T00:00:00"/>
  </r>
  <r>
    <n v="5050"/>
    <s v="8_국립축산과학원"/>
    <s v="2_축산자원개발부"/>
    <x v="6"/>
    <s v="천동원"/>
    <m/>
    <s v="호모형 발효조건, 고품질 사일리지"/>
    <s v="낙농신문"/>
    <d v="2019-11-21T00:00:00"/>
    <n v="13"/>
    <s v="10_기타전문지"/>
    <n v="1"/>
    <d v="2019-11-26T00:00:00"/>
  </r>
  <r>
    <n v="5051"/>
    <s v="8_국립축산과학원"/>
    <s v="2_축산자원개발부"/>
    <x v="6"/>
    <s v="천동원"/>
    <m/>
    <s v="조사료 품질 주기적으로 체크해야"/>
    <s v="낙농신문"/>
    <d v="2019-11-21T00:00:00"/>
    <n v="14"/>
    <s v="10_기타전문지"/>
    <n v="1"/>
    <d v="2019-11-26T00:00:00"/>
  </r>
  <r>
    <n v="5052"/>
    <s v="8_국립축산과학원"/>
    <s v="1_축산생명환경부"/>
    <x v="16"/>
    <s v="임다정"/>
    <s v="보도자료112"/>
    <s v="“제주마(馬), 독립적으로 진화됐다”"/>
    <s v="뉴스제주"/>
    <d v="2019-11-26T00:00:00"/>
    <m/>
    <s v="11_기타(지역주간지)"/>
    <n v="0.5"/>
    <d v="2019-11-26T00:00:00"/>
  </r>
  <r>
    <n v="5053"/>
    <s v="8_국립축산과학원"/>
    <s v="0_본원"/>
    <x v="15"/>
    <s v="김승창"/>
    <s v="보도자료111"/>
    <s v="‘한국의 가축생명자원’ 도감 外 12월의 책 발간"/>
    <s v="농업경제신문"/>
    <d v="2019-11-26T00:00:00"/>
    <m/>
    <s v="13_인터넷포털"/>
    <n v="0.1"/>
    <d v="2019-11-26T00:00:00"/>
  </r>
  <r>
    <n v="5054"/>
    <s v="8_국립축산과학원"/>
    <s v="0_본원"/>
    <x v="15"/>
    <s v="김승창"/>
    <s v="보도자료111"/>
    <s v="농진청, ‘할머니 밭에는 토종씨앗이 자란다’ 외 2권 발간"/>
    <s v="일반경제신문"/>
    <d v="2019-11-25T00:00:00"/>
    <m/>
    <s v="13_인터넷포털"/>
    <n v="0.1"/>
    <d v="2019-11-26T00:00:00"/>
  </r>
  <r>
    <n v="5055"/>
    <s v="8_국립축산과학원"/>
    <s v="0_본원"/>
    <x v="15"/>
    <s v="김승창"/>
    <s v="보도자료111"/>
    <s v="농촌진흥청, 이달의 신간-한국의 가축생명자원 도감 발간"/>
    <s v="서울Pn"/>
    <d v="2019-11-25T00:00:00"/>
    <m/>
    <s v="13_인터넷포털"/>
    <n v="0.1"/>
    <d v="2019-11-26T00:00:00"/>
  </r>
  <r>
    <n v="5056"/>
    <s v="8_국립축산과학원"/>
    <s v="0_본원"/>
    <x v="2"/>
    <s v="이준엽"/>
    <s v="기고"/>
    <s v="[기고] 이준엽 연구사-“국산 RFID 자동급이기개발로 수입대체”"/>
    <s v="농축산기계"/>
    <d v="2019-11-20T00:00:00"/>
    <n v="9"/>
    <s v="18_기타전문지"/>
    <n v="4"/>
    <d v="2019-11-27T00:00:00"/>
  </r>
  <r>
    <n v="5057"/>
    <s v="8_국립축산과학원"/>
    <s v="1_축산생명환경부"/>
    <x v="16"/>
    <s v="임다정"/>
    <s v="보도자료112"/>
    <s v="재래 말 ‘제주마’는 “독립 품종” 확인"/>
    <s v="경향신문"/>
    <d v="2019-11-27T00:00:00"/>
    <n v="21"/>
    <s v="07_중앙일간지"/>
    <n v="5"/>
    <d v="2019-11-27T00:00:00"/>
  </r>
  <r>
    <n v="5058"/>
    <s v="8_국립축산과학원"/>
    <s v="1_축산생명환경부"/>
    <x v="16"/>
    <s v="임다정"/>
    <s v="보도자료112"/>
    <s v="제주마, 오랫동안 독립적으로 진화했다"/>
    <s v="서울경제"/>
    <d v="2019-11-26T00:00:00"/>
    <m/>
    <s v="07_중앙일간지"/>
    <n v="5"/>
    <d v="2019-11-27T00:00:00"/>
  </r>
  <r>
    <n v="5059"/>
    <s v="8_국립축산과학원"/>
    <s v="1_축산생명환경부"/>
    <x v="16"/>
    <s v="임다정"/>
    <s v="보도자료112"/>
    <s v="제주마, 독립적으로 진화한 개체 확인"/>
    <s v="제주MBC"/>
    <d v="2019-11-27T00:00:00"/>
    <m/>
    <s v="06_라디오-지방"/>
    <n v="1.5"/>
    <d v="2019-11-27T00:00:00"/>
  </r>
  <r>
    <n v="5060"/>
    <s v="8_국립축산과학원"/>
    <s v="1_축산생명환경부"/>
    <x v="5"/>
    <s v="조수현"/>
    <m/>
    <s v="‘홍천사랑말 한우 드라이에이징 포럼’ 개최"/>
    <s v="신아일보"/>
    <d v="2019-11-26T00:00:00"/>
    <m/>
    <s v="08_기타일간지"/>
    <n v="2"/>
    <d v="2019-11-27T00:00:00"/>
  </r>
  <r>
    <n v="5061"/>
    <s v="8_국립축산과학원"/>
    <s v="1_축산생명환경부"/>
    <x v="16"/>
    <s v="임다정"/>
    <s v="보도자료112"/>
    <s v="“제주마, 몽골마 유래 아닌 독립적 품종”"/>
    <s v="한라일보"/>
    <d v="2019-11-27T00:00:00"/>
    <m/>
    <s v="09_지방일간지"/>
    <n v="1.5"/>
    <d v="2019-11-27T00:00:00"/>
  </r>
  <r>
    <n v="5062"/>
    <s v="8_국립축산과학원"/>
    <s v="1_축산생명환경부"/>
    <x v="16"/>
    <s v="임다정"/>
    <s v="보도자료112"/>
    <s v="천연기념물 347호 제주마 ‘토종’ 맞다"/>
    <s v="제민일보"/>
    <d v="2019-11-27T00:00:00"/>
    <m/>
    <s v="09_지방일간지"/>
    <n v="1.5"/>
    <d v="2019-11-27T00:00:00"/>
  </r>
  <r>
    <n v="5063"/>
    <s v="8_국립축산과학원"/>
    <s v="1_축산생명환경부"/>
    <x v="16"/>
    <s v="임다정"/>
    <s v="보도자료112"/>
    <s v="재래말 제주마, 오랫동안 독립적으로 진화"/>
    <s v="제주신문"/>
    <d v="2019-11-27T00:00:00"/>
    <m/>
    <s v="09_지방일간지"/>
    <n v="1.5"/>
    <d v="2019-11-27T00:00:00"/>
  </r>
  <r>
    <n v="5064"/>
    <s v="8_국립축산과학원"/>
    <s v="2_축산자원개발부"/>
    <x v="0"/>
    <s v="김두완"/>
    <s v="보도자료104"/>
    <s v="한우-보온, 돼지-동선구분·환기 신경써야"/>
    <s v="농축산기계"/>
    <d v="2019-11-20T00:00:00"/>
    <n v="12"/>
    <s v="10_기타전문지"/>
    <n v="1"/>
    <d v="2019-11-27T00:00:00"/>
  </r>
  <r>
    <n v="5065"/>
    <s v="8_국립축산과학원"/>
    <s v="0_본원"/>
    <x v="14"/>
    <s v="장선식"/>
    <s v="보도자료109"/>
    <s v="한우-보온, 돼지-동선구분·환기 신경써야"/>
    <s v="농축산기계"/>
    <d v="2019-11-20T00:00:00"/>
    <n v="12"/>
    <s v="10_기타전문지"/>
    <n v="1"/>
    <d v="2019-11-27T00:00:00"/>
  </r>
  <r>
    <n v="5066"/>
    <s v="8_국립축산과학원"/>
    <s v="2_축산자원개발부"/>
    <x v="6"/>
    <s v="이세영"/>
    <s v="보도자료105"/>
    <s v="꼭꼭 눌러줘야 잘 자라요~!"/>
    <s v="농축산기계"/>
    <d v="2019-11-20T00:00:00"/>
    <n v="12"/>
    <s v="10_기타전문지"/>
    <n v="1"/>
    <d v="2019-11-27T00:00:00"/>
  </r>
  <r>
    <n v="5067"/>
    <s v="8_국립축산과학원"/>
    <s v="1_축산생명환경부"/>
    <x v="16"/>
    <s v="임다정"/>
    <s v="보도자료112"/>
    <s v="제주마, “오랫동안 독립적으로 진화했다”"/>
    <s v="정책브리핑"/>
    <d v="2019-11-27T00:00:00"/>
    <m/>
    <s v="12_대한민국 정책포털(korea.kr)"/>
    <n v="1"/>
    <d v="2019-11-27T00:00:00"/>
  </r>
  <r>
    <n v="5068"/>
    <s v="8_국립축산과학원"/>
    <s v="1_축산생명환경부"/>
    <x v="16"/>
    <s v="임다정"/>
    <s v="보도자료112"/>
    <s v="제주마, 몽골마서 유래되지 않고 독립적으로 진화"/>
    <s v="제주신보"/>
    <d v="2019-11-26T00:00:00"/>
    <m/>
    <s v="11_기타(지역주간지)"/>
    <n v="0.5"/>
    <d v="2019-11-27T00:00:00"/>
  </r>
  <r>
    <n v="5069"/>
    <s v="8_국립축산과학원"/>
    <s v="1_축산생명환경부"/>
    <x v="16"/>
    <s v="임다정"/>
    <s v="보도자료112"/>
    <s v="“제주마, 오랫동안 독립적으로 진화해왔다”"/>
    <s v="헤드라인제주"/>
    <d v="2019-11-26T00:00:00"/>
    <m/>
    <s v="13_인터넷포털"/>
    <n v="0.1"/>
    <d v="2019-11-27T00:00:00"/>
  </r>
  <r>
    <n v="5070"/>
    <s v="8_국립축산과학원"/>
    <s v="0_본원"/>
    <x v="13"/>
    <s v="유지현"/>
    <s v="보도자료113"/>
    <s v="한미 전문가 ‘동물교감치유’ 학술토론회 열어"/>
    <s v="오가닉라이프"/>
    <d v="2019-11-27T00:00:00"/>
    <m/>
    <s v="13_인터넷포털"/>
    <n v="0.1"/>
    <d v="2019-11-27T00:00:00"/>
  </r>
  <r>
    <n v="5071"/>
    <s v="8_국립축산과학원"/>
    <s v="1_축산생명환경부"/>
    <x v="16"/>
    <s v="임다정"/>
    <s v="보도자료112"/>
    <s v="제주馬, “오랫동안 독립적으로 진화했다”"/>
    <s v="스트레이트뉴스"/>
    <d v="2019-11-27T00:00:00"/>
    <m/>
    <s v="13_인터넷포털"/>
    <n v="0.1"/>
    <d v="2019-11-27T00:00:00"/>
  </r>
  <r>
    <n v="5072"/>
    <s v="8_국립축산과학원"/>
    <s v="1_축산생명환경부"/>
    <x v="16"/>
    <s v="임다정"/>
    <s v="보도자료112"/>
    <s v="제주마, “오랫동안 독립적으로 진화했다”"/>
    <s v="서울신문"/>
    <d v="2019-11-27T00:00:00"/>
    <m/>
    <s v="07_중앙일간지"/>
    <n v="5"/>
    <d v="2019-11-28T00:00:00"/>
  </r>
  <r>
    <n v="5073"/>
    <s v="8_국립축산과학원"/>
    <s v="0_본원"/>
    <x v="11"/>
    <s v="문규철"/>
    <s v="보도자료114"/>
    <s v="농촌진흥청 국립축산과학원, 완주서 ‘이웃 나눔 봉사’"/>
    <s v="뉴스1"/>
    <d v="2019-11-27T00:00:00"/>
    <m/>
    <s v="07_중앙일간지"/>
    <n v="5"/>
    <d v="2019-11-28T00:00:00"/>
  </r>
  <r>
    <n v="5074"/>
    <s v="8_국립축산과학원"/>
    <s v="0_본원"/>
    <x v="11"/>
    <s v="문규철"/>
    <s v="보도자료114"/>
    <s v="‘노후 전기시설 교체해드려요’"/>
    <s v="연합뉴스"/>
    <d v="2019-11-27T00:00:00"/>
    <m/>
    <s v="07_중앙일간지"/>
    <n v="5"/>
    <d v="2019-11-28T00:00:00"/>
  </r>
  <r>
    <n v="5075"/>
    <s v="8_국립축산과학원"/>
    <s v="0_본원"/>
    <x v="11"/>
    <s v="문규철"/>
    <s v="보도자료114"/>
    <s v="에너지 빈곤가정에 연탄 배달하는 축산과학원 직원들"/>
    <s v="뉴시스"/>
    <d v="2019-11-27T00:00:00"/>
    <m/>
    <s v="07_중앙일간지"/>
    <n v="5"/>
    <d v="2019-11-28T00:00:00"/>
  </r>
  <r>
    <n v="5076"/>
    <s v="8_국립축산과학원"/>
    <s v="1_축산생명환경부"/>
    <x v="16"/>
    <s v="임다정"/>
    <s v="보도자료112"/>
    <s v="제주마, 오랫동안 독립적으로 진화했다"/>
    <s v="환경일보"/>
    <d v="2019-11-27T00:00:00"/>
    <m/>
    <s v="08_기타일간지"/>
    <n v="2"/>
    <d v="2019-11-28T00:00:00"/>
  </r>
  <r>
    <n v="5077"/>
    <s v="8_국립축산과학원"/>
    <s v="0_본원"/>
    <x v="13"/>
    <s v="유지현"/>
    <s v="보도자료113"/>
    <s v="한·미 ‘동물교감치유 연구 발전’ 모색"/>
    <s v="환경일보"/>
    <d v="2019-11-27T00:00:00"/>
    <m/>
    <s v="08_기타일간지"/>
    <n v="2"/>
    <d v="2019-11-28T00:00:00"/>
  </r>
  <r>
    <n v="5078"/>
    <s v="8_국립축산과학원"/>
    <s v="1_축산생명환경부"/>
    <x v="16"/>
    <s v="임다정"/>
    <s v="보도자료112"/>
    <s v="“제주마, 몽골마 유래 아닌 독립 품종”"/>
    <s v="전업농신문"/>
    <d v="2019-11-27T00:00:00"/>
    <m/>
    <s v="09_농업전문지"/>
    <n v="1.5"/>
    <d v="2019-11-28T00:00:00"/>
  </r>
  <r>
    <n v="5079"/>
    <s v="8_국립축산과학원"/>
    <s v="1_축산생명환경부"/>
    <x v="16"/>
    <s v="임다정"/>
    <s v="보도자료112"/>
    <s v="제주마, 독립적으로 진화"/>
    <s v="팜&amp;마켓매거진"/>
    <d v="2019-11-28T00:00:00"/>
    <m/>
    <s v="09_농업전문지"/>
    <n v="1.5"/>
    <d v="2019-11-28T00:00:00"/>
  </r>
  <r>
    <n v="5080"/>
    <s v="8_국립축산과학원"/>
    <s v="1_축산생명환경부"/>
    <x v="1"/>
    <s v="오건봉"/>
    <s v="보도자료115"/>
    <s v="축산과학원-벨라루스 축산과학응용센터, 업무협약 체결"/>
    <s v="식품저널"/>
    <d v="2019-11-28T00:00:00"/>
    <m/>
    <s v="09_농업전문지"/>
    <n v="1.5"/>
    <d v="2019-11-28T00:00:00"/>
  </r>
  <r>
    <n v="5081"/>
    <s v="8_국립축산과학원"/>
    <s v="1_축산생명환경부"/>
    <x v="16"/>
    <s v="임다정"/>
    <s v="보도자료112"/>
    <s v="“제주馬, 오랫동안 독립적으로 진화했다”"/>
    <s v="새만금일보"/>
    <d v="2019-11-27T00:00:00"/>
    <n v="6"/>
    <s v="09_지방일간지"/>
    <n v="1.5"/>
    <d v="2019-11-28T00:00:00"/>
  </r>
  <r>
    <n v="5082"/>
    <s v="8_국립축산과학원"/>
    <s v="1_축산생명환경부"/>
    <x v="16"/>
    <s v="임다정"/>
    <s v="보도자료112"/>
    <s v="제주마, 해외 말 유전체와는 독립적으로 진화했다"/>
    <s v="제주매일"/>
    <d v="2019-11-27T00:00:00"/>
    <n v="6"/>
    <s v="09_지방일간지"/>
    <n v="1.5"/>
    <d v="2019-11-28T00:00:00"/>
  </r>
  <r>
    <n v="5083"/>
    <s v="8_국립축산과학원"/>
    <s v="1_축산생명환경부"/>
    <x v="16"/>
    <s v="임다정"/>
    <s v="보도자료112"/>
    <s v="제주마, 오랫동안 독립적 진화"/>
    <s v="식약일보"/>
    <d v="2019-11-27T00:00:00"/>
    <m/>
    <s v="10_기타전문지"/>
    <n v="1"/>
    <d v="2019-11-28T00:00:00"/>
  </r>
  <r>
    <n v="5084"/>
    <s v="8_국립축산과학원"/>
    <s v="1_축산생명환경부"/>
    <x v="16"/>
    <s v="임다정"/>
    <s v="보도자료112"/>
    <s v="재래말 제주마, ‘독립 품종’으로 확인"/>
    <s v="어린이동아"/>
    <d v="2019-11-27T00:00:00"/>
    <m/>
    <s v="10_기타전문지"/>
    <n v="1"/>
    <d v="2019-11-28T00:00:00"/>
  </r>
  <r>
    <n v="5085"/>
    <s v="8_국립축산과학원"/>
    <s v="1_축산생명환경부"/>
    <x v="16"/>
    <s v="임다정"/>
    <s v="보도자료112"/>
    <s v="제주마, “오랫동안 독립적으로 진화했다”"/>
    <s v="정책브리핑"/>
    <d v="2019-11-27T00:00:00"/>
    <m/>
    <s v="12_대한민국 정책포털(korea.kr)"/>
    <n v="1"/>
    <d v="2019-11-28T00:00:00"/>
  </r>
  <r>
    <n v="5086"/>
    <s v="8_국립축산과학원"/>
    <s v="1_축산생명환경부"/>
    <x v="16"/>
    <s v="임다정"/>
    <s v="보도자료112"/>
    <s v="농진청, 재래 말 제주마 ‘독립품종’ 확인"/>
    <s v="아유경제"/>
    <d v="2019-11-27T00:00:00"/>
    <m/>
    <s v="13_인터넷포털"/>
    <n v="0.1"/>
    <d v="2019-11-28T00:00:00"/>
  </r>
  <r>
    <n v="5087"/>
    <s v="8_국립축산과학원"/>
    <s v="1_축산생명환경부"/>
    <x v="16"/>
    <s v="임다정"/>
    <s v="보도자료112"/>
    <s v="제주마, “오랫동안 독립적으로 진화했다”"/>
    <s v="전남인터넷신문"/>
    <d v="2019-11-27T00:00:00"/>
    <m/>
    <s v="13_인터넷포털"/>
    <n v="0.1"/>
    <d v="2019-11-28T00:00:00"/>
  </r>
  <r>
    <n v="5088"/>
    <s v="8_국립축산과학원"/>
    <s v="1_축산생명환경부"/>
    <x v="16"/>
    <s v="임다정"/>
    <s v="보도자료112"/>
    <s v="제주마 “오랫동안 독립적으로 진화했다”"/>
    <s v="축제뉴스"/>
    <d v="2019-11-28T00:00:00"/>
    <m/>
    <s v="13_인터넷포털"/>
    <n v="0.1"/>
    <d v="2019-11-28T00:00:00"/>
  </r>
  <r>
    <n v="5089"/>
    <s v="8_국립축산과학원"/>
    <s v="1_축산생명환경부"/>
    <x v="16"/>
    <s v="임다정"/>
    <s v="보도자료112"/>
    <s v="천염기념물 제347호 제주마, 독립적으로 진화 확인"/>
    <s v="농업경제신문"/>
    <d v="2019-11-28T00:00:00"/>
    <m/>
    <s v="13_인터넷포털"/>
    <n v="0.1"/>
    <d v="2019-11-28T00:00:00"/>
  </r>
  <r>
    <n v="5090"/>
    <s v="8_국립축산과학원"/>
    <s v="0_본원"/>
    <x v="11"/>
    <s v="문규철"/>
    <s v="보도자료114"/>
    <s v="농촌진흥청 국립축산과학원, 이웃 나눔 봉사"/>
    <s v="오가닉라이프"/>
    <d v="2019-11-28T00:00:00"/>
    <m/>
    <s v="13_인터넷포털"/>
    <n v="0.1"/>
    <d v="2019-11-28T00:00:00"/>
  </r>
  <r>
    <n v="5091"/>
    <s v="8_국립축산과학원"/>
    <s v="0_본원"/>
    <x v="11"/>
    <s v="문규철"/>
    <s v="보도자료114"/>
    <s v="“따뜻한 연말 보내세요”...축산과학원, 사랑의 연탄 배달"/>
    <s v="라이브팜뉴스"/>
    <d v="2019-11-28T00:00:00"/>
    <m/>
    <s v="13_인터넷포털"/>
    <n v="0.1"/>
    <d v="2019-11-28T00:00:00"/>
  </r>
  <r>
    <n v="5092"/>
    <s v="8_국립축산과학원"/>
    <s v="0_본원"/>
    <x v="11"/>
    <s v="문규철"/>
    <s v="보도자료114"/>
    <s v="국립축산과학원, 전문자격 있는 시설팀과 이웃나눔봉사 실천"/>
    <s v="라이센스뉴스"/>
    <d v="2019-11-28T00:00:00"/>
    <m/>
    <s v="13_인터넷포털"/>
    <n v="0.1"/>
    <d v="2019-11-28T00:00:00"/>
  </r>
  <r>
    <n v="5093"/>
    <s v="8_국립축산과학원"/>
    <s v="0_본원"/>
    <x v="11"/>
    <s v="문규철"/>
    <s v="보도자료114"/>
    <s v="농촌진흥청 국립축산과학원, 완주서 이웃 나눔 봉사!"/>
    <s v="더코리아뉴스"/>
    <d v="2019-11-28T00:00:00"/>
    <m/>
    <s v="13_인터넷포털"/>
    <n v="0.1"/>
    <d v="2019-11-28T00:00:00"/>
  </r>
  <r>
    <n v="5094"/>
    <s v="8_국립축산과학원"/>
    <s v="0_본원"/>
    <x v="13"/>
    <s v="유지현"/>
    <s v="보도자료113"/>
    <s v="농진청, 동물교감치유 ‘국제심포지엄’ 개최"/>
    <s v="세이프타임즈"/>
    <d v="2019-11-28T00:00:00"/>
    <m/>
    <s v="13_인터넷포털"/>
    <n v="0.1"/>
    <d v="2019-11-28T00:00:00"/>
  </r>
  <r>
    <n v="5095"/>
    <s v="8_국립축산과학원"/>
    <s v="1_축산생명환경부"/>
    <x v="16"/>
    <s v="임다정"/>
    <s v="보도자료112"/>
    <s v="제주마(馬), 몽골에서 유래가 아닌 독자 진화했다"/>
    <s v="코리안스피릿"/>
    <d v="2019-11-27T00:00:00"/>
    <m/>
    <s v="13_인터넷포털"/>
    <n v="0.1"/>
    <d v="2019-11-28T00:00:00"/>
  </r>
  <r>
    <n v="5096"/>
    <s v="8_국립축산과학원"/>
    <s v="1_축산생명환경부"/>
    <x v="16"/>
    <s v="임다정"/>
    <s v="보도자료112"/>
    <s v="농진청, “제주마는 독립적인 품종”"/>
    <s v="YTN RADIO"/>
    <d v="2019-11-28T00:00:00"/>
    <m/>
    <s v="06_라디오-지방"/>
    <n v="1.5"/>
    <d v="2019-11-29T00:00:00"/>
  </r>
  <r>
    <n v="5097"/>
    <s v="8_국립축산과학원"/>
    <s v="1_축산생명환경부"/>
    <x v="7"/>
    <s v="김상호"/>
    <m/>
    <s v="쿨링 온실·드론 활용 채소수급 조절... 스마트 농업 이끈다(콩비지·막걸리박 등 식품부산물 한우사료로)"/>
    <s v="세계일보"/>
    <d v="2019-11-28T00:00:00"/>
    <m/>
    <s v="07_중앙일간지"/>
    <n v="5"/>
    <d v="2019-11-29T00:00:00"/>
  </r>
  <r>
    <n v="5098"/>
    <s v="8_국립축산과학원"/>
    <s v="0_본원"/>
    <x v="13"/>
    <s v="유지현"/>
    <s v="보도자료113"/>
    <s v="한미 전문가 ‘동물교감치유’ 사회적 가치 실현 논한다"/>
    <s v="서울신문"/>
    <d v="2019-11-28T00:00:00"/>
    <m/>
    <s v="07_중앙일간지"/>
    <n v="5"/>
    <d v="2019-11-29T00:00:00"/>
  </r>
  <r>
    <n v="5099"/>
    <s v="8_국립축산과학원"/>
    <s v="0_본원"/>
    <x v="13"/>
    <s v="유지현"/>
    <s v="보도자료113"/>
    <s v="‘동물교감치유 활성화방안 국제심포지엄’"/>
    <s v="연합뉴스"/>
    <d v="2019-11-28T00:00:00"/>
    <m/>
    <s v="07_중앙일간지"/>
    <n v="5"/>
    <d v="2019-11-29T00:00:00"/>
  </r>
  <r>
    <n v="5100"/>
    <s v="8_국립축산과학원"/>
    <s v="0_본원"/>
    <x v="11"/>
    <s v="문규철"/>
    <s v="보도자료114"/>
    <s v="사랑의 연탄으로 따뜻한 겨울 보내세요"/>
    <s v="서울신문"/>
    <d v="2019-11-28T00:00:00"/>
    <m/>
    <s v="07_중앙일간지"/>
    <n v="5"/>
    <d v="2019-11-29T00:00:00"/>
  </r>
  <r>
    <n v="5101"/>
    <s v="8_국립축산과학원"/>
    <s v="0_본원"/>
    <x v="11"/>
    <s v="문규철"/>
    <s v="보도자료114"/>
    <s v="“사랑의 연탄으로 따뜻한 겨울 보내요”"/>
    <s v="환경일보"/>
    <d v="2019-11-28T00:00:00"/>
    <m/>
    <s v="08_기타일간지"/>
    <n v="2"/>
    <d v="2019-11-29T00:00:00"/>
  </r>
  <r>
    <n v="5102"/>
    <s v="8_국립축산과학원"/>
    <s v="1_축산생명환경부"/>
    <x v="16"/>
    <s v="임다정"/>
    <s v="보도자료112"/>
    <s v="농촌진흥청, “제주마의 독립적인 진화 확인”"/>
    <s v="매일일보"/>
    <d v="2019-11-28T00:00:00"/>
    <m/>
    <s v="08_기타일간지"/>
    <n v="2"/>
    <d v="2019-11-29T00:00:00"/>
  </r>
  <r>
    <n v="5103"/>
    <s v="8_국립축산과학원"/>
    <s v="1_축산생명환경부"/>
    <x v="1"/>
    <s v="오건봉"/>
    <s v="보도자료115"/>
    <s v="국립축산과학원, 벨라루스 축산과학응용센터 업무협약"/>
    <s v="대한급식신문"/>
    <d v="2019-11-28T00:00:00"/>
    <m/>
    <s v="09_농업전문지"/>
    <n v="1.5"/>
    <d v="2019-11-29T00:00:00"/>
  </r>
  <r>
    <n v="5104"/>
    <s v="8_국립축산과학원"/>
    <s v="1_축산생명환경부"/>
    <x v="1"/>
    <s v="오건봉"/>
    <s v="보도자료115"/>
    <s v="국립축산과학원-벨라루스 축산과학응용센터, MOU 체결"/>
    <s v="농촌여성신문"/>
    <d v="2019-11-29T00:00:00"/>
    <m/>
    <s v="09_농업전문지"/>
    <n v="1.5"/>
    <d v="2019-11-29T00:00:00"/>
  </r>
  <r>
    <n v="5105"/>
    <s v="8_국립축산과학원"/>
    <s v="1_축산생명환경부"/>
    <x v="16"/>
    <s v="임다정"/>
    <s v="보도자료112"/>
    <s v="제주마, “오랫동안 독립적으로 진화했다”"/>
    <s v="농축유통신문"/>
    <d v="2019-11-29T00:00:00"/>
    <m/>
    <s v="09_농업전문지"/>
    <n v="1.5"/>
    <d v="2019-11-29T00:00:00"/>
  </r>
  <r>
    <n v="5106"/>
    <s v="8_국립축산과학원"/>
    <s v="1_축산생명환경부"/>
    <x v="16"/>
    <s v="임다정"/>
    <s v="보도자료112"/>
    <s v="제주마, ‘오랫동안 독립적으로 진화했다’"/>
    <s v="농업인신문"/>
    <d v="2019-11-29T00:00:00"/>
    <m/>
    <s v="09_농업전문지"/>
    <n v="1.5"/>
    <d v="2019-11-29T00:00:00"/>
  </r>
  <r>
    <n v="5107"/>
    <s v="8_국립축산과학원"/>
    <s v="2_축산자원개발부"/>
    <x v="6"/>
    <s v="정종성"/>
    <m/>
    <s v="“우리도 겨울나기 위해 축사로 들어가요~”"/>
    <s v="농축유통신문"/>
    <d v="2019-11-29T00:00:00"/>
    <m/>
    <s v="09_농업전문지"/>
    <n v="1.5"/>
    <d v="2019-11-29T00:00:00"/>
  </r>
  <r>
    <n v="5108"/>
    <s v="8_국립축산과학원"/>
    <s v="0_본원"/>
    <x v="13"/>
    <s v="유지현"/>
    <s v="보도자료113"/>
    <s v="농진청, 한미 전문가 ‘동물교감치유’ 사회적 가치 실현 논한다"/>
    <s v="삼남일보"/>
    <d v="2019-11-28T00:00:00"/>
    <n v="5"/>
    <s v="09_지방일간지"/>
    <n v="1.5"/>
    <d v="2019-11-29T00:00:00"/>
  </r>
  <r>
    <n v="5109"/>
    <s v="8_국립축산과학원"/>
    <s v="0_본원"/>
    <x v="13"/>
    <s v="유지현"/>
    <s v="보도자료113"/>
    <s v="‘동물교감치유’ 국제 심포지엄"/>
    <s v="새전북신문"/>
    <d v="2019-11-28T00:00:00"/>
    <n v="4"/>
    <s v="09_지방일간지"/>
    <n v="1.5"/>
    <d v="2019-11-29T00:00:00"/>
  </r>
  <r>
    <n v="5110"/>
    <s v="8_국립축산과학원"/>
    <s v="0_본원"/>
    <x v="13"/>
    <s v="유지현"/>
    <s v="보도자료113"/>
    <s v="동물교감치유 발전안 모색 농진청, 오늘 국제 심포지엄"/>
    <s v="전라일보"/>
    <d v="2019-11-28T00:00:00"/>
    <n v="6"/>
    <s v="09_지방일간지"/>
    <n v="1.5"/>
    <d v="2019-11-29T00:00:00"/>
  </r>
  <r>
    <n v="5111"/>
    <s v="8_국립축산과학원"/>
    <s v="0_본원"/>
    <x v="13"/>
    <s v="유지현"/>
    <s v="보도자료113"/>
    <s v="한미 전문가 ‘동물교감치유’ 사회적 가치 실현 논의"/>
    <s v="전주매일"/>
    <d v="2019-11-28T00:00:00"/>
    <n v="6"/>
    <s v="09_지방일간지"/>
    <n v="1.5"/>
    <d v="2019-11-29T00:00:00"/>
  </r>
  <r>
    <n v="5112"/>
    <s v="8_국립축산과학원"/>
    <s v="0_본원"/>
    <x v="13"/>
    <s v="유지현"/>
    <s v="보도자료113"/>
    <s v="농진청, 韓美전문가 ‘동물교감치유’ 심포지움 개최"/>
    <s v="새만금일보"/>
    <d v="2019-11-28T00:00:00"/>
    <n v="6"/>
    <s v="09_지방일간지"/>
    <n v="1.5"/>
    <d v="2019-11-29T00:00:00"/>
  </r>
  <r>
    <n v="5113"/>
    <s v="8_국립축산과학원"/>
    <s v="0_본원"/>
    <x v="11"/>
    <s v="문규철"/>
    <s v="보도자료114"/>
    <s v="국립축산과학원 불우이웃에 난방용 연탄·선물 전달"/>
    <s v="전북도민일보"/>
    <d v="2019-11-28T00:00:00"/>
    <n v="15"/>
    <s v="09_지방일간지"/>
    <n v="1.5"/>
    <d v="2019-11-29T00:00:00"/>
  </r>
  <r>
    <n v="5114"/>
    <s v="8_국립축산과학원"/>
    <s v="0_본원"/>
    <x v="11"/>
    <s v="문규철"/>
    <s v="보도자료114"/>
    <s v="농진청 ‘사랑의 연탄 나눔’ 훈훈"/>
    <s v="전라매일"/>
    <d v="2019-11-28T00:00:00"/>
    <n v="4"/>
    <s v="09_지방일간지"/>
    <n v="1.5"/>
    <d v="2019-11-29T00:00:00"/>
  </r>
  <r>
    <n v="5115"/>
    <s v="8_국립축산과학원"/>
    <s v="0_본원"/>
    <x v="11"/>
    <s v="문규철"/>
    <s v="보도자료114"/>
    <s v="농진청 국립축산과학원 완주서 연탄 나눔 봉사"/>
    <s v="전주매일"/>
    <d v="2019-11-28T00:00:00"/>
    <n v="6"/>
    <s v="09_지방일간지"/>
    <n v="1.5"/>
    <d v="2019-11-29T00:00:00"/>
  </r>
  <r>
    <n v="5116"/>
    <s v="8_국립축산과학원"/>
    <s v="0_본원"/>
    <x v="11"/>
    <s v="문규철"/>
    <s v="보도자료114"/>
    <s v="농진청 축산과학원, 이서면 소외이웃에 ‘연탄·선물’"/>
    <s v="전주일보"/>
    <d v="2019-11-28T00:00:00"/>
    <n v="12"/>
    <s v="09_지방일간지"/>
    <n v="1.5"/>
    <d v="2019-11-29T00:00:00"/>
  </r>
  <r>
    <n v="5117"/>
    <s v="8_국립축산과학원"/>
    <s v="0_본원"/>
    <x v="11"/>
    <s v="문규철"/>
    <s v="보도자료114"/>
    <s v="농촌진흥청 국립축산과학원, 완주서 이웃 나눔"/>
    <s v="새전북신문"/>
    <d v="2019-11-28T00:00:00"/>
    <n v="12"/>
    <s v="09_지방일간지"/>
    <n v="1.5"/>
    <d v="2019-11-29T00:00:00"/>
  </r>
  <r>
    <n v="5118"/>
    <s v="8_국립축산과학원"/>
    <s v="1_축산생명환경부"/>
    <x v="5"/>
    <s v="조수현"/>
    <m/>
    <s v="한우 숙성육 사업 발전 가능성 모색"/>
    <s v="강원일보"/>
    <d v="2019-11-28T00:00:00"/>
    <n v="10"/>
    <s v="09_지방일간지"/>
    <n v="1.5"/>
    <d v="2019-11-29T00:00:00"/>
  </r>
  <r>
    <n v="5119"/>
    <s v="8_국립축산과학원"/>
    <s v="0_본원"/>
    <x v="13"/>
    <s v="유지현"/>
    <s v="보도자료113"/>
    <s v="농촌진흥청, 동물교감치유 사회적가치 실현 국제심포지엄 개최"/>
    <s v="전북도민일보"/>
    <d v="2019-11-28T00:00:00"/>
    <m/>
    <s v="09_지방일간지"/>
    <n v="1.5"/>
    <d v="2019-11-29T00:00:00"/>
  </r>
  <r>
    <n v="5120"/>
    <s v="8_국립축산과학원"/>
    <s v="0_본원"/>
    <x v="13"/>
    <s v="유지현"/>
    <s v="보도자료113"/>
    <s v="한미 전문가 ‘동물교감 치유’ 사회적 가치실현 논의"/>
    <s v="식약일보"/>
    <d v="2019-11-28T00:00:00"/>
    <m/>
    <s v="10_기타전문지"/>
    <n v="1"/>
    <d v="2019-11-29T00:00:00"/>
  </r>
  <r>
    <n v="5121"/>
    <s v="8_국립축산과학원"/>
    <s v="0_본원"/>
    <x v="13"/>
    <s v="유지현"/>
    <s v="보도자료113"/>
    <s v="한미 전문가 ‘동물교감치유’ 사회적 가치 실현 논한다"/>
    <s v="정책브리핑"/>
    <d v="2019-11-28T00:00:00"/>
    <m/>
    <s v="12_대한민국 정책포털(korea.kr)"/>
    <n v="1"/>
    <d v="2019-11-29T00:00:00"/>
  </r>
  <r>
    <n v="5122"/>
    <s v="8_국립축산과학원"/>
    <s v="0_본원"/>
    <x v="13"/>
    <s v="유지현"/>
    <s v="보도자료113"/>
    <s v="동물교감치유의 사회적 가치를 실현한다"/>
    <s v="코리안스피릿"/>
    <d v="2019-11-28T00:00:00"/>
    <m/>
    <s v="13_인터넷포털"/>
    <n v="0.1"/>
    <d v="2019-11-29T00:00:00"/>
  </r>
  <r>
    <n v="5123"/>
    <s v="8_국립축산과학원"/>
    <s v="0_본원"/>
    <x v="13"/>
    <s v="유지현"/>
    <s v="보도자료113"/>
    <s v="‘동물교감치유’ 사회적 가치 실현 논한다"/>
    <s v="한국농업인신문"/>
    <d v="2019-11-28T00:00:00"/>
    <m/>
    <s v="13_인터넷포털"/>
    <n v="0.1"/>
    <d v="2019-11-29T00:00:00"/>
  </r>
  <r>
    <n v="5124"/>
    <s v="8_국립축산과학원"/>
    <s v="1_축산생명환경부"/>
    <x v="16"/>
    <s v="임다정"/>
    <s v="보도자료112"/>
    <s v="제주마, “몽골마에서 유래된 게 아니라 독립적으로 진화했다”"/>
    <s v="뉴스다임"/>
    <d v="2019-11-28T00:00:00"/>
    <m/>
    <s v="13_인터넷포털"/>
    <n v="0.1"/>
    <d v="2019-11-29T00:00:00"/>
  </r>
  <r>
    <n v="5125"/>
    <s v="8_국립축산과학원"/>
    <s v="0_본원"/>
    <x v="11"/>
    <s v="문규철"/>
    <s v="보도자료114"/>
    <s v="농촌진흥청, 사랑의 연탄으로 따뜻한 겨울 보내세요"/>
    <s v="코리아데일리"/>
    <d v="2019-11-28T00:00:00"/>
    <m/>
    <s v="13_인터넷포털"/>
    <n v="0.1"/>
    <d v="2019-11-29T00:00:00"/>
  </r>
  <r>
    <n v="5126"/>
    <s v="8_국립축산과학원"/>
    <s v="0_본원"/>
    <x v="13"/>
    <s v="유지현"/>
    <s v="보도자료113"/>
    <s v="맞손 잡은 한미 전문가의 ‘동물교감치유’"/>
    <s v="프레시안"/>
    <d v="2019-11-28T00:00:00"/>
    <m/>
    <s v="13_인터넷포털"/>
    <n v="0.1"/>
    <d v="2019-11-29T00:00:00"/>
  </r>
  <r>
    <n v="5127"/>
    <s v="8_국립축산과학원"/>
    <s v="0_본원"/>
    <x v="11"/>
    <s v="문규철"/>
    <s v="보도자료114"/>
    <s v="사랑의 연탄으로 따뜻한 겨울 보내세요"/>
    <s v="창업일보"/>
    <d v="2019-11-28T00:00:00"/>
    <m/>
    <s v="13_인터넷포털"/>
    <n v="0.1"/>
    <d v="2019-11-29T00:00:00"/>
  </r>
  <r>
    <n v="5128"/>
    <s v="8_국립축산과학원"/>
    <s v="1_축산생명환경부"/>
    <x v="1"/>
    <s v="오건봉"/>
    <s v="보도자료115"/>
    <s v="국립축산과학원, 벨라루스 축산과학응용센터와 업무협약 체결!"/>
    <s v="더코리아뉴스"/>
    <d v="2019-11-29T00:00:00"/>
    <m/>
    <s v="13_인터넷포털"/>
    <n v="0.1"/>
    <d v="2019-11-29T00:00:00"/>
  </r>
  <r>
    <n v="5129"/>
    <s v="8_국립축산과학원"/>
    <s v="0_본원"/>
    <x v="13"/>
    <s v="유지현"/>
    <s v="보도자료113"/>
    <s v="동물교감치유 활성화 방안 국제심포지엄 개최"/>
    <s v="한국애견신문"/>
    <d v="2019-11-29T00:00:00"/>
    <m/>
    <s v="13_인터넷포털"/>
    <n v="0.1"/>
    <d v="2019-11-29T00:00:00"/>
  </r>
  <r>
    <n v="5130"/>
    <s v="8_국립축산과학원"/>
    <s v="1_축산생명환경부"/>
    <x v="17"/>
    <s v="유지현"/>
    <s v="보도자료113"/>
    <s v="동물교감치유 활성화 방안 국제심포지엄 개최"/>
    <s v="한국애견신문"/>
    <d v="2019-11-29T00:00:00"/>
    <m/>
    <s v="13_인터넷포털"/>
    <n v="0.1"/>
    <d v="2019-11-29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피벗 테이블3" cacheId="0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A3:A22" firstHeaderRow="1" firstDataRow="1" firstDataCol="1"/>
  <pivotFields count="13">
    <pivotField showAll="0"/>
    <pivotField showAll="0"/>
    <pivotField showAll="0"/>
    <pivotField axis="axisRow" showAll="0">
      <items count="19">
        <item x="2"/>
        <item x="11"/>
        <item x="13"/>
        <item x="3"/>
        <item x="1"/>
        <item x="16"/>
        <item x="5"/>
        <item x="9"/>
        <item x="7"/>
        <item x="17"/>
        <item x="8"/>
        <item x="12"/>
        <item x="0"/>
        <item x="6"/>
        <item x="15"/>
        <item x="14"/>
        <item x="4"/>
        <item x="10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  <pivotField showAll="0"/>
    <pivotField numFmtId="14" showAll="0"/>
  </pivotFields>
  <rowFields count="1">
    <field x="3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5548"/>
  <sheetViews>
    <sheetView tabSelected="1" zoomScaleNormal="100" workbookViewId="0">
      <pane ySplit="1" topLeftCell="A2" activePane="bottomLeft" state="frozen"/>
      <selection pane="bottomLeft" activeCell="G89" sqref="G89"/>
    </sheetView>
  </sheetViews>
  <sheetFormatPr defaultColWidth="9" defaultRowHeight="12" x14ac:dyDescent="0.3"/>
  <cols>
    <col min="1" max="1" width="5.625" style="1" customWidth="1"/>
    <col min="2" max="2" width="16.125" style="2" bestFit="1" customWidth="1"/>
    <col min="3" max="3" width="16.125" style="2" hidden="1" customWidth="1"/>
    <col min="4" max="4" width="15.25" style="2" customWidth="1"/>
    <col min="5" max="5" width="17.375" style="2" customWidth="1"/>
    <col min="6" max="6" width="12.25" style="1" customWidth="1"/>
    <col min="7" max="7" width="15.875" style="34" customWidth="1"/>
    <col min="8" max="8" width="63" style="2" customWidth="1"/>
    <col min="9" max="9" width="22.25" style="1" bestFit="1" customWidth="1"/>
    <col min="10" max="10" width="12.375" style="3" customWidth="1"/>
    <col min="11" max="11" width="9" style="26" bestFit="1" customWidth="1"/>
    <col min="12" max="12" width="15" style="2" customWidth="1"/>
    <col min="13" max="13" width="7.375" style="48" customWidth="1"/>
    <col min="14" max="14" width="11.5" style="1" customWidth="1"/>
    <col min="15" max="16384" width="9" style="1"/>
  </cols>
  <sheetData>
    <row r="1" spans="1:15" ht="12" customHeight="1" x14ac:dyDescent="0.3">
      <c r="A1" s="4" t="s">
        <v>0</v>
      </c>
      <c r="B1" s="4" t="s">
        <v>78</v>
      </c>
      <c r="C1" s="4" t="s">
        <v>728</v>
      </c>
      <c r="D1" s="4" t="s">
        <v>727</v>
      </c>
      <c r="E1" s="4" t="s">
        <v>3</v>
      </c>
      <c r="F1" s="4" t="s">
        <v>79</v>
      </c>
      <c r="G1" s="4" t="s">
        <v>80</v>
      </c>
      <c r="H1" s="4" t="s">
        <v>4</v>
      </c>
      <c r="I1" s="4" t="s">
        <v>81</v>
      </c>
      <c r="J1" s="5" t="s">
        <v>5</v>
      </c>
      <c r="K1" s="25" t="s">
        <v>6</v>
      </c>
      <c r="L1" s="4" t="s">
        <v>82</v>
      </c>
      <c r="M1" s="63" t="s">
        <v>83</v>
      </c>
      <c r="N1" s="6" t="s">
        <v>84</v>
      </c>
    </row>
    <row r="2" spans="1:15" ht="12" customHeight="1" x14ac:dyDescent="0.3">
      <c r="A2" s="1">
        <v>1</v>
      </c>
      <c r="B2" s="35" t="s">
        <v>29</v>
      </c>
      <c r="C2" s="35" t="str">
        <f t="shared" ref="C2:C14" si="0">E2</f>
        <v>4_조사료생산시스템과</v>
      </c>
      <c r="D2" s="30" t="s">
        <v>19</v>
      </c>
      <c r="E2" s="12" t="s">
        <v>897</v>
      </c>
      <c r="F2" s="37" t="s">
        <v>898</v>
      </c>
      <c r="G2" s="37" t="s">
        <v>899</v>
      </c>
      <c r="H2" s="40" t="s">
        <v>798</v>
      </c>
      <c r="I2" s="1" t="s">
        <v>797</v>
      </c>
      <c r="J2" s="3">
        <v>45880</v>
      </c>
      <c r="K2" s="26">
        <v>6</v>
      </c>
      <c r="L2" s="36" t="str">
        <f>IFERROR(VLOOKUP(I2,보도매체!$A:$C,2,FALSE), "")</f>
        <v>09_농업전문지</v>
      </c>
      <c r="M2" s="38">
        <f>IFERROR(VLOOKUP(I2,보도매체!$A:$C,3,FALSE), "")</f>
        <v>1.5</v>
      </c>
      <c r="N2" s="3"/>
      <c r="O2" s="37"/>
    </row>
    <row r="3" spans="1:15" ht="12" customHeight="1" x14ac:dyDescent="0.3">
      <c r="A3" s="1">
        <v>2</v>
      </c>
      <c r="B3" s="35" t="s">
        <v>29</v>
      </c>
      <c r="C3" s="35" t="str">
        <f t="shared" si="0"/>
        <v>1_가축개량평가과</v>
      </c>
      <c r="D3" s="30" t="s">
        <v>19</v>
      </c>
      <c r="E3" s="12" t="s">
        <v>20</v>
      </c>
      <c r="F3" s="37" t="s">
        <v>910</v>
      </c>
      <c r="G3" s="37" t="s">
        <v>911</v>
      </c>
      <c r="H3" s="40" t="s">
        <v>799</v>
      </c>
      <c r="I3" s="1" t="s">
        <v>797</v>
      </c>
      <c r="J3" s="3">
        <v>45880</v>
      </c>
      <c r="K3" s="26">
        <v>6</v>
      </c>
      <c r="L3" s="36" t="str">
        <f>IFERROR(VLOOKUP(I3,보도매체!$A:$C,2,FALSE), "")</f>
        <v>09_농업전문지</v>
      </c>
      <c r="M3" s="38">
        <f>IFERROR(VLOOKUP(I3,보도매체!$A:$C,3,FALSE), "")</f>
        <v>1.5</v>
      </c>
      <c r="N3" s="3"/>
      <c r="O3" s="37"/>
    </row>
    <row r="4" spans="1:15" ht="12" customHeight="1" x14ac:dyDescent="0.3">
      <c r="A4" s="1">
        <v>3</v>
      </c>
      <c r="B4" s="35" t="s">
        <v>29</v>
      </c>
      <c r="C4" s="35" t="str">
        <f t="shared" si="0"/>
        <v>3_축산푸드테크과</v>
      </c>
      <c r="D4" s="30" t="s">
        <v>14</v>
      </c>
      <c r="E4" s="12" t="s">
        <v>912</v>
      </c>
      <c r="F4" s="37" t="s">
        <v>913</v>
      </c>
      <c r="G4" s="37" t="s">
        <v>914</v>
      </c>
      <c r="H4" s="40" t="s">
        <v>801</v>
      </c>
      <c r="I4" s="1" t="s">
        <v>800</v>
      </c>
      <c r="J4" s="3">
        <v>45887</v>
      </c>
      <c r="K4" s="26">
        <v>4</v>
      </c>
      <c r="L4" s="36" t="str">
        <f>IFERROR(VLOOKUP(I4,보도매체!$A:$C,2,FALSE), "")</f>
        <v>09_농업전문지</v>
      </c>
      <c r="M4" s="38">
        <f>IFERROR(VLOOKUP(I4,보도매체!$A:$C,3,FALSE), "")</f>
        <v>1.5</v>
      </c>
      <c r="N4" s="3"/>
    </row>
    <row r="5" spans="1:15" ht="12" customHeight="1" x14ac:dyDescent="0.3">
      <c r="A5" s="1">
        <v>4</v>
      </c>
      <c r="B5" s="35" t="s">
        <v>29</v>
      </c>
      <c r="C5" s="35" t="str">
        <f t="shared" si="0"/>
        <v>1_가축개량평가과</v>
      </c>
      <c r="D5" s="30" t="str">
        <f>IFERROR(VLOOKUP(C5,소속부서!$A$2:$B$20,2,FALSE), "")</f>
        <v>2_축산자원개발부</v>
      </c>
      <c r="E5" s="12" t="s">
        <v>20</v>
      </c>
      <c r="F5" s="37" t="s">
        <v>915</v>
      </c>
      <c r="G5" s="37"/>
      <c r="H5" s="40" t="s">
        <v>802</v>
      </c>
      <c r="I5" s="1" t="s">
        <v>800</v>
      </c>
      <c r="J5" s="3">
        <v>45887</v>
      </c>
      <c r="K5" s="26">
        <v>1</v>
      </c>
      <c r="L5" s="36" t="str">
        <f>IFERROR(VLOOKUP(I5,보도매체!$A:$C,2,FALSE), "")</f>
        <v>09_농업전문지</v>
      </c>
      <c r="M5" s="38">
        <f>IFERROR(VLOOKUP(I5,보도매체!$A:$C,3,FALSE), "")</f>
        <v>1.5</v>
      </c>
      <c r="N5" s="3"/>
      <c r="O5" s="37"/>
    </row>
    <row r="6" spans="1:15" ht="12" customHeight="1" x14ac:dyDescent="0.3">
      <c r="A6" s="1">
        <v>5</v>
      </c>
      <c r="B6" s="35" t="s">
        <v>29</v>
      </c>
      <c r="C6" s="35" t="str">
        <f t="shared" si="0"/>
        <v>5_가축유전자원센터</v>
      </c>
      <c r="D6" s="30" t="s">
        <v>8</v>
      </c>
      <c r="E6" s="12" t="s">
        <v>12</v>
      </c>
      <c r="F6" s="37" t="s">
        <v>903</v>
      </c>
      <c r="G6" s="37" t="s">
        <v>904</v>
      </c>
      <c r="H6" s="40" t="s">
        <v>803</v>
      </c>
      <c r="I6" s="1" t="s">
        <v>804</v>
      </c>
      <c r="J6" s="3">
        <v>45889</v>
      </c>
      <c r="L6" s="36" t="str">
        <f>IFERROR(VLOOKUP(I6,보도매체!$A:$C,2,FALSE), "")</f>
        <v>09_농업전문지</v>
      </c>
      <c r="M6" s="38">
        <f>IFERROR(VLOOKUP(I6,보도매체!$A:$C,3,FALSE), "")</f>
        <v>1.5</v>
      </c>
      <c r="N6" s="3"/>
      <c r="O6" s="37"/>
    </row>
    <row r="7" spans="1:15" ht="12" customHeight="1" x14ac:dyDescent="0.3">
      <c r="A7" s="1">
        <v>6</v>
      </c>
      <c r="B7" s="35" t="s">
        <v>29</v>
      </c>
      <c r="C7" s="35" t="str">
        <f t="shared" si="0"/>
        <v>5_가축유전자원센터</v>
      </c>
      <c r="D7" s="30" t="s">
        <v>8</v>
      </c>
      <c r="E7" s="12" t="s">
        <v>12</v>
      </c>
      <c r="F7" s="37" t="s">
        <v>903</v>
      </c>
      <c r="G7" s="37" t="s">
        <v>904</v>
      </c>
      <c r="H7" s="40" t="s">
        <v>805</v>
      </c>
      <c r="I7" s="1" t="s">
        <v>806</v>
      </c>
      <c r="J7" s="3">
        <v>45890</v>
      </c>
      <c r="L7" s="36" t="str">
        <f>IFERROR(VLOOKUP(I7,보도매체!$A:$C,2,FALSE), "")</f>
        <v>09_농업전문지</v>
      </c>
      <c r="M7" s="38">
        <f>IFERROR(VLOOKUP(I7,보도매체!$A:$C,3,FALSE), "")</f>
        <v>1.5</v>
      </c>
      <c r="N7" s="3"/>
      <c r="O7" s="37"/>
    </row>
    <row r="8" spans="1:15" ht="12" customHeight="1" x14ac:dyDescent="0.3">
      <c r="A8" s="1">
        <v>7</v>
      </c>
      <c r="B8" s="35" t="s">
        <v>29</v>
      </c>
      <c r="C8" s="35" t="str">
        <f t="shared" si="0"/>
        <v>6_동물복지과</v>
      </c>
      <c r="D8" s="30" t="s">
        <v>14</v>
      </c>
      <c r="E8" s="12" t="s">
        <v>907</v>
      </c>
      <c r="F8" s="37" t="s">
        <v>908</v>
      </c>
      <c r="G8" s="37" t="s">
        <v>909</v>
      </c>
      <c r="H8" s="40" t="s">
        <v>807</v>
      </c>
      <c r="I8" s="1" t="s">
        <v>804</v>
      </c>
      <c r="J8" s="3">
        <v>45890</v>
      </c>
      <c r="L8" s="36" t="str">
        <f>IFERROR(VLOOKUP(I8,보도매체!$A:$C,2,FALSE), "")</f>
        <v>09_농업전문지</v>
      </c>
      <c r="M8" s="38">
        <f>IFERROR(VLOOKUP(I8,보도매체!$A:$C,3,FALSE), "")</f>
        <v>1.5</v>
      </c>
      <c r="N8" s="3"/>
      <c r="O8" s="37"/>
    </row>
    <row r="9" spans="1:15" ht="12" customHeight="1" x14ac:dyDescent="0.3">
      <c r="A9" s="1">
        <v>8</v>
      </c>
      <c r="B9" s="35" t="s">
        <v>29</v>
      </c>
      <c r="C9" s="35" t="str">
        <f t="shared" si="0"/>
        <v>5_가축정밀영양과</v>
      </c>
      <c r="D9" s="30" t="s">
        <v>14</v>
      </c>
      <c r="E9" s="12" t="s">
        <v>916</v>
      </c>
      <c r="F9" s="37" t="s">
        <v>917</v>
      </c>
      <c r="G9" s="37" t="s">
        <v>918</v>
      </c>
      <c r="H9" s="40" t="s">
        <v>808</v>
      </c>
      <c r="I9" s="1" t="s">
        <v>804</v>
      </c>
      <c r="J9" s="3">
        <v>45890</v>
      </c>
      <c r="L9" s="36" t="str">
        <f>IFERROR(VLOOKUP(I9,보도매체!$A:$C,2,FALSE), "")</f>
        <v>09_농업전문지</v>
      </c>
      <c r="M9" s="38">
        <f>IFERROR(VLOOKUP(I9,보도매체!$A:$C,3,FALSE), "")</f>
        <v>1.5</v>
      </c>
      <c r="N9" s="3"/>
      <c r="O9" s="37"/>
    </row>
    <row r="10" spans="1:15" ht="12" customHeight="1" x14ac:dyDescent="0.3">
      <c r="A10" s="1">
        <v>9</v>
      </c>
      <c r="B10" s="35" t="s">
        <v>29</v>
      </c>
      <c r="C10" s="35" t="str">
        <f t="shared" si="0"/>
        <v>3_축산푸드테크과</v>
      </c>
      <c r="D10" s="30" t="str">
        <f>IFERROR(VLOOKUP(C10,소속부서!$A$2:$B$20,2,FALSE), "")</f>
        <v>1_축산생명환경부</v>
      </c>
      <c r="E10" s="12" t="s">
        <v>912</v>
      </c>
      <c r="F10" s="37" t="s">
        <v>921</v>
      </c>
      <c r="G10" s="37"/>
      <c r="H10" s="40" t="s">
        <v>809</v>
      </c>
      <c r="I10" s="1" t="s">
        <v>810</v>
      </c>
      <c r="J10" s="3">
        <v>45891</v>
      </c>
      <c r="L10" s="36" t="str">
        <f>IFERROR(VLOOKUP(I10,보도매체!$A:$C,2,FALSE), "")</f>
        <v>07_중앙일간지</v>
      </c>
      <c r="M10" s="38">
        <f>IFERROR(VLOOKUP(I10,보도매체!$A:$C,3,FALSE), "")</f>
        <v>5</v>
      </c>
      <c r="N10" s="3"/>
      <c r="O10" s="37"/>
    </row>
    <row r="11" spans="1:15" ht="12" customHeight="1" x14ac:dyDescent="0.3">
      <c r="A11" s="1">
        <v>10</v>
      </c>
      <c r="B11" s="35" t="s">
        <v>29</v>
      </c>
      <c r="C11" s="35" t="str">
        <f t="shared" si="0"/>
        <v>2_낙농과</v>
      </c>
      <c r="D11" s="67" t="s">
        <v>19</v>
      </c>
      <c r="E11" s="68" t="s">
        <v>21</v>
      </c>
      <c r="F11" s="69" t="s">
        <v>901</v>
      </c>
      <c r="G11" s="69" t="s">
        <v>902</v>
      </c>
      <c r="H11" s="78" t="s">
        <v>811</v>
      </c>
      <c r="I11" s="69" t="s">
        <v>812</v>
      </c>
      <c r="J11" s="79">
        <v>45885</v>
      </c>
      <c r="K11" s="80">
        <v>11</v>
      </c>
      <c r="L11" s="81" t="str">
        <f>IFERROR(VLOOKUP(I11,보도매체!$A:$C,2,FALSE), "")</f>
        <v>09_농업전문지</v>
      </c>
      <c r="M11" s="82">
        <f>IFERROR(VLOOKUP(I11,보도매체!$A:$C,3,FALSE), "")</f>
        <v>1.5</v>
      </c>
      <c r="N11" s="3"/>
      <c r="O11" s="37"/>
    </row>
    <row r="12" spans="1:15" ht="12" customHeight="1" x14ac:dyDescent="0.3">
      <c r="A12" s="1">
        <v>11</v>
      </c>
      <c r="B12" s="35" t="s">
        <v>29</v>
      </c>
      <c r="C12" s="35" t="str">
        <f t="shared" si="0"/>
        <v>4_조사료생산시스템과</v>
      </c>
      <c r="D12" s="30" t="s">
        <v>19</v>
      </c>
      <c r="E12" s="2" t="s">
        <v>897</v>
      </c>
      <c r="F12" s="1" t="s">
        <v>922</v>
      </c>
      <c r="G12" s="37"/>
      <c r="H12" s="40" t="s">
        <v>813</v>
      </c>
      <c r="I12" s="1" t="s">
        <v>814</v>
      </c>
      <c r="J12" s="3">
        <v>45774</v>
      </c>
      <c r="L12" s="36" t="str">
        <f>IFERROR(VLOOKUP(I12,보도매체!$A:$C,2,FALSE), "")</f>
        <v>13_인터넷포털</v>
      </c>
      <c r="M12" s="38">
        <f>IFERROR(VLOOKUP(I12,보도매체!$A:$C,3,FALSE), "")</f>
        <v>0.1</v>
      </c>
      <c r="N12" s="3"/>
      <c r="O12" s="37"/>
    </row>
    <row r="13" spans="1:15" ht="12" customHeight="1" x14ac:dyDescent="0.3">
      <c r="A13" s="1">
        <v>12</v>
      </c>
      <c r="B13" s="35" t="s">
        <v>29</v>
      </c>
      <c r="C13" s="35" t="str">
        <f t="shared" si="0"/>
        <v>3_기술지원과</v>
      </c>
      <c r="D13" s="30" t="str">
        <f>IFERROR(VLOOKUP(C13,소속부서!$A$2:$B$20,2,FALSE), "")</f>
        <v>0_본원</v>
      </c>
      <c r="E13" s="12" t="s">
        <v>11</v>
      </c>
      <c r="F13" s="37" t="s">
        <v>900</v>
      </c>
      <c r="G13" s="37"/>
      <c r="H13" s="40" t="s">
        <v>815</v>
      </c>
      <c r="I13" s="1" t="s">
        <v>814</v>
      </c>
      <c r="J13" s="3">
        <v>45776</v>
      </c>
      <c r="L13" s="36" t="str">
        <f>IFERROR(VLOOKUP(I13,보도매체!$A:$C,2,FALSE), "")</f>
        <v>13_인터넷포털</v>
      </c>
      <c r="M13" s="38">
        <f>IFERROR(VLOOKUP(I13,보도매체!$A:$C,3,FALSE), "")</f>
        <v>0.1</v>
      </c>
      <c r="N13" s="3"/>
    </row>
    <row r="14" spans="1:15" ht="12" customHeight="1" x14ac:dyDescent="0.3">
      <c r="A14" s="1">
        <v>13</v>
      </c>
      <c r="B14" s="35" t="s">
        <v>29</v>
      </c>
      <c r="C14" s="35" t="str">
        <f t="shared" si="0"/>
        <v>3_기술지원과</v>
      </c>
      <c r="D14" s="30" t="s">
        <v>8</v>
      </c>
      <c r="E14" s="12" t="s">
        <v>11</v>
      </c>
      <c r="F14" s="37" t="s">
        <v>923</v>
      </c>
      <c r="G14" s="37" t="s">
        <v>924</v>
      </c>
      <c r="H14" s="40" t="s">
        <v>816</v>
      </c>
      <c r="I14" s="1" t="s">
        <v>814</v>
      </c>
      <c r="J14" s="3">
        <v>45778</v>
      </c>
      <c r="L14" s="36" t="str">
        <f>IFERROR(VLOOKUP(I14,보도매체!$A:$C,2,FALSE), "")</f>
        <v>13_인터넷포털</v>
      </c>
      <c r="M14" s="38">
        <f>IFERROR(VLOOKUP(I14,보도매체!$A:$C,3,FALSE), "")</f>
        <v>0.1</v>
      </c>
      <c r="N14" s="3"/>
      <c r="O14" s="37"/>
    </row>
    <row r="15" spans="1:15" ht="12" customHeight="1" x14ac:dyDescent="0.3">
      <c r="A15" s="1">
        <v>14</v>
      </c>
      <c r="B15" s="35" t="s">
        <v>29</v>
      </c>
      <c r="C15" s="35" t="str">
        <f t="shared" ref="C15:C67" si="1">E15</f>
        <v>2_운영지원과</v>
      </c>
      <c r="D15" s="30" t="s">
        <v>8</v>
      </c>
      <c r="E15" s="35" t="s">
        <v>10</v>
      </c>
      <c r="F15" s="1" t="s">
        <v>925</v>
      </c>
      <c r="G15" s="37"/>
      <c r="H15" s="40" t="s">
        <v>817</v>
      </c>
      <c r="I15" s="1" t="s">
        <v>814</v>
      </c>
      <c r="J15" s="3">
        <v>45783</v>
      </c>
      <c r="L15" s="36" t="str">
        <f>IFERROR(VLOOKUP(I15,보도매체!$A:$C,2,FALSE), "")</f>
        <v>13_인터넷포털</v>
      </c>
      <c r="M15" s="38">
        <f>IFERROR(VLOOKUP(I15,보도매체!$A:$C,3,FALSE), "")</f>
        <v>0.1</v>
      </c>
      <c r="N15" s="3"/>
      <c r="O15" s="37"/>
    </row>
    <row r="16" spans="1:15" ht="12" customHeight="1" x14ac:dyDescent="0.3">
      <c r="A16" s="1">
        <v>15</v>
      </c>
      <c r="B16" s="35" t="s">
        <v>29</v>
      </c>
      <c r="C16" s="35" t="str">
        <f t="shared" si="1"/>
        <v>4_조사료생산시스템과</v>
      </c>
      <c r="D16" s="30" t="s">
        <v>19</v>
      </c>
      <c r="E16" s="12" t="s">
        <v>897</v>
      </c>
      <c r="F16" s="37" t="s">
        <v>898</v>
      </c>
      <c r="G16" s="37" t="s">
        <v>899</v>
      </c>
      <c r="H16" s="40" t="s">
        <v>818</v>
      </c>
      <c r="I16" s="1" t="s">
        <v>814</v>
      </c>
      <c r="J16" s="3">
        <v>45790</v>
      </c>
      <c r="L16" s="36" t="str">
        <f>IFERROR(VLOOKUP(I16,보도매체!$A:$C,2,FALSE), "")</f>
        <v>13_인터넷포털</v>
      </c>
      <c r="M16" s="38">
        <f>IFERROR(VLOOKUP(I16,보도매체!$A:$C,3,FALSE), "")</f>
        <v>0.1</v>
      </c>
      <c r="N16" s="3"/>
      <c r="O16" s="37"/>
    </row>
    <row r="17" spans="1:14" ht="12" customHeight="1" x14ac:dyDescent="0.3">
      <c r="A17" s="1">
        <v>16</v>
      </c>
      <c r="B17" s="35" t="s">
        <v>29</v>
      </c>
      <c r="C17" s="35" t="str">
        <f t="shared" si="1"/>
        <v>5_가축정밀영양과</v>
      </c>
      <c r="D17" s="30" t="s">
        <v>14</v>
      </c>
      <c r="E17" s="12" t="s">
        <v>916</v>
      </c>
      <c r="F17" s="37" t="s">
        <v>919</v>
      </c>
      <c r="G17" s="37" t="s">
        <v>920</v>
      </c>
      <c r="H17" s="40" t="s">
        <v>819</v>
      </c>
      <c r="I17" s="1" t="s">
        <v>814</v>
      </c>
      <c r="J17" s="3">
        <v>45792</v>
      </c>
      <c r="L17" s="36" t="str">
        <f>IFERROR(VLOOKUP(I17,보도매체!$A:$C,2,FALSE), "")</f>
        <v>13_인터넷포털</v>
      </c>
      <c r="M17" s="38">
        <f>IFERROR(VLOOKUP(I17,보도매체!$A:$C,3,FALSE), "")</f>
        <v>0.1</v>
      </c>
      <c r="N17" s="3"/>
    </row>
    <row r="18" spans="1:14" ht="12" customHeight="1" x14ac:dyDescent="0.3">
      <c r="A18" s="1">
        <v>17</v>
      </c>
      <c r="B18" s="35" t="s">
        <v>29</v>
      </c>
      <c r="C18" s="35" t="str">
        <f t="shared" si="1"/>
        <v>4_스마트축산환경과</v>
      </c>
      <c r="D18" s="30" t="str">
        <f>IFERROR(VLOOKUP(C18,소속부서!$A$2:$B$20,2,FALSE), "")</f>
        <v>1_축산생명환경부</v>
      </c>
      <c r="E18" s="12" t="s">
        <v>928</v>
      </c>
      <c r="F18" s="37" t="s">
        <v>927</v>
      </c>
      <c r="G18" s="37" t="s">
        <v>926</v>
      </c>
      <c r="H18" s="40" t="s">
        <v>820</v>
      </c>
      <c r="I18" s="1" t="s">
        <v>814</v>
      </c>
      <c r="J18" s="3">
        <v>45793</v>
      </c>
      <c r="L18" s="36" t="str">
        <f>IFERROR(VLOOKUP(I18,보도매체!$A:$C,2,FALSE), "")</f>
        <v>13_인터넷포털</v>
      </c>
      <c r="M18" s="38">
        <f>IFERROR(VLOOKUP(I18,보도매체!$A:$C,3,FALSE), "")</f>
        <v>0.1</v>
      </c>
      <c r="N18" s="3"/>
    </row>
    <row r="19" spans="1:14" ht="12" customHeight="1" x14ac:dyDescent="0.3">
      <c r="A19" s="1">
        <v>18</v>
      </c>
      <c r="B19" s="35" t="s">
        <v>29</v>
      </c>
      <c r="C19" s="35" t="str">
        <f t="shared" si="1"/>
        <v>7_난지축산연구센터</v>
      </c>
      <c r="D19" s="30" t="str">
        <f>IFERROR(VLOOKUP(C19,소속부서!$A$2:$B$20,2,FALSE), "")</f>
        <v>2_축산자원개발부</v>
      </c>
      <c r="E19" s="2" t="s">
        <v>776</v>
      </c>
      <c r="F19" s="37" t="s">
        <v>929</v>
      </c>
      <c r="G19" s="37" t="s">
        <v>930</v>
      </c>
      <c r="H19" s="40" t="s">
        <v>821</v>
      </c>
      <c r="I19" s="1" t="s">
        <v>814</v>
      </c>
      <c r="J19" s="3">
        <v>45798</v>
      </c>
      <c r="L19" s="36" t="str">
        <f>IFERROR(VLOOKUP(I19,보도매체!$A:$C,2,FALSE), "")</f>
        <v>13_인터넷포털</v>
      </c>
      <c r="M19" s="38">
        <f>IFERROR(VLOOKUP(I19,보도매체!$A:$C,3,FALSE), "")</f>
        <v>0.1</v>
      </c>
      <c r="N19" s="3"/>
    </row>
    <row r="20" spans="1:14" ht="12" customHeight="1" x14ac:dyDescent="0.3">
      <c r="A20" s="1">
        <v>19</v>
      </c>
      <c r="B20" s="35" t="s">
        <v>29</v>
      </c>
      <c r="C20" s="35" t="str">
        <f t="shared" si="1"/>
        <v>2_낙농과</v>
      </c>
      <c r="D20" s="30" t="s">
        <v>19</v>
      </c>
      <c r="E20" s="12" t="s">
        <v>21</v>
      </c>
      <c r="F20" s="37" t="s">
        <v>931</v>
      </c>
      <c r="G20" s="37"/>
      <c r="H20" s="40" t="s">
        <v>822</v>
      </c>
      <c r="I20" s="1" t="s">
        <v>814</v>
      </c>
      <c r="J20" s="3">
        <v>45803</v>
      </c>
      <c r="L20" s="36" t="str">
        <f>IFERROR(VLOOKUP(I20,보도매체!$A:$C,2,FALSE), "")</f>
        <v>13_인터넷포털</v>
      </c>
      <c r="M20" s="38">
        <f>IFERROR(VLOOKUP(I20,보도매체!$A:$C,3,FALSE), "")</f>
        <v>0.1</v>
      </c>
      <c r="N20" s="3"/>
    </row>
    <row r="21" spans="1:14" ht="12" customHeight="1" x14ac:dyDescent="0.3">
      <c r="A21" s="1">
        <v>20</v>
      </c>
      <c r="B21" s="35" t="s">
        <v>29</v>
      </c>
      <c r="C21" s="35"/>
      <c r="D21" s="70" t="s">
        <v>8</v>
      </c>
      <c r="E21" s="71" t="s">
        <v>11</v>
      </c>
      <c r="F21" s="72" t="s">
        <v>932</v>
      </c>
      <c r="G21" s="72" t="s">
        <v>933</v>
      </c>
      <c r="H21" s="73" t="s">
        <v>823</v>
      </c>
      <c r="I21" s="72" t="s">
        <v>814</v>
      </c>
      <c r="J21" s="74">
        <v>45805</v>
      </c>
      <c r="K21" s="75"/>
      <c r="L21" s="76" t="str">
        <f>IFERROR(VLOOKUP(I21,보도매체!$A:$C,2,FALSE), "")</f>
        <v>13_인터넷포털</v>
      </c>
      <c r="M21" s="77">
        <f>IFERROR(VLOOKUP(I21,보도매체!$A:$C,3,FALSE), "")</f>
        <v>0.1</v>
      </c>
      <c r="N21" s="3"/>
    </row>
    <row r="22" spans="1:14" ht="12" customHeight="1" x14ac:dyDescent="0.3">
      <c r="A22" s="1">
        <v>21</v>
      </c>
      <c r="B22" s="35" t="s">
        <v>29</v>
      </c>
      <c r="C22" s="35"/>
      <c r="D22" s="70" t="s">
        <v>19</v>
      </c>
      <c r="E22" s="71" t="s">
        <v>21</v>
      </c>
      <c r="F22" s="72" t="s">
        <v>934</v>
      </c>
      <c r="G22" s="72" t="s">
        <v>935</v>
      </c>
      <c r="H22" s="73" t="s">
        <v>823</v>
      </c>
      <c r="I22" s="72" t="s">
        <v>814</v>
      </c>
      <c r="J22" s="74">
        <v>45805</v>
      </c>
      <c r="K22" s="75"/>
      <c r="L22" s="76" t="str">
        <f>IFERROR(VLOOKUP(I22,보도매체!$A:$C,2,FALSE), "")</f>
        <v>13_인터넷포털</v>
      </c>
      <c r="M22" s="77">
        <f>IFERROR(VLOOKUP(I22,보도매체!$A:$C,3,FALSE), "")</f>
        <v>0.1</v>
      </c>
      <c r="N22" s="3"/>
    </row>
    <row r="23" spans="1:14" ht="12" customHeight="1" x14ac:dyDescent="0.3">
      <c r="A23" s="1">
        <v>22</v>
      </c>
      <c r="B23" s="35" t="s">
        <v>29</v>
      </c>
      <c r="C23" s="35"/>
      <c r="D23" s="70" t="s">
        <v>19</v>
      </c>
      <c r="E23" s="71" t="s">
        <v>22</v>
      </c>
      <c r="F23" s="72" t="s">
        <v>936</v>
      </c>
      <c r="G23" s="72" t="s">
        <v>937</v>
      </c>
      <c r="H23" s="73" t="s">
        <v>823</v>
      </c>
      <c r="I23" s="72" t="s">
        <v>814</v>
      </c>
      <c r="J23" s="74">
        <v>45805</v>
      </c>
      <c r="K23" s="75"/>
      <c r="L23" s="76" t="str">
        <f>IFERROR(VLOOKUP(I23,보도매체!$A:$C,2,FALSE), "")</f>
        <v>13_인터넷포털</v>
      </c>
      <c r="M23" s="77">
        <f>IFERROR(VLOOKUP(I23,보도매체!$A:$C,3,FALSE), "")</f>
        <v>0.1</v>
      </c>
      <c r="N23" s="3"/>
    </row>
    <row r="24" spans="1:14" ht="12" customHeight="1" x14ac:dyDescent="0.3">
      <c r="A24" s="1">
        <v>23</v>
      </c>
      <c r="B24" s="35" t="s">
        <v>29</v>
      </c>
      <c r="C24" s="35" t="str">
        <f t="shared" si="1"/>
        <v>6_가금연구센터</v>
      </c>
      <c r="D24" s="70" t="s">
        <v>19</v>
      </c>
      <c r="E24" s="71" t="s">
        <v>938</v>
      </c>
      <c r="F24" s="72" t="s">
        <v>939</v>
      </c>
      <c r="G24" s="72" t="s">
        <v>940</v>
      </c>
      <c r="H24" s="73" t="s">
        <v>823</v>
      </c>
      <c r="I24" s="72" t="s">
        <v>814</v>
      </c>
      <c r="J24" s="74">
        <v>45805</v>
      </c>
      <c r="K24" s="75"/>
      <c r="L24" s="76" t="str">
        <f>IFERROR(VLOOKUP(I24,보도매체!$A:$C,2,FALSE), "")</f>
        <v>13_인터넷포털</v>
      </c>
      <c r="M24" s="77">
        <f>IFERROR(VLOOKUP(I24,보도매체!$A:$C,3,FALSE), "")</f>
        <v>0.1</v>
      </c>
      <c r="N24" s="3"/>
    </row>
    <row r="25" spans="1:14" ht="12" customHeight="1" x14ac:dyDescent="0.3">
      <c r="A25" s="1">
        <v>24</v>
      </c>
      <c r="B25" s="35" t="s">
        <v>29</v>
      </c>
      <c r="C25" s="35" t="str">
        <f t="shared" si="1"/>
        <v>4_스마트축산환경과</v>
      </c>
      <c r="D25" s="30" t="s">
        <v>14</v>
      </c>
      <c r="E25" s="12" t="s">
        <v>928</v>
      </c>
      <c r="F25" s="37" t="s">
        <v>943</v>
      </c>
      <c r="G25" s="37"/>
      <c r="H25" s="40" t="s">
        <v>824</v>
      </c>
      <c r="I25" s="1" t="s">
        <v>814</v>
      </c>
      <c r="J25" s="3">
        <v>45805</v>
      </c>
      <c r="L25" s="36" t="str">
        <f>IFERROR(VLOOKUP(I25,보도매체!$A:$C,2,FALSE), "")</f>
        <v>13_인터넷포털</v>
      </c>
      <c r="M25" s="38">
        <f>IFERROR(VLOOKUP(I25,보도매체!$A:$C,3,FALSE), "")</f>
        <v>0.1</v>
      </c>
      <c r="N25" s="3"/>
    </row>
    <row r="26" spans="1:14" ht="12" customHeight="1" x14ac:dyDescent="0.3">
      <c r="A26" s="1">
        <v>25</v>
      </c>
      <c r="B26" s="35" t="s">
        <v>29</v>
      </c>
      <c r="C26" s="35" t="str">
        <f t="shared" si="1"/>
        <v>4_조사료생산시스템과</v>
      </c>
      <c r="D26" s="30" t="s">
        <v>19</v>
      </c>
      <c r="E26" s="12" t="s">
        <v>897</v>
      </c>
      <c r="F26" s="37" t="s">
        <v>941</v>
      </c>
      <c r="G26" s="37" t="s">
        <v>942</v>
      </c>
      <c r="H26" s="40" t="s">
        <v>825</v>
      </c>
      <c r="I26" s="1" t="s">
        <v>814</v>
      </c>
      <c r="J26" s="3">
        <v>45806</v>
      </c>
      <c r="L26" s="36" t="str">
        <f>IFERROR(VLOOKUP(I26,보도매체!$A:$C,2,FALSE), "")</f>
        <v>13_인터넷포털</v>
      </c>
      <c r="M26" s="38">
        <f>IFERROR(VLOOKUP(I26,보도매체!$A:$C,3,FALSE), "")</f>
        <v>0.1</v>
      </c>
      <c r="N26" s="3"/>
    </row>
    <row r="27" spans="1:14" ht="12" customHeight="1" x14ac:dyDescent="0.3">
      <c r="A27" s="1">
        <v>26</v>
      </c>
      <c r="B27" s="35" t="s">
        <v>29</v>
      </c>
      <c r="C27" s="35" t="str">
        <f t="shared" si="1"/>
        <v>4_스마트축산환경과</v>
      </c>
      <c r="D27" s="30" t="s">
        <v>14</v>
      </c>
      <c r="E27" s="12" t="s">
        <v>928</v>
      </c>
      <c r="F27" s="37" t="s">
        <v>943</v>
      </c>
      <c r="G27" s="37" t="s">
        <v>944</v>
      </c>
      <c r="H27" s="40" t="s">
        <v>826</v>
      </c>
      <c r="I27" s="1" t="s">
        <v>814</v>
      </c>
      <c r="J27" s="3">
        <v>45807</v>
      </c>
      <c r="L27" s="36" t="str">
        <f>IFERROR(VLOOKUP(I27,보도매체!$A:$C,2,FALSE), "")</f>
        <v>13_인터넷포털</v>
      </c>
      <c r="M27" s="38">
        <f>IFERROR(VLOOKUP(I27,보도매체!$A:$C,3,FALSE), "")</f>
        <v>0.1</v>
      </c>
      <c r="N27" s="3"/>
    </row>
    <row r="28" spans="1:14" ht="11.25" customHeight="1" x14ac:dyDescent="0.3">
      <c r="A28" s="1">
        <v>27</v>
      </c>
      <c r="B28" s="35" t="s">
        <v>29</v>
      </c>
      <c r="C28" s="35" t="str">
        <f t="shared" si="1"/>
        <v>4_조사료생산시스템과</v>
      </c>
      <c r="D28" s="2" t="s">
        <v>19</v>
      </c>
      <c r="E28" s="2" t="s">
        <v>897</v>
      </c>
      <c r="F28" s="1" t="s">
        <v>945</v>
      </c>
      <c r="G28" s="37"/>
      <c r="H28" s="40" t="s">
        <v>827</v>
      </c>
      <c r="I28" s="1" t="s">
        <v>814</v>
      </c>
      <c r="J28" s="3">
        <v>45807</v>
      </c>
      <c r="L28" s="36" t="str">
        <f>IFERROR(VLOOKUP(I28,보도매체!$A:$C,2,FALSE), "")</f>
        <v>13_인터넷포털</v>
      </c>
      <c r="M28" s="38">
        <f>IFERROR(VLOOKUP(I28,보도매체!$A:$C,3,FALSE), "")</f>
        <v>0.1</v>
      </c>
      <c r="N28" s="3"/>
    </row>
    <row r="29" spans="1:14" ht="12" customHeight="1" x14ac:dyDescent="0.3">
      <c r="A29" s="1">
        <v>28</v>
      </c>
      <c r="B29" s="35" t="s">
        <v>29</v>
      </c>
      <c r="C29" s="35" t="str">
        <f t="shared" si="1"/>
        <v>3_기술지원과</v>
      </c>
      <c r="D29" s="30" t="s">
        <v>8</v>
      </c>
      <c r="E29" s="12" t="s">
        <v>11</v>
      </c>
      <c r="F29" s="37" t="s">
        <v>923</v>
      </c>
      <c r="G29" s="37" t="s">
        <v>946</v>
      </c>
      <c r="H29" s="40" t="s">
        <v>828</v>
      </c>
      <c r="I29" s="1" t="s">
        <v>814</v>
      </c>
      <c r="J29" s="3">
        <v>45810</v>
      </c>
      <c r="L29" s="36" t="str">
        <f>IFERROR(VLOOKUP(I29,보도매체!$A:$C,2,FALSE), "")</f>
        <v>13_인터넷포털</v>
      </c>
      <c r="M29" s="38">
        <f>IFERROR(VLOOKUP(I29,보도매체!$A:$C,3,FALSE), "")</f>
        <v>0.1</v>
      </c>
      <c r="N29" s="3"/>
    </row>
    <row r="30" spans="1:14" ht="12" customHeight="1" x14ac:dyDescent="0.3">
      <c r="A30" s="1">
        <v>29</v>
      </c>
      <c r="B30" s="35" t="s">
        <v>29</v>
      </c>
      <c r="C30" s="35" t="str">
        <f t="shared" si="1"/>
        <v>4_조사료생산시스템과</v>
      </c>
      <c r="D30" s="30" t="s">
        <v>19</v>
      </c>
      <c r="E30" s="12" t="s">
        <v>897</v>
      </c>
      <c r="F30" s="37" t="s">
        <v>922</v>
      </c>
      <c r="G30" s="37" t="s">
        <v>947</v>
      </c>
      <c r="H30" s="40" t="s">
        <v>829</v>
      </c>
      <c r="I30" s="1" t="s">
        <v>814</v>
      </c>
      <c r="J30" s="3">
        <v>45812</v>
      </c>
      <c r="L30" s="36" t="str">
        <f>IFERROR(VLOOKUP(I30,보도매체!$A:$C,2,FALSE), "")</f>
        <v>13_인터넷포털</v>
      </c>
      <c r="M30" s="38">
        <f>IFERROR(VLOOKUP(I30,보도매체!$A:$C,3,FALSE), "")</f>
        <v>0.1</v>
      </c>
      <c r="N30" s="3"/>
    </row>
    <row r="31" spans="1:14" ht="12" customHeight="1" x14ac:dyDescent="0.3">
      <c r="A31" s="1">
        <v>30</v>
      </c>
      <c r="B31" s="35" t="s">
        <v>29</v>
      </c>
      <c r="C31" s="35" t="str">
        <f t="shared" si="1"/>
        <v>6_축산자원개발부이전추진팀</v>
      </c>
      <c r="D31" s="30" t="str">
        <f>IFERROR(VLOOKUP(C31,소속부서!$A$2:$B$20,2,FALSE), "")</f>
        <v>0_본원</v>
      </c>
      <c r="E31" s="12" t="s">
        <v>948</v>
      </c>
      <c r="F31" s="37" t="s">
        <v>949</v>
      </c>
      <c r="G31" s="37"/>
      <c r="H31" s="40" t="s">
        <v>830</v>
      </c>
      <c r="I31" s="1" t="s">
        <v>814</v>
      </c>
      <c r="J31" s="3">
        <v>45817</v>
      </c>
      <c r="L31" s="36" t="str">
        <f>IFERROR(VLOOKUP(I31,보도매체!$A:$C,2,FALSE), "")</f>
        <v>13_인터넷포털</v>
      </c>
      <c r="M31" s="38">
        <f>IFERROR(VLOOKUP(I31,보도매체!$A:$C,3,FALSE), "")</f>
        <v>0.1</v>
      </c>
      <c r="N31" s="3"/>
    </row>
    <row r="32" spans="1:14" ht="12" customHeight="1" x14ac:dyDescent="0.3">
      <c r="A32" s="1">
        <v>31</v>
      </c>
      <c r="B32" s="35" t="s">
        <v>29</v>
      </c>
      <c r="C32" s="35" t="str">
        <f t="shared" si="1"/>
        <v>4_스마트축산환경과</v>
      </c>
      <c r="D32" s="30" t="s">
        <v>14</v>
      </c>
      <c r="E32" s="12" t="s">
        <v>928</v>
      </c>
      <c r="F32" s="37" t="s">
        <v>950</v>
      </c>
      <c r="G32" s="37" t="s">
        <v>951</v>
      </c>
      <c r="H32" s="40" t="s">
        <v>831</v>
      </c>
      <c r="I32" s="1" t="s">
        <v>814</v>
      </c>
      <c r="J32" s="3">
        <v>45818</v>
      </c>
      <c r="L32" s="36" t="str">
        <f>IFERROR(VLOOKUP(I32,보도매체!$A:$C,2,FALSE), "")</f>
        <v>13_인터넷포털</v>
      </c>
      <c r="M32" s="38">
        <f>IFERROR(VLOOKUP(I32,보도매체!$A:$C,3,FALSE), "")</f>
        <v>0.1</v>
      </c>
      <c r="N32" s="3"/>
    </row>
    <row r="33" spans="1:14" ht="12" customHeight="1" x14ac:dyDescent="0.3">
      <c r="A33" s="1">
        <v>32</v>
      </c>
      <c r="B33" s="35" t="s">
        <v>29</v>
      </c>
      <c r="C33" s="35" t="str">
        <f t="shared" si="1"/>
        <v>3_기술지원과</v>
      </c>
      <c r="D33" s="30" t="str">
        <f>IFERROR(VLOOKUP(C33,소속부서!$A$2:$B$20,2,FALSE), "")</f>
        <v>0_본원</v>
      </c>
      <c r="E33" s="12" t="s">
        <v>11</v>
      </c>
      <c r="F33" s="37" t="s">
        <v>900</v>
      </c>
      <c r="G33" s="37"/>
      <c r="H33" s="40" t="s">
        <v>832</v>
      </c>
      <c r="I33" s="1" t="s">
        <v>814</v>
      </c>
      <c r="J33" s="3">
        <v>45819</v>
      </c>
      <c r="L33" s="36" t="str">
        <f>IFERROR(VLOOKUP(I33,보도매체!$A:$C,2,FALSE), "")</f>
        <v>13_인터넷포털</v>
      </c>
      <c r="M33" s="38">
        <f>IFERROR(VLOOKUP(I33,보도매체!$A:$C,3,FALSE), "")</f>
        <v>0.1</v>
      </c>
      <c r="N33" s="3"/>
    </row>
    <row r="34" spans="1:14" ht="12" customHeight="1" x14ac:dyDescent="0.3">
      <c r="A34" s="1">
        <v>33</v>
      </c>
      <c r="B34" s="35" t="s">
        <v>29</v>
      </c>
      <c r="C34" s="35" t="str">
        <f t="shared" si="1"/>
        <v>3_기술지원과</v>
      </c>
      <c r="D34" s="30" t="str">
        <f>IFERROR(VLOOKUP(C34,소속부서!$A$2:$B$20,2,FALSE), "")</f>
        <v>0_본원</v>
      </c>
      <c r="E34" s="12" t="s">
        <v>11</v>
      </c>
      <c r="F34" s="37" t="s">
        <v>953</v>
      </c>
      <c r="G34" s="37"/>
      <c r="H34" s="40" t="s">
        <v>833</v>
      </c>
      <c r="I34" s="1" t="s">
        <v>834</v>
      </c>
      <c r="J34" s="3">
        <v>45893</v>
      </c>
      <c r="L34" s="36" t="str">
        <f>IFERROR(VLOOKUP(I34,보도매체!$A:$C,2,FALSE), "")</f>
        <v>02_TV-케이블중앙</v>
      </c>
      <c r="M34" s="38">
        <f>IFERROR(VLOOKUP(I34,보도매체!$A:$C,3,FALSE), "")</f>
        <v>4</v>
      </c>
      <c r="N34" s="3"/>
    </row>
    <row r="35" spans="1:14" ht="12" customHeight="1" x14ac:dyDescent="0.3">
      <c r="A35" s="1">
        <v>34</v>
      </c>
      <c r="B35" s="35" t="s">
        <v>29</v>
      </c>
      <c r="C35" s="35" t="str">
        <f t="shared" si="1"/>
        <v>5_가축유전자원센터</v>
      </c>
      <c r="D35" s="30" t="s">
        <v>8</v>
      </c>
      <c r="E35" s="12" t="s">
        <v>12</v>
      </c>
      <c r="F35" s="37" t="s">
        <v>954</v>
      </c>
      <c r="G35" s="37"/>
      <c r="H35" s="40" t="s">
        <v>835</v>
      </c>
      <c r="I35" s="1" t="s">
        <v>836</v>
      </c>
      <c r="J35" s="3">
        <v>45891</v>
      </c>
      <c r="K35" s="26">
        <v>12</v>
      </c>
      <c r="L35" s="36" t="str">
        <f>IFERROR(VLOOKUP(I35,보도매체!$A:$C,2,FALSE), "")</f>
        <v>09_농업전문지</v>
      </c>
      <c r="M35" s="38">
        <f>IFERROR(VLOOKUP(I35,보도매체!$A:$C,3,FALSE), "")</f>
        <v>1.5</v>
      </c>
      <c r="N35" s="3"/>
    </row>
    <row r="36" spans="1:14" ht="12" customHeight="1" x14ac:dyDescent="0.3">
      <c r="A36" s="1">
        <v>35</v>
      </c>
      <c r="B36" s="35" t="s">
        <v>29</v>
      </c>
      <c r="C36" s="35" t="str">
        <f t="shared" si="1"/>
        <v>6_동물복지과</v>
      </c>
      <c r="D36" s="30" t="s">
        <v>14</v>
      </c>
      <c r="E36" s="12" t="s">
        <v>907</v>
      </c>
      <c r="F36" s="37" t="s">
        <v>908</v>
      </c>
      <c r="G36" s="37" t="s">
        <v>909</v>
      </c>
      <c r="H36" s="40" t="s">
        <v>837</v>
      </c>
      <c r="I36" s="1" t="s">
        <v>836</v>
      </c>
      <c r="J36" s="3">
        <v>45891</v>
      </c>
      <c r="K36" s="26">
        <v>14</v>
      </c>
      <c r="L36" s="36" t="str">
        <f>IFERROR(VLOOKUP(I36,보도매체!$A:$C,2,FALSE), "")</f>
        <v>09_농업전문지</v>
      </c>
      <c r="M36" s="38">
        <f>IFERROR(VLOOKUP(I36,보도매체!$A:$C,3,FALSE), "")</f>
        <v>1.5</v>
      </c>
      <c r="N36" s="3"/>
    </row>
    <row r="37" spans="1:14" ht="12" customHeight="1" x14ac:dyDescent="0.3">
      <c r="A37" s="1">
        <v>36</v>
      </c>
      <c r="B37" s="35" t="s">
        <v>29</v>
      </c>
      <c r="C37" s="35" t="str">
        <f t="shared" si="1"/>
        <v>6_동물복지과</v>
      </c>
      <c r="D37" s="30" t="s">
        <v>14</v>
      </c>
      <c r="E37" s="12" t="s">
        <v>907</v>
      </c>
      <c r="F37" s="37" t="s">
        <v>908</v>
      </c>
      <c r="G37" s="37" t="s">
        <v>909</v>
      </c>
      <c r="H37" s="40" t="s">
        <v>838</v>
      </c>
      <c r="I37" s="1" t="s">
        <v>839</v>
      </c>
      <c r="J37" s="3">
        <v>45891</v>
      </c>
      <c r="K37" s="26">
        <v>9</v>
      </c>
      <c r="L37" s="36" t="str">
        <f>IFERROR(VLOOKUP(I37,보도매체!$A:$C,2,FALSE), "")</f>
        <v>09_농업전문지</v>
      </c>
      <c r="M37" s="38">
        <f>IFERROR(VLOOKUP(I37,보도매체!$A:$C,3,FALSE), "")</f>
        <v>1.5</v>
      </c>
      <c r="N37" s="3"/>
    </row>
    <row r="38" spans="1:14" ht="12" customHeight="1" x14ac:dyDescent="0.3">
      <c r="A38" s="1">
        <v>37</v>
      </c>
      <c r="B38" s="35" t="s">
        <v>29</v>
      </c>
      <c r="C38" s="35" t="str">
        <f t="shared" si="1"/>
        <v>5_가축유전자원센터</v>
      </c>
      <c r="D38" s="30" t="s">
        <v>8</v>
      </c>
      <c r="E38" s="12" t="s">
        <v>12</v>
      </c>
      <c r="F38" s="37" t="s">
        <v>903</v>
      </c>
      <c r="G38" s="37" t="s">
        <v>904</v>
      </c>
      <c r="H38" s="40" t="s">
        <v>840</v>
      </c>
      <c r="I38" s="1" t="s">
        <v>839</v>
      </c>
      <c r="J38" s="3">
        <v>45891</v>
      </c>
      <c r="K38" s="26">
        <v>3</v>
      </c>
      <c r="L38" s="36" t="str">
        <f>IFERROR(VLOOKUP(I38,보도매체!$A:$C,2,FALSE), "")</f>
        <v>09_농업전문지</v>
      </c>
      <c r="M38" s="38">
        <f>IFERROR(VLOOKUP(I38,보도매체!$A:$C,3,FALSE), "")</f>
        <v>1.5</v>
      </c>
      <c r="N38" s="3"/>
    </row>
    <row r="39" spans="1:14" ht="12" customHeight="1" x14ac:dyDescent="0.3">
      <c r="A39" s="1">
        <v>38</v>
      </c>
      <c r="B39" s="35" t="s">
        <v>29</v>
      </c>
      <c r="C39" s="35" t="str">
        <f t="shared" si="1"/>
        <v>6_동물복지과</v>
      </c>
      <c r="D39" s="30" t="s">
        <v>14</v>
      </c>
      <c r="E39" s="12" t="s">
        <v>907</v>
      </c>
      <c r="F39" s="37" t="s">
        <v>908</v>
      </c>
      <c r="G39" s="37" t="s">
        <v>909</v>
      </c>
      <c r="H39" s="40" t="s">
        <v>841</v>
      </c>
      <c r="I39" s="1" t="s">
        <v>806</v>
      </c>
      <c r="J39" s="3">
        <v>45891</v>
      </c>
      <c r="L39" s="36" t="str">
        <f>IFERROR(VLOOKUP(I39,보도매체!$A:$C,2,FALSE), "")</f>
        <v>09_농업전문지</v>
      </c>
      <c r="M39" s="38">
        <f>IFERROR(VLOOKUP(I39,보도매체!$A:$C,3,FALSE), "")</f>
        <v>1.5</v>
      </c>
      <c r="N39" s="3"/>
    </row>
    <row r="40" spans="1:14" ht="12" customHeight="1" x14ac:dyDescent="0.3">
      <c r="A40" s="1">
        <v>39</v>
      </c>
      <c r="B40" s="35" t="s">
        <v>29</v>
      </c>
      <c r="C40" s="35" t="str">
        <f t="shared" si="1"/>
        <v>5_가축유전자원센터</v>
      </c>
      <c r="D40" s="30" t="s">
        <v>8</v>
      </c>
      <c r="E40" s="12" t="s">
        <v>12</v>
      </c>
      <c r="F40" s="37" t="s">
        <v>956</v>
      </c>
      <c r="G40" s="37" t="s">
        <v>955</v>
      </c>
      <c r="H40" s="40" t="s">
        <v>842</v>
      </c>
      <c r="I40" s="1" t="s">
        <v>800</v>
      </c>
      <c r="J40" s="3">
        <v>45891</v>
      </c>
      <c r="L40" s="36" t="str">
        <f>IFERROR(VLOOKUP(I40,보도매체!$A:$C,2,FALSE), "")</f>
        <v>09_농업전문지</v>
      </c>
      <c r="M40" s="38">
        <f>IFERROR(VLOOKUP(I40,보도매체!$A:$C,3,FALSE), "")</f>
        <v>1.5</v>
      </c>
      <c r="N40" s="3"/>
    </row>
    <row r="41" spans="1:14" ht="12" customHeight="1" x14ac:dyDescent="0.3">
      <c r="A41" s="1">
        <v>40</v>
      </c>
      <c r="B41" s="35" t="s">
        <v>29</v>
      </c>
      <c r="C41" s="35" t="str">
        <f t="shared" si="1"/>
        <v>3_축산푸드테크과</v>
      </c>
      <c r="D41" s="30" t="str">
        <f>IFERROR(VLOOKUP(C41,소속부서!$A$2:$B$20,2,FALSE), "")</f>
        <v>1_축산생명환경부</v>
      </c>
      <c r="E41" s="12" t="s">
        <v>912</v>
      </c>
      <c r="F41" s="37" t="s">
        <v>957</v>
      </c>
      <c r="G41" s="37"/>
      <c r="H41" s="40" t="s">
        <v>843</v>
      </c>
      <c r="I41" s="1" t="s">
        <v>800</v>
      </c>
      <c r="J41" s="3">
        <v>45891</v>
      </c>
      <c r="L41" s="36" t="str">
        <f>IFERROR(VLOOKUP(I41,보도매체!$A:$C,2,FALSE), "")</f>
        <v>09_농업전문지</v>
      </c>
      <c r="M41" s="38">
        <f>IFERROR(VLOOKUP(I41,보도매체!$A:$C,3,FALSE), "")</f>
        <v>1.5</v>
      </c>
      <c r="N41" s="3"/>
    </row>
    <row r="42" spans="1:14" ht="12" customHeight="1" x14ac:dyDescent="0.3">
      <c r="A42" s="1">
        <v>41</v>
      </c>
      <c r="B42" s="35" t="s">
        <v>29</v>
      </c>
      <c r="C42" s="35" t="str">
        <f t="shared" si="1"/>
        <v>5_가축정밀영양과</v>
      </c>
      <c r="D42" s="30" t="s">
        <v>14</v>
      </c>
      <c r="E42" s="12" t="s">
        <v>916</v>
      </c>
      <c r="F42" s="37" t="s">
        <v>917</v>
      </c>
      <c r="G42" s="37" t="s">
        <v>918</v>
      </c>
      <c r="H42" s="40" t="s">
        <v>844</v>
      </c>
      <c r="I42" s="1" t="s">
        <v>800</v>
      </c>
      <c r="J42" s="3">
        <v>45891</v>
      </c>
      <c r="L42" s="36" t="str">
        <f>IFERROR(VLOOKUP(I42,보도매체!$A:$C,2,FALSE), "")</f>
        <v>09_농업전문지</v>
      </c>
      <c r="M42" s="38">
        <f>IFERROR(VLOOKUP(I42,보도매체!$A:$C,3,FALSE), "")</f>
        <v>1.5</v>
      </c>
      <c r="N42" s="3"/>
    </row>
    <row r="43" spans="1:14" ht="12" customHeight="1" x14ac:dyDescent="0.3">
      <c r="A43" s="1">
        <v>42</v>
      </c>
      <c r="B43" s="35" t="s">
        <v>29</v>
      </c>
      <c r="C43" s="35" t="str">
        <f t="shared" si="1"/>
        <v>5_가축정밀영양과</v>
      </c>
      <c r="D43" s="30" t="s">
        <v>14</v>
      </c>
      <c r="E43" s="12" t="s">
        <v>916</v>
      </c>
      <c r="F43" s="37" t="s">
        <v>917</v>
      </c>
      <c r="G43" s="37" t="s">
        <v>918</v>
      </c>
      <c r="H43" s="40" t="s">
        <v>845</v>
      </c>
      <c r="I43" s="1" t="s">
        <v>846</v>
      </c>
      <c r="J43" s="3">
        <v>45892</v>
      </c>
      <c r="L43" s="36" t="str">
        <f>IFERROR(VLOOKUP(I43,보도매체!$A:$C,2,FALSE), "")</f>
        <v>09_농업전문지</v>
      </c>
      <c r="M43" s="38">
        <f>IFERROR(VLOOKUP(I43,보도매체!$A:$C,3,FALSE), "")</f>
        <v>1.5</v>
      </c>
      <c r="N43" s="3"/>
    </row>
    <row r="44" spans="1:14" ht="12" customHeight="1" x14ac:dyDescent="0.3">
      <c r="A44" s="1">
        <v>43</v>
      </c>
      <c r="B44" s="35" t="s">
        <v>29</v>
      </c>
      <c r="C44" s="35" t="str">
        <f t="shared" si="1"/>
        <v>5_가축유전자원센터</v>
      </c>
      <c r="D44" s="30" t="s">
        <v>8</v>
      </c>
      <c r="E44" s="12" t="s">
        <v>12</v>
      </c>
      <c r="F44" s="37" t="s">
        <v>903</v>
      </c>
      <c r="G44" s="37" t="s">
        <v>904</v>
      </c>
      <c r="H44" s="40" t="s">
        <v>847</v>
      </c>
      <c r="I44" s="1" t="s">
        <v>846</v>
      </c>
      <c r="J44" s="3">
        <v>45892</v>
      </c>
      <c r="L44" s="36" t="str">
        <f>IFERROR(VLOOKUP(I44,보도매체!$A:$C,2,FALSE), "")</f>
        <v>09_농업전문지</v>
      </c>
      <c r="M44" s="38">
        <f>IFERROR(VLOOKUP(I44,보도매체!$A:$C,3,FALSE), "")</f>
        <v>1.5</v>
      </c>
      <c r="N44" s="3"/>
    </row>
    <row r="45" spans="1:14" ht="12" customHeight="1" x14ac:dyDescent="0.3">
      <c r="A45" s="1">
        <v>44</v>
      </c>
      <c r="B45" s="35" t="s">
        <v>29</v>
      </c>
      <c r="C45" s="35" t="str">
        <f t="shared" si="1"/>
        <v>4_스마트축산환경과</v>
      </c>
      <c r="D45" s="30" t="str">
        <f>IFERROR(VLOOKUP(C45,소속부서!$A$2:$B$20,2,FALSE), "")</f>
        <v>1_축산생명환경부</v>
      </c>
      <c r="E45" s="12" t="s">
        <v>928</v>
      </c>
      <c r="F45" s="37" t="s">
        <v>959</v>
      </c>
      <c r="G45" s="37"/>
      <c r="H45" s="40" t="s">
        <v>849</v>
      </c>
      <c r="I45" s="1" t="s">
        <v>850</v>
      </c>
      <c r="J45" s="3">
        <v>45893</v>
      </c>
      <c r="L45" s="36" t="str">
        <f>IFERROR(VLOOKUP(I45,보도매체!$A:$C,2,FALSE), "")</f>
        <v>13_인터넷포털</v>
      </c>
      <c r="M45" s="38">
        <f>IFERROR(VLOOKUP(I45,보도매체!$A:$C,3,FALSE), "")</f>
        <v>0.1</v>
      </c>
      <c r="N45" s="3"/>
    </row>
    <row r="46" spans="1:14" ht="12" customHeight="1" x14ac:dyDescent="0.3">
      <c r="A46" s="1">
        <v>45</v>
      </c>
      <c r="B46" s="35" t="s">
        <v>29</v>
      </c>
      <c r="C46" s="35" t="str">
        <f t="shared" si="1"/>
        <v>4_스마트축산환경과</v>
      </c>
      <c r="D46" s="30" t="s">
        <v>14</v>
      </c>
      <c r="E46" s="12" t="s">
        <v>928</v>
      </c>
      <c r="F46" s="37" t="s">
        <v>958</v>
      </c>
      <c r="G46" s="37"/>
      <c r="H46" s="40" t="s">
        <v>851</v>
      </c>
      <c r="I46" s="1" t="s">
        <v>852</v>
      </c>
      <c r="J46" s="3">
        <v>45894</v>
      </c>
      <c r="L46" s="36" t="str">
        <f>IFERROR(VLOOKUP(I46,보도매체!$A:$C,2,FALSE), "")</f>
        <v>07_중앙일간지</v>
      </c>
      <c r="M46" s="38">
        <f>IFERROR(VLOOKUP(I46,보도매체!$A:$C,3,FALSE), "")</f>
        <v>5</v>
      </c>
      <c r="N46" s="3"/>
    </row>
    <row r="47" spans="1:14" ht="12" customHeight="1" x14ac:dyDescent="0.3">
      <c r="A47" s="1">
        <v>46</v>
      </c>
      <c r="B47" s="35" t="s">
        <v>29</v>
      </c>
      <c r="C47" s="35" t="str">
        <f t="shared" si="1"/>
        <v>4_스마트축산환경과</v>
      </c>
      <c r="D47" s="30" t="s">
        <v>14</v>
      </c>
      <c r="E47" s="12" t="s">
        <v>928</v>
      </c>
      <c r="F47" s="37" t="s">
        <v>958</v>
      </c>
      <c r="G47" s="37"/>
      <c r="H47" s="40" t="s">
        <v>853</v>
      </c>
      <c r="I47" s="1" t="s">
        <v>854</v>
      </c>
      <c r="J47" s="3">
        <v>45894</v>
      </c>
      <c r="L47" s="36" t="str">
        <f>IFERROR(VLOOKUP(I47,보도매체!$A:$C,2,FALSE), "")</f>
        <v>13_인터넷포털</v>
      </c>
      <c r="M47" s="38">
        <f>IFERROR(VLOOKUP(I47,보도매체!$A:$C,3,FALSE), "")</f>
        <v>0.1</v>
      </c>
      <c r="N47" s="3"/>
    </row>
    <row r="48" spans="1:14" ht="12" customHeight="1" x14ac:dyDescent="0.3">
      <c r="A48" s="1">
        <v>47</v>
      </c>
      <c r="B48" s="35" t="s">
        <v>29</v>
      </c>
      <c r="C48" s="35" t="str">
        <f t="shared" si="1"/>
        <v>4_스마트축산환경과</v>
      </c>
      <c r="D48" s="30" t="s">
        <v>14</v>
      </c>
      <c r="E48" s="12" t="s">
        <v>928</v>
      </c>
      <c r="F48" s="37" t="s">
        <v>958</v>
      </c>
      <c r="G48" s="37"/>
      <c r="H48" s="40" t="s">
        <v>855</v>
      </c>
      <c r="I48" s="1" t="s">
        <v>857</v>
      </c>
      <c r="J48" s="3">
        <v>45894</v>
      </c>
      <c r="L48" s="36" t="str">
        <f>IFERROR(VLOOKUP(I48,보도매체!$A:$C,2,FALSE), "")</f>
        <v>13_인터넷포털</v>
      </c>
      <c r="M48" s="38">
        <f>IFERROR(VLOOKUP(I48,보도매체!$A:$C,3,FALSE), "")</f>
        <v>0.1</v>
      </c>
      <c r="N48" s="3"/>
    </row>
    <row r="49" spans="1:14" ht="12" customHeight="1" x14ac:dyDescent="0.3">
      <c r="A49" s="1">
        <v>48</v>
      </c>
      <c r="B49" s="35" t="s">
        <v>29</v>
      </c>
      <c r="C49" s="35" t="str">
        <f t="shared" si="1"/>
        <v>4_스마트축산환경과</v>
      </c>
      <c r="D49" s="30" t="s">
        <v>14</v>
      </c>
      <c r="E49" s="12" t="s">
        <v>928</v>
      </c>
      <c r="F49" s="37" t="s">
        <v>958</v>
      </c>
      <c r="G49" s="37"/>
      <c r="H49" s="40" t="s">
        <v>851</v>
      </c>
      <c r="I49" s="1" t="s">
        <v>858</v>
      </c>
      <c r="J49" s="3">
        <v>45894</v>
      </c>
      <c r="L49" s="36" t="str">
        <f>IFERROR(VLOOKUP(I49,보도매체!$A:$C,2,FALSE), "")</f>
        <v>13_인터넷포털</v>
      </c>
      <c r="M49" s="38">
        <f>IFERROR(VLOOKUP(I49,보도매체!$A:$C,3,FALSE), "")</f>
        <v>0.1</v>
      </c>
      <c r="N49" s="3"/>
    </row>
    <row r="50" spans="1:14" ht="12" customHeight="1" x14ac:dyDescent="0.3">
      <c r="A50" s="1">
        <v>49</v>
      </c>
      <c r="B50" s="35" t="s">
        <v>29</v>
      </c>
      <c r="C50" s="35" t="str">
        <f t="shared" si="1"/>
        <v>3_양돈과</v>
      </c>
      <c r="D50" s="30" t="str">
        <f>IFERROR(VLOOKUP(C50,소속부서!$A$2:$B$20,2,FALSE), "")</f>
        <v>2_축산자원개발부</v>
      </c>
      <c r="E50" s="37" t="s">
        <v>22</v>
      </c>
      <c r="F50" s="37" t="s">
        <v>905</v>
      </c>
      <c r="G50" s="37" t="s">
        <v>906</v>
      </c>
      <c r="H50" s="40" t="s">
        <v>859</v>
      </c>
      <c r="I50" s="1" t="s">
        <v>852</v>
      </c>
      <c r="J50" s="3">
        <v>45894</v>
      </c>
      <c r="L50" s="36" t="str">
        <f>IFERROR(VLOOKUP(I50,보도매체!$A:$C,2,FALSE), "")</f>
        <v>07_중앙일간지</v>
      </c>
      <c r="M50" s="38">
        <f>IFERROR(VLOOKUP(I50,보도매체!$A:$C,3,FALSE), "")</f>
        <v>5</v>
      </c>
      <c r="N50" s="3"/>
    </row>
    <row r="51" spans="1:14" ht="12" customHeight="1" x14ac:dyDescent="0.3">
      <c r="A51" s="1">
        <v>50</v>
      </c>
      <c r="B51" s="35" t="s">
        <v>29</v>
      </c>
      <c r="C51" s="35" t="str">
        <f t="shared" si="1"/>
        <v>4_스마트축산환경과</v>
      </c>
      <c r="D51" s="30" t="s">
        <v>14</v>
      </c>
      <c r="E51" s="12" t="s">
        <v>928</v>
      </c>
      <c r="F51" s="37" t="s">
        <v>958</v>
      </c>
      <c r="G51" s="37"/>
      <c r="H51" s="40" t="s">
        <v>860</v>
      </c>
      <c r="I51" s="1" t="s">
        <v>861</v>
      </c>
      <c r="J51" s="3">
        <v>45894</v>
      </c>
      <c r="L51" s="36" t="str">
        <f>IFERROR(VLOOKUP(I51,보도매체!$A:$C,2,FALSE), "")</f>
        <v>11_기타(지역주간지)</v>
      </c>
      <c r="M51" s="38">
        <f>IFERROR(VLOOKUP(I51,보도매체!$A:$C,3,FALSE), "")</f>
        <v>0.5</v>
      </c>
      <c r="N51" s="3"/>
    </row>
    <row r="52" spans="1:14" ht="12" customHeight="1" x14ac:dyDescent="0.3">
      <c r="A52" s="1">
        <v>51</v>
      </c>
      <c r="B52" s="35" t="s">
        <v>29</v>
      </c>
      <c r="C52" s="35" t="str">
        <f t="shared" si="1"/>
        <v>4_조사료생산시스템과</v>
      </c>
      <c r="D52" s="30" t="str">
        <f>IFERROR(VLOOKUP(C52,소속부서!$A$2:$B$20,2,FALSE), "")</f>
        <v>2_축산자원개발부</v>
      </c>
      <c r="E52" s="12" t="s">
        <v>897</v>
      </c>
      <c r="F52" s="37" t="s">
        <v>960</v>
      </c>
      <c r="G52" s="37"/>
      <c r="H52" s="40" t="s">
        <v>862</v>
      </c>
      <c r="I52" s="1" t="s">
        <v>863</v>
      </c>
      <c r="J52" s="3">
        <v>45894</v>
      </c>
      <c r="L52" s="36" t="str">
        <f>IFERROR(VLOOKUP(I52,보도매체!$A:$C,2,FALSE), "")</f>
        <v>13_인터넷포털</v>
      </c>
      <c r="M52" s="38">
        <f>IFERROR(VLOOKUP(I52,보도매체!$A:$C,3,FALSE), "")</f>
        <v>0.1</v>
      </c>
      <c r="N52" s="3"/>
    </row>
    <row r="53" spans="1:14" ht="12" customHeight="1" x14ac:dyDescent="0.3">
      <c r="A53" s="1">
        <v>52</v>
      </c>
      <c r="B53" s="35" t="s">
        <v>29</v>
      </c>
      <c r="C53" s="35" t="str">
        <f t="shared" si="1"/>
        <v>6_동물복지과</v>
      </c>
      <c r="D53" s="30" t="str">
        <f>IFERROR(VLOOKUP(C53,소속부서!$A$2:$B$20,2,FALSE), "")</f>
        <v>1_축산생명환경부</v>
      </c>
      <c r="E53" s="12" t="s">
        <v>907</v>
      </c>
      <c r="F53" s="37" t="s">
        <v>961</v>
      </c>
      <c r="G53" s="37"/>
      <c r="H53" s="40" t="s">
        <v>864</v>
      </c>
      <c r="I53" s="1" t="s">
        <v>863</v>
      </c>
      <c r="J53" s="3">
        <v>45894</v>
      </c>
      <c r="L53" s="36" t="str">
        <f>IFERROR(VLOOKUP(I53,보도매체!$A:$C,2,FALSE), "")</f>
        <v>13_인터넷포털</v>
      </c>
      <c r="M53" s="38">
        <f>IFERROR(VLOOKUP(I53,보도매체!$A:$C,3,FALSE), "")</f>
        <v>0.1</v>
      </c>
      <c r="N53" s="3"/>
    </row>
    <row r="54" spans="1:14" x14ac:dyDescent="0.3">
      <c r="A54" s="1">
        <v>53</v>
      </c>
      <c r="B54" s="35" t="s">
        <v>29</v>
      </c>
      <c r="C54" s="35" t="str">
        <f t="shared" si="1"/>
        <v>3_기술지원과</v>
      </c>
      <c r="D54" s="30" t="str">
        <f>IFERROR(VLOOKUP(C54,소속부서!$A$2:$B$20,2,FALSE), "")</f>
        <v>0_본원</v>
      </c>
      <c r="E54" s="12" t="s">
        <v>11</v>
      </c>
      <c r="F54" s="37" t="s">
        <v>962</v>
      </c>
      <c r="G54" s="37"/>
      <c r="H54" s="40" t="s">
        <v>865</v>
      </c>
      <c r="I54" s="1" t="s">
        <v>866</v>
      </c>
      <c r="J54" s="3">
        <v>45894</v>
      </c>
      <c r="L54" s="36" t="str">
        <f>IFERROR(VLOOKUP(I54,보도매체!$A:$C,2,FALSE), "")</f>
        <v>13_인터넷포털</v>
      </c>
      <c r="M54" s="38">
        <f>IFERROR(VLOOKUP(I54,보도매체!$A:$C,3,FALSE), "")</f>
        <v>0.1</v>
      </c>
      <c r="N54" s="3"/>
    </row>
    <row r="55" spans="1:14" ht="12" customHeight="1" x14ac:dyDescent="0.3">
      <c r="A55" s="1">
        <v>54</v>
      </c>
      <c r="B55" s="35" t="s">
        <v>29</v>
      </c>
      <c r="C55" s="35" t="str">
        <f t="shared" si="1"/>
        <v>3_양돈과</v>
      </c>
      <c r="D55" s="30" t="str">
        <f>IFERROR(VLOOKUP(C55,소속부서!$A$2:$B$20,2,FALSE), "")</f>
        <v>2_축산자원개발부</v>
      </c>
      <c r="E55" s="37" t="s">
        <v>22</v>
      </c>
      <c r="F55" s="37" t="s">
        <v>905</v>
      </c>
      <c r="G55" s="37" t="s">
        <v>906</v>
      </c>
      <c r="H55" s="40" t="s">
        <v>867</v>
      </c>
      <c r="I55" s="1" t="s">
        <v>868</v>
      </c>
      <c r="J55" s="3">
        <v>45894</v>
      </c>
      <c r="L55" s="36" t="str">
        <f>IFERROR(VLOOKUP(I55,보도매체!$A:$C,2,FALSE), "")</f>
        <v>07_중앙일간지</v>
      </c>
      <c r="M55" s="38">
        <f>IFERROR(VLOOKUP(I55,보도매체!$A:$C,3,FALSE), "")</f>
        <v>5</v>
      </c>
      <c r="N55" s="3"/>
    </row>
    <row r="56" spans="1:14" ht="12" customHeight="1" x14ac:dyDescent="0.3">
      <c r="A56" s="1">
        <v>55</v>
      </c>
      <c r="B56" s="35" t="s">
        <v>29</v>
      </c>
      <c r="C56" s="35" t="str">
        <f t="shared" si="1"/>
        <v>4_조사료생산시스템과</v>
      </c>
      <c r="D56" s="30" t="s">
        <v>19</v>
      </c>
      <c r="E56" s="12" t="s">
        <v>897</v>
      </c>
      <c r="F56" s="37" t="s">
        <v>898</v>
      </c>
      <c r="G56" s="37" t="s">
        <v>899</v>
      </c>
      <c r="H56" s="40" t="s">
        <v>870</v>
      </c>
      <c r="I56" s="1" t="s">
        <v>869</v>
      </c>
      <c r="J56" s="3">
        <v>45894</v>
      </c>
      <c r="K56" s="26">
        <v>2</v>
      </c>
      <c r="L56" s="36" t="str">
        <f>IFERROR(VLOOKUP(I56,보도매체!$A:$C,2,FALSE), "")</f>
        <v>09_농업전문지</v>
      </c>
      <c r="M56" s="38">
        <f>IFERROR(VLOOKUP(I56,보도매체!$A:$C,3,FALSE), "")</f>
        <v>1.5</v>
      </c>
      <c r="N56" s="3"/>
    </row>
    <row r="57" spans="1:14" x14ac:dyDescent="0.3">
      <c r="A57" s="1">
        <v>56</v>
      </c>
      <c r="B57" s="35" t="s">
        <v>29</v>
      </c>
      <c r="C57" s="35" t="str">
        <f t="shared" si="1"/>
        <v>3_축산푸드테크과</v>
      </c>
      <c r="D57" s="30" t="str">
        <f>IFERROR(VLOOKUP(C57,소속부서!$A$2:$B$20,2,FALSE), "")</f>
        <v>1_축산생명환경부</v>
      </c>
      <c r="E57" s="12" t="s">
        <v>912</v>
      </c>
      <c r="F57" s="37" t="s">
        <v>921</v>
      </c>
      <c r="G57" s="37" t="s">
        <v>963</v>
      </c>
      <c r="H57" s="40" t="s">
        <v>871</v>
      </c>
      <c r="I57" s="1" t="s">
        <v>869</v>
      </c>
      <c r="J57" s="3">
        <v>45894</v>
      </c>
      <c r="K57" s="26">
        <v>1</v>
      </c>
      <c r="L57" s="36" t="str">
        <f>IFERROR(VLOOKUP(I57,보도매체!$A:$C,2,FALSE), "")</f>
        <v>09_농업전문지</v>
      </c>
      <c r="M57" s="38">
        <f>IFERROR(VLOOKUP(I57,보도매체!$A:$C,3,FALSE), "")</f>
        <v>1.5</v>
      </c>
      <c r="N57" s="3"/>
    </row>
    <row r="58" spans="1:14" ht="12" customHeight="1" x14ac:dyDescent="0.3">
      <c r="A58" s="1">
        <v>57</v>
      </c>
      <c r="B58" s="35" t="s">
        <v>29</v>
      </c>
      <c r="C58" s="35" t="str">
        <f t="shared" si="1"/>
        <v>3_양돈과</v>
      </c>
      <c r="D58" s="30" t="str">
        <f>IFERROR(VLOOKUP(C58,소속부서!$A$2:$B$20,2,FALSE), "")</f>
        <v>2_축산자원개발부</v>
      </c>
      <c r="E58" s="37" t="s">
        <v>22</v>
      </c>
      <c r="F58" s="37" t="s">
        <v>905</v>
      </c>
      <c r="G58" s="37" t="s">
        <v>906</v>
      </c>
      <c r="H58" s="40" t="s">
        <v>873</v>
      </c>
      <c r="I58" s="1" t="s">
        <v>872</v>
      </c>
      <c r="J58" s="3">
        <v>45895</v>
      </c>
      <c r="K58" s="26">
        <v>4</v>
      </c>
      <c r="L58" s="36" t="str">
        <f>IFERROR(VLOOKUP(I58,보도매체!$A:$C,2,FALSE), "")</f>
        <v>09_지방일간지</v>
      </c>
      <c r="M58" s="38">
        <f>IFERROR(VLOOKUP(I58,보도매체!$A:$C,3,FALSE), "")</f>
        <v>1.5</v>
      </c>
      <c r="N58" s="3"/>
    </row>
    <row r="59" spans="1:14" ht="12" customHeight="1" x14ac:dyDescent="0.3">
      <c r="A59" s="1">
        <v>58</v>
      </c>
      <c r="B59" s="35" t="s">
        <v>29</v>
      </c>
      <c r="C59" s="35" t="str">
        <f t="shared" si="1"/>
        <v>2_낙농과</v>
      </c>
      <c r="D59" s="67" t="s">
        <v>19</v>
      </c>
      <c r="E59" s="68" t="s">
        <v>21</v>
      </c>
      <c r="F59" s="69" t="s">
        <v>901</v>
      </c>
      <c r="G59" s="69" t="s">
        <v>902</v>
      </c>
      <c r="H59" s="83" t="s">
        <v>874</v>
      </c>
      <c r="I59" s="69" t="s">
        <v>875</v>
      </c>
      <c r="J59" s="79">
        <v>45880</v>
      </c>
      <c r="K59" s="80">
        <v>2</v>
      </c>
      <c r="L59" s="81" t="str">
        <f>IFERROR(VLOOKUP(I59,보도매체!$A:$C,2,FALSE), "")</f>
        <v>09_농업전문지</v>
      </c>
      <c r="M59" s="82">
        <f>IFERROR(VLOOKUP(I59,보도매체!$A:$C,3,FALSE), "")</f>
        <v>1.5</v>
      </c>
      <c r="N59" s="3"/>
    </row>
    <row r="60" spans="1:14" ht="12" customHeight="1" x14ac:dyDescent="0.3">
      <c r="A60" s="1">
        <v>59</v>
      </c>
      <c r="B60" s="35" t="s">
        <v>29</v>
      </c>
      <c r="C60" s="35" t="str">
        <f t="shared" si="1"/>
        <v>5_가축유전자원센터</v>
      </c>
      <c r="D60" s="30" t="s">
        <v>8</v>
      </c>
      <c r="E60" s="12" t="s">
        <v>12</v>
      </c>
      <c r="F60" s="37" t="s">
        <v>903</v>
      </c>
      <c r="G60" s="37" t="s">
        <v>904</v>
      </c>
      <c r="H60" s="40" t="s">
        <v>876</v>
      </c>
      <c r="I60" s="1" t="s">
        <v>877</v>
      </c>
      <c r="J60" s="3">
        <v>45889</v>
      </c>
      <c r="K60" s="26">
        <v>11</v>
      </c>
      <c r="L60" s="36" t="str">
        <f>IFERROR(VLOOKUP(I60,보도매체!$A:$C,2,FALSE), "")</f>
        <v>09_농업전문지</v>
      </c>
      <c r="M60" s="38">
        <f>IFERROR(VLOOKUP(I60,보도매체!$A:$C,3,FALSE), "")</f>
        <v>1.5</v>
      </c>
      <c r="N60" s="3"/>
    </row>
    <row r="61" spans="1:14" x14ac:dyDescent="0.3">
      <c r="A61" s="1">
        <v>60</v>
      </c>
      <c r="B61" s="35" t="s">
        <v>29</v>
      </c>
      <c r="C61" s="35" t="str">
        <f t="shared" si="1"/>
        <v>4_스마트축산환경과</v>
      </c>
      <c r="D61" s="30" t="s">
        <v>14</v>
      </c>
      <c r="E61" s="12" t="s">
        <v>928</v>
      </c>
      <c r="F61" s="37" t="s">
        <v>958</v>
      </c>
      <c r="G61" s="37"/>
      <c r="H61" s="40" t="s">
        <v>879</v>
      </c>
      <c r="I61" s="1" t="s">
        <v>878</v>
      </c>
      <c r="J61" s="3">
        <v>45894</v>
      </c>
      <c r="L61" s="36" t="str">
        <f>IFERROR(VLOOKUP(I61,보도매체!$A:$C,2,FALSE), "")</f>
        <v>07_중앙일간지</v>
      </c>
      <c r="M61" s="38">
        <f>IFERROR(VLOOKUP(I61,보도매체!$A:$C,3,FALSE), "")</f>
        <v>5</v>
      </c>
      <c r="N61" s="3"/>
    </row>
    <row r="62" spans="1:14" x14ac:dyDescent="0.3">
      <c r="A62" s="1">
        <v>61</v>
      </c>
      <c r="B62" s="35" t="s">
        <v>29</v>
      </c>
      <c r="C62" s="35" t="str">
        <f t="shared" si="1"/>
        <v>3_기술지원과</v>
      </c>
      <c r="D62" s="30" t="str">
        <f>IFERROR(VLOOKUP(C62,소속부서!$A$2:$B$20,2,FALSE), "")</f>
        <v>0_본원</v>
      </c>
      <c r="E62" s="12" t="s">
        <v>964</v>
      </c>
      <c r="F62" s="37" t="s">
        <v>962</v>
      </c>
      <c r="G62" s="37"/>
      <c r="H62" s="40" t="s">
        <v>880</v>
      </c>
      <c r="I62" s="1" t="s">
        <v>848</v>
      </c>
      <c r="J62" s="3">
        <v>45894</v>
      </c>
      <c r="L62" s="36" t="str">
        <f>IFERROR(VLOOKUP(I62,보도매체!$A:$C,2,FALSE), "")</f>
        <v>09_지방일간지</v>
      </c>
      <c r="M62" s="38">
        <f>IFERROR(VLOOKUP(I62,보도매체!$A:$C,3,FALSE), "")</f>
        <v>1.5</v>
      </c>
      <c r="N62" s="3"/>
    </row>
    <row r="63" spans="1:14" x14ac:dyDescent="0.3">
      <c r="A63" s="1">
        <v>62</v>
      </c>
      <c r="B63" s="35" t="s">
        <v>29</v>
      </c>
      <c r="C63" s="35" t="str">
        <f t="shared" si="1"/>
        <v>2_낙농과</v>
      </c>
      <c r="D63" s="30" t="str">
        <f>IFERROR(VLOOKUP(C63,소속부서!$A$2:$B$20,2,FALSE), "")</f>
        <v>2_축산자원개발부</v>
      </c>
      <c r="E63" s="12" t="s">
        <v>21</v>
      </c>
      <c r="F63" s="37" t="s">
        <v>965</v>
      </c>
      <c r="G63" s="37"/>
      <c r="H63" s="40" t="s">
        <v>881</v>
      </c>
      <c r="I63" s="1" t="s">
        <v>882</v>
      </c>
      <c r="J63" s="3">
        <v>45894</v>
      </c>
      <c r="L63" s="36" t="str">
        <f>IFERROR(VLOOKUP(I63,보도매체!$A:$C,2,FALSE), "")</f>
        <v>13_인터넷포털</v>
      </c>
      <c r="M63" s="38">
        <f>IFERROR(VLOOKUP(I63,보도매체!$A:$C,3,FALSE), "")</f>
        <v>0.1</v>
      </c>
      <c r="N63" s="3"/>
    </row>
    <row r="64" spans="1:14" ht="12" customHeight="1" x14ac:dyDescent="0.3">
      <c r="A64" s="1">
        <v>63</v>
      </c>
      <c r="B64" s="35" t="s">
        <v>29</v>
      </c>
      <c r="C64" s="35" t="str">
        <f t="shared" si="1"/>
        <v>3_양돈과</v>
      </c>
      <c r="D64" s="30" t="str">
        <f>IFERROR(VLOOKUP(C64,소속부서!$A$2:$B$20,2,FALSE), "")</f>
        <v>2_축산자원개발부</v>
      </c>
      <c r="E64" s="37" t="s">
        <v>22</v>
      </c>
      <c r="F64" s="37" t="s">
        <v>905</v>
      </c>
      <c r="G64" s="37" t="s">
        <v>906</v>
      </c>
      <c r="H64" s="40" t="s">
        <v>883</v>
      </c>
      <c r="I64" s="1" t="s">
        <v>884</v>
      </c>
      <c r="J64" s="3">
        <v>45894</v>
      </c>
      <c r="L64" s="36" t="str">
        <f>IFERROR(VLOOKUP(I64,보도매체!$A:$C,2,FALSE), "")</f>
        <v>09_농업전문지</v>
      </c>
      <c r="M64" s="38">
        <f>IFERROR(VLOOKUP(I64,보도매체!$A:$C,3,FALSE), "")</f>
        <v>1.5</v>
      </c>
      <c r="N64" s="3"/>
    </row>
    <row r="65" spans="1:14" x14ac:dyDescent="0.3">
      <c r="A65" s="1">
        <v>64</v>
      </c>
      <c r="B65" s="35" t="s">
        <v>29</v>
      </c>
      <c r="C65" s="35" t="str">
        <f t="shared" si="1"/>
        <v>1_동물바이오유전체과</v>
      </c>
      <c r="D65" s="30" t="str">
        <f>IFERROR(VLOOKUP(C65,소속부서!$A$2:$B$20,2,FALSE), "")</f>
        <v>1_축산생명환경부</v>
      </c>
      <c r="E65" s="37" t="s">
        <v>967</v>
      </c>
      <c r="F65" s="37" t="s">
        <v>966</v>
      </c>
      <c r="G65" s="37"/>
      <c r="H65" s="40" t="s">
        <v>885</v>
      </c>
      <c r="I65" s="1" t="s">
        <v>886</v>
      </c>
      <c r="J65" s="3">
        <v>45895</v>
      </c>
      <c r="L65" s="36" t="str">
        <f>IFERROR(VLOOKUP(I65,보도매체!$A:$C,2,FALSE), "")</f>
        <v>07_중앙일간지</v>
      </c>
      <c r="M65" s="38">
        <f>IFERROR(VLOOKUP(I65,보도매체!$A:$C,3,FALSE), "")</f>
        <v>5</v>
      </c>
      <c r="N65" s="3"/>
    </row>
    <row r="66" spans="1:14" ht="12" customHeight="1" x14ac:dyDescent="0.3">
      <c r="A66" s="1">
        <v>65</v>
      </c>
      <c r="B66" s="35" t="s">
        <v>29</v>
      </c>
      <c r="C66" s="35" t="str">
        <f t="shared" si="1"/>
        <v>3_양돈과</v>
      </c>
      <c r="D66" s="30" t="str">
        <f>IFERROR(VLOOKUP(C66,소속부서!$A$2:$B$20,2,FALSE), "")</f>
        <v>2_축산자원개발부</v>
      </c>
      <c r="E66" s="37" t="s">
        <v>22</v>
      </c>
      <c r="F66" s="37" t="s">
        <v>905</v>
      </c>
      <c r="G66" s="37" t="s">
        <v>906</v>
      </c>
      <c r="H66" s="40" t="s">
        <v>887</v>
      </c>
      <c r="I66" s="1" t="s">
        <v>888</v>
      </c>
      <c r="J66" s="3">
        <v>45895</v>
      </c>
      <c r="L66" s="36" t="str">
        <f>IFERROR(VLOOKUP(I66,보도매체!$A:$C,2,FALSE), "")</f>
        <v>09_농업전문지</v>
      </c>
      <c r="M66" s="38">
        <f>IFERROR(VLOOKUP(I66,보도매체!$A:$C,3,FALSE), "")</f>
        <v>1.5</v>
      </c>
      <c r="N66" s="3"/>
    </row>
    <row r="67" spans="1:14" ht="12" customHeight="1" x14ac:dyDescent="0.3">
      <c r="A67" s="1">
        <v>66</v>
      </c>
      <c r="B67" s="35" t="s">
        <v>29</v>
      </c>
      <c r="C67" s="35" t="str">
        <f t="shared" si="1"/>
        <v>3_양돈과</v>
      </c>
      <c r="D67" s="30" t="str">
        <f>IFERROR(VLOOKUP(C67,소속부서!$A$2:$B$20,2,FALSE), "")</f>
        <v>2_축산자원개발부</v>
      </c>
      <c r="E67" s="37" t="s">
        <v>22</v>
      </c>
      <c r="F67" s="37" t="s">
        <v>905</v>
      </c>
      <c r="G67" s="37" t="s">
        <v>906</v>
      </c>
      <c r="H67" s="40" t="s">
        <v>889</v>
      </c>
      <c r="I67" s="1" t="s">
        <v>890</v>
      </c>
      <c r="J67" s="3">
        <v>45895</v>
      </c>
      <c r="L67" s="36" t="str">
        <f>IFERROR(VLOOKUP(I67,보도매체!$A:$C,2,FALSE), "")</f>
        <v>08_기타일간지</v>
      </c>
      <c r="M67" s="38">
        <f>IFERROR(VLOOKUP(I67,보도매체!$A:$C,3,FALSE), "")</f>
        <v>2</v>
      </c>
      <c r="N67" s="3"/>
    </row>
    <row r="68" spans="1:14" ht="12" customHeight="1" x14ac:dyDescent="0.3">
      <c r="A68" s="1">
        <v>67</v>
      </c>
      <c r="B68" s="35" t="s">
        <v>29</v>
      </c>
      <c r="C68" s="35" t="str">
        <f t="shared" ref="C68:C131" si="2">E68</f>
        <v>3_양돈과</v>
      </c>
      <c r="D68" s="30" t="str">
        <f>IFERROR(VLOOKUP(C68,소속부서!$A$2:$B$20,2,FALSE), "")</f>
        <v>2_축산자원개발부</v>
      </c>
      <c r="E68" s="37" t="s">
        <v>22</v>
      </c>
      <c r="F68" s="37" t="s">
        <v>905</v>
      </c>
      <c r="G68" s="37" t="s">
        <v>906</v>
      </c>
      <c r="H68" s="40" t="s">
        <v>892</v>
      </c>
      <c r="I68" s="1" t="s">
        <v>891</v>
      </c>
      <c r="J68" s="3">
        <v>45895</v>
      </c>
      <c r="L68" s="36" t="str">
        <f>IFERROR(VLOOKUP(I68,보도매체!$A:$C,2,FALSE), "")</f>
        <v>13_인터넷포털</v>
      </c>
      <c r="M68" s="38">
        <f>IFERROR(VLOOKUP(I68,보도매체!$A:$C,3,FALSE), "")</f>
        <v>0.1</v>
      </c>
      <c r="N68" s="3"/>
    </row>
    <row r="69" spans="1:14" x14ac:dyDescent="0.3">
      <c r="A69" s="1">
        <v>68</v>
      </c>
      <c r="B69" s="35" t="s">
        <v>29</v>
      </c>
      <c r="C69" s="35" t="str">
        <f t="shared" si="2"/>
        <v>2_낙농과</v>
      </c>
      <c r="D69" s="30" t="str">
        <f>IFERROR(VLOOKUP(C69,소속부서!$A$2:$B$20,2,FALSE), "")</f>
        <v>2_축산자원개발부</v>
      </c>
      <c r="E69" s="12" t="s">
        <v>21</v>
      </c>
      <c r="F69" s="37" t="s">
        <v>965</v>
      </c>
      <c r="G69" s="37"/>
      <c r="H69" s="40" t="s">
        <v>893</v>
      </c>
      <c r="I69" s="1" t="s">
        <v>894</v>
      </c>
      <c r="J69" s="3">
        <v>45895</v>
      </c>
      <c r="L69" s="36" t="str">
        <f>IFERROR(VLOOKUP(I69,보도매체!$A:$C,2,FALSE), "")</f>
        <v>13_인터넷포털</v>
      </c>
      <c r="M69" s="38">
        <f>IFERROR(VLOOKUP(I69,보도매체!$A:$C,3,FALSE), "")</f>
        <v>0.1</v>
      </c>
      <c r="N69" s="3"/>
    </row>
    <row r="70" spans="1:14" ht="12" customHeight="1" x14ac:dyDescent="0.3">
      <c r="A70" s="1">
        <v>69</v>
      </c>
      <c r="B70" s="35" t="s">
        <v>29</v>
      </c>
      <c r="C70" s="35" t="str">
        <f t="shared" si="2"/>
        <v>3_양돈과</v>
      </c>
      <c r="D70" s="30" t="str">
        <f>IFERROR(VLOOKUP(C70,소속부서!$A$2:$B$20,2,FALSE), "")</f>
        <v>2_축산자원개발부</v>
      </c>
      <c r="E70" s="37" t="s">
        <v>22</v>
      </c>
      <c r="F70" s="37" t="s">
        <v>905</v>
      </c>
      <c r="G70" s="37" t="s">
        <v>906</v>
      </c>
      <c r="H70" s="40" t="s">
        <v>895</v>
      </c>
      <c r="I70" s="1" t="s">
        <v>836</v>
      </c>
      <c r="J70" s="3">
        <v>45895</v>
      </c>
      <c r="L70" s="36" t="str">
        <f>IFERROR(VLOOKUP(I70,보도매체!$A:$C,2,FALSE), "")</f>
        <v>09_농업전문지</v>
      </c>
      <c r="M70" s="38">
        <f>IFERROR(VLOOKUP(I70,보도매체!$A:$C,3,FALSE), "")</f>
        <v>1.5</v>
      </c>
      <c r="N70" s="3"/>
    </row>
    <row r="71" spans="1:14" x14ac:dyDescent="0.3">
      <c r="A71" s="1">
        <v>70</v>
      </c>
      <c r="B71" s="35" t="s">
        <v>29</v>
      </c>
      <c r="C71" s="35" t="str">
        <f t="shared" si="2"/>
        <v>6_가금연구센터</v>
      </c>
      <c r="D71" s="30" t="str">
        <f>IFERROR(VLOOKUP(C71,소속부서!$A$2:$B$20,2,FALSE), "")</f>
        <v>2_축산자원개발부</v>
      </c>
      <c r="E71" s="12" t="s">
        <v>938</v>
      </c>
      <c r="F71" s="37" t="s">
        <v>968</v>
      </c>
      <c r="G71" s="37"/>
      <c r="H71" s="40" t="s">
        <v>896</v>
      </c>
      <c r="I71" s="1" t="s">
        <v>806</v>
      </c>
      <c r="J71" s="3">
        <v>45896</v>
      </c>
      <c r="L71" s="36" t="str">
        <f>IFERROR(VLOOKUP(I71,보도매체!$A:$C,2,FALSE), "")</f>
        <v>09_농업전문지</v>
      </c>
      <c r="M71" s="38">
        <f>IFERROR(VLOOKUP(I71,보도매체!$A:$C,3,FALSE), "")</f>
        <v>1.5</v>
      </c>
      <c r="N71" s="3"/>
    </row>
    <row r="72" spans="1:14" x14ac:dyDescent="0.3">
      <c r="A72" s="1">
        <v>71</v>
      </c>
      <c r="B72" s="35" t="s">
        <v>29</v>
      </c>
      <c r="C72" s="35" t="e">
        <f>#REF!</f>
        <v>#REF!</v>
      </c>
      <c r="D72" s="2" t="s">
        <v>19</v>
      </c>
      <c r="E72" s="2" t="s">
        <v>1021</v>
      </c>
      <c r="F72" s="1" t="s">
        <v>1029</v>
      </c>
      <c r="G72" s="37"/>
      <c r="H72" s="58" t="s">
        <v>1048</v>
      </c>
      <c r="I72" s="55" t="s">
        <v>1033</v>
      </c>
      <c r="J72" s="33">
        <v>45748</v>
      </c>
      <c r="K72" s="55" t="s">
        <v>1047</v>
      </c>
      <c r="L72" s="36" t="s">
        <v>1012</v>
      </c>
      <c r="M72" s="38">
        <v>1.5</v>
      </c>
      <c r="N72" s="33">
        <v>45891</v>
      </c>
    </row>
    <row r="73" spans="1:14" ht="13.5" x14ac:dyDescent="0.3">
      <c r="A73" s="1">
        <v>72</v>
      </c>
      <c r="B73" s="35" t="s">
        <v>29</v>
      </c>
      <c r="C73" s="35" t="e">
        <f>#REF!</f>
        <v>#REF!</v>
      </c>
      <c r="D73" s="2" t="s">
        <v>19</v>
      </c>
      <c r="E73" s="2" t="s">
        <v>22</v>
      </c>
      <c r="F73" s="1" t="s">
        <v>983</v>
      </c>
      <c r="G73" s="1" t="s">
        <v>1046</v>
      </c>
      <c r="H73" s="58" t="s">
        <v>1045</v>
      </c>
      <c r="I73" s="55" t="s">
        <v>1033</v>
      </c>
      <c r="J73" s="33">
        <v>45748</v>
      </c>
      <c r="K73" s="55">
        <v>48</v>
      </c>
      <c r="L73" s="36" t="s">
        <v>1012</v>
      </c>
      <c r="M73" s="38">
        <v>1.5</v>
      </c>
      <c r="N73" s="33">
        <v>45891</v>
      </c>
    </row>
    <row r="74" spans="1:14" x14ac:dyDescent="0.3">
      <c r="A74" s="1">
        <v>73</v>
      </c>
      <c r="B74" s="35" t="s">
        <v>29</v>
      </c>
      <c r="C74" s="35" t="e">
        <f>#REF!</f>
        <v>#REF!</v>
      </c>
      <c r="D74" s="2" t="s">
        <v>19</v>
      </c>
      <c r="E74" s="2" t="s">
        <v>21</v>
      </c>
      <c r="F74" s="1" t="s">
        <v>1044</v>
      </c>
      <c r="G74" s="37"/>
      <c r="H74" s="42" t="s">
        <v>1043</v>
      </c>
      <c r="I74" s="55" t="s">
        <v>1033</v>
      </c>
      <c r="J74" s="33">
        <v>45748</v>
      </c>
      <c r="K74" s="84" t="s">
        <v>1042</v>
      </c>
      <c r="L74" s="36" t="s">
        <v>1012</v>
      </c>
      <c r="M74" s="38">
        <v>1.5</v>
      </c>
      <c r="N74" s="33">
        <v>45891</v>
      </c>
    </row>
    <row r="75" spans="1:14" x14ac:dyDescent="0.3">
      <c r="A75" s="1">
        <v>74</v>
      </c>
      <c r="B75" s="35" t="s">
        <v>29</v>
      </c>
      <c r="C75" s="35" t="e">
        <f>#REF!</f>
        <v>#REF!</v>
      </c>
      <c r="D75" s="2" t="s">
        <v>8</v>
      </c>
      <c r="E75" s="2" t="s">
        <v>11</v>
      </c>
      <c r="F75" s="1" t="s">
        <v>952</v>
      </c>
      <c r="G75" s="37"/>
      <c r="H75" s="42" t="s">
        <v>1041</v>
      </c>
      <c r="I75" s="55" t="s">
        <v>1033</v>
      </c>
      <c r="J75" s="33">
        <v>45748</v>
      </c>
      <c r="K75" s="84" t="s">
        <v>969</v>
      </c>
      <c r="L75" s="36" t="s">
        <v>1012</v>
      </c>
      <c r="M75" s="38">
        <v>1.5</v>
      </c>
      <c r="N75" s="33">
        <v>45891</v>
      </c>
    </row>
    <row r="76" spans="1:14" x14ac:dyDescent="0.3">
      <c r="A76" s="1">
        <v>75</v>
      </c>
      <c r="B76" s="35" t="s">
        <v>29</v>
      </c>
      <c r="C76" s="35" t="e">
        <f>#REF!</f>
        <v>#REF!</v>
      </c>
      <c r="D76" s="30" t="s">
        <v>19</v>
      </c>
      <c r="E76" s="2" t="s">
        <v>22</v>
      </c>
      <c r="F76" s="1" t="s">
        <v>990</v>
      </c>
      <c r="G76" s="37"/>
      <c r="H76" s="58" t="s">
        <v>1040</v>
      </c>
      <c r="I76" s="55" t="s">
        <v>1033</v>
      </c>
      <c r="J76" s="33">
        <v>45748</v>
      </c>
      <c r="K76" s="55" t="s">
        <v>1039</v>
      </c>
      <c r="L76" s="36" t="s">
        <v>1012</v>
      </c>
      <c r="M76" s="38">
        <v>1.5</v>
      </c>
      <c r="N76" s="33">
        <v>45891</v>
      </c>
    </row>
    <row r="77" spans="1:14" x14ac:dyDescent="0.3">
      <c r="A77" s="1">
        <v>76</v>
      </c>
      <c r="B77" s="35" t="s">
        <v>29</v>
      </c>
      <c r="C77" s="35" t="e">
        <f>#REF!</f>
        <v>#REF!</v>
      </c>
      <c r="D77" s="2" t="s">
        <v>19</v>
      </c>
      <c r="E77" s="2" t="s">
        <v>1021</v>
      </c>
      <c r="F77" s="1" t="s">
        <v>1029</v>
      </c>
      <c r="G77" s="37"/>
      <c r="H77" s="58" t="s">
        <v>1038</v>
      </c>
      <c r="I77" s="55" t="s">
        <v>1033</v>
      </c>
      <c r="J77" s="33">
        <v>45748</v>
      </c>
      <c r="K77" s="55" t="s">
        <v>1037</v>
      </c>
      <c r="L77" s="36" t="s">
        <v>1012</v>
      </c>
      <c r="M77" s="38">
        <v>1.5</v>
      </c>
      <c r="N77" s="33">
        <v>45891</v>
      </c>
    </row>
    <row r="78" spans="1:14" x14ac:dyDescent="0.3">
      <c r="A78" s="1">
        <v>77</v>
      </c>
      <c r="B78" s="35" t="s">
        <v>29</v>
      </c>
      <c r="C78" s="35" t="e">
        <f>#REF!</f>
        <v>#REF!</v>
      </c>
      <c r="D78" s="2" t="s">
        <v>14</v>
      </c>
      <c r="E78" s="2" t="s">
        <v>16</v>
      </c>
      <c r="F78" s="1" t="s">
        <v>1036</v>
      </c>
      <c r="G78" s="1" t="s">
        <v>1035</v>
      </c>
      <c r="H78" s="42" t="s">
        <v>1034</v>
      </c>
      <c r="I78" s="55" t="s">
        <v>1033</v>
      </c>
      <c r="J78" s="33">
        <v>45748</v>
      </c>
      <c r="K78" s="37">
        <v>138</v>
      </c>
      <c r="L78" s="36" t="s">
        <v>1012</v>
      </c>
      <c r="M78" s="38">
        <v>1.5</v>
      </c>
      <c r="N78" s="33">
        <v>45891</v>
      </c>
    </row>
    <row r="79" spans="1:14" x14ac:dyDescent="0.3">
      <c r="A79" s="1">
        <v>78</v>
      </c>
      <c r="B79" s="35" t="s">
        <v>29</v>
      </c>
      <c r="C79" s="35" t="e">
        <f>#REF!</f>
        <v>#REF!</v>
      </c>
      <c r="D79" s="30" t="s">
        <v>19</v>
      </c>
      <c r="E79" s="2" t="s">
        <v>1021</v>
      </c>
      <c r="F79" s="1" t="s">
        <v>1032</v>
      </c>
      <c r="G79" s="37" t="s">
        <v>1031</v>
      </c>
      <c r="H79" s="42" t="s">
        <v>1030</v>
      </c>
      <c r="I79" s="55" t="s">
        <v>1013</v>
      </c>
      <c r="J79" s="33">
        <v>45748</v>
      </c>
      <c r="K79" s="37">
        <v>91</v>
      </c>
      <c r="L79" s="36" t="s">
        <v>1012</v>
      </c>
      <c r="M79" s="38">
        <v>1.5</v>
      </c>
      <c r="N79" s="33">
        <v>45891</v>
      </c>
    </row>
    <row r="80" spans="1:14" x14ac:dyDescent="0.3">
      <c r="A80" s="1">
        <v>79</v>
      </c>
      <c r="B80" s="35" t="s">
        <v>29</v>
      </c>
      <c r="C80" s="35" t="e">
        <f>#REF!</f>
        <v>#REF!</v>
      </c>
      <c r="D80" s="2" t="s">
        <v>19</v>
      </c>
      <c r="E80" s="2" t="s">
        <v>1021</v>
      </c>
      <c r="F80" s="1" t="s">
        <v>1029</v>
      </c>
      <c r="G80" s="1" t="s">
        <v>1028</v>
      </c>
      <c r="H80" s="42" t="s">
        <v>1027</v>
      </c>
      <c r="I80" s="55" t="s">
        <v>1013</v>
      </c>
      <c r="J80" s="33">
        <v>45748</v>
      </c>
      <c r="K80" s="37">
        <v>196</v>
      </c>
      <c r="L80" s="36" t="s">
        <v>1012</v>
      </c>
      <c r="M80" s="38">
        <v>1.5</v>
      </c>
      <c r="N80" s="33">
        <v>45891</v>
      </c>
    </row>
    <row r="81" spans="1:14" x14ac:dyDescent="0.3">
      <c r="A81" s="1">
        <v>80</v>
      </c>
      <c r="B81" s="35" t="s">
        <v>29</v>
      </c>
      <c r="C81" s="35" t="e">
        <f>#REF!</f>
        <v>#REF!</v>
      </c>
      <c r="D81" s="2" t="s">
        <v>8</v>
      </c>
      <c r="E81" s="2" t="s">
        <v>11</v>
      </c>
      <c r="F81" s="1" t="s">
        <v>923</v>
      </c>
      <c r="G81" s="1" t="s">
        <v>1026</v>
      </c>
      <c r="H81" s="42" t="s">
        <v>1025</v>
      </c>
      <c r="I81" s="55" t="s">
        <v>1013</v>
      </c>
      <c r="J81" s="33">
        <v>45748</v>
      </c>
      <c r="K81" s="37">
        <v>197</v>
      </c>
      <c r="L81" s="36" t="s">
        <v>1012</v>
      </c>
      <c r="M81" s="38">
        <v>1.5</v>
      </c>
      <c r="N81" s="33">
        <v>45891</v>
      </c>
    </row>
    <row r="82" spans="1:14" x14ac:dyDescent="0.3">
      <c r="A82" s="1">
        <v>81</v>
      </c>
      <c r="B82" s="35" t="s">
        <v>29</v>
      </c>
      <c r="C82" s="35" t="e">
        <f>#REF!</f>
        <v>#REF!</v>
      </c>
      <c r="D82" s="2" t="s">
        <v>8</v>
      </c>
      <c r="E82" s="2" t="s">
        <v>12</v>
      </c>
      <c r="F82" s="1" t="s">
        <v>1024</v>
      </c>
      <c r="G82" s="1" t="s">
        <v>1023</v>
      </c>
      <c r="H82" s="42" t="s">
        <v>1022</v>
      </c>
      <c r="I82" s="55" t="s">
        <v>1013</v>
      </c>
      <c r="J82" s="33">
        <v>45748</v>
      </c>
      <c r="K82" s="37">
        <v>198</v>
      </c>
      <c r="L82" s="36" t="s">
        <v>1012</v>
      </c>
      <c r="M82" s="38">
        <v>1.5</v>
      </c>
      <c r="N82" s="33">
        <v>45891</v>
      </c>
    </row>
    <row r="83" spans="1:14" x14ac:dyDescent="0.3">
      <c r="A83" s="1">
        <v>82</v>
      </c>
      <c r="B83" s="35" t="s">
        <v>29</v>
      </c>
      <c r="C83" s="35" t="e">
        <f>#REF!</f>
        <v>#REF!</v>
      </c>
      <c r="D83" s="30" t="s">
        <v>19</v>
      </c>
      <c r="E83" s="2" t="s">
        <v>1021</v>
      </c>
      <c r="F83" s="1" t="s">
        <v>1020</v>
      </c>
      <c r="G83" s="37" t="s">
        <v>1019</v>
      </c>
      <c r="H83" s="42" t="s">
        <v>1018</v>
      </c>
      <c r="I83" s="55" t="s">
        <v>1013</v>
      </c>
      <c r="J83" s="33">
        <v>45748</v>
      </c>
      <c r="K83" s="37">
        <v>199</v>
      </c>
      <c r="L83" s="36" t="s">
        <v>1012</v>
      </c>
      <c r="M83" s="38">
        <v>1.5</v>
      </c>
      <c r="N83" s="33">
        <v>45891</v>
      </c>
    </row>
    <row r="84" spans="1:14" x14ac:dyDescent="0.3">
      <c r="A84" s="1">
        <v>83</v>
      </c>
      <c r="B84" s="35" t="s">
        <v>29</v>
      </c>
      <c r="C84" s="35" t="e">
        <f>#REF!</f>
        <v>#REF!</v>
      </c>
      <c r="D84" s="2" t="s">
        <v>19</v>
      </c>
      <c r="E84" s="2" t="s">
        <v>89</v>
      </c>
      <c r="F84" s="1" t="s">
        <v>1017</v>
      </c>
      <c r="G84" s="1" t="s">
        <v>1016</v>
      </c>
      <c r="H84" s="42" t="s">
        <v>1015</v>
      </c>
      <c r="I84" s="55" t="s">
        <v>1013</v>
      </c>
      <c r="J84" s="33">
        <v>45748</v>
      </c>
      <c r="K84" s="37">
        <v>200</v>
      </c>
      <c r="L84" s="36" t="s">
        <v>1012</v>
      </c>
      <c r="M84" s="38">
        <v>1.5</v>
      </c>
      <c r="N84" s="33">
        <v>45891</v>
      </c>
    </row>
    <row r="85" spans="1:14" x14ac:dyDescent="0.3">
      <c r="A85" s="1">
        <v>84</v>
      </c>
      <c r="B85" s="35" t="s">
        <v>29</v>
      </c>
      <c r="C85" s="35" t="e">
        <f>#REF!</f>
        <v>#REF!</v>
      </c>
      <c r="D85" s="2" t="s">
        <v>8</v>
      </c>
      <c r="E85" s="2" t="s">
        <v>11</v>
      </c>
      <c r="F85" s="1" t="s">
        <v>923</v>
      </c>
      <c r="G85" s="1" t="s">
        <v>979</v>
      </c>
      <c r="H85" s="42" t="s">
        <v>1014</v>
      </c>
      <c r="I85" s="55" t="s">
        <v>1013</v>
      </c>
      <c r="J85" s="33">
        <v>45748</v>
      </c>
      <c r="K85" s="37">
        <v>201</v>
      </c>
      <c r="L85" s="36" t="s">
        <v>1012</v>
      </c>
      <c r="M85" s="38">
        <v>1.5</v>
      </c>
      <c r="N85" s="33">
        <v>45891</v>
      </c>
    </row>
    <row r="86" spans="1:14" x14ac:dyDescent="0.3">
      <c r="A86" s="1">
        <v>85</v>
      </c>
      <c r="B86" s="35" t="s">
        <v>29</v>
      </c>
      <c r="C86" s="35" t="e">
        <f>#REF!</f>
        <v>#REF!</v>
      </c>
      <c r="D86" s="30" t="s">
        <v>14</v>
      </c>
      <c r="E86" s="2" t="s">
        <v>928</v>
      </c>
      <c r="F86" s="37" t="s">
        <v>1011</v>
      </c>
      <c r="G86" s="37"/>
      <c r="H86" s="42" t="s">
        <v>1010</v>
      </c>
      <c r="I86" s="55" t="s">
        <v>1006</v>
      </c>
      <c r="J86" s="33">
        <v>45748</v>
      </c>
      <c r="K86" s="37" t="s">
        <v>1009</v>
      </c>
      <c r="L86" s="36" t="s">
        <v>46</v>
      </c>
      <c r="M86" s="38">
        <v>1</v>
      </c>
      <c r="N86" s="33">
        <v>45891</v>
      </c>
    </row>
    <row r="87" spans="1:14" x14ac:dyDescent="0.3">
      <c r="A87" s="1">
        <v>86</v>
      </c>
      <c r="B87" s="35" t="s">
        <v>29</v>
      </c>
      <c r="C87" s="35" t="e">
        <f>#REF!</f>
        <v>#REF!</v>
      </c>
      <c r="D87" s="2" t="s">
        <v>19</v>
      </c>
      <c r="E87" s="2" t="s">
        <v>21</v>
      </c>
      <c r="F87" s="37" t="s">
        <v>1008</v>
      </c>
      <c r="G87" s="37"/>
      <c r="H87" s="42" t="s">
        <v>1007</v>
      </c>
      <c r="I87" s="55" t="s">
        <v>1006</v>
      </c>
      <c r="J87" s="33">
        <v>45748</v>
      </c>
      <c r="K87" s="37" t="s">
        <v>1005</v>
      </c>
      <c r="L87" s="36" t="s">
        <v>46</v>
      </c>
      <c r="M87" s="38">
        <v>1</v>
      </c>
      <c r="N87" s="33">
        <v>45891</v>
      </c>
    </row>
    <row r="88" spans="1:14" x14ac:dyDescent="0.3">
      <c r="A88" s="1">
        <v>87</v>
      </c>
      <c r="B88" s="35" t="s">
        <v>29</v>
      </c>
      <c r="C88" s="35" t="e">
        <f>#REF!</f>
        <v>#REF!</v>
      </c>
      <c r="D88" s="2" t="s">
        <v>8</v>
      </c>
      <c r="E88" s="2" t="s">
        <v>12</v>
      </c>
      <c r="F88" s="1" t="s">
        <v>903</v>
      </c>
      <c r="G88" s="1" t="s">
        <v>997</v>
      </c>
      <c r="H88" s="42" t="s">
        <v>1004</v>
      </c>
      <c r="I88" s="37" t="s">
        <v>1003</v>
      </c>
      <c r="J88" s="33">
        <v>45748</v>
      </c>
      <c r="K88" s="37">
        <v>36</v>
      </c>
      <c r="L88" s="36" t="s">
        <v>46</v>
      </c>
      <c r="M88" s="38">
        <v>1</v>
      </c>
      <c r="N88" s="33">
        <v>45891</v>
      </c>
    </row>
    <row r="89" spans="1:14" x14ac:dyDescent="0.3">
      <c r="A89" s="1">
        <v>88</v>
      </c>
      <c r="B89" s="35" t="s">
        <v>29</v>
      </c>
      <c r="C89" s="35" t="e">
        <f>#REF!</f>
        <v>#REF!</v>
      </c>
      <c r="D89" s="30" t="s">
        <v>19</v>
      </c>
      <c r="E89" s="2" t="s">
        <v>938</v>
      </c>
      <c r="F89" s="1" t="s">
        <v>1002</v>
      </c>
      <c r="G89" s="37"/>
      <c r="H89" s="42" t="s">
        <v>1001</v>
      </c>
      <c r="I89" s="37" t="s">
        <v>995</v>
      </c>
      <c r="J89" s="33">
        <v>45748</v>
      </c>
      <c r="K89" s="37">
        <v>106</v>
      </c>
      <c r="L89" s="36" t="s">
        <v>46</v>
      </c>
      <c r="M89" s="38">
        <v>1</v>
      </c>
      <c r="N89" s="33">
        <v>45891</v>
      </c>
    </row>
    <row r="90" spans="1:14" x14ac:dyDescent="0.3">
      <c r="A90" s="1">
        <v>89</v>
      </c>
      <c r="B90" s="35" t="s">
        <v>29</v>
      </c>
      <c r="C90" s="35" t="e">
        <f>#REF!</f>
        <v>#REF!</v>
      </c>
      <c r="D90" s="30" t="s">
        <v>19</v>
      </c>
      <c r="E90" s="2" t="s">
        <v>938</v>
      </c>
      <c r="F90" s="37" t="s">
        <v>1000</v>
      </c>
      <c r="G90" s="37"/>
      <c r="H90" s="42" t="s">
        <v>999</v>
      </c>
      <c r="I90" s="37" t="s">
        <v>995</v>
      </c>
      <c r="J90" s="33">
        <v>45748</v>
      </c>
      <c r="K90" s="37" t="s">
        <v>998</v>
      </c>
      <c r="L90" s="36" t="s">
        <v>46</v>
      </c>
      <c r="M90" s="38">
        <v>1</v>
      </c>
      <c r="N90" s="33">
        <v>45891</v>
      </c>
    </row>
    <row r="91" spans="1:14" x14ac:dyDescent="0.3">
      <c r="A91" s="1">
        <v>90</v>
      </c>
      <c r="B91" s="35" t="s">
        <v>29</v>
      </c>
      <c r="C91" s="35" t="e">
        <f>#REF!</f>
        <v>#REF!</v>
      </c>
      <c r="D91" s="2" t="s">
        <v>8</v>
      </c>
      <c r="E91" s="2" t="s">
        <v>12</v>
      </c>
      <c r="F91" s="1" t="s">
        <v>903</v>
      </c>
      <c r="G91" s="1" t="s">
        <v>997</v>
      </c>
      <c r="H91" s="42" t="s">
        <v>996</v>
      </c>
      <c r="I91" s="37" t="s">
        <v>995</v>
      </c>
      <c r="J91" s="33">
        <v>45748</v>
      </c>
      <c r="K91" s="37">
        <v>154</v>
      </c>
      <c r="L91" s="36" t="s">
        <v>46</v>
      </c>
      <c r="M91" s="38">
        <v>1</v>
      </c>
      <c r="N91" s="33">
        <v>45891</v>
      </c>
    </row>
    <row r="92" spans="1:14" x14ac:dyDescent="0.3">
      <c r="A92" s="1">
        <v>91</v>
      </c>
      <c r="B92" s="35" t="s">
        <v>29</v>
      </c>
      <c r="C92" s="35" t="e">
        <f>#REF!</f>
        <v>#REF!</v>
      </c>
      <c r="D92" s="30" t="s">
        <v>8</v>
      </c>
      <c r="E92" s="2" t="s">
        <v>11</v>
      </c>
      <c r="F92" s="1" t="s">
        <v>994</v>
      </c>
      <c r="G92" s="37" t="s">
        <v>993</v>
      </c>
      <c r="H92" s="42" t="s">
        <v>992</v>
      </c>
      <c r="I92" s="37" t="s">
        <v>991</v>
      </c>
      <c r="J92" s="33">
        <v>45748</v>
      </c>
      <c r="K92" s="37">
        <v>97</v>
      </c>
      <c r="L92" s="36" t="s">
        <v>46</v>
      </c>
      <c r="M92" s="38">
        <v>1</v>
      </c>
      <c r="N92" s="33">
        <v>45891</v>
      </c>
    </row>
    <row r="93" spans="1:14" x14ac:dyDescent="0.3">
      <c r="A93" s="1">
        <v>92</v>
      </c>
      <c r="B93" s="35" t="s">
        <v>29</v>
      </c>
      <c r="C93" s="35" t="e">
        <f>#REF!</f>
        <v>#REF!</v>
      </c>
      <c r="D93" s="30" t="s">
        <v>19</v>
      </c>
      <c r="E93" s="2" t="s">
        <v>22</v>
      </c>
      <c r="F93" s="1" t="s">
        <v>990</v>
      </c>
      <c r="G93" s="37"/>
      <c r="H93" s="58" t="s">
        <v>989</v>
      </c>
      <c r="I93" s="55" t="s">
        <v>977</v>
      </c>
      <c r="J93" s="33">
        <v>45748</v>
      </c>
      <c r="K93" s="37" t="s">
        <v>988</v>
      </c>
      <c r="L93" s="36" t="s">
        <v>46</v>
      </c>
      <c r="M93" s="38">
        <v>1</v>
      </c>
      <c r="N93" s="33">
        <v>45891</v>
      </c>
    </row>
    <row r="94" spans="1:14" x14ac:dyDescent="0.3">
      <c r="A94" s="1">
        <v>93</v>
      </c>
      <c r="B94" s="35" t="s">
        <v>29</v>
      </c>
      <c r="C94" s="35" t="e">
        <f>#REF!</f>
        <v>#REF!</v>
      </c>
      <c r="D94" s="2" t="s">
        <v>19</v>
      </c>
      <c r="E94" s="2" t="s">
        <v>987</v>
      </c>
      <c r="F94" s="1" t="s">
        <v>986</v>
      </c>
      <c r="G94" s="1" t="s">
        <v>985</v>
      </c>
      <c r="H94" s="58" t="s">
        <v>984</v>
      </c>
      <c r="I94" s="55" t="s">
        <v>977</v>
      </c>
      <c r="J94" s="33">
        <v>45748</v>
      </c>
      <c r="K94" s="55">
        <v>441</v>
      </c>
      <c r="L94" s="36" t="s">
        <v>46</v>
      </c>
      <c r="M94" s="38">
        <v>1</v>
      </c>
      <c r="N94" s="33">
        <v>45891</v>
      </c>
    </row>
    <row r="95" spans="1:14" ht="13.5" x14ac:dyDescent="0.3">
      <c r="A95" s="1">
        <v>94</v>
      </c>
      <c r="B95" s="35" t="s">
        <v>29</v>
      </c>
      <c r="C95" s="35" t="e">
        <f>#REF!</f>
        <v>#REF!</v>
      </c>
      <c r="D95" s="2" t="s">
        <v>19</v>
      </c>
      <c r="E95" s="2" t="s">
        <v>22</v>
      </c>
      <c r="F95" s="1" t="s">
        <v>983</v>
      </c>
      <c r="G95" s="1" t="s">
        <v>982</v>
      </c>
      <c r="H95" s="42" t="s">
        <v>981</v>
      </c>
      <c r="I95" s="55" t="s">
        <v>977</v>
      </c>
      <c r="J95" s="33">
        <v>45748</v>
      </c>
      <c r="K95" s="37" t="s">
        <v>980</v>
      </c>
      <c r="L95" s="36" t="s">
        <v>46</v>
      </c>
      <c r="M95" s="38">
        <v>1</v>
      </c>
      <c r="N95" s="33">
        <v>45891</v>
      </c>
    </row>
    <row r="96" spans="1:14" x14ac:dyDescent="0.3">
      <c r="A96" s="1">
        <v>95</v>
      </c>
      <c r="B96" s="35" t="s">
        <v>29</v>
      </c>
      <c r="C96" s="35" t="e">
        <f>#REF!</f>
        <v>#REF!</v>
      </c>
      <c r="D96" s="2" t="s">
        <v>8</v>
      </c>
      <c r="E96" s="2" t="s">
        <v>11</v>
      </c>
      <c r="F96" s="1" t="s">
        <v>923</v>
      </c>
      <c r="G96" s="1" t="s">
        <v>979</v>
      </c>
      <c r="H96" s="42" t="s">
        <v>978</v>
      </c>
      <c r="I96" s="55" t="s">
        <v>977</v>
      </c>
      <c r="J96" s="33">
        <v>45748</v>
      </c>
      <c r="K96" s="37">
        <v>444</v>
      </c>
      <c r="L96" s="36" t="s">
        <v>46</v>
      </c>
      <c r="M96" s="38">
        <v>1</v>
      </c>
      <c r="N96" s="33">
        <v>45891</v>
      </c>
    </row>
    <row r="97" spans="1:14" x14ac:dyDescent="0.3">
      <c r="A97" s="1">
        <v>96</v>
      </c>
      <c r="B97" s="35" t="s">
        <v>29</v>
      </c>
      <c r="C97" s="35" t="e">
        <f>#REF!</f>
        <v>#REF!</v>
      </c>
      <c r="D97" s="2" t="s">
        <v>19</v>
      </c>
      <c r="E97" s="2" t="s">
        <v>22</v>
      </c>
      <c r="F97" s="37" t="s">
        <v>976</v>
      </c>
      <c r="G97" s="37"/>
      <c r="H97" s="42" t="s">
        <v>975</v>
      </c>
      <c r="I97" s="55" t="s">
        <v>974</v>
      </c>
      <c r="J97" s="33">
        <v>45748</v>
      </c>
      <c r="K97" s="37" t="s">
        <v>973</v>
      </c>
      <c r="L97" s="36" t="s">
        <v>46</v>
      </c>
      <c r="M97" s="38">
        <v>1</v>
      </c>
      <c r="N97" s="33">
        <v>45891</v>
      </c>
    </row>
    <row r="98" spans="1:14" x14ac:dyDescent="0.3">
      <c r="A98" s="1">
        <v>97</v>
      </c>
      <c r="B98" s="35" t="s">
        <v>29</v>
      </c>
      <c r="C98" s="35" t="e">
        <f>#REF!</f>
        <v>#REF!</v>
      </c>
      <c r="D98" s="2" t="s">
        <v>8</v>
      </c>
      <c r="E98" s="2" t="s">
        <v>11</v>
      </c>
      <c r="F98" s="37" t="s">
        <v>972</v>
      </c>
      <c r="G98" s="37"/>
      <c r="H98" s="42" t="s">
        <v>971</v>
      </c>
      <c r="I98" s="55" t="s">
        <v>970</v>
      </c>
      <c r="J98" s="33">
        <v>45748</v>
      </c>
      <c r="K98" s="37" t="s">
        <v>969</v>
      </c>
      <c r="L98" s="36" t="s">
        <v>46</v>
      </c>
      <c r="M98" s="38">
        <v>1</v>
      </c>
      <c r="N98" s="33">
        <v>45891</v>
      </c>
    </row>
    <row r="99" spans="1:14" x14ac:dyDescent="0.3">
      <c r="A99" s="1">
        <v>98</v>
      </c>
      <c r="B99" s="35"/>
      <c r="C99" s="35">
        <f t="shared" si="2"/>
        <v>0</v>
      </c>
      <c r="D99" s="30" t="str">
        <f>IFERROR(VLOOKUP(C99,소속부서!$A$2:$B$20,2,FALSE), "")</f>
        <v/>
      </c>
      <c r="G99" s="37"/>
      <c r="H99" s="40"/>
      <c r="L99" s="36" t="str">
        <f>IFERROR(VLOOKUP(I99,보도매체!$A:$C,2,FALSE), "")</f>
        <v/>
      </c>
      <c r="M99" s="38" t="str">
        <f>IFERROR(VLOOKUP(I99,보도매체!$A:$C,3,FALSE), "")</f>
        <v/>
      </c>
      <c r="N99" s="3"/>
    </row>
    <row r="100" spans="1:14" x14ac:dyDescent="0.3">
      <c r="A100" s="1">
        <v>99</v>
      </c>
      <c r="B100" s="35"/>
      <c r="C100" s="35">
        <f t="shared" si="2"/>
        <v>0</v>
      </c>
      <c r="D100" s="30" t="str">
        <f>IFERROR(VLOOKUP(C100,소속부서!$A$2:$B$20,2,FALSE), "")</f>
        <v/>
      </c>
      <c r="E100" s="35"/>
      <c r="G100" s="37"/>
      <c r="H100" s="40"/>
      <c r="L100" s="36" t="str">
        <f>IFERROR(VLOOKUP(I100,보도매체!$A:$C,2,FALSE), "")</f>
        <v/>
      </c>
      <c r="M100" s="38" t="str">
        <f>IFERROR(VLOOKUP(I100,보도매체!$A:$C,3,FALSE), "")</f>
        <v/>
      </c>
      <c r="N100" s="3"/>
    </row>
    <row r="101" spans="1:14" x14ac:dyDescent="0.3">
      <c r="A101" s="1">
        <v>100</v>
      </c>
      <c r="B101" s="35"/>
      <c r="C101" s="35">
        <f t="shared" si="2"/>
        <v>0</v>
      </c>
      <c r="D101" s="30" t="str">
        <f>IFERROR(VLOOKUP(C101,소속부서!$A$2:$B$20,2,FALSE), "")</f>
        <v/>
      </c>
      <c r="G101" s="37"/>
      <c r="H101" s="40"/>
      <c r="L101" s="36" t="str">
        <f>IFERROR(VLOOKUP(I101,보도매체!$A:$C,2,FALSE), "")</f>
        <v/>
      </c>
      <c r="M101" s="38" t="str">
        <f>IFERROR(VLOOKUP(I101,보도매체!$A:$C,3,FALSE), "")</f>
        <v/>
      </c>
      <c r="N101" s="3"/>
    </row>
    <row r="102" spans="1:14" x14ac:dyDescent="0.3">
      <c r="A102" s="1">
        <v>101</v>
      </c>
      <c r="B102" s="35"/>
      <c r="C102" s="35">
        <f t="shared" si="2"/>
        <v>0</v>
      </c>
      <c r="D102" s="30" t="str">
        <f>IFERROR(VLOOKUP(C102,소속부서!$A$2:$B$20,2,FALSE), "")</f>
        <v/>
      </c>
      <c r="E102" s="12"/>
      <c r="F102" s="37"/>
      <c r="G102" s="44"/>
      <c r="H102" s="56"/>
      <c r="I102" s="55"/>
      <c r="J102" s="33"/>
      <c r="K102" s="57"/>
      <c r="L102" s="36" t="str">
        <f>IFERROR(VLOOKUP(I102,보도매체!$A:$C,2,FALSE), "")</f>
        <v/>
      </c>
      <c r="M102" s="38" t="str">
        <f>IFERROR(VLOOKUP(I102,보도매체!$A:$C,3,FALSE), "")</f>
        <v/>
      </c>
      <c r="N102" s="33"/>
    </row>
    <row r="103" spans="1:14" x14ac:dyDescent="0.3">
      <c r="A103" s="1">
        <v>102</v>
      </c>
      <c r="B103" s="35"/>
      <c r="C103" s="35">
        <f t="shared" si="2"/>
        <v>0</v>
      </c>
      <c r="D103" s="30" t="str">
        <f>IFERROR(VLOOKUP(C103,소속부서!$A$2:$B$20,2,FALSE), "")</f>
        <v/>
      </c>
      <c r="G103" s="37"/>
      <c r="H103" s="58"/>
      <c r="I103" s="55"/>
      <c r="J103" s="33"/>
      <c r="K103" s="55"/>
      <c r="L103" s="36" t="str">
        <f>IFERROR(VLOOKUP(I103,보도매체!$A:$C,2,FALSE), "")</f>
        <v/>
      </c>
      <c r="M103" s="38" t="str">
        <f>IFERROR(VLOOKUP(I103,보도매체!$A:$C,3,FALSE), "")</f>
        <v/>
      </c>
      <c r="N103" s="33"/>
    </row>
    <row r="104" spans="1:14" x14ac:dyDescent="0.3">
      <c r="A104" s="1">
        <v>103</v>
      </c>
      <c r="B104" s="35"/>
      <c r="C104" s="35">
        <f t="shared" si="2"/>
        <v>0</v>
      </c>
      <c r="D104" s="30" t="str">
        <f>IFERROR(VLOOKUP(C104,소속부서!$A$2:$B$20,2,FALSE), "")</f>
        <v/>
      </c>
      <c r="E104" s="12"/>
      <c r="G104" s="37"/>
      <c r="H104" s="59"/>
      <c r="I104" s="55"/>
      <c r="J104" s="33"/>
      <c r="K104" s="60"/>
      <c r="L104" s="36" t="str">
        <f>IFERROR(VLOOKUP(I104,보도매체!$A:$C,2,FALSE), "")</f>
        <v/>
      </c>
      <c r="M104" s="38" t="str">
        <f>IFERROR(VLOOKUP(I104,보도매체!$A:$C,3,FALSE), "")</f>
        <v/>
      </c>
      <c r="N104" s="33"/>
    </row>
    <row r="105" spans="1:14" x14ac:dyDescent="0.3">
      <c r="A105" s="1">
        <v>104</v>
      </c>
      <c r="B105" s="35"/>
      <c r="C105" s="35">
        <f t="shared" si="2"/>
        <v>0</v>
      </c>
      <c r="D105" s="30" t="str">
        <f>IFERROR(VLOOKUP(C105,소속부서!$A$2:$B$20,2,FALSE), "")</f>
        <v/>
      </c>
      <c r="G105" s="44"/>
      <c r="H105" s="54"/>
      <c r="I105" s="55"/>
      <c r="J105" s="33"/>
      <c r="K105" s="55"/>
      <c r="L105" s="36" t="str">
        <f>IFERROR(VLOOKUP(I105,보도매체!$A:$C,2,FALSE), "")</f>
        <v/>
      </c>
      <c r="M105" s="38" t="str">
        <f>IFERROR(VLOOKUP(I105,보도매체!$A:$C,3,FALSE), "")</f>
        <v/>
      </c>
      <c r="N105" s="33"/>
    </row>
    <row r="106" spans="1:14" x14ac:dyDescent="0.3">
      <c r="A106" s="1">
        <v>105</v>
      </c>
      <c r="B106" s="35"/>
      <c r="C106" s="35">
        <f t="shared" si="2"/>
        <v>0</v>
      </c>
      <c r="D106" s="30" t="str">
        <f>IFERROR(VLOOKUP(C106,소속부서!$A$2:$B$20,2,FALSE), "")</f>
        <v/>
      </c>
      <c r="G106" s="37"/>
      <c r="H106" s="54"/>
      <c r="I106" s="55"/>
      <c r="J106" s="33"/>
      <c r="K106" s="44"/>
      <c r="L106" s="36" t="str">
        <f>IFERROR(VLOOKUP(I106,보도매체!$A:$C,2,FALSE), "")</f>
        <v/>
      </c>
      <c r="M106" s="38" t="str">
        <f>IFERROR(VLOOKUP(I106,보도매체!$A:$C,3,FALSE), "")</f>
        <v/>
      </c>
      <c r="N106" s="33"/>
    </row>
    <row r="107" spans="1:14" x14ac:dyDescent="0.3">
      <c r="A107" s="1">
        <v>106</v>
      </c>
      <c r="B107" s="35"/>
      <c r="C107" s="35">
        <f t="shared" si="2"/>
        <v>0</v>
      </c>
      <c r="D107" s="30" t="str">
        <f>IFERROR(VLOOKUP(C107,소속부서!$A$2:$B$20,2,FALSE), "")</f>
        <v/>
      </c>
      <c r="G107" s="44"/>
      <c r="H107" s="58"/>
      <c r="I107" s="55"/>
      <c r="J107" s="33"/>
      <c r="K107" s="55"/>
      <c r="L107" s="36" t="str">
        <f>IFERROR(VLOOKUP(I107,보도매체!$A:$C,2,FALSE), "")</f>
        <v/>
      </c>
      <c r="M107" s="38" t="str">
        <f>IFERROR(VLOOKUP(I107,보도매체!$A:$C,3,FALSE), "")</f>
        <v/>
      </c>
      <c r="N107" s="33"/>
    </row>
    <row r="108" spans="1:14" x14ac:dyDescent="0.3">
      <c r="A108" s="1">
        <v>107</v>
      </c>
      <c r="B108" s="35"/>
      <c r="C108" s="35">
        <f t="shared" si="2"/>
        <v>0</v>
      </c>
      <c r="D108" s="30" t="str">
        <f>IFERROR(VLOOKUP(C108,소속부서!$A$2:$B$20,2,FALSE), "")</f>
        <v/>
      </c>
      <c r="G108" s="44"/>
      <c r="H108" s="58"/>
      <c r="I108" s="55"/>
      <c r="J108" s="33"/>
      <c r="K108" s="55"/>
      <c r="L108" s="36" t="str">
        <f>IFERROR(VLOOKUP(I108,보도매체!$A:$C,2,FALSE), "")</f>
        <v/>
      </c>
      <c r="M108" s="38" t="str">
        <f>IFERROR(VLOOKUP(I108,보도매체!$A:$C,3,FALSE), "")</f>
        <v/>
      </c>
      <c r="N108" s="33"/>
    </row>
    <row r="109" spans="1:14" x14ac:dyDescent="0.3">
      <c r="A109" s="1">
        <v>108</v>
      </c>
      <c r="B109" s="35"/>
      <c r="C109" s="35">
        <f t="shared" si="2"/>
        <v>0</v>
      </c>
      <c r="D109" s="30" t="str">
        <f>IFERROR(VLOOKUP(C109,소속부서!$A$2:$B$20,2,FALSE), "")</f>
        <v/>
      </c>
      <c r="E109" s="12"/>
      <c r="G109" s="37"/>
      <c r="H109" s="58"/>
      <c r="I109" s="55"/>
      <c r="J109" s="33"/>
      <c r="K109" s="37"/>
      <c r="L109" s="36" t="str">
        <f>IFERROR(VLOOKUP(I109,보도매체!$A:$C,2,FALSE), "")</f>
        <v/>
      </c>
      <c r="M109" s="38" t="str">
        <f>IFERROR(VLOOKUP(I109,보도매체!$A:$C,3,FALSE), "")</f>
        <v/>
      </c>
      <c r="N109" s="33"/>
    </row>
    <row r="110" spans="1:14" x14ac:dyDescent="0.3">
      <c r="A110" s="1">
        <v>109</v>
      </c>
      <c r="B110" s="35"/>
      <c r="C110" s="35">
        <f t="shared" si="2"/>
        <v>0</v>
      </c>
      <c r="D110" s="30" t="str">
        <f>IFERROR(VLOOKUP(C110,소속부서!$A$2:$B$20,2,FALSE), "")</f>
        <v/>
      </c>
      <c r="E110" s="35"/>
      <c r="F110" s="37"/>
      <c r="G110" s="37"/>
      <c r="H110" s="42"/>
      <c r="I110" s="55"/>
      <c r="J110" s="33"/>
      <c r="K110" s="61"/>
      <c r="L110" s="36" t="str">
        <f>IFERROR(VLOOKUP(I110,보도매체!$A:$C,2,FALSE), "")</f>
        <v/>
      </c>
      <c r="M110" s="38" t="str">
        <f>IFERROR(VLOOKUP(I110,보도매체!$A:$C,3,FALSE), "")</f>
        <v/>
      </c>
      <c r="N110" s="33"/>
    </row>
    <row r="111" spans="1:14" x14ac:dyDescent="0.3">
      <c r="A111" s="1">
        <v>110</v>
      </c>
      <c r="B111" s="35"/>
      <c r="C111" s="35">
        <f t="shared" si="2"/>
        <v>0</v>
      </c>
      <c r="D111" s="30" t="str">
        <f>IFERROR(VLOOKUP(C111,소속부서!$A$2:$B$20,2,FALSE), "")</f>
        <v/>
      </c>
      <c r="G111" s="37"/>
      <c r="H111" s="40"/>
      <c r="L111" s="36" t="str">
        <f>IFERROR(VLOOKUP(I111,보도매체!$A:$C,2,FALSE), "")</f>
        <v/>
      </c>
      <c r="M111" s="38" t="str">
        <f>IFERROR(VLOOKUP(I111,보도매체!$A:$C,3,FALSE), "")</f>
        <v/>
      </c>
      <c r="N111" s="3"/>
    </row>
    <row r="112" spans="1:14" x14ac:dyDescent="0.3">
      <c r="A112" s="1">
        <v>111</v>
      </c>
      <c r="B112" s="35"/>
      <c r="C112" s="35">
        <f t="shared" si="2"/>
        <v>0</v>
      </c>
      <c r="D112" s="30" t="str">
        <f>IFERROR(VLOOKUP(C112,소속부서!$A$2:$B$20,2,FALSE), "")</f>
        <v/>
      </c>
      <c r="E112" s="35"/>
      <c r="G112" s="37"/>
      <c r="H112" s="40"/>
      <c r="J112" s="41"/>
      <c r="L112" s="36" t="str">
        <f>IFERROR(VLOOKUP(I112,보도매체!$A:$C,2,FALSE), "")</f>
        <v/>
      </c>
      <c r="M112" s="38" t="str">
        <f>IFERROR(VLOOKUP(I112,보도매체!$A:$C,3,FALSE), "")</f>
        <v/>
      </c>
      <c r="N112" s="3"/>
    </row>
    <row r="113" spans="1:14" x14ac:dyDescent="0.3">
      <c r="A113" s="1">
        <v>112</v>
      </c>
      <c r="B113" s="35"/>
      <c r="C113" s="35">
        <f t="shared" si="2"/>
        <v>0</v>
      </c>
      <c r="D113" s="30" t="str">
        <f>IFERROR(VLOOKUP(C113,소속부서!$A$2:$B$20,2,FALSE), "")</f>
        <v/>
      </c>
      <c r="E113" s="45"/>
      <c r="G113" s="37"/>
      <c r="H113" s="40"/>
      <c r="I113" s="37"/>
      <c r="J113" s="41"/>
      <c r="K113" s="28"/>
      <c r="L113" s="36" t="str">
        <f>IFERROR(VLOOKUP(I113,보도매체!$A:$C,2,FALSE), "")</f>
        <v/>
      </c>
      <c r="M113" s="38" t="str">
        <f>IFERROR(VLOOKUP(I113,보도매체!$A:$C,3,FALSE), "")</f>
        <v/>
      </c>
      <c r="N113" s="3"/>
    </row>
    <row r="114" spans="1:14" x14ac:dyDescent="0.3">
      <c r="A114" s="1">
        <v>113</v>
      </c>
      <c r="B114" s="35"/>
      <c r="C114" s="35">
        <f t="shared" si="2"/>
        <v>0</v>
      </c>
      <c r="D114" s="30" t="str">
        <f>IFERROR(VLOOKUP(C114,소속부서!$A$2:$B$20,2,FALSE), "")</f>
        <v/>
      </c>
      <c r="E114" s="12"/>
      <c r="F114" s="37"/>
      <c r="G114" s="37"/>
      <c r="H114" s="40"/>
      <c r="I114" s="37"/>
      <c r="J114" s="41"/>
      <c r="K114" s="28"/>
      <c r="L114" s="36" t="str">
        <f>IFERROR(VLOOKUP(I114,보도매체!$A:$C,2,FALSE), "")</f>
        <v/>
      </c>
      <c r="M114" s="38" t="str">
        <f>IFERROR(VLOOKUP(I114,보도매체!$A:$C,3,FALSE), "")</f>
        <v/>
      </c>
      <c r="N114" s="3"/>
    </row>
    <row r="115" spans="1:14" x14ac:dyDescent="0.3">
      <c r="A115" s="1">
        <v>114</v>
      </c>
      <c r="B115" s="35"/>
      <c r="C115" s="35">
        <f t="shared" si="2"/>
        <v>0</v>
      </c>
      <c r="D115" s="30" t="str">
        <f>IFERROR(VLOOKUP(C115,소속부서!$A$2:$B$20,2,FALSE), "")</f>
        <v/>
      </c>
      <c r="G115" s="44"/>
      <c r="H115" s="40"/>
      <c r="L115" s="36" t="str">
        <f>IFERROR(VLOOKUP(I115,보도매체!$A:$C,2,FALSE), "")</f>
        <v/>
      </c>
      <c r="M115" s="38" t="str">
        <f>IFERROR(VLOOKUP(I115,보도매체!$A:$C,3,FALSE), "")</f>
        <v/>
      </c>
      <c r="N115" s="3"/>
    </row>
    <row r="116" spans="1:14" x14ac:dyDescent="0.3">
      <c r="A116" s="1">
        <v>115</v>
      </c>
      <c r="B116" s="35"/>
      <c r="C116" s="35">
        <f t="shared" si="2"/>
        <v>0</v>
      </c>
      <c r="D116" s="30" t="str">
        <f>IFERROR(VLOOKUP(C116,소속부서!$A$2:$B$20,2,FALSE), "")</f>
        <v/>
      </c>
      <c r="G116" s="37"/>
      <c r="H116" s="40"/>
      <c r="L116" s="36" t="str">
        <f>IFERROR(VLOOKUP(I116,보도매체!$A:$C,2,FALSE), "")</f>
        <v/>
      </c>
      <c r="M116" s="38" t="str">
        <f>IFERROR(VLOOKUP(I116,보도매체!$A:$C,3,FALSE), "")</f>
        <v/>
      </c>
      <c r="N116" s="3"/>
    </row>
    <row r="117" spans="1:14" x14ac:dyDescent="0.3">
      <c r="A117" s="1">
        <v>116</v>
      </c>
      <c r="B117" s="35"/>
      <c r="C117" s="35">
        <f t="shared" si="2"/>
        <v>0</v>
      </c>
      <c r="D117" s="30" t="str">
        <f>IFERROR(VLOOKUP(C117,소속부서!$A$2:$B$20,2,FALSE), "")</f>
        <v/>
      </c>
      <c r="G117" s="37"/>
      <c r="H117" s="40"/>
      <c r="L117" s="36" t="str">
        <f>IFERROR(VLOOKUP(I117,보도매체!$A:$C,2,FALSE), "")</f>
        <v/>
      </c>
      <c r="M117" s="38" t="str">
        <f>IFERROR(VLOOKUP(I117,보도매체!$A:$C,3,FALSE), "")</f>
        <v/>
      </c>
      <c r="N117" s="3"/>
    </row>
    <row r="118" spans="1:14" x14ac:dyDescent="0.3">
      <c r="A118" s="1">
        <v>117</v>
      </c>
      <c r="B118" s="35"/>
      <c r="C118" s="35">
        <f t="shared" si="2"/>
        <v>0</v>
      </c>
      <c r="D118" s="30" t="str">
        <f>IFERROR(VLOOKUP(C118,소속부서!$A$2:$B$20,2,FALSE), "")</f>
        <v/>
      </c>
      <c r="E118" s="35"/>
      <c r="G118" s="37"/>
      <c r="H118" s="40"/>
      <c r="L118" s="36" t="str">
        <f>IFERROR(VLOOKUP(I118,보도매체!$A:$C,2,FALSE), "")</f>
        <v/>
      </c>
      <c r="M118" s="38" t="str">
        <f>IFERROR(VLOOKUP(I118,보도매체!$A:$C,3,FALSE), "")</f>
        <v/>
      </c>
      <c r="N118" s="3"/>
    </row>
    <row r="119" spans="1:14" x14ac:dyDescent="0.3">
      <c r="A119" s="1">
        <v>118</v>
      </c>
      <c r="B119" s="35"/>
      <c r="C119" s="35">
        <f t="shared" si="2"/>
        <v>0</v>
      </c>
      <c r="D119" s="30" t="str">
        <f>IFERROR(VLOOKUP(C119,소속부서!$A$2:$B$20,2,FALSE), "")</f>
        <v/>
      </c>
      <c r="E119" s="35"/>
      <c r="G119" s="37"/>
      <c r="H119" s="40"/>
      <c r="L119" s="36" t="str">
        <f>IFERROR(VLOOKUP(I119,보도매체!$A:$C,2,FALSE), "")</f>
        <v/>
      </c>
      <c r="M119" s="38" t="str">
        <f>IFERROR(VLOOKUP(I119,보도매체!$A:$C,3,FALSE), "")</f>
        <v/>
      </c>
      <c r="N119" s="3"/>
    </row>
    <row r="120" spans="1:14" x14ac:dyDescent="0.3">
      <c r="A120" s="1">
        <v>119</v>
      </c>
      <c r="B120" s="35"/>
      <c r="C120" s="35">
        <f t="shared" si="2"/>
        <v>0</v>
      </c>
      <c r="D120" s="30" t="str">
        <f>IFERROR(VLOOKUP(C120,소속부서!$A$2:$B$20,2,FALSE), "")</f>
        <v/>
      </c>
      <c r="E120" s="35"/>
      <c r="G120" s="37"/>
      <c r="H120" s="40"/>
      <c r="L120" s="36" t="str">
        <f>IFERROR(VLOOKUP(I120,보도매체!$A:$C,2,FALSE), "")</f>
        <v/>
      </c>
      <c r="M120" s="38" t="str">
        <f>IFERROR(VLOOKUP(I120,보도매체!$A:$C,3,FALSE), "")</f>
        <v/>
      </c>
      <c r="N120" s="3"/>
    </row>
    <row r="121" spans="1:14" x14ac:dyDescent="0.3">
      <c r="A121" s="1">
        <v>120</v>
      </c>
      <c r="B121" s="35"/>
      <c r="C121" s="35">
        <f t="shared" si="2"/>
        <v>0</v>
      </c>
      <c r="D121" s="30" t="str">
        <f>IFERROR(VLOOKUP(C121,소속부서!$A$2:$B$20,2,FALSE), "")</f>
        <v/>
      </c>
      <c r="E121" s="12"/>
      <c r="F121" s="37"/>
      <c r="G121" s="44"/>
      <c r="H121" s="56"/>
      <c r="I121" s="55"/>
      <c r="J121" s="33"/>
      <c r="K121" s="57"/>
      <c r="L121" s="36" t="str">
        <f>IFERROR(VLOOKUP(I121,보도매체!$A:$C,2,FALSE), "")</f>
        <v/>
      </c>
      <c r="M121" s="38" t="str">
        <f>IFERROR(VLOOKUP(I121,보도매체!$A:$C,3,FALSE), "")</f>
        <v/>
      </c>
      <c r="N121" s="33"/>
    </row>
    <row r="122" spans="1:14" x14ac:dyDescent="0.3">
      <c r="A122" s="1">
        <v>121</v>
      </c>
      <c r="B122" s="35"/>
      <c r="C122" s="35">
        <f t="shared" si="2"/>
        <v>0</v>
      </c>
      <c r="D122" s="30" t="str">
        <f>IFERROR(VLOOKUP(C122,소속부서!$A$2:$B$20,2,FALSE), "")</f>
        <v/>
      </c>
      <c r="G122" s="37"/>
      <c r="H122" s="58"/>
      <c r="I122" s="55"/>
      <c r="J122" s="33"/>
      <c r="K122" s="55"/>
      <c r="L122" s="36" t="str">
        <f>IFERROR(VLOOKUP(I122,보도매체!$A:$C,2,FALSE), "")</f>
        <v/>
      </c>
      <c r="M122" s="38" t="str">
        <f>IFERROR(VLOOKUP(I122,보도매체!$A:$C,3,FALSE), "")</f>
        <v/>
      </c>
      <c r="N122" s="33"/>
    </row>
    <row r="123" spans="1:14" x14ac:dyDescent="0.3">
      <c r="A123" s="1">
        <v>122</v>
      </c>
      <c r="B123" s="35"/>
      <c r="C123" s="35">
        <f t="shared" si="2"/>
        <v>0</v>
      </c>
      <c r="D123" s="30" t="str">
        <f>IFERROR(VLOOKUP(C123,소속부서!$A$2:$B$20,2,FALSE), "")</f>
        <v/>
      </c>
      <c r="E123" s="12"/>
      <c r="G123" s="37"/>
      <c r="H123" s="59"/>
      <c r="I123" s="55"/>
      <c r="J123" s="33"/>
      <c r="K123" s="60"/>
      <c r="L123" s="36" t="str">
        <f>IFERROR(VLOOKUP(I123,보도매체!$A:$C,2,FALSE), "")</f>
        <v/>
      </c>
      <c r="M123" s="38" t="str">
        <f>IFERROR(VLOOKUP(I123,보도매체!$A:$C,3,FALSE), "")</f>
        <v/>
      </c>
      <c r="N123" s="33"/>
    </row>
    <row r="124" spans="1:14" x14ac:dyDescent="0.3">
      <c r="A124" s="1">
        <v>123</v>
      </c>
      <c r="B124" s="35"/>
      <c r="C124" s="35">
        <f t="shared" si="2"/>
        <v>0</v>
      </c>
      <c r="D124" s="30" t="str">
        <f>IFERROR(VLOOKUP(C124,소속부서!$A$2:$B$20,2,FALSE), "")</f>
        <v/>
      </c>
      <c r="G124" s="44"/>
      <c r="H124" s="54"/>
      <c r="I124" s="55"/>
      <c r="J124" s="33"/>
      <c r="K124" s="55"/>
      <c r="L124" s="36" t="str">
        <f>IFERROR(VLOOKUP(I124,보도매체!$A:$C,2,FALSE), "")</f>
        <v/>
      </c>
      <c r="M124" s="38" t="str">
        <f>IFERROR(VLOOKUP(I124,보도매체!$A:$C,3,FALSE), "")</f>
        <v/>
      </c>
      <c r="N124" s="33"/>
    </row>
    <row r="125" spans="1:14" x14ac:dyDescent="0.3">
      <c r="A125" s="1">
        <v>124</v>
      </c>
      <c r="B125" s="35"/>
      <c r="C125" s="35">
        <f t="shared" si="2"/>
        <v>0</v>
      </c>
      <c r="D125" s="30" t="str">
        <f>IFERROR(VLOOKUP(C125,소속부서!$A$2:$B$20,2,FALSE), "")</f>
        <v/>
      </c>
      <c r="G125" s="37"/>
      <c r="H125" s="54"/>
      <c r="I125" s="55"/>
      <c r="J125" s="33"/>
      <c r="K125" s="44"/>
      <c r="L125" s="36" t="str">
        <f>IFERROR(VLOOKUP(I125,보도매체!$A:$C,2,FALSE), "")</f>
        <v/>
      </c>
      <c r="M125" s="38" t="str">
        <f>IFERROR(VLOOKUP(I125,보도매체!$A:$C,3,FALSE), "")</f>
        <v/>
      </c>
      <c r="N125" s="33"/>
    </row>
    <row r="126" spans="1:14" x14ac:dyDescent="0.3">
      <c r="A126" s="1">
        <v>125</v>
      </c>
      <c r="B126" s="35"/>
      <c r="C126" s="35">
        <f t="shared" si="2"/>
        <v>0</v>
      </c>
      <c r="D126" s="30" t="str">
        <f>IFERROR(VLOOKUP(C126,소속부서!$A$2:$B$20,2,FALSE), "")</f>
        <v/>
      </c>
      <c r="G126" s="44"/>
      <c r="H126" s="58"/>
      <c r="I126" s="55"/>
      <c r="J126" s="33"/>
      <c r="K126" s="55"/>
      <c r="L126" s="36" t="str">
        <f>IFERROR(VLOOKUP(I126,보도매체!$A:$C,2,FALSE), "")</f>
        <v/>
      </c>
      <c r="M126" s="38" t="str">
        <f>IFERROR(VLOOKUP(I126,보도매체!$A:$C,3,FALSE), "")</f>
        <v/>
      </c>
      <c r="N126" s="33"/>
    </row>
    <row r="127" spans="1:14" x14ac:dyDescent="0.3">
      <c r="A127" s="1">
        <v>126</v>
      </c>
      <c r="B127" s="35"/>
      <c r="C127" s="35">
        <f t="shared" si="2"/>
        <v>0</v>
      </c>
      <c r="D127" s="30" t="str">
        <f>IFERROR(VLOOKUP(C127,소속부서!$A$2:$B$20,2,FALSE), "")</f>
        <v/>
      </c>
      <c r="G127" s="44"/>
      <c r="H127" s="58"/>
      <c r="I127" s="55"/>
      <c r="J127" s="33"/>
      <c r="K127" s="55"/>
      <c r="L127" s="36" t="str">
        <f>IFERROR(VLOOKUP(I127,보도매체!$A:$C,2,FALSE), "")</f>
        <v/>
      </c>
      <c r="M127" s="38" t="str">
        <f>IFERROR(VLOOKUP(I127,보도매체!$A:$C,3,FALSE), "")</f>
        <v/>
      </c>
      <c r="N127" s="33"/>
    </row>
    <row r="128" spans="1:14" x14ac:dyDescent="0.3">
      <c r="A128" s="1">
        <v>127</v>
      </c>
      <c r="B128" s="35"/>
      <c r="C128" s="35">
        <f t="shared" si="2"/>
        <v>0</v>
      </c>
      <c r="D128" s="30" t="str">
        <f>IFERROR(VLOOKUP(C128,소속부서!$A$2:$B$20,2,FALSE), "")</f>
        <v/>
      </c>
      <c r="E128" s="12"/>
      <c r="G128" s="37"/>
      <c r="H128" s="58"/>
      <c r="I128" s="55"/>
      <c r="J128" s="33"/>
      <c r="K128" s="37"/>
      <c r="L128" s="36" t="str">
        <f>IFERROR(VLOOKUP(I128,보도매체!$A:$C,2,FALSE), "")</f>
        <v/>
      </c>
      <c r="M128" s="38" t="str">
        <f>IFERROR(VLOOKUP(I128,보도매체!$A:$C,3,FALSE), "")</f>
        <v/>
      </c>
      <c r="N128" s="33"/>
    </row>
    <row r="129" spans="1:14" x14ac:dyDescent="0.3">
      <c r="A129" s="1">
        <v>128</v>
      </c>
      <c r="B129" s="35"/>
      <c r="C129" s="35">
        <f t="shared" si="2"/>
        <v>0</v>
      </c>
      <c r="D129" s="30" t="str">
        <f>IFERROR(VLOOKUP(C129,소속부서!$A$2:$B$20,2,FALSE), "")</f>
        <v/>
      </c>
      <c r="E129" s="35"/>
      <c r="F129" s="37"/>
      <c r="G129" s="37"/>
      <c r="H129" s="42"/>
      <c r="I129" s="55"/>
      <c r="J129" s="33"/>
      <c r="K129" s="61"/>
      <c r="L129" s="36" t="str">
        <f>IFERROR(VLOOKUP(I129,보도매체!$A:$C,2,FALSE), "")</f>
        <v/>
      </c>
      <c r="M129" s="38" t="str">
        <f>IFERROR(VLOOKUP(I129,보도매체!$A:$C,3,FALSE), "")</f>
        <v/>
      </c>
      <c r="N129" s="33"/>
    </row>
    <row r="130" spans="1:14" x14ac:dyDescent="0.3">
      <c r="A130" s="1">
        <v>129</v>
      </c>
      <c r="B130" s="35"/>
      <c r="C130" s="35">
        <f t="shared" si="2"/>
        <v>0</v>
      </c>
      <c r="D130" s="30" t="str">
        <f>IFERROR(VLOOKUP(C130,소속부서!$A$2:$B$20,2,FALSE), "")</f>
        <v/>
      </c>
      <c r="G130" s="37"/>
      <c r="H130" s="46"/>
      <c r="J130" s="41"/>
      <c r="L130" s="36" t="str">
        <f>IFERROR(VLOOKUP(I130,보도매체!$A:$C,2,FALSE), "")</f>
        <v/>
      </c>
      <c r="M130" s="38" t="str">
        <f>IFERROR(VLOOKUP(I130,보도매체!$A:$C,3,FALSE), "")</f>
        <v/>
      </c>
      <c r="N130" s="3"/>
    </row>
    <row r="131" spans="1:14" x14ac:dyDescent="0.3">
      <c r="A131" s="1">
        <v>130</v>
      </c>
      <c r="B131" s="35"/>
      <c r="C131" s="35">
        <f t="shared" si="2"/>
        <v>0</v>
      </c>
      <c r="D131" s="30" t="str">
        <f>IFERROR(VLOOKUP(C131,소속부서!$A$2:$B$20,2,FALSE), "")</f>
        <v/>
      </c>
      <c r="G131" s="37"/>
      <c r="H131" s="46"/>
      <c r="L131" s="36" t="str">
        <f>IFERROR(VLOOKUP(I131,보도매체!$A:$C,2,FALSE), "")</f>
        <v/>
      </c>
      <c r="M131" s="38" t="str">
        <f>IFERROR(VLOOKUP(I131,보도매체!$A:$C,3,FALSE), "")</f>
        <v/>
      </c>
      <c r="N131" s="3"/>
    </row>
    <row r="132" spans="1:14" x14ac:dyDescent="0.3">
      <c r="A132" s="1">
        <v>131</v>
      </c>
      <c r="B132" s="35"/>
      <c r="C132" s="35">
        <f t="shared" ref="C132:C195" si="3">E132</f>
        <v>0</v>
      </c>
      <c r="D132" s="30" t="str">
        <f>IFERROR(VLOOKUP(C132,소속부서!$A$2:$B$20,2,FALSE), "")</f>
        <v/>
      </c>
      <c r="G132" s="37"/>
      <c r="H132" s="46"/>
      <c r="L132" s="36" t="str">
        <f>IFERROR(VLOOKUP(I132,보도매체!$A:$C,2,FALSE), "")</f>
        <v/>
      </c>
      <c r="M132" s="38" t="str">
        <f>IFERROR(VLOOKUP(I132,보도매체!$A:$C,3,FALSE), "")</f>
        <v/>
      </c>
      <c r="N132" s="3"/>
    </row>
    <row r="133" spans="1:14" x14ac:dyDescent="0.3">
      <c r="A133" s="1">
        <v>132</v>
      </c>
      <c r="B133" s="35"/>
      <c r="C133" s="35">
        <f t="shared" si="3"/>
        <v>0</v>
      </c>
      <c r="D133" s="30" t="str">
        <f>IFERROR(VLOOKUP(C133,소속부서!$A$2:$B$20,2,FALSE), "")</f>
        <v/>
      </c>
      <c r="G133" s="37"/>
      <c r="H133" s="46"/>
      <c r="L133" s="36" t="str">
        <f>IFERROR(VLOOKUP(I133,보도매체!$A:$C,2,FALSE), "")</f>
        <v/>
      </c>
      <c r="M133" s="38" t="str">
        <f>IFERROR(VLOOKUP(I133,보도매체!$A:$C,3,FALSE), "")</f>
        <v/>
      </c>
      <c r="N133" s="3"/>
    </row>
    <row r="134" spans="1:14" x14ac:dyDescent="0.3">
      <c r="A134" s="1">
        <v>133</v>
      </c>
      <c r="B134" s="35"/>
      <c r="C134" s="35">
        <f t="shared" si="3"/>
        <v>0</v>
      </c>
      <c r="D134" s="30" t="str">
        <f>IFERROR(VLOOKUP(C134,소속부서!$A$2:$B$20,2,FALSE), "")</f>
        <v/>
      </c>
      <c r="E134" s="35"/>
      <c r="G134" s="37"/>
      <c r="H134" s="46"/>
      <c r="L134" s="36" t="str">
        <f>IFERROR(VLOOKUP(I134,보도매체!$A:$C,2,FALSE), "")</f>
        <v/>
      </c>
      <c r="M134" s="38" t="str">
        <f>IFERROR(VLOOKUP(I134,보도매체!$A:$C,3,FALSE), "")</f>
        <v/>
      </c>
      <c r="N134" s="3"/>
    </row>
    <row r="135" spans="1:14" x14ac:dyDescent="0.3">
      <c r="A135" s="1">
        <v>134</v>
      </c>
      <c r="B135" s="35"/>
      <c r="C135" s="35">
        <f t="shared" si="3"/>
        <v>0</v>
      </c>
      <c r="D135" s="30" t="str">
        <f>IFERROR(VLOOKUP(C135,소속부서!$A$2:$B$20,2,FALSE), "")</f>
        <v/>
      </c>
      <c r="G135" s="37"/>
      <c r="H135" s="46"/>
      <c r="L135" s="36" t="str">
        <f>IFERROR(VLOOKUP(I135,보도매체!$A:$C,2,FALSE), "")</f>
        <v/>
      </c>
      <c r="M135" s="38" t="str">
        <f>IFERROR(VLOOKUP(I135,보도매체!$A:$C,3,FALSE), "")</f>
        <v/>
      </c>
      <c r="N135" s="3"/>
    </row>
    <row r="136" spans="1:14" x14ac:dyDescent="0.3">
      <c r="A136" s="1">
        <v>135</v>
      </c>
      <c r="B136" s="35"/>
      <c r="C136" s="35">
        <f t="shared" si="3"/>
        <v>0</v>
      </c>
      <c r="D136" s="30" t="str">
        <f>IFERROR(VLOOKUP(C136,소속부서!$A$2:$B$20,2,FALSE), "")</f>
        <v/>
      </c>
      <c r="E136" s="35"/>
      <c r="G136" s="37"/>
      <c r="H136" s="46"/>
      <c r="L136" s="36" t="str">
        <f>IFERROR(VLOOKUP(I136,보도매체!$A:$C,2,FALSE), "")</f>
        <v/>
      </c>
      <c r="M136" s="38" t="str">
        <f>IFERROR(VLOOKUP(I136,보도매체!$A:$C,3,FALSE), "")</f>
        <v/>
      </c>
      <c r="N136" s="3"/>
    </row>
    <row r="137" spans="1:14" x14ac:dyDescent="0.3">
      <c r="A137" s="1">
        <v>136</v>
      </c>
      <c r="B137" s="35"/>
      <c r="C137" s="35">
        <f t="shared" si="3"/>
        <v>0</v>
      </c>
      <c r="D137" s="30" t="str">
        <f>IFERROR(VLOOKUP(C137,소속부서!$A$2:$B$20,2,FALSE), "")</f>
        <v/>
      </c>
      <c r="G137" s="37"/>
      <c r="H137" s="46"/>
      <c r="L137" s="36" t="str">
        <f>IFERROR(VLOOKUP(I137,보도매체!$A:$C,2,FALSE), "")</f>
        <v/>
      </c>
      <c r="M137" s="38" t="str">
        <f>IFERROR(VLOOKUP(I137,보도매체!$A:$C,3,FALSE), "")</f>
        <v/>
      </c>
      <c r="N137" s="3"/>
    </row>
    <row r="138" spans="1:14" x14ac:dyDescent="0.3">
      <c r="A138" s="1">
        <v>137</v>
      </c>
      <c r="B138" s="35"/>
      <c r="C138" s="35">
        <f t="shared" si="3"/>
        <v>0</v>
      </c>
      <c r="D138" s="30" t="str">
        <f>IFERROR(VLOOKUP(C138,소속부서!$A$2:$B$20,2,FALSE), "")</f>
        <v/>
      </c>
      <c r="G138" s="37"/>
      <c r="H138" s="46"/>
      <c r="L138" s="36" t="str">
        <f>IFERROR(VLOOKUP(I138,보도매체!$A:$C,2,FALSE), "")</f>
        <v/>
      </c>
      <c r="M138" s="38" t="str">
        <f>IFERROR(VLOOKUP(I138,보도매체!$A:$C,3,FALSE), "")</f>
        <v/>
      </c>
      <c r="N138" s="3"/>
    </row>
    <row r="139" spans="1:14" x14ac:dyDescent="0.3">
      <c r="A139" s="1">
        <v>138</v>
      </c>
      <c r="B139" s="35"/>
      <c r="C139" s="35">
        <f t="shared" si="3"/>
        <v>0</v>
      </c>
      <c r="D139" s="30" t="str">
        <f>IFERROR(VLOOKUP(C139,소속부서!$A$2:$B$20,2,FALSE), "")</f>
        <v/>
      </c>
      <c r="G139" s="37"/>
      <c r="H139" s="46"/>
      <c r="L139" s="36" t="str">
        <f>IFERROR(VLOOKUP(I139,보도매체!$A:$C,2,FALSE), "")</f>
        <v/>
      </c>
      <c r="M139" s="38" t="str">
        <f>IFERROR(VLOOKUP(I139,보도매체!$A:$C,3,FALSE), "")</f>
        <v/>
      </c>
      <c r="N139" s="3"/>
    </row>
    <row r="140" spans="1:14" x14ac:dyDescent="0.3">
      <c r="A140" s="1">
        <v>139</v>
      </c>
      <c r="B140" s="35"/>
      <c r="C140" s="35">
        <f t="shared" si="3"/>
        <v>0</v>
      </c>
      <c r="D140" s="30" t="str">
        <f>IFERROR(VLOOKUP(C140,소속부서!$A$2:$B$20,2,FALSE), "")</f>
        <v/>
      </c>
      <c r="G140" s="37"/>
      <c r="H140" s="46"/>
      <c r="I140" s="37"/>
      <c r="J140" s="41"/>
      <c r="K140" s="28"/>
      <c r="L140" s="36" t="str">
        <f>IFERROR(VLOOKUP(I140,보도매체!$A:$C,2,FALSE), "")</f>
        <v/>
      </c>
      <c r="M140" s="38" t="str">
        <f>IFERROR(VLOOKUP(I140,보도매체!$A:$C,3,FALSE), "")</f>
        <v/>
      </c>
      <c r="N140" s="3"/>
    </row>
    <row r="141" spans="1:14" x14ac:dyDescent="0.3">
      <c r="A141" s="1">
        <v>140</v>
      </c>
      <c r="B141" s="35"/>
      <c r="C141" s="35">
        <f t="shared" si="3"/>
        <v>0</v>
      </c>
      <c r="D141" s="30" t="str">
        <f>IFERROR(VLOOKUP(C141,소속부서!$A$2:$B$20,2,FALSE), "")</f>
        <v/>
      </c>
      <c r="G141" s="37"/>
      <c r="H141" s="46"/>
      <c r="J141" s="41"/>
      <c r="L141" s="36" t="str">
        <f>IFERROR(VLOOKUP(I141,보도매체!$A:$C,2,FALSE), "")</f>
        <v/>
      </c>
      <c r="M141" s="38" t="str">
        <f>IFERROR(VLOOKUP(I141,보도매체!$A:$C,3,FALSE), "")</f>
        <v/>
      </c>
      <c r="N141" s="3"/>
    </row>
    <row r="142" spans="1:14" x14ac:dyDescent="0.3">
      <c r="A142" s="1">
        <v>141</v>
      </c>
      <c r="B142" s="35"/>
      <c r="C142" s="35">
        <f t="shared" si="3"/>
        <v>0</v>
      </c>
      <c r="D142" s="30" t="str">
        <f>IFERROR(VLOOKUP(C142,소속부서!$A$2:$B$20,2,FALSE), "")</f>
        <v/>
      </c>
      <c r="G142" s="37"/>
      <c r="H142" s="46"/>
      <c r="L142" s="36" t="str">
        <f>IFERROR(VLOOKUP(I142,보도매체!$A:$C,2,FALSE), "")</f>
        <v/>
      </c>
      <c r="M142" s="38" t="str">
        <f>IFERROR(VLOOKUP(I142,보도매체!$A:$C,3,FALSE), "")</f>
        <v/>
      </c>
      <c r="N142" s="3"/>
    </row>
    <row r="143" spans="1:14" x14ac:dyDescent="0.3">
      <c r="A143" s="1">
        <v>142</v>
      </c>
      <c r="B143" s="35"/>
      <c r="C143" s="35">
        <f t="shared" si="3"/>
        <v>0</v>
      </c>
      <c r="D143" s="30" t="str">
        <f>IFERROR(VLOOKUP(C143,소속부서!$A$2:$B$20,2,FALSE), "")</f>
        <v/>
      </c>
      <c r="G143" s="37"/>
      <c r="H143" s="40"/>
      <c r="J143" s="41"/>
      <c r="L143" s="36" t="str">
        <f>IFERROR(VLOOKUP(I143,보도매체!$A:$C,2,FALSE), "")</f>
        <v/>
      </c>
      <c r="M143" s="38" t="str">
        <f>IFERROR(VLOOKUP(I143,보도매체!$A:$C,3,FALSE), "")</f>
        <v/>
      </c>
      <c r="N143" s="41"/>
    </row>
    <row r="144" spans="1:14" x14ac:dyDescent="0.3">
      <c r="A144" s="1">
        <v>143</v>
      </c>
      <c r="B144" s="35"/>
      <c r="C144" s="35">
        <f t="shared" si="3"/>
        <v>0</v>
      </c>
      <c r="D144" s="30" t="str">
        <f>IFERROR(VLOOKUP(C144,소속부서!$A$2:$B$20,2,FALSE), "")</f>
        <v/>
      </c>
      <c r="E144" s="45"/>
      <c r="G144" s="37"/>
      <c r="H144" s="40"/>
      <c r="K144" s="1"/>
      <c r="L144" s="36" t="str">
        <f>IFERROR(VLOOKUP(I144,보도매체!$A:$C,2,FALSE), "")</f>
        <v/>
      </c>
      <c r="M144" s="38" t="str">
        <f>IFERROR(VLOOKUP(I144,보도매체!$A:$C,3,FALSE), "")</f>
        <v/>
      </c>
      <c r="N144" s="41"/>
    </row>
    <row r="145" spans="1:14" x14ac:dyDescent="0.3">
      <c r="A145" s="1">
        <v>144</v>
      </c>
      <c r="B145" s="35"/>
      <c r="C145" s="35">
        <f t="shared" si="3"/>
        <v>0</v>
      </c>
      <c r="D145" s="30" t="str">
        <f>IFERROR(VLOOKUP(C145,소속부서!$A$2:$B$20,2,FALSE), "")</f>
        <v/>
      </c>
      <c r="E145" s="35"/>
      <c r="G145" s="37"/>
      <c r="H145" s="40"/>
      <c r="K145" s="1"/>
      <c r="L145" s="36" t="str">
        <f>IFERROR(VLOOKUP(I145,보도매체!$A:$C,2,FALSE), "")</f>
        <v/>
      </c>
      <c r="M145" s="38" t="str">
        <f>IFERROR(VLOOKUP(I145,보도매체!$A:$C,3,FALSE), "")</f>
        <v/>
      </c>
      <c r="N145" s="41"/>
    </row>
    <row r="146" spans="1:14" x14ac:dyDescent="0.3">
      <c r="A146" s="1">
        <v>145</v>
      </c>
      <c r="B146" s="35"/>
      <c r="C146" s="35">
        <f t="shared" si="3"/>
        <v>0</v>
      </c>
      <c r="D146" s="30" t="str">
        <f>IFERROR(VLOOKUP(C146,소속부서!$A$2:$B$20,2,FALSE), "")</f>
        <v/>
      </c>
      <c r="E146" s="35"/>
      <c r="G146" s="37"/>
      <c r="H146" s="40"/>
      <c r="L146" s="36" t="str">
        <f>IFERROR(VLOOKUP(I146,보도매체!$A:$C,2,FALSE), "")</f>
        <v/>
      </c>
      <c r="M146" s="38" t="str">
        <f>IFERROR(VLOOKUP(I146,보도매체!$A:$C,3,FALSE), "")</f>
        <v/>
      </c>
      <c r="N146" s="41"/>
    </row>
    <row r="147" spans="1:14" x14ac:dyDescent="0.3">
      <c r="A147" s="1">
        <v>146</v>
      </c>
      <c r="B147" s="35"/>
      <c r="C147" s="35">
        <f t="shared" si="3"/>
        <v>0</v>
      </c>
      <c r="D147" s="30" t="str">
        <f>IFERROR(VLOOKUP(C147,소속부서!$A$2:$B$20,2,FALSE), "")</f>
        <v/>
      </c>
      <c r="G147" s="37"/>
      <c r="H147" s="40"/>
      <c r="L147" s="36" t="str">
        <f>IFERROR(VLOOKUP(I147,보도매체!$A:$C,2,FALSE), "")</f>
        <v/>
      </c>
      <c r="M147" s="38" t="str">
        <f>IFERROR(VLOOKUP(I147,보도매체!$A:$C,3,FALSE), "")</f>
        <v/>
      </c>
      <c r="N147" s="41"/>
    </row>
    <row r="148" spans="1:14" x14ac:dyDescent="0.3">
      <c r="A148" s="1">
        <v>147</v>
      </c>
      <c r="B148" s="35"/>
      <c r="C148" s="35">
        <f t="shared" si="3"/>
        <v>0</v>
      </c>
      <c r="D148" s="30" t="str">
        <f>IFERROR(VLOOKUP(C148,소속부서!$A$2:$B$20,2,FALSE), "")</f>
        <v/>
      </c>
      <c r="G148" s="37"/>
      <c r="H148" s="40"/>
      <c r="I148" s="37"/>
      <c r="J148" s="41"/>
      <c r="L148" s="36" t="str">
        <f>IFERROR(VLOOKUP(I148,보도매체!$A:$C,2,FALSE), "")</f>
        <v/>
      </c>
      <c r="M148" s="38" t="str">
        <f>IFERROR(VLOOKUP(I148,보도매체!$A:$C,3,FALSE), "")</f>
        <v/>
      </c>
      <c r="N148" s="41"/>
    </row>
    <row r="149" spans="1:14" x14ac:dyDescent="0.3">
      <c r="A149" s="1">
        <v>148</v>
      </c>
      <c r="B149" s="35"/>
      <c r="C149" s="35">
        <f t="shared" si="3"/>
        <v>0</v>
      </c>
      <c r="D149" s="30" t="str">
        <f>IFERROR(VLOOKUP(C149,소속부서!$A$2:$B$20,2,FALSE), "")</f>
        <v/>
      </c>
      <c r="G149" s="37"/>
      <c r="H149" s="40"/>
      <c r="L149" s="36" t="str">
        <f>IFERROR(VLOOKUP(I149,보도매체!$A:$C,2,FALSE), "")</f>
        <v/>
      </c>
      <c r="M149" s="38" t="str">
        <f>IFERROR(VLOOKUP(I149,보도매체!$A:$C,3,FALSE), "")</f>
        <v/>
      </c>
      <c r="N149" s="41"/>
    </row>
    <row r="150" spans="1:14" x14ac:dyDescent="0.3">
      <c r="A150" s="1">
        <v>149</v>
      </c>
      <c r="B150" s="35"/>
      <c r="C150" s="35">
        <f t="shared" si="3"/>
        <v>0</v>
      </c>
      <c r="D150" s="30" t="str">
        <f>IFERROR(VLOOKUP(C150,소속부서!$A$2:$B$20,2,FALSE), "")</f>
        <v/>
      </c>
      <c r="G150" s="37"/>
      <c r="H150" s="40"/>
      <c r="L150" s="36" t="str">
        <f>IFERROR(VLOOKUP(I150,보도매체!$A:$C,2,FALSE), "")</f>
        <v/>
      </c>
      <c r="M150" s="38" t="str">
        <f>IFERROR(VLOOKUP(I150,보도매체!$A:$C,3,FALSE), "")</f>
        <v/>
      </c>
      <c r="N150" s="41"/>
    </row>
    <row r="151" spans="1:14" x14ac:dyDescent="0.3">
      <c r="A151" s="1">
        <v>150</v>
      </c>
      <c r="B151" s="35"/>
      <c r="C151" s="35">
        <f t="shared" si="3"/>
        <v>0</v>
      </c>
      <c r="D151" s="30" t="str">
        <f>IFERROR(VLOOKUP(C151,소속부서!$A$2:$B$20,2,FALSE), "")</f>
        <v/>
      </c>
      <c r="G151" s="37"/>
      <c r="H151" s="40"/>
      <c r="L151" s="36" t="str">
        <f>IFERROR(VLOOKUP(I151,보도매체!$A:$C,2,FALSE), "")</f>
        <v/>
      </c>
      <c r="M151" s="38" t="str">
        <f>IFERROR(VLOOKUP(I151,보도매체!$A:$C,3,FALSE), "")</f>
        <v/>
      </c>
      <c r="N151" s="41"/>
    </row>
    <row r="152" spans="1:14" x14ac:dyDescent="0.3">
      <c r="A152" s="1">
        <v>151</v>
      </c>
      <c r="B152" s="35"/>
      <c r="C152" s="35">
        <f t="shared" si="3"/>
        <v>0</v>
      </c>
      <c r="D152" s="30" t="str">
        <f>IFERROR(VLOOKUP(C152,소속부서!$A$2:$B$20,2,FALSE), "")</f>
        <v/>
      </c>
      <c r="G152" s="37"/>
      <c r="H152" s="40"/>
      <c r="L152" s="36" t="str">
        <f>IFERROR(VLOOKUP(I152,보도매체!$A:$C,2,FALSE), "")</f>
        <v/>
      </c>
      <c r="M152" s="38" t="str">
        <f>IFERROR(VLOOKUP(I152,보도매체!$A:$C,3,FALSE), "")</f>
        <v/>
      </c>
      <c r="N152" s="41"/>
    </row>
    <row r="153" spans="1:14" x14ac:dyDescent="0.3">
      <c r="A153" s="1">
        <v>152</v>
      </c>
      <c r="B153" s="35"/>
      <c r="C153" s="35">
        <f t="shared" si="3"/>
        <v>0</v>
      </c>
      <c r="D153" s="30" t="str">
        <f>IFERROR(VLOOKUP(C153,소속부서!$A$2:$B$20,2,FALSE), "")</f>
        <v/>
      </c>
      <c r="G153" s="37"/>
      <c r="H153" s="40"/>
      <c r="L153" s="36" t="str">
        <f>IFERROR(VLOOKUP(I153,보도매체!$A:$C,2,FALSE), "")</f>
        <v/>
      </c>
      <c r="M153" s="38" t="str">
        <f>IFERROR(VLOOKUP(I153,보도매체!$A:$C,3,FALSE), "")</f>
        <v/>
      </c>
      <c r="N153" s="41"/>
    </row>
    <row r="154" spans="1:14" x14ac:dyDescent="0.3">
      <c r="A154" s="1">
        <v>153</v>
      </c>
      <c r="B154" s="35"/>
      <c r="C154" s="35">
        <f t="shared" si="3"/>
        <v>0</v>
      </c>
      <c r="D154" s="30" t="str">
        <f>IFERROR(VLOOKUP(C154,소속부서!$A$2:$B$20,2,FALSE), "")</f>
        <v/>
      </c>
      <c r="G154" s="37"/>
      <c r="H154" s="40"/>
      <c r="L154" s="36" t="str">
        <f>IFERROR(VLOOKUP(I154,보도매체!$A:$C,2,FALSE), "")</f>
        <v/>
      </c>
      <c r="M154" s="38" t="str">
        <f>IFERROR(VLOOKUP(I154,보도매체!$A:$C,3,FALSE), "")</f>
        <v/>
      </c>
      <c r="N154" s="41"/>
    </row>
    <row r="155" spans="1:14" x14ac:dyDescent="0.3">
      <c r="A155" s="1">
        <v>154</v>
      </c>
      <c r="B155" s="35"/>
      <c r="C155" s="35">
        <f t="shared" si="3"/>
        <v>0</v>
      </c>
      <c r="D155" s="30" t="str">
        <f>IFERROR(VLOOKUP(C155,소속부서!$A$2:$B$20,2,FALSE), "")</f>
        <v/>
      </c>
      <c r="E155" s="12"/>
      <c r="F155" s="37"/>
      <c r="G155" s="37"/>
      <c r="H155" s="40"/>
      <c r="L155" s="36" t="str">
        <f>IFERROR(VLOOKUP(I155,보도매체!$A:$C,2,FALSE), "")</f>
        <v/>
      </c>
      <c r="M155" s="38" t="str">
        <f>IFERROR(VLOOKUP(I155,보도매체!$A:$C,3,FALSE), "")</f>
        <v/>
      </c>
      <c r="N155" s="41"/>
    </row>
    <row r="156" spans="1:14" x14ac:dyDescent="0.3">
      <c r="A156" s="1">
        <v>155</v>
      </c>
      <c r="B156" s="35"/>
      <c r="C156" s="35">
        <f t="shared" si="3"/>
        <v>0</v>
      </c>
      <c r="D156" s="30" t="str">
        <f>IFERROR(VLOOKUP(C156,소속부서!$A$2:$B$20,2,FALSE), "")</f>
        <v/>
      </c>
      <c r="G156" s="44"/>
      <c r="H156" s="40"/>
      <c r="L156" s="36" t="str">
        <f>IFERROR(VLOOKUP(I156,보도매체!$A:$C,2,FALSE), "")</f>
        <v/>
      </c>
      <c r="M156" s="38" t="str">
        <f>IFERROR(VLOOKUP(I156,보도매체!$A:$C,3,FALSE), "")</f>
        <v/>
      </c>
      <c r="N156" s="41"/>
    </row>
    <row r="157" spans="1:14" x14ac:dyDescent="0.3">
      <c r="A157" s="1">
        <v>156</v>
      </c>
      <c r="B157" s="35"/>
      <c r="C157" s="35">
        <f t="shared" si="3"/>
        <v>0</v>
      </c>
      <c r="D157" s="30" t="str">
        <f>IFERROR(VLOOKUP(C157,소속부서!$A$2:$B$20,2,FALSE), "")</f>
        <v/>
      </c>
      <c r="E157" s="12"/>
      <c r="F157" s="37"/>
      <c r="G157" s="44"/>
      <c r="H157" s="56"/>
      <c r="I157" s="55"/>
      <c r="J157" s="33"/>
      <c r="K157" s="57"/>
      <c r="L157" s="36" t="str">
        <f>IFERROR(VLOOKUP(I157,보도매체!$A:$C,2,FALSE), "")</f>
        <v/>
      </c>
      <c r="M157" s="38" t="str">
        <f>IFERROR(VLOOKUP(I157,보도매체!$A:$C,3,FALSE), "")</f>
        <v/>
      </c>
      <c r="N157" s="33"/>
    </row>
    <row r="158" spans="1:14" x14ac:dyDescent="0.3">
      <c r="A158" s="1">
        <v>157</v>
      </c>
      <c r="B158" s="35"/>
      <c r="C158" s="35">
        <f t="shared" si="3"/>
        <v>0</v>
      </c>
      <c r="D158" s="30" t="str">
        <f>IFERROR(VLOOKUP(C158,소속부서!$A$2:$B$20,2,FALSE), "")</f>
        <v/>
      </c>
      <c r="G158" s="37"/>
      <c r="H158" s="58"/>
      <c r="I158" s="55"/>
      <c r="J158" s="33"/>
      <c r="K158" s="55"/>
      <c r="L158" s="36" t="str">
        <f>IFERROR(VLOOKUP(I158,보도매체!$A:$C,2,FALSE), "")</f>
        <v/>
      </c>
      <c r="M158" s="38" t="str">
        <f>IFERROR(VLOOKUP(I158,보도매체!$A:$C,3,FALSE), "")</f>
        <v/>
      </c>
      <c r="N158" s="33"/>
    </row>
    <row r="159" spans="1:14" x14ac:dyDescent="0.3">
      <c r="A159" s="1">
        <v>158</v>
      </c>
      <c r="B159" s="35"/>
      <c r="C159" s="35">
        <f t="shared" si="3"/>
        <v>0</v>
      </c>
      <c r="D159" s="30" t="str">
        <f>IFERROR(VLOOKUP(C159,소속부서!$A$2:$B$20,2,FALSE), "")</f>
        <v/>
      </c>
      <c r="E159" s="12"/>
      <c r="G159" s="37"/>
      <c r="H159" s="59"/>
      <c r="I159" s="55"/>
      <c r="J159" s="33"/>
      <c r="K159" s="60"/>
      <c r="L159" s="36" t="str">
        <f>IFERROR(VLOOKUP(I159,보도매체!$A:$C,2,FALSE), "")</f>
        <v/>
      </c>
      <c r="M159" s="38" t="str">
        <f>IFERROR(VLOOKUP(I159,보도매체!$A:$C,3,FALSE), "")</f>
        <v/>
      </c>
      <c r="N159" s="33"/>
    </row>
    <row r="160" spans="1:14" x14ac:dyDescent="0.3">
      <c r="A160" s="1">
        <v>159</v>
      </c>
      <c r="B160" s="35"/>
      <c r="C160" s="35">
        <f t="shared" si="3"/>
        <v>0</v>
      </c>
      <c r="D160" s="30" t="str">
        <f>IFERROR(VLOOKUP(C160,소속부서!$A$2:$B$20,2,FALSE), "")</f>
        <v/>
      </c>
      <c r="G160" s="44"/>
      <c r="H160" s="54"/>
      <c r="I160" s="55"/>
      <c r="J160" s="33"/>
      <c r="K160" s="55"/>
      <c r="L160" s="36" t="str">
        <f>IFERROR(VLOOKUP(I160,보도매체!$A:$C,2,FALSE), "")</f>
        <v/>
      </c>
      <c r="M160" s="38" t="str">
        <f>IFERROR(VLOOKUP(I160,보도매체!$A:$C,3,FALSE), "")</f>
        <v/>
      </c>
      <c r="N160" s="33"/>
    </row>
    <row r="161" spans="1:14" x14ac:dyDescent="0.3">
      <c r="A161" s="1">
        <v>160</v>
      </c>
      <c r="B161" s="35"/>
      <c r="C161" s="35">
        <f t="shared" si="3"/>
        <v>0</v>
      </c>
      <c r="D161" s="30" t="str">
        <f>IFERROR(VLOOKUP(C161,소속부서!$A$2:$B$20,2,FALSE), "")</f>
        <v/>
      </c>
      <c r="G161" s="37"/>
      <c r="H161" s="54"/>
      <c r="I161" s="55"/>
      <c r="J161" s="33"/>
      <c r="K161" s="44"/>
      <c r="L161" s="36" t="str">
        <f>IFERROR(VLOOKUP(I161,보도매체!$A:$C,2,FALSE), "")</f>
        <v/>
      </c>
      <c r="M161" s="38" t="str">
        <f>IFERROR(VLOOKUP(I161,보도매체!$A:$C,3,FALSE), "")</f>
        <v/>
      </c>
      <c r="N161" s="33"/>
    </row>
    <row r="162" spans="1:14" x14ac:dyDescent="0.3">
      <c r="A162" s="1">
        <v>161</v>
      </c>
      <c r="B162" s="35"/>
      <c r="C162" s="35">
        <f t="shared" si="3"/>
        <v>0</v>
      </c>
      <c r="D162" s="30" t="str">
        <f>IFERROR(VLOOKUP(C162,소속부서!$A$2:$B$20,2,FALSE), "")</f>
        <v/>
      </c>
      <c r="G162" s="44"/>
      <c r="H162" s="58"/>
      <c r="I162" s="55"/>
      <c r="J162" s="33"/>
      <c r="K162" s="55"/>
      <c r="L162" s="36" t="str">
        <f>IFERROR(VLOOKUP(I162,보도매체!$A:$C,2,FALSE), "")</f>
        <v/>
      </c>
      <c r="M162" s="38" t="str">
        <f>IFERROR(VLOOKUP(I162,보도매체!$A:$C,3,FALSE), "")</f>
        <v/>
      </c>
      <c r="N162" s="33"/>
    </row>
    <row r="163" spans="1:14" x14ac:dyDescent="0.3">
      <c r="A163" s="1">
        <v>162</v>
      </c>
      <c r="B163" s="35"/>
      <c r="C163" s="35">
        <f t="shared" si="3"/>
        <v>0</v>
      </c>
      <c r="D163" s="30" t="str">
        <f>IFERROR(VLOOKUP(C163,소속부서!$A$2:$B$20,2,FALSE), "")</f>
        <v/>
      </c>
      <c r="G163" s="44"/>
      <c r="H163" s="58"/>
      <c r="I163" s="55"/>
      <c r="J163" s="33"/>
      <c r="K163" s="55"/>
      <c r="L163" s="36" t="str">
        <f>IFERROR(VLOOKUP(I163,보도매체!$A:$C,2,FALSE), "")</f>
        <v/>
      </c>
      <c r="M163" s="38" t="str">
        <f>IFERROR(VLOOKUP(I163,보도매체!$A:$C,3,FALSE), "")</f>
        <v/>
      </c>
      <c r="N163" s="33"/>
    </row>
    <row r="164" spans="1:14" x14ac:dyDescent="0.3">
      <c r="A164" s="1">
        <v>163</v>
      </c>
      <c r="B164" s="35"/>
      <c r="C164" s="35">
        <f t="shared" si="3"/>
        <v>0</v>
      </c>
      <c r="D164" s="30" t="str">
        <f>IFERROR(VLOOKUP(C164,소속부서!$A$2:$B$20,2,FALSE), "")</f>
        <v/>
      </c>
      <c r="E164" s="12"/>
      <c r="G164" s="37"/>
      <c r="H164" s="58"/>
      <c r="I164" s="55"/>
      <c r="J164" s="33"/>
      <c r="K164" s="37"/>
      <c r="L164" s="36" t="str">
        <f>IFERROR(VLOOKUP(I164,보도매체!$A:$C,2,FALSE), "")</f>
        <v/>
      </c>
      <c r="M164" s="38" t="str">
        <f>IFERROR(VLOOKUP(I164,보도매체!$A:$C,3,FALSE), "")</f>
        <v/>
      </c>
      <c r="N164" s="33"/>
    </row>
    <row r="165" spans="1:14" x14ac:dyDescent="0.3">
      <c r="A165" s="1">
        <v>164</v>
      </c>
      <c r="B165" s="35"/>
      <c r="C165" s="35">
        <f t="shared" si="3"/>
        <v>0</v>
      </c>
      <c r="D165" s="30" t="str">
        <f>IFERROR(VLOOKUP(C165,소속부서!$A$2:$B$20,2,FALSE), "")</f>
        <v/>
      </c>
      <c r="E165" s="35"/>
      <c r="F165" s="37"/>
      <c r="G165" s="37"/>
      <c r="H165" s="42"/>
      <c r="I165" s="55"/>
      <c r="J165" s="33"/>
      <c r="K165" s="61"/>
      <c r="L165" s="36" t="str">
        <f>IFERROR(VLOOKUP(I165,보도매체!$A:$C,2,FALSE), "")</f>
        <v/>
      </c>
      <c r="M165" s="38" t="str">
        <f>IFERROR(VLOOKUP(I165,보도매체!$A:$C,3,FALSE), "")</f>
        <v/>
      </c>
      <c r="N165" s="33"/>
    </row>
    <row r="166" spans="1:14" x14ac:dyDescent="0.3">
      <c r="A166" s="1">
        <v>165</v>
      </c>
      <c r="B166" s="35"/>
      <c r="C166" s="35">
        <f t="shared" si="3"/>
        <v>0</v>
      </c>
      <c r="D166" s="30" t="str">
        <f>IFERROR(VLOOKUP(C166,소속부서!$A$2:$B$20,2,FALSE), "")</f>
        <v/>
      </c>
      <c r="G166" s="37"/>
      <c r="H166" s="46"/>
      <c r="L166" s="36" t="str">
        <f>IFERROR(VLOOKUP(I166,보도매체!$A:$C,2,FALSE), "")</f>
        <v/>
      </c>
      <c r="M166" s="38" t="str">
        <f>IFERROR(VLOOKUP(I166,보도매체!$A:$C,3,FALSE), "")</f>
        <v/>
      </c>
      <c r="N166" s="3"/>
    </row>
    <row r="167" spans="1:14" x14ac:dyDescent="0.3">
      <c r="A167" s="1">
        <v>166</v>
      </c>
      <c r="B167" s="35"/>
      <c r="C167" s="35">
        <f t="shared" si="3"/>
        <v>0</v>
      </c>
      <c r="D167" s="30" t="str">
        <f>IFERROR(VLOOKUP(C167,소속부서!$A$2:$B$20,2,FALSE), "")</f>
        <v/>
      </c>
      <c r="G167" s="44"/>
      <c r="H167" s="46"/>
      <c r="L167" s="36" t="str">
        <f>IFERROR(VLOOKUP(I167,보도매체!$A:$C,2,FALSE), "")</f>
        <v/>
      </c>
      <c r="M167" s="38" t="str">
        <f>IFERROR(VLOOKUP(I167,보도매체!$A:$C,3,FALSE), "")</f>
        <v/>
      </c>
      <c r="N167" s="3"/>
    </row>
    <row r="168" spans="1:14" x14ac:dyDescent="0.3">
      <c r="A168" s="1">
        <v>167</v>
      </c>
      <c r="B168" s="35"/>
      <c r="C168" s="35">
        <f t="shared" si="3"/>
        <v>0</v>
      </c>
      <c r="D168" s="30" t="str">
        <f>IFERROR(VLOOKUP(C168,소속부서!$A$2:$B$20,2,FALSE), "")</f>
        <v/>
      </c>
      <c r="E168" s="35"/>
      <c r="G168" s="37"/>
      <c r="H168" s="46"/>
      <c r="L168" s="36" t="str">
        <f>IFERROR(VLOOKUP(I168,보도매체!$A:$C,2,FALSE), "")</f>
        <v/>
      </c>
      <c r="M168" s="38" t="str">
        <f>IFERROR(VLOOKUP(I168,보도매체!$A:$C,3,FALSE), "")</f>
        <v/>
      </c>
      <c r="N168" s="3"/>
    </row>
    <row r="169" spans="1:14" x14ac:dyDescent="0.3">
      <c r="A169" s="1">
        <v>168</v>
      </c>
      <c r="B169" s="35"/>
      <c r="C169" s="35">
        <f t="shared" si="3"/>
        <v>0</v>
      </c>
      <c r="D169" s="30" t="str">
        <f>IFERROR(VLOOKUP(C169,소속부서!$A$2:$B$20,2,FALSE), "")</f>
        <v/>
      </c>
      <c r="E169" s="35"/>
      <c r="G169" s="37"/>
      <c r="H169" s="46"/>
      <c r="L169" s="36" t="str">
        <f>IFERROR(VLOOKUP(I169,보도매체!$A:$C,2,FALSE), "")</f>
        <v/>
      </c>
      <c r="M169" s="38" t="str">
        <f>IFERROR(VLOOKUP(I169,보도매체!$A:$C,3,FALSE), "")</f>
        <v/>
      </c>
      <c r="N169" s="3"/>
    </row>
    <row r="170" spans="1:14" x14ac:dyDescent="0.3">
      <c r="A170" s="1">
        <v>169</v>
      </c>
      <c r="B170" s="35"/>
      <c r="C170" s="35">
        <f t="shared" si="3"/>
        <v>0</v>
      </c>
      <c r="D170" s="30" t="str">
        <f>IFERROR(VLOOKUP(C170,소속부서!$A$2:$B$20,2,FALSE), "")</f>
        <v/>
      </c>
      <c r="G170" s="37"/>
      <c r="H170" s="46"/>
      <c r="L170" s="36" t="str">
        <f>IFERROR(VLOOKUP(I170,보도매체!$A:$C,2,FALSE), "")</f>
        <v/>
      </c>
      <c r="M170" s="38" t="str">
        <f>IFERROR(VLOOKUP(I170,보도매체!$A:$C,3,FALSE), "")</f>
        <v/>
      </c>
      <c r="N170" s="3"/>
    </row>
    <row r="171" spans="1:14" x14ac:dyDescent="0.3">
      <c r="A171" s="1">
        <v>170</v>
      </c>
      <c r="B171" s="35"/>
      <c r="C171" s="35">
        <f t="shared" si="3"/>
        <v>0</v>
      </c>
      <c r="D171" s="30" t="str">
        <f>IFERROR(VLOOKUP(C171,소속부서!$A$2:$B$20,2,FALSE), "")</f>
        <v/>
      </c>
      <c r="E171" s="45"/>
      <c r="G171" s="37"/>
      <c r="H171" s="46"/>
      <c r="L171" s="36" t="str">
        <f>IFERROR(VLOOKUP(I171,보도매체!$A:$C,2,FALSE), "")</f>
        <v/>
      </c>
      <c r="M171" s="38" t="str">
        <f>IFERROR(VLOOKUP(I171,보도매체!$A:$C,3,FALSE), "")</f>
        <v/>
      </c>
      <c r="N171" s="3"/>
    </row>
    <row r="172" spans="1:14" x14ac:dyDescent="0.3">
      <c r="A172" s="1">
        <v>171</v>
      </c>
      <c r="B172" s="35"/>
      <c r="C172" s="35">
        <f t="shared" si="3"/>
        <v>0</v>
      </c>
      <c r="D172" s="30" t="str">
        <f>IFERROR(VLOOKUP(C172,소속부서!$A$2:$B$20,2,FALSE), "")</f>
        <v/>
      </c>
      <c r="E172" s="31"/>
      <c r="G172" s="37"/>
      <c r="H172" s="46"/>
      <c r="L172" s="36" t="str">
        <f>IFERROR(VLOOKUP(I172,보도매체!$A:$C,2,FALSE), "")</f>
        <v/>
      </c>
      <c r="M172" s="38" t="str">
        <f>IFERROR(VLOOKUP(I172,보도매체!$A:$C,3,FALSE), "")</f>
        <v/>
      </c>
      <c r="N172" s="3"/>
    </row>
    <row r="173" spans="1:14" x14ac:dyDescent="0.3">
      <c r="A173" s="1">
        <v>172</v>
      </c>
      <c r="B173" s="35"/>
      <c r="C173" s="35">
        <f t="shared" si="3"/>
        <v>0</v>
      </c>
      <c r="D173" s="30" t="str">
        <f>IFERROR(VLOOKUP(C173,소속부서!$A$2:$B$20,2,FALSE), "")</f>
        <v/>
      </c>
      <c r="G173" s="37"/>
      <c r="H173" s="40"/>
      <c r="J173" s="41"/>
      <c r="L173" s="36" t="str">
        <f>IFERROR(VLOOKUP(I173,보도매체!$A:$C,2,FALSE), "")</f>
        <v/>
      </c>
      <c r="M173" s="38" t="str">
        <f>IFERROR(VLOOKUP(I173,보도매체!$A:$C,3,FALSE), "")</f>
        <v/>
      </c>
      <c r="N173" s="3"/>
    </row>
    <row r="174" spans="1:14" x14ac:dyDescent="0.3">
      <c r="A174" s="1">
        <v>173</v>
      </c>
      <c r="B174" s="35"/>
      <c r="C174" s="35">
        <f t="shared" si="3"/>
        <v>0</v>
      </c>
      <c r="D174" s="30" t="str">
        <f>IFERROR(VLOOKUP(C174,소속부서!$A$2:$B$20,2,FALSE), "")</f>
        <v/>
      </c>
      <c r="E174" s="12"/>
      <c r="G174" s="37"/>
      <c r="H174" s="40"/>
      <c r="J174" s="41"/>
      <c r="L174" s="36" t="str">
        <f>IFERROR(VLOOKUP(I174,보도매체!$A:$C,2,FALSE), "")</f>
        <v/>
      </c>
      <c r="M174" s="38" t="str">
        <f>IFERROR(VLOOKUP(I174,보도매체!$A:$C,3,FALSE), "")</f>
        <v/>
      </c>
      <c r="N174" s="3"/>
    </row>
    <row r="175" spans="1:14" x14ac:dyDescent="0.3">
      <c r="A175" s="1">
        <v>174</v>
      </c>
      <c r="B175" s="35"/>
      <c r="C175" s="35">
        <f t="shared" si="3"/>
        <v>0</v>
      </c>
      <c r="D175" s="30" t="str">
        <f>IFERROR(VLOOKUP(C175,소속부서!$A$2:$B$20,2,FALSE), "")</f>
        <v/>
      </c>
      <c r="E175" s="45"/>
      <c r="G175" s="37"/>
      <c r="H175" s="40"/>
      <c r="J175" s="41"/>
      <c r="L175" s="36" t="str">
        <f>IFERROR(VLOOKUP(I175,보도매체!$A:$C,2,FALSE), "")</f>
        <v/>
      </c>
      <c r="M175" s="38" t="str">
        <f>IFERROR(VLOOKUP(I175,보도매체!$A:$C,3,FALSE), "")</f>
        <v/>
      </c>
      <c r="N175" s="3"/>
    </row>
    <row r="176" spans="1:14" x14ac:dyDescent="0.3">
      <c r="A176" s="1">
        <v>175</v>
      </c>
      <c r="B176" s="35"/>
      <c r="C176" s="35">
        <f t="shared" si="3"/>
        <v>0</v>
      </c>
      <c r="D176" s="30" t="str">
        <f>IFERROR(VLOOKUP(C176,소속부서!$A$2:$B$20,2,FALSE), "")</f>
        <v/>
      </c>
      <c r="G176" s="37"/>
      <c r="H176" s="46"/>
      <c r="I176" s="37"/>
      <c r="J176" s="41"/>
      <c r="K176" s="28"/>
      <c r="L176" s="36" t="str">
        <f>IFERROR(VLOOKUP(I176,보도매체!$A:$C,2,FALSE), "")</f>
        <v/>
      </c>
      <c r="M176" s="38" t="str">
        <f>IFERROR(VLOOKUP(I176,보도매체!$A:$C,3,FALSE), "")</f>
        <v/>
      </c>
      <c r="N176" s="3"/>
    </row>
    <row r="177" spans="1:14" x14ac:dyDescent="0.3">
      <c r="A177" s="1">
        <v>176</v>
      </c>
      <c r="B177" s="35"/>
      <c r="C177" s="35">
        <f t="shared" si="3"/>
        <v>0</v>
      </c>
      <c r="D177" s="30" t="str">
        <f>IFERROR(VLOOKUP(C177,소속부서!$A$2:$B$20,2,FALSE), "")</f>
        <v/>
      </c>
      <c r="G177" s="37"/>
      <c r="H177" s="46"/>
      <c r="L177" s="36" t="str">
        <f>IFERROR(VLOOKUP(I177,보도매체!$A:$C,2,FALSE), "")</f>
        <v/>
      </c>
      <c r="M177" s="38" t="str">
        <f>IFERROR(VLOOKUP(I177,보도매체!$A:$C,3,FALSE), "")</f>
        <v/>
      </c>
      <c r="N177" s="3"/>
    </row>
    <row r="178" spans="1:14" x14ac:dyDescent="0.3">
      <c r="A178" s="1">
        <v>177</v>
      </c>
      <c r="B178" s="35"/>
      <c r="C178" s="35">
        <f t="shared" si="3"/>
        <v>0</v>
      </c>
      <c r="D178" s="30" t="str">
        <f>IFERROR(VLOOKUP(C178,소속부서!$A$2:$B$20,2,FALSE), "")</f>
        <v/>
      </c>
      <c r="G178" s="37"/>
      <c r="H178" s="46"/>
      <c r="L178" s="36" t="str">
        <f>IFERROR(VLOOKUP(I178,보도매체!$A:$C,2,FALSE), "")</f>
        <v/>
      </c>
      <c r="M178" s="38" t="str">
        <f>IFERROR(VLOOKUP(I178,보도매체!$A:$C,3,FALSE), "")</f>
        <v/>
      </c>
      <c r="N178" s="3"/>
    </row>
    <row r="179" spans="1:14" x14ac:dyDescent="0.3">
      <c r="A179" s="1">
        <v>178</v>
      </c>
      <c r="B179" s="35"/>
      <c r="C179" s="35">
        <f t="shared" si="3"/>
        <v>0</v>
      </c>
      <c r="D179" s="30" t="str">
        <f>IFERROR(VLOOKUP(C179,소속부서!$A$2:$B$20,2,FALSE), "")</f>
        <v/>
      </c>
      <c r="G179" s="37"/>
      <c r="H179" s="46"/>
      <c r="J179" s="41"/>
      <c r="L179" s="36" t="str">
        <f>IFERROR(VLOOKUP(I179,보도매체!$A:$C,2,FALSE), "")</f>
        <v/>
      </c>
      <c r="M179" s="38" t="str">
        <f>IFERROR(VLOOKUP(I179,보도매체!$A:$C,3,FALSE), "")</f>
        <v/>
      </c>
      <c r="N179" s="3"/>
    </row>
    <row r="180" spans="1:14" x14ac:dyDescent="0.3">
      <c r="A180" s="1">
        <v>179</v>
      </c>
      <c r="B180" s="35"/>
      <c r="C180" s="35">
        <f t="shared" si="3"/>
        <v>0</v>
      </c>
      <c r="D180" s="30" t="str">
        <f>IFERROR(VLOOKUP(C180,소속부서!$A$2:$B$20,2,FALSE), "")</f>
        <v/>
      </c>
      <c r="G180" s="37"/>
      <c r="H180" s="46"/>
      <c r="J180" s="41"/>
      <c r="L180" s="36" t="str">
        <f>IFERROR(VLOOKUP(I180,보도매체!$A:$C,2,FALSE), "")</f>
        <v/>
      </c>
      <c r="M180" s="38" t="str">
        <f>IFERROR(VLOOKUP(I180,보도매체!$A:$C,3,FALSE), "")</f>
        <v/>
      </c>
      <c r="N180" s="3"/>
    </row>
    <row r="181" spans="1:14" x14ac:dyDescent="0.3">
      <c r="A181" s="1">
        <v>180</v>
      </c>
      <c r="B181" s="35"/>
      <c r="C181" s="35">
        <f t="shared" si="3"/>
        <v>0</v>
      </c>
      <c r="D181" s="30" t="str">
        <f>IFERROR(VLOOKUP(C181,소속부서!$A$2:$B$20,2,FALSE), "")</f>
        <v/>
      </c>
      <c r="G181" s="37"/>
      <c r="H181" s="46"/>
      <c r="J181" s="41"/>
      <c r="L181" s="36" t="str">
        <f>IFERROR(VLOOKUP(I181,보도매체!$A:$C,2,FALSE), "")</f>
        <v/>
      </c>
      <c r="M181" s="38" t="str">
        <f>IFERROR(VLOOKUP(I181,보도매체!$A:$C,3,FALSE), "")</f>
        <v/>
      </c>
      <c r="N181" s="3"/>
    </row>
    <row r="182" spans="1:14" x14ac:dyDescent="0.3">
      <c r="A182" s="1">
        <v>181</v>
      </c>
      <c r="B182" s="35"/>
      <c r="C182" s="35">
        <f t="shared" si="3"/>
        <v>0</v>
      </c>
      <c r="D182" s="30" t="str">
        <f>IFERROR(VLOOKUP(C182,소속부서!$A$2:$B$20,2,FALSE), "")</f>
        <v/>
      </c>
      <c r="G182" s="37"/>
      <c r="H182" s="46"/>
      <c r="J182" s="41"/>
      <c r="L182" s="36" t="str">
        <f>IFERROR(VLOOKUP(I182,보도매체!$A:$C,2,FALSE), "")</f>
        <v/>
      </c>
      <c r="M182" s="38" t="str">
        <f>IFERROR(VLOOKUP(I182,보도매체!$A:$C,3,FALSE), "")</f>
        <v/>
      </c>
      <c r="N182" s="3"/>
    </row>
    <row r="183" spans="1:14" x14ac:dyDescent="0.3">
      <c r="A183" s="1">
        <v>182</v>
      </c>
      <c r="B183" s="35"/>
      <c r="C183" s="35">
        <f t="shared" si="3"/>
        <v>0</v>
      </c>
      <c r="D183" s="30" t="str">
        <f>IFERROR(VLOOKUP(C183,소속부서!$A$2:$B$20,2,FALSE), "")</f>
        <v/>
      </c>
      <c r="G183" s="37"/>
      <c r="H183" s="46"/>
      <c r="L183" s="36" t="str">
        <f>IFERROR(VLOOKUP(I183,보도매체!$A:$C,2,FALSE), "")</f>
        <v/>
      </c>
      <c r="M183" s="38" t="str">
        <f>IFERROR(VLOOKUP(I183,보도매체!$A:$C,3,FALSE), "")</f>
        <v/>
      </c>
      <c r="N183" s="3"/>
    </row>
    <row r="184" spans="1:14" x14ac:dyDescent="0.3">
      <c r="A184" s="1">
        <v>183</v>
      </c>
      <c r="B184" s="35"/>
      <c r="C184" s="35">
        <f t="shared" si="3"/>
        <v>0</v>
      </c>
      <c r="D184" s="30" t="str">
        <f>IFERROR(VLOOKUP(C184,소속부서!$A$2:$B$20,2,FALSE), "")</f>
        <v/>
      </c>
      <c r="G184" s="37"/>
      <c r="H184" s="40"/>
      <c r="J184" s="41"/>
      <c r="L184" s="36" t="str">
        <f>IFERROR(VLOOKUP(I184,보도매체!$A:$C,2,FALSE), "")</f>
        <v/>
      </c>
      <c r="M184" s="38" t="str">
        <f>IFERROR(VLOOKUP(I184,보도매체!$A:$C,3,FALSE), "")</f>
        <v/>
      </c>
      <c r="N184" s="3"/>
    </row>
    <row r="185" spans="1:14" x14ac:dyDescent="0.3">
      <c r="A185" s="1">
        <v>184</v>
      </c>
      <c r="B185" s="35"/>
      <c r="C185" s="35">
        <f t="shared" si="3"/>
        <v>0</v>
      </c>
      <c r="D185" s="30" t="str">
        <f>IFERROR(VLOOKUP(C185,소속부서!$A$2:$B$20,2,FALSE), "")</f>
        <v/>
      </c>
      <c r="G185" s="37"/>
      <c r="H185" s="40"/>
      <c r="L185" s="36" t="str">
        <f>IFERROR(VLOOKUP(I185,보도매체!$A:$C,2,FALSE), "")</f>
        <v/>
      </c>
      <c r="M185" s="38" t="str">
        <f>IFERROR(VLOOKUP(I185,보도매체!$A:$C,3,FALSE), "")</f>
        <v/>
      </c>
      <c r="N185" s="3"/>
    </row>
    <row r="186" spans="1:14" x14ac:dyDescent="0.3">
      <c r="A186" s="1">
        <v>185</v>
      </c>
      <c r="B186" s="35"/>
      <c r="C186" s="35">
        <f t="shared" si="3"/>
        <v>0</v>
      </c>
      <c r="D186" s="30" t="str">
        <f>IFERROR(VLOOKUP(C186,소속부서!$A$2:$B$20,2,FALSE), "")</f>
        <v/>
      </c>
      <c r="G186" s="37"/>
      <c r="H186" s="40"/>
      <c r="L186" s="36" t="str">
        <f>IFERROR(VLOOKUP(I186,보도매체!$A:$C,2,FALSE), "")</f>
        <v/>
      </c>
      <c r="M186" s="38" t="str">
        <f>IFERROR(VLOOKUP(I186,보도매체!$A:$C,3,FALSE), "")</f>
        <v/>
      </c>
      <c r="N186" s="3"/>
    </row>
    <row r="187" spans="1:14" x14ac:dyDescent="0.3">
      <c r="A187" s="1">
        <v>186</v>
      </c>
      <c r="B187" s="35"/>
      <c r="C187" s="35">
        <f t="shared" si="3"/>
        <v>0</v>
      </c>
      <c r="D187" s="30" t="str">
        <f>IFERROR(VLOOKUP(C187,소속부서!$A$2:$B$20,2,FALSE), "")</f>
        <v/>
      </c>
      <c r="G187" s="37"/>
      <c r="H187" s="40"/>
      <c r="L187" s="36" t="str">
        <f>IFERROR(VLOOKUP(I187,보도매체!$A:$C,2,FALSE), "")</f>
        <v/>
      </c>
      <c r="M187" s="38" t="str">
        <f>IFERROR(VLOOKUP(I187,보도매체!$A:$C,3,FALSE), "")</f>
        <v/>
      </c>
      <c r="N187" s="3"/>
    </row>
    <row r="188" spans="1:14" x14ac:dyDescent="0.3">
      <c r="A188" s="1">
        <v>187</v>
      </c>
      <c r="B188" s="35"/>
      <c r="C188" s="35">
        <f t="shared" si="3"/>
        <v>0</v>
      </c>
      <c r="D188" s="30" t="str">
        <f>IFERROR(VLOOKUP(C188,소속부서!$A$2:$B$20,2,FALSE), "")</f>
        <v/>
      </c>
      <c r="G188" s="37"/>
      <c r="H188" s="40"/>
      <c r="L188" s="36" t="str">
        <f>IFERROR(VLOOKUP(I188,보도매체!$A:$C,2,FALSE), "")</f>
        <v/>
      </c>
      <c r="M188" s="38" t="str">
        <f>IFERROR(VLOOKUP(I188,보도매체!$A:$C,3,FALSE), "")</f>
        <v/>
      </c>
      <c r="N188" s="3"/>
    </row>
    <row r="189" spans="1:14" x14ac:dyDescent="0.3">
      <c r="A189" s="1">
        <v>188</v>
      </c>
      <c r="B189" s="35"/>
      <c r="C189" s="35">
        <f t="shared" si="3"/>
        <v>0</v>
      </c>
      <c r="D189" s="30" t="str">
        <f>IFERROR(VLOOKUP(C189,소속부서!$A$2:$B$20,2,FALSE), "")</f>
        <v/>
      </c>
      <c r="G189" s="37"/>
      <c r="H189" s="40"/>
      <c r="L189" s="36" t="str">
        <f>IFERROR(VLOOKUP(I189,보도매체!$A:$C,2,FALSE), "")</f>
        <v/>
      </c>
      <c r="M189" s="38" t="str">
        <f>IFERROR(VLOOKUP(I189,보도매체!$A:$C,3,FALSE), "")</f>
        <v/>
      </c>
      <c r="N189" s="3"/>
    </row>
    <row r="190" spans="1:14" x14ac:dyDescent="0.3">
      <c r="A190" s="1">
        <v>189</v>
      </c>
      <c r="B190" s="35"/>
      <c r="C190" s="35">
        <f t="shared" si="3"/>
        <v>0</v>
      </c>
      <c r="D190" s="30" t="str">
        <f>IFERROR(VLOOKUP(C190,소속부서!$A$2:$B$20,2,FALSE), "")</f>
        <v/>
      </c>
      <c r="G190" s="37"/>
      <c r="H190" s="40"/>
      <c r="L190" s="36" t="str">
        <f>IFERROR(VLOOKUP(I190,보도매체!$A:$C,2,FALSE), "")</f>
        <v/>
      </c>
      <c r="M190" s="38" t="str">
        <f>IFERROR(VLOOKUP(I190,보도매체!$A:$C,3,FALSE), "")</f>
        <v/>
      </c>
      <c r="N190" s="3"/>
    </row>
    <row r="191" spans="1:14" x14ac:dyDescent="0.3">
      <c r="A191" s="1">
        <v>190</v>
      </c>
      <c r="B191" s="35"/>
      <c r="C191" s="35">
        <f t="shared" si="3"/>
        <v>0</v>
      </c>
      <c r="D191" s="30" t="str">
        <f>IFERROR(VLOOKUP(C191,소속부서!$A$2:$B$20,2,FALSE), "")</f>
        <v/>
      </c>
      <c r="E191" s="35"/>
      <c r="G191" s="37"/>
      <c r="H191" s="40"/>
      <c r="L191" s="36" t="str">
        <f>IFERROR(VLOOKUP(I191,보도매체!$A:$C,2,FALSE), "")</f>
        <v/>
      </c>
      <c r="M191" s="38" t="str">
        <f>IFERROR(VLOOKUP(I191,보도매체!$A:$C,3,FALSE), "")</f>
        <v/>
      </c>
      <c r="N191" s="3"/>
    </row>
    <row r="192" spans="1:14" x14ac:dyDescent="0.3">
      <c r="A192" s="1">
        <v>191</v>
      </c>
      <c r="B192" s="35"/>
      <c r="C192" s="35">
        <f t="shared" si="3"/>
        <v>0</v>
      </c>
      <c r="D192" s="30" t="str">
        <f>IFERROR(VLOOKUP(C192,소속부서!$A$2:$B$20,2,FALSE), "")</f>
        <v/>
      </c>
      <c r="G192" s="37"/>
      <c r="H192" s="40"/>
      <c r="L192" s="36" t="str">
        <f>IFERROR(VLOOKUP(I192,보도매체!$A:$C,2,FALSE), "")</f>
        <v/>
      </c>
      <c r="M192" s="38" t="str">
        <f>IFERROR(VLOOKUP(I192,보도매체!$A:$C,3,FALSE), "")</f>
        <v/>
      </c>
      <c r="N192" s="3"/>
    </row>
    <row r="193" spans="1:14" x14ac:dyDescent="0.3">
      <c r="A193" s="1">
        <v>192</v>
      </c>
      <c r="B193" s="35"/>
      <c r="C193" s="35">
        <f t="shared" si="3"/>
        <v>0</v>
      </c>
      <c r="D193" s="30" t="str">
        <f>IFERROR(VLOOKUP(C193,소속부서!$A$2:$B$20,2,FALSE), "")</f>
        <v/>
      </c>
      <c r="G193" s="37"/>
      <c r="H193" s="40"/>
      <c r="L193" s="36" t="str">
        <f>IFERROR(VLOOKUP(I193,보도매체!$A:$C,2,FALSE), "")</f>
        <v/>
      </c>
      <c r="M193" s="38" t="str">
        <f>IFERROR(VLOOKUP(I193,보도매체!$A:$C,3,FALSE), "")</f>
        <v/>
      </c>
      <c r="N193" s="3"/>
    </row>
    <row r="194" spans="1:14" x14ac:dyDescent="0.3">
      <c r="A194" s="1">
        <v>193</v>
      </c>
      <c r="B194" s="35"/>
      <c r="C194" s="35">
        <f t="shared" si="3"/>
        <v>0</v>
      </c>
      <c r="D194" s="30" t="str">
        <f>IFERROR(VLOOKUP(C194,소속부서!$A$2:$B$20,2,FALSE), "")</f>
        <v/>
      </c>
      <c r="G194" s="37"/>
      <c r="H194" s="40"/>
      <c r="J194" s="41"/>
      <c r="L194" s="36" t="str">
        <f>IFERROR(VLOOKUP(I194,보도매체!$A:$C,2,FALSE), "")</f>
        <v/>
      </c>
      <c r="M194" s="38" t="str">
        <f>IFERROR(VLOOKUP(I194,보도매체!$A:$C,3,FALSE), "")</f>
        <v/>
      </c>
      <c r="N194" s="3"/>
    </row>
    <row r="195" spans="1:14" x14ac:dyDescent="0.3">
      <c r="A195" s="1">
        <v>194</v>
      </c>
      <c r="B195" s="35"/>
      <c r="C195" s="35">
        <f t="shared" si="3"/>
        <v>0</v>
      </c>
      <c r="D195" s="30" t="str">
        <f>IFERROR(VLOOKUP(C195,소속부서!$A$2:$B$20,2,FALSE), "")</f>
        <v/>
      </c>
      <c r="G195" s="37"/>
      <c r="H195" s="40"/>
      <c r="L195" s="36" t="str">
        <f>IFERROR(VLOOKUP(I195,보도매체!$A:$C,2,FALSE), "")</f>
        <v/>
      </c>
      <c r="M195" s="38" t="str">
        <f>IFERROR(VLOOKUP(I195,보도매체!$A:$C,3,FALSE), "")</f>
        <v/>
      </c>
      <c r="N195" s="3"/>
    </row>
    <row r="196" spans="1:14" x14ac:dyDescent="0.3">
      <c r="A196" s="1">
        <v>195</v>
      </c>
      <c r="B196" s="35"/>
      <c r="C196" s="35">
        <f t="shared" ref="C196:C259" si="4">E196</f>
        <v>0</v>
      </c>
      <c r="D196" s="30" t="str">
        <f>IFERROR(VLOOKUP(C196,소속부서!$A$2:$B$20,2,FALSE), "")</f>
        <v/>
      </c>
      <c r="G196" s="37"/>
      <c r="H196" s="40"/>
      <c r="I196" s="48"/>
      <c r="J196" s="41"/>
      <c r="K196" s="1"/>
      <c r="L196" s="36" t="str">
        <f>IFERROR(VLOOKUP(I196,보도매체!$A:$C,2,FALSE), "")</f>
        <v/>
      </c>
      <c r="M196" s="38" t="str">
        <f>IFERROR(VLOOKUP(I196,보도매체!$A:$C,3,FALSE), "")</f>
        <v/>
      </c>
      <c r="N196" s="3"/>
    </row>
    <row r="197" spans="1:14" x14ac:dyDescent="0.3">
      <c r="A197" s="1">
        <v>196</v>
      </c>
      <c r="B197" s="35"/>
      <c r="C197" s="35">
        <f t="shared" si="4"/>
        <v>0</v>
      </c>
      <c r="D197" s="30" t="str">
        <f>IFERROR(VLOOKUP(C197,소속부서!$A$2:$B$20,2,FALSE), "")</f>
        <v/>
      </c>
      <c r="G197" s="37"/>
      <c r="H197" s="40"/>
      <c r="I197" s="37"/>
      <c r="K197" s="28"/>
      <c r="L197" s="36" t="str">
        <f>IFERROR(VLOOKUP(I197,보도매체!$A:$C,2,FALSE), "")</f>
        <v/>
      </c>
      <c r="M197" s="38" t="str">
        <f>IFERROR(VLOOKUP(I197,보도매체!$A:$C,3,FALSE), "")</f>
        <v/>
      </c>
      <c r="N197" s="3"/>
    </row>
    <row r="198" spans="1:14" x14ac:dyDescent="0.3">
      <c r="A198" s="1">
        <v>197</v>
      </c>
      <c r="B198" s="35"/>
      <c r="C198" s="35">
        <f t="shared" si="4"/>
        <v>0</v>
      </c>
      <c r="D198" s="30" t="str">
        <f>IFERROR(VLOOKUP(C198,소속부서!$A$2:$B$20,2,FALSE), "")</f>
        <v/>
      </c>
      <c r="G198" s="37"/>
      <c r="H198" s="40"/>
      <c r="L198" s="36" t="str">
        <f>IFERROR(VLOOKUP(I198,보도매체!$A:$C,2,FALSE), "")</f>
        <v/>
      </c>
      <c r="M198" s="38" t="str">
        <f>IFERROR(VLOOKUP(I198,보도매체!$A:$C,3,FALSE), "")</f>
        <v/>
      </c>
      <c r="N198" s="3"/>
    </row>
    <row r="199" spans="1:14" x14ac:dyDescent="0.3">
      <c r="A199" s="1">
        <v>198</v>
      </c>
      <c r="B199" s="35"/>
      <c r="C199" s="35">
        <f t="shared" si="4"/>
        <v>0</v>
      </c>
      <c r="D199" s="30" t="str">
        <f>IFERROR(VLOOKUP(C199,소속부서!$A$2:$B$20,2,FALSE), "")</f>
        <v/>
      </c>
      <c r="E199" s="35"/>
      <c r="G199" s="37"/>
      <c r="H199" s="40"/>
      <c r="L199" s="36" t="str">
        <f>IFERROR(VLOOKUP(I199,보도매체!$A:$C,2,FALSE), "")</f>
        <v/>
      </c>
      <c r="M199" s="38" t="str">
        <f>IFERROR(VLOOKUP(I199,보도매체!$A:$C,3,FALSE), "")</f>
        <v/>
      </c>
      <c r="N199" s="3"/>
    </row>
    <row r="200" spans="1:14" x14ac:dyDescent="0.3">
      <c r="A200" s="1">
        <v>199</v>
      </c>
      <c r="B200" s="35"/>
      <c r="C200" s="35">
        <f t="shared" si="4"/>
        <v>0</v>
      </c>
      <c r="D200" s="30" t="str">
        <f>IFERROR(VLOOKUP(C200,소속부서!$A$2:$B$20,2,FALSE), "")</f>
        <v/>
      </c>
      <c r="E200" s="35"/>
      <c r="G200" s="37"/>
      <c r="H200" s="40"/>
      <c r="L200" s="36" t="str">
        <f>IFERROR(VLOOKUP(I200,보도매체!$A:$C,2,FALSE), "")</f>
        <v/>
      </c>
      <c r="M200" s="38" t="str">
        <f>IFERROR(VLOOKUP(I200,보도매체!$A:$C,3,FALSE), "")</f>
        <v/>
      </c>
      <c r="N200" s="3"/>
    </row>
    <row r="201" spans="1:14" x14ac:dyDescent="0.3">
      <c r="A201" s="1">
        <v>200</v>
      </c>
      <c r="B201" s="35"/>
      <c r="C201" s="35">
        <f t="shared" si="4"/>
        <v>0</v>
      </c>
      <c r="D201" s="30" t="str">
        <f>IFERROR(VLOOKUP(C201,소속부서!$A$2:$B$20,2,FALSE), "")</f>
        <v/>
      </c>
      <c r="G201" s="37"/>
      <c r="H201" s="40"/>
      <c r="L201" s="36" t="str">
        <f>IFERROR(VLOOKUP(I201,보도매체!$A:$C,2,FALSE), "")</f>
        <v/>
      </c>
      <c r="M201" s="38" t="str">
        <f>IFERROR(VLOOKUP(I201,보도매체!$A:$C,3,FALSE), "")</f>
        <v/>
      </c>
      <c r="N201" s="3"/>
    </row>
    <row r="202" spans="1:14" x14ac:dyDescent="0.3">
      <c r="A202" s="1">
        <v>201</v>
      </c>
      <c r="B202" s="35"/>
      <c r="C202" s="35">
        <f t="shared" si="4"/>
        <v>0</v>
      </c>
      <c r="D202" s="30" t="str">
        <f>IFERROR(VLOOKUP(C202,소속부서!$A$2:$B$20,2,FALSE), "")</f>
        <v/>
      </c>
      <c r="G202" s="37"/>
      <c r="H202" s="40"/>
      <c r="L202" s="36" t="str">
        <f>IFERROR(VLOOKUP(I202,보도매체!$A:$C,2,FALSE), "")</f>
        <v/>
      </c>
      <c r="M202" s="38" t="str">
        <f>IFERROR(VLOOKUP(I202,보도매체!$A:$C,3,FALSE), "")</f>
        <v/>
      </c>
      <c r="N202" s="3"/>
    </row>
    <row r="203" spans="1:14" x14ac:dyDescent="0.3">
      <c r="A203" s="1">
        <v>202</v>
      </c>
      <c r="B203" s="35"/>
      <c r="C203" s="35">
        <f t="shared" si="4"/>
        <v>0</v>
      </c>
      <c r="D203" s="30" t="str">
        <f>IFERROR(VLOOKUP(C203,소속부서!$A$2:$B$20,2,FALSE), "")</f>
        <v/>
      </c>
      <c r="E203" s="35"/>
      <c r="G203" s="37"/>
      <c r="H203" s="40"/>
      <c r="L203" s="36" t="str">
        <f>IFERROR(VLOOKUP(I203,보도매체!$A:$C,2,FALSE), "")</f>
        <v/>
      </c>
      <c r="M203" s="38" t="str">
        <f>IFERROR(VLOOKUP(I203,보도매체!$A:$C,3,FALSE), "")</f>
        <v/>
      </c>
      <c r="N203" s="3"/>
    </row>
    <row r="204" spans="1:14" x14ac:dyDescent="0.3">
      <c r="A204" s="1">
        <v>203</v>
      </c>
      <c r="B204" s="35"/>
      <c r="C204" s="35">
        <f t="shared" si="4"/>
        <v>0</v>
      </c>
      <c r="D204" s="30" t="str">
        <f>IFERROR(VLOOKUP(C204,소속부서!$A$2:$B$20,2,FALSE), "")</f>
        <v/>
      </c>
      <c r="E204" s="35"/>
      <c r="G204" s="37"/>
      <c r="H204" s="40"/>
      <c r="L204" s="36" t="str">
        <f>IFERROR(VLOOKUP(I204,보도매체!$A:$C,2,FALSE), "")</f>
        <v/>
      </c>
      <c r="M204" s="38" t="str">
        <f>IFERROR(VLOOKUP(I204,보도매체!$A:$C,3,FALSE), "")</f>
        <v/>
      </c>
      <c r="N204" s="3"/>
    </row>
    <row r="205" spans="1:14" x14ac:dyDescent="0.3">
      <c r="A205" s="1">
        <v>204</v>
      </c>
      <c r="B205" s="35"/>
      <c r="C205" s="35">
        <f t="shared" si="4"/>
        <v>0</v>
      </c>
      <c r="D205" s="30" t="str">
        <f>IFERROR(VLOOKUP(C205,소속부서!$A$2:$B$20,2,FALSE), "")</f>
        <v/>
      </c>
      <c r="G205" s="37"/>
      <c r="H205" s="40"/>
      <c r="L205" s="36" t="str">
        <f>IFERROR(VLOOKUP(I205,보도매체!$A:$C,2,FALSE), "")</f>
        <v/>
      </c>
      <c r="M205" s="38" t="str">
        <f>IFERROR(VLOOKUP(I205,보도매체!$A:$C,3,FALSE), "")</f>
        <v/>
      </c>
      <c r="N205" s="3"/>
    </row>
    <row r="206" spans="1:14" x14ac:dyDescent="0.3">
      <c r="A206" s="1">
        <v>205</v>
      </c>
      <c r="B206" s="35"/>
      <c r="C206" s="35">
        <f t="shared" si="4"/>
        <v>0</v>
      </c>
      <c r="D206" s="30" t="str">
        <f>IFERROR(VLOOKUP(C206,소속부서!$A$2:$B$20,2,FALSE), "")</f>
        <v/>
      </c>
      <c r="E206" s="35"/>
      <c r="G206" s="37"/>
      <c r="H206" s="40"/>
      <c r="L206" s="36" t="str">
        <f>IFERROR(VLOOKUP(I206,보도매체!$A:$C,2,FALSE), "")</f>
        <v/>
      </c>
      <c r="M206" s="38" t="str">
        <f>IFERROR(VLOOKUP(I206,보도매체!$A:$C,3,FALSE), "")</f>
        <v/>
      </c>
      <c r="N206" s="3"/>
    </row>
    <row r="207" spans="1:14" x14ac:dyDescent="0.3">
      <c r="A207" s="1">
        <v>206</v>
      </c>
      <c r="B207" s="35"/>
      <c r="C207" s="35">
        <f t="shared" si="4"/>
        <v>0</v>
      </c>
      <c r="D207" s="30" t="str">
        <f>IFERROR(VLOOKUP(C207,소속부서!$A$2:$B$20,2,FALSE), "")</f>
        <v/>
      </c>
      <c r="G207" s="37"/>
      <c r="H207" s="40"/>
      <c r="L207" s="36" t="str">
        <f>IFERROR(VLOOKUP(I207,보도매체!$A:$C,2,FALSE), "")</f>
        <v/>
      </c>
      <c r="M207" s="38" t="str">
        <f>IFERROR(VLOOKUP(I207,보도매체!$A:$C,3,FALSE), "")</f>
        <v/>
      </c>
      <c r="N207" s="3"/>
    </row>
    <row r="208" spans="1:14" x14ac:dyDescent="0.3">
      <c r="A208" s="1">
        <v>207</v>
      </c>
      <c r="B208" s="35"/>
      <c r="C208" s="35">
        <f t="shared" si="4"/>
        <v>0</v>
      </c>
      <c r="D208" s="30" t="str">
        <f>IFERROR(VLOOKUP(C208,소속부서!$A$2:$B$20,2,FALSE), "")</f>
        <v/>
      </c>
      <c r="G208" s="37"/>
      <c r="H208" s="40"/>
      <c r="L208" s="36" t="str">
        <f>IFERROR(VLOOKUP(I208,보도매체!$A:$C,2,FALSE), "")</f>
        <v/>
      </c>
      <c r="M208" s="38" t="str">
        <f>IFERROR(VLOOKUP(I208,보도매체!$A:$C,3,FALSE), "")</f>
        <v/>
      </c>
      <c r="N208" s="3"/>
    </row>
    <row r="209" spans="1:14" x14ac:dyDescent="0.3">
      <c r="A209" s="1">
        <v>208</v>
      </c>
      <c r="B209" s="35"/>
      <c r="C209" s="35">
        <f t="shared" si="4"/>
        <v>0</v>
      </c>
      <c r="D209" s="30" t="str">
        <f>IFERROR(VLOOKUP(C209,소속부서!$A$2:$B$20,2,FALSE), "")</f>
        <v/>
      </c>
      <c r="G209" s="37"/>
      <c r="H209" s="40"/>
      <c r="L209" s="36" t="str">
        <f>IFERROR(VLOOKUP(I209,보도매체!$A:$C,2,FALSE), "")</f>
        <v/>
      </c>
      <c r="M209" s="38" t="str">
        <f>IFERROR(VLOOKUP(I209,보도매체!$A:$C,3,FALSE), "")</f>
        <v/>
      </c>
      <c r="N209" s="3"/>
    </row>
    <row r="210" spans="1:14" x14ac:dyDescent="0.3">
      <c r="A210" s="1">
        <v>209</v>
      </c>
      <c r="B210" s="35"/>
      <c r="C210" s="35">
        <f t="shared" si="4"/>
        <v>0</v>
      </c>
      <c r="D210" s="30" t="str">
        <f>IFERROR(VLOOKUP(C210,소속부서!$A$2:$B$20,2,FALSE), "")</f>
        <v/>
      </c>
      <c r="G210" s="37"/>
      <c r="H210" s="40"/>
      <c r="L210" s="36" t="str">
        <f>IFERROR(VLOOKUP(I210,보도매체!$A:$C,2,FALSE), "")</f>
        <v/>
      </c>
      <c r="M210" s="38" t="str">
        <f>IFERROR(VLOOKUP(I210,보도매체!$A:$C,3,FALSE), "")</f>
        <v/>
      </c>
      <c r="N210" s="3"/>
    </row>
    <row r="211" spans="1:14" x14ac:dyDescent="0.3">
      <c r="A211" s="1">
        <v>210</v>
      </c>
      <c r="B211" s="35"/>
      <c r="C211" s="35">
        <f t="shared" si="4"/>
        <v>0</v>
      </c>
      <c r="D211" s="30" t="str">
        <f>IFERROR(VLOOKUP(C211,소속부서!$A$2:$B$20,2,FALSE), "")</f>
        <v/>
      </c>
      <c r="G211" s="37"/>
      <c r="H211" s="40"/>
      <c r="L211" s="36" t="str">
        <f>IFERROR(VLOOKUP(I211,보도매체!$A:$C,2,FALSE), "")</f>
        <v/>
      </c>
      <c r="M211" s="38" t="str">
        <f>IFERROR(VLOOKUP(I211,보도매체!$A:$C,3,FALSE), "")</f>
        <v/>
      </c>
      <c r="N211" s="3"/>
    </row>
    <row r="212" spans="1:14" x14ac:dyDescent="0.3">
      <c r="A212" s="1">
        <v>211</v>
      </c>
      <c r="B212" s="35"/>
      <c r="C212" s="35">
        <f t="shared" si="4"/>
        <v>0</v>
      </c>
      <c r="D212" s="30" t="str">
        <f>IFERROR(VLOOKUP(C212,소속부서!$A$2:$B$20,2,FALSE), "")</f>
        <v/>
      </c>
      <c r="G212" s="37"/>
      <c r="H212" s="40"/>
      <c r="L212" s="36" t="str">
        <f>IFERROR(VLOOKUP(I212,보도매체!$A:$C,2,FALSE), "")</f>
        <v/>
      </c>
      <c r="M212" s="38" t="str">
        <f>IFERROR(VLOOKUP(I212,보도매체!$A:$C,3,FALSE), "")</f>
        <v/>
      </c>
      <c r="N212" s="3"/>
    </row>
    <row r="213" spans="1:14" x14ac:dyDescent="0.3">
      <c r="A213" s="1">
        <v>212</v>
      </c>
      <c r="B213" s="35"/>
      <c r="C213" s="35">
        <f t="shared" si="4"/>
        <v>0</v>
      </c>
      <c r="D213" s="30" t="str">
        <f>IFERROR(VLOOKUP(C213,소속부서!$A$2:$B$20,2,FALSE), "")</f>
        <v/>
      </c>
      <c r="G213" s="37"/>
      <c r="H213" s="40"/>
      <c r="L213" s="36" t="str">
        <f>IFERROR(VLOOKUP(I213,보도매체!$A:$C,2,FALSE), "")</f>
        <v/>
      </c>
      <c r="M213" s="38" t="str">
        <f>IFERROR(VLOOKUP(I213,보도매체!$A:$C,3,FALSE), "")</f>
        <v/>
      </c>
      <c r="N213" s="3"/>
    </row>
    <row r="214" spans="1:14" x14ac:dyDescent="0.3">
      <c r="A214" s="1">
        <v>213</v>
      </c>
      <c r="B214" s="35"/>
      <c r="C214" s="35">
        <f t="shared" si="4"/>
        <v>0</v>
      </c>
      <c r="D214" s="30" t="str">
        <f>IFERROR(VLOOKUP(C214,소속부서!$A$2:$B$20,2,FALSE), "")</f>
        <v/>
      </c>
      <c r="G214" s="37"/>
      <c r="H214" s="40"/>
      <c r="L214" s="36" t="str">
        <f>IFERROR(VLOOKUP(I214,보도매체!$A:$C,2,FALSE), "")</f>
        <v/>
      </c>
      <c r="M214" s="38" t="str">
        <f>IFERROR(VLOOKUP(I214,보도매체!$A:$C,3,FALSE), "")</f>
        <v/>
      </c>
      <c r="N214" s="3"/>
    </row>
    <row r="215" spans="1:14" x14ac:dyDescent="0.3">
      <c r="A215" s="1">
        <v>214</v>
      </c>
      <c r="B215" s="35"/>
      <c r="C215" s="35">
        <f t="shared" si="4"/>
        <v>0</v>
      </c>
      <c r="D215" s="30" t="str">
        <f>IFERROR(VLOOKUP(C215,소속부서!$A$2:$B$20,2,FALSE), "")</f>
        <v/>
      </c>
      <c r="G215" s="37"/>
      <c r="H215" s="40"/>
      <c r="L215" s="36" t="str">
        <f>IFERROR(VLOOKUP(I215,보도매체!$A:$C,2,FALSE), "")</f>
        <v/>
      </c>
      <c r="M215" s="38" t="str">
        <f>IFERROR(VLOOKUP(I215,보도매체!$A:$C,3,FALSE), "")</f>
        <v/>
      </c>
      <c r="N215" s="3"/>
    </row>
    <row r="216" spans="1:14" x14ac:dyDescent="0.3">
      <c r="A216" s="1">
        <v>215</v>
      </c>
      <c r="B216" s="35"/>
      <c r="C216" s="35">
        <f t="shared" si="4"/>
        <v>0</v>
      </c>
      <c r="D216" s="30" t="str">
        <f>IFERROR(VLOOKUP(C216,소속부서!$A$2:$B$20,2,FALSE), "")</f>
        <v/>
      </c>
      <c r="G216" s="37"/>
      <c r="H216" s="40"/>
      <c r="L216" s="36" t="str">
        <f>IFERROR(VLOOKUP(I216,보도매체!$A:$C,2,FALSE), "")</f>
        <v/>
      </c>
      <c r="M216" s="38" t="str">
        <f>IFERROR(VLOOKUP(I216,보도매체!$A:$C,3,FALSE), "")</f>
        <v/>
      </c>
      <c r="N216" s="3"/>
    </row>
    <row r="217" spans="1:14" x14ac:dyDescent="0.3">
      <c r="A217" s="1">
        <v>216</v>
      </c>
      <c r="B217" s="35"/>
      <c r="C217" s="35">
        <f t="shared" si="4"/>
        <v>0</v>
      </c>
      <c r="D217" s="30" t="str">
        <f>IFERROR(VLOOKUP(C217,소속부서!$A$2:$B$20,2,FALSE), "")</f>
        <v/>
      </c>
      <c r="G217" s="37"/>
      <c r="H217" s="40"/>
      <c r="J217" s="41"/>
      <c r="L217" s="36" t="str">
        <f>IFERROR(VLOOKUP(I217,보도매체!$A:$C,2,FALSE), "")</f>
        <v/>
      </c>
      <c r="M217" s="38" t="str">
        <f>IFERROR(VLOOKUP(I217,보도매체!$A:$C,3,FALSE), "")</f>
        <v/>
      </c>
      <c r="N217" s="3"/>
    </row>
    <row r="218" spans="1:14" x14ac:dyDescent="0.3">
      <c r="A218" s="1">
        <v>217</v>
      </c>
      <c r="B218" s="35"/>
      <c r="C218" s="35">
        <f t="shared" si="4"/>
        <v>0</v>
      </c>
      <c r="D218" s="30" t="str">
        <f>IFERROR(VLOOKUP(C218,소속부서!$A$2:$B$20,2,FALSE), "")</f>
        <v/>
      </c>
      <c r="G218" s="37"/>
      <c r="H218" s="40"/>
      <c r="L218" s="36" t="str">
        <f>IFERROR(VLOOKUP(I218,보도매체!$A:$C,2,FALSE), "")</f>
        <v/>
      </c>
      <c r="M218" s="38" t="str">
        <f>IFERROR(VLOOKUP(I218,보도매체!$A:$C,3,FALSE), "")</f>
        <v/>
      </c>
      <c r="N218" s="3"/>
    </row>
    <row r="219" spans="1:14" x14ac:dyDescent="0.3">
      <c r="A219" s="1">
        <v>218</v>
      </c>
      <c r="B219" s="35"/>
      <c r="C219" s="35">
        <f t="shared" si="4"/>
        <v>0</v>
      </c>
      <c r="D219" s="30" t="str">
        <f>IFERROR(VLOOKUP(C219,소속부서!$A$2:$B$20,2,FALSE), "")</f>
        <v/>
      </c>
      <c r="E219" s="12"/>
      <c r="F219" s="37"/>
      <c r="G219" s="44"/>
      <c r="H219" s="56"/>
      <c r="I219" s="55"/>
      <c r="J219" s="33"/>
      <c r="K219" s="57"/>
      <c r="L219" s="36" t="str">
        <f>IFERROR(VLOOKUP(I219,보도매체!$A:$C,2,FALSE), "")</f>
        <v/>
      </c>
      <c r="M219" s="38" t="str">
        <f>IFERROR(VLOOKUP(I219,보도매체!$A:$C,3,FALSE), "")</f>
        <v/>
      </c>
      <c r="N219" s="33"/>
    </row>
    <row r="220" spans="1:14" x14ac:dyDescent="0.3">
      <c r="A220" s="1">
        <v>219</v>
      </c>
      <c r="B220" s="35"/>
      <c r="C220" s="35">
        <f t="shared" si="4"/>
        <v>0</v>
      </c>
      <c r="D220" s="30" t="str">
        <f>IFERROR(VLOOKUP(C220,소속부서!$A$2:$B$20,2,FALSE), "")</f>
        <v/>
      </c>
      <c r="G220" s="37"/>
      <c r="H220" s="58"/>
      <c r="I220" s="55"/>
      <c r="J220" s="33"/>
      <c r="K220" s="55"/>
      <c r="L220" s="36" t="str">
        <f>IFERROR(VLOOKUP(I220,보도매체!$A:$C,2,FALSE), "")</f>
        <v/>
      </c>
      <c r="M220" s="38" t="str">
        <f>IFERROR(VLOOKUP(I220,보도매체!$A:$C,3,FALSE), "")</f>
        <v/>
      </c>
      <c r="N220" s="33"/>
    </row>
    <row r="221" spans="1:14" x14ac:dyDescent="0.3">
      <c r="A221" s="1">
        <v>220</v>
      </c>
      <c r="B221" s="35"/>
      <c r="C221" s="35">
        <f t="shared" si="4"/>
        <v>0</v>
      </c>
      <c r="D221" s="30" t="str">
        <f>IFERROR(VLOOKUP(C221,소속부서!$A$2:$B$20,2,FALSE), "")</f>
        <v/>
      </c>
      <c r="E221" s="12"/>
      <c r="G221" s="37"/>
      <c r="H221" s="59"/>
      <c r="I221" s="55"/>
      <c r="J221" s="33"/>
      <c r="K221" s="60"/>
      <c r="L221" s="36" t="str">
        <f>IFERROR(VLOOKUP(I221,보도매체!$A:$C,2,FALSE), "")</f>
        <v/>
      </c>
      <c r="M221" s="38" t="str">
        <f>IFERROR(VLOOKUP(I221,보도매체!$A:$C,3,FALSE), "")</f>
        <v/>
      </c>
      <c r="N221" s="33"/>
    </row>
    <row r="222" spans="1:14" x14ac:dyDescent="0.3">
      <c r="A222" s="1">
        <v>221</v>
      </c>
      <c r="B222" s="35"/>
      <c r="C222" s="35">
        <f t="shared" si="4"/>
        <v>0</v>
      </c>
      <c r="D222" s="30" t="str">
        <f>IFERROR(VLOOKUP(C222,소속부서!$A$2:$B$20,2,FALSE), "")</f>
        <v/>
      </c>
      <c r="G222" s="44"/>
      <c r="H222" s="54"/>
      <c r="I222" s="55"/>
      <c r="J222" s="33"/>
      <c r="K222" s="55"/>
      <c r="L222" s="36" t="str">
        <f>IFERROR(VLOOKUP(I222,보도매체!$A:$C,2,FALSE), "")</f>
        <v/>
      </c>
      <c r="M222" s="38" t="str">
        <f>IFERROR(VLOOKUP(I222,보도매체!$A:$C,3,FALSE), "")</f>
        <v/>
      </c>
      <c r="N222" s="33"/>
    </row>
    <row r="223" spans="1:14" x14ac:dyDescent="0.3">
      <c r="A223" s="1">
        <v>222</v>
      </c>
      <c r="B223" s="35"/>
      <c r="C223" s="35">
        <f t="shared" si="4"/>
        <v>0</v>
      </c>
      <c r="D223" s="30" t="str">
        <f>IFERROR(VLOOKUP(C223,소속부서!$A$2:$B$20,2,FALSE), "")</f>
        <v/>
      </c>
      <c r="G223" s="37"/>
      <c r="H223" s="54"/>
      <c r="I223" s="55"/>
      <c r="J223" s="33"/>
      <c r="K223" s="44"/>
      <c r="L223" s="36" t="str">
        <f>IFERROR(VLOOKUP(I223,보도매체!$A:$C,2,FALSE), "")</f>
        <v/>
      </c>
      <c r="M223" s="38" t="str">
        <f>IFERROR(VLOOKUP(I223,보도매체!$A:$C,3,FALSE), "")</f>
        <v/>
      </c>
      <c r="N223" s="33"/>
    </row>
    <row r="224" spans="1:14" x14ac:dyDescent="0.3">
      <c r="A224" s="1">
        <v>223</v>
      </c>
      <c r="B224" s="35"/>
      <c r="C224" s="35">
        <f t="shared" si="4"/>
        <v>0</v>
      </c>
      <c r="D224" s="30" t="str">
        <f>IFERROR(VLOOKUP(C224,소속부서!$A$2:$B$20,2,FALSE), "")</f>
        <v/>
      </c>
      <c r="G224" s="44"/>
      <c r="H224" s="58"/>
      <c r="I224" s="55"/>
      <c r="J224" s="33"/>
      <c r="K224" s="55"/>
      <c r="L224" s="36" t="str">
        <f>IFERROR(VLOOKUP(I224,보도매체!$A:$C,2,FALSE), "")</f>
        <v/>
      </c>
      <c r="M224" s="38" t="str">
        <f>IFERROR(VLOOKUP(I224,보도매체!$A:$C,3,FALSE), "")</f>
        <v/>
      </c>
      <c r="N224" s="33"/>
    </row>
    <row r="225" spans="1:14" x14ac:dyDescent="0.3">
      <c r="A225" s="1">
        <v>224</v>
      </c>
      <c r="B225" s="35"/>
      <c r="C225" s="35">
        <f t="shared" si="4"/>
        <v>0</v>
      </c>
      <c r="D225" s="30" t="str">
        <f>IFERROR(VLOOKUP(C225,소속부서!$A$2:$B$20,2,FALSE), "")</f>
        <v/>
      </c>
      <c r="G225" s="44"/>
      <c r="H225" s="58"/>
      <c r="I225" s="55"/>
      <c r="J225" s="33"/>
      <c r="K225" s="55"/>
      <c r="L225" s="36" t="str">
        <f>IFERROR(VLOOKUP(I225,보도매체!$A:$C,2,FALSE), "")</f>
        <v/>
      </c>
      <c r="M225" s="38" t="str">
        <f>IFERROR(VLOOKUP(I225,보도매체!$A:$C,3,FALSE), "")</f>
        <v/>
      </c>
      <c r="N225" s="33"/>
    </row>
    <row r="226" spans="1:14" x14ac:dyDescent="0.3">
      <c r="A226" s="1">
        <v>225</v>
      </c>
      <c r="B226" s="35"/>
      <c r="C226" s="35">
        <f t="shared" si="4"/>
        <v>0</v>
      </c>
      <c r="D226" s="30" t="str">
        <f>IFERROR(VLOOKUP(C226,소속부서!$A$2:$B$20,2,FALSE), "")</f>
        <v/>
      </c>
      <c r="E226" s="12"/>
      <c r="G226" s="37"/>
      <c r="H226" s="58"/>
      <c r="I226" s="55"/>
      <c r="J226" s="33"/>
      <c r="K226" s="37"/>
      <c r="L226" s="36" t="str">
        <f>IFERROR(VLOOKUP(I226,보도매체!$A:$C,2,FALSE), "")</f>
        <v/>
      </c>
      <c r="M226" s="38" t="str">
        <f>IFERROR(VLOOKUP(I226,보도매체!$A:$C,3,FALSE), "")</f>
        <v/>
      </c>
      <c r="N226" s="33"/>
    </row>
    <row r="227" spans="1:14" x14ac:dyDescent="0.3">
      <c r="A227" s="1">
        <v>226</v>
      </c>
      <c r="B227" s="35"/>
      <c r="C227" s="35">
        <f t="shared" si="4"/>
        <v>0</v>
      </c>
      <c r="D227" s="30" t="str">
        <f>IFERROR(VLOOKUP(C227,소속부서!$A$2:$B$20,2,FALSE), "")</f>
        <v/>
      </c>
      <c r="E227" s="35"/>
      <c r="F227" s="37"/>
      <c r="G227" s="37"/>
      <c r="H227" s="42"/>
      <c r="I227" s="55"/>
      <c r="J227" s="33"/>
      <c r="K227" s="61"/>
      <c r="L227" s="36" t="str">
        <f>IFERROR(VLOOKUP(I227,보도매체!$A:$C,2,FALSE), "")</f>
        <v/>
      </c>
      <c r="M227" s="38" t="str">
        <f>IFERROR(VLOOKUP(I227,보도매체!$A:$C,3,FALSE), "")</f>
        <v/>
      </c>
      <c r="N227" s="33"/>
    </row>
    <row r="228" spans="1:14" x14ac:dyDescent="0.3">
      <c r="A228" s="1">
        <v>227</v>
      </c>
      <c r="B228" s="35"/>
      <c r="C228" s="35">
        <f t="shared" si="4"/>
        <v>0</v>
      </c>
      <c r="D228" s="30" t="str">
        <f>IFERROR(VLOOKUP(C228,소속부서!$A$2:$B$20,2,FALSE), "")</f>
        <v/>
      </c>
      <c r="E228" s="12"/>
      <c r="F228" s="37"/>
      <c r="G228" s="37"/>
      <c r="H228" s="46"/>
      <c r="L228" s="36" t="str">
        <f>IFERROR(VLOOKUP(I228,보도매체!$A:$C,2,FALSE), "")</f>
        <v/>
      </c>
      <c r="M228" s="38" t="str">
        <f>IFERROR(VLOOKUP(I228,보도매체!$A:$C,3,FALSE), "")</f>
        <v/>
      </c>
      <c r="N228" s="3"/>
    </row>
    <row r="229" spans="1:14" x14ac:dyDescent="0.3">
      <c r="A229" s="1">
        <v>228</v>
      </c>
      <c r="B229" s="35"/>
      <c r="C229" s="35">
        <f t="shared" si="4"/>
        <v>0</v>
      </c>
      <c r="D229" s="30" t="str">
        <f>IFERROR(VLOOKUP(C229,소속부서!$A$2:$B$20,2,FALSE), "")</f>
        <v/>
      </c>
      <c r="G229" s="37"/>
      <c r="H229" s="46"/>
      <c r="L229" s="36" t="str">
        <f>IFERROR(VLOOKUP(I229,보도매체!$A:$C,2,FALSE), "")</f>
        <v/>
      </c>
      <c r="M229" s="38" t="str">
        <f>IFERROR(VLOOKUP(I229,보도매체!$A:$C,3,FALSE), "")</f>
        <v/>
      </c>
      <c r="N229" s="3"/>
    </row>
    <row r="230" spans="1:14" x14ac:dyDescent="0.3">
      <c r="A230" s="1">
        <v>229</v>
      </c>
      <c r="B230" s="35"/>
      <c r="C230" s="35">
        <f t="shared" si="4"/>
        <v>0</v>
      </c>
      <c r="D230" s="30" t="str">
        <f>IFERROR(VLOOKUP(C230,소속부서!$A$2:$B$20,2,FALSE), "")</f>
        <v/>
      </c>
      <c r="G230" s="37"/>
      <c r="H230" s="46"/>
      <c r="L230" s="36" t="str">
        <f>IFERROR(VLOOKUP(I230,보도매체!$A:$C,2,FALSE), "")</f>
        <v/>
      </c>
      <c r="M230" s="38" t="str">
        <f>IFERROR(VLOOKUP(I230,보도매체!$A:$C,3,FALSE), "")</f>
        <v/>
      </c>
      <c r="N230" s="3"/>
    </row>
    <row r="231" spans="1:14" x14ac:dyDescent="0.3">
      <c r="A231" s="1">
        <v>230</v>
      </c>
      <c r="B231" s="35"/>
      <c r="C231" s="35">
        <f t="shared" si="4"/>
        <v>0</v>
      </c>
      <c r="D231" s="30" t="str">
        <f>IFERROR(VLOOKUP(C231,소속부서!$A$2:$B$20,2,FALSE), "")</f>
        <v/>
      </c>
      <c r="G231" s="37"/>
      <c r="H231" s="46"/>
      <c r="L231" s="36" t="str">
        <f>IFERROR(VLOOKUP(I231,보도매체!$A:$C,2,FALSE), "")</f>
        <v/>
      </c>
      <c r="M231" s="38" t="str">
        <f>IFERROR(VLOOKUP(I231,보도매체!$A:$C,3,FALSE), "")</f>
        <v/>
      </c>
      <c r="N231" s="3"/>
    </row>
    <row r="232" spans="1:14" x14ac:dyDescent="0.3">
      <c r="A232" s="1">
        <v>231</v>
      </c>
      <c r="B232" s="35"/>
      <c r="C232" s="35">
        <f t="shared" si="4"/>
        <v>0</v>
      </c>
      <c r="D232" s="30" t="str">
        <f>IFERROR(VLOOKUP(C232,소속부서!$A$2:$B$20,2,FALSE), "")</f>
        <v/>
      </c>
      <c r="E232" s="35"/>
      <c r="G232" s="37"/>
      <c r="H232" s="46"/>
      <c r="L232" s="36" t="str">
        <f>IFERROR(VLOOKUP(I232,보도매체!$A:$C,2,FALSE), "")</f>
        <v/>
      </c>
      <c r="M232" s="38" t="str">
        <f>IFERROR(VLOOKUP(I232,보도매체!$A:$C,3,FALSE), "")</f>
        <v/>
      </c>
      <c r="N232" s="3"/>
    </row>
    <row r="233" spans="1:14" x14ac:dyDescent="0.3">
      <c r="A233" s="1">
        <v>232</v>
      </c>
      <c r="B233" s="35"/>
      <c r="C233" s="35">
        <f t="shared" si="4"/>
        <v>0</v>
      </c>
      <c r="D233" s="30" t="str">
        <f>IFERROR(VLOOKUP(C233,소속부서!$A$2:$B$20,2,FALSE), "")</f>
        <v/>
      </c>
      <c r="E233" s="12"/>
      <c r="F233" s="37"/>
      <c r="G233" s="37"/>
      <c r="H233" s="46"/>
      <c r="L233" s="36" t="str">
        <f>IFERROR(VLOOKUP(I233,보도매체!$A:$C,2,FALSE), "")</f>
        <v/>
      </c>
      <c r="M233" s="38" t="str">
        <f>IFERROR(VLOOKUP(I233,보도매체!$A:$C,3,FALSE), "")</f>
        <v/>
      </c>
      <c r="N233" s="3"/>
    </row>
    <row r="234" spans="1:14" x14ac:dyDescent="0.3">
      <c r="A234" s="1">
        <v>233</v>
      </c>
      <c r="B234" s="35"/>
      <c r="C234" s="35">
        <f t="shared" si="4"/>
        <v>0</v>
      </c>
      <c r="D234" s="30" t="str">
        <f>IFERROR(VLOOKUP(C234,소속부서!$A$2:$B$20,2,FALSE), "")</f>
        <v/>
      </c>
      <c r="G234" s="37"/>
      <c r="H234" s="46"/>
      <c r="L234" s="36" t="str">
        <f>IFERROR(VLOOKUP(I234,보도매체!$A:$C,2,FALSE), "")</f>
        <v/>
      </c>
      <c r="M234" s="38" t="str">
        <f>IFERROR(VLOOKUP(I234,보도매체!$A:$C,3,FALSE), "")</f>
        <v/>
      </c>
      <c r="N234" s="3"/>
    </row>
    <row r="235" spans="1:14" x14ac:dyDescent="0.3">
      <c r="A235" s="1">
        <v>234</v>
      </c>
      <c r="B235" s="35"/>
      <c r="C235" s="35">
        <f t="shared" si="4"/>
        <v>0</v>
      </c>
      <c r="D235" s="30" t="str">
        <f>IFERROR(VLOOKUP(C235,소속부서!$A$2:$B$20,2,FALSE), "")</f>
        <v/>
      </c>
      <c r="G235" s="37"/>
      <c r="H235" s="49"/>
      <c r="J235" s="33"/>
      <c r="K235" s="28"/>
      <c r="L235" s="36" t="str">
        <f>IFERROR(VLOOKUP(I235,보도매체!$A:$C,2,FALSE), "")</f>
        <v/>
      </c>
      <c r="M235" s="38" t="str">
        <f>IFERROR(VLOOKUP(I235,보도매체!$A:$C,3,FALSE), "")</f>
        <v/>
      </c>
      <c r="N235" s="3"/>
    </row>
    <row r="236" spans="1:14" x14ac:dyDescent="0.3">
      <c r="A236" s="1">
        <v>235</v>
      </c>
      <c r="B236" s="35"/>
      <c r="C236" s="35">
        <f t="shared" si="4"/>
        <v>0</v>
      </c>
      <c r="D236" s="30" t="str">
        <f>IFERROR(VLOOKUP(C236,소속부서!$A$2:$B$20,2,FALSE), "")</f>
        <v/>
      </c>
      <c r="G236" s="37"/>
      <c r="H236" s="46"/>
      <c r="L236" s="36" t="str">
        <f>IFERROR(VLOOKUP(I236,보도매체!$A:$C,2,FALSE), "")</f>
        <v/>
      </c>
      <c r="M236" s="38" t="str">
        <f>IFERROR(VLOOKUP(I236,보도매체!$A:$C,3,FALSE), "")</f>
        <v/>
      </c>
      <c r="N236" s="3"/>
    </row>
    <row r="237" spans="1:14" x14ac:dyDescent="0.3">
      <c r="A237" s="1">
        <v>236</v>
      </c>
      <c r="B237" s="35"/>
      <c r="C237" s="35">
        <f t="shared" si="4"/>
        <v>0</v>
      </c>
      <c r="D237" s="30" t="str">
        <f>IFERROR(VLOOKUP(C237,소속부서!$A$2:$B$20,2,FALSE), "")</f>
        <v/>
      </c>
      <c r="G237" s="37"/>
      <c r="H237" s="46"/>
      <c r="L237" s="36" t="str">
        <f>IFERROR(VLOOKUP(I237,보도매체!$A:$C,2,FALSE), "")</f>
        <v/>
      </c>
      <c r="M237" s="38" t="str">
        <f>IFERROR(VLOOKUP(I237,보도매체!$A:$C,3,FALSE), "")</f>
        <v/>
      </c>
      <c r="N237" s="3"/>
    </row>
    <row r="238" spans="1:14" x14ac:dyDescent="0.3">
      <c r="A238" s="1">
        <v>237</v>
      </c>
      <c r="B238" s="35"/>
      <c r="C238" s="35">
        <f t="shared" si="4"/>
        <v>0</v>
      </c>
      <c r="D238" s="30" t="str">
        <f>IFERROR(VLOOKUP(C238,소속부서!$A$2:$B$20,2,FALSE), "")</f>
        <v/>
      </c>
      <c r="G238" s="37"/>
      <c r="H238" s="46"/>
      <c r="L238" s="36" t="str">
        <f>IFERROR(VLOOKUP(I238,보도매체!$A:$C,2,FALSE), "")</f>
        <v/>
      </c>
      <c r="M238" s="38" t="str">
        <f>IFERROR(VLOOKUP(I238,보도매체!$A:$C,3,FALSE), "")</f>
        <v/>
      </c>
      <c r="N238" s="3"/>
    </row>
    <row r="239" spans="1:14" x14ac:dyDescent="0.3">
      <c r="A239" s="1">
        <v>238</v>
      </c>
      <c r="B239" s="35"/>
      <c r="C239" s="35">
        <f t="shared" si="4"/>
        <v>0</v>
      </c>
      <c r="D239" s="30" t="str">
        <f>IFERROR(VLOOKUP(C239,소속부서!$A$2:$B$20,2,FALSE), "")</f>
        <v/>
      </c>
      <c r="G239" s="37"/>
      <c r="H239" s="46"/>
      <c r="L239" s="36" t="str">
        <f>IFERROR(VLOOKUP(I239,보도매체!$A:$C,2,FALSE), "")</f>
        <v/>
      </c>
      <c r="M239" s="38" t="str">
        <f>IFERROR(VLOOKUP(I239,보도매체!$A:$C,3,FALSE), "")</f>
        <v/>
      </c>
      <c r="N239" s="3"/>
    </row>
    <row r="240" spans="1:14" x14ac:dyDescent="0.3">
      <c r="A240" s="1">
        <v>239</v>
      </c>
      <c r="B240" s="35"/>
      <c r="C240" s="35">
        <f t="shared" si="4"/>
        <v>0</v>
      </c>
      <c r="D240" s="30" t="str">
        <f>IFERROR(VLOOKUP(C240,소속부서!$A$2:$B$20,2,FALSE), "")</f>
        <v/>
      </c>
      <c r="G240" s="37"/>
      <c r="H240" s="46"/>
      <c r="L240" s="36" t="str">
        <f>IFERROR(VLOOKUP(I240,보도매체!$A:$C,2,FALSE), "")</f>
        <v/>
      </c>
      <c r="M240" s="38" t="str">
        <f>IFERROR(VLOOKUP(I240,보도매체!$A:$C,3,FALSE), "")</f>
        <v/>
      </c>
      <c r="N240" s="3"/>
    </row>
    <row r="241" spans="1:14" x14ac:dyDescent="0.3">
      <c r="A241" s="1">
        <v>240</v>
      </c>
      <c r="B241" s="35"/>
      <c r="C241" s="35">
        <f t="shared" si="4"/>
        <v>0</v>
      </c>
      <c r="D241" s="30" t="str">
        <f>IFERROR(VLOOKUP(C241,소속부서!$A$2:$B$20,2,FALSE), "")</f>
        <v/>
      </c>
      <c r="G241" s="37"/>
      <c r="H241" s="46"/>
      <c r="L241" s="36" t="str">
        <f>IFERROR(VLOOKUP(I241,보도매체!$A:$C,2,FALSE), "")</f>
        <v/>
      </c>
      <c r="M241" s="38" t="str">
        <f>IFERROR(VLOOKUP(I241,보도매체!$A:$C,3,FALSE), "")</f>
        <v/>
      </c>
      <c r="N241" s="3"/>
    </row>
    <row r="242" spans="1:14" x14ac:dyDescent="0.3">
      <c r="A242" s="1">
        <v>241</v>
      </c>
      <c r="B242" s="35"/>
      <c r="C242" s="35">
        <f t="shared" si="4"/>
        <v>0</v>
      </c>
      <c r="D242" s="30" t="str">
        <f>IFERROR(VLOOKUP(C242,소속부서!$A$2:$B$20,2,FALSE), "")</f>
        <v/>
      </c>
      <c r="G242" s="37"/>
      <c r="H242" s="46"/>
      <c r="L242" s="36" t="str">
        <f>IFERROR(VLOOKUP(I242,보도매체!$A:$C,2,FALSE), "")</f>
        <v/>
      </c>
      <c r="M242" s="38" t="str">
        <f>IFERROR(VLOOKUP(I242,보도매체!$A:$C,3,FALSE), "")</f>
        <v/>
      </c>
      <c r="N242" s="3"/>
    </row>
    <row r="243" spans="1:14" x14ac:dyDescent="0.3">
      <c r="A243" s="1">
        <v>242</v>
      </c>
      <c r="B243" s="35"/>
      <c r="C243" s="35">
        <f t="shared" si="4"/>
        <v>0</v>
      </c>
      <c r="D243" s="30" t="str">
        <f>IFERROR(VLOOKUP(C243,소속부서!$A$2:$B$20,2,FALSE), "")</f>
        <v/>
      </c>
      <c r="G243" s="37"/>
      <c r="H243" s="46"/>
      <c r="L243" s="36" t="str">
        <f>IFERROR(VLOOKUP(I243,보도매체!$A:$C,2,FALSE), "")</f>
        <v/>
      </c>
      <c r="M243" s="38" t="str">
        <f>IFERROR(VLOOKUP(I243,보도매체!$A:$C,3,FALSE), "")</f>
        <v/>
      </c>
      <c r="N243" s="3"/>
    </row>
    <row r="244" spans="1:14" x14ac:dyDescent="0.3">
      <c r="A244" s="1">
        <v>243</v>
      </c>
      <c r="B244" s="35"/>
      <c r="C244" s="35">
        <f t="shared" si="4"/>
        <v>0</v>
      </c>
      <c r="D244" s="30" t="str">
        <f>IFERROR(VLOOKUP(C244,소속부서!$A$2:$B$20,2,FALSE), "")</f>
        <v/>
      </c>
      <c r="G244" s="37"/>
      <c r="H244" s="46"/>
      <c r="L244" s="36" t="str">
        <f>IFERROR(VLOOKUP(I244,보도매체!$A:$C,2,FALSE), "")</f>
        <v/>
      </c>
      <c r="M244" s="38" t="str">
        <f>IFERROR(VLOOKUP(I244,보도매체!$A:$C,3,FALSE), "")</f>
        <v/>
      </c>
      <c r="N244" s="3"/>
    </row>
    <row r="245" spans="1:14" x14ac:dyDescent="0.3">
      <c r="A245" s="1">
        <v>244</v>
      </c>
      <c r="B245" s="35"/>
      <c r="C245" s="35">
        <f t="shared" si="4"/>
        <v>0</v>
      </c>
      <c r="D245" s="30" t="str">
        <f>IFERROR(VLOOKUP(C245,소속부서!$A$2:$B$20,2,FALSE), "")</f>
        <v/>
      </c>
      <c r="G245" s="37"/>
      <c r="H245" s="46"/>
      <c r="L245" s="36" t="str">
        <f>IFERROR(VLOOKUP(I245,보도매체!$A:$C,2,FALSE), "")</f>
        <v/>
      </c>
      <c r="M245" s="38" t="str">
        <f>IFERROR(VLOOKUP(I245,보도매체!$A:$C,3,FALSE), "")</f>
        <v/>
      </c>
      <c r="N245" s="3"/>
    </row>
    <row r="246" spans="1:14" x14ac:dyDescent="0.3">
      <c r="A246" s="1">
        <v>245</v>
      </c>
      <c r="B246" s="35"/>
      <c r="C246" s="35">
        <f t="shared" si="4"/>
        <v>0</v>
      </c>
      <c r="D246" s="30" t="str">
        <f>IFERROR(VLOOKUP(C246,소속부서!$A$2:$B$20,2,FALSE), "")</f>
        <v/>
      </c>
      <c r="G246" s="37"/>
      <c r="H246" s="40"/>
      <c r="L246" s="36" t="str">
        <f>IFERROR(VLOOKUP(I246,보도매체!$A:$C,2,FALSE), "")</f>
        <v/>
      </c>
      <c r="M246" s="38" t="str">
        <f>IFERROR(VLOOKUP(I246,보도매체!$A:$C,3,FALSE), "")</f>
        <v/>
      </c>
      <c r="N246" s="3"/>
    </row>
    <row r="247" spans="1:14" x14ac:dyDescent="0.3">
      <c r="A247" s="1">
        <v>246</v>
      </c>
      <c r="B247" s="35"/>
      <c r="C247" s="35">
        <f t="shared" si="4"/>
        <v>0</v>
      </c>
      <c r="D247" s="30" t="str">
        <f>IFERROR(VLOOKUP(C247,소속부서!$A$2:$B$20,2,FALSE), "")</f>
        <v/>
      </c>
      <c r="F247" s="50"/>
      <c r="G247" s="37"/>
      <c r="H247" s="40"/>
      <c r="J247" s="41"/>
      <c r="L247" s="36" t="str">
        <f>IFERROR(VLOOKUP(I247,보도매체!$A:$C,2,FALSE), "")</f>
        <v/>
      </c>
      <c r="M247" s="38" t="str">
        <f>IFERROR(VLOOKUP(I247,보도매체!$A:$C,3,FALSE), "")</f>
        <v/>
      </c>
      <c r="N247" s="3"/>
    </row>
    <row r="248" spans="1:14" x14ac:dyDescent="0.3">
      <c r="A248" s="1">
        <v>247</v>
      </c>
      <c r="B248" s="35"/>
      <c r="C248" s="35">
        <f t="shared" si="4"/>
        <v>0</v>
      </c>
      <c r="D248" s="30" t="str">
        <f>IFERROR(VLOOKUP(C248,소속부서!$A$2:$B$20,2,FALSE), "")</f>
        <v/>
      </c>
      <c r="G248" s="37"/>
      <c r="H248" s="40"/>
      <c r="L248" s="36" t="str">
        <f>IFERROR(VLOOKUP(I248,보도매체!$A:$C,2,FALSE), "")</f>
        <v/>
      </c>
      <c r="M248" s="38" t="str">
        <f>IFERROR(VLOOKUP(I248,보도매체!$A:$C,3,FALSE), "")</f>
        <v/>
      </c>
      <c r="N248" s="3"/>
    </row>
    <row r="249" spans="1:14" x14ac:dyDescent="0.3">
      <c r="A249" s="1">
        <v>248</v>
      </c>
      <c r="B249" s="35"/>
      <c r="C249" s="35">
        <f t="shared" si="4"/>
        <v>0</v>
      </c>
      <c r="D249" s="30" t="str">
        <f>IFERROR(VLOOKUP(C249,소속부서!$A$2:$B$20,2,FALSE), "")</f>
        <v/>
      </c>
      <c r="G249" s="37"/>
      <c r="H249" s="40"/>
      <c r="L249" s="36" t="str">
        <f>IFERROR(VLOOKUP(I249,보도매체!$A:$C,2,FALSE), "")</f>
        <v/>
      </c>
      <c r="M249" s="38" t="str">
        <f>IFERROR(VLOOKUP(I249,보도매체!$A:$C,3,FALSE), "")</f>
        <v/>
      </c>
      <c r="N249" s="3"/>
    </row>
    <row r="250" spans="1:14" x14ac:dyDescent="0.3">
      <c r="A250" s="1">
        <v>249</v>
      </c>
      <c r="B250" s="35"/>
      <c r="C250" s="35">
        <f t="shared" si="4"/>
        <v>0</v>
      </c>
      <c r="D250" s="30" t="str">
        <f>IFERROR(VLOOKUP(C250,소속부서!$A$2:$B$20,2,FALSE), "")</f>
        <v/>
      </c>
      <c r="G250" s="37"/>
      <c r="H250" s="40"/>
      <c r="L250" s="36" t="str">
        <f>IFERROR(VLOOKUP(I250,보도매체!$A:$C,2,FALSE), "")</f>
        <v/>
      </c>
      <c r="M250" s="38" t="str">
        <f>IFERROR(VLOOKUP(I250,보도매체!$A:$C,3,FALSE), "")</f>
        <v/>
      </c>
      <c r="N250" s="3"/>
    </row>
    <row r="251" spans="1:14" x14ac:dyDescent="0.3">
      <c r="A251" s="1">
        <v>250</v>
      </c>
      <c r="B251" s="35"/>
      <c r="C251" s="35">
        <f t="shared" si="4"/>
        <v>0</v>
      </c>
      <c r="D251" s="30" t="str">
        <f>IFERROR(VLOOKUP(C251,소속부서!$A$2:$B$20,2,FALSE), "")</f>
        <v/>
      </c>
      <c r="F251" s="50"/>
      <c r="G251" s="37"/>
      <c r="H251" s="40"/>
      <c r="L251" s="36" t="str">
        <f>IFERROR(VLOOKUP(I251,보도매체!$A:$C,2,FALSE), "")</f>
        <v/>
      </c>
      <c r="M251" s="38" t="str">
        <f>IFERROR(VLOOKUP(I251,보도매체!$A:$C,3,FALSE), "")</f>
        <v/>
      </c>
      <c r="N251" s="3"/>
    </row>
    <row r="252" spans="1:14" x14ac:dyDescent="0.3">
      <c r="A252" s="1">
        <v>251</v>
      </c>
      <c r="B252" s="35"/>
      <c r="C252" s="35">
        <f t="shared" si="4"/>
        <v>0</v>
      </c>
      <c r="D252" s="30" t="str">
        <f>IFERROR(VLOOKUP(C252,소속부서!$A$2:$B$20,2,FALSE), "")</f>
        <v/>
      </c>
      <c r="F252" s="50"/>
      <c r="G252" s="37"/>
      <c r="H252" s="40"/>
      <c r="L252" s="36" t="str">
        <f>IFERROR(VLOOKUP(I252,보도매체!$A:$C,2,FALSE), "")</f>
        <v/>
      </c>
      <c r="M252" s="38" t="str">
        <f>IFERROR(VLOOKUP(I252,보도매체!$A:$C,3,FALSE), "")</f>
        <v/>
      </c>
      <c r="N252" s="3"/>
    </row>
    <row r="253" spans="1:14" x14ac:dyDescent="0.3">
      <c r="A253" s="1">
        <v>252</v>
      </c>
      <c r="B253" s="35"/>
      <c r="C253" s="35">
        <f t="shared" si="4"/>
        <v>0</v>
      </c>
      <c r="D253" s="30" t="str">
        <f>IFERROR(VLOOKUP(C253,소속부서!$A$2:$B$20,2,FALSE), "")</f>
        <v/>
      </c>
      <c r="F253" s="50"/>
      <c r="G253" s="37"/>
      <c r="H253" s="40"/>
      <c r="J253" s="41"/>
      <c r="K253" s="28"/>
      <c r="L253" s="36" t="str">
        <f>IFERROR(VLOOKUP(I253,보도매체!$A:$C,2,FALSE), "")</f>
        <v/>
      </c>
      <c r="M253" s="38" t="str">
        <f>IFERROR(VLOOKUP(I253,보도매체!$A:$C,3,FALSE), "")</f>
        <v/>
      </c>
      <c r="N253" s="3"/>
    </row>
    <row r="254" spans="1:14" x14ac:dyDescent="0.3">
      <c r="A254" s="1">
        <v>253</v>
      </c>
      <c r="B254" s="35"/>
      <c r="C254" s="35">
        <f t="shared" si="4"/>
        <v>0</v>
      </c>
      <c r="D254" s="30" t="str">
        <f>IFERROR(VLOOKUP(C254,소속부서!$A$2:$B$20,2,FALSE), "")</f>
        <v/>
      </c>
      <c r="F254" s="50"/>
      <c r="G254" s="37"/>
      <c r="H254" s="40"/>
      <c r="L254" s="36" t="str">
        <f>IFERROR(VLOOKUP(I254,보도매체!$A:$C,2,FALSE), "")</f>
        <v/>
      </c>
      <c r="M254" s="38" t="str">
        <f>IFERROR(VLOOKUP(I254,보도매체!$A:$C,3,FALSE), "")</f>
        <v/>
      </c>
      <c r="N254" s="3"/>
    </row>
    <row r="255" spans="1:14" x14ac:dyDescent="0.3">
      <c r="A255" s="1">
        <v>254</v>
      </c>
      <c r="B255" s="35"/>
      <c r="C255" s="35">
        <f t="shared" si="4"/>
        <v>0</v>
      </c>
      <c r="D255" s="30" t="str">
        <f>IFERROR(VLOOKUP(C255,소속부서!$A$2:$B$20,2,FALSE), "")</f>
        <v/>
      </c>
      <c r="G255" s="37"/>
      <c r="H255" s="40"/>
      <c r="J255" s="41"/>
      <c r="K255" s="28"/>
      <c r="L255" s="36" t="str">
        <f>IFERROR(VLOOKUP(I255,보도매체!$A:$C,2,FALSE), "")</f>
        <v/>
      </c>
      <c r="M255" s="38" t="str">
        <f>IFERROR(VLOOKUP(I255,보도매체!$A:$C,3,FALSE), "")</f>
        <v/>
      </c>
      <c r="N255" s="3"/>
    </row>
    <row r="256" spans="1:14" x14ac:dyDescent="0.3">
      <c r="A256" s="1">
        <v>255</v>
      </c>
      <c r="B256" s="35"/>
      <c r="C256" s="35">
        <f t="shared" si="4"/>
        <v>0</v>
      </c>
      <c r="D256" s="30" t="str">
        <f>IFERROR(VLOOKUP(C256,소속부서!$A$2:$B$20,2,FALSE), "")</f>
        <v/>
      </c>
      <c r="E256" s="36"/>
      <c r="G256" s="37"/>
      <c r="H256" s="40"/>
      <c r="I256" s="51"/>
      <c r="L256" s="36" t="str">
        <f>IFERROR(VLOOKUP(I256,보도매체!$A:$C,2,FALSE), "")</f>
        <v/>
      </c>
      <c r="M256" s="38" t="str">
        <f>IFERROR(VLOOKUP(I256,보도매체!$A:$C,3,FALSE), "")</f>
        <v/>
      </c>
      <c r="N256" s="3"/>
    </row>
    <row r="257" spans="1:14" x14ac:dyDescent="0.3">
      <c r="A257" s="1">
        <v>256</v>
      </c>
      <c r="B257" s="35"/>
      <c r="C257" s="35">
        <f t="shared" si="4"/>
        <v>0</v>
      </c>
      <c r="D257" s="30" t="str">
        <f>IFERROR(VLOOKUP(C257,소속부서!$A$2:$B$20,2,FALSE), "")</f>
        <v/>
      </c>
      <c r="F257" s="50"/>
      <c r="G257" s="37"/>
      <c r="H257" s="40"/>
      <c r="L257" s="36" t="str">
        <f>IFERROR(VLOOKUP(I257,보도매체!$A:$C,2,FALSE), "")</f>
        <v/>
      </c>
      <c r="M257" s="38" t="str">
        <f>IFERROR(VLOOKUP(I257,보도매체!$A:$C,3,FALSE), "")</f>
        <v/>
      </c>
      <c r="N257" s="3"/>
    </row>
    <row r="258" spans="1:14" x14ac:dyDescent="0.3">
      <c r="A258" s="1">
        <v>257</v>
      </c>
      <c r="B258" s="35"/>
      <c r="C258" s="35">
        <f t="shared" si="4"/>
        <v>0</v>
      </c>
      <c r="D258" s="30" t="str">
        <f>IFERROR(VLOOKUP(C258,소속부서!$A$2:$B$20,2,FALSE), "")</f>
        <v/>
      </c>
      <c r="F258" s="50"/>
      <c r="G258" s="37"/>
      <c r="H258" s="40"/>
      <c r="L258" s="36" t="str">
        <f>IFERROR(VLOOKUP(I258,보도매체!$A:$C,2,FALSE), "")</f>
        <v/>
      </c>
      <c r="M258" s="38" t="str">
        <f>IFERROR(VLOOKUP(I258,보도매체!$A:$C,3,FALSE), "")</f>
        <v/>
      </c>
      <c r="N258" s="3"/>
    </row>
    <row r="259" spans="1:14" x14ac:dyDescent="0.3">
      <c r="A259" s="1">
        <v>258</v>
      </c>
      <c r="B259" s="35"/>
      <c r="C259" s="35">
        <f t="shared" si="4"/>
        <v>0</v>
      </c>
      <c r="D259" s="30" t="str">
        <f>IFERROR(VLOOKUP(C259,소속부서!$A$2:$B$20,2,FALSE), "")</f>
        <v/>
      </c>
      <c r="F259" s="50"/>
      <c r="G259" s="37"/>
      <c r="H259" s="40"/>
      <c r="L259" s="36" t="str">
        <f>IFERROR(VLOOKUP(I259,보도매체!$A:$C,2,FALSE), "")</f>
        <v/>
      </c>
      <c r="M259" s="38" t="str">
        <f>IFERROR(VLOOKUP(I259,보도매체!$A:$C,3,FALSE), "")</f>
        <v/>
      </c>
      <c r="N259" s="3"/>
    </row>
    <row r="260" spans="1:14" x14ac:dyDescent="0.3">
      <c r="A260" s="1">
        <v>259</v>
      </c>
      <c r="B260" s="35"/>
      <c r="C260" s="35">
        <f t="shared" ref="C260:C323" si="5">E260</f>
        <v>0</v>
      </c>
      <c r="D260" s="30" t="str">
        <f>IFERROR(VLOOKUP(C260,소속부서!$A$2:$B$20,2,FALSE), "")</f>
        <v/>
      </c>
      <c r="G260" s="37"/>
      <c r="H260" s="40"/>
      <c r="I260" s="37"/>
      <c r="J260" s="41"/>
      <c r="K260" s="28"/>
      <c r="L260" s="36" t="str">
        <f>IFERROR(VLOOKUP(I260,보도매체!$A:$C,2,FALSE), "")</f>
        <v/>
      </c>
      <c r="M260" s="38" t="str">
        <f>IFERROR(VLOOKUP(I260,보도매체!$A:$C,3,FALSE), "")</f>
        <v/>
      </c>
      <c r="N260" s="3"/>
    </row>
    <row r="261" spans="1:14" x14ac:dyDescent="0.3">
      <c r="A261" s="1">
        <v>260</v>
      </c>
      <c r="B261" s="35"/>
      <c r="C261" s="35">
        <f t="shared" si="5"/>
        <v>0</v>
      </c>
      <c r="D261" s="30" t="str">
        <f>IFERROR(VLOOKUP(C261,소속부서!$A$2:$B$20,2,FALSE), "")</f>
        <v/>
      </c>
      <c r="F261" s="50"/>
      <c r="G261" s="37"/>
      <c r="H261" s="46"/>
      <c r="J261" s="41"/>
      <c r="L261" s="36" t="str">
        <f>IFERROR(VLOOKUP(I261,보도매체!$A:$C,2,FALSE), "")</f>
        <v/>
      </c>
      <c r="M261" s="38" t="str">
        <f>IFERROR(VLOOKUP(I261,보도매체!$A:$C,3,FALSE), "")</f>
        <v/>
      </c>
      <c r="N261" s="3"/>
    </row>
    <row r="262" spans="1:14" x14ac:dyDescent="0.3">
      <c r="A262" s="1">
        <v>261</v>
      </c>
      <c r="B262" s="35"/>
      <c r="C262" s="35">
        <f t="shared" si="5"/>
        <v>0</v>
      </c>
      <c r="D262" s="30" t="str">
        <f>IFERROR(VLOOKUP(C262,소속부서!$A$2:$B$20,2,FALSE), "")</f>
        <v/>
      </c>
      <c r="G262" s="37"/>
      <c r="H262" s="46"/>
      <c r="J262" s="41"/>
      <c r="L262" s="36" t="str">
        <f>IFERROR(VLOOKUP(I262,보도매체!$A:$C,2,FALSE), "")</f>
        <v/>
      </c>
      <c r="M262" s="38" t="str">
        <f>IFERROR(VLOOKUP(I262,보도매체!$A:$C,3,FALSE), "")</f>
        <v/>
      </c>
      <c r="N262" s="3"/>
    </row>
    <row r="263" spans="1:14" x14ac:dyDescent="0.3">
      <c r="A263" s="1">
        <v>262</v>
      </c>
      <c r="B263" s="35"/>
      <c r="C263" s="35">
        <f t="shared" si="5"/>
        <v>0</v>
      </c>
      <c r="D263" s="30" t="str">
        <f>IFERROR(VLOOKUP(C263,소속부서!$A$2:$B$20,2,FALSE), "")</f>
        <v/>
      </c>
      <c r="F263" s="50"/>
      <c r="G263" s="37"/>
      <c r="H263" s="46"/>
      <c r="I263" s="37"/>
      <c r="K263" s="37"/>
      <c r="L263" s="36" t="str">
        <f>IFERROR(VLOOKUP(I263,보도매체!$A:$C,2,FALSE), "")</f>
        <v/>
      </c>
      <c r="M263" s="38" t="str">
        <f>IFERROR(VLOOKUP(I263,보도매체!$A:$C,3,FALSE), "")</f>
        <v/>
      </c>
      <c r="N263" s="3"/>
    </row>
    <row r="264" spans="1:14" x14ac:dyDescent="0.3">
      <c r="A264" s="1">
        <v>263</v>
      </c>
      <c r="B264" s="35"/>
      <c r="C264" s="35">
        <f t="shared" si="5"/>
        <v>0</v>
      </c>
      <c r="D264" s="30" t="str">
        <f>IFERROR(VLOOKUP(C264,소속부서!$A$2:$B$20,2,FALSE), "")</f>
        <v/>
      </c>
      <c r="G264" s="37"/>
      <c r="H264" s="46"/>
      <c r="L264" s="36" t="str">
        <f>IFERROR(VLOOKUP(I264,보도매체!$A:$C,2,FALSE), "")</f>
        <v/>
      </c>
      <c r="M264" s="38" t="str">
        <f>IFERROR(VLOOKUP(I264,보도매체!$A:$C,3,FALSE), "")</f>
        <v/>
      </c>
      <c r="N264" s="3"/>
    </row>
    <row r="265" spans="1:14" x14ac:dyDescent="0.3">
      <c r="A265" s="1">
        <v>264</v>
      </c>
      <c r="B265" s="35"/>
      <c r="C265" s="35">
        <f t="shared" si="5"/>
        <v>0</v>
      </c>
      <c r="D265" s="30" t="str">
        <f>IFERROR(VLOOKUP(C265,소속부서!$A$2:$B$20,2,FALSE), "")</f>
        <v/>
      </c>
      <c r="G265" s="37"/>
      <c r="H265" s="46"/>
      <c r="L265" s="36" t="str">
        <f>IFERROR(VLOOKUP(I265,보도매체!$A:$C,2,FALSE), "")</f>
        <v/>
      </c>
      <c r="M265" s="38" t="str">
        <f>IFERROR(VLOOKUP(I265,보도매체!$A:$C,3,FALSE), "")</f>
        <v/>
      </c>
      <c r="N265" s="3"/>
    </row>
    <row r="266" spans="1:14" x14ac:dyDescent="0.3">
      <c r="A266" s="1">
        <v>265</v>
      </c>
      <c r="B266" s="35"/>
      <c r="C266" s="35">
        <f t="shared" si="5"/>
        <v>0</v>
      </c>
      <c r="D266" s="30" t="str">
        <f>IFERROR(VLOOKUP(C266,소속부서!$A$2:$B$20,2,FALSE), "")</f>
        <v/>
      </c>
      <c r="G266" s="37"/>
      <c r="H266" s="46"/>
      <c r="L266" s="36" t="str">
        <f>IFERROR(VLOOKUP(I266,보도매체!$A:$C,2,FALSE), "")</f>
        <v/>
      </c>
      <c r="M266" s="38" t="str">
        <f>IFERROR(VLOOKUP(I266,보도매체!$A:$C,3,FALSE), "")</f>
        <v/>
      </c>
      <c r="N266" s="3"/>
    </row>
    <row r="267" spans="1:14" x14ac:dyDescent="0.3">
      <c r="A267" s="1">
        <v>266</v>
      </c>
      <c r="B267" s="35"/>
      <c r="C267" s="35">
        <f t="shared" si="5"/>
        <v>0</v>
      </c>
      <c r="D267" s="30" t="str">
        <f>IFERROR(VLOOKUP(C267,소속부서!$A$2:$B$20,2,FALSE), "")</f>
        <v/>
      </c>
      <c r="F267" s="50"/>
      <c r="G267" s="37"/>
      <c r="H267" s="46"/>
      <c r="L267" s="36" t="str">
        <f>IFERROR(VLOOKUP(I267,보도매체!$A:$C,2,FALSE), "")</f>
        <v/>
      </c>
      <c r="M267" s="38" t="str">
        <f>IFERROR(VLOOKUP(I267,보도매체!$A:$C,3,FALSE), "")</f>
        <v/>
      </c>
      <c r="N267" s="3"/>
    </row>
    <row r="268" spans="1:14" x14ac:dyDescent="0.3">
      <c r="A268" s="1">
        <v>267</v>
      </c>
      <c r="B268" s="35"/>
      <c r="C268" s="35">
        <f t="shared" si="5"/>
        <v>0</v>
      </c>
      <c r="D268" s="30" t="str">
        <f>IFERROR(VLOOKUP(C268,소속부서!$A$2:$B$20,2,FALSE), "")</f>
        <v/>
      </c>
      <c r="F268" s="50"/>
      <c r="G268" s="37"/>
      <c r="H268" s="46"/>
      <c r="L268" s="36" t="str">
        <f>IFERROR(VLOOKUP(I268,보도매체!$A:$C,2,FALSE), "")</f>
        <v/>
      </c>
      <c r="M268" s="38" t="str">
        <f>IFERROR(VLOOKUP(I268,보도매체!$A:$C,3,FALSE), "")</f>
        <v/>
      </c>
      <c r="N268" s="3"/>
    </row>
    <row r="269" spans="1:14" x14ac:dyDescent="0.3">
      <c r="A269" s="1">
        <v>268</v>
      </c>
      <c r="B269" s="35"/>
      <c r="C269" s="35">
        <f t="shared" si="5"/>
        <v>0</v>
      </c>
      <c r="D269" s="30" t="str">
        <f>IFERROR(VLOOKUP(C269,소속부서!$A$2:$B$20,2,FALSE), "")</f>
        <v/>
      </c>
      <c r="F269" s="50"/>
      <c r="G269" s="37"/>
      <c r="H269" s="46"/>
      <c r="L269" s="36" t="str">
        <f>IFERROR(VLOOKUP(I269,보도매체!$A:$C,2,FALSE), "")</f>
        <v/>
      </c>
      <c r="M269" s="38" t="str">
        <f>IFERROR(VLOOKUP(I269,보도매체!$A:$C,3,FALSE), "")</f>
        <v/>
      </c>
      <c r="N269" s="3"/>
    </row>
    <row r="270" spans="1:14" x14ac:dyDescent="0.3">
      <c r="A270" s="1">
        <v>269</v>
      </c>
      <c r="B270" s="35"/>
      <c r="C270" s="35">
        <f t="shared" si="5"/>
        <v>0</v>
      </c>
      <c r="D270" s="30" t="str">
        <f>IFERROR(VLOOKUP(C270,소속부서!$A$2:$B$20,2,FALSE), "")</f>
        <v/>
      </c>
      <c r="G270" s="37"/>
      <c r="H270" s="46"/>
      <c r="L270" s="36" t="str">
        <f>IFERROR(VLOOKUP(I270,보도매체!$A:$C,2,FALSE), "")</f>
        <v/>
      </c>
      <c r="M270" s="38" t="str">
        <f>IFERROR(VLOOKUP(I270,보도매체!$A:$C,3,FALSE), "")</f>
        <v/>
      </c>
      <c r="N270" s="3"/>
    </row>
    <row r="271" spans="1:14" x14ac:dyDescent="0.3">
      <c r="A271" s="1">
        <v>270</v>
      </c>
      <c r="B271" s="35"/>
      <c r="C271" s="35">
        <f t="shared" si="5"/>
        <v>0</v>
      </c>
      <c r="D271" s="30" t="str">
        <f>IFERROR(VLOOKUP(C271,소속부서!$A$2:$B$20,2,FALSE), "")</f>
        <v/>
      </c>
      <c r="G271" s="37"/>
      <c r="H271" s="46"/>
      <c r="L271" s="36" t="str">
        <f>IFERROR(VLOOKUP(I271,보도매체!$A:$C,2,FALSE), "")</f>
        <v/>
      </c>
      <c r="M271" s="38" t="str">
        <f>IFERROR(VLOOKUP(I271,보도매체!$A:$C,3,FALSE), "")</f>
        <v/>
      </c>
      <c r="N271" s="3"/>
    </row>
    <row r="272" spans="1:14" x14ac:dyDescent="0.3">
      <c r="A272" s="1">
        <v>271</v>
      </c>
      <c r="B272" s="35"/>
      <c r="C272" s="35">
        <f t="shared" si="5"/>
        <v>0</v>
      </c>
      <c r="D272" s="30" t="str">
        <f>IFERROR(VLOOKUP(C272,소속부서!$A$2:$B$20,2,FALSE), "")</f>
        <v/>
      </c>
      <c r="F272" s="50"/>
      <c r="G272" s="37"/>
      <c r="H272" s="46"/>
      <c r="L272" s="36" t="str">
        <f>IFERROR(VLOOKUP(I272,보도매체!$A:$C,2,FALSE), "")</f>
        <v/>
      </c>
      <c r="M272" s="38" t="str">
        <f>IFERROR(VLOOKUP(I272,보도매체!$A:$C,3,FALSE), "")</f>
        <v/>
      </c>
      <c r="N272" s="3"/>
    </row>
    <row r="273" spans="1:14" x14ac:dyDescent="0.3">
      <c r="A273" s="1">
        <v>272</v>
      </c>
      <c r="B273" s="35"/>
      <c r="C273" s="35">
        <f t="shared" si="5"/>
        <v>0</v>
      </c>
      <c r="D273" s="30" t="str">
        <f>IFERROR(VLOOKUP(C273,소속부서!$A$2:$B$20,2,FALSE), "")</f>
        <v/>
      </c>
      <c r="F273" s="50"/>
      <c r="G273" s="37"/>
      <c r="H273" s="46"/>
      <c r="L273" s="36" t="str">
        <f>IFERROR(VLOOKUP(I273,보도매체!$A:$C,2,FALSE), "")</f>
        <v/>
      </c>
      <c r="M273" s="38" t="str">
        <f>IFERROR(VLOOKUP(I273,보도매체!$A:$C,3,FALSE), "")</f>
        <v/>
      </c>
      <c r="N273" s="3"/>
    </row>
    <row r="274" spans="1:14" x14ac:dyDescent="0.3">
      <c r="A274" s="1">
        <v>273</v>
      </c>
      <c r="B274" s="35"/>
      <c r="C274" s="35">
        <f t="shared" si="5"/>
        <v>0</v>
      </c>
      <c r="D274" s="30" t="str">
        <f>IFERROR(VLOOKUP(C274,소속부서!$A$2:$B$20,2,FALSE), "")</f>
        <v/>
      </c>
      <c r="F274" s="50"/>
      <c r="G274" s="37"/>
      <c r="H274" s="46"/>
      <c r="L274" s="36" t="str">
        <f>IFERROR(VLOOKUP(I274,보도매체!$A:$C,2,FALSE), "")</f>
        <v/>
      </c>
      <c r="M274" s="38" t="str">
        <f>IFERROR(VLOOKUP(I274,보도매체!$A:$C,3,FALSE), "")</f>
        <v/>
      </c>
      <c r="N274" s="3"/>
    </row>
    <row r="275" spans="1:14" x14ac:dyDescent="0.3">
      <c r="A275" s="1">
        <v>274</v>
      </c>
      <c r="B275" s="35"/>
      <c r="C275" s="35">
        <f t="shared" si="5"/>
        <v>0</v>
      </c>
      <c r="D275" s="30" t="str">
        <f>IFERROR(VLOOKUP(C275,소속부서!$A$2:$B$20,2,FALSE), "")</f>
        <v/>
      </c>
      <c r="G275" s="37"/>
      <c r="H275" s="46"/>
      <c r="L275" s="36" t="str">
        <f>IFERROR(VLOOKUP(I275,보도매체!$A:$C,2,FALSE), "")</f>
        <v/>
      </c>
      <c r="M275" s="38" t="str">
        <f>IFERROR(VLOOKUP(I275,보도매체!$A:$C,3,FALSE), "")</f>
        <v/>
      </c>
      <c r="N275" s="3"/>
    </row>
    <row r="276" spans="1:14" x14ac:dyDescent="0.3">
      <c r="A276" s="1">
        <v>275</v>
      </c>
      <c r="B276" s="35"/>
      <c r="C276" s="35">
        <f t="shared" si="5"/>
        <v>0</v>
      </c>
      <c r="D276" s="30" t="str">
        <f>IFERROR(VLOOKUP(C276,소속부서!$A$2:$B$20,2,FALSE), "")</f>
        <v/>
      </c>
      <c r="G276" s="37"/>
      <c r="H276" s="46"/>
      <c r="K276" s="1"/>
      <c r="L276" s="36" t="str">
        <f>IFERROR(VLOOKUP(I276,보도매체!$A:$C,2,FALSE), "")</f>
        <v/>
      </c>
      <c r="M276" s="38" t="str">
        <f>IFERROR(VLOOKUP(I276,보도매체!$A:$C,3,FALSE), "")</f>
        <v/>
      </c>
      <c r="N276" s="3"/>
    </row>
    <row r="277" spans="1:14" x14ac:dyDescent="0.3">
      <c r="A277" s="1">
        <v>276</v>
      </c>
      <c r="B277" s="35"/>
      <c r="C277" s="35">
        <f t="shared" si="5"/>
        <v>0</v>
      </c>
      <c r="D277" s="30" t="str">
        <f>IFERROR(VLOOKUP(C277,소속부서!$A$2:$B$20,2,FALSE), "")</f>
        <v/>
      </c>
      <c r="G277" s="37"/>
      <c r="H277" s="46"/>
      <c r="L277" s="36" t="str">
        <f>IFERROR(VLOOKUP(I277,보도매체!$A:$C,2,FALSE), "")</f>
        <v/>
      </c>
      <c r="M277" s="38" t="str">
        <f>IFERROR(VLOOKUP(I277,보도매체!$A:$C,3,FALSE), "")</f>
        <v/>
      </c>
      <c r="N277" s="3"/>
    </row>
    <row r="278" spans="1:14" x14ac:dyDescent="0.3">
      <c r="A278" s="1">
        <v>277</v>
      </c>
      <c r="B278" s="35"/>
      <c r="C278" s="35">
        <f t="shared" si="5"/>
        <v>0</v>
      </c>
      <c r="D278" s="30" t="str">
        <f>IFERROR(VLOOKUP(C278,소속부서!$A$2:$B$20,2,FALSE), "")</f>
        <v/>
      </c>
      <c r="G278" s="37"/>
      <c r="H278" s="46"/>
      <c r="L278" s="36" t="str">
        <f>IFERROR(VLOOKUP(I278,보도매체!$A:$C,2,FALSE), "")</f>
        <v/>
      </c>
      <c r="M278" s="38" t="str">
        <f>IFERROR(VLOOKUP(I278,보도매체!$A:$C,3,FALSE), "")</f>
        <v/>
      </c>
      <c r="N278" s="3"/>
    </row>
    <row r="279" spans="1:14" x14ac:dyDescent="0.3">
      <c r="A279" s="1">
        <v>278</v>
      </c>
      <c r="B279" s="35"/>
      <c r="C279" s="35">
        <f t="shared" si="5"/>
        <v>0</v>
      </c>
      <c r="D279" s="30" t="str">
        <f>IFERROR(VLOOKUP(C279,소속부서!$A$2:$B$20,2,FALSE), "")</f>
        <v/>
      </c>
      <c r="G279" s="37"/>
      <c r="H279" s="46"/>
      <c r="L279" s="36" t="str">
        <f>IFERROR(VLOOKUP(I279,보도매체!$A:$C,2,FALSE), "")</f>
        <v/>
      </c>
      <c r="M279" s="38" t="str">
        <f>IFERROR(VLOOKUP(I279,보도매체!$A:$C,3,FALSE), "")</f>
        <v/>
      </c>
      <c r="N279" s="3"/>
    </row>
    <row r="280" spans="1:14" x14ac:dyDescent="0.3">
      <c r="A280" s="1">
        <v>279</v>
      </c>
      <c r="B280" s="35"/>
      <c r="C280" s="35">
        <f t="shared" si="5"/>
        <v>0</v>
      </c>
      <c r="D280" s="30" t="str">
        <f>IFERROR(VLOOKUP(C280,소속부서!$A$2:$B$20,2,FALSE), "")</f>
        <v/>
      </c>
      <c r="G280" s="37"/>
      <c r="H280" s="46"/>
      <c r="L280" s="36" t="str">
        <f>IFERROR(VLOOKUP(I280,보도매체!$A:$C,2,FALSE), "")</f>
        <v/>
      </c>
      <c r="M280" s="38" t="str">
        <f>IFERROR(VLOOKUP(I280,보도매체!$A:$C,3,FALSE), "")</f>
        <v/>
      </c>
      <c r="N280" s="3"/>
    </row>
    <row r="281" spans="1:14" x14ac:dyDescent="0.3">
      <c r="A281" s="1">
        <v>280</v>
      </c>
      <c r="B281" s="35"/>
      <c r="C281" s="35">
        <f t="shared" si="5"/>
        <v>0</v>
      </c>
      <c r="D281" s="30" t="str">
        <f>IFERROR(VLOOKUP(C281,소속부서!$A$2:$B$20,2,FALSE), "")</f>
        <v/>
      </c>
      <c r="G281" s="37"/>
      <c r="H281" s="40"/>
      <c r="L281" s="36" t="str">
        <f>IFERROR(VLOOKUP(I281,보도매체!$A:$C,2,FALSE), "")</f>
        <v/>
      </c>
      <c r="M281" s="38" t="str">
        <f>IFERROR(VLOOKUP(I281,보도매체!$A:$C,3,FALSE), "")</f>
        <v/>
      </c>
      <c r="N281" s="3"/>
    </row>
    <row r="282" spans="1:14" x14ac:dyDescent="0.3">
      <c r="A282" s="1">
        <v>281</v>
      </c>
      <c r="B282" s="35"/>
      <c r="C282" s="35">
        <f t="shared" si="5"/>
        <v>0</v>
      </c>
      <c r="D282" s="30" t="str">
        <f>IFERROR(VLOOKUP(C282,소속부서!$A$2:$B$20,2,FALSE), "")</f>
        <v/>
      </c>
      <c r="G282" s="37"/>
      <c r="H282" s="40"/>
      <c r="L282" s="36" t="str">
        <f>IFERROR(VLOOKUP(I282,보도매체!$A:$C,2,FALSE), "")</f>
        <v/>
      </c>
      <c r="M282" s="38" t="str">
        <f>IFERROR(VLOOKUP(I282,보도매체!$A:$C,3,FALSE), "")</f>
        <v/>
      </c>
      <c r="N282" s="3"/>
    </row>
    <row r="283" spans="1:14" x14ac:dyDescent="0.3">
      <c r="A283" s="1">
        <v>282</v>
      </c>
      <c r="B283" s="35"/>
      <c r="C283" s="35">
        <f t="shared" si="5"/>
        <v>0</v>
      </c>
      <c r="D283" s="30" t="str">
        <f>IFERROR(VLOOKUP(C283,소속부서!$A$2:$B$20,2,FALSE), "")</f>
        <v/>
      </c>
      <c r="G283" s="37"/>
      <c r="H283" s="40"/>
      <c r="L283" s="36" t="str">
        <f>IFERROR(VLOOKUP(I283,보도매체!$A:$C,2,FALSE), "")</f>
        <v/>
      </c>
      <c r="M283" s="38" t="str">
        <f>IFERROR(VLOOKUP(I283,보도매체!$A:$C,3,FALSE), "")</f>
        <v/>
      </c>
      <c r="N283" s="3"/>
    </row>
    <row r="284" spans="1:14" x14ac:dyDescent="0.3">
      <c r="A284" s="1">
        <v>283</v>
      </c>
      <c r="B284" s="35"/>
      <c r="C284" s="35">
        <f t="shared" si="5"/>
        <v>0</v>
      </c>
      <c r="D284" s="30" t="str">
        <f>IFERROR(VLOOKUP(C284,소속부서!$A$2:$B$20,2,FALSE), "")</f>
        <v/>
      </c>
      <c r="G284" s="37"/>
      <c r="H284" s="40"/>
      <c r="I284" s="37"/>
      <c r="K284" s="28"/>
      <c r="L284" s="36" t="str">
        <f>IFERROR(VLOOKUP(I284,보도매체!$A:$C,2,FALSE), "")</f>
        <v/>
      </c>
      <c r="M284" s="38" t="str">
        <f>IFERROR(VLOOKUP(I284,보도매체!$A:$C,3,FALSE), "")</f>
        <v/>
      </c>
      <c r="N284" s="3"/>
    </row>
    <row r="285" spans="1:14" x14ac:dyDescent="0.3">
      <c r="A285" s="1">
        <v>284</v>
      </c>
      <c r="B285" s="35"/>
      <c r="C285" s="35">
        <f t="shared" si="5"/>
        <v>0</v>
      </c>
      <c r="D285" s="30" t="str">
        <f>IFERROR(VLOOKUP(C285,소속부서!$A$2:$B$20,2,FALSE), "")</f>
        <v/>
      </c>
      <c r="F285" s="50"/>
      <c r="G285" s="37"/>
      <c r="H285" s="40"/>
      <c r="L285" s="36" t="str">
        <f>IFERROR(VLOOKUP(I285,보도매체!$A:$C,2,FALSE), "")</f>
        <v/>
      </c>
      <c r="M285" s="38" t="str">
        <f>IFERROR(VLOOKUP(I285,보도매체!$A:$C,3,FALSE), "")</f>
        <v/>
      </c>
      <c r="N285" s="3"/>
    </row>
    <row r="286" spans="1:14" x14ac:dyDescent="0.3">
      <c r="A286" s="1">
        <v>285</v>
      </c>
      <c r="B286" s="35"/>
      <c r="C286" s="35">
        <f t="shared" si="5"/>
        <v>0</v>
      </c>
      <c r="D286" s="30" t="str">
        <f>IFERROR(VLOOKUP(C286,소속부서!$A$2:$B$20,2,FALSE), "")</f>
        <v/>
      </c>
      <c r="G286" s="37"/>
      <c r="H286" s="40"/>
      <c r="L286" s="36" t="str">
        <f>IFERROR(VLOOKUP(I286,보도매체!$A:$C,2,FALSE), "")</f>
        <v/>
      </c>
      <c r="M286" s="38" t="str">
        <f>IFERROR(VLOOKUP(I286,보도매체!$A:$C,3,FALSE), "")</f>
        <v/>
      </c>
      <c r="N286" s="3"/>
    </row>
    <row r="287" spans="1:14" x14ac:dyDescent="0.3">
      <c r="A287" s="1">
        <v>286</v>
      </c>
      <c r="B287" s="35"/>
      <c r="C287" s="35">
        <f t="shared" si="5"/>
        <v>0</v>
      </c>
      <c r="D287" s="30" t="str">
        <f>IFERROR(VLOOKUP(C287,소속부서!$A$2:$B$20,2,FALSE), "")</f>
        <v/>
      </c>
      <c r="E287" s="45"/>
      <c r="G287" s="37"/>
      <c r="H287" s="40"/>
      <c r="L287" s="36" t="str">
        <f>IFERROR(VLOOKUP(I287,보도매체!$A:$C,2,FALSE), "")</f>
        <v/>
      </c>
      <c r="M287" s="38" t="str">
        <f>IFERROR(VLOOKUP(I287,보도매체!$A:$C,3,FALSE), "")</f>
        <v/>
      </c>
      <c r="N287" s="3"/>
    </row>
    <row r="288" spans="1:14" x14ac:dyDescent="0.3">
      <c r="A288" s="1">
        <v>287</v>
      </c>
      <c r="B288" s="35"/>
      <c r="C288" s="35">
        <f t="shared" si="5"/>
        <v>0</v>
      </c>
      <c r="D288" s="30" t="str">
        <f>IFERROR(VLOOKUP(C288,소속부서!$A$2:$B$20,2,FALSE), "")</f>
        <v/>
      </c>
      <c r="G288" s="37"/>
      <c r="H288" s="40"/>
      <c r="J288" s="33"/>
      <c r="L288" s="36" t="str">
        <f>IFERROR(VLOOKUP(I288,보도매체!$A:$C,2,FALSE), "")</f>
        <v/>
      </c>
      <c r="M288" s="38" t="str">
        <f>IFERROR(VLOOKUP(I288,보도매체!$A:$C,3,FALSE), "")</f>
        <v/>
      </c>
      <c r="N288" s="3"/>
    </row>
    <row r="289" spans="1:14" x14ac:dyDescent="0.3">
      <c r="A289" s="1">
        <v>288</v>
      </c>
      <c r="B289" s="35"/>
      <c r="C289" s="35">
        <f t="shared" si="5"/>
        <v>0</v>
      </c>
      <c r="D289" s="30" t="str">
        <f>IFERROR(VLOOKUP(C289,소속부서!$A$2:$B$20,2,FALSE), "")</f>
        <v/>
      </c>
      <c r="G289" s="37"/>
      <c r="H289" s="40"/>
      <c r="L289" s="36" t="str">
        <f>IFERROR(VLOOKUP(I289,보도매체!$A:$C,2,FALSE), "")</f>
        <v/>
      </c>
      <c r="M289" s="38" t="str">
        <f>IFERROR(VLOOKUP(I289,보도매체!$A:$C,3,FALSE), "")</f>
        <v/>
      </c>
      <c r="N289" s="3"/>
    </row>
    <row r="290" spans="1:14" x14ac:dyDescent="0.3">
      <c r="A290" s="1">
        <v>289</v>
      </c>
      <c r="B290" s="35"/>
      <c r="C290" s="35">
        <f t="shared" si="5"/>
        <v>0</v>
      </c>
      <c r="D290" s="30" t="str">
        <f>IFERROR(VLOOKUP(C290,소속부서!$A$2:$B$20,2,FALSE), "")</f>
        <v/>
      </c>
      <c r="F290" s="50"/>
      <c r="G290" s="37"/>
      <c r="H290" s="40"/>
      <c r="J290" s="33"/>
      <c r="K290" s="28"/>
      <c r="L290" s="36" t="str">
        <f>IFERROR(VLOOKUP(I290,보도매체!$A:$C,2,FALSE), "")</f>
        <v/>
      </c>
      <c r="M290" s="38" t="str">
        <f>IFERROR(VLOOKUP(I290,보도매체!$A:$C,3,FALSE), "")</f>
        <v/>
      </c>
      <c r="N290" s="3"/>
    </row>
    <row r="291" spans="1:14" x14ac:dyDescent="0.3">
      <c r="A291" s="1">
        <v>290</v>
      </c>
      <c r="B291" s="35"/>
      <c r="C291" s="35">
        <f t="shared" si="5"/>
        <v>0</v>
      </c>
      <c r="D291" s="30" t="str">
        <f>IFERROR(VLOOKUP(C291,소속부서!$A$2:$B$20,2,FALSE), "")</f>
        <v/>
      </c>
      <c r="G291" s="37"/>
      <c r="H291" s="40"/>
      <c r="J291" s="33"/>
      <c r="L291" s="36" t="str">
        <f>IFERROR(VLOOKUP(I291,보도매체!$A:$C,2,FALSE), "")</f>
        <v/>
      </c>
      <c r="M291" s="38" t="str">
        <f>IFERROR(VLOOKUP(I291,보도매체!$A:$C,3,FALSE), "")</f>
        <v/>
      </c>
      <c r="N291" s="3"/>
    </row>
    <row r="292" spans="1:14" x14ac:dyDescent="0.3">
      <c r="A292" s="1">
        <v>291</v>
      </c>
      <c r="B292" s="35"/>
      <c r="C292" s="35">
        <f t="shared" si="5"/>
        <v>0</v>
      </c>
      <c r="D292" s="30" t="str">
        <f>IFERROR(VLOOKUP(C292,소속부서!$A$2:$B$20,2,FALSE), "")</f>
        <v/>
      </c>
      <c r="G292" s="37"/>
      <c r="H292" s="40"/>
      <c r="L292" s="36" t="str">
        <f>IFERROR(VLOOKUP(I292,보도매체!$A:$C,2,FALSE), "")</f>
        <v/>
      </c>
      <c r="M292" s="38" t="str">
        <f>IFERROR(VLOOKUP(I292,보도매체!$A:$C,3,FALSE), "")</f>
        <v/>
      </c>
      <c r="N292" s="3"/>
    </row>
    <row r="293" spans="1:14" x14ac:dyDescent="0.3">
      <c r="A293" s="1">
        <v>292</v>
      </c>
      <c r="B293" s="35"/>
      <c r="C293" s="35">
        <f t="shared" si="5"/>
        <v>0</v>
      </c>
      <c r="D293" s="30" t="str">
        <f>IFERROR(VLOOKUP(C293,소속부서!$A$2:$B$20,2,FALSE), "")</f>
        <v/>
      </c>
      <c r="G293" s="37"/>
      <c r="H293" s="40"/>
      <c r="L293" s="36" t="str">
        <f>IFERROR(VLOOKUP(I293,보도매체!$A:$C,2,FALSE), "")</f>
        <v/>
      </c>
      <c r="M293" s="38" t="str">
        <f>IFERROR(VLOOKUP(I293,보도매체!$A:$C,3,FALSE), "")</f>
        <v/>
      </c>
      <c r="N293" s="3"/>
    </row>
    <row r="294" spans="1:14" x14ac:dyDescent="0.3">
      <c r="A294" s="1">
        <v>293</v>
      </c>
      <c r="B294" s="35"/>
      <c r="C294" s="35">
        <f t="shared" si="5"/>
        <v>0</v>
      </c>
      <c r="D294" s="30" t="str">
        <f>IFERROR(VLOOKUP(C294,소속부서!$A$2:$B$20,2,FALSE), "")</f>
        <v/>
      </c>
      <c r="G294" s="37"/>
      <c r="H294" s="40"/>
      <c r="L294" s="36" t="str">
        <f>IFERROR(VLOOKUP(I294,보도매체!$A:$C,2,FALSE), "")</f>
        <v/>
      </c>
      <c r="M294" s="38" t="str">
        <f>IFERROR(VLOOKUP(I294,보도매체!$A:$C,3,FALSE), "")</f>
        <v/>
      </c>
      <c r="N294" s="3"/>
    </row>
    <row r="295" spans="1:14" x14ac:dyDescent="0.3">
      <c r="A295" s="1">
        <v>294</v>
      </c>
      <c r="B295" s="35"/>
      <c r="C295" s="35">
        <f t="shared" si="5"/>
        <v>0</v>
      </c>
      <c r="D295" s="30" t="str">
        <f>IFERROR(VLOOKUP(C295,소속부서!$A$2:$B$20,2,FALSE), "")</f>
        <v/>
      </c>
      <c r="G295" s="37"/>
      <c r="H295" s="40"/>
      <c r="L295" s="36" t="str">
        <f>IFERROR(VLOOKUP(I295,보도매체!$A:$C,2,FALSE), "")</f>
        <v/>
      </c>
      <c r="M295" s="38" t="str">
        <f>IFERROR(VLOOKUP(I295,보도매체!$A:$C,3,FALSE), "")</f>
        <v/>
      </c>
      <c r="N295" s="3"/>
    </row>
    <row r="296" spans="1:14" x14ac:dyDescent="0.3">
      <c r="A296" s="1">
        <v>295</v>
      </c>
      <c r="B296" s="35"/>
      <c r="C296" s="35">
        <f t="shared" si="5"/>
        <v>0</v>
      </c>
      <c r="D296" s="30" t="str">
        <f>IFERROR(VLOOKUP(C296,소속부서!$A$2:$B$20,2,FALSE), "")</f>
        <v/>
      </c>
      <c r="G296" s="37"/>
      <c r="H296" s="40"/>
      <c r="L296" s="36" t="str">
        <f>IFERROR(VLOOKUP(I296,보도매체!$A:$C,2,FALSE), "")</f>
        <v/>
      </c>
      <c r="M296" s="38" t="str">
        <f>IFERROR(VLOOKUP(I296,보도매체!$A:$C,3,FALSE), "")</f>
        <v/>
      </c>
      <c r="N296" s="3"/>
    </row>
    <row r="297" spans="1:14" x14ac:dyDescent="0.3">
      <c r="A297" s="1">
        <v>296</v>
      </c>
      <c r="B297" s="35"/>
      <c r="C297" s="35">
        <f t="shared" si="5"/>
        <v>0</v>
      </c>
      <c r="D297" s="30" t="str">
        <f>IFERROR(VLOOKUP(C297,소속부서!$A$2:$B$20,2,FALSE), "")</f>
        <v/>
      </c>
      <c r="G297" s="37"/>
      <c r="H297" s="40"/>
      <c r="L297" s="36" t="str">
        <f>IFERROR(VLOOKUP(I297,보도매체!$A:$C,2,FALSE), "")</f>
        <v/>
      </c>
      <c r="M297" s="38" t="str">
        <f>IFERROR(VLOOKUP(I297,보도매체!$A:$C,3,FALSE), "")</f>
        <v/>
      </c>
      <c r="N297" s="3"/>
    </row>
    <row r="298" spans="1:14" x14ac:dyDescent="0.3">
      <c r="A298" s="1">
        <v>297</v>
      </c>
      <c r="B298" s="35"/>
      <c r="C298" s="35">
        <f t="shared" si="5"/>
        <v>0</v>
      </c>
      <c r="D298" s="30" t="str">
        <f>IFERROR(VLOOKUP(C298,소속부서!$A$2:$B$20,2,FALSE), "")</f>
        <v/>
      </c>
      <c r="G298" s="37"/>
      <c r="H298" s="40"/>
      <c r="L298" s="36" t="str">
        <f>IFERROR(VLOOKUP(I298,보도매체!$A:$C,2,FALSE), "")</f>
        <v/>
      </c>
      <c r="M298" s="38" t="str">
        <f>IFERROR(VLOOKUP(I298,보도매체!$A:$C,3,FALSE), "")</f>
        <v/>
      </c>
      <c r="N298" s="3"/>
    </row>
    <row r="299" spans="1:14" x14ac:dyDescent="0.3">
      <c r="A299" s="1">
        <v>298</v>
      </c>
      <c r="B299" s="35"/>
      <c r="C299" s="35">
        <f t="shared" si="5"/>
        <v>0</v>
      </c>
      <c r="D299" s="30" t="str">
        <f>IFERROR(VLOOKUP(C299,소속부서!$A$2:$B$20,2,FALSE), "")</f>
        <v/>
      </c>
      <c r="F299" s="50"/>
      <c r="G299" s="37"/>
      <c r="H299" s="40"/>
      <c r="L299" s="36" t="str">
        <f>IFERROR(VLOOKUP(I299,보도매체!$A:$C,2,FALSE), "")</f>
        <v/>
      </c>
      <c r="M299" s="38" t="str">
        <f>IFERROR(VLOOKUP(I299,보도매체!$A:$C,3,FALSE), "")</f>
        <v/>
      </c>
      <c r="N299" s="3"/>
    </row>
    <row r="300" spans="1:14" x14ac:dyDescent="0.3">
      <c r="A300" s="1">
        <v>299</v>
      </c>
      <c r="B300" s="35"/>
      <c r="C300" s="35">
        <f t="shared" si="5"/>
        <v>0</v>
      </c>
      <c r="D300" s="30" t="str">
        <f>IFERROR(VLOOKUP(C300,소속부서!$A$2:$B$20,2,FALSE), "")</f>
        <v/>
      </c>
      <c r="G300" s="37"/>
      <c r="H300" s="40"/>
      <c r="L300" s="36" t="str">
        <f>IFERROR(VLOOKUP(I300,보도매체!$A:$C,2,FALSE), "")</f>
        <v/>
      </c>
      <c r="M300" s="38" t="str">
        <f>IFERROR(VLOOKUP(I300,보도매체!$A:$C,3,FALSE), "")</f>
        <v/>
      </c>
      <c r="N300" s="3"/>
    </row>
    <row r="301" spans="1:14" x14ac:dyDescent="0.3">
      <c r="A301" s="1">
        <v>300</v>
      </c>
      <c r="B301" s="35"/>
      <c r="C301" s="35">
        <f t="shared" si="5"/>
        <v>0</v>
      </c>
      <c r="D301" s="30" t="str">
        <f>IFERROR(VLOOKUP(C301,소속부서!$A$2:$B$20,2,FALSE), "")</f>
        <v/>
      </c>
      <c r="E301" s="12"/>
      <c r="F301" s="50"/>
      <c r="G301" s="37"/>
      <c r="H301" s="40"/>
      <c r="J301" s="41"/>
      <c r="L301" s="36" t="str">
        <f>IFERROR(VLOOKUP(I301,보도매체!$A:$C,2,FALSE), "")</f>
        <v/>
      </c>
      <c r="M301" s="38" t="str">
        <f>IFERROR(VLOOKUP(I301,보도매체!$A:$C,3,FALSE), "")</f>
        <v/>
      </c>
      <c r="N301" s="3"/>
    </row>
    <row r="302" spans="1:14" x14ac:dyDescent="0.3">
      <c r="A302" s="1">
        <v>301</v>
      </c>
      <c r="B302" s="35"/>
      <c r="C302" s="35">
        <f t="shared" si="5"/>
        <v>0</v>
      </c>
      <c r="D302" s="30" t="str">
        <f>IFERROR(VLOOKUP(C302,소속부서!$A$2:$B$20,2,FALSE), "")</f>
        <v/>
      </c>
      <c r="G302" s="37"/>
      <c r="H302" s="40"/>
      <c r="J302" s="41"/>
      <c r="L302" s="36" t="str">
        <f>IFERROR(VLOOKUP(I302,보도매체!$A:$C,2,FALSE), "")</f>
        <v/>
      </c>
      <c r="M302" s="38" t="str">
        <f>IFERROR(VLOOKUP(I302,보도매체!$A:$C,3,FALSE), "")</f>
        <v/>
      </c>
      <c r="N302" s="3"/>
    </row>
    <row r="303" spans="1:14" x14ac:dyDescent="0.3">
      <c r="A303" s="1">
        <v>302</v>
      </c>
      <c r="B303" s="35"/>
      <c r="C303" s="35">
        <f t="shared" si="5"/>
        <v>0</v>
      </c>
      <c r="D303" s="30" t="str">
        <f>IFERROR(VLOOKUP(C303,소속부서!$A$2:$B$20,2,FALSE), "")</f>
        <v/>
      </c>
      <c r="G303" s="37"/>
      <c r="H303" s="40"/>
      <c r="I303" s="37"/>
      <c r="K303" s="28"/>
      <c r="L303" s="36" t="str">
        <f>IFERROR(VLOOKUP(I303,보도매체!$A:$C,2,FALSE), "")</f>
        <v/>
      </c>
      <c r="M303" s="38" t="str">
        <f>IFERROR(VLOOKUP(I303,보도매체!$A:$C,3,FALSE), "")</f>
        <v/>
      </c>
      <c r="N303" s="3"/>
    </row>
    <row r="304" spans="1:14" x14ac:dyDescent="0.3">
      <c r="A304" s="1">
        <v>303</v>
      </c>
      <c r="B304" s="35"/>
      <c r="C304" s="35">
        <f t="shared" si="5"/>
        <v>0</v>
      </c>
      <c r="D304" s="30" t="str">
        <f>IFERROR(VLOOKUP(C304,소속부서!$A$2:$B$20,2,FALSE), "")</f>
        <v/>
      </c>
      <c r="E304" s="12"/>
      <c r="G304" s="37"/>
      <c r="H304" s="40"/>
      <c r="I304" s="37"/>
      <c r="L304" s="36" t="str">
        <f>IFERROR(VLOOKUP(I304,보도매체!$A:$C,2,FALSE), "")</f>
        <v/>
      </c>
      <c r="M304" s="38" t="str">
        <f>IFERROR(VLOOKUP(I304,보도매체!$A:$C,3,FALSE), "")</f>
        <v/>
      </c>
      <c r="N304" s="3"/>
    </row>
    <row r="305" spans="1:14" x14ac:dyDescent="0.3">
      <c r="A305" s="1">
        <v>304</v>
      </c>
      <c r="B305" s="35"/>
      <c r="C305" s="35">
        <f t="shared" si="5"/>
        <v>0</v>
      </c>
      <c r="D305" s="30" t="str">
        <f>IFERROR(VLOOKUP(C305,소속부서!$A$2:$B$20,2,FALSE), "")</f>
        <v/>
      </c>
      <c r="E305" s="30"/>
      <c r="G305" s="37"/>
      <c r="H305" s="40"/>
      <c r="L305" s="36" t="str">
        <f>IFERROR(VLOOKUP(I305,보도매체!$A:$C,2,FALSE), "")</f>
        <v/>
      </c>
      <c r="M305" s="38" t="str">
        <f>IFERROR(VLOOKUP(I305,보도매체!$A:$C,3,FALSE), "")</f>
        <v/>
      </c>
      <c r="N305" s="3"/>
    </row>
    <row r="306" spans="1:14" x14ac:dyDescent="0.3">
      <c r="A306" s="1">
        <v>305</v>
      </c>
      <c r="B306" s="35"/>
      <c r="C306" s="35">
        <f t="shared" si="5"/>
        <v>0</v>
      </c>
      <c r="D306" s="30" t="str">
        <f>IFERROR(VLOOKUP(C306,소속부서!$A$2:$B$20,2,FALSE), "")</f>
        <v/>
      </c>
      <c r="E306" s="35"/>
      <c r="F306" s="39"/>
      <c r="G306" s="37"/>
      <c r="H306" s="40"/>
      <c r="L306" s="36" t="str">
        <f>IFERROR(VLOOKUP(I306,보도매체!$A:$C,2,FALSE), "")</f>
        <v/>
      </c>
      <c r="M306" s="38" t="str">
        <f>IFERROR(VLOOKUP(I306,보도매체!$A:$C,3,FALSE), "")</f>
        <v/>
      </c>
      <c r="N306" s="3"/>
    </row>
    <row r="307" spans="1:14" x14ac:dyDescent="0.3">
      <c r="A307" s="1">
        <v>306</v>
      </c>
      <c r="B307" s="35"/>
      <c r="C307" s="35">
        <f t="shared" si="5"/>
        <v>0</v>
      </c>
      <c r="D307" s="30" t="str">
        <f>IFERROR(VLOOKUP(C307,소속부서!$A$2:$B$20,2,FALSE), "")</f>
        <v/>
      </c>
      <c r="G307" s="37"/>
      <c r="H307" s="40"/>
      <c r="L307" s="36" t="str">
        <f>IFERROR(VLOOKUP(I307,보도매체!$A:$C,2,FALSE), "")</f>
        <v/>
      </c>
      <c r="M307" s="38" t="str">
        <f>IFERROR(VLOOKUP(I307,보도매체!$A:$C,3,FALSE), "")</f>
        <v/>
      </c>
      <c r="N307" s="3"/>
    </row>
    <row r="308" spans="1:14" x14ac:dyDescent="0.3">
      <c r="A308" s="1">
        <v>307</v>
      </c>
      <c r="B308" s="35"/>
      <c r="C308" s="35">
        <f t="shared" si="5"/>
        <v>0</v>
      </c>
      <c r="D308" s="30" t="str">
        <f>IFERROR(VLOOKUP(C308,소속부서!$A$2:$B$20,2,FALSE), "")</f>
        <v/>
      </c>
      <c r="G308" s="37"/>
      <c r="H308" s="40"/>
      <c r="I308" s="37"/>
      <c r="J308" s="33"/>
      <c r="K308" s="28"/>
      <c r="L308" s="36" t="str">
        <f>IFERROR(VLOOKUP(I308,보도매체!$A:$C,2,FALSE), "")</f>
        <v/>
      </c>
      <c r="M308" s="38" t="str">
        <f>IFERROR(VLOOKUP(I308,보도매체!$A:$C,3,FALSE), "")</f>
        <v/>
      </c>
      <c r="N308" s="3"/>
    </row>
    <row r="309" spans="1:14" x14ac:dyDescent="0.3">
      <c r="A309" s="1">
        <v>308</v>
      </c>
      <c r="B309" s="35"/>
      <c r="C309" s="35">
        <f t="shared" si="5"/>
        <v>0</v>
      </c>
      <c r="D309" s="30" t="str">
        <f>IFERROR(VLOOKUP(C309,소속부서!$A$2:$B$20,2,FALSE), "")</f>
        <v/>
      </c>
      <c r="G309" s="37"/>
      <c r="H309" s="40"/>
      <c r="L309" s="36" t="str">
        <f>IFERROR(VLOOKUP(I309,보도매체!$A:$C,2,FALSE), "")</f>
        <v/>
      </c>
      <c r="M309" s="38" t="str">
        <f>IFERROR(VLOOKUP(I309,보도매체!$A:$C,3,FALSE), "")</f>
        <v/>
      </c>
      <c r="N309" s="3"/>
    </row>
    <row r="310" spans="1:14" x14ac:dyDescent="0.3">
      <c r="A310" s="1">
        <v>309</v>
      </c>
      <c r="B310" s="35"/>
      <c r="C310" s="35">
        <f t="shared" si="5"/>
        <v>0</v>
      </c>
      <c r="D310" s="30" t="str">
        <f>IFERROR(VLOOKUP(C310,소속부서!$A$2:$B$20,2,FALSE), "")</f>
        <v/>
      </c>
      <c r="G310" s="37"/>
      <c r="H310" s="40"/>
      <c r="L310" s="36" t="str">
        <f>IFERROR(VLOOKUP(I310,보도매체!$A:$C,2,FALSE), "")</f>
        <v/>
      </c>
      <c r="M310" s="38" t="str">
        <f>IFERROR(VLOOKUP(I310,보도매체!$A:$C,3,FALSE), "")</f>
        <v/>
      </c>
      <c r="N310" s="3"/>
    </row>
    <row r="311" spans="1:14" x14ac:dyDescent="0.3">
      <c r="A311" s="1">
        <v>310</v>
      </c>
      <c r="B311" s="35"/>
      <c r="C311" s="35">
        <f t="shared" si="5"/>
        <v>0</v>
      </c>
      <c r="D311" s="30" t="str">
        <f>IFERROR(VLOOKUP(C311,소속부서!$A$2:$B$20,2,FALSE), "")</f>
        <v/>
      </c>
      <c r="G311" s="37"/>
      <c r="H311" s="40"/>
      <c r="L311" s="36" t="str">
        <f>IFERROR(VLOOKUP(I311,보도매체!$A:$C,2,FALSE), "")</f>
        <v/>
      </c>
      <c r="M311" s="38" t="str">
        <f>IFERROR(VLOOKUP(I311,보도매체!$A:$C,3,FALSE), "")</f>
        <v/>
      </c>
      <c r="N311" s="3"/>
    </row>
    <row r="312" spans="1:14" x14ac:dyDescent="0.3">
      <c r="A312" s="1">
        <v>311</v>
      </c>
      <c r="B312" s="35"/>
      <c r="C312" s="35">
        <f t="shared" si="5"/>
        <v>0</v>
      </c>
      <c r="D312" s="30" t="str">
        <f>IFERROR(VLOOKUP(C312,소속부서!$A$2:$B$20,2,FALSE), "")</f>
        <v/>
      </c>
      <c r="E312" s="12"/>
      <c r="F312" s="37"/>
      <c r="G312" s="37"/>
      <c r="H312" s="40"/>
      <c r="K312" s="28"/>
      <c r="L312" s="36" t="str">
        <f>IFERROR(VLOOKUP(I312,보도매체!$A:$C,2,FALSE), "")</f>
        <v/>
      </c>
      <c r="M312" s="38" t="str">
        <f>IFERROR(VLOOKUP(I312,보도매체!$A:$C,3,FALSE), "")</f>
        <v/>
      </c>
      <c r="N312" s="3"/>
    </row>
    <row r="313" spans="1:14" x14ac:dyDescent="0.3">
      <c r="A313" s="1">
        <v>312</v>
      </c>
      <c r="B313" s="35"/>
      <c r="C313" s="35">
        <f t="shared" si="5"/>
        <v>0</v>
      </c>
      <c r="D313" s="30" t="str">
        <f>IFERROR(VLOOKUP(C313,소속부서!$A$2:$B$20,2,FALSE), "")</f>
        <v/>
      </c>
      <c r="G313" s="37"/>
      <c r="H313" s="40"/>
      <c r="L313" s="36" t="str">
        <f>IFERROR(VLOOKUP(I313,보도매체!$A:$C,2,FALSE), "")</f>
        <v/>
      </c>
      <c r="M313" s="38" t="str">
        <f>IFERROR(VLOOKUP(I313,보도매체!$A:$C,3,FALSE), "")</f>
        <v/>
      </c>
      <c r="N313" s="3"/>
    </row>
    <row r="314" spans="1:14" x14ac:dyDescent="0.3">
      <c r="A314" s="1">
        <v>313</v>
      </c>
      <c r="B314" s="35"/>
      <c r="C314" s="35">
        <f t="shared" si="5"/>
        <v>0</v>
      </c>
      <c r="D314" s="30" t="str">
        <f>IFERROR(VLOOKUP(C314,소속부서!$A$2:$B$20,2,FALSE), "")</f>
        <v/>
      </c>
      <c r="E314" s="45"/>
      <c r="G314" s="37"/>
      <c r="H314" s="40"/>
      <c r="L314" s="36" t="str">
        <f>IFERROR(VLOOKUP(I314,보도매체!$A:$C,2,FALSE), "")</f>
        <v/>
      </c>
      <c r="M314" s="38" t="str">
        <f>IFERROR(VLOOKUP(I314,보도매체!$A:$C,3,FALSE), "")</f>
        <v/>
      </c>
      <c r="N314" s="3"/>
    </row>
    <row r="315" spans="1:14" x14ac:dyDescent="0.3">
      <c r="A315" s="1">
        <v>314</v>
      </c>
      <c r="B315" s="35"/>
      <c r="C315" s="35">
        <f t="shared" si="5"/>
        <v>0</v>
      </c>
      <c r="D315" s="30" t="str">
        <f>IFERROR(VLOOKUP(C315,소속부서!$A$2:$B$20,2,FALSE), "")</f>
        <v/>
      </c>
      <c r="G315" s="37"/>
      <c r="H315" s="40"/>
      <c r="L315" s="36" t="str">
        <f>IFERROR(VLOOKUP(I315,보도매체!$A:$C,2,FALSE), "")</f>
        <v/>
      </c>
      <c r="M315" s="38" t="str">
        <f>IFERROR(VLOOKUP(I315,보도매체!$A:$C,3,FALSE), "")</f>
        <v/>
      </c>
      <c r="N315" s="3"/>
    </row>
    <row r="316" spans="1:14" x14ac:dyDescent="0.3">
      <c r="A316" s="1">
        <v>315</v>
      </c>
      <c r="B316" s="35"/>
      <c r="C316" s="35">
        <f t="shared" si="5"/>
        <v>0</v>
      </c>
      <c r="D316" s="30" t="str">
        <f>IFERROR(VLOOKUP(C316,소속부서!$A$2:$B$20,2,FALSE), "")</f>
        <v/>
      </c>
      <c r="G316" s="37"/>
      <c r="H316" s="40"/>
      <c r="L316" s="36" t="str">
        <f>IFERROR(VLOOKUP(I316,보도매체!$A:$C,2,FALSE), "")</f>
        <v/>
      </c>
      <c r="M316" s="38" t="str">
        <f>IFERROR(VLOOKUP(I316,보도매체!$A:$C,3,FALSE), "")</f>
        <v/>
      </c>
      <c r="N316" s="3"/>
    </row>
    <row r="317" spans="1:14" x14ac:dyDescent="0.3">
      <c r="A317" s="1">
        <v>316</v>
      </c>
      <c r="B317" s="35"/>
      <c r="C317" s="35">
        <f t="shared" si="5"/>
        <v>0</v>
      </c>
      <c r="D317" s="30" t="str">
        <f>IFERROR(VLOOKUP(C317,소속부서!$A$2:$B$20,2,FALSE), "")</f>
        <v/>
      </c>
      <c r="E317" s="12"/>
      <c r="G317" s="37"/>
      <c r="H317" s="40"/>
      <c r="L317" s="36" t="str">
        <f>IFERROR(VLOOKUP(I317,보도매체!$A:$C,2,FALSE), "")</f>
        <v/>
      </c>
      <c r="M317" s="38" t="str">
        <f>IFERROR(VLOOKUP(I317,보도매체!$A:$C,3,FALSE), "")</f>
        <v/>
      </c>
      <c r="N317" s="3"/>
    </row>
    <row r="318" spans="1:14" x14ac:dyDescent="0.3">
      <c r="A318" s="1">
        <v>317</v>
      </c>
      <c r="B318" s="35"/>
      <c r="C318" s="35">
        <f t="shared" si="5"/>
        <v>0</v>
      </c>
      <c r="D318" s="30" t="str">
        <f>IFERROR(VLOOKUP(C318,소속부서!$A$2:$B$20,2,FALSE), "")</f>
        <v/>
      </c>
      <c r="E318" s="45"/>
      <c r="G318" s="37"/>
      <c r="H318" s="40"/>
      <c r="L318" s="36" t="str">
        <f>IFERROR(VLOOKUP(I318,보도매체!$A:$C,2,FALSE), "")</f>
        <v/>
      </c>
      <c r="M318" s="38" t="str">
        <f>IFERROR(VLOOKUP(I318,보도매체!$A:$C,3,FALSE), "")</f>
        <v/>
      </c>
      <c r="N318" s="3"/>
    </row>
    <row r="319" spans="1:14" x14ac:dyDescent="0.3">
      <c r="A319" s="1">
        <v>318</v>
      </c>
      <c r="B319" s="35"/>
      <c r="C319" s="35">
        <f t="shared" si="5"/>
        <v>0</v>
      </c>
      <c r="D319" s="30" t="str">
        <f>IFERROR(VLOOKUP(C319,소속부서!$A$2:$B$20,2,FALSE), "")</f>
        <v/>
      </c>
      <c r="E319" s="12"/>
      <c r="F319" s="37"/>
      <c r="G319" s="44"/>
      <c r="H319" s="56"/>
      <c r="I319" s="55"/>
      <c r="J319" s="33"/>
      <c r="K319" s="57"/>
      <c r="L319" s="36" t="str">
        <f>IFERROR(VLOOKUP(I319,보도매체!$A:$C,2,FALSE), "")</f>
        <v/>
      </c>
      <c r="M319" s="38" t="str">
        <f>IFERROR(VLOOKUP(I319,보도매체!$A:$C,3,FALSE), "")</f>
        <v/>
      </c>
      <c r="N319" s="33"/>
    </row>
    <row r="320" spans="1:14" x14ac:dyDescent="0.3">
      <c r="A320" s="1">
        <v>319</v>
      </c>
      <c r="B320" s="35"/>
      <c r="C320" s="35">
        <f t="shared" si="5"/>
        <v>0</v>
      </c>
      <c r="D320" s="30" t="str">
        <f>IFERROR(VLOOKUP(C320,소속부서!$A$2:$B$20,2,FALSE), "")</f>
        <v/>
      </c>
      <c r="G320" s="37"/>
      <c r="H320" s="58"/>
      <c r="I320" s="55"/>
      <c r="J320" s="33"/>
      <c r="K320" s="55"/>
      <c r="L320" s="36" t="str">
        <f>IFERROR(VLOOKUP(I320,보도매체!$A:$C,2,FALSE), "")</f>
        <v/>
      </c>
      <c r="M320" s="38" t="str">
        <f>IFERROR(VLOOKUP(I320,보도매체!$A:$C,3,FALSE), "")</f>
        <v/>
      </c>
      <c r="N320" s="33"/>
    </row>
    <row r="321" spans="1:14" x14ac:dyDescent="0.3">
      <c r="A321" s="1">
        <v>320</v>
      </c>
      <c r="B321" s="35"/>
      <c r="C321" s="35">
        <f t="shared" si="5"/>
        <v>0</v>
      </c>
      <c r="D321" s="30" t="str">
        <f>IFERROR(VLOOKUP(C321,소속부서!$A$2:$B$20,2,FALSE), "")</f>
        <v/>
      </c>
      <c r="E321" s="12"/>
      <c r="G321" s="37"/>
      <c r="H321" s="59"/>
      <c r="I321" s="55"/>
      <c r="J321" s="33"/>
      <c r="K321" s="60"/>
      <c r="L321" s="36" t="str">
        <f>IFERROR(VLOOKUP(I321,보도매체!$A:$C,2,FALSE), "")</f>
        <v/>
      </c>
      <c r="M321" s="38" t="str">
        <f>IFERROR(VLOOKUP(I321,보도매체!$A:$C,3,FALSE), "")</f>
        <v/>
      </c>
      <c r="N321" s="33"/>
    </row>
    <row r="322" spans="1:14" x14ac:dyDescent="0.3">
      <c r="A322" s="1">
        <v>321</v>
      </c>
      <c r="B322" s="35"/>
      <c r="C322" s="35">
        <f t="shared" si="5"/>
        <v>0</v>
      </c>
      <c r="D322" s="30" t="str">
        <f>IFERROR(VLOOKUP(C322,소속부서!$A$2:$B$20,2,FALSE), "")</f>
        <v/>
      </c>
      <c r="G322" s="44"/>
      <c r="H322" s="54"/>
      <c r="I322" s="55"/>
      <c r="J322" s="33"/>
      <c r="K322" s="55"/>
      <c r="L322" s="36" t="str">
        <f>IFERROR(VLOOKUP(I322,보도매체!$A:$C,2,FALSE), "")</f>
        <v/>
      </c>
      <c r="M322" s="38" t="str">
        <f>IFERROR(VLOOKUP(I322,보도매체!$A:$C,3,FALSE), "")</f>
        <v/>
      </c>
      <c r="N322" s="33"/>
    </row>
    <row r="323" spans="1:14" x14ac:dyDescent="0.3">
      <c r="A323" s="1">
        <v>322</v>
      </c>
      <c r="B323" s="35"/>
      <c r="C323" s="35">
        <f t="shared" si="5"/>
        <v>0</v>
      </c>
      <c r="D323" s="30" t="str">
        <f>IFERROR(VLOOKUP(C323,소속부서!$A$2:$B$20,2,FALSE), "")</f>
        <v/>
      </c>
      <c r="G323" s="37"/>
      <c r="H323" s="54"/>
      <c r="I323" s="55"/>
      <c r="J323" s="33"/>
      <c r="K323" s="44"/>
      <c r="L323" s="36" t="str">
        <f>IFERROR(VLOOKUP(I323,보도매체!$A:$C,2,FALSE), "")</f>
        <v/>
      </c>
      <c r="M323" s="38" t="str">
        <f>IFERROR(VLOOKUP(I323,보도매체!$A:$C,3,FALSE), "")</f>
        <v/>
      </c>
      <c r="N323" s="33"/>
    </row>
    <row r="324" spans="1:14" x14ac:dyDescent="0.3">
      <c r="A324" s="1">
        <v>323</v>
      </c>
      <c r="B324" s="35"/>
      <c r="C324" s="35">
        <f t="shared" ref="C324:C387" si="6">E324</f>
        <v>0</v>
      </c>
      <c r="D324" s="30" t="str">
        <f>IFERROR(VLOOKUP(C324,소속부서!$A$2:$B$20,2,FALSE), "")</f>
        <v/>
      </c>
      <c r="G324" s="44"/>
      <c r="H324" s="58"/>
      <c r="I324" s="55"/>
      <c r="J324" s="33"/>
      <c r="K324" s="55"/>
      <c r="L324" s="36" t="str">
        <f>IFERROR(VLOOKUP(I324,보도매체!$A:$C,2,FALSE), "")</f>
        <v/>
      </c>
      <c r="M324" s="38" t="str">
        <f>IFERROR(VLOOKUP(I324,보도매체!$A:$C,3,FALSE), "")</f>
        <v/>
      </c>
      <c r="N324" s="33"/>
    </row>
    <row r="325" spans="1:14" x14ac:dyDescent="0.3">
      <c r="A325" s="1">
        <v>324</v>
      </c>
      <c r="B325" s="35"/>
      <c r="C325" s="35">
        <f t="shared" si="6"/>
        <v>0</v>
      </c>
      <c r="D325" s="30" t="str">
        <f>IFERROR(VLOOKUP(C325,소속부서!$A$2:$B$20,2,FALSE), "")</f>
        <v/>
      </c>
      <c r="G325" s="44"/>
      <c r="H325" s="58"/>
      <c r="I325" s="55"/>
      <c r="J325" s="33"/>
      <c r="K325" s="55"/>
      <c r="L325" s="36" t="str">
        <f>IFERROR(VLOOKUP(I325,보도매체!$A:$C,2,FALSE), "")</f>
        <v/>
      </c>
      <c r="M325" s="38" t="str">
        <f>IFERROR(VLOOKUP(I325,보도매체!$A:$C,3,FALSE), "")</f>
        <v/>
      </c>
      <c r="N325" s="33"/>
    </row>
    <row r="326" spans="1:14" x14ac:dyDescent="0.3">
      <c r="A326" s="1">
        <v>325</v>
      </c>
      <c r="B326" s="35"/>
      <c r="C326" s="35">
        <f t="shared" si="6"/>
        <v>0</v>
      </c>
      <c r="D326" s="30" t="str">
        <f>IFERROR(VLOOKUP(C326,소속부서!$A$2:$B$20,2,FALSE), "")</f>
        <v/>
      </c>
      <c r="E326" s="12"/>
      <c r="G326" s="37"/>
      <c r="H326" s="58"/>
      <c r="I326" s="55"/>
      <c r="J326" s="33"/>
      <c r="K326" s="37"/>
      <c r="L326" s="36" t="str">
        <f>IFERROR(VLOOKUP(I326,보도매체!$A:$C,2,FALSE), "")</f>
        <v/>
      </c>
      <c r="M326" s="38" t="str">
        <f>IFERROR(VLOOKUP(I326,보도매체!$A:$C,3,FALSE), "")</f>
        <v/>
      </c>
      <c r="N326" s="33"/>
    </row>
    <row r="327" spans="1:14" x14ac:dyDescent="0.3">
      <c r="A327" s="1">
        <v>326</v>
      </c>
      <c r="B327" s="35"/>
      <c r="C327" s="35">
        <f t="shared" si="6"/>
        <v>0</v>
      </c>
      <c r="D327" s="30" t="str">
        <f>IFERROR(VLOOKUP(C327,소속부서!$A$2:$B$20,2,FALSE), "")</f>
        <v/>
      </c>
      <c r="E327" s="35"/>
      <c r="F327" s="37"/>
      <c r="G327" s="37"/>
      <c r="H327" s="42"/>
      <c r="I327" s="55"/>
      <c r="J327" s="33"/>
      <c r="K327" s="61"/>
      <c r="L327" s="36" t="str">
        <f>IFERROR(VLOOKUP(I327,보도매체!$A:$C,2,FALSE), "")</f>
        <v/>
      </c>
      <c r="M327" s="38" t="str">
        <f>IFERROR(VLOOKUP(I327,보도매체!$A:$C,3,FALSE), "")</f>
        <v/>
      </c>
      <c r="N327" s="33"/>
    </row>
    <row r="328" spans="1:14" x14ac:dyDescent="0.3">
      <c r="A328" s="1">
        <v>327</v>
      </c>
      <c r="B328" s="35"/>
      <c r="C328" s="35">
        <f t="shared" si="6"/>
        <v>0</v>
      </c>
      <c r="D328" s="30" t="str">
        <f>IFERROR(VLOOKUP(C328,소속부서!$A$2:$B$20,2,FALSE), "")</f>
        <v/>
      </c>
      <c r="E328" s="52"/>
      <c r="F328" s="39"/>
      <c r="G328" s="37"/>
      <c r="H328" s="46"/>
      <c r="I328" s="37"/>
      <c r="J328" s="33"/>
      <c r="K328" s="28"/>
      <c r="L328" s="36" t="str">
        <f>IFERROR(VLOOKUP(I328,보도매체!$A:$C,2,FALSE), "")</f>
        <v/>
      </c>
      <c r="M328" s="38" t="str">
        <f>IFERROR(VLOOKUP(I328,보도매체!$A:$C,3,FALSE), "")</f>
        <v/>
      </c>
      <c r="N328" s="3"/>
    </row>
    <row r="329" spans="1:14" x14ac:dyDescent="0.3">
      <c r="A329" s="1">
        <v>328</v>
      </c>
      <c r="B329" s="35"/>
      <c r="C329" s="35">
        <f t="shared" si="6"/>
        <v>0</v>
      </c>
      <c r="D329" s="30" t="str">
        <f>IFERROR(VLOOKUP(C329,소속부서!$A$2:$B$20,2,FALSE), "")</f>
        <v/>
      </c>
      <c r="E329" s="52"/>
      <c r="F329" s="39"/>
      <c r="G329" s="37"/>
      <c r="H329" s="46"/>
      <c r="L329" s="36" t="str">
        <f>IFERROR(VLOOKUP(I329,보도매체!$A:$C,2,FALSE), "")</f>
        <v/>
      </c>
      <c r="M329" s="38" t="str">
        <f>IFERROR(VLOOKUP(I329,보도매체!$A:$C,3,FALSE), "")</f>
        <v/>
      </c>
      <c r="N329" s="3"/>
    </row>
    <row r="330" spans="1:14" x14ac:dyDescent="0.3">
      <c r="A330" s="1">
        <v>329</v>
      </c>
      <c r="B330" s="35"/>
      <c r="C330" s="35">
        <f t="shared" si="6"/>
        <v>0</v>
      </c>
      <c r="D330" s="30" t="str">
        <f>IFERROR(VLOOKUP(C330,소속부서!$A$2:$B$20,2,FALSE), "")</f>
        <v/>
      </c>
      <c r="E330" s="12"/>
      <c r="G330" s="37"/>
      <c r="H330" s="46"/>
      <c r="L330" s="36" t="str">
        <f>IFERROR(VLOOKUP(I330,보도매체!$A:$C,2,FALSE), "")</f>
        <v/>
      </c>
      <c r="M330" s="38" t="str">
        <f>IFERROR(VLOOKUP(I330,보도매체!$A:$C,3,FALSE), "")</f>
        <v/>
      </c>
      <c r="N330" s="3"/>
    </row>
    <row r="331" spans="1:14" x14ac:dyDescent="0.3">
      <c r="A331" s="1">
        <v>330</v>
      </c>
      <c r="B331" s="35"/>
      <c r="C331" s="35">
        <f t="shared" si="6"/>
        <v>0</v>
      </c>
      <c r="D331" s="30" t="str">
        <f>IFERROR(VLOOKUP(C331,소속부서!$A$2:$B$20,2,FALSE), "")</f>
        <v/>
      </c>
      <c r="E331" s="52"/>
      <c r="F331" s="39"/>
      <c r="G331" s="37"/>
      <c r="H331" s="46"/>
      <c r="L331" s="36" t="str">
        <f>IFERROR(VLOOKUP(I331,보도매체!$A:$C,2,FALSE), "")</f>
        <v/>
      </c>
      <c r="M331" s="38" t="str">
        <f>IFERROR(VLOOKUP(I331,보도매체!$A:$C,3,FALSE), "")</f>
        <v/>
      </c>
      <c r="N331" s="3"/>
    </row>
    <row r="332" spans="1:14" x14ac:dyDescent="0.3">
      <c r="A332" s="1">
        <v>331</v>
      </c>
      <c r="B332" s="35"/>
      <c r="C332" s="35">
        <f t="shared" si="6"/>
        <v>0</v>
      </c>
      <c r="D332" s="30" t="str">
        <f>IFERROR(VLOOKUP(C332,소속부서!$A$2:$B$20,2,FALSE), "")</f>
        <v/>
      </c>
      <c r="G332" s="37"/>
      <c r="H332" s="46"/>
      <c r="L332" s="36" t="str">
        <f>IFERROR(VLOOKUP(I332,보도매체!$A:$C,2,FALSE), "")</f>
        <v/>
      </c>
      <c r="M332" s="38" t="str">
        <f>IFERROR(VLOOKUP(I332,보도매체!$A:$C,3,FALSE), "")</f>
        <v/>
      </c>
      <c r="N332" s="3"/>
    </row>
    <row r="333" spans="1:14" x14ac:dyDescent="0.3">
      <c r="A333" s="1">
        <v>332</v>
      </c>
      <c r="B333" s="35"/>
      <c r="C333" s="35">
        <f t="shared" si="6"/>
        <v>0</v>
      </c>
      <c r="D333" s="30" t="str">
        <f>IFERROR(VLOOKUP(C333,소속부서!$A$2:$B$20,2,FALSE), "")</f>
        <v/>
      </c>
      <c r="G333" s="37"/>
      <c r="H333" s="46"/>
      <c r="L333" s="36" t="str">
        <f>IFERROR(VLOOKUP(I333,보도매체!$A:$C,2,FALSE), "")</f>
        <v/>
      </c>
      <c r="M333" s="38" t="str">
        <f>IFERROR(VLOOKUP(I333,보도매체!$A:$C,3,FALSE), "")</f>
        <v/>
      </c>
      <c r="N333" s="3"/>
    </row>
    <row r="334" spans="1:14" x14ac:dyDescent="0.3">
      <c r="A334" s="1">
        <v>333</v>
      </c>
      <c r="B334" s="35"/>
      <c r="C334" s="35">
        <f t="shared" si="6"/>
        <v>0</v>
      </c>
      <c r="D334" s="30" t="str">
        <f>IFERROR(VLOOKUP(C334,소속부서!$A$2:$B$20,2,FALSE), "")</f>
        <v/>
      </c>
      <c r="F334" s="50"/>
      <c r="G334" s="37"/>
      <c r="H334" s="46"/>
      <c r="L334" s="36" t="str">
        <f>IFERROR(VLOOKUP(I334,보도매체!$A:$C,2,FALSE), "")</f>
        <v/>
      </c>
      <c r="M334" s="38" t="str">
        <f>IFERROR(VLOOKUP(I334,보도매체!$A:$C,3,FALSE), "")</f>
        <v/>
      </c>
      <c r="N334" s="3"/>
    </row>
    <row r="335" spans="1:14" x14ac:dyDescent="0.3">
      <c r="A335" s="1">
        <v>334</v>
      </c>
      <c r="B335" s="35"/>
      <c r="C335" s="35">
        <f t="shared" si="6"/>
        <v>0</v>
      </c>
      <c r="D335" s="30" t="str">
        <f>IFERROR(VLOOKUP(C335,소속부서!$A$2:$B$20,2,FALSE), "")</f>
        <v/>
      </c>
      <c r="G335" s="37"/>
      <c r="H335" s="40"/>
      <c r="L335" s="36" t="str">
        <f>IFERROR(VLOOKUP(I335,보도매체!$A:$C,2,FALSE), "")</f>
        <v/>
      </c>
      <c r="M335" s="38" t="str">
        <f>IFERROR(VLOOKUP(I335,보도매체!$A:$C,3,FALSE), "")</f>
        <v/>
      </c>
      <c r="N335" s="3"/>
    </row>
    <row r="336" spans="1:14" x14ac:dyDescent="0.3">
      <c r="A336" s="1">
        <v>335</v>
      </c>
      <c r="B336" s="35"/>
      <c r="C336" s="35">
        <f t="shared" si="6"/>
        <v>0</v>
      </c>
      <c r="D336" s="30" t="str">
        <f>IFERROR(VLOOKUP(C336,소속부서!$A$2:$B$20,2,FALSE), "")</f>
        <v/>
      </c>
      <c r="E336" s="52"/>
      <c r="F336" s="39"/>
      <c r="G336" s="37"/>
      <c r="H336" s="46"/>
      <c r="L336" s="36" t="str">
        <f>IFERROR(VLOOKUP(I336,보도매체!$A:$C,2,FALSE), "")</f>
        <v/>
      </c>
      <c r="M336" s="38" t="str">
        <f>IFERROR(VLOOKUP(I336,보도매체!$A:$C,3,FALSE), "")</f>
        <v/>
      </c>
      <c r="N336" s="3"/>
    </row>
    <row r="337" spans="1:14" x14ac:dyDescent="0.3">
      <c r="A337" s="1">
        <v>336</v>
      </c>
      <c r="B337" s="35"/>
      <c r="C337" s="35">
        <f t="shared" si="6"/>
        <v>0</v>
      </c>
      <c r="D337" s="30" t="str">
        <f>IFERROR(VLOOKUP(C337,소속부서!$A$2:$B$20,2,FALSE), "")</f>
        <v/>
      </c>
      <c r="E337" s="52"/>
      <c r="F337" s="39"/>
      <c r="G337" s="37"/>
      <c r="H337" s="46"/>
      <c r="L337" s="36" t="str">
        <f>IFERROR(VLOOKUP(I337,보도매체!$A:$C,2,FALSE), "")</f>
        <v/>
      </c>
      <c r="M337" s="38" t="str">
        <f>IFERROR(VLOOKUP(I337,보도매체!$A:$C,3,FALSE), "")</f>
        <v/>
      </c>
      <c r="N337" s="3"/>
    </row>
    <row r="338" spans="1:14" x14ac:dyDescent="0.3">
      <c r="A338" s="1">
        <v>337</v>
      </c>
      <c r="B338" s="35"/>
      <c r="C338" s="35">
        <f t="shared" si="6"/>
        <v>0</v>
      </c>
      <c r="D338" s="30" t="str">
        <f>IFERROR(VLOOKUP(C338,소속부서!$A$2:$B$20,2,FALSE), "")</f>
        <v/>
      </c>
      <c r="E338" s="52"/>
      <c r="F338" s="39"/>
      <c r="G338" s="37"/>
      <c r="H338" s="46"/>
      <c r="I338" s="37"/>
      <c r="K338" s="28"/>
      <c r="L338" s="36" t="str">
        <f>IFERROR(VLOOKUP(I338,보도매체!$A:$C,2,FALSE), "")</f>
        <v/>
      </c>
      <c r="M338" s="38" t="str">
        <f>IFERROR(VLOOKUP(I338,보도매체!$A:$C,3,FALSE), "")</f>
        <v/>
      </c>
      <c r="N338" s="3"/>
    </row>
    <row r="339" spans="1:14" x14ac:dyDescent="0.3">
      <c r="A339" s="1">
        <v>338</v>
      </c>
      <c r="B339" s="35"/>
      <c r="C339" s="35">
        <f t="shared" si="6"/>
        <v>0</v>
      </c>
      <c r="D339" s="30" t="str">
        <f>IFERROR(VLOOKUP(C339,소속부서!$A$2:$B$20,2,FALSE), "")</f>
        <v/>
      </c>
      <c r="E339" s="52"/>
      <c r="F339" s="39"/>
      <c r="G339" s="37"/>
      <c r="H339" s="46"/>
      <c r="L339" s="36" t="str">
        <f>IFERROR(VLOOKUP(I339,보도매체!$A:$C,2,FALSE), "")</f>
        <v/>
      </c>
      <c r="M339" s="38" t="str">
        <f>IFERROR(VLOOKUP(I339,보도매체!$A:$C,3,FALSE), "")</f>
        <v/>
      </c>
      <c r="N339" s="3"/>
    </row>
    <row r="340" spans="1:14" x14ac:dyDescent="0.3">
      <c r="A340" s="1">
        <v>339</v>
      </c>
      <c r="B340" s="35"/>
      <c r="C340" s="35">
        <f t="shared" si="6"/>
        <v>0</v>
      </c>
      <c r="D340" s="30" t="str">
        <f>IFERROR(VLOOKUP(C340,소속부서!$A$2:$B$20,2,FALSE), "")</f>
        <v/>
      </c>
      <c r="E340" s="52"/>
      <c r="F340" s="39"/>
      <c r="G340" s="37"/>
      <c r="H340" s="49"/>
      <c r="L340" s="36" t="str">
        <f>IFERROR(VLOOKUP(I340,보도매체!$A:$C,2,FALSE), "")</f>
        <v/>
      </c>
      <c r="M340" s="38" t="str">
        <f>IFERROR(VLOOKUP(I340,보도매체!$A:$C,3,FALSE), "")</f>
        <v/>
      </c>
      <c r="N340" s="3"/>
    </row>
    <row r="341" spans="1:14" x14ac:dyDescent="0.3">
      <c r="A341" s="1">
        <v>340</v>
      </c>
      <c r="B341" s="35"/>
      <c r="C341" s="35">
        <f t="shared" si="6"/>
        <v>0</v>
      </c>
      <c r="D341" s="30" t="str">
        <f>IFERROR(VLOOKUP(C341,소속부서!$A$2:$B$20,2,FALSE), "")</f>
        <v/>
      </c>
      <c r="E341" s="12"/>
      <c r="G341" s="37"/>
      <c r="H341" s="46"/>
      <c r="L341" s="36" t="str">
        <f>IFERROR(VLOOKUP(I341,보도매체!$A:$C,2,FALSE), "")</f>
        <v/>
      </c>
      <c r="M341" s="38" t="str">
        <f>IFERROR(VLOOKUP(I341,보도매체!$A:$C,3,FALSE), "")</f>
        <v/>
      </c>
      <c r="N341" s="3"/>
    </row>
    <row r="342" spans="1:14" x14ac:dyDescent="0.3">
      <c r="A342" s="1">
        <v>341</v>
      </c>
      <c r="B342" s="35"/>
      <c r="C342" s="35">
        <f t="shared" si="6"/>
        <v>0</v>
      </c>
      <c r="D342" s="30" t="str">
        <f>IFERROR(VLOOKUP(C342,소속부서!$A$2:$B$20,2,FALSE), "")</f>
        <v/>
      </c>
      <c r="G342" s="37"/>
      <c r="H342" s="46"/>
      <c r="J342" s="41"/>
      <c r="K342" s="28"/>
      <c r="L342" s="36" t="str">
        <f>IFERROR(VLOOKUP(I342,보도매체!$A:$C,2,FALSE), "")</f>
        <v/>
      </c>
      <c r="M342" s="38" t="str">
        <f>IFERROR(VLOOKUP(I342,보도매체!$A:$C,3,FALSE), "")</f>
        <v/>
      </c>
      <c r="N342" s="3"/>
    </row>
    <row r="343" spans="1:14" x14ac:dyDescent="0.3">
      <c r="A343" s="1">
        <v>342</v>
      </c>
      <c r="B343" s="35"/>
      <c r="C343" s="35">
        <f t="shared" si="6"/>
        <v>0</v>
      </c>
      <c r="D343" s="30" t="str">
        <f>IFERROR(VLOOKUP(C343,소속부서!$A$2:$B$20,2,FALSE), "")</f>
        <v/>
      </c>
      <c r="E343" s="12"/>
      <c r="G343" s="37"/>
      <c r="H343" s="46"/>
      <c r="I343" s="37"/>
      <c r="J343" s="41"/>
      <c r="K343" s="28"/>
      <c r="L343" s="36" t="str">
        <f>IFERROR(VLOOKUP(I343,보도매체!$A:$C,2,FALSE), "")</f>
        <v/>
      </c>
      <c r="M343" s="38" t="str">
        <f>IFERROR(VLOOKUP(I343,보도매체!$A:$C,3,FALSE), "")</f>
        <v/>
      </c>
      <c r="N343" s="3"/>
    </row>
    <row r="344" spans="1:14" x14ac:dyDescent="0.3">
      <c r="A344" s="1">
        <v>343</v>
      </c>
      <c r="B344" s="35"/>
      <c r="C344" s="35">
        <f t="shared" si="6"/>
        <v>0</v>
      </c>
      <c r="D344" s="30" t="str">
        <f>IFERROR(VLOOKUP(C344,소속부서!$A$2:$B$20,2,FALSE), "")</f>
        <v/>
      </c>
      <c r="E344" s="52"/>
      <c r="F344" s="39"/>
      <c r="G344" s="37"/>
      <c r="H344" s="40"/>
      <c r="L344" s="36" t="str">
        <f>IFERROR(VLOOKUP(I344,보도매체!$A:$C,2,FALSE), "")</f>
        <v/>
      </c>
      <c r="M344" s="38" t="str">
        <f>IFERROR(VLOOKUP(I344,보도매체!$A:$C,3,FALSE), "")</f>
        <v/>
      </c>
      <c r="N344" s="3"/>
    </row>
    <row r="345" spans="1:14" x14ac:dyDescent="0.3">
      <c r="A345" s="1">
        <v>344</v>
      </c>
      <c r="B345" s="35"/>
      <c r="C345" s="35">
        <f t="shared" si="6"/>
        <v>0</v>
      </c>
      <c r="D345" s="30" t="str">
        <f>IFERROR(VLOOKUP(C345,소속부서!$A$2:$B$20,2,FALSE), "")</f>
        <v/>
      </c>
      <c r="E345" s="52"/>
      <c r="F345" s="39"/>
      <c r="G345" s="37"/>
      <c r="H345" s="40"/>
      <c r="L345" s="36" t="str">
        <f>IFERROR(VLOOKUP(I345,보도매체!$A:$C,2,FALSE), "")</f>
        <v/>
      </c>
      <c r="M345" s="38" t="str">
        <f>IFERROR(VLOOKUP(I345,보도매체!$A:$C,3,FALSE), "")</f>
        <v/>
      </c>
      <c r="N345" s="3"/>
    </row>
    <row r="346" spans="1:14" x14ac:dyDescent="0.3">
      <c r="A346" s="1">
        <v>345</v>
      </c>
      <c r="B346" s="35"/>
      <c r="C346" s="35">
        <f t="shared" si="6"/>
        <v>0</v>
      </c>
      <c r="D346" s="30" t="str">
        <f>IFERROR(VLOOKUP(C346,소속부서!$A$2:$B$20,2,FALSE), "")</f>
        <v/>
      </c>
      <c r="E346" s="52"/>
      <c r="F346" s="39"/>
      <c r="G346" s="37"/>
      <c r="H346" s="40"/>
      <c r="L346" s="36" t="str">
        <f>IFERROR(VLOOKUP(I346,보도매체!$A:$C,2,FALSE), "")</f>
        <v/>
      </c>
      <c r="M346" s="38" t="str">
        <f>IFERROR(VLOOKUP(I346,보도매체!$A:$C,3,FALSE), "")</f>
        <v/>
      </c>
      <c r="N346" s="3"/>
    </row>
    <row r="347" spans="1:14" x14ac:dyDescent="0.3">
      <c r="A347" s="1">
        <v>346</v>
      </c>
      <c r="B347" s="35"/>
      <c r="C347" s="35">
        <f t="shared" si="6"/>
        <v>0</v>
      </c>
      <c r="D347" s="30" t="str">
        <f>IFERROR(VLOOKUP(C347,소속부서!$A$2:$B$20,2,FALSE), "")</f>
        <v/>
      </c>
      <c r="E347" s="52"/>
      <c r="F347" s="39"/>
      <c r="G347" s="37"/>
      <c r="L347" s="36" t="str">
        <f>IFERROR(VLOOKUP(I347,보도매체!$A:$C,2,FALSE), "")</f>
        <v/>
      </c>
      <c r="M347" s="38" t="str">
        <f>IFERROR(VLOOKUP(I347,보도매체!$A:$C,3,FALSE), "")</f>
        <v/>
      </c>
      <c r="N347" s="3"/>
    </row>
    <row r="348" spans="1:14" x14ac:dyDescent="0.3">
      <c r="A348" s="1">
        <v>347</v>
      </c>
      <c r="B348" s="35"/>
      <c r="C348" s="35">
        <f t="shared" si="6"/>
        <v>0</v>
      </c>
      <c r="D348" s="30" t="str">
        <f>IFERROR(VLOOKUP(C348,소속부서!$A$2:$B$20,2,FALSE), "")</f>
        <v/>
      </c>
      <c r="E348" s="52"/>
      <c r="F348" s="39"/>
      <c r="G348" s="37"/>
      <c r="H348" s="40"/>
      <c r="L348" s="36" t="str">
        <f>IFERROR(VLOOKUP(I348,보도매체!$A:$C,2,FALSE), "")</f>
        <v/>
      </c>
      <c r="M348" s="38" t="str">
        <f>IFERROR(VLOOKUP(I348,보도매체!$A:$C,3,FALSE), "")</f>
        <v/>
      </c>
      <c r="N348" s="3"/>
    </row>
    <row r="349" spans="1:14" x14ac:dyDescent="0.3">
      <c r="A349" s="1">
        <v>348</v>
      </c>
      <c r="B349" s="35"/>
      <c r="C349" s="35">
        <f t="shared" si="6"/>
        <v>0</v>
      </c>
      <c r="D349" s="30" t="str">
        <f>IFERROR(VLOOKUP(C349,소속부서!$A$2:$B$20,2,FALSE), "")</f>
        <v/>
      </c>
      <c r="E349" s="52"/>
      <c r="F349" s="39"/>
      <c r="G349" s="37"/>
      <c r="H349" s="40"/>
      <c r="L349" s="36" t="str">
        <f>IFERROR(VLOOKUP(I349,보도매체!$A:$C,2,FALSE), "")</f>
        <v/>
      </c>
      <c r="M349" s="38" t="str">
        <f>IFERROR(VLOOKUP(I349,보도매체!$A:$C,3,FALSE), "")</f>
        <v/>
      </c>
      <c r="N349" s="3"/>
    </row>
    <row r="350" spans="1:14" x14ac:dyDescent="0.3">
      <c r="A350" s="1">
        <v>349</v>
      </c>
      <c r="B350" s="35"/>
      <c r="C350" s="35">
        <f t="shared" si="6"/>
        <v>0</v>
      </c>
      <c r="D350" s="30" t="str">
        <f>IFERROR(VLOOKUP(C350,소속부서!$A$2:$B$20,2,FALSE), "")</f>
        <v/>
      </c>
      <c r="E350" s="52"/>
      <c r="F350" s="39"/>
      <c r="G350" s="37"/>
      <c r="H350" s="40"/>
      <c r="L350" s="36" t="str">
        <f>IFERROR(VLOOKUP(I350,보도매체!$A:$C,2,FALSE), "")</f>
        <v/>
      </c>
      <c r="M350" s="38" t="str">
        <f>IFERROR(VLOOKUP(I350,보도매체!$A:$C,3,FALSE), "")</f>
        <v/>
      </c>
      <c r="N350" s="3"/>
    </row>
    <row r="351" spans="1:14" x14ac:dyDescent="0.3">
      <c r="A351" s="1">
        <v>350</v>
      </c>
      <c r="B351" s="35"/>
      <c r="C351" s="35">
        <f t="shared" si="6"/>
        <v>0</v>
      </c>
      <c r="D351" s="30" t="str">
        <f>IFERROR(VLOOKUP(C351,소속부서!$A$2:$B$20,2,FALSE), "")</f>
        <v/>
      </c>
      <c r="G351" s="37"/>
      <c r="H351" s="40"/>
      <c r="L351" s="36" t="str">
        <f>IFERROR(VLOOKUP(I351,보도매체!$A:$C,2,FALSE), "")</f>
        <v/>
      </c>
      <c r="M351" s="38" t="str">
        <f>IFERROR(VLOOKUP(I351,보도매체!$A:$C,3,FALSE), "")</f>
        <v/>
      </c>
      <c r="N351" s="3"/>
    </row>
    <row r="352" spans="1:14" x14ac:dyDescent="0.3">
      <c r="A352" s="1">
        <v>351</v>
      </c>
      <c r="B352" s="35"/>
      <c r="C352" s="35">
        <f t="shared" si="6"/>
        <v>0</v>
      </c>
      <c r="D352" s="30" t="str">
        <f>IFERROR(VLOOKUP(C352,소속부서!$A$2:$B$20,2,FALSE), "")</f>
        <v/>
      </c>
      <c r="E352" s="52"/>
      <c r="F352" s="39"/>
      <c r="G352" s="37"/>
      <c r="H352" s="40"/>
      <c r="L352" s="36" t="str">
        <f>IFERROR(VLOOKUP(I352,보도매체!$A:$C,2,FALSE), "")</f>
        <v/>
      </c>
      <c r="M352" s="38" t="str">
        <f>IFERROR(VLOOKUP(I352,보도매체!$A:$C,3,FALSE), "")</f>
        <v/>
      </c>
      <c r="N352" s="3"/>
    </row>
    <row r="353" spans="1:14" x14ac:dyDescent="0.3">
      <c r="A353" s="1">
        <v>352</v>
      </c>
      <c r="B353" s="35"/>
      <c r="C353" s="35">
        <f t="shared" si="6"/>
        <v>0</v>
      </c>
      <c r="D353" s="30" t="str">
        <f>IFERROR(VLOOKUP(C353,소속부서!$A$2:$B$20,2,FALSE), "")</f>
        <v/>
      </c>
      <c r="E353" s="52"/>
      <c r="F353" s="39"/>
      <c r="G353" s="37"/>
      <c r="H353" s="40"/>
      <c r="L353" s="36" t="str">
        <f>IFERROR(VLOOKUP(I353,보도매체!$A:$C,2,FALSE), "")</f>
        <v/>
      </c>
      <c r="M353" s="38" t="str">
        <f>IFERROR(VLOOKUP(I353,보도매체!$A:$C,3,FALSE), "")</f>
        <v/>
      </c>
      <c r="N353" s="3"/>
    </row>
    <row r="354" spans="1:14" x14ac:dyDescent="0.3">
      <c r="A354" s="1">
        <v>353</v>
      </c>
      <c r="B354" s="35"/>
      <c r="C354" s="35">
        <f t="shared" si="6"/>
        <v>0</v>
      </c>
      <c r="D354" s="30" t="str">
        <f>IFERROR(VLOOKUP(C354,소속부서!$A$2:$B$20,2,FALSE), "")</f>
        <v/>
      </c>
      <c r="E354" s="52"/>
      <c r="F354" s="39"/>
      <c r="G354" s="37"/>
      <c r="H354" s="40"/>
      <c r="L354" s="36" t="str">
        <f>IFERROR(VLOOKUP(I354,보도매체!$A:$C,2,FALSE), "")</f>
        <v/>
      </c>
      <c r="M354" s="38" t="str">
        <f>IFERROR(VLOOKUP(I354,보도매체!$A:$C,3,FALSE), "")</f>
        <v/>
      </c>
      <c r="N354" s="3"/>
    </row>
    <row r="355" spans="1:14" x14ac:dyDescent="0.3">
      <c r="A355" s="1">
        <v>354</v>
      </c>
      <c r="B355" s="35"/>
      <c r="C355" s="35">
        <f t="shared" si="6"/>
        <v>0</v>
      </c>
      <c r="D355" s="30" t="str">
        <f>IFERROR(VLOOKUP(C355,소속부서!$A$2:$B$20,2,FALSE), "")</f>
        <v/>
      </c>
      <c r="E355" s="52"/>
      <c r="F355" s="39"/>
      <c r="G355" s="37"/>
      <c r="H355" s="40"/>
      <c r="L355" s="36" t="str">
        <f>IFERROR(VLOOKUP(I355,보도매체!$A:$C,2,FALSE), "")</f>
        <v/>
      </c>
      <c r="M355" s="38" t="str">
        <f>IFERROR(VLOOKUP(I355,보도매체!$A:$C,3,FALSE), "")</f>
        <v/>
      </c>
      <c r="N355" s="3"/>
    </row>
    <row r="356" spans="1:14" x14ac:dyDescent="0.3">
      <c r="A356" s="1">
        <v>355</v>
      </c>
      <c r="B356" s="35"/>
      <c r="C356" s="35">
        <f t="shared" si="6"/>
        <v>0</v>
      </c>
      <c r="D356" s="30" t="str">
        <f>IFERROR(VLOOKUP(C356,소속부서!$A$2:$B$20,2,FALSE), "")</f>
        <v/>
      </c>
      <c r="E356" s="52"/>
      <c r="F356" s="39"/>
      <c r="G356" s="37"/>
      <c r="H356" s="40"/>
      <c r="L356" s="36" t="str">
        <f>IFERROR(VLOOKUP(I356,보도매체!$A:$C,2,FALSE), "")</f>
        <v/>
      </c>
      <c r="M356" s="38" t="str">
        <f>IFERROR(VLOOKUP(I356,보도매체!$A:$C,3,FALSE), "")</f>
        <v/>
      </c>
      <c r="N356" s="3"/>
    </row>
    <row r="357" spans="1:14" x14ac:dyDescent="0.3">
      <c r="A357" s="1">
        <v>356</v>
      </c>
      <c r="B357" s="35"/>
      <c r="C357" s="35">
        <f t="shared" si="6"/>
        <v>0</v>
      </c>
      <c r="D357" s="30" t="str">
        <f>IFERROR(VLOOKUP(C357,소속부서!$A$2:$B$20,2,FALSE), "")</f>
        <v/>
      </c>
      <c r="E357" s="52"/>
      <c r="F357" s="39"/>
      <c r="G357" s="37"/>
      <c r="H357" s="40"/>
      <c r="L357" s="36" t="str">
        <f>IFERROR(VLOOKUP(I357,보도매체!$A:$C,2,FALSE), "")</f>
        <v/>
      </c>
      <c r="M357" s="38" t="str">
        <f>IFERROR(VLOOKUP(I357,보도매체!$A:$C,3,FALSE), "")</f>
        <v/>
      </c>
      <c r="N357" s="3"/>
    </row>
    <row r="358" spans="1:14" x14ac:dyDescent="0.3">
      <c r="A358" s="1">
        <v>357</v>
      </c>
      <c r="B358" s="35"/>
      <c r="C358" s="35">
        <f t="shared" si="6"/>
        <v>0</v>
      </c>
      <c r="D358" s="30" t="str">
        <f>IFERROR(VLOOKUP(C358,소속부서!$A$2:$B$20,2,FALSE), "")</f>
        <v/>
      </c>
      <c r="E358" s="12"/>
      <c r="G358" s="37"/>
      <c r="H358" s="40"/>
      <c r="L358" s="36" t="str">
        <f>IFERROR(VLOOKUP(I358,보도매체!$A:$C,2,FALSE), "")</f>
        <v/>
      </c>
      <c r="M358" s="38" t="str">
        <f>IFERROR(VLOOKUP(I358,보도매체!$A:$C,3,FALSE), "")</f>
        <v/>
      </c>
      <c r="N358" s="3"/>
    </row>
    <row r="359" spans="1:14" x14ac:dyDescent="0.3">
      <c r="A359" s="1">
        <v>358</v>
      </c>
      <c r="B359" s="35"/>
      <c r="C359" s="35">
        <f t="shared" si="6"/>
        <v>0</v>
      </c>
      <c r="D359" s="30" t="str">
        <f>IFERROR(VLOOKUP(C359,소속부서!$A$2:$B$20,2,FALSE), "")</f>
        <v/>
      </c>
      <c r="E359" s="52"/>
      <c r="F359" s="39"/>
      <c r="G359" s="37"/>
      <c r="H359" s="40"/>
      <c r="L359" s="36" t="str">
        <f>IFERROR(VLOOKUP(I359,보도매체!$A:$C,2,FALSE), "")</f>
        <v/>
      </c>
      <c r="M359" s="38" t="str">
        <f>IFERROR(VLOOKUP(I359,보도매체!$A:$C,3,FALSE), "")</f>
        <v/>
      </c>
      <c r="N359" s="3"/>
    </row>
    <row r="360" spans="1:14" x14ac:dyDescent="0.3">
      <c r="A360" s="1">
        <v>359</v>
      </c>
      <c r="B360" s="35"/>
      <c r="C360" s="35">
        <f t="shared" si="6"/>
        <v>0</v>
      </c>
      <c r="D360" s="30" t="str">
        <f>IFERROR(VLOOKUP(C360,소속부서!$A$2:$B$20,2,FALSE), "")</f>
        <v/>
      </c>
      <c r="E360" s="30"/>
      <c r="G360" s="37"/>
      <c r="H360" s="40"/>
      <c r="L360" s="36" t="str">
        <f>IFERROR(VLOOKUP(I360,보도매체!$A:$C,2,FALSE), "")</f>
        <v/>
      </c>
      <c r="M360" s="38" t="str">
        <f>IFERROR(VLOOKUP(I360,보도매체!$A:$C,3,FALSE), "")</f>
        <v/>
      </c>
      <c r="N360" s="3"/>
    </row>
    <row r="361" spans="1:14" x14ac:dyDescent="0.3">
      <c r="A361" s="1">
        <v>360</v>
      </c>
      <c r="B361" s="35"/>
      <c r="C361" s="35">
        <f t="shared" si="6"/>
        <v>0</v>
      </c>
      <c r="D361" s="30" t="str">
        <f>IFERROR(VLOOKUP(C361,소속부서!$A$2:$B$20,2,FALSE), "")</f>
        <v/>
      </c>
      <c r="E361" s="52"/>
      <c r="F361" s="39"/>
      <c r="G361" s="37"/>
      <c r="H361" s="40"/>
      <c r="L361" s="36" t="str">
        <f>IFERROR(VLOOKUP(I361,보도매체!$A:$C,2,FALSE), "")</f>
        <v/>
      </c>
      <c r="M361" s="38" t="str">
        <f>IFERROR(VLOOKUP(I361,보도매체!$A:$C,3,FALSE), "")</f>
        <v/>
      </c>
      <c r="N361" s="3"/>
    </row>
    <row r="362" spans="1:14" x14ac:dyDescent="0.3">
      <c r="A362" s="1">
        <v>361</v>
      </c>
      <c r="B362" s="35"/>
      <c r="C362" s="35">
        <f t="shared" si="6"/>
        <v>0</v>
      </c>
      <c r="D362" s="30" t="str">
        <f>IFERROR(VLOOKUP(C362,소속부서!$A$2:$B$20,2,FALSE), "")</f>
        <v/>
      </c>
      <c r="E362" s="52"/>
      <c r="F362" s="39"/>
      <c r="G362" s="37"/>
      <c r="H362" s="40"/>
      <c r="L362" s="36" t="str">
        <f>IFERROR(VLOOKUP(I362,보도매체!$A:$C,2,FALSE), "")</f>
        <v/>
      </c>
      <c r="M362" s="38" t="str">
        <f>IFERROR(VLOOKUP(I362,보도매체!$A:$C,3,FALSE), "")</f>
        <v/>
      </c>
      <c r="N362" s="3"/>
    </row>
    <row r="363" spans="1:14" x14ac:dyDescent="0.3">
      <c r="A363" s="1">
        <v>362</v>
      </c>
      <c r="B363" s="35"/>
      <c r="C363" s="35">
        <f t="shared" si="6"/>
        <v>0</v>
      </c>
      <c r="D363" s="30" t="str">
        <f>IFERROR(VLOOKUP(C363,소속부서!$A$2:$B$20,2,FALSE), "")</f>
        <v/>
      </c>
      <c r="E363" s="52"/>
      <c r="F363" s="39"/>
      <c r="G363" s="37"/>
      <c r="H363" s="40"/>
      <c r="L363" s="36" t="str">
        <f>IFERROR(VLOOKUP(I363,보도매체!$A:$C,2,FALSE), "")</f>
        <v/>
      </c>
      <c r="M363" s="38" t="str">
        <f>IFERROR(VLOOKUP(I363,보도매체!$A:$C,3,FALSE), "")</f>
        <v/>
      </c>
      <c r="N363" s="3"/>
    </row>
    <row r="364" spans="1:14" x14ac:dyDescent="0.3">
      <c r="A364" s="1">
        <v>363</v>
      </c>
      <c r="B364" s="35"/>
      <c r="C364" s="35">
        <f t="shared" si="6"/>
        <v>0</v>
      </c>
      <c r="D364" s="30" t="str">
        <f>IFERROR(VLOOKUP(C364,소속부서!$A$2:$B$20,2,FALSE), "")</f>
        <v/>
      </c>
      <c r="E364" s="52"/>
      <c r="F364" s="39"/>
      <c r="G364" s="37"/>
      <c r="H364" s="40"/>
      <c r="L364" s="36" t="str">
        <f>IFERROR(VLOOKUP(I364,보도매체!$A:$C,2,FALSE), "")</f>
        <v/>
      </c>
      <c r="M364" s="38" t="str">
        <f>IFERROR(VLOOKUP(I364,보도매체!$A:$C,3,FALSE), "")</f>
        <v/>
      </c>
      <c r="N364" s="3"/>
    </row>
    <row r="365" spans="1:14" x14ac:dyDescent="0.3">
      <c r="A365" s="1">
        <v>364</v>
      </c>
      <c r="B365" s="35"/>
      <c r="C365" s="35">
        <f t="shared" si="6"/>
        <v>0</v>
      </c>
      <c r="D365" s="30" t="str">
        <f>IFERROR(VLOOKUP(C365,소속부서!$A$2:$B$20,2,FALSE), "")</f>
        <v/>
      </c>
      <c r="E365" s="30"/>
      <c r="G365" s="37"/>
      <c r="H365" s="40"/>
      <c r="L365" s="36" t="str">
        <f>IFERROR(VLOOKUP(I365,보도매체!$A:$C,2,FALSE), "")</f>
        <v/>
      </c>
      <c r="M365" s="38" t="str">
        <f>IFERROR(VLOOKUP(I365,보도매체!$A:$C,3,FALSE), "")</f>
        <v/>
      </c>
      <c r="N365" s="3"/>
    </row>
    <row r="366" spans="1:14" x14ac:dyDescent="0.3">
      <c r="A366" s="1">
        <v>365</v>
      </c>
      <c r="B366" s="35"/>
      <c r="C366" s="35">
        <f t="shared" si="6"/>
        <v>0</v>
      </c>
      <c r="D366" s="30" t="str">
        <f>IFERROR(VLOOKUP(C366,소속부서!$A$2:$B$20,2,FALSE), "")</f>
        <v/>
      </c>
      <c r="E366" s="52"/>
      <c r="F366" s="39"/>
      <c r="G366" s="37"/>
      <c r="H366" s="46"/>
      <c r="L366" s="36" t="str">
        <f>IFERROR(VLOOKUP(I366,보도매체!$A:$C,2,FALSE), "")</f>
        <v/>
      </c>
      <c r="M366" s="38" t="str">
        <f>IFERROR(VLOOKUP(I366,보도매체!$A:$C,3,FALSE), "")</f>
        <v/>
      </c>
      <c r="N366" s="3"/>
    </row>
    <row r="367" spans="1:14" x14ac:dyDescent="0.3">
      <c r="A367" s="1">
        <v>366</v>
      </c>
      <c r="B367" s="35"/>
      <c r="C367" s="35">
        <f t="shared" si="6"/>
        <v>0</v>
      </c>
      <c r="D367" s="30" t="str">
        <f>IFERROR(VLOOKUP(C367,소속부서!$A$2:$B$20,2,FALSE), "")</f>
        <v/>
      </c>
      <c r="E367" s="52"/>
      <c r="F367" s="39"/>
      <c r="G367" s="37"/>
      <c r="H367" s="46"/>
      <c r="I367" s="37"/>
      <c r="L367" s="36" t="str">
        <f>IFERROR(VLOOKUP(I367,보도매체!$A:$C,2,FALSE), "")</f>
        <v/>
      </c>
      <c r="M367" s="38" t="str">
        <f>IFERROR(VLOOKUP(I367,보도매체!$A:$C,3,FALSE), "")</f>
        <v/>
      </c>
      <c r="N367" s="3"/>
    </row>
    <row r="368" spans="1:14" x14ac:dyDescent="0.3">
      <c r="A368" s="1">
        <v>367</v>
      </c>
      <c r="B368" s="35"/>
      <c r="C368" s="35">
        <f t="shared" si="6"/>
        <v>0</v>
      </c>
      <c r="D368" s="30" t="str">
        <f>IFERROR(VLOOKUP(C368,소속부서!$A$2:$B$20,2,FALSE), "")</f>
        <v/>
      </c>
      <c r="E368" s="52"/>
      <c r="F368" s="39"/>
      <c r="G368" s="37"/>
      <c r="H368" s="46"/>
      <c r="L368" s="36" t="str">
        <f>IFERROR(VLOOKUP(I368,보도매체!$A:$C,2,FALSE), "")</f>
        <v/>
      </c>
      <c r="M368" s="38" t="str">
        <f>IFERROR(VLOOKUP(I368,보도매체!$A:$C,3,FALSE), "")</f>
        <v/>
      </c>
      <c r="N368" s="3"/>
    </row>
    <row r="369" spans="1:14" x14ac:dyDescent="0.3">
      <c r="A369" s="1">
        <v>368</v>
      </c>
      <c r="B369" s="35"/>
      <c r="C369" s="35">
        <f t="shared" si="6"/>
        <v>0</v>
      </c>
      <c r="D369" s="30" t="str">
        <f>IFERROR(VLOOKUP(C369,소속부서!$A$2:$B$20,2,FALSE), "")</f>
        <v/>
      </c>
      <c r="E369" s="52"/>
      <c r="F369" s="39"/>
      <c r="G369" s="37"/>
      <c r="H369" s="46"/>
      <c r="L369" s="36" t="str">
        <f>IFERROR(VLOOKUP(I369,보도매체!$A:$C,2,FALSE), "")</f>
        <v/>
      </c>
      <c r="M369" s="38" t="str">
        <f>IFERROR(VLOOKUP(I369,보도매체!$A:$C,3,FALSE), "")</f>
        <v/>
      </c>
      <c r="N369" s="3"/>
    </row>
    <row r="370" spans="1:14" x14ac:dyDescent="0.3">
      <c r="A370" s="1">
        <v>369</v>
      </c>
      <c r="B370" s="35"/>
      <c r="C370" s="35">
        <f t="shared" si="6"/>
        <v>0</v>
      </c>
      <c r="D370" s="30" t="str">
        <f>IFERROR(VLOOKUP(C370,소속부서!$A$2:$B$20,2,FALSE), "")</f>
        <v/>
      </c>
      <c r="E370" s="52"/>
      <c r="F370" s="39"/>
      <c r="G370" s="37"/>
      <c r="H370" s="49"/>
      <c r="L370" s="36" t="str">
        <f>IFERROR(VLOOKUP(I370,보도매체!$A:$C,2,FALSE), "")</f>
        <v/>
      </c>
      <c r="M370" s="38" t="str">
        <f>IFERROR(VLOOKUP(I370,보도매체!$A:$C,3,FALSE), "")</f>
        <v/>
      </c>
      <c r="N370" s="3"/>
    </row>
    <row r="371" spans="1:14" x14ac:dyDescent="0.3">
      <c r="A371" s="1">
        <v>370</v>
      </c>
      <c r="B371" s="35"/>
      <c r="C371" s="35">
        <f t="shared" si="6"/>
        <v>0</v>
      </c>
      <c r="D371" s="30" t="str">
        <f>IFERROR(VLOOKUP(C371,소속부서!$A$2:$B$20,2,FALSE), "")</f>
        <v/>
      </c>
      <c r="E371" s="52"/>
      <c r="F371" s="39"/>
      <c r="G371" s="37"/>
      <c r="H371" s="46"/>
      <c r="L371" s="36" t="str">
        <f>IFERROR(VLOOKUP(I371,보도매체!$A:$C,2,FALSE), "")</f>
        <v/>
      </c>
      <c r="M371" s="38" t="str">
        <f>IFERROR(VLOOKUP(I371,보도매체!$A:$C,3,FALSE), "")</f>
        <v/>
      </c>
      <c r="N371" s="3"/>
    </row>
    <row r="372" spans="1:14" x14ac:dyDescent="0.3">
      <c r="A372" s="1">
        <v>371</v>
      </c>
      <c r="B372" s="35"/>
      <c r="C372" s="35">
        <f t="shared" si="6"/>
        <v>0</v>
      </c>
      <c r="D372" s="30" t="str">
        <f>IFERROR(VLOOKUP(C372,소속부서!$A$2:$B$20,2,FALSE), "")</f>
        <v/>
      </c>
      <c r="E372" s="12"/>
      <c r="G372" s="37"/>
      <c r="H372" s="46"/>
      <c r="L372" s="36" t="str">
        <f>IFERROR(VLOOKUP(I372,보도매체!$A:$C,2,FALSE), "")</f>
        <v/>
      </c>
      <c r="M372" s="38" t="str">
        <f>IFERROR(VLOOKUP(I372,보도매체!$A:$C,3,FALSE), "")</f>
        <v/>
      </c>
      <c r="N372" s="3"/>
    </row>
    <row r="373" spans="1:14" x14ac:dyDescent="0.3">
      <c r="A373" s="1">
        <v>372</v>
      </c>
      <c r="B373" s="35"/>
      <c r="C373" s="35">
        <f t="shared" si="6"/>
        <v>0</v>
      </c>
      <c r="D373" s="30" t="str">
        <f>IFERROR(VLOOKUP(C373,소속부서!$A$2:$B$20,2,FALSE), "")</f>
        <v/>
      </c>
      <c r="G373" s="37"/>
      <c r="H373" s="46"/>
      <c r="L373" s="36" t="str">
        <f>IFERROR(VLOOKUP(I373,보도매체!$A:$C,2,FALSE), "")</f>
        <v/>
      </c>
      <c r="M373" s="38" t="str">
        <f>IFERROR(VLOOKUP(I373,보도매체!$A:$C,3,FALSE), "")</f>
        <v/>
      </c>
      <c r="N373" s="3"/>
    </row>
    <row r="374" spans="1:14" x14ac:dyDescent="0.3">
      <c r="A374" s="1">
        <v>373</v>
      </c>
      <c r="B374" s="35"/>
      <c r="C374" s="35">
        <f t="shared" si="6"/>
        <v>0</v>
      </c>
      <c r="D374" s="30" t="str">
        <f>IFERROR(VLOOKUP(C374,소속부서!$A$2:$B$20,2,FALSE), "")</f>
        <v/>
      </c>
      <c r="E374" s="52"/>
      <c r="F374" s="39"/>
      <c r="G374" s="37"/>
      <c r="H374" s="46"/>
      <c r="L374" s="36" t="str">
        <f>IFERROR(VLOOKUP(I374,보도매체!$A:$C,2,FALSE), "")</f>
        <v/>
      </c>
      <c r="M374" s="38" t="str">
        <f>IFERROR(VLOOKUP(I374,보도매체!$A:$C,3,FALSE), "")</f>
        <v/>
      </c>
      <c r="N374" s="3"/>
    </row>
    <row r="375" spans="1:14" x14ac:dyDescent="0.3">
      <c r="A375" s="1">
        <v>374</v>
      </c>
      <c r="B375" s="35"/>
      <c r="C375" s="35">
        <f t="shared" si="6"/>
        <v>0</v>
      </c>
      <c r="D375" s="30" t="str">
        <f>IFERROR(VLOOKUP(C375,소속부서!$A$2:$B$20,2,FALSE), "")</f>
        <v/>
      </c>
      <c r="E375" s="52"/>
      <c r="F375" s="39"/>
      <c r="G375" s="37"/>
      <c r="H375" s="46"/>
      <c r="L375" s="36" t="str">
        <f>IFERROR(VLOOKUP(I375,보도매체!$A:$C,2,FALSE), "")</f>
        <v/>
      </c>
      <c r="M375" s="38" t="str">
        <f>IFERROR(VLOOKUP(I375,보도매체!$A:$C,3,FALSE), "")</f>
        <v/>
      </c>
      <c r="N375" s="3"/>
    </row>
    <row r="376" spans="1:14" x14ac:dyDescent="0.3">
      <c r="A376" s="1">
        <v>375</v>
      </c>
      <c r="B376" s="35"/>
      <c r="C376" s="35">
        <f t="shared" si="6"/>
        <v>0</v>
      </c>
      <c r="D376" s="30" t="str">
        <f>IFERROR(VLOOKUP(C376,소속부서!$A$2:$B$20,2,FALSE), "")</f>
        <v/>
      </c>
      <c r="E376" s="52"/>
      <c r="F376" s="39"/>
      <c r="G376" s="37"/>
      <c r="H376" s="46"/>
      <c r="L376" s="36" t="str">
        <f>IFERROR(VLOOKUP(I376,보도매체!$A:$C,2,FALSE), "")</f>
        <v/>
      </c>
      <c r="M376" s="38" t="str">
        <f>IFERROR(VLOOKUP(I376,보도매체!$A:$C,3,FALSE), "")</f>
        <v/>
      </c>
      <c r="N376" s="3"/>
    </row>
    <row r="377" spans="1:14" x14ac:dyDescent="0.3">
      <c r="A377" s="1">
        <v>376</v>
      </c>
      <c r="B377" s="35"/>
      <c r="C377" s="35">
        <f t="shared" si="6"/>
        <v>0</v>
      </c>
      <c r="D377" s="30" t="str">
        <f>IFERROR(VLOOKUP(C377,소속부서!$A$2:$B$20,2,FALSE), "")</f>
        <v/>
      </c>
      <c r="E377" s="52"/>
      <c r="F377" s="39"/>
      <c r="G377" s="37"/>
      <c r="H377" s="46"/>
      <c r="K377" s="1"/>
      <c r="L377" s="36" t="str">
        <f>IFERROR(VLOOKUP(I377,보도매체!$A:$C,2,FALSE), "")</f>
        <v/>
      </c>
      <c r="M377" s="38" t="str">
        <f>IFERROR(VLOOKUP(I377,보도매체!$A:$C,3,FALSE), "")</f>
        <v/>
      </c>
      <c r="N377" s="3"/>
    </row>
    <row r="378" spans="1:14" x14ac:dyDescent="0.3">
      <c r="A378" s="1">
        <v>377</v>
      </c>
      <c r="B378" s="35"/>
      <c r="C378" s="35">
        <f t="shared" si="6"/>
        <v>0</v>
      </c>
      <c r="D378" s="30" t="str">
        <f>IFERROR(VLOOKUP(C378,소속부서!$A$2:$B$20,2,FALSE), "")</f>
        <v/>
      </c>
      <c r="E378" s="12"/>
      <c r="G378" s="37"/>
      <c r="H378" s="46"/>
      <c r="L378" s="36" t="str">
        <f>IFERROR(VLOOKUP(I378,보도매체!$A:$C,2,FALSE), "")</f>
        <v/>
      </c>
      <c r="M378" s="38" t="str">
        <f>IFERROR(VLOOKUP(I378,보도매체!$A:$C,3,FALSE), "")</f>
        <v/>
      </c>
      <c r="N378" s="3"/>
    </row>
    <row r="379" spans="1:14" x14ac:dyDescent="0.3">
      <c r="A379" s="1">
        <v>378</v>
      </c>
      <c r="B379" s="35"/>
      <c r="C379" s="35">
        <f t="shared" si="6"/>
        <v>0</v>
      </c>
      <c r="D379" s="30" t="str">
        <f>IFERROR(VLOOKUP(C379,소속부서!$A$2:$B$20,2,FALSE), "")</f>
        <v/>
      </c>
      <c r="E379" s="52"/>
      <c r="F379" s="39"/>
      <c r="G379" s="37"/>
      <c r="H379" s="46"/>
      <c r="L379" s="36" t="str">
        <f>IFERROR(VLOOKUP(I379,보도매체!$A:$C,2,FALSE), "")</f>
        <v/>
      </c>
      <c r="M379" s="38" t="str">
        <f>IFERROR(VLOOKUP(I379,보도매체!$A:$C,3,FALSE), "")</f>
        <v/>
      </c>
      <c r="N379" s="3"/>
    </row>
    <row r="380" spans="1:14" x14ac:dyDescent="0.3">
      <c r="A380" s="1">
        <v>379</v>
      </c>
      <c r="B380" s="35"/>
      <c r="C380" s="35">
        <f t="shared" si="6"/>
        <v>0</v>
      </c>
      <c r="D380" s="30" t="str">
        <f>IFERROR(VLOOKUP(C380,소속부서!$A$2:$B$20,2,FALSE), "")</f>
        <v/>
      </c>
      <c r="E380" s="52"/>
      <c r="F380" s="39"/>
      <c r="G380" s="37"/>
      <c r="H380" s="46"/>
      <c r="L380" s="36" t="str">
        <f>IFERROR(VLOOKUP(I380,보도매체!$A:$C,2,FALSE), "")</f>
        <v/>
      </c>
      <c r="M380" s="38" t="str">
        <f>IFERROR(VLOOKUP(I380,보도매체!$A:$C,3,FALSE), "")</f>
        <v/>
      </c>
      <c r="N380" s="3"/>
    </row>
    <row r="381" spans="1:14" x14ac:dyDescent="0.3">
      <c r="A381" s="1">
        <v>380</v>
      </c>
      <c r="B381" s="35"/>
      <c r="C381" s="35">
        <f t="shared" si="6"/>
        <v>0</v>
      </c>
      <c r="D381" s="30" t="str">
        <f>IFERROR(VLOOKUP(C381,소속부서!$A$2:$B$20,2,FALSE), "")</f>
        <v/>
      </c>
      <c r="G381" s="37"/>
      <c r="H381" s="46"/>
      <c r="L381" s="36" t="str">
        <f>IFERROR(VLOOKUP(I381,보도매체!$A:$C,2,FALSE), "")</f>
        <v/>
      </c>
      <c r="M381" s="38" t="str">
        <f>IFERROR(VLOOKUP(I381,보도매체!$A:$C,3,FALSE), "")</f>
        <v/>
      </c>
      <c r="N381" s="3"/>
    </row>
    <row r="382" spans="1:14" x14ac:dyDescent="0.3">
      <c r="A382" s="1">
        <v>381</v>
      </c>
      <c r="B382" s="53"/>
      <c r="C382" s="35">
        <f t="shared" si="6"/>
        <v>0</v>
      </c>
      <c r="D382" s="30" t="str">
        <f>IFERROR(VLOOKUP(C382,소속부서!$A$2:$B$20,2,FALSE), "")</f>
        <v/>
      </c>
      <c r="G382" s="37"/>
      <c r="H382" s="54"/>
      <c r="I382" s="55"/>
      <c r="J382" s="33"/>
      <c r="K382" s="44"/>
      <c r="L382" s="36" t="str">
        <f>IFERROR(VLOOKUP(I382,보도매체!$A:$C,2,FALSE), "")</f>
        <v/>
      </c>
      <c r="M382" s="38" t="str">
        <f>IFERROR(VLOOKUP(I382,보도매체!$A:$C,3,FALSE), "")</f>
        <v/>
      </c>
      <c r="N382" s="33"/>
    </row>
    <row r="383" spans="1:14" x14ac:dyDescent="0.3">
      <c r="A383" s="1">
        <v>382</v>
      </c>
      <c r="B383" s="35"/>
      <c r="C383" s="35">
        <f t="shared" si="6"/>
        <v>0</v>
      </c>
      <c r="D383" s="30" t="str">
        <f>IFERROR(VLOOKUP(C383,소속부서!$A$2:$B$20,2,FALSE), "")</f>
        <v/>
      </c>
      <c r="G383" s="44"/>
      <c r="H383" s="54"/>
      <c r="I383" s="55"/>
      <c r="J383" s="33"/>
      <c r="K383" s="44"/>
      <c r="L383" s="36" t="str">
        <f>IFERROR(VLOOKUP(I383,보도매체!$A:$C,2,FALSE), "")</f>
        <v/>
      </c>
      <c r="M383" s="38" t="str">
        <f>IFERROR(VLOOKUP(I383,보도매체!$A:$C,3,FALSE), "")</f>
        <v/>
      </c>
      <c r="N383" s="33"/>
    </row>
    <row r="384" spans="1:14" x14ac:dyDescent="0.3">
      <c r="A384" s="1">
        <v>383</v>
      </c>
      <c r="B384" s="35"/>
      <c r="C384" s="35">
        <f t="shared" si="6"/>
        <v>0</v>
      </c>
      <c r="D384" s="30" t="str">
        <f>IFERROR(VLOOKUP(C384,소속부서!$A$2:$B$20,2,FALSE), "")</f>
        <v/>
      </c>
      <c r="E384" s="12"/>
      <c r="F384" s="37"/>
      <c r="G384" s="44"/>
      <c r="H384" s="56"/>
      <c r="I384" s="55"/>
      <c r="J384" s="33"/>
      <c r="K384" s="57"/>
      <c r="L384" s="36" t="str">
        <f>IFERROR(VLOOKUP(I384,보도매체!$A:$C,2,FALSE), "")</f>
        <v/>
      </c>
      <c r="M384" s="38" t="str">
        <f>IFERROR(VLOOKUP(I384,보도매체!$A:$C,3,FALSE), "")</f>
        <v/>
      </c>
      <c r="N384" s="33"/>
    </row>
    <row r="385" spans="1:14" x14ac:dyDescent="0.3">
      <c r="A385" s="1">
        <v>384</v>
      </c>
      <c r="B385" s="35"/>
      <c r="C385" s="35">
        <f t="shared" si="6"/>
        <v>0</v>
      </c>
      <c r="D385" s="30" t="str">
        <f>IFERROR(VLOOKUP(C385,소속부서!$A$2:$B$20,2,FALSE), "")</f>
        <v/>
      </c>
      <c r="G385" s="37"/>
      <c r="H385" s="58"/>
      <c r="I385" s="55"/>
      <c r="J385" s="33"/>
      <c r="K385" s="55"/>
      <c r="L385" s="36" t="str">
        <f>IFERROR(VLOOKUP(I385,보도매체!$A:$C,2,FALSE), "")</f>
        <v/>
      </c>
      <c r="M385" s="38" t="str">
        <f>IFERROR(VLOOKUP(I385,보도매체!$A:$C,3,FALSE), "")</f>
        <v/>
      </c>
      <c r="N385" s="33"/>
    </row>
    <row r="386" spans="1:14" x14ac:dyDescent="0.3">
      <c r="A386" s="1">
        <v>385</v>
      </c>
      <c r="B386" s="35"/>
      <c r="C386" s="35">
        <f t="shared" si="6"/>
        <v>0</v>
      </c>
      <c r="D386" s="30" t="str">
        <f>IFERROR(VLOOKUP(C386,소속부서!$A$2:$B$20,2,FALSE), "")</f>
        <v/>
      </c>
      <c r="E386" s="12"/>
      <c r="G386" s="37"/>
      <c r="H386" s="59"/>
      <c r="I386" s="55"/>
      <c r="J386" s="33"/>
      <c r="K386" s="60"/>
      <c r="L386" s="36" t="str">
        <f>IFERROR(VLOOKUP(I386,보도매체!$A:$C,2,FALSE), "")</f>
        <v/>
      </c>
      <c r="M386" s="38" t="str">
        <f>IFERROR(VLOOKUP(I386,보도매체!$A:$C,3,FALSE), "")</f>
        <v/>
      </c>
      <c r="N386" s="33"/>
    </row>
    <row r="387" spans="1:14" x14ac:dyDescent="0.3">
      <c r="A387" s="1">
        <v>386</v>
      </c>
      <c r="B387" s="35"/>
      <c r="C387" s="35">
        <f t="shared" si="6"/>
        <v>0</v>
      </c>
      <c r="D387" s="30" t="str">
        <f>IFERROR(VLOOKUP(C387,소속부서!$A$2:$B$20,2,FALSE), "")</f>
        <v/>
      </c>
      <c r="G387" s="44"/>
      <c r="H387" s="54"/>
      <c r="I387" s="55"/>
      <c r="J387" s="33"/>
      <c r="K387" s="55"/>
      <c r="L387" s="36" t="str">
        <f>IFERROR(VLOOKUP(I387,보도매체!$A:$C,2,FALSE), "")</f>
        <v/>
      </c>
      <c r="M387" s="38" t="str">
        <f>IFERROR(VLOOKUP(I387,보도매체!$A:$C,3,FALSE), "")</f>
        <v/>
      </c>
      <c r="N387" s="33"/>
    </row>
    <row r="388" spans="1:14" x14ac:dyDescent="0.3">
      <c r="A388" s="1">
        <v>387</v>
      </c>
      <c r="B388" s="35"/>
      <c r="C388" s="35">
        <f t="shared" ref="C388:C451" si="7">E388</f>
        <v>0</v>
      </c>
      <c r="D388" s="30" t="str">
        <f>IFERROR(VLOOKUP(C388,소속부서!$A$2:$B$20,2,FALSE), "")</f>
        <v/>
      </c>
      <c r="G388" s="37"/>
      <c r="H388" s="54"/>
      <c r="I388" s="55"/>
      <c r="J388" s="33"/>
      <c r="K388" s="44"/>
      <c r="L388" s="36" t="str">
        <f>IFERROR(VLOOKUP(I388,보도매체!$A:$C,2,FALSE), "")</f>
        <v/>
      </c>
      <c r="M388" s="38" t="str">
        <f>IFERROR(VLOOKUP(I388,보도매체!$A:$C,3,FALSE), "")</f>
        <v/>
      </c>
      <c r="N388" s="33"/>
    </row>
    <row r="389" spans="1:14" x14ac:dyDescent="0.3">
      <c r="A389" s="1">
        <v>388</v>
      </c>
      <c r="B389" s="35"/>
      <c r="C389" s="35">
        <f t="shared" si="7"/>
        <v>0</v>
      </c>
      <c r="D389" s="30" t="str">
        <f>IFERROR(VLOOKUP(C389,소속부서!$A$2:$B$20,2,FALSE), "")</f>
        <v/>
      </c>
      <c r="G389" s="44"/>
      <c r="H389" s="58"/>
      <c r="I389" s="55"/>
      <c r="J389" s="33"/>
      <c r="K389" s="55"/>
      <c r="L389" s="36" t="str">
        <f>IFERROR(VLOOKUP(I389,보도매체!$A:$C,2,FALSE), "")</f>
        <v/>
      </c>
      <c r="M389" s="38" t="str">
        <f>IFERROR(VLOOKUP(I389,보도매체!$A:$C,3,FALSE), "")</f>
        <v/>
      </c>
      <c r="N389" s="33"/>
    </row>
    <row r="390" spans="1:14" x14ac:dyDescent="0.3">
      <c r="A390" s="1">
        <v>389</v>
      </c>
      <c r="B390" s="35"/>
      <c r="C390" s="35">
        <f t="shared" si="7"/>
        <v>0</v>
      </c>
      <c r="D390" s="30" t="str">
        <f>IFERROR(VLOOKUP(C390,소속부서!$A$2:$B$20,2,FALSE), "")</f>
        <v/>
      </c>
      <c r="G390" s="44"/>
      <c r="H390" s="58"/>
      <c r="I390" s="55"/>
      <c r="J390" s="33"/>
      <c r="K390" s="55"/>
      <c r="L390" s="36" t="str">
        <f>IFERROR(VLOOKUP(I390,보도매체!$A:$C,2,FALSE), "")</f>
        <v/>
      </c>
      <c r="M390" s="38" t="str">
        <f>IFERROR(VLOOKUP(I390,보도매체!$A:$C,3,FALSE), "")</f>
        <v/>
      </c>
      <c r="N390" s="33"/>
    </row>
    <row r="391" spans="1:14" x14ac:dyDescent="0.3">
      <c r="A391" s="1">
        <v>390</v>
      </c>
      <c r="B391" s="35"/>
      <c r="C391" s="35">
        <f t="shared" si="7"/>
        <v>0</v>
      </c>
      <c r="D391" s="30" t="str">
        <f>IFERROR(VLOOKUP(C391,소속부서!$A$2:$B$20,2,FALSE), "")</f>
        <v/>
      </c>
      <c r="E391" s="12"/>
      <c r="G391" s="37"/>
      <c r="H391" s="58"/>
      <c r="I391" s="55"/>
      <c r="J391" s="33"/>
      <c r="K391" s="37"/>
      <c r="L391" s="36" t="str">
        <f>IFERROR(VLOOKUP(I391,보도매체!$A:$C,2,FALSE), "")</f>
        <v/>
      </c>
      <c r="M391" s="38" t="str">
        <f>IFERROR(VLOOKUP(I391,보도매체!$A:$C,3,FALSE), "")</f>
        <v/>
      </c>
      <c r="N391" s="33"/>
    </row>
    <row r="392" spans="1:14" x14ac:dyDescent="0.3">
      <c r="A392" s="1">
        <v>391</v>
      </c>
      <c r="B392" s="35"/>
      <c r="C392" s="35">
        <f t="shared" si="7"/>
        <v>0</v>
      </c>
      <c r="D392" s="30" t="str">
        <f>IFERROR(VLOOKUP(C392,소속부서!$A$2:$B$20,2,FALSE), "")</f>
        <v/>
      </c>
      <c r="E392" s="35"/>
      <c r="F392" s="37"/>
      <c r="G392" s="37"/>
      <c r="H392" s="42"/>
      <c r="I392" s="55"/>
      <c r="J392" s="33"/>
      <c r="K392" s="61"/>
      <c r="L392" s="36" t="str">
        <f>IFERROR(VLOOKUP(I392,보도매체!$A:$C,2,FALSE), "")</f>
        <v/>
      </c>
      <c r="M392" s="38" t="str">
        <f>IFERROR(VLOOKUP(I392,보도매체!$A:$C,3,FALSE), "")</f>
        <v/>
      </c>
      <c r="N392" s="33"/>
    </row>
    <row r="393" spans="1:14" x14ac:dyDescent="0.3">
      <c r="A393" s="1">
        <v>392</v>
      </c>
      <c r="B393" s="35"/>
      <c r="C393" s="35">
        <f t="shared" si="7"/>
        <v>0</v>
      </c>
      <c r="D393" s="30" t="str">
        <f>IFERROR(VLOOKUP(C393,소속부서!$A$2:$B$20,2,FALSE), "")</f>
        <v/>
      </c>
      <c r="G393" s="61"/>
      <c r="H393" s="62"/>
      <c r="I393" s="55"/>
      <c r="J393" s="33"/>
      <c r="K393" s="61"/>
      <c r="L393" s="36" t="str">
        <f>IFERROR(VLOOKUP(I393,보도매체!$A:$C,2,FALSE), "")</f>
        <v/>
      </c>
      <c r="M393" s="38" t="str">
        <f>IFERROR(VLOOKUP(I393,보도매체!$A:$C,3,FALSE), "")</f>
        <v/>
      </c>
      <c r="N393" s="33"/>
    </row>
    <row r="394" spans="1:14" x14ac:dyDescent="0.3">
      <c r="A394" s="1">
        <v>393</v>
      </c>
      <c r="B394" s="35"/>
      <c r="C394" s="35">
        <f t="shared" si="7"/>
        <v>0</v>
      </c>
      <c r="D394" s="30" t="str">
        <f>IFERROR(VLOOKUP(C394,소속부서!$A$2:$B$20,2,FALSE), "")</f>
        <v/>
      </c>
      <c r="E394" s="12"/>
      <c r="F394" s="37"/>
      <c r="G394" s="44"/>
      <c r="H394" s="56"/>
      <c r="I394" s="55"/>
      <c r="J394" s="33"/>
      <c r="K394" s="57"/>
      <c r="L394" s="36" t="str">
        <f>IFERROR(VLOOKUP(I394,보도매체!$A:$C,2,FALSE), "")</f>
        <v/>
      </c>
      <c r="M394" s="38" t="str">
        <f>IFERROR(VLOOKUP(I394,보도매체!$A:$C,3,FALSE), "")</f>
        <v/>
      </c>
      <c r="N394" s="33"/>
    </row>
    <row r="395" spans="1:14" x14ac:dyDescent="0.3">
      <c r="A395" s="1">
        <v>394</v>
      </c>
      <c r="B395" s="35"/>
      <c r="C395" s="35">
        <f t="shared" si="7"/>
        <v>0</v>
      </c>
      <c r="D395" s="30" t="str">
        <f>IFERROR(VLOOKUP(C395,소속부서!$A$2:$B$20,2,FALSE), "")</f>
        <v/>
      </c>
      <c r="G395" s="37"/>
      <c r="H395" s="58"/>
      <c r="I395" s="55"/>
      <c r="J395" s="33"/>
      <c r="K395" s="55"/>
      <c r="L395" s="36" t="str">
        <f>IFERROR(VLOOKUP(I395,보도매체!$A:$C,2,FALSE), "")</f>
        <v/>
      </c>
      <c r="M395" s="38" t="str">
        <f>IFERROR(VLOOKUP(I395,보도매체!$A:$C,3,FALSE), "")</f>
        <v/>
      </c>
      <c r="N395" s="33"/>
    </row>
    <row r="396" spans="1:14" x14ac:dyDescent="0.3">
      <c r="A396" s="1">
        <v>395</v>
      </c>
      <c r="B396" s="35"/>
      <c r="C396" s="35">
        <f t="shared" si="7"/>
        <v>0</v>
      </c>
      <c r="D396" s="30" t="str">
        <f>IFERROR(VLOOKUP(C396,소속부서!$A$2:$B$20,2,FALSE), "")</f>
        <v/>
      </c>
      <c r="E396" s="12"/>
      <c r="G396" s="37"/>
      <c r="H396" s="59"/>
      <c r="I396" s="55"/>
      <c r="J396" s="33"/>
      <c r="K396" s="60"/>
      <c r="L396" s="36" t="str">
        <f>IFERROR(VLOOKUP(I396,보도매체!$A:$C,2,FALSE), "")</f>
        <v/>
      </c>
      <c r="M396" s="38" t="str">
        <f>IFERROR(VLOOKUP(I396,보도매체!$A:$C,3,FALSE), "")</f>
        <v/>
      </c>
      <c r="N396" s="33"/>
    </row>
    <row r="397" spans="1:14" x14ac:dyDescent="0.3">
      <c r="A397" s="1">
        <v>396</v>
      </c>
      <c r="B397" s="35"/>
      <c r="C397" s="35">
        <f t="shared" si="7"/>
        <v>0</v>
      </c>
      <c r="D397" s="30" t="str">
        <f>IFERROR(VLOOKUP(C397,소속부서!$A$2:$B$20,2,FALSE), "")</f>
        <v/>
      </c>
      <c r="G397" s="44"/>
      <c r="H397" s="54"/>
      <c r="I397" s="55"/>
      <c r="J397" s="33"/>
      <c r="K397" s="55"/>
      <c r="L397" s="36" t="str">
        <f>IFERROR(VLOOKUP(I397,보도매체!$A:$C,2,FALSE), "")</f>
        <v/>
      </c>
      <c r="M397" s="38" t="str">
        <f>IFERROR(VLOOKUP(I397,보도매체!$A:$C,3,FALSE), "")</f>
        <v/>
      </c>
      <c r="N397" s="33"/>
    </row>
    <row r="398" spans="1:14" x14ac:dyDescent="0.3">
      <c r="A398" s="1">
        <v>397</v>
      </c>
      <c r="B398" s="35"/>
      <c r="C398" s="35">
        <f t="shared" si="7"/>
        <v>0</v>
      </c>
      <c r="D398" s="30" t="str">
        <f>IFERROR(VLOOKUP(C398,소속부서!$A$2:$B$20,2,FALSE), "")</f>
        <v/>
      </c>
      <c r="G398" s="37"/>
      <c r="H398" s="54"/>
      <c r="I398" s="55"/>
      <c r="J398" s="33"/>
      <c r="K398" s="44"/>
      <c r="L398" s="36" t="str">
        <f>IFERROR(VLOOKUP(I398,보도매체!$A:$C,2,FALSE), "")</f>
        <v/>
      </c>
      <c r="M398" s="38" t="str">
        <f>IFERROR(VLOOKUP(I398,보도매체!$A:$C,3,FALSE), "")</f>
        <v/>
      </c>
      <c r="N398" s="33"/>
    </row>
    <row r="399" spans="1:14" x14ac:dyDescent="0.3">
      <c r="A399" s="1">
        <v>398</v>
      </c>
      <c r="B399" s="35"/>
      <c r="C399" s="35">
        <f t="shared" si="7"/>
        <v>0</v>
      </c>
      <c r="D399" s="30" t="str">
        <f>IFERROR(VLOOKUP(C399,소속부서!$A$2:$B$20,2,FALSE), "")</f>
        <v/>
      </c>
      <c r="G399" s="44"/>
      <c r="H399" s="58"/>
      <c r="I399" s="55"/>
      <c r="J399" s="33"/>
      <c r="K399" s="55"/>
      <c r="L399" s="36" t="str">
        <f>IFERROR(VLOOKUP(I399,보도매체!$A:$C,2,FALSE), "")</f>
        <v/>
      </c>
      <c r="M399" s="38" t="str">
        <f>IFERROR(VLOOKUP(I399,보도매체!$A:$C,3,FALSE), "")</f>
        <v/>
      </c>
      <c r="N399" s="33"/>
    </row>
    <row r="400" spans="1:14" x14ac:dyDescent="0.3">
      <c r="A400" s="1">
        <v>399</v>
      </c>
      <c r="B400" s="35"/>
      <c r="C400" s="35">
        <f t="shared" si="7"/>
        <v>0</v>
      </c>
      <c r="D400" s="30" t="str">
        <f>IFERROR(VLOOKUP(C400,소속부서!$A$2:$B$20,2,FALSE), "")</f>
        <v/>
      </c>
      <c r="G400" s="44"/>
      <c r="H400" s="58"/>
      <c r="I400" s="55"/>
      <c r="J400" s="33"/>
      <c r="K400" s="55"/>
      <c r="L400" s="36" t="str">
        <f>IFERROR(VLOOKUP(I400,보도매체!$A:$C,2,FALSE), "")</f>
        <v/>
      </c>
      <c r="M400" s="38" t="str">
        <f>IFERROR(VLOOKUP(I400,보도매체!$A:$C,3,FALSE), "")</f>
        <v/>
      </c>
      <c r="N400" s="33"/>
    </row>
    <row r="401" spans="1:14" x14ac:dyDescent="0.3">
      <c r="A401" s="1">
        <v>400</v>
      </c>
      <c r="B401" s="35"/>
      <c r="C401" s="35">
        <f t="shared" si="7"/>
        <v>0</v>
      </c>
      <c r="D401" s="30" t="str">
        <f>IFERROR(VLOOKUP(C401,소속부서!$A$2:$B$20,2,FALSE), "")</f>
        <v/>
      </c>
      <c r="E401" s="12"/>
      <c r="G401" s="37"/>
      <c r="H401" s="58"/>
      <c r="I401" s="55"/>
      <c r="J401" s="33"/>
      <c r="K401" s="37"/>
      <c r="L401" s="36" t="str">
        <f>IFERROR(VLOOKUP(I401,보도매체!$A:$C,2,FALSE), "")</f>
        <v/>
      </c>
      <c r="M401" s="38" t="str">
        <f>IFERROR(VLOOKUP(I401,보도매체!$A:$C,3,FALSE), "")</f>
        <v/>
      </c>
      <c r="N401" s="33"/>
    </row>
    <row r="402" spans="1:14" x14ac:dyDescent="0.3">
      <c r="A402" s="1">
        <v>401</v>
      </c>
      <c r="B402" s="35"/>
      <c r="C402" s="35">
        <f t="shared" si="7"/>
        <v>0</v>
      </c>
      <c r="D402" s="30" t="str">
        <f>IFERROR(VLOOKUP(C402,소속부서!$A$2:$B$20,2,FALSE), "")</f>
        <v/>
      </c>
      <c r="E402" s="35"/>
      <c r="F402" s="37"/>
      <c r="G402" s="37"/>
      <c r="H402" s="42"/>
      <c r="I402" s="55"/>
      <c r="J402" s="33"/>
      <c r="K402" s="61"/>
      <c r="L402" s="36" t="str">
        <f>IFERROR(VLOOKUP(I402,보도매체!$A:$C,2,FALSE), "")</f>
        <v/>
      </c>
      <c r="M402" s="38" t="str">
        <f>IFERROR(VLOOKUP(I402,보도매체!$A:$C,3,FALSE), "")</f>
        <v/>
      </c>
      <c r="N402" s="33"/>
    </row>
    <row r="403" spans="1:14" x14ac:dyDescent="0.3">
      <c r="A403" s="1">
        <v>402</v>
      </c>
      <c r="B403" s="35"/>
      <c r="C403" s="35">
        <f t="shared" si="7"/>
        <v>0</v>
      </c>
      <c r="D403" s="30" t="str">
        <f>IFERROR(VLOOKUP(C403,소속부서!$A$2:$B$20,2,FALSE), "")</f>
        <v/>
      </c>
      <c r="E403" s="12"/>
      <c r="F403" s="37"/>
      <c r="G403" s="44"/>
      <c r="H403" s="56"/>
      <c r="I403" s="55"/>
      <c r="J403" s="33"/>
      <c r="K403" s="57"/>
      <c r="L403" s="36" t="str">
        <f>IFERROR(VLOOKUP(I403,보도매체!$A:$C,2,FALSE), "")</f>
        <v/>
      </c>
      <c r="M403" s="38" t="str">
        <f>IFERROR(VLOOKUP(I403,보도매체!$A:$C,3,FALSE), "")</f>
        <v/>
      </c>
      <c r="N403" s="33"/>
    </row>
    <row r="404" spans="1:14" x14ac:dyDescent="0.3">
      <c r="A404" s="1">
        <v>403</v>
      </c>
      <c r="B404" s="35"/>
      <c r="C404" s="35">
        <f t="shared" si="7"/>
        <v>0</v>
      </c>
      <c r="D404" s="30" t="str">
        <f>IFERROR(VLOOKUP(C404,소속부서!$A$2:$B$20,2,FALSE), "")</f>
        <v/>
      </c>
      <c r="G404" s="37"/>
      <c r="H404" s="58"/>
      <c r="I404" s="55"/>
      <c r="J404" s="33"/>
      <c r="K404" s="55"/>
      <c r="L404" s="36" t="str">
        <f>IFERROR(VLOOKUP(I404,보도매체!$A:$C,2,FALSE), "")</f>
        <v/>
      </c>
      <c r="M404" s="38" t="str">
        <f>IFERROR(VLOOKUP(I404,보도매체!$A:$C,3,FALSE), "")</f>
        <v/>
      </c>
      <c r="N404" s="33"/>
    </row>
    <row r="405" spans="1:14" x14ac:dyDescent="0.3">
      <c r="A405" s="1">
        <v>404</v>
      </c>
      <c r="B405" s="35"/>
      <c r="C405" s="35">
        <f t="shared" si="7"/>
        <v>0</v>
      </c>
      <c r="D405" s="30" t="str">
        <f>IFERROR(VLOOKUP(C405,소속부서!$A$2:$B$20,2,FALSE), "")</f>
        <v/>
      </c>
      <c r="E405" s="12"/>
      <c r="G405" s="37"/>
      <c r="H405" s="59"/>
      <c r="I405" s="55"/>
      <c r="J405" s="33"/>
      <c r="K405" s="60"/>
      <c r="L405" s="36" t="str">
        <f>IFERROR(VLOOKUP(I405,보도매체!$A:$C,2,FALSE), "")</f>
        <v/>
      </c>
      <c r="M405" s="38" t="str">
        <f>IFERROR(VLOOKUP(I405,보도매체!$A:$C,3,FALSE), "")</f>
        <v/>
      </c>
      <c r="N405" s="33"/>
    </row>
    <row r="406" spans="1:14" x14ac:dyDescent="0.3">
      <c r="A406" s="1">
        <v>405</v>
      </c>
      <c r="B406" s="35"/>
      <c r="C406" s="35">
        <f t="shared" si="7"/>
        <v>0</v>
      </c>
      <c r="D406" s="30" t="str">
        <f>IFERROR(VLOOKUP(C406,소속부서!$A$2:$B$20,2,FALSE), "")</f>
        <v/>
      </c>
      <c r="G406" s="44"/>
      <c r="H406" s="54"/>
      <c r="I406" s="55"/>
      <c r="J406" s="33"/>
      <c r="K406" s="55"/>
      <c r="L406" s="36" t="str">
        <f>IFERROR(VLOOKUP(I406,보도매체!$A:$C,2,FALSE), "")</f>
        <v/>
      </c>
      <c r="M406" s="38" t="str">
        <f>IFERROR(VLOOKUP(I406,보도매체!$A:$C,3,FALSE), "")</f>
        <v/>
      </c>
      <c r="N406" s="33"/>
    </row>
    <row r="407" spans="1:14" x14ac:dyDescent="0.3">
      <c r="A407" s="1">
        <v>406</v>
      </c>
      <c r="B407" s="35"/>
      <c r="C407" s="35">
        <f t="shared" si="7"/>
        <v>0</v>
      </c>
      <c r="D407" s="30" t="str">
        <f>IFERROR(VLOOKUP(C407,소속부서!$A$2:$B$20,2,FALSE), "")</f>
        <v/>
      </c>
      <c r="G407" s="37"/>
      <c r="H407" s="54"/>
      <c r="I407" s="55"/>
      <c r="J407" s="33"/>
      <c r="K407" s="44"/>
      <c r="L407" s="36" t="str">
        <f>IFERROR(VLOOKUP(I407,보도매체!$A:$C,2,FALSE), "")</f>
        <v/>
      </c>
      <c r="M407" s="38" t="str">
        <f>IFERROR(VLOOKUP(I407,보도매체!$A:$C,3,FALSE), "")</f>
        <v/>
      </c>
      <c r="N407" s="33"/>
    </row>
    <row r="408" spans="1:14" x14ac:dyDescent="0.3">
      <c r="A408" s="1">
        <v>407</v>
      </c>
      <c r="B408" s="35"/>
      <c r="C408" s="35">
        <f t="shared" si="7"/>
        <v>0</v>
      </c>
      <c r="D408" s="30" t="str">
        <f>IFERROR(VLOOKUP(C408,소속부서!$A$2:$B$20,2,FALSE), "")</f>
        <v/>
      </c>
      <c r="G408" s="44"/>
      <c r="H408" s="58"/>
      <c r="I408" s="55"/>
      <c r="J408" s="33"/>
      <c r="K408" s="55"/>
      <c r="L408" s="36" t="str">
        <f>IFERROR(VLOOKUP(I408,보도매체!$A:$C,2,FALSE), "")</f>
        <v/>
      </c>
      <c r="M408" s="38" t="str">
        <f>IFERROR(VLOOKUP(I408,보도매체!$A:$C,3,FALSE), "")</f>
        <v/>
      </c>
      <c r="N408" s="33"/>
    </row>
    <row r="409" spans="1:14" x14ac:dyDescent="0.3">
      <c r="A409" s="1">
        <v>408</v>
      </c>
      <c r="B409" s="35"/>
      <c r="C409" s="35">
        <f t="shared" si="7"/>
        <v>0</v>
      </c>
      <c r="D409" s="30" t="str">
        <f>IFERROR(VLOOKUP(C409,소속부서!$A$2:$B$20,2,FALSE), "")</f>
        <v/>
      </c>
      <c r="G409" s="44"/>
      <c r="H409" s="58"/>
      <c r="I409" s="55"/>
      <c r="J409" s="33"/>
      <c r="K409" s="55"/>
      <c r="L409" s="36" t="str">
        <f>IFERROR(VLOOKUP(I409,보도매체!$A:$C,2,FALSE), "")</f>
        <v/>
      </c>
      <c r="M409" s="38" t="str">
        <f>IFERROR(VLOOKUP(I409,보도매체!$A:$C,3,FALSE), "")</f>
        <v/>
      </c>
      <c r="N409" s="33"/>
    </row>
    <row r="410" spans="1:14" x14ac:dyDescent="0.3">
      <c r="A410" s="1">
        <v>409</v>
      </c>
      <c r="B410" s="35"/>
      <c r="C410" s="35">
        <f t="shared" si="7"/>
        <v>0</v>
      </c>
      <c r="D410" s="30" t="str">
        <f>IFERROR(VLOOKUP(C410,소속부서!$A$2:$B$20,2,FALSE), "")</f>
        <v/>
      </c>
      <c r="E410" s="12"/>
      <c r="G410" s="37"/>
      <c r="H410" s="58"/>
      <c r="I410" s="55"/>
      <c r="J410" s="33"/>
      <c r="K410" s="37"/>
      <c r="L410" s="36" t="str">
        <f>IFERROR(VLOOKUP(I410,보도매체!$A:$C,2,FALSE), "")</f>
        <v/>
      </c>
      <c r="M410" s="38" t="str">
        <f>IFERROR(VLOOKUP(I410,보도매체!$A:$C,3,FALSE), "")</f>
        <v/>
      </c>
      <c r="N410" s="33"/>
    </row>
    <row r="411" spans="1:14" x14ac:dyDescent="0.3">
      <c r="A411" s="1">
        <v>410</v>
      </c>
      <c r="B411" s="35"/>
      <c r="C411" s="35">
        <f t="shared" si="7"/>
        <v>0</v>
      </c>
      <c r="D411" s="30" t="str">
        <f>IFERROR(VLOOKUP(C411,소속부서!$A$2:$B$20,2,FALSE), "")</f>
        <v/>
      </c>
      <c r="E411" s="35"/>
      <c r="F411" s="37"/>
      <c r="G411" s="37"/>
      <c r="H411" s="42"/>
      <c r="I411" s="55"/>
      <c r="J411" s="33"/>
      <c r="K411" s="61"/>
      <c r="L411" s="36" t="str">
        <f>IFERROR(VLOOKUP(I411,보도매체!$A:$C,2,FALSE), "")</f>
        <v/>
      </c>
      <c r="M411" s="38" t="str">
        <f>IFERROR(VLOOKUP(I411,보도매체!$A:$C,3,FALSE), "")</f>
        <v/>
      </c>
      <c r="N411" s="33"/>
    </row>
    <row r="412" spans="1:14" x14ac:dyDescent="0.3">
      <c r="A412" s="1">
        <v>411</v>
      </c>
      <c r="B412" s="35"/>
      <c r="C412" s="35">
        <f t="shared" si="7"/>
        <v>0</v>
      </c>
      <c r="D412" s="30" t="str">
        <f>IFERROR(VLOOKUP(C412,소속부서!$A$2:$B$20,2,FALSE), "")</f>
        <v/>
      </c>
      <c r="E412" s="30"/>
      <c r="G412" s="37"/>
      <c r="H412" s="40"/>
      <c r="L412" s="36" t="str">
        <f>IFERROR(VLOOKUP(I412,보도매체!$A:$C,2,FALSE), "")</f>
        <v/>
      </c>
      <c r="M412" s="38" t="str">
        <f>IFERROR(VLOOKUP(I412,보도매체!$A:$C,3,FALSE), "")</f>
        <v/>
      </c>
      <c r="N412" s="3"/>
    </row>
    <row r="413" spans="1:14" x14ac:dyDescent="0.3">
      <c r="A413" s="1">
        <v>412</v>
      </c>
      <c r="B413" s="35"/>
      <c r="C413" s="35">
        <f t="shared" si="7"/>
        <v>0</v>
      </c>
      <c r="D413" s="30" t="str">
        <f>IFERROR(VLOOKUP(C413,소속부서!$A$2:$B$20,2,FALSE), "")</f>
        <v/>
      </c>
      <c r="G413" s="37"/>
      <c r="H413" s="40"/>
      <c r="L413" s="36" t="str">
        <f>IFERROR(VLOOKUP(I413,보도매체!$A:$C,2,FALSE), "")</f>
        <v/>
      </c>
      <c r="M413" s="38" t="str">
        <f>IFERROR(VLOOKUP(I413,보도매체!$A:$C,3,FALSE), "")</f>
        <v/>
      </c>
      <c r="N413" s="3"/>
    </row>
    <row r="414" spans="1:14" x14ac:dyDescent="0.3">
      <c r="A414" s="1">
        <v>413</v>
      </c>
      <c r="B414" s="35"/>
      <c r="C414" s="35">
        <f t="shared" si="7"/>
        <v>0</v>
      </c>
      <c r="D414" s="30" t="str">
        <f>IFERROR(VLOOKUP(C414,소속부서!$A$2:$B$20,2,FALSE), "")</f>
        <v/>
      </c>
      <c r="G414" s="37"/>
      <c r="H414" s="40"/>
      <c r="L414" s="36" t="str">
        <f>IFERROR(VLOOKUP(I414,보도매체!$A:$C,2,FALSE), "")</f>
        <v/>
      </c>
      <c r="M414" s="38" t="str">
        <f>IFERROR(VLOOKUP(I414,보도매체!$A:$C,3,FALSE), "")</f>
        <v/>
      </c>
      <c r="N414" s="3"/>
    </row>
    <row r="415" spans="1:14" x14ac:dyDescent="0.3">
      <c r="A415" s="1">
        <v>414</v>
      </c>
      <c r="B415" s="35"/>
      <c r="C415" s="35">
        <f t="shared" si="7"/>
        <v>0</v>
      </c>
      <c r="D415" s="30" t="str">
        <f>IFERROR(VLOOKUP(C415,소속부서!$A$2:$B$20,2,FALSE), "")</f>
        <v/>
      </c>
      <c r="G415" s="37"/>
      <c r="H415" s="40"/>
      <c r="L415" s="36" t="str">
        <f>IFERROR(VLOOKUP(I415,보도매체!$A:$C,2,FALSE), "")</f>
        <v/>
      </c>
      <c r="M415" s="38" t="str">
        <f>IFERROR(VLOOKUP(I415,보도매체!$A:$C,3,FALSE), "")</f>
        <v/>
      </c>
      <c r="N415" s="3"/>
    </row>
    <row r="416" spans="1:14" x14ac:dyDescent="0.3">
      <c r="A416" s="1">
        <v>415</v>
      </c>
      <c r="B416" s="35"/>
      <c r="C416" s="35">
        <f t="shared" si="7"/>
        <v>0</v>
      </c>
      <c r="D416" s="30" t="str">
        <f>IFERROR(VLOOKUP(C416,소속부서!$A$2:$B$20,2,FALSE), "")</f>
        <v/>
      </c>
      <c r="E416" s="12"/>
      <c r="G416" s="37"/>
      <c r="H416" s="40"/>
      <c r="L416" s="36" t="str">
        <f>IFERROR(VLOOKUP(I416,보도매체!$A:$C,2,FALSE), "")</f>
        <v/>
      </c>
      <c r="M416" s="38" t="str">
        <f>IFERROR(VLOOKUP(I416,보도매체!$A:$C,3,FALSE), "")</f>
        <v/>
      </c>
      <c r="N416" s="3"/>
    </row>
    <row r="417" spans="1:14" x14ac:dyDescent="0.3">
      <c r="A417" s="1">
        <v>416</v>
      </c>
      <c r="B417" s="35"/>
      <c r="C417" s="35">
        <f t="shared" si="7"/>
        <v>0</v>
      </c>
      <c r="D417" s="30" t="str">
        <f>IFERROR(VLOOKUP(C417,소속부서!$A$2:$B$20,2,FALSE), "")</f>
        <v/>
      </c>
      <c r="G417" s="37"/>
      <c r="H417" s="40"/>
      <c r="I417" s="55"/>
      <c r="J417" s="33"/>
      <c r="K417" s="44"/>
      <c r="L417" s="36" t="str">
        <f>IFERROR(VLOOKUP(I417,보도매체!$A:$C,2,FALSE), "")</f>
        <v/>
      </c>
      <c r="M417" s="38" t="str">
        <f>IFERROR(VLOOKUP(I417,보도매체!$A:$C,3,FALSE), "")</f>
        <v/>
      </c>
      <c r="N417" s="3"/>
    </row>
    <row r="418" spans="1:14" x14ac:dyDescent="0.3">
      <c r="A418" s="1">
        <v>417</v>
      </c>
      <c r="B418" s="35"/>
      <c r="C418" s="35">
        <f t="shared" si="7"/>
        <v>0</v>
      </c>
      <c r="D418" s="30" t="str">
        <f>IFERROR(VLOOKUP(C418,소속부서!$A$2:$B$20,2,FALSE), "")</f>
        <v/>
      </c>
      <c r="G418" s="44"/>
      <c r="H418" s="40"/>
      <c r="L418" s="36" t="str">
        <f>IFERROR(VLOOKUP(I418,보도매체!$A:$C,2,FALSE), "")</f>
        <v/>
      </c>
      <c r="M418" s="38" t="str">
        <f>IFERROR(VLOOKUP(I418,보도매체!$A:$C,3,FALSE), "")</f>
        <v/>
      </c>
      <c r="N418" s="3"/>
    </row>
    <row r="419" spans="1:14" x14ac:dyDescent="0.3">
      <c r="A419" s="1">
        <v>418</v>
      </c>
      <c r="B419" s="35"/>
      <c r="C419" s="35">
        <f t="shared" si="7"/>
        <v>0</v>
      </c>
      <c r="D419" s="30" t="str">
        <f>IFERROR(VLOOKUP(C419,소속부서!$A$2:$B$20,2,FALSE), "")</f>
        <v/>
      </c>
      <c r="G419" s="37"/>
      <c r="H419" s="40"/>
      <c r="L419" s="36" t="str">
        <f>IFERROR(VLOOKUP(I419,보도매체!$A:$C,2,FALSE), "")</f>
        <v/>
      </c>
      <c r="M419" s="38" t="str">
        <f>IFERROR(VLOOKUP(I419,보도매체!$A:$C,3,FALSE), "")</f>
        <v/>
      </c>
      <c r="N419" s="3"/>
    </row>
    <row r="420" spans="1:14" x14ac:dyDescent="0.3">
      <c r="A420" s="1">
        <v>419</v>
      </c>
      <c r="B420" s="35"/>
      <c r="C420" s="35">
        <f t="shared" si="7"/>
        <v>0</v>
      </c>
      <c r="D420" s="30" t="str">
        <f>IFERROR(VLOOKUP(C420,소속부서!$A$2:$B$20,2,FALSE), "")</f>
        <v/>
      </c>
      <c r="E420" s="52"/>
      <c r="F420" s="39"/>
      <c r="G420" s="37"/>
      <c r="H420" s="40"/>
      <c r="L420" s="36" t="str">
        <f>IFERROR(VLOOKUP(I420,보도매체!$A:$C,2,FALSE), "")</f>
        <v/>
      </c>
      <c r="M420" s="38" t="str">
        <f>IFERROR(VLOOKUP(I420,보도매체!$A:$C,3,FALSE), "")</f>
        <v/>
      </c>
      <c r="N420" s="3"/>
    </row>
    <row r="421" spans="1:14" x14ac:dyDescent="0.3">
      <c r="A421" s="1">
        <v>420</v>
      </c>
      <c r="B421" s="35"/>
      <c r="C421" s="35">
        <f t="shared" si="7"/>
        <v>0</v>
      </c>
      <c r="D421" s="30" t="str">
        <f>IFERROR(VLOOKUP(C421,소속부서!$A$2:$B$20,2,FALSE), "")</f>
        <v/>
      </c>
      <c r="G421" s="37"/>
      <c r="H421" s="40"/>
      <c r="L421" s="36" t="str">
        <f>IFERROR(VLOOKUP(I421,보도매체!$A:$C,2,FALSE), "")</f>
        <v/>
      </c>
      <c r="M421" s="38" t="str">
        <f>IFERROR(VLOOKUP(I421,보도매체!$A:$C,3,FALSE), "")</f>
        <v/>
      </c>
      <c r="N421" s="3"/>
    </row>
    <row r="422" spans="1:14" x14ac:dyDescent="0.3">
      <c r="A422" s="1">
        <v>421</v>
      </c>
      <c r="B422" s="35"/>
      <c r="C422" s="35">
        <f t="shared" si="7"/>
        <v>0</v>
      </c>
      <c r="D422" s="30" t="str">
        <f>IFERROR(VLOOKUP(C422,소속부서!$A$2:$B$20,2,FALSE), "")</f>
        <v/>
      </c>
      <c r="E422" s="12"/>
      <c r="G422" s="37"/>
      <c r="H422" s="40"/>
      <c r="L422" s="36" t="str">
        <f>IFERROR(VLOOKUP(I422,보도매체!$A:$C,2,FALSE), "")</f>
        <v/>
      </c>
      <c r="M422" s="38" t="str">
        <f>IFERROR(VLOOKUP(I422,보도매체!$A:$C,3,FALSE), "")</f>
        <v/>
      </c>
      <c r="N422" s="3"/>
    </row>
    <row r="423" spans="1:14" x14ac:dyDescent="0.3">
      <c r="A423" s="1">
        <v>422</v>
      </c>
      <c r="B423" s="35"/>
      <c r="C423" s="35">
        <f t="shared" si="7"/>
        <v>0</v>
      </c>
      <c r="D423" s="30" t="str">
        <f>IFERROR(VLOOKUP(C423,소속부서!$A$2:$B$20,2,FALSE), "")</f>
        <v/>
      </c>
      <c r="G423" s="37"/>
      <c r="H423" s="40"/>
      <c r="L423" s="36" t="str">
        <f>IFERROR(VLOOKUP(I423,보도매체!$A:$C,2,FALSE), "")</f>
        <v/>
      </c>
      <c r="M423" s="38" t="str">
        <f>IFERROR(VLOOKUP(I423,보도매체!$A:$C,3,FALSE), "")</f>
        <v/>
      </c>
      <c r="N423" s="3"/>
    </row>
    <row r="424" spans="1:14" x14ac:dyDescent="0.3">
      <c r="A424" s="1">
        <v>423</v>
      </c>
      <c r="B424" s="35"/>
      <c r="C424" s="35">
        <f t="shared" si="7"/>
        <v>0</v>
      </c>
      <c r="D424" s="30" t="str">
        <f>IFERROR(VLOOKUP(C424,소속부서!$A$2:$B$20,2,FALSE), "")</f>
        <v/>
      </c>
      <c r="G424" s="37"/>
      <c r="H424" s="43"/>
      <c r="I424" s="37"/>
      <c r="J424" s="33"/>
      <c r="K424" s="57"/>
      <c r="L424" s="36" t="str">
        <f>IFERROR(VLOOKUP(I424,보도매체!$A:$C,2,FALSE), "")</f>
        <v/>
      </c>
      <c r="M424" s="38" t="str">
        <f>IFERROR(VLOOKUP(I424,보도매체!$A:$C,3,FALSE), "")</f>
        <v/>
      </c>
      <c r="N424" s="3"/>
    </row>
    <row r="425" spans="1:14" x14ac:dyDescent="0.3">
      <c r="A425" s="1">
        <v>424</v>
      </c>
      <c r="B425" s="35"/>
      <c r="C425" s="35">
        <f t="shared" si="7"/>
        <v>0</v>
      </c>
      <c r="D425" s="30" t="str">
        <f>IFERROR(VLOOKUP(C425,소속부서!$A$2:$B$20,2,FALSE), "")</f>
        <v/>
      </c>
      <c r="G425" s="37"/>
      <c r="H425" s="40"/>
      <c r="I425" s="47"/>
      <c r="L425" s="36" t="str">
        <f>IFERROR(VLOOKUP(I425,보도매체!$A:$C,2,FALSE), "")</f>
        <v/>
      </c>
      <c r="M425" s="38" t="str">
        <f>IFERROR(VLOOKUP(I425,보도매체!$A:$C,3,FALSE), "")</f>
        <v/>
      </c>
      <c r="N425" s="3"/>
    </row>
    <row r="426" spans="1:14" x14ac:dyDescent="0.3">
      <c r="A426" s="1">
        <v>425</v>
      </c>
      <c r="B426" s="35"/>
      <c r="C426" s="35">
        <f t="shared" si="7"/>
        <v>0</v>
      </c>
      <c r="D426" s="30" t="str">
        <f>IFERROR(VLOOKUP(C426,소속부서!$A$2:$B$20,2,FALSE), "")</f>
        <v/>
      </c>
      <c r="G426" s="37"/>
      <c r="H426" s="40"/>
      <c r="L426" s="36" t="str">
        <f>IFERROR(VLOOKUP(I426,보도매체!$A:$C,2,FALSE), "")</f>
        <v/>
      </c>
      <c r="M426" s="38" t="str">
        <f>IFERROR(VLOOKUP(I426,보도매체!$A:$C,3,FALSE), "")</f>
        <v/>
      </c>
      <c r="N426" s="3"/>
    </row>
    <row r="427" spans="1:14" x14ac:dyDescent="0.3">
      <c r="A427" s="1">
        <v>426</v>
      </c>
      <c r="B427" s="35"/>
      <c r="C427" s="35">
        <f t="shared" si="7"/>
        <v>0</v>
      </c>
      <c r="D427" s="30" t="str">
        <f>IFERROR(VLOOKUP(C427,소속부서!$A$2:$B$20,2,FALSE), "")</f>
        <v/>
      </c>
      <c r="G427" s="37"/>
      <c r="H427" s="40"/>
      <c r="L427" s="36" t="str">
        <f>IFERROR(VLOOKUP(I427,보도매체!$A:$C,2,FALSE), "")</f>
        <v/>
      </c>
      <c r="M427" s="38" t="str">
        <f>IFERROR(VLOOKUP(I427,보도매체!$A:$C,3,FALSE), "")</f>
        <v/>
      </c>
      <c r="N427" s="3"/>
    </row>
    <row r="428" spans="1:14" x14ac:dyDescent="0.3">
      <c r="A428" s="1">
        <v>427</v>
      </c>
      <c r="B428" s="35"/>
      <c r="C428" s="35">
        <f t="shared" si="7"/>
        <v>0</v>
      </c>
      <c r="D428" s="30" t="str">
        <f>IFERROR(VLOOKUP(C428,소속부서!$A$2:$B$20,2,FALSE), "")</f>
        <v/>
      </c>
      <c r="G428" s="37"/>
      <c r="H428" s="40"/>
      <c r="I428" s="37"/>
      <c r="K428" s="37"/>
      <c r="L428" s="36" t="str">
        <f>IFERROR(VLOOKUP(I428,보도매체!$A:$C,2,FALSE), "")</f>
        <v/>
      </c>
      <c r="M428" s="38" t="str">
        <f>IFERROR(VLOOKUP(I428,보도매체!$A:$C,3,FALSE), "")</f>
        <v/>
      </c>
      <c r="N428" s="3"/>
    </row>
    <row r="429" spans="1:14" x14ac:dyDescent="0.3">
      <c r="A429" s="1">
        <v>428</v>
      </c>
      <c r="B429" s="35"/>
      <c r="C429" s="35">
        <f t="shared" si="7"/>
        <v>0</v>
      </c>
      <c r="D429" s="30" t="str">
        <f>IFERROR(VLOOKUP(C429,소속부서!$A$2:$B$20,2,FALSE), "")</f>
        <v/>
      </c>
      <c r="G429" s="37"/>
      <c r="H429" s="40"/>
      <c r="I429" s="37"/>
      <c r="K429" s="28"/>
      <c r="L429" s="36" t="str">
        <f>IFERROR(VLOOKUP(I429,보도매체!$A:$C,2,FALSE), "")</f>
        <v/>
      </c>
      <c r="M429" s="38" t="str">
        <f>IFERROR(VLOOKUP(I429,보도매체!$A:$C,3,FALSE), "")</f>
        <v/>
      </c>
      <c r="N429" s="3"/>
    </row>
    <row r="430" spans="1:14" x14ac:dyDescent="0.3">
      <c r="A430" s="1">
        <v>429</v>
      </c>
      <c r="B430" s="35"/>
      <c r="C430" s="35">
        <f t="shared" si="7"/>
        <v>0</v>
      </c>
      <c r="D430" s="30" t="str">
        <f>IFERROR(VLOOKUP(C430,소속부서!$A$2:$B$20,2,FALSE), "")</f>
        <v/>
      </c>
      <c r="G430" s="44"/>
      <c r="H430" s="40"/>
      <c r="L430" s="36" t="str">
        <f>IFERROR(VLOOKUP(I430,보도매체!$A:$C,2,FALSE), "")</f>
        <v/>
      </c>
      <c r="M430" s="38" t="str">
        <f>IFERROR(VLOOKUP(I430,보도매체!$A:$C,3,FALSE), "")</f>
        <v/>
      </c>
      <c r="N430" s="3"/>
    </row>
    <row r="431" spans="1:14" x14ac:dyDescent="0.3">
      <c r="A431" s="1">
        <v>430</v>
      </c>
      <c r="B431" s="35"/>
      <c r="C431" s="35">
        <f t="shared" si="7"/>
        <v>0</v>
      </c>
      <c r="D431" s="30" t="str">
        <f>IFERROR(VLOOKUP(C431,소속부서!$A$2:$B$20,2,FALSE), "")</f>
        <v/>
      </c>
      <c r="G431" s="37"/>
      <c r="H431" s="40"/>
      <c r="I431" s="55"/>
      <c r="L431" s="36" t="str">
        <f>IFERROR(VLOOKUP(I431,보도매체!$A:$C,2,FALSE), "")</f>
        <v/>
      </c>
      <c r="M431" s="38" t="str">
        <f>IFERROR(VLOOKUP(I431,보도매체!$A:$C,3,FALSE), "")</f>
        <v/>
      </c>
      <c r="N431" s="3"/>
    </row>
    <row r="432" spans="1:14" x14ac:dyDescent="0.3">
      <c r="A432" s="1">
        <v>431</v>
      </c>
      <c r="B432" s="35"/>
      <c r="C432" s="35">
        <f t="shared" si="7"/>
        <v>0</v>
      </c>
      <c r="D432" s="30" t="str">
        <f>IFERROR(VLOOKUP(C432,소속부서!$A$2:$B$20,2,FALSE), "")</f>
        <v/>
      </c>
      <c r="G432" s="37"/>
      <c r="H432" s="40"/>
      <c r="I432" s="55"/>
      <c r="K432" s="55"/>
      <c r="L432" s="36" t="str">
        <f>IFERROR(VLOOKUP(I432,보도매체!$A:$C,2,FALSE), "")</f>
        <v/>
      </c>
      <c r="M432" s="38" t="str">
        <f>IFERROR(VLOOKUP(I432,보도매체!$A:$C,3,FALSE), "")</f>
        <v/>
      </c>
      <c r="N432" s="3"/>
    </row>
    <row r="433" spans="1:14" x14ac:dyDescent="0.3">
      <c r="A433" s="1">
        <v>432</v>
      </c>
      <c r="B433" s="35"/>
      <c r="C433" s="35">
        <f t="shared" si="7"/>
        <v>0</v>
      </c>
      <c r="D433" s="30" t="str">
        <f>IFERROR(VLOOKUP(C433,소속부서!$A$2:$B$20,2,FALSE), "")</f>
        <v/>
      </c>
      <c r="G433" s="37"/>
      <c r="H433" s="40"/>
      <c r="L433" s="36" t="str">
        <f>IFERROR(VLOOKUP(I433,보도매체!$A:$C,2,FALSE), "")</f>
        <v/>
      </c>
      <c r="M433" s="38" t="str">
        <f>IFERROR(VLOOKUP(I433,보도매체!$A:$C,3,FALSE), "")</f>
        <v/>
      </c>
      <c r="N433" s="3"/>
    </row>
    <row r="434" spans="1:14" x14ac:dyDescent="0.3">
      <c r="A434" s="1">
        <v>433</v>
      </c>
      <c r="B434" s="35"/>
      <c r="C434" s="35">
        <f t="shared" si="7"/>
        <v>0</v>
      </c>
      <c r="D434" s="30" t="str">
        <f>IFERROR(VLOOKUP(C434,소속부서!$A$2:$B$20,2,FALSE), "")</f>
        <v/>
      </c>
      <c r="G434" s="37"/>
      <c r="H434" s="40"/>
      <c r="L434" s="36" t="str">
        <f>IFERROR(VLOOKUP(I434,보도매체!$A:$C,2,FALSE), "")</f>
        <v/>
      </c>
      <c r="M434" s="38" t="str">
        <f>IFERROR(VLOOKUP(I434,보도매체!$A:$C,3,FALSE), "")</f>
        <v/>
      </c>
      <c r="N434" s="3"/>
    </row>
    <row r="435" spans="1:14" x14ac:dyDescent="0.3">
      <c r="C435" s="35">
        <f t="shared" si="7"/>
        <v>0</v>
      </c>
      <c r="D435" s="30" t="str">
        <f>IFERROR(VLOOKUP(C435,소속부서!$A$2:$B$20,2,FALSE), "")</f>
        <v/>
      </c>
      <c r="L435" s="36" t="str">
        <f>IFERROR(VLOOKUP(I435,보도매체!$A:$C,2,FALSE), "")</f>
        <v/>
      </c>
      <c r="M435" s="38" t="str">
        <f>IFERROR(VLOOKUP(I435,보도매체!$A:$C,3,FALSE), "")</f>
        <v/>
      </c>
    </row>
    <row r="436" spans="1:14" x14ac:dyDescent="0.3">
      <c r="C436" s="35">
        <f t="shared" si="7"/>
        <v>0</v>
      </c>
      <c r="D436" s="30" t="str">
        <f>IFERROR(VLOOKUP(C436,소속부서!$A$2:$B$20,2,FALSE), "")</f>
        <v/>
      </c>
      <c r="L436" s="36" t="str">
        <f>IFERROR(VLOOKUP(I436,보도매체!$A:$C,2,FALSE), "")</f>
        <v/>
      </c>
      <c r="M436" s="38" t="str">
        <f>IFERROR(VLOOKUP(I436,보도매체!$A:$C,3,FALSE), "")</f>
        <v/>
      </c>
    </row>
    <row r="437" spans="1:14" x14ac:dyDescent="0.3">
      <c r="C437" s="35">
        <f t="shared" si="7"/>
        <v>0</v>
      </c>
      <c r="D437" s="30" t="str">
        <f>IFERROR(VLOOKUP(C437,소속부서!$A$2:$B$20,2,FALSE), "")</f>
        <v/>
      </c>
      <c r="L437" s="36" t="str">
        <f>IFERROR(VLOOKUP(I437,보도매체!$A:$C,2,FALSE), "")</f>
        <v/>
      </c>
      <c r="M437" s="38" t="str">
        <f>IFERROR(VLOOKUP(I437,보도매체!$A:$C,3,FALSE), "")</f>
        <v/>
      </c>
    </row>
    <row r="438" spans="1:14" x14ac:dyDescent="0.3">
      <c r="C438" s="35">
        <f t="shared" si="7"/>
        <v>0</v>
      </c>
      <c r="D438" s="30" t="str">
        <f>IFERROR(VLOOKUP(C438,소속부서!$A$2:$B$20,2,FALSE), "")</f>
        <v/>
      </c>
      <c r="L438" s="36" t="str">
        <f>IFERROR(VLOOKUP(I438,보도매체!$A:$C,2,FALSE), "")</f>
        <v/>
      </c>
      <c r="M438" s="38" t="str">
        <f>IFERROR(VLOOKUP(I438,보도매체!$A:$C,3,FALSE), "")</f>
        <v/>
      </c>
    </row>
    <row r="439" spans="1:14" x14ac:dyDescent="0.3">
      <c r="C439" s="35">
        <f t="shared" si="7"/>
        <v>0</v>
      </c>
      <c r="D439" s="30" t="str">
        <f>IFERROR(VLOOKUP(C439,소속부서!$A$2:$B$20,2,FALSE), "")</f>
        <v/>
      </c>
      <c r="L439" s="36" t="str">
        <f>IFERROR(VLOOKUP(I439,보도매체!$A:$C,2,FALSE), "")</f>
        <v/>
      </c>
      <c r="M439" s="38" t="str">
        <f>IFERROR(VLOOKUP(I439,보도매체!$A:$C,3,FALSE), "")</f>
        <v/>
      </c>
    </row>
    <row r="440" spans="1:14" x14ac:dyDescent="0.3">
      <c r="C440" s="35">
        <f t="shared" si="7"/>
        <v>0</v>
      </c>
      <c r="D440" s="30" t="str">
        <f>IFERROR(VLOOKUP(C440,소속부서!$A$2:$B$20,2,FALSE), "")</f>
        <v/>
      </c>
      <c r="L440" s="36" t="str">
        <f>IFERROR(VLOOKUP(I440,보도매체!$A:$C,2,FALSE), "")</f>
        <v/>
      </c>
      <c r="M440" s="38" t="str">
        <f>IFERROR(VLOOKUP(I440,보도매체!$A:$C,3,FALSE), "")</f>
        <v/>
      </c>
    </row>
    <row r="441" spans="1:14" x14ac:dyDescent="0.3">
      <c r="C441" s="35">
        <f t="shared" si="7"/>
        <v>0</v>
      </c>
      <c r="D441" s="30" t="str">
        <f>IFERROR(VLOOKUP(C441,소속부서!$A$2:$B$20,2,FALSE), "")</f>
        <v/>
      </c>
      <c r="L441" s="36" t="str">
        <f>IFERROR(VLOOKUP(I441,보도매체!$A:$C,2,FALSE), "")</f>
        <v/>
      </c>
      <c r="M441" s="38" t="str">
        <f>IFERROR(VLOOKUP(I441,보도매체!$A:$C,3,FALSE), "")</f>
        <v/>
      </c>
    </row>
    <row r="442" spans="1:14" x14ac:dyDescent="0.3">
      <c r="C442" s="35">
        <f t="shared" si="7"/>
        <v>0</v>
      </c>
      <c r="D442" s="30" t="str">
        <f>IFERROR(VLOOKUP(C442,소속부서!$A$2:$B$20,2,FALSE), "")</f>
        <v/>
      </c>
      <c r="L442" s="36" t="str">
        <f>IFERROR(VLOOKUP(I442,보도매체!$A:$C,2,FALSE), "")</f>
        <v/>
      </c>
      <c r="M442" s="38" t="str">
        <f>IFERROR(VLOOKUP(I442,보도매체!$A:$C,3,FALSE), "")</f>
        <v/>
      </c>
    </row>
    <row r="443" spans="1:14" x14ac:dyDescent="0.3">
      <c r="C443" s="35">
        <f t="shared" si="7"/>
        <v>0</v>
      </c>
      <c r="D443" s="30" t="str">
        <f>IFERROR(VLOOKUP(C443,소속부서!$A$2:$B$20,2,FALSE), "")</f>
        <v/>
      </c>
      <c r="L443" s="36" t="str">
        <f>IFERROR(VLOOKUP(I443,보도매체!$A:$C,2,FALSE), "")</f>
        <v/>
      </c>
      <c r="M443" s="38" t="str">
        <f>IFERROR(VLOOKUP(I443,보도매체!$A:$C,3,FALSE), "")</f>
        <v/>
      </c>
    </row>
    <row r="444" spans="1:14" x14ac:dyDescent="0.3">
      <c r="C444" s="35">
        <f t="shared" si="7"/>
        <v>0</v>
      </c>
      <c r="D444" s="30" t="str">
        <f>IFERROR(VLOOKUP(C444,소속부서!$A$2:$B$20,2,FALSE), "")</f>
        <v/>
      </c>
      <c r="L444" s="36" t="str">
        <f>IFERROR(VLOOKUP(I444,보도매체!$A:$C,2,FALSE), "")</f>
        <v/>
      </c>
      <c r="M444" s="38" t="str">
        <f>IFERROR(VLOOKUP(I444,보도매체!$A:$C,3,FALSE), "")</f>
        <v/>
      </c>
    </row>
    <row r="445" spans="1:14" x14ac:dyDescent="0.3">
      <c r="C445" s="35">
        <f t="shared" si="7"/>
        <v>0</v>
      </c>
      <c r="D445" s="30" t="str">
        <f>IFERROR(VLOOKUP(C445,소속부서!$A$2:$B$20,2,FALSE), "")</f>
        <v/>
      </c>
      <c r="L445" s="36" t="str">
        <f>IFERROR(VLOOKUP(I445,보도매체!$A:$C,2,FALSE), "")</f>
        <v/>
      </c>
      <c r="M445" s="38" t="str">
        <f>IFERROR(VLOOKUP(I445,보도매체!$A:$C,3,FALSE), "")</f>
        <v/>
      </c>
    </row>
    <row r="446" spans="1:14" x14ac:dyDescent="0.3">
      <c r="C446" s="35">
        <f t="shared" si="7"/>
        <v>0</v>
      </c>
      <c r="D446" s="30" t="str">
        <f>IFERROR(VLOOKUP(C446,소속부서!$A$2:$B$20,2,FALSE), "")</f>
        <v/>
      </c>
      <c r="L446" s="36" t="str">
        <f>IFERROR(VLOOKUP(I446,보도매체!$A:$C,2,FALSE), "")</f>
        <v/>
      </c>
      <c r="M446" s="38" t="str">
        <f>IFERROR(VLOOKUP(I446,보도매체!$A:$C,3,FALSE), "")</f>
        <v/>
      </c>
    </row>
    <row r="447" spans="1:14" x14ac:dyDescent="0.3">
      <c r="C447" s="35">
        <f t="shared" si="7"/>
        <v>0</v>
      </c>
      <c r="D447" s="30" t="str">
        <f>IFERROR(VLOOKUP(C447,소속부서!$A$2:$B$20,2,FALSE), "")</f>
        <v/>
      </c>
      <c r="L447" s="36" t="str">
        <f>IFERROR(VLOOKUP(I447,보도매체!$A:$C,2,FALSE), "")</f>
        <v/>
      </c>
      <c r="M447" s="38" t="str">
        <f>IFERROR(VLOOKUP(I447,보도매체!$A:$C,3,FALSE), "")</f>
        <v/>
      </c>
    </row>
    <row r="448" spans="1:14" x14ac:dyDescent="0.3">
      <c r="C448" s="35">
        <f t="shared" si="7"/>
        <v>0</v>
      </c>
      <c r="D448" s="30" t="str">
        <f>IFERROR(VLOOKUP(C448,소속부서!$A$2:$B$20,2,FALSE), "")</f>
        <v/>
      </c>
      <c r="L448" s="36" t="str">
        <f>IFERROR(VLOOKUP(I448,보도매체!$A:$C,2,FALSE), "")</f>
        <v/>
      </c>
      <c r="M448" s="38" t="str">
        <f>IFERROR(VLOOKUP(I448,보도매체!$A:$C,3,FALSE), "")</f>
        <v/>
      </c>
    </row>
    <row r="449" spans="3:13" x14ac:dyDescent="0.3">
      <c r="C449" s="35">
        <f t="shared" si="7"/>
        <v>0</v>
      </c>
      <c r="D449" s="30" t="str">
        <f>IFERROR(VLOOKUP(C449,소속부서!$A$2:$B$20,2,FALSE), "")</f>
        <v/>
      </c>
      <c r="L449" s="36" t="str">
        <f>IFERROR(VLOOKUP(I449,보도매체!$A:$C,2,FALSE), "")</f>
        <v/>
      </c>
      <c r="M449" s="38" t="str">
        <f>IFERROR(VLOOKUP(I449,보도매체!$A:$C,3,FALSE), "")</f>
        <v/>
      </c>
    </row>
    <row r="450" spans="3:13" x14ac:dyDescent="0.3">
      <c r="C450" s="35">
        <f t="shared" si="7"/>
        <v>0</v>
      </c>
      <c r="D450" s="30" t="str">
        <f>IFERROR(VLOOKUP(C450,소속부서!$A$2:$B$20,2,FALSE), "")</f>
        <v/>
      </c>
      <c r="L450" s="36" t="str">
        <f>IFERROR(VLOOKUP(I450,보도매체!$A:$C,2,FALSE), "")</f>
        <v/>
      </c>
      <c r="M450" s="38" t="str">
        <f>IFERROR(VLOOKUP(I450,보도매체!$A:$C,3,FALSE), "")</f>
        <v/>
      </c>
    </row>
    <row r="451" spans="3:13" x14ac:dyDescent="0.3">
      <c r="C451" s="35">
        <f t="shared" si="7"/>
        <v>0</v>
      </c>
      <c r="D451" s="30" t="str">
        <f>IFERROR(VLOOKUP(C451,소속부서!$A$2:$B$20,2,FALSE), "")</f>
        <v/>
      </c>
      <c r="L451" s="36" t="str">
        <f>IFERROR(VLOOKUP(I451,보도매체!$A:$C,2,FALSE), "")</f>
        <v/>
      </c>
      <c r="M451" s="38" t="str">
        <f>IFERROR(VLOOKUP(I451,보도매체!$A:$C,3,FALSE), "")</f>
        <v/>
      </c>
    </row>
    <row r="452" spans="3:13" x14ac:dyDescent="0.3">
      <c r="C452" s="35">
        <f t="shared" ref="C452:C515" si="8">E452</f>
        <v>0</v>
      </c>
      <c r="D452" s="30" t="str">
        <f>IFERROR(VLOOKUP(C452,소속부서!$A$2:$B$20,2,FALSE), "")</f>
        <v/>
      </c>
      <c r="L452" s="36" t="str">
        <f>IFERROR(VLOOKUP(I452,보도매체!$A:$C,2,FALSE), "")</f>
        <v/>
      </c>
      <c r="M452" s="38" t="str">
        <f>IFERROR(VLOOKUP(I452,보도매체!$A:$C,3,FALSE), "")</f>
        <v/>
      </c>
    </row>
    <row r="453" spans="3:13" x14ac:dyDescent="0.3">
      <c r="C453" s="35">
        <f t="shared" si="8"/>
        <v>0</v>
      </c>
      <c r="D453" s="30" t="str">
        <f>IFERROR(VLOOKUP(C453,소속부서!$A$2:$B$20,2,FALSE), "")</f>
        <v/>
      </c>
      <c r="L453" s="36" t="str">
        <f>IFERROR(VLOOKUP(I453,보도매체!$A:$C,2,FALSE), "")</f>
        <v/>
      </c>
      <c r="M453" s="38" t="str">
        <f>IFERROR(VLOOKUP(I453,보도매체!$A:$C,3,FALSE), "")</f>
        <v/>
      </c>
    </row>
    <row r="454" spans="3:13" x14ac:dyDescent="0.3">
      <c r="C454" s="35">
        <f t="shared" si="8"/>
        <v>0</v>
      </c>
      <c r="D454" s="30" t="str">
        <f>IFERROR(VLOOKUP(C454,소속부서!$A$2:$B$20,2,FALSE), "")</f>
        <v/>
      </c>
      <c r="L454" s="36" t="str">
        <f>IFERROR(VLOOKUP(I454,보도매체!$A:$C,2,FALSE), "")</f>
        <v/>
      </c>
      <c r="M454" s="38" t="str">
        <f>IFERROR(VLOOKUP(I454,보도매체!$A:$C,3,FALSE), "")</f>
        <v/>
      </c>
    </row>
    <row r="455" spans="3:13" x14ac:dyDescent="0.3">
      <c r="C455" s="35">
        <f t="shared" si="8"/>
        <v>0</v>
      </c>
      <c r="D455" s="30" t="str">
        <f>IFERROR(VLOOKUP(C455,소속부서!$A$2:$B$20,2,FALSE), "")</f>
        <v/>
      </c>
      <c r="L455" s="36" t="str">
        <f>IFERROR(VLOOKUP(I455,보도매체!$A:$C,2,FALSE), "")</f>
        <v/>
      </c>
      <c r="M455" s="38" t="str">
        <f>IFERROR(VLOOKUP(I455,보도매체!$A:$C,3,FALSE), "")</f>
        <v/>
      </c>
    </row>
    <row r="456" spans="3:13" x14ac:dyDescent="0.3">
      <c r="C456" s="35">
        <f t="shared" si="8"/>
        <v>0</v>
      </c>
      <c r="D456" s="30" t="str">
        <f>IFERROR(VLOOKUP(C456,소속부서!$A$2:$B$20,2,FALSE), "")</f>
        <v/>
      </c>
      <c r="L456" s="36" t="str">
        <f>IFERROR(VLOOKUP(I456,보도매체!$A:$C,2,FALSE), "")</f>
        <v/>
      </c>
      <c r="M456" s="38" t="str">
        <f>IFERROR(VLOOKUP(I456,보도매체!$A:$C,3,FALSE), "")</f>
        <v/>
      </c>
    </row>
    <row r="457" spans="3:13" x14ac:dyDescent="0.3">
      <c r="C457" s="35">
        <f t="shared" si="8"/>
        <v>0</v>
      </c>
      <c r="D457" s="30" t="str">
        <f>IFERROR(VLOOKUP(C457,소속부서!$A$2:$B$20,2,FALSE), "")</f>
        <v/>
      </c>
      <c r="L457" s="36" t="str">
        <f>IFERROR(VLOOKUP(I457,보도매체!$A:$C,2,FALSE), "")</f>
        <v/>
      </c>
      <c r="M457" s="38" t="str">
        <f>IFERROR(VLOOKUP(I457,보도매체!$A:$C,3,FALSE), "")</f>
        <v/>
      </c>
    </row>
    <row r="458" spans="3:13" x14ac:dyDescent="0.3">
      <c r="C458" s="35">
        <f t="shared" si="8"/>
        <v>0</v>
      </c>
      <c r="D458" s="30" t="str">
        <f>IFERROR(VLOOKUP(C458,소속부서!$A$2:$B$20,2,FALSE), "")</f>
        <v/>
      </c>
      <c r="L458" s="36" t="str">
        <f>IFERROR(VLOOKUP(I458,보도매체!$A:$C,2,FALSE), "")</f>
        <v/>
      </c>
      <c r="M458" s="38" t="str">
        <f>IFERROR(VLOOKUP(I458,보도매체!$A:$C,3,FALSE), "")</f>
        <v/>
      </c>
    </row>
    <row r="459" spans="3:13" x14ac:dyDescent="0.3">
      <c r="C459" s="35">
        <f t="shared" si="8"/>
        <v>0</v>
      </c>
      <c r="D459" s="30" t="str">
        <f>IFERROR(VLOOKUP(C459,소속부서!$A$2:$B$20,2,FALSE), "")</f>
        <v/>
      </c>
      <c r="L459" s="36" t="str">
        <f>IFERROR(VLOOKUP(I459,보도매체!$A:$C,2,FALSE), "")</f>
        <v/>
      </c>
      <c r="M459" s="38" t="str">
        <f>IFERROR(VLOOKUP(I459,보도매체!$A:$C,3,FALSE), "")</f>
        <v/>
      </c>
    </row>
    <row r="460" spans="3:13" x14ac:dyDescent="0.3">
      <c r="C460" s="35">
        <f t="shared" si="8"/>
        <v>0</v>
      </c>
      <c r="D460" s="30" t="str">
        <f>IFERROR(VLOOKUP(C460,소속부서!$A$2:$B$20,2,FALSE), "")</f>
        <v/>
      </c>
      <c r="L460" s="36" t="str">
        <f>IFERROR(VLOOKUP(I460,보도매체!$A:$C,2,FALSE), "")</f>
        <v/>
      </c>
      <c r="M460" s="38" t="str">
        <f>IFERROR(VLOOKUP(I460,보도매체!$A:$C,3,FALSE), "")</f>
        <v/>
      </c>
    </row>
    <row r="461" spans="3:13" x14ac:dyDescent="0.3">
      <c r="C461" s="35">
        <f t="shared" si="8"/>
        <v>0</v>
      </c>
      <c r="D461" s="30" t="str">
        <f>IFERROR(VLOOKUP(C461,소속부서!$A$2:$B$20,2,FALSE), "")</f>
        <v/>
      </c>
      <c r="L461" s="36" t="str">
        <f>IFERROR(VLOOKUP(I461,보도매체!$A:$C,2,FALSE), "")</f>
        <v/>
      </c>
      <c r="M461" s="38" t="str">
        <f>IFERROR(VLOOKUP(I461,보도매체!$A:$C,3,FALSE), "")</f>
        <v/>
      </c>
    </row>
    <row r="462" spans="3:13" x14ac:dyDescent="0.3">
      <c r="C462" s="35">
        <f t="shared" si="8"/>
        <v>0</v>
      </c>
      <c r="D462" s="30" t="str">
        <f>IFERROR(VLOOKUP(C462,소속부서!$A$2:$B$20,2,FALSE), "")</f>
        <v/>
      </c>
      <c r="L462" s="36" t="str">
        <f>IFERROR(VLOOKUP(I462,보도매체!$A:$C,2,FALSE), "")</f>
        <v/>
      </c>
      <c r="M462" s="38" t="str">
        <f>IFERROR(VLOOKUP(I462,보도매체!$A:$C,3,FALSE), "")</f>
        <v/>
      </c>
    </row>
    <row r="463" spans="3:13" x14ac:dyDescent="0.3">
      <c r="C463" s="35">
        <f t="shared" si="8"/>
        <v>0</v>
      </c>
      <c r="D463" s="30" t="str">
        <f>IFERROR(VLOOKUP(C463,소속부서!$A$2:$B$20,2,FALSE), "")</f>
        <v/>
      </c>
      <c r="L463" s="36" t="str">
        <f>IFERROR(VLOOKUP(I463,보도매체!$A:$C,2,FALSE), "")</f>
        <v/>
      </c>
      <c r="M463" s="38" t="str">
        <f>IFERROR(VLOOKUP(I463,보도매체!$A:$C,3,FALSE), "")</f>
        <v/>
      </c>
    </row>
    <row r="464" spans="3:13" x14ac:dyDescent="0.3">
      <c r="C464" s="35">
        <f t="shared" si="8"/>
        <v>0</v>
      </c>
      <c r="D464" s="30" t="str">
        <f>IFERROR(VLOOKUP(C464,소속부서!$A$2:$B$20,2,FALSE), "")</f>
        <v/>
      </c>
      <c r="L464" s="36" t="str">
        <f>IFERROR(VLOOKUP(I464,보도매체!$A:$C,2,FALSE), "")</f>
        <v/>
      </c>
      <c r="M464" s="38" t="str">
        <f>IFERROR(VLOOKUP(I464,보도매체!$A:$C,3,FALSE), "")</f>
        <v/>
      </c>
    </row>
    <row r="465" spans="3:13" x14ac:dyDescent="0.3">
      <c r="C465" s="35">
        <f t="shared" si="8"/>
        <v>0</v>
      </c>
      <c r="D465" s="30" t="str">
        <f>IFERROR(VLOOKUP(C465,소속부서!$A$2:$B$20,2,FALSE), "")</f>
        <v/>
      </c>
      <c r="L465" s="36" t="str">
        <f>IFERROR(VLOOKUP(I465,보도매체!$A:$C,2,FALSE), "")</f>
        <v/>
      </c>
      <c r="M465" s="38" t="str">
        <f>IFERROR(VLOOKUP(I465,보도매체!$A:$C,3,FALSE), "")</f>
        <v/>
      </c>
    </row>
    <row r="466" spans="3:13" x14ac:dyDescent="0.3">
      <c r="C466" s="35">
        <f t="shared" si="8"/>
        <v>0</v>
      </c>
      <c r="D466" s="30" t="str">
        <f>IFERROR(VLOOKUP(C466,소속부서!$A$2:$B$20,2,FALSE), "")</f>
        <v/>
      </c>
      <c r="L466" s="36" t="str">
        <f>IFERROR(VLOOKUP(I466,보도매체!$A:$C,2,FALSE), "")</f>
        <v/>
      </c>
      <c r="M466" s="38" t="str">
        <f>IFERROR(VLOOKUP(I466,보도매체!$A:$C,3,FALSE), "")</f>
        <v/>
      </c>
    </row>
    <row r="467" spans="3:13" x14ac:dyDescent="0.3">
      <c r="C467" s="35">
        <f t="shared" si="8"/>
        <v>0</v>
      </c>
      <c r="D467" s="30" t="str">
        <f>IFERROR(VLOOKUP(C467,소속부서!$A$2:$B$20,2,FALSE), "")</f>
        <v/>
      </c>
      <c r="L467" s="36" t="str">
        <f>IFERROR(VLOOKUP(I467,보도매체!$A:$C,2,FALSE), "")</f>
        <v/>
      </c>
      <c r="M467" s="38" t="str">
        <f>IFERROR(VLOOKUP(I467,보도매체!$A:$C,3,FALSE), "")</f>
        <v/>
      </c>
    </row>
    <row r="468" spans="3:13" x14ac:dyDescent="0.3">
      <c r="C468" s="35">
        <f t="shared" si="8"/>
        <v>0</v>
      </c>
      <c r="D468" s="30" t="str">
        <f>IFERROR(VLOOKUP(C468,소속부서!$A$2:$B$20,2,FALSE), "")</f>
        <v/>
      </c>
      <c r="L468" s="36" t="str">
        <f>IFERROR(VLOOKUP(I468,보도매체!$A:$C,2,FALSE), "")</f>
        <v/>
      </c>
      <c r="M468" s="38" t="str">
        <f>IFERROR(VLOOKUP(I468,보도매체!$A:$C,3,FALSE), "")</f>
        <v/>
      </c>
    </row>
    <row r="469" spans="3:13" x14ac:dyDescent="0.3">
      <c r="C469" s="35">
        <f t="shared" si="8"/>
        <v>0</v>
      </c>
      <c r="D469" s="30" t="str">
        <f>IFERROR(VLOOKUP(C469,소속부서!$A$2:$B$20,2,FALSE), "")</f>
        <v/>
      </c>
      <c r="L469" s="36" t="str">
        <f>IFERROR(VLOOKUP(I469,보도매체!$A:$C,2,FALSE), "")</f>
        <v/>
      </c>
      <c r="M469" s="38" t="str">
        <f>IFERROR(VLOOKUP(I469,보도매체!$A:$C,3,FALSE), "")</f>
        <v/>
      </c>
    </row>
    <row r="470" spans="3:13" x14ac:dyDescent="0.3">
      <c r="C470" s="35">
        <f t="shared" si="8"/>
        <v>0</v>
      </c>
      <c r="D470" s="30" t="str">
        <f>IFERROR(VLOOKUP(C470,소속부서!$A$2:$B$20,2,FALSE), "")</f>
        <v/>
      </c>
      <c r="L470" s="36" t="str">
        <f>IFERROR(VLOOKUP(I470,보도매체!$A:$C,2,FALSE), "")</f>
        <v/>
      </c>
      <c r="M470" s="38" t="str">
        <f>IFERROR(VLOOKUP(I470,보도매체!$A:$C,3,FALSE), "")</f>
        <v/>
      </c>
    </row>
    <row r="471" spans="3:13" x14ac:dyDescent="0.3">
      <c r="C471" s="35">
        <f t="shared" si="8"/>
        <v>0</v>
      </c>
      <c r="D471" s="30" t="str">
        <f>IFERROR(VLOOKUP(C471,소속부서!$A$2:$B$20,2,FALSE), "")</f>
        <v/>
      </c>
      <c r="L471" s="36" t="str">
        <f>IFERROR(VLOOKUP(I471,보도매체!$A:$C,2,FALSE), "")</f>
        <v/>
      </c>
      <c r="M471" s="38" t="str">
        <f>IFERROR(VLOOKUP(I471,보도매체!$A:$C,3,FALSE), "")</f>
        <v/>
      </c>
    </row>
    <row r="472" spans="3:13" x14ac:dyDescent="0.3">
      <c r="C472" s="35">
        <f t="shared" si="8"/>
        <v>0</v>
      </c>
      <c r="D472" s="30" t="str">
        <f>IFERROR(VLOOKUP(C472,소속부서!$A$2:$B$20,2,FALSE), "")</f>
        <v/>
      </c>
      <c r="L472" s="36" t="str">
        <f>IFERROR(VLOOKUP(I472,보도매체!$A:$C,2,FALSE), "")</f>
        <v/>
      </c>
      <c r="M472" s="38" t="str">
        <f>IFERROR(VLOOKUP(I472,보도매체!$A:$C,3,FALSE), "")</f>
        <v/>
      </c>
    </row>
    <row r="473" spans="3:13" x14ac:dyDescent="0.3">
      <c r="C473" s="35">
        <f t="shared" si="8"/>
        <v>0</v>
      </c>
      <c r="D473" s="30" t="str">
        <f>IFERROR(VLOOKUP(C473,소속부서!$A$2:$B$20,2,FALSE), "")</f>
        <v/>
      </c>
      <c r="L473" s="36" t="str">
        <f>IFERROR(VLOOKUP(I473,보도매체!$A:$C,2,FALSE), "")</f>
        <v/>
      </c>
      <c r="M473" s="38" t="str">
        <f>IFERROR(VLOOKUP(I473,보도매체!$A:$C,3,FALSE), "")</f>
        <v/>
      </c>
    </row>
    <row r="474" spans="3:13" x14ac:dyDescent="0.3">
      <c r="C474" s="35">
        <f t="shared" si="8"/>
        <v>0</v>
      </c>
      <c r="D474" s="30" t="str">
        <f>IFERROR(VLOOKUP(C474,소속부서!$A$2:$B$20,2,FALSE), "")</f>
        <v/>
      </c>
      <c r="L474" s="36" t="str">
        <f>IFERROR(VLOOKUP(I474,보도매체!$A:$C,2,FALSE), "")</f>
        <v/>
      </c>
      <c r="M474" s="38" t="str">
        <f>IFERROR(VLOOKUP(I474,보도매체!$A:$C,3,FALSE), "")</f>
        <v/>
      </c>
    </row>
    <row r="475" spans="3:13" x14ac:dyDescent="0.3">
      <c r="C475" s="35">
        <f t="shared" si="8"/>
        <v>0</v>
      </c>
      <c r="D475" s="30" t="str">
        <f>IFERROR(VLOOKUP(C475,소속부서!$A$2:$B$20,2,FALSE), "")</f>
        <v/>
      </c>
      <c r="L475" s="36" t="str">
        <f>IFERROR(VLOOKUP(I475,보도매체!$A:$C,2,FALSE), "")</f>
        <v/>
      </c>
      <c r="M475" s="38" t="str">
        <f>IFERROR(VLOOKUP(I475,보도매체!$A:$C,3,FALSE), "")</f>
        <v/>
      </c>
    </row>
    <row r="476" spans="3:13" x14ac:dyDescent="0.3">
      <c r="C476" s="35">
        <f t="shared" si="8"/>
        <v>0</v>
      </c>
      <c r="D476" s="30" t="str">
        <f>IFERROR(VLOOKUP(C476,소속부서!$A$2:$B$20,2,FALSE), "")</f>
        <v/>
      </c>
      <c r="L476" s="36" t="str">
        <f>IFERROR(VLOOKUP(I476,보도매체!$A:$C,2,FALSE), "")</f>
        <v/>
      </c>
      <c r="M476" s="38" t="str">
        <f>IFERROR(VLOOKUP(I476,보도매체!$A:$C,3,FALSE), "")</f>
        <v/>
      </c>
    </row>
    <row r="477" spans="3:13" x14ac:dyDescent="0.3">
      <c r="C477" s="35">
        <f t="shared" si="8"/>
        <v>0</v>
      </c>
      <c r="D477" s="30" t="str">
        <f>IFERROR(VLOOKUP(C477,소속부서!$A$2:$B$20,2,FALSE), "")</f>
        <v/>
      </c>
      <c r="L477" s="36" t="str">
        <f>IFERROR(VLOOKUP(I477,보도매체!$A:$C,2,FALSE), "")</f>
        <v/>
      </c>
      <c r="M477" s="38" t="str">
        <f>IFERROR(VLOOKUP(I477,보도매체!$A:$C,3,FALSE), "")</f>
        <v/>
      </c>
    </row>
    <row r="478" spans="3:13" x14ac:dyDescent="0.3">
      <c r="C478" s="35">
        <f t="shared" si="8"/>
        <v>0</v>
      </c>
      <c r="D478" s="30" t="str">
        <f>IFERROR(VLOOKUP(C478,소속부서!$A$2:$B$20,2,FALSE), "")</f>
        <v/>
      </c>
      <c r="L478" s="36" t="str">
        <f>IFERROR(VLOOKUP(I478,보도매체!$A:$C,2,FALSE), "")</f>
        <v/>
      </c>
      <c r="M478" s="38" t="str">
        <f>IFERROR(VLOOKUP(I478,보도매체!$A:$C,3,FALSE), "")</f>
        <v/>
      </c>
    </row>
    <row r="479" spans="3:13" x14ac:dyDescent="0.3">
      <c r="C479" s="35">
        <f t="shared" si="8"/>
        <v>0</v>
      </c>
      <c r="D479" s="30" t="str">
        <f>IFERROR(VLOOKUP(C479,소속부서!$A$2:$B$20,2,FALSE), "")</f>
        <v/>
      </c>
      <c r="L479" s="36" t="str">
        <f>IFERROR(VLOOKUP(I479,보도매체!$A:$C,2,FALSE), "")</f>
        <v/>
      </c>
      <c r="M479" s="38" t="str">
        <f>IFERROR(VLOOKUP(I479,보도매체!$A:$C,3,FALSE), "")</f>
        <v/>
      </c>
    </row>
    <row r="480" spans="3:13" x14ac:dyDescent="0.3">
      <c r="C480" s="35">
        <f t="shared" si="8"/>
        <v>0</v>
      </c>
      <c r="D480" s="30" t="str">
        <f>IFERROR(VLOOKUP(C480,소속부서!$A$2:$B$20,2,FALSE), "")</f>
        <v/>
      </c>
      <c r="L480" s="36" t="str">
        <f>IFERROR(VLOOKUP(I480,보도매체!$A:$C,2,FALSE), "")</f>
        <v/>
      </c>
      <c r="M480" s="38" t="str">
        <f>IFERROR(VLOOKUP(I480,보도매체!$A:$C,3,FALSE), "")</f>
        <v/>
      </c>
    </row>
    <row r="481" spans="3:13" x14ac:dyDescent="0.3">
      <c r="C481" s="35">
        <f t="shared" si="8"/>
        <v>0</v>
      </c>
      <c r="D481" s="30" t="str">
        <f>IFERROR(VLOOKUP(C481,소속부서!$A$2:$B$20,2,FALSE), "")</f>
        <v/>
      </c>
      <c r="L481" s="36" t="str">
        <f>IFERROR(VLOOKUP(I481,보도매체!$A:$C,2,FALSE), "")</f>
        <v/>
      </c>
      <c r="M481" s="38" t="str">
        <f>IFERROR(VLOOKUP(I481,보도매체!$A:$C,3,FALSE), "")</f>
        <v/>
      </c>
    </row>
    <row r="482" spans="3:13" x14ac:dyDescent="0.3">
      <c r="C482" s="35">
        <f t="shared" si="8"/>
        <v>0</v>
      </c>
      <c r="D482" s="30" t="str">
        <f>IFERROR(VLOOKUP(C482,소속부서!$A$2:$B$20,2,FALSE), "")</f>
        <v/>
      </c>
      <c r="L482" s="36" t="str">
        <f>IFERROR(VLOOKUP(I482,보도매체!$A:$C,2,FALSE), "")</f>
        <v/>
      </c>
      <c r="M482" s="38" t="str">
        <f>IFERROR(VLOOKUP(I482,보도매체!$A:$C,3,FALSE), "")</f>
        <v/>
      </c>
    </row>
    <row r="483" spans="3:13" x14ac:dyDescent="0.3">
      <c r="C483" s="35">
        <f t="shared" si="8"/>
        <v>0</v>
      </c>
      <c r="D483" s="30" t="str">
        <f>IFERROR(VLOOKUP(C483,소속부서!$A$2:$B$20,2,FALSE), "")</f>
        <v/>
      </c>
      <c r="L483" s="36" t="str">
        <f>IFERROR(VLOOKUP(I483,보도매체!$A:$C,2,FALSE), "")</f>
        <v/>
      </c>
      <c r="M483" s="38" t="str">
        <f>IFERROR(VLOOKUP(I483,보도매체!$A:$C,3,FALSE), "")</f>
        <v/>
      </c>
    </row>
    <row r="484" spans="3:13" x14ac:dyDescent="0.3">
      <c r="C484" s="35">
        <f t="shared" si="8"/>
        <v>0</v>
      </c>
      <c r="D484" s="30" t="str">
        <f>IFERROR(VLOOKUP(C484,소속부서!$A$2:$B$20,2,FALSE), "")</f>
        <v/>
      </c>
      <c r="L484" s="36" t="str">
        <f>IFERROR(VLOOKUP(I484,보도매체!$A:$C,2,FALSE), "")</f>
        <v/>
      </c>
      <c r="M484" s="38" t="str">
        <f>IFERROR(VLOOKUP(I484,보도매체!$A:$C,3,FALSE), "")</f>
        <v/>
      </c>
    </row>
    <row r="485" spans="3:13" x14ac:dyDescent="0.3">
      <c r="C485" s="35">
        <f t="shared" si="8"/>
        <v>0</v>
      </c>
      <c r="D485" s="30" t="str">
        <f>IFERROR(VLOOKUP(C485,소속부서!$A$2:$B$20,2,FALSE), "")</f>
        <v/>
      </c>
      <c r="L485" s="36" t="str">
        <f>IFERROR(VLOOKUP(I485,보도매체!$A:$C,2,FALSE), "")</f>
        <v/>
      </c>
      <c r="M485" s="38" t="str">
        <f>IFERROR(VLOOKUP(I485,보도매체!$A:$C,3,FALSE), "")</f>
        <v/>
      </c>
    </row>
    <row r="486" spans="3:13" x14ac:dyDescent="0.3">
      <c r="C486" s="35">
        <f t="shared" si="8"/>
        <v>0</v>
      </c>
      <c r="D486" s="30" t="str">
        <f>IFERROR(VLOOKUP(C486,소속부서!$A$2:$B$20,2,FALSE), "")</f>
        <v/>
      </c>
      <c r="L486" s="36" t="str">
        <f>IFERROR(VLOOKUP(I486,보도매체!$A:$C,2,FALSE), "")</f>
        <v/>
      </c>
      <c r="M486" s="38" t="str">
        <f>IFERROR(VLOOKUP(I486,보도매체!$A:$C,3,FALSE), "")</f>
        <v/>
      </c>
    </row>
    <row r="487" spans="3:13" x14ac:dyDescent="0.3">
      <c r="C487" s="35">
        <f t="shared" si="8"/>
        <v>0</v>
      </c>
      <c r="D487" s="30" t="str">
        <f>IFERROR(VLOOKUP(C487,소속부서!$A$2:$B$20,2,FALSE), "")</f>
        <v/>
      </c>
      <c r="L487" s="36" t="str">
        <f>IFERROR(VLOOKUP(I487,보도매체!$A:$C,2,FALSE), "")</f>
        <v/>
      </c>
      <c r="M487" s="38" t="str">
        <f>IFERROR(VLOOKUP(I487,보도매체!$A:$C,3,FALSE), "")</f>
        <v/>
      </c>
    </row>
    <row r="488" spans="3:13" x14ac:dyDescent="0.3">
      <c r="C488" s="35">
        <f t="shared" si="8"/>
        <v>0</v>
      </c>
      <c r="D488" s="30" t="str">
        <f>IFERROR(VLOOKUP(C488,소속부서!$A$2:$B$20,2,FALSE), "")</f>
        <v/>
      </c>
      <c r="L488" s="36" t="str">
        <f>IFERROR(VLOOKUP(I488,보도매체!$A:$C,2,FALSE), "")</f>
        <v/>
      </c>
      <c r="M488" s="38" t="str">
        <f>IFERROR(VLOOKUP(I488,보도매체!$A:$C,3,FALSE), "")</f>
        <v/>
      </c>
    </row>
    <row r="489" spans="3:13" x14ac:dyDescent="0.3">
      <c r="C489" s="35">
        <f t="shared" si="8"/>
        <v>0</v>
      </c>
      <c r="D489" s="30" t="str">
        <f>IFERROR(VLOOKUP(C489,소속부서!$A$2:$B$20,2,FALSE), "")</f>
        <v/>
      </c>
      <c r="L489" s="36" t="str">
        <f>IFERROR(VLOOKUP(I489,보도매체!$A:$C,2,FALSE), "")</f>
        <v/>
      </c>
      <c r="M489" s="38" t="str">
        <f>IFERROR(VLOOKUP(I489,보도매체!$A:$C,3,FALSE), "")</f>
        <v/>
      </c>
    </row>
    <row r="490" spans="3:13" x14ac:dyDescent="0.3">
      <c r="C490" s="35">
        <f t="shared" si="8"/>
        <v>0</v>
      </c>
      <c r="D490" s="30" t="str">
        <f>IFERROR(VLOOKUP(C490,소속부서!$A$2:$B$20,2,FALSE), "")</f>
        <v/>
      </c>
      <c r="L490" s="36" t="str">
        <f>IFERROR(VLOOKUP(I490,보도매체!$A:$C,2,FALSE), "")</f>
        <v/>
      </c>
      <c r="M490" s="38" t="str">
        <f>IFERROR(VLOOKUP(I490,보도매체!$A:$C,3,FALSE), "")</f>
        <v/>
      </c>
    </row>
    <row r="491" spans="3:13" x14ac:dyDescent="0.3">
      <c r="C491" s="35">
        <f t="shared" si="8"/>
        <v>0</v>
      </c>
      <c r="D491" s="30" t="str">
        <f>IFERROR(VLOOKUP(C491,소속부서!$A$2:$B$20,2,FALSE), "")</f>
        <v/>
      </c>
      <c r="L491" s="36" t="str">
        <f>IFERROR(VLOOKUP(I491,보도매체!$A:$C,2,FALSE), "")</f>
        <v/>
      </c>
      <c r="M491" s="38" t="str">
        <f>IFERROR(VLOOKUP(I491,보도매체!$A:$C,3,FALSE), "")</f>
        <v/>
      </c>
    </row>
    <row r="492" spans="3:13" x14ac:dyDescent="0.3">
      <c r="C492" s="35">
        <f t="shared" si="8"/>
        <v>0</v>
      </c>
      <c r="D492" s="30" t="str">
        <f>IFERROR(VLOOKUP(C492,소속부서!$A$2:$B$20,2,FALSE), "")</f>
        <v/>
      </c>
      <c r="L492" s="36" t="str">
        <f>IFERROR(VLOOKUP(I492,보도매체!$A:$C,2,FALSE), "")</f>
        <v/>
      </c>
      <c r="M492" s="38" t="str">
        <f>IFERROR(VLOOKUP(I492,보도매체!$A:$C,3,FALSE), "")</f>
        <v/>
      </c>
    </row>
    <row r="493" spans="3:13" x14ac:dyDescent="0.3">
      <c r="C493" s="35">
        <f t="shared" si="8"/>
        <v>0</v>
      </c>
      <c r="D493" s="30" t="str">
        <f>IFERROR(VLOOKUP(C493,소속부서!$A$2:$B$20,2,FALSE), "")</f>
        <v/>
      </c>
      <c r="L493" s="36" t="str">
        <f>IFERROR(VLOOKUP(I493,보도매체!$A:$C,2,FALSE), "")</f>
        <v/>
      </c>
      <c r="M493" s="38" t="str">
        <f>IFERROR(VLOOKUP(I493,보도매체!$A:$C,3,FALSE), "")</f>
        <v/>
      </c>
    </row>
    <row r="494" spans="3:13" x14ac:dyDescent="0.3">
      <c r="C494" s="35">
        <f t="shared" si="8"/>
        <v>0</v>
      </c>
      <c r="D494" s="30" t="str">
        <f>IFERROR(VLOOKUP(C494,소속부서!$A$2:$B$20,2,FALSE), "")</f>
        <v/>
      </c>
      <c r="L494" s="36" t="str">
        <f>IFERROR(VLOOKUP(I494,보도매체!$A:$C,2,FALSE), "")</f>
        <v/>
      </c>
      <c r="M494" s="38" t="str">
        <f>IFERROR(VLOOKUP(I494,보도매체!$A:$C,3,FALSE), "")</f>
        <v/>
      </c>
    </row>
    <row r="495" spans="3:13" x14ac:dyDescent="0.3">
      <c r="C495" s="35">
        <f t="shared" si="8"/>
        <v>0</v>
      </c>
      <c r="D495" s="30" t="str">
        <f>IFERROR(VLOOKUP(C495,소속부서!$A$2:$B$20,2,FALSE), "")</f>
        <v/>
      </c>
      <c r="L495" s="36" t="str">
        <f>IFERROR(VLOOKUP(I495,보도매체!$A:$C,2,FALSE), "")</f>
        <v/>
      </c>
      <c r="M495" s="38" t="str">
        <f>IFERROR(VLOOKUP(I495,보도매체!$A:$C,3,FALSE), "")</f>
        <v/>
      </c>
    </row>
    <row r="496" spans="3:13" x14ac:dyDescent="0.3">
      <c r="C496" s="35">
        <f t="shared" si="8"/>
        <v>0</v>
      </c>
      <c r="D496" s="30" t="str">
        <f>IFERROR(VLOOKUP(C496,소속부서!$A$2:$B$20,2,FALSE), "")</f>
        <v/>
      </c>
      <c r="L496" s="36" t="str">
        <f>IFERROR(VLOOKUP(I496,보도매체!$A:$C,2,FALSE), "")</f>
        <v/>
      </c>
      <c r="M496" s="38" t="str">
        <f>IFERROR(VLOOKUP(I496,보도매체!$A:$C,3,FALSE), "")</f>
        <v/>
      </c>
    </row>
    <row r="497" spans="3:13" x14ac:dyDescent="0.3">
      <c r="C497" s="35">
        <f t="shared" si="8"/>
        <v>0</v>
      </c>
      <c r="D497" s="30" t="str">
        <f>IFERROR(VLOOKUP(C497,소속부서!$A$2:$B$20,2,FALSE), "")</f>
        <v/>
      </c>
      <c r="L497" s="36" t="str">
        <f>IFERROR(VLOOKUP(I497,보도매체!$A:$C,2,FALSE), "")</f>
        <v/>
      </c>
      <c r="M497" s="38" t="str">
        <f>IFERROR(VLOOKUP(I497,보도매체!$A:$C,3,FALSE), "")</f>
        <v/>
      </c>
    </row>
    <row r="498" spans="3:13" x14ac:dyDescent="0.3">
      <c r="C498" s="35">
        <f t="shared" si="8"/>
        <v>0</v>
      </c>
      <c r="D498" s="30" t="str">
        <f>IFERROR(VLOOKUP(C498,소속부서!$A$2:$B$20,2,FALSE), "")</f>
        <v/>
      </c>
      <c r="L498" s="36" t="str">
        <f>IFERROR(VLOOKUP(I498,보도매체!$A:$C,2,FALSE), "")</f>
        <v/>
      </c>
      <c r="M498" s="38" t="str">
        <f>IFERROR(VLOOKUP(I498,보도매체!$A:$C,3,FALSE), "")</f>
        <v/>
      </c>
    </row>
    <row r="499" spans="3:13" x14ac:dyDescent="0.3">
      <c r="C499" s="35">
        <f t="shared" si="8"/>
        <v>0</v>
      </c>
      <c r="D499" s="30" t="str">
        <f>IFERROR(VLOOKUP(C499,소속부서!$A$2:$B$20,2,FALSE), "")</f>
        <v/>
      </c>
      <c r="L499" s="36" t="str">
        <f>IFERROR(VLOOKUP(I499,보도매체!$A:$C,2,FALSE), "")</f>
        <v/>
      </c>
      <c r="M499" s="38" t="str">
        <f>IFERROR(VLOOKUP(I499,보도매체!$A:$C,3,FALSE), "")</f>
        <v/>
      </c>
    </row>
    <row r="500" spans="3:13" x14ac:dyDescent="0.3">
      <c r="C500" s="35">
        <f t="shared" si="8"/>
        <v>0</v>
      </c>
      <c r="D500" s="30" t="str">
        <f>IFERROR(VLOOKUP(C500,소속부서!$A$2:$B$20,2,FALSE), "")</f>
        <v/>
      </c>
      <c r="L500" s="36" t="str">
        <f>IFERROR(VLOOKUP(I500,보도매체!$A:$C,2,FALSE), "")</f>
        <v/>
      </c>
      <c r="M500" s="38" t="str">
        <f>IFERROR(VLOOKUP(I500,보도매체!$A:$C,3,FALSE), "")</f>
        <v/>
      </c>
    </row>
    <row r="501" spans="3:13" x14ac:dyDescent="0.3">
      <c r="C501" s="35">
        <f t="shared" si="8"/>
        <v>0</v>
      </c>
      <c r="D501" s="30" t="str">
        <f>IFERROR(VLOOKUP(C501,소속부서!$A$2:$B$20,2,FALSE), "")</f>
        <v/>
      </c>
      <c r="L501" s="36" t="str">
        <f>IFERROR(VLOOKUP(I501,보도매체!$A:$C,2,FALSE), "")</f>
        <v/>
      </c>
      <c r="M501" s="38" t="str">
        <f>IFERROR(VLOOKUP(I501,보도매체!$A:$C,3,FALSE), "")</f>
        <v/>
      </c>
    </row>
    <row r="502" spans="3:13" x14ac:dyDescent="0.3">
      <c r="C502" s="35">
        <f t="shared" si="8"/>
        <v>0</v>
      </c>
      <c r="D502" s="30" t="str">
        <f>IFERROR(VLOOKUP(C502,소속부서!$A$2:$B$20,2,FALSE), "")</f>
        <v/>
      </c>
      <c r="L502" s="36" t="str">
        <f>IFERROR(VLOOKUP(I502,보도매체!$A:$C,2,FALSE), "")</f>
        <v/>
      </c>
      <c r="M502" s="38" t="str">
        <f>IFERROR(VLOOKUP(I502,보도매체!$A:$C,3,FALSE), "")</f>
        <v/>
      </c>
    </row>
    <row r="503" spans="3:13" x14ac:dyDescent="0.3">
      <c r="C503" s="35">
        <f t="shared" si="8"/>
        <v>0</v>
      </c>
      <c r="D503" s="30" t="str">
        <f>IFERROR(VLOOKUP(C503,소속부서!$A$2:$B$20,2,FALSE), "")</f>
        <v/>
      </c>
      <c r="L503" s="36" t="str">
        <f>IFERROR(VLOOKUP(I503,보도매체!$A:$C,2,FALSE), "")</f>
        <v/>
      </c>
      <c r="M503" s="38" t="str">
        <f>IFERROR(VLOOKUP(I503,보도매체!$A:$C,3,FALSE), "")</f>
        <v/>
      </c>
    </row>
    <row r="504" spans="3:13" x14ac:dyDescent="0.3">
      <c r="C504" s="35">
        <f t="shared" si="8"/>
        <v>0</v>
      </c>
      <c r="D504" s="30" t="str">
        <f>IFERROR(VLOOKUP(C504,소속부서!$A$2:$B$20,2,FALSE), "")</f>
        <v/>
      </c>
      <c r="L504" s="36" t="str">
        <f>IFERROR(VLOOKUP(I504,보도매체!$A:$C,2,FALSE), "")</f>
        <v/>
      </c>
      <c r="M504" s="38" t="str">
        <f>IFERROR(VLOOKUP(I504,보도매체!$A:$C,3,FALSE), "")</f>
        <v/>
      </c>
    </row>
    <row r="505" spans="3:13" x14ac:dyDescent="0.3">
      <c r="C505" s="35">
        <f t="shared" si="8"/>
        <v>0</v>
      </c>
      <c r="D505" s="30" t="str">
        <f>IFERROR(VLOOKUP(C505,소속부서!$A$2:$B$20,2,FALSE), "")</f>
        <v/>
      </c>
      <c r="L505" s="36" t="str">
        <f>IFERROR(VLOOKUP(I505,보도매체!$A:$C,2,FALSE), "")</f>
        <v/>
      </c>
      <c r="M505" s="38" t="str">
        <f>IFERROR(VLOOKUP(I505,보도매체!$A:$C,3,FALSE), "")</f>
        <v/>
      </c>
    </row>
    <row r="506" spans="3:13" x14ac:dyDescent="0.3">
      <c r="C506" s="35">
        <f t="shared" si="8"/>
        <v>0</v>
      </c>
      <c r="D506" s="30" t="str">
        <f>IFERROR(VLOOKUP(C506,소속부서!$A$2:$B$20,2,FALSE), "")</f>
        <v/>
      </c>
      <c r="L506" s="36" t="str">
        <f>IFERROR(VLOOKUP(I506,보도매체!$A:$C,2,FALSE), "")</f>
        <v/>
      </c>
      <c r="M506" s="38" t="str">
        <f>IFERROR(VLOOKUP(I506,보도매체!$A:$C,3,FALSE), "")</f>
        <v/>
      </c>
    </row>
    <row r="507" spans="3:13" x14ac:dyDescent="0.3">
      <c r="C507" s="35">
        <f t="shared" si="8"/>
        <v>0</v>
      </c>
      <c r="D507" s="30" t="str">
        <f>IFERROR(VLOOKUP(C507,소속부서!$A$2:$B$20,2,FALSE), "")</f>
        <v/>
      </c>
      <c r="L507" s="36" t="str">
        <f>IFERROR(VLOOKUP(I507,보도매체!$A:$C,2,FALSE), "")</f>
        <v/>
      </c>
      <c r="M507" s="38" t="str">
        <f>IFERROR(VLOOKUP(I507,보도매체!$A:$C,3,FALSE), "")</f>
        <v/>
      </c>
    </row>
    <row r="508" spans="3:13" x14ac:dyDescent="0.3">
      <c r="C508" s="35">
        <f t="shared" si="8"/>
        <v>0</v>
      </c>
      <c r="D508" s="30" t="str">
        <f>IFERROR(VLOOKUP(C508,소속부서!$A$2:$B$20,2,FALSE), "")</f>
        <v/>
      </c>
      <c r="L508" s="36" t="str">
        <f>IFERROR(VLOOKUP(I508,보도매체!$A:$C,2,FALSE), "")</f>
        <v/>
      </c>
      <c r="M508" s="38" t="str">
        <f>IFERROR(VLOOKUP(I508,보도매체!$A:$C,3,FALSE), "")</f>
        <v/>
      </c>
    </row>
    <row r="509" spans="3:13" x14ac:dyDescent="0.3">
      <c r="C509" s="35">
        <f t="shared" si="8"/>
        <v>0</v>
      </c>
      <c r="D509" s="30" t="str">
        <f>IFERROR(VLOOKUP(C509,소속부서!$A$2:$B$20,2,FALSE), "")</f>
        <v/>
      </c>
      <c r="L509" s="36" t="str">
        <f>IFERROR(VLOOKUP(I509,보도매체!$A:$C,2,FALSE), "")</f>
        <v/>
      </c>
      <c r="M509" s="38" t="str">
        <f>IFERROR(VLOOKUP(I509,보도매체!$A:$C,3,FALSE), "")</f>
        <v/>
      </c>
    </row>
    <row r="510" spans="3:13" x14ac:dyDescent="0.3">
      <c r="C510" s="35">
        <f t="shared" si="8"/>
        <v>0</v>
      </c>
      <c r="D510" s="30" t="str">
        <f>IFERROR(VLOOKUP(C510,소속부서!$A$2:$B$20,2,FALSE), "")</f>
        <v/>
      </c>
      <c r="L510" s="36" t="str">
        <f>IFERROR(VLOOKUP(I510,보도매체!$A:$C,2,FALSE), "")</f>
        <v/>
      </c>
      <c r="M510" s="38" t="str">
        <f>IFERROR(VLOOKUP(I510,보도매체!$A:$C,3,FALSE), "")</f>
        <v/>
      </c>
    </row>
    <row r="511" spans="3:13" x14ac:dyDescent="0.3">
      <c r="C511" s="35">
        <f t="shared" si="8"/>
        <v>0</v>
      </c>
      <c r="D511" s="30" t="str">
        <f>IFERROR(VLOOKUP(C511,소속부서!$A$2:$B$20,2,FALSE), "")</f>
        <v/>
      </c>
      <c r="L511" s="36" t="str">
        <f>IFERROR(VLOOKUP(I511,보도매체!$A:$C,2,FALSE), "")</f>
        <v/>
      </c>
      <c r="M511" s="38" t="str">
        <f>IFERROR(VLOOKUP(I511,보도매체!$A:$C,3,FALSE), "")</f>
        <v/>
      </c>
    </row>
    <row r="512" spans="3:13" x14ac:dyDescent="0.3">
      <c r="C512" s="35">
        <f t="shared" si="8"/>
        <v>0</v>
      </c>
      <c r="D512" s="30" t="str">
        <f>IFERROR(VLOOKUP(C512,소속부서!$A$2:$B$20,2,FALSE), "")</f>
        <v/>
      </c>
      <c r="L512" s="36" t="str">
        <f>IFERROR(VLOOKUP(I512,보도매체!$A:$C,2,FALSE), "")</f>
        <v/>
      </c>
      <c r="M512" s="38" t="str">
        <f>IFERROR(VLOOKUP(I512,보도매체!$A:$C,3,FALSE), "")</f>
        <v/>
      </c>
    </row>
    <row r="513" spans="3:13" x14ac:dyDescent="0.3">
      <c r="C513" s="35">
        <f t="shared" si="8"/>
        <v>0</v>
      </c>
      <c r="D513" s="30" t="str">
        <f>IFERROR(VLOOKUP(C513,소속부서!$A$2:$B$20,2,FALSE), "")</f>
        <v/>
      </c>
      <c r="L513" s="36" t="str">
        <f>IFERROR(VLOOKUP(I513,보도매체!$A:$C,2,FALSE), "")</f>
        <v/>
      </c>
      <c r="M513" s="38" t="str">
        <f>IFERROR(VLOOKUP(I513,보도매체!$A:$C,3,FALSE), "")</f>
        <v/>
      </c>
    </row>
    <row r="514" spans="3:13" x14ac:dyDescent="0.3">
      <c r="C514" s="35">
        <f t="shared" si="8"/>
        <v>0</v>
      </c>
      <c r="D514" s="30" t="str">
        <f>IFERROR(VLOOKUP(C514,소속부서!$A$2:$B$20,2,FALSE), "")</f>
        <v/>
      </c>
      <c r="L514" s="36" t="str">
        <f>IFERROR(VLOOKUP(I514,보도매체!$A:$C,2,FALSE), "")</f>
        <v/>
      </c>
      <c r="M514" s="38" t="str">
        <f>IFERROR(VLOOKUP(I514,보도매체!$A:$C,3,FALSE), "")</f>
        <v/>
      </c>
    </row>
    <row r="515" spans="3:13" x14ac:dyDescent="0.3">
      <c r="C515" s="35">
        <f t="shared" si="8"/>
        <v>0</v>
      </c>
      <c r="D515" s="30" t="str">
        <f>IFERROR(VLOOKUP(C515,소속부서!$A$2:$B$20,2,FALSE), "")</f>
        <v/>
      </c>
      <c r="L515" s="36" t="str">
        <f>IFERROR(VLOOKUP(I515,보도매체!$A:$C,2,FALSE), "")</f>
        <v/>
      </c>
      <c r="M515" s="38" t="str">
        <f>IFERROR(VLOOKUP(I515,보도매체!$A:$C,3,FALSE), "")</f>
        <v/>
      </c>
    </row>
    <row r="516" spans="3:13" x14ac:dyDescent="0.3">
      <c r="C516" s="35">
        <f t="shared" ref="C516:C579" si="9">E516</f>
        <v>0</v>
      </c>
      <c r="D516" s="30" t="str">
        <f>IFERROR(VLOOKUP(C516,소속부서!$A$2:$B$20,2,FALSE), "")</f>
        <v/>
      </c>
      <c r="L516" s="36" t="str">
        <f>IFERROR(VLOOKUP(I516,보도매체!$A:$C,2,FALSE), "")</f>
        <v/>
      </c>
      <c r="M516" s="38" t="str">
        <f>IFERROR(VLOOKUP(I516,보도매체!$A:$C,3,FALSE), "")</f>
        <v/>
      </c>
    </row>
    <row r="517" spans="3:13" x14ac:dyDescent="0.3">
      <c r="C517" s="35">
        <f t="shared" si="9"/>
        <v>0</v>
      </c>
      <c r="D517" s="30" t="str">
        <f>IFERROR(VLOOKUP(C517,소속부서!$A$2:$B$20,2,FALSE), "")</f>
        <v/>
      </c>
      <c r="L517" s="36" t="str">
        <f>IFERROR(VLOOKUP(I517,보도매체!$A:$C,2,FALSE), "")</f>
        <v/>
      </c>
      <c r="M517" s="38" t="str">
        <f>IFERROR(VLOOKUP(I517,보도매체!$A:$C,3,FALSE), "")</f>
        <v/>
      </c>
    </row>
    <row r="518" spans="3:13" x14ac:dyDescent="0.3">
      <c r="C518" s="35">
        <f t="shared" si="9"/>
        <v>0</v>
      </c>
      <c r="D518" s="30" t="str">
        <f>IFERROR(VLOOKUP(C518,소속부서!$A$2:$B$20,2,FALSE), "")</f>
        <v/>
      </c>
      <c r="L518" s="36" t="str">
        <f>IFERROR(VLOOKUP(I518,보도매체!$A:$C,2,FALSE), "")</f>
        <v/>
      </c>
      <c r="M518" s="38" t="str">
        <f>IFERROR(VLOOKUP(I518,보도매체!$A:$C,3,FALSE), "")</f>
        <v/>
      </c>
    </row>
    <row r="519" spans="3:13" x14ac:dyDescent="0.3">
      <c r="C519" s="35">
        <f t="shared" si="9"/>
        <v>0</v>
      </c>
      <c r="D519" s="30" t="str">
        <f>IFERROR(VLOOKUP(C519,소속부서!$A$2:$B$20,2,FALSE), "")</f>
        <v/>
      </c>
      <c r="L519" s="36" t="str">
        <f>IFERROR(VLOOKUP(I519,보도매체!$A:$C,2,FALSE), "")</f>
        <v/>
      </c>
      <c r="M519" s="38" t="str">
        <f>IFERROR(VLOOKUP(I519,보도매체!$A:$C,3,FALSE), "")</f>
        <v/>
      </c>
    </row>
    <row r="520" spans="3:13" x14ac:dyDescent="0.3">
      <c r="C520" s="35">
        <f t="shared" si="9"/>
        <v>0</v>
      </c>
      <c r="D520" s="30" t="str">
        <f>IFERROR(VLOOKUP(C520,소속부서!$A$2:$B$20,2,FALSE), "")</f>
        <v/>
      </c>
      <c r="L520" s="36" t="str">
        <f>IFERROR(VLOOKUP(I520,보도매체!$A:$C,2,FALSE), "")</f>
        <v/>
      </c>
      <c r="M520" s="38" t="str">
        <f>IFERROR(VLOOKUP(I520,보도매체!$A:$C,3,FALSE), "")</f>
        <v/>
      </c>
    </row>
    <row r="521" spans="3:13" x14ac:dyDescent="0.3">
      <c r="C521" s="35">
        <f t="shared" si="9"/>
        <v>0</v>
      </c>
      <c r="D521" s="30" t="str">
        <f>IFERROR(VLOOKUP(C521,소속부서!$A$2:$B$20,2,FALSE), "")</f>
        <v/>
      </c>
      <c r="L521" s="36" t="str">
        <f>IFERROR(VLOOKUP(I521,보도매체!$A:$C,2,FALSE), "")</f>
        <v/>
      </c>
      <c r="M521" s="38" t="str">
        <f>IFERROR(VLOOKUP(I521,보도매체!$A:$C,3,FALSE), "")</f>
        <v/>
      </c>
    </row>
    <row r="522" spans="3:13" x14ac:dyDescent="0.3">
      <c r="C522" s="35">
        <f t="shared" si="9"/>
        <v>0</v>
      </c>
      <c r="D522" s="30" t="str">
        <f>IFERROR(VLOOKUP(C522,소속부서!$A$2:$B$20,2,FALSE), "")</f>
        <v/>
      </c>
      <c r="L522" s="36" t="str">
        <f>IFERROR(VLOOKUP(I522,보도매체!$A:$C,2,FALSE), "")</f>
        <v/>
      </c>
      <c r="M522" s="38" t="str">
        <f>IFERROR(VLOOKUP(I522,보도매체!$A:$C,3,FALSE), "")</f>
        <v/>
      </c>
    </row>
    <row r="523" spans="3:13" x14ac:dyDescent="0.3">
      <c r="C523" s="35">
        <f t="shared" si="9"/>
        <v>0</v>
      </c>
      <c r="D523" s="30" t="str">
        <f>IFERROR(VLOOKUP(C523,소속부서!$A$2:$B$20,2,FALSE), "")</f>
        <v/>
      </c>
      <c r="L523" s="36" t="str">
        <f>IFERROR(VLOOKUP(I523,보도매체!$A:$C,2,FALSE), "")</f>
        <v/>
      </c>
      <c r="M523" s="38" t="str">
        <f>IFERROR(VLOOKUP(I523,보도매체!$A:$C,3,FALSE), "")</f>
        <v/>
      </c>
    </row>
    <row r="524" spans="3:13" x14ac:dyDescent="0.3">
      <c r="C524" s="35">
        <f t="shared" si="9"/>
        <v>0</v>
      </c>
      <c r="D524" s="30" t="str">
        <f>IFERROR(VLOOKUP(C524,소속부서!$A$2:$B$20,2,FALSE), "")</f>
        <v/>
      </c>
      <c r="L524" s="36" t="str">
        <f>IFERROR(VLOOKUP(I524,보도매체!$A:$C,2,FALSE), "")</f>
        <v/>
      </c>
      <c r="M524" s="38" t="str">
        <f>IFERROR(VLOOKUP(I524,보도매체!$A:$C,3,FALSE), "")</f>
        <v/>
      </c>
    </row>
    <row r="525" spans="3:13" x14ac:dyDescent="0.3">
      <c r="C525" s="35">
        <f t="shared" si="9"/>
        <v>0</v>
      </c>
      <c r="D525" s="30" t="str">
        <f>IFERROR(VLOOKUP(C525,소속부서!$A$2:$B$20,2,FALSE), "")</f>
        <v/>
      </c>
      <c r="L525" s="36" t="str">
        <f>IFERROR(VLOOKUP(I525,보도매체!$A:$C,2,FALSE), "")</f>
        <v/>
      </c>
      <c r="M525" s="38" t="str">
        <f>IFERROR(VLOOKUP(I525,보도매체!$A:$C,3,FALSE), "")</f>
        <v/>
      </c>
    </row>
    <row r="526" spans="3:13" x14ac:dyDescent="0.3">
      <c r="C526" s="35">
        <f t="shared" si="9"/>
        <v>0</v>
      </c>
      <c r="D526" s="30" t="str">
        <f>IFERROR(VLOOKUP(C526,소속부서!$A$2:$B$20,2,FALSE), "")</f>
        <v/>
      </c>
      <c r="L526" s="36" t="str">
        <f>IFERROR(VLOOKUP(I526,보도매체!$A:$C,2,FALSE), "")</f>
        <v/>
      </c>
      <c r="M526" s="38" t="str">
        <f>IFERROR(VLOOKUP(I526,보도매체!$A:$C,3,FALSE), "")</f>
        <v/>
      </c>
    </row>
    <row r="527" spans="3:13" x14ac:dyDescent="0.3">
      <c r="C527" s="35">
        <f t="shared" si="9"/>
        <v>0</v>
      </c>
      <c r="D527" s="30" t="str">
        <f>IFERROR(VLOOKUP(C527,소속부서!$A$2:$B$20,2,FALSE), "")</f>
        <v/>
      </c>
      <c r="L527" s="36" t="str">
        <f>IFERROR(VLOOKUP(I527,보도매체!$A:$C,2,FALSE), "")</f>
        <v/>
      </c>
      <c r="M527" s="38" t="str">
        <f>IFERROR(VLOOKUP(I527,보도매체!$A:$C,3,FALSE), "")</f>
        <v/>
      </c>
    </row>
    <row r="528" spans="3:13" x14ac:dyDescent="0.3">
      <c r="C528" s="35">
        <f t="shared" si="9"/>
        <v>0</v>
      </c>
      <c r="D528" s="30" t="str">
        <f>IFERROR(VLOOKUP(C528,소속부서!$A$2:$B$20,2,FALSE), "")</f>
        <v/>
      </c>
      <c r="L528" s="36" t="str">
        <f>IFERROR(VLOOKUP(I528,보도매체!$A:$C,2,FALSE), "")</f>
        <v/>
      </c>
      <c r="M528" s="38" t="str">
        <f>IFERROR(VLOOKUP(I528,보도매체!$A:$C,3,FALSE), "")</f>
        <v/>
      </c>
    </row>
    <row r="529" spans="3:13" x14ac:dyDescent="0.3">
      <c r="C529" s="35">
        <f t="shared" si="9"/>
        <v>0</v>
      </c>
      <c r="D529" s="30" t="str">
        <f>IFERROR(VLOOKUP(C529,소속부서!$A$2:$B$20,2,FALSE), "")</f>
        <v/>
      </c>
      <c r="L529" s="36" t="str">
        <f>IFERROR(VLOOKUP(I529,보도매체!$A:$C,2,FALSE), "")</f>
        <v/>
      </c>
      <c r="M529" s="38" t="str">
        <f>IFERROR(VLOOKUP(I529,보도매체!$A:$C,3,FALSE), "")</f>
        <v/>
      </c>
    </row>
    <row r="530" spans="3:13" x14ac:dyDescent="0.3">
      <c r="C530" s="35">
        <f t="shared" si="9"/>
        <v>0</v>
      </c>
      <c r="D530" s="30" t="str">
        <f>IFERROR(VLOOKUP(C530,소속부서!$A$2:$B$20,2,FALSE), "")</f>
        <v/>
      </c>
      <c r="L530" s="36" t="str">
        <f>IFERROR(VLOOKUP(I530,보도매체!$A:$C,2,FALSE), "")</f>
        <v/>
      </c>
      <c r="M530" s="38" t="str">
        <f>IFERROR(VLOOKUP(I530,보도매체!$A:$C,3,FALSE), "")</f>
        <v/>
      </c>
    </row>
    <row r="531" spans="3:13" x14ac:dyDescent="0.3">
      <c r="C531" s="35">
        <f t="shared" si="9"/>
        <v>0</v>
      </c>
      <c r="D531" s="30" t="str">
        <f>IFERROR(VLOOKUP(C531,소속부서!$A$2:$B$20,2,FALSE), "")</f>
        <v/>
      </c>
      <c r="L531" s="36" t="str">
        <f>IFERROR(VLOOKUP(I531,보도매체!$A:$C,2,FALSE), "")</f>
        <v/>
      </c>
      <c r="M531" s="38" t="str">
        <f>IFERROR(VLOOKUP(I531,보도매체!$A:$C,3,FALSE), "")</f>
        <v/>
      </c>
    </row>
    <row r="532" spans="3:13" x14ac:dyDescent="0.3">
      <c r="C532" s="35">
        <f t="shared" si="9"/>
        <v>0</v>
      </c>
      <c r="D532" s="30" t="str">
        <f>IFERROR(VLOOKUP(C532,소속부서!$A$2:$B$20,2,FALSE), "")</f>
        <v/>
      </c>
      <c r="L532" s="36" t="str">
        <f>IFERROR(VLOOKUP(I532,보도매체!$A:$C,2,FALSE), "")</f>
        <v/>
      </c>
      <c r="M532" s="38" t="str">
        <f>IFERROR(VLOOKUP(I532,보도매체!$A:$C,3,FALSE), "")</f>
        <v/>
      </c>
    </row>
    <row r="533" spans="3:13" x14ac:dyDescent="0.3">
      <c r="C533" s="35">
        <f t="shared" si="9"/>
        <v>0</v>
      </c>
      <c r="D533" s="30" t="str">
        <f>IFERROR(VLOOKUP(C533,소속부서!$A$2:$B$20,2,FALSE), "")</f>
        <v/>
      </c>
      <c r="L533" s="36" t="str">
        <f>IFERROR(VLOOKUP(I533,보도매체!$A:$C,2,FALSE), "")</f>
        <v/>
      </c>
      <c r="M533" s="38" t="str">
        <f>IFERROR(VLOOKUP(I533,보도매체!$A:$C,3,FALSE), "")</f>
        <v/>
      </c>
    </row>
    <row r="534" spans="3:13" x14ac:dyDescent="0.3">
      <c r="C534" s="35">
        <f t="shared" si="9"/>
        <v>0</v>
      </c>
      <c r="D534" s="30" t="str">
        <f>IFERROR(VLOOKUP(C534,소속부서!$A$2:$B$20,2,FALSE), "")</f>
        <v/>
      </c>
      <c r="L534" s="36" t="str">
        <f>IFERROR(VLOOKUP(I534,보도매체!$A:$C,2,FALSE), "")</f>
        <v/>
      </c>
      <c r="M534" s="38" t="str">
        <f>IFERROR(VLOOKUP(I534,보도매체!$A:$C,3,FALSE), "")</f>
        <v/>
      </c>
    </row>
    <row r="535" spans="3:13" x14ac:dyDescent="0.3">
      <c r="C535" s="35">
        <f t="shared" si="9"/>
        <v>0</v>
      </c>
      <c r="D535" s="30" t="str">
        <f>IFERROR(VLOOKUP(C535,소속부서!$A$2:$B$20,2,FALSE), "")</f>
        <v/>
      </c>
      <c r="L535" s="36" t="str">
        <f>IFERROR(VLOOKUP(I535,보도매체!$A:$C,2,FALSE), "")</f>
        <v/>
      </c>
      <c r="M535" s="38" t="str">
        <f>IFERROR(VLOOKUP(I535,보도매체!$A:$C,3,FALSE), "")</f>
        <v/>
      </c>
    </row>
    <row r="536" spans="3:13" x14ac:dyDescent="0.3">
      <c r="C536" s="35">
        <f t="shared" si="9"/>
        <v>0</v>
      </c>
      <c r="D536" s="30" t="str">
        <f>IFERROR(VLOOKUP(C536,소속부서!$A$2:$B$20,2,FALSE), "")</f>
        <v/>
      </c>
      <c r="L536" s="36" t="str">
        <f>IFERROR(VLOOKUP(I536,보도매체!$A:$C,2,FALSE), "")</f>
        <v/>
      </c>
      <c r="M536" s="38" t="str">
        <f>IFERROR(VLOOKUP(I536,보도매체!$A:$C,3,FALSE), "")</f>
        <v/>
      </c>
    </row>
    <row r="537" spans="3:13" x14ac:dyDescent="0.3">
      <c r="C537" s="35">
        <f t="shared" si="9"/>
        <v>0</v>
      </c>
      <c r="D537" s="30" t="str">
        <f>IFERROR(VLOOKUP(C537,소속부서!$A$2:$B$20,2,FALSE), "")</f>
        <v/>
      </c>
      <c r="L537" s="36" t="str">
        <f>IFERROR(VLOOKUP(I537,보도매체!$A:$C,2,FALSE), "")</f>
        <v/>
      </c>
      <c r="M537" s="38" t="str">
        <f>IFERROR(VLOOKUP(I537,보도매체!$A:$C,3,FALSE), "")</f>
        <v/>
      </c>
    </row>
    <row r="538" spans="3:13" x14ac:dyDescent="0.3">
      <c r="C538" s="35">
        <f t="shared" si="9"/>
        <v>0</v>
      </c>
      <c r="D538" s="30" t="str">
        <f>IFERROR(VLOOKUP(C538,소속부서!$A$2:$B$20,2,FALSE), "")</f>
        <v/>
      </c>
      <c r="L538" s="36" t="str">
        <f>IFERROR(VLOOKUP(I538,보도매체!$A:$C,2,FALSE), "")</f>
        <v/>
      </c>
      <c r="M538" s="38" t="str">
        <f>IFERROR(VLOOKUP(I538,보도매체!$A:$C,3,FALSE), "")</f>
        <v/>
      </c>
    </row>
    <row r="539" spans="3:13" x14ac:dyDescent="0.3">
      <c r="C539" s="35">
        <f t="shared" si="9"/>
        <v>0</v>
      </c>
      <c r="D539" s="30" t="str">
        <f>IFERROR(VLOOKUP(C539,소속부서!$A$2:$B$20,2,FALSE), "")</f>
        <v/>
      </c>
      <c r="L539" s="36" t="str">
        <f>IFERROR(VLOOKUP(I539,보도매체!$A:$C,2,FALSE), "")</f>
        <v/>
      </c>
      <c r="M539" s="38" t="str">
        <f>IFERROR(VLOOKUP(I539,보도매체!$A:$C,3,FALSE), "")</f>
        <v/>
      </c>
    </row>
    <row r="540" spans="3:13" x14ac:dyDescent="0.3">
      <c r="C540" s="35">
        <f t="shared" si="9"/>
        <v>0</v>
      </c>
      <c r="D540" s="30" t="str">
        <f>IFERROR(VLOOKUP(C540,소속부서!$A$2:$B$20,2,FALSE), "")</f>
        <v/>
      </c>
      <c r="L540" s="36" t="str">
        <f>IFERROR(VLOOKUP(I540,보도매체!$A:$C,2,FALSE), "")</f>
        <v/>
      </c>
      <c r="M540" s="38" t="str">
        <f>IFERROR(VLOOKUP(I540,보도매체!$A:$C,3,FALSE), "")</f>
        <v/>
      </c>
    </row>
    <row r="541" spans="3:13" x14ac:dyDescent="0.3">
      <c r="C541" s="35">
        <f t="shared" si="9"/>
        <v>0</v>
      </c>
      <c r="D541" s="30" t="str">
        <f>IFERROR(VLOOKUP(C541,소속부서!$A$2:$B$20,2,FALSE), "")</f>
        <v/>
      </c>
      <c r="L541" s="36" t="str">
        <f>IFERROR(VLOOKUP(I541,보도매체!$A:$C,2,FALSE), "")</f>
        <v/>
      </c>
      <c r="M541" s="38" t="str">
        <f>IFERROR(VLOOKUP(I541,보도매체!$A:$C,3,FALSE), "")</f>
        <v/>
      </c>
    </row>
    <row r="542" spans="3:13" x14ac:dyDescent="0.3">
      <c r="C542" s="35">
        <f t="shared" si="9"/>
        <v>0</v>
      </c>
      <c r="D542" s="30" t="str">
        <f>IFERROR(VLOOKUP(C542,소속부서!$A$2:$B$20,2,FALSE), "")</f>
        <v/>
      </c>
      <c r="L542" s="36" t="str">
        <f>IFERROR(VLOOKUP(I542,보도매체!$A:$C,2,FALSE), "")</f>
        <v/>
      </c>
      <c r="M542" s="38" t="str">
        <f>IFERROR(VLOOKUP(I542,보도매체!$A:$C,3,FALSE), "")</f>
        <v/>
      </c>
    </row>
    <row r="543" spans="3:13" x14ac:dyDescent="0.3">
      <c r="C543" s="35">
        <f t="shared" si="9"/>
        <v>0</v>
      </c>
      <c r="D543" s="30" t="str">
        <f>IFERROR(VLOOKUP(C543,소속부서!$A$2:$B$20,2,FALSE), "")</f>
        <v/>
      </c>
      <c r="L543" s="36" t="str">
        <f>IFERROR(VLOOKUP(I543,보도매체!$A:$C,2,FALSE), "")</f>
        <v/>
      </c>
      <c r="M543" s="38" t="str">
        <f>IFERROR(VLOOKUP(I543,보도매체!$A:$C,3,FALSE), "")</f>
        <v/>
      </c>
    </row>
    <row r="544" spans="3:13" x14ac:dyDescent="0.3">
      <c r="C544" s="35">
        <f t="shared" si="9"/>
        <v>0</v>
      </c>
      <c r="D544" s="30" t="str">
        <f>IFERROR(VLOOKUP(C544,소속부서!$A$2:$B$20,2,FALSE), "")</f>
        <v/>
      </c>
      <c r="L544" s="36" t="str">
        <f>IFERROR(VLOOKUP(I544,보도매체!$A:$C,2,FALSE), "")</f>
        <v/>
      </c>
      <c r="M544" s="38" t="str">
        <f>IFERROR(VLOOKUP(I544,보도매체!$A:$C,3,FALSE), "")</f>
        <v/>
      </c>
    </row>
    <row r="545" spans="3:13" x14ac:dyDescent="0.3">
      <c r="C545" s="35">
        <f t="shared" si="9"/>
        <v>0</v>
      </c>
      <c r="D545" s="30" t="str">
        <f>IFERROR(VLOOKUP(C545,소속부서!$A$2:$B$20,2,FALSE), "")</f>
        <v/>
      </c>
      <c r="L545" s="36" t="str">
        <f>IFERROR(VLOOKUP(I545,보도매체!$A:$C,2,FALSE), "")</f>
        <v/>
      </c>
      <c r="M545" s="38" t="str">
        <f>IFERROR(VLOOKUP(I545,보도매체!$A:$C,3,FALSE), "")</f>
        <v/>
      </c>
    </row>
    <row r="546" spans="3:13" x14ac:dyDescent="0.3">
      <c r="C546" s="35">
        <f t="shared" si="9"/>
        <v>0</v>
      </c>
      <c r="D546" s="30" t="str">
        <f>IFERROR(VLOOKUP(C546,소속부서!$A$2:$B$20,2,FALSE), "")</f>
        <v/>
      </c>
      <c r="L546" s="36" t="str">
        <f>IFERROR(VLOOKUP(I546,보도매체!$A:$C,2,FALSE), "")</f>
        <v/>
      </c>
      <c r="M546" s="38" t="str">
        <f>IFERROR(VLOOKUP(I546,보도매체!$A:$C,3,FALSE), "")</f>
        <v/>
      </c>
    </row>
    <row r="547" spans="3:13" x14ac:dyDescent="0.3">
      <c r="C547" s="35">
        <f t="shared" si="9"/>
        <v>0</v>
      </c>
      <c r="D547" s="30" t="str">
        <f>IFERROR(VLOOKUP(C547,소속부서!$A$2:$B$20,2,FALSE), "")</f>
        <v/>
      </c>
      <c r="L547" s="36" t="str">
        <f>IFERROR(VLOOKUP(I547,보도매체!$A:$C,2,FALSE), "")</f>
        <v/>
      </c>
      <c r="M547" s="38" t="str">
        <f>IFERROR(VLOOKUP(I547,보도매체!$A:$C,3,FALSE), "")</f>
        <v/>
      </c>
    </row>
    <row r="548" spans="3:13" x14ac:dyDescent="0.3">
      <c r="C548" s="35">
        <f t="shared" si="9"/>
        <v>0</v>
      </c>
      <c r="D548" s="30" t="str">
        <f>IFERROR(VLOOKUP(C548,소속부서!$A$2:$B$20,2,FALSE), "")</f>
        <v/>
      </c>
      <c r="L548" s="36" t="str">
        <f>IFERROR(VLOOKUP(I548,보도매체!$A:$C,2,FALSE), "")</f>
        <v/>
      </c>
      <c r="M548" s="38" t="str">
        <f>IFERROR(VLOOKUP(I548,보도매체!$A:$C,3,FALSE), "")</f>
        <v/>
      </c>
    </row>
    <row r="549" spans="3:13" x14ac:dyDescent="0.3">
      <c r="C549" s="35">
        <f t="shared" si="9"/>
        <v>0</v>
      </c>
      <c r="D549" s="30" t="str">
        <f>IFERROR(VLOOKUP(C549,소속부서!$A$2:$B$20,2,FALSE), "")</f>
        <v/>
      </c>
      <c r="L549" s="36" t="str">
        <f>IFERROR(VLOOKUP(I549,보도매체!$A:$C,2,FALSE), "")</f>
        <v/>
      </c>
      <c r="M549" s="38" t="str">
        <f>IFERROR(VLOOKUP(I549,보도매체!$A:$C,3,FALSE), "")</f>
        <v/>
      </c>
    </row>
    <row r="550" spans="3:13" x14ac:dyDescent="0.3">
      <c r="C550" s="35">
        <f t="shared" si="9"/>
        <v>0</v>
      </c>
      <c r="D550" s="30" t="str">
        <f>IFERROR(VLOOKUP(C550,소속부서!$A$2:$B$20,2,FALSE), "")</f>
        <v/>
      </c>
      <c r="L550" s="36" t="str">
        <f>IFERROR(VLOOKUP(I550,보도매체!$A:$C,2,FALSE), "")</f>
        <v/>
      </c>
      <c r="M550" s="38" t="str">
        <f>IFERROR(VLOOKUP(I550,보도매체!$A:$C,3,FALSE), "")</f>
        <v/>
      </c>
    </row>
    <row r="551" spans="3:13" x14ac:dyDescent="0.3">
      <c r="C551" s="35">
        <f t="shared" si="9"/>
        <v>0</v>
      </c>
      <c r="D551" s="30" t="str">
        <f>IFERROR(VLOOKUP(C551,소속부서!$A$2:$B$20,2,FALSE), "")</f>
        <v/>
      </c>
      <c r="L551" s="36" t="str">
        <f>IFERROR(VLOOKUP(I551,보도매체!$A:$C,2,FALSE), "")</f>
        <v/>
      </c>
      <c r="M551" s="38" t="str">
        <f>IFERROR(VLOOKUP(I551,보도매체!$A:$C,3,FALSE), "")</f>
        <v/>
      </c>
    </row>
    <row r="552" spans="3:13" x14ac:dyDescent="0.3">
      <c r="C552" s="35">
        <f t="shared" si="9"/>
        <v>0</v>
      </c>
      <c r="D552" s="30" t="str">
        <f>IFERROR(VLOOKUP(C552,소속부서!$A$2:$B$20,2,FALSE), "")</f>
        <v/>
      </c>
      <c r="L552" s="36" t="str">
        <f>IFERROR(VLOOKUP(I552,보도매체!$A:$C,2,FALSE), "")</f>
        <v/>
      </c>
      <c r="M552" s="38" t="str">
        <f>IFERROR(VLOOKUP(I552,보도매체!$A:$C,3,FALSE), "")</f>
        <v/>
      </c>
    </row>
    <row r="553" spans="3:13" x14ac:dyDescent="0.3">
      <c r="C553" s="35">
        <f t="shared" si="9"/>
        <v>0</v>
      </c>
      <c r="D553" s="30" t="str">
        <f>IFERROR(VLOOKUP(C553,소속부서!$A$2:$B$20,2,FALSE), "")</f>
        <v/>
      </c>
      <c r="L553" s="36" t="str">
        <f>IFERROR(VLOOKUP(I553,보도매체!$A:$C,2,FALSE), "")</f>
        <v/>
      </c>
      <c r="M553" s="38" t="str">
        <f>IFERROR(VLOOKUP(I553,보도매체!$A:$C,3,FALSE), "")</f>
        <v/>
      </c>
    </row>
    <row r="554" spans="3:13" x14ac:dyDescent="0.3">
      <c r="C554" s="35">
        <f t="shared" si="9"/>
        <v>0</v>
      </c>
      <c r="D554" s="30" t="str">
        <f>IFERROR(VLOOKUP(C554,소속부서!$A$2:$B$20,2,FALSE), "")</f>
        <v/>
      </c>
      <c r="L554" s="36" t="str">
        <f>IFERROR(VLOOKUP(I554,보도매체!$A:$C,2,FALSE), "")</f>
        <v/>
      </c>
      <c r="M554" s="38" t="str">
        <f>IFERROR(VLOOKUP(I554,보도매체!$A:$C,3,FALSE), "")</f>
        <v/>
      </c>
    </row>
    <row r="555" spans="3:13" x14ac:dyDescent="0.3">
      <c r="C555" s="35">
        <f t="shared" si="9"/>
        <v>0</v>
      </c>
      <c r="D555" s="30" t="str">
        <f>IFERROR(VLOOKUP(C555,소속부서!$A$2:$B$20,2,FALSE), "")</f>
        <v/>
      </c>
      <c r="L555" s="36" t="str">
        <f>IFERROR(VLOOKUP(I555,보도매체!$A:$C,2,FALSE), "")</f>
        <v/>
      </c>
      <c r="M555" s="38" t="str">
        <f>IFERROR(VLOOKUP(I555,보도매체!$A:$C,3,FALSE), "")</f>
        <v/>
      </c>
    </row>
    <row r="556" spans="3:13" x14ac:dyDescent="0.3">
      <c r="C556" s="35">
        <f t="shared" si="9"/>
        <v>0</v>
      </c>
      <c r="D556" s="30" t="str">
        <f>IFERROR(VLOOKUP(C556,소속부서!$A$2:$B$20,2,FALSE), "")</f>
        <v/>
      </c>
      <c r="L556" s="36" t="str">
        <f>IFERROR(VLOOKUP(I556,보도매체!$A:$C,2,FALSE), "")</f>
        <v/>
      </c>
      <c r="M556" s="38" t="str">
        <f>IFERROR(VLOOKUP(I556,보도매체!$A:$C,3,FALSE), "")</f>
        <v/>
      </c>
    </row>
    <row r="557" spans="3:13" x14ac:dyDescent="0.3">
      <c r="C557" s="35">
        <f t="shared" si="9"/>
        <v>0</v>
      </c>
      <c r="D557" s="30" t="str">
        <f>IFERROR(VLOOKUP(C557,소속부서!$A$2:$B$20,2,FALSE), "")</f>
        <v/>
      </c>
      <c r="L557" s="36" t="str">
        <f>IFERROR(VLOOKUP(I557,보도매체!$A:$C,2,FALSE), "")</f>
        <v/>
      </c>
      <c r="M557" s="38" t="str">
        <f>IFERROR(VLOOKUP(I557,보도매체!$A:$C,3,FALSE), "")</f>
        <v/>
      </c>
    </row>
    <row r="558" spans="3:13" x14ac:dyDescent="0.3">
      <c r="C558" s="35">
        <f t="shared" si="9"/>
        <v>0</v>
      </c>
      <c r="D558" s="30" t="str">
        <f>IFERROR(VLOOKUP(C558,소속부서!$A$2:$B$20,2,FALSE), "")</f>
        <v/>
      </c>
      <c r="L558" s="36" t="str">
        <f>IFERROR(VLOOKUP(I558,보도매체!$A:$C,2,FALSE), "")</f>
        <v/>
      </c>
      <c r="M558" s="38" t="str">
        <f>IFERROR(VLOOKUP(I558,보도매체!$A:$C,3,FALSE), "")</f>
        <v/>
      </c>
    </row>
    <row r="559" spans="3:13" x14ac:dyDescent="0.3">
      <c r="C559" s="35">
        <f t="shared" si="9"/>
        <v>0</v>
      </c>
      <c r="D559" s="30" t="str">
        <f>IFERROR(VLOOKUP(C559,소속부서!$A$2:$B$20,2,FALSE), "")</f>
        <v/>
      </c>
      <c r="L559" s="36" t="str">
        <f>IFERROR(VLOOKUP(I559,보도매체!$A:$C,2,FALSE), "")</f>
        <v/>
      </c>
      <c r="M559" s="38" t="str">
        <f>IFERROR(VLOOKUP(I559,보도매체!$A:$C,3,FALSE), "")</f>
        <v/>
      </c>
    </row>
    <row r="560" spans="3:13" x14ac:dyDescent="0.3">
      <c r="C560" s="35">
        <f t="shared" si="9"/>
        <v>0</v>
      </c>
      <c r="D560" s="30" t="str">
        <f>IFERROR(VLOOKUP(C560,소속부서!$A$2:$B$20,2,FALSE), "")</f>
        <v/>
      </c>
      <c r="L560" s="36" t="str">
        <f>IFERROR(VLOOKUP(I560,보도매체!$A:$C,2,FALSE), "")</f>
        <v/>
      </c>
      <c r="M560" s="38" t="str">
        <f>IFERROR(VLOOKUP(I560,보도매체!$A:$C,3,FALSE), "")</f>
        <v/>
      </c>
    </row>
    <row r="561" spans="3:13" x14ac:dyDescent="0.3">
      <c r="C561" s="35">
        <f t="shared" si="9"/>
        <v>0</v>
      </c>
      <c r="D561" s="30" t="str">
        <f>IFERROR(VLOOKUP(C561,소속부서!$A$2:$B$20,2,FALSE), "")</f>
        <v/>
      </c>
      <c r="L561" s="36" t="str">
        <f>IFERROR(VLOOKUP(I561,보도매체!$A:$C,2,FALSE), "")</f>
        <v/>
      </c>
      <c r="M561" s="38" t="str">
        <f>IFERROR(VLOOKUP(I561,보도매체!$A:$C,3,FALSE), "")</f>
        <v/>
      </c>
    </row>
    <row r="562" spans="3:13" x14ac:dyDescent="0.3">
      <c r="C562" s="35">
        <f t="shared" si="9"/>
        <v>0</v>
      </c>
      <c r="D562" s="30" t="str">
        <f>IFERROR(VLOOKUP(C562,소속부서!$A$2:$B$20,2,FALSE), "")</f>
        <v/>
      </c>
      <c r="L562" s="36" t="str">
        <f>IFERROR(VLOOKUP(I562,보도매체!$A:$C,2,FALSE), "")</f>
        <v/>
      </c>
      <c r="M562" s="38" t="str">
        <f>IFERROR(VLOOKUP(I562,보도매체!$A:$C,3,FALSE), "")</f>
        <v/>
      </c>
    </row>
    <row r="563" spans="3:13" x14ac:dyDescent="0.3">
      <c r="C563" s="35">
        <f t="shared" si="9"/>
        <v>0</v>
      </c>
      <c r="D563" s="30" t="str">
        <f>IFERROR(VLOOKUP(C563,소속부서!$A$2:$B$20,2,FALSE), "")</f>
        <v/>
      </c>
      <c r="L563" s="36" t="str">
        <f>IFERROR(VLOOKUP(I563,보도매체!$A:$C,2,FALSE), "")</f>
        <v/>
      </c>
      <c r="M563" s="38" t="str">
        <f>IFERROR(VLOOKUP(I563,보도매체!$A:$C,3,FALSE), "")</f>
        <v/>
      </c>
    </row>
    <row r="564" spans="3:13" x14ac:dyDescent="0.3">
      <c r="C564" s="35">
        <f t="shared" si="9"/>
        <v>0</v>
      </c>
      <c r="D564" s="30" t="str">
        <f>IFERROR(VLOOKUP(C564,소속부서!$A$2:$B$20,2,FALSE), "")</f>
        <v/>
      </c>
      <c r="L564" s="36" t="str">
        <f>IFERROR(VLOOKUP(I564,보도매체!$A:$C,2,FALSE), "")</f>
        <v/>
      </c>
      <c r="M564" s="38" t="str">
        <f>IFERROR(VLOOKUP(I564,보도매체!$A:$C,3,FALSE), "")</f>
        <v/>
      </c>
    </row>
    <row r="565" spans="3:13" x14ac:dyDescent="0.3">
      <c r="C565" s="35">
        <f t="shared" si="9"/>
        <v>0</v>
      </c>
      <c r="D565" s="30" t="str">
        <f>IFERROR(VLOOKUP(C565,소속부서!$A$2:$B$20,2,FALSE), "")</f>
        <v/>
      </c>
      <c r="L565" s="36" t="str">
        <f>IFERROR(VLOOKUP(I565,보도매체!$A:$C,2,FALSE), "")</f>
        <v/>
      </c>
      <c r="M565" s="38" t="str">
        <f>IFERROR(VLOOKUP(I565,보도매체!$A:$C,3,FALSE), "")</f>
        <v/>
      </c>
    </row>
    <row r="566" spans="3:13" x14ac:dyDescent="0.3">
      <c r="C566" s="35">
        <f t="shared" si="9"/>
        <v>0</v>
      </c>
      <c r="D566" s="30" t="str">
        <f>IFERROR(VLOOKUP(C566,소속부서!$A$2:$B$20,2,FALSE), "")</f>
        <v/>
      </c>
      <c r="L566" s="36" t="str">
        <f>IFERROR(VLOOKUP(I566,보도매체!$A:$C,2,FALSE), "")</f>
        <v/>
      </c>
      <c r="M566" s="38" t="str">
        <f>IFERROR(VLOOKUP(I566,보도매체!$A:$C,3,FALSE), "")</f>
        <v/>
      </c>
    </row>
    <row r="567" spans="3:13" x14ac:dyDescent="0.3">
      <c r="C567" s="35">
        <f t="shared" si="9"/>
        <v>0</v>
      </c>
      <c r="D567" s="30" t="str">
        <f>IFERROR(VLOOKUP(C567,소속부서!$A$2:$B$20,2,FALSE), "")</f>
        <v/>
      </c>
      <c r="L567" s="36" t="str">
        <f>IFERROR(VLOOKUP(I567,보도매체!$A:$C,2,FALSE), "")</f>
        <v/>
      </c>
      <c r="M567" s="38" t="str">
        <f>IFERROR(VLOOKUP(I567,보도매체!$A:$C,3,FALSE), "")</f>
        <v/>
      </c>
    </row>
    <row r="568" spans="3:13" x14ac:dyDescent="0.3">
      <c r="C568" s="35">
        <f t="shared" si="9"/>
        <v>0</v>
      </c>
      <c r="D568" s="30" t="str">
        <f>IFERROR(VLOOKUP(C568,소속부서!$A$2:$B$20,2,FALSE), "")</f>
        <v/>
      </c>
      <c r="L568" s="36" t="str">
        <f>IFERROR(VLOOKUP(I568,보도매체!$A:$C,2,FALSE), "")</f>
        <v/>
      </c>
      <c r="M568" s="38" t="str">
        <f>IFERROR(VLOOKUP(I568,보도매체!$A:$C,3,FALSE), "")</f>
        <v/>
      </c>
    </row>
    <row r="569" spans="3:13" x14ac:dyDescent="0.3">
      <c r="C569" s="35">
        <f t="shared" si="9"/>
        <v>0</v>
      </c>
      <c r="D569" s="30" t="str">
        <f>IFERROR(VLOOKUP(C569,소속부서!$A$2:$B$20,2,FALSE), "")</f>
        <v/>
      </c>
      <c r="L569" s="36" t="str">
        <f>IFERROR(VLOOKUP(I569,보도매체!$A:$C,2,FALSE), "")</f>
        <v/>
      </c>
      <c r="M569" s="38" t="str">
        <f>IFERROR(VLOOKUP(I569,보도매체!$A:$C,3,FALSE), "")</f>
        <v/>
      </c>
    </row>
    <row r="570" spans="3:13" x14ac:dyDescent="0.3">
      <c r="C570" s="35">
        <f t="shared" si="9"/>
        <v>0</v>
      </c>
      <c r="D570" s="30" t="str">
        <f>IFERROR(VLOOKUP(C570,소속부서!$A$2:$B$20,2,FALSE), "")</f>
        <v/>
      </c>
      <c r="L570" s="36" t="str">
        <f>IFERROR(VLOOKUP(I570,보도매체!$A:$C,2,FALSE), "")</f>
        <v/>
      </c>
      <c r="M570" s="38" t="str">
        <f>IFERROR(VLOOKUP(I570,보도매체!$A:$C,3,FALSE), "")</f>
        <v/>
      </c>
    </row>
    <row r="571" spans="3:13" x14ac:dyDescent="0.3">
      <c r="C571" s="35">
        <f t="shared" si="9"/>
        <v>0</v>
      </c>
      <c r="D571" s="30" t="str">
        <f>IFERROR(VLOOKUP(C571,소속부서!$A$2:$B$20,2,FALSE), "")</f>
        <v/>
      </c>
      <c r="L571" s="36" t="str">
        <f>IFERROR(VLOOKUP(I571,보도매체!$A:$C,2,FALSE), "")</f>
        <v/>
      </c>
      <c r="M571" s="38" t="str">
        <f>IFERROR(VLOOKUP(I571,보도매체!$A:$C,3,FALSE), "")</f>
        <v/>
      </c>
    </row>
    <row r="572" spans="3:13" x14ac:dyDescent="0.3">
      <c r="C572" s="35">
        <f t="shared" si="9"/>
        <v>0</v>
      </c>
      <c r="D572" s="30" t="str">
        <f>IFERROR(VLOOKUP(C572,소속부서!$A$2:$B$20,2,FALSE), "")</f>
        <v/>
      </c>
      <c r="L572" s="36" t="str">
        <f>IFERROR(VLOOKUP(I572,보도매체!$A:$C,2,FALSE), "")</f>
        <v/>
      </c>
      <c r="M572" s="38" t="str">
        <f>IFERROR(VLOOKUP(I572,보도매체!$A:$C,3,FALSE), "")</f>
        <v/>
      </c>
    </row>
    <row r="573" spans="3:13" x14ac:dyDescent="0.3">
      <c r="C573" s="35">
        <f t="shared" si="9"/>
        <v>0</v>
      </c>
      <c r="D573" s="30" t="str">
        <f>IFERROR(VLOOKUP(C573,소속부서!$A$2:$B$20,2,FALSE), "")</f>
        <v/>
      </c>
      <c r="L573" s="36" t="str">
        <f>IFERROR(VLOOKUP(I573,보도매체!$A:$C,2,FALSE), "")</f>
        <v/>
      </c>
      <c r="M573" s="38" t="str">
        <f>IFERROR(VLOOKUP(I573,보도매체!$A:$C,3,FALSE), "")</f>
        <v/>
      </c>
    </row>
    <row r="574" spans="3:13" x14ac:dyDescent="0.3">
      <c r="C574" s="35">
        <f t="shared" si="9"/>
        <v>0</v>
      </c>
      <c r="D574" s="30" t="str">
        <f>IFERROR(VLOOKUP(C574,소속부서!$A$2:$B$20,2,FALSE), "")</f>
        <v/>
      </c>
      <c r="L574" s="36" t="str">
        <f>IFERROR(VLOOKUP(I574,보도매체!$A:$C,2,FALSE), "")</f>
        <v/>
      </c>
      <c r="M574" s="38" t="str">
        <f>IFERROR(VLOOKUP(I574,보도매체!$A:$C,3,FALSE), "")</f>
        <v/>
      </c>
    </row>
    <row r="575" spans="3:13" x14ac:dyDescent="0.3">
      <c r="C575" s="35">
        <f t="shared" si="9"/>
        <v>0</v>
      </c>
      <c r="D575" s="30" t="str">
        <f>IFERROR(VLOOKUP(C575,소속부서!$A$2:$B$20,2,FALSE), "")</f>
        <v/>
      </c>
      <c r="L575" s="36" t="str">
        <f>IFERROR(VLOOKUP(I575,보도매체!$A:$C,2,FALSE), "")</f>
        <v/>
      </c>
      <c r="M575" s="38" t="str">
        <f>IFERROR(VLOOKUP(I575,보도매체!$A:$C,3,FALSE), "")</f>
        <v/>
      </c>
    </row>
    <row r="576" spans="3:13" x14ac:dyDescent="0.3">
      <c r="C576" s="35">
        <f t="shared" si="9"/>
        <v>0</v>
      </c>
      <c r="D576" s="30" t="str">
        <f>IFERROR(VLOOKUP(C576,소속부서!$A$2:$B$20,2,FALSE), "")</f>
        <v/>
      </c>
      <c r="L576" s="36" t="str">
        <f>IFERROR(VLOOKUP(I576,보도매체!$A:$C,2,FALSE), "")</f>
        <v/>
      </c>
      <c r="M576" s="38" t="str">
        <f>IFERROR(VLOOKUP(I576,보도매체!$A:$C,3,FALSE), "")</f>
        <v/>
      </c>
    </row>
    <row r="577" spans="3:13" x14ac:dyDescent="0.3">
      <c r="C577" s="35">
        <f t="shared" si="9"/>
        <v>0</v>
      </c>
      <c r="D577" s="30" t="str">
        <f>IFERROR(VLOOKUP(C577,소속부서!$A$2:$B$20,2,FALSE), "")</f>
        <v/>
      </c>
      <c r="L577" s="36" t="str">
        <f>IFERROR(VLOOKUP(I577,보도매체!$A:$C,2,FALSE), "")</f>
        <v/>
      </c>
      <c r="M577" s="38" t="str">
        <f>IFERROR(VLOOKUP(I577,보도매체!$A:$C,3,FALSE), "")</f>
        <v/>
      </c>
    </row>
    <row r="578" spans="3:13" x14ac:dyDescent="0.3">
      <c r="C578" s="35">
        <f t="shared" si="9"/>
        <v>0</v>
      </c>
      <c r="D578" s="30" t="str">
        <f>IFERROR(VLOOKUP(C578,소속부서!$A$2:$B$20,2,FALSE), "")</f>
        <v/>
      </c>
      <c r="L578" s="36" t="str">
        <f>IFERROR(VLOOKUP(I578,보도매체!$A:$C,2,FALSE), "")</f>
        <v/>
      </c>
      <c r="M578" s="38" t="str">
        <f>IFERROR(VLOOKUP(I578,보도매체!$A:$C,3,FALSE), "")</f>
        <v/>
      </c>
    </row>
    <row r="579" spans="3:13" x14ac:dyDescent="0.3">
      <c r="C579" s="35">
        <f t="shared" si="9"/>
        <v>0</v>
      </c>
      <c r="D579" s="30" t="str">
        <f>IFERROR(VLOOKUP(C579,소속부서!$A$2:$B$20,2,FALSE), "")</f>
        <v/>
      </c>
      <c r="L579" s="36" t="str">
        <f>IFERROR(VLOOKUP(I579,보도매체!$A:$C,2,FALSE), "")</f>
        <v/>
      </c>
      <c r="M579" s="38" t="str">
        <f>IFERROR(VLOOKUP(I579,보도매체!$A:$C,3,FALSE), "")</f>
        <v/>
      </c>
    </row>
    <row r="580" spans="3:13" x14ac:dyDescent="0.3">
      <c r="C580" s="35">
        <f t="shared" ref="C580:C643" si="10">E580</f>
        <v>0</v>
      </c>
      <c r="D580" s="30" t="str">
        <f>IFERROR(VLOOKUP(C580,소속부서!$A$2:$B$20,2,FALSE), "")</f>
        <v/>
      </c>
      <c r="L580" s="36" t="str">
        <f>IFERROR(VLOOKUP(I580,보도매체!$A:$C,2,FALSE), "")</f>
        <v/>
      </c>
      <c r="M580" s="38" t="str">
        <f>IFERROR(VLOOKUP(I580,보도매체!$A:$C,3,FALSE), "")</f>
        <v/>
      </c>
    </row>
    <row r="581" spans="3:13" x14ac:dyDescent="0.3">
      <c r="C581" s="35">
        <f t="shared" si="10"/>
        <v>0</v>
      </c>
      <c r="D581" s="30" t="str">
        <f>IFERROR(VLOOKUP(C581,소속부서!$A$2:$B$20,2,FALSE), "")</f>
        <v/>
      </c>
      <c r="L581" s="36" t="str">
        <f>IFERROR(VLOOKUP(I581,보도매체!$A:$C,2,FALSE), "")</f>
        <v/>
      </c>
      <c r="M581" s="38" t="str">
        <f>IFERROR(VLOOKUP(I581,보도매체!$A:$C,3,FALSE), "")</f>
        <v/>
      </c>
    </row>
    <row r="582" spans="3:13" x14ac:dyDescent="0.3">
      <c r="C582" s="35">
        <f t="shared" si="10"/>
        <v>0</v>
      </c>
      <c r="D582" s="30" t="str">
        <f>IFERROR(VLOOKUP(C582,소속부서!$A$2:$B$20,2,FALSE), "")</f>
        <v/>
      </c>
      <c r="L582" s="36" t="str">
        <f>IFERROR(VLOOKUP(I582,보도매체!$A:$C,2,FALSE), "")</f>
        <v/>
      </c>
      <c r="M582" s="38" t="str">
        <f>IFERROR(VLOOKUP(I582,보도매체!$A:$C,3,FALSE), "")</f>
        <v/>
      </c>
    </row>
    <row r="583" spans="3:13" x14ac:dyDescent="0.3">
      <c r="C583" s="35">
        <f t="shared" si="10"/>
        <v>0</v>
      </c>
      <c r="D583" s="30" t="str">
        <f>IFERROR(VLOOKUP(C583,소속부서!$A$2:$B$20,2,FALSE), "")</f>
        <v/>
      </c>
      <c r="L583" s="36" t="str">
        <f>IFERROR(VLOOKUP(I583,보도매체!$A:$C,2,FALSE), "")</f>
        <v/>
      </c>
      <c r="M583" s="38" t="str">
        <f>IFERROR(VLOOKUP(I583,보도매체!$A:$C,3,FALSE), "")</f>
        <v/>
      </c>
    </row>
    <row r="584" spans="3:13" x14ac:dyDescent="0.3">
      <c r="C584" s="35">
        <f t="shared" si="10"/>
        <v>0</v>
      </c>
      <c r="D584" s="30" t="str">
        <f>IFERROR(VLOOKUP(C584,소속부서!$A$2:$B$20,2,FALSE), "")</f>
        <v/>
      </c>
      <c r="L584" s="36" t="str">
        <f>IFERROR(VLOOKUP(I584,보도매체!$A:$C,2,FALSE), "")</f>
        <v/>
      </c>
      <c r="M584" s="38" t="str">
        <f>IFERROR(VLOOKUP(I584,보도매체!$A:$C,3,FALSE), "")</f>
        <v/>
      </c>
    </row>
    <row r="585" spans="3:13" x14ac:dyDescent="0.3">
      <c r="C585" s="35">
        <f t="shared" si="10"/>
        <v>0</v>
      </c>
      <c r="D585" s="30" t="str">
        <f>IFERROR(VLOOKUP(C585,소속부서!$A$2:$B$20,2,FALSE), "")</f>
        <v/>
      </c>
      <c r="L585" s="36" t="str">
        <f>IFERROR(VLOOKUP(I585,보도매체!$A:$C,2,FALSE), "")</f>
        <v/>
      </c>
      <c r="M585" s="38" t="str">
        <f>IFERROR(VLOOKUP(I585,보도매체!$A:$C,3,FALSE), "")</f>
        <v/>
      </c>
    </row>
    <row r="586" spans="3:13" x14ac:dyDescent="0.3">
      <c r="C586" s="35">
        <f t="shared" si="10"/>
        <v>0</v>
      </c>
      <c r="D586" s="30" t="str">
        <f>IFERROR(VLOOKUP(C586,소속부서!$A$2:$B$20,2,FALSE), "")</f>
        <v/>
      </c>
      <c r="L586" s="36" t="str">
        <f>IFERROR(VLOOKUP(I586,보도매체!$A:$C,2,FALSE), "")</f>
        <v/>
      </c>
      <c r="M586" s="38" t="str">
        <f>IFERROR(VLOOKUP(I586,보도매체!$A:$C,3,FALSE), "")</f>
        <v/>
      </c>
    </row>
    <row r="587" spans="3:13" x14ac:dyDescent="0.3">
      <c r="C587" s="35">
        <f t="shared" si="10"/>
        <v>0</v>
      </c>
      <c r="D587" s="30" t="str">
        <f>IFERROR(VLOOKUP(C587,소속부서!$A$2:$B$20,2,FALSE), "")</f>
        <v/>
      </c>
      <c r="L587" s="36" t="str">
        <f>IFERROR(VLOOKUP(I587,보도매체!$A:$C,2,FALSE), "")</f>
        <v/>
      </c>
      <c r="M587" s="38" t="str">
        <f>IFERROR(VLOOKUP(I587,보도매체!$A:$C,3,FALSE), "")</f>
        <v/>
      </c>
    </row>
    <row r="588" spans="3:13" x14ac:dyDescent="0.3">
      <c r="C588" s="35">
        <f t="shared" si="10"/>
        <v>0</v>
      </c>
      <c r="D588" s="30" t="str">
        <f>IFERROR(VLOOKUP(C588,소속부서!$A$2:$B$20,2,FALSE), "")</f>
        <v/>
      </c>
      <c r="L588" s="36" t="str">
        <f>IFERROR(VLOOKUP(I588,보도매체!$A:$C,2,FALSE), "")</f>
        <v/>
      </c>
      <c r="M588" s="38" t="str">
        <f>IFERROR(VLOOKUP(I588,보도매체!$A:$C,3,FALSE), "")</f>
        <v/>
      </c>
    </row>
    <row r="589" spans="3:13" x14ac:dyDescent="0.3">
      <c r="C589" s="35">
        <f t="shared" si="10"/>
        <v>0</v>
      </c>
      <c r="D589" s="30" t="str">
        <f>IFERROR(VLOOKUP(C589,소속부서!$A$2:$B$20,2,FALSE), "")</f>
        <v/>
      </c>
      <c r="L589" s="36" t="str">
        <f>IFERROR(VLOOKUP(I589,보도매체!$A:$C,2,FALSE), "")</f>
        <v/>
      </c>
      <c r="M589" s="38" t="str">
        <f>IFERROR(VLOOKUP(I589,보도매체!$A:$C,3,FALSE), "")</f>
        <v/>
      </c>
    </row>
    <row r="590" spans="3:13" x14ac:dyDescent="0.3">
      <c r="C590" s="35">
        <f t="shared" si="10"/>
        <v>0</v>
      </c>
      <c r="D590" s="30" t="str">
        <f>IFERROR(VLOOKUP(C590,소속부서!$A$2:$B$20,2,FALSE), "")</f>
        <v/>
      </c>
      <c r="L590" s="36" t="str">
        <f>IFERROR(VLOOKUP(I590,보도매체!$A:$C,2,FALSE), "")</f>
        <v/>
      </c>
      <c r="M590" s="38" t="str">
        <f>IFERROR(VLOOKUP(I590,보도매체!$A:$C,3,FALSE), "")</f>
        <v/>
      </c>
    </row>
    <row r="591" spans="3:13" x14ac:dyDescent="0.3">
      <c r="C591" s="35">
        <f t="shared" si="10"/>
        <v>0</v>
      </c>
      <c r="D591" s="30" t="str">
        <f>IFERROR(VLOOKUP(C591,소속부서!$A$2:$B$20,2,FALSE), "")</f>
        <v/>
      </c>
      <c r="L591" s="36" t="str">
        <f>IFERROR(VLOOKUP(I591,보도매체!$A:$C,2,FALSE), "")</f>
        <v/>
      </c>
      <c r="M591" s="38" t="str">
        <f>IFERROR(VLOOKUP(I591,보도매체!$A:$C,3,FALSE), "")</f>
        <v/>
      </c>
    </row>
    <row r="592" spans="3:13" x14ac:dyDescent="0.3">
      <c r="C592" s="35">
        <f t="shared" si="10"/>
        <v>0</v>
      </c>
      <c r="D592" s="30" t="str">
        <f>IFERROR(VLOOKUP(C592,소속부서!$A$2:$B$20,2,FALSE), "")</f>
        <v/>
      </c>
      <c r="L592" s="36" t="str">
        <f>IFERROR(VLOOKUP(I592,보도매체!$A:$C,2,FALSE), "")</f>
        <v/>
      </c>
      <c r="M592" s="38" t="str">
        <f>IFERROR(VLOOKUP(I592,보도매체!$A:$C,3,FALSE), "")</f>
        <v/>
      </c>
    </row>
    <row r="593" spans="3:13" x14ac:dyDescent="0.3">
      <c r="C593" s="35">
        <f t="shared" si="10"/>
        <v>0</v>
      </c>
      <c r="D593" s="30" t="str">
        <f>IFERROR(VLOOKUP(C593,소속부서!$A$2:$B$20,2,FALSE), "")</f>
        <v/>
      </c>
      <c r="L593" s="36" t="str">
        <f>IFERROR(VLOOKUP(I593,보도매체!$A:$C,2,FALSE), "")</f>
        <v/>
      </c>
      <c r="M593" s="38" t="str">
        <f>IFERROR(VLOOKUP(I593,보도매체!$A:$C,3,FALSE), "")</f>
        <v/>
      </c>
    </row>
    <row r="594" spans="3:13" x14ac:dyDescent="0.3">
      <c r="C594" s="35">
        <f t="shared" si="10"/>
        <v>0</v>
      </c>
      <c r="D594" s="30" t="str">
        <f>IFERROR(VLOOKUP(C594,소속부서!$A$2:$B$20,2,FALSE), "")</f>
        <v/>
      </c>
      <c r="L594" s="36" t="str">
        <f>IFERROR(VLOOKUP(I594,보도매체!$A:$C,2,FALSE), "")</f>
        <v/>
      </c>
      <c r="M594" s="38" t="str">
        <f>IFERROR(VLOOKUP(I594,보도매체!$A:$C,3,FALSE), "")</f>
        <v/>
      </c>
    </row>
    <row r="595" spans="3:13" x14ac:dyDescent="0.3">
      <c r="C595" s="35">
        <f t="shared" si="10"/>
        <v>0</v>
      </c>
      <c r="D595" s="30" t="str">
        <f>IFERROR(VLOOKUP(C595,소속부서!$A$2:$B$20,2,FALSE), "")</f>
        <v/>
      </c>
      <c r="L595" s="36" t="str">
        <f>IFERROR(VLOOKUP(I595,보도매체!$A:$C,2,FALSE), "")</f>
        <v/>
      </c>
      <c r="M595" s="38" t="str">
        <f>IFERROR(VLOOKUP(I595,보도매체!$A:$C,3,FALSE), "")</f>
        <v/>
      </c>
    </row>
    <row r="596" spans="3:13" x14ac:dyDescent="0.3">
      <c r="C596" s="35">
        <f t="shared" si="10"/>
        <v>0</v>
      </c>
      <c r="D596" s="30" t="str">
        <f>IFERROR(VLOOKUP(C596,소속부서!$A$2:$B$20,2,FALSE), "")</f>
        <v/>
      </c>
      <c r="L596" s="36" t="str">
        <f>IFERROR(VLOOKUP(I596,보도매체!$A:$C,2,FALSE), "")</f>
        <v/>
      </c>
      <c r="M596" s="38" t="str">
        <f>IFERROR(VLOOKUP(I596,보도매체!$A:$C,3,FALSE), "")</f>
        <v/>
      </c>
    </row>
    <row r="597" spans="3:13" x14ac:dyDescent="0.3">
      <c r="C597" s="35">
        <f t="shared" si="10"/>
        <v>0</v>
      </c>
      <c r="D597" s="30" t="str">
        <f>IFERROR(VLOOKUP(C597,소속부서!$A$2:$B$20,2,FALSE), "")</f>
        <v/>
      </c>
      <c r="L597" s="36" t="str">
        <f>IFERROR(VLOOKUP(I597,보도매체!$A:$C,2,FALSE), "")</f>
        <v/>
      </c>
      <c r="M597" s="38" t="str">
        <f>IFERROR(VLOOKUP(I597,보도매체!$A:$C,3,FALSE), "")</f>
        <v/>
      </c>
    </row>
    <row r="598" spans="3:13" x14ac:dyDescent="0.3">
      <c r="C598" s="35">
        <f t="shared" si="10"/>
        <v>0</v>
      </c>
      <c r="D598" s="30" t="str">
        <f>IFERROR(VLOOKUP(C598,소속부서!$A$2:$B$20,2,FALSE), "")</f>
        <v/>
      </c>
      <c r="L598" s="36" t="str">
        <f>IFERROR(VLOOKUP(I598,보도매체!$A:$C,2,FALSE), "")</f>
        <v/>
      </c>
      <c r="M598" s="38" t="str">
        <f>IFERROR(VLOOKUP(I598,보도매체!$A:$C,3,FALSE), "")</f>
        <v/>
      </c>
    </row>
    <row r="599" spans="3:13" x14ac:dyDescent="0.3">
      <c r="C599" s="35">
        <f t="shared" si="10"/>
        <v>0</v>
      </c>
      <c r="D599" s="30" t="str">
        <f>IFERROR(VLOOKUP(C599,소속부서!$A$2:$B$20,2,FALSE), "")</f>
        <v/>
      </c>
      <c r="L599" s="36" t="str">
        <f>IFERROR(VLOOKUP(I599,보도매체!$A:$C,2,FALSE), "")</f>
        <v/>
      </c>
      <c r="M599" s="38" t="str">
        <f>IFERROR(VLOOKUP(I599,보도매체!$A:$C,3,FALSE), "")</f>
        <v/>
      </c>
    </row>
    <row r="600" spans="3:13" x14ac:dyDescent="0.3">
      <c r="C600" s="35">
        <f t="shared" si="10"/>
        <v>0</v>
      </c>
      <c r="D600" s="30" t="str">
        <f>IFERROR(VLOOKUP(C600,소속부서!$A$2:$B$20,2,FALSE), "")</f>
        <v/>
      </c>
      <c r="L600" s="36" t="str">
        <f>IFERROR(VLOOKUP(I600,보도매체!$A:$C,2,FALSE), "")</f>
        <v/>
      </c>
      <c r="M600" s="38" t="str">
        <f>IFERROR(VLOOKUP(I600,보도매체!$A:$C,3,FALSE), "")</f>
        <v/>
      </c>
    </row>
    <row r="601" spans="3:13" x14ac:dyDescent="0.3">
      <c r="C601" s="35">
        <f t="shared" si="10"/>
        <v>0</v>
      </c>
      <c r="D601" s="30" t="str">
        <f>IFERROR(VLOOKUP(C601,소속부서!$A$2:$B$20,2,FALSE), "")</f>
        <v/>
      </c>
      <c r="L601" s="36" t="str">
        <f>IFERROR(VLOOKUP(I601,보도매체!$A:$C,2,FALSE), "")</f>
        <v/>
      </c>
      <c r="M601" s="38" t="str">
        <f>IFERROR(VLOOKUP(I601,보도매체!$A:$C,3,FALSE), "")</f>
        <v/>
      </c>
    </row>
    <row r="602" spans="3:13" x14ac:dyDescent="0.3">
      <c r="C602" s="35">
        <f t="shared" si="10"/>
        <v>0</v>
      </c>
      <c r="D602" s="30" t="str">
        <f>IFERROR(VLOOKUP(C602,소속부서!$A$2:$B$20,2,FALSE), "")</f>
        <v/>
      </c>
      <c r="L602" s="36" t="str">
        <f>IFERROR(VLOOKUP(I602,보도매체!$A:$C,2,FALSE), "")</f>
        <v/>
      </c>
      <c r="M602" s="38" t="str">
        <f>IFERROR(VLOOKUP(I602,보도매체!$A:$C,3,FALSE), "")</f>
        <v/>
      </c>
    </row>
    <row r="603" spans="3:13" x14ac:dyDescent="0.3">
      <c r="C603" s="35">
        <f t="shared" si="10"/>
        <v>0</v>
      </c>
      <c r="D603" s="30" t="str">
        <f>IFERROR(VLOOKUP(C603,소속부서!$A$2:$B$20,2,FALSE), "")</f>
        <v/>
      </c>
      <c r="L603" s="36" t="str">
        <f>IFERROR(VLOOKUP(I603,보도매체!$A:$C,2,FALSE), "")</f>
        <v/>
      </c>
      <c r="M603" s="38" t="str">
        <f>IFERROR(VLOOKUP(I603,보도매체!$A:$C,3,FALSE), "")</f>
        <v/>
      </c>
    </row>
    <row r="604" spans="3:13" x14ac:dyDescent="0.3">
      <c r="C604" s="35">
        <f t="shared" si="10"/>
        <v>0</v>
      </c>
      <c r="D604" s="30" t="str">
        <f>IFERROR(VLOOKUP(C604,소속부서!$A$2:$B$20,2,FALSE), "")</f>
        <v/>
      </c>
      <c r="L604" s="36" t="str">
        <f>IFERROR(VLOOKUP(I604,보도매체!$A:$C,2,FALSE), "")</f>
        <v/>
      </c>
      <c r="M604" s="38" t="str">
        <f>IFERROR(VLOOKUP(I604,보도매체!$A:$C,3,FALSE), "")</f>
        <v/>
      </c>
    </row>
    <row r="605" spans="3:13" x14ac:dyDescent="0.3">
      <c r="C605" s="35">
        <f t="shared" si="10"/>
        <v>0</v>
      </c>
      <c r="D605" s="30" t="str">
        <f>IFERROR(VLOOKUP(C605,소속부서!$A$2:$B$20,2,FALSE), "")</f>
        <v/>
      </c>
      <c r="L605" s="36" t="str">
        <f>IFERROR(VLOOKUP(I605,보도매체!$A:$C,2,FALSE), "")</f>
        <v/>
      </c>
      <c r="M605" s="38" t="str">
        <f>IFERROR(VLOOKUP(I605,보도매체!$A:$C,3,FALSE), "")</f>
        <v/>
      </c>
    </row>
    <row r="606" spans="3:13" x14ac:dyDescent="0.3">
      <c r="C606" s="35">
        <f t="shared" si="10"/>
        <v>0</v>
      </c>
      <c r="D606" s="30" t="str">
        <f>IFERROR(VLOOKUP(C606,소속부서!$A$2:$B$20,2,FALSE), "")</f>
        <v/>
      </c>
      <c r="L606" s="36" t="str">
        <f>IFERROR(VLOOKUP(I606,보도매체!$A:$C,2,FALSE), "")</f>
        <v/>
      </c>
      <c r="M606" s="38" t="str">
        <f>IFERROR(VLOOKUP(I606,보도매체!$A:$C,3,FALSE), "")</f>
        <v/>
      </c>
    </row>
    <row r="607" spans="3:13" x14ac:dyDescent="0.3">
      <c r="C607" s="35">
        <f t="shared" si="10"/>
        <v>0</v>
      </c>
      <c r="D607" s="30" t="str">
        <f>IFERROR(VLOOKUP(C607,소속부서!$A$2:$B$20,2,FALSE), "")</f>
        <v/>
      </c>
      <c r="L607" s="36" t="str">
        <f>IFERROR(VLOOKUP(I607,보도매체!$A:$C,2,FALSE), "")</f>
        <v/>
      </c>
      <c r="M607" s="38" t="str">
        <f>IFERROR(VLOOKUP(I607,보도매체!$A:$C,3,FALSE), "")</f>
        <v/>
      </c>
    </row>
    <row r="608" spans="3:13" x14ac:dyDescent="0.3">
      <c r="C608" s="35">
        <f t="shared" si="10"/>
        <v>0</v>
      </c>
      <c r="D608" s="30" t="str">
        <f>IFERROR(VLOOKUP(C608,소속부서!$A$2:$B$20,2,FALSE), "")</f>
        <v/>
      </c>
      <c r="L608" s="36" t="str">
        <f>IFERROR(VLOOKUP(I608,보도매체!$A:$C,2,FALSE), "")</f>
        <v/>
      </c>
      <c r="M608" s="38" t="str">
        <f>IFERROR(VLOOKUP(I608,보도매체!$A:$C,3,FALSE), "")</f>
        <v/>
      </c>
    </row>
    <row r="609" spans="3:13" x14ac:dyDescent="0.3">
      <c r="C609" s="35">
        <f t="shared" si="10"/>
        <v>0</v>
      </c>
      <c r="D609" s="30" t="str">
        <f>IFERROR(VLOOKUP(C609,소속부서!$A$2:$B$20,2,FALSE), "")</f>
        <v/>
      </c>
      <c r="L609" s="36" t="str">
        <f>IFERROR(VLOOKUP(I609,보도매체!$A:$C,2,FALSE), "")</f>
        <v/>
      </c>
      <c r="M609" s="38" t="str">
        <f>IFERROR(VLOOKUP(I609,보도매체!$A:$C,3,FALSE), "")</f>
        <v/>
      </c>
    </row>
    <row r="610" spans="3:13" x14ac:dyDescent="0.3">
      <c r="C610" s="35">
        <f t="shared" si="10"/>
        <v>0</v>
      </c>
      <c r="D610" s="30" t="str">
        <f>IFERROR(VLOOKUP(C610,소속부서!$A$2:$B$20,2,FALSE), "")</f>
        <v/>
      </c>
      <c r="L610" s="36" t="str">
        <f>IFERROR(VLOOKUP(I610,보도매체!$A:$C,2,FALSE), "")</f>
        <v/>
      </c>
      <c r="M610" s="38" t="str">
        <f>IFERROR(VLOOKUP(I610,보도매체!$A:$C,3,FALSE), "")</f>
        <v/>
      </c>
    </row>
    <row r="611" spans="3:13" x14ac:dyDescent="0.3">
      <c r="C611" s="35">
        <f t="shared" si="10"/>
        <v>0</v>
      </c>
      <c r="D611" s="30" t="str">
        <f>IFERROR(VLOOKUP(C611,소속부서!$A$2:$B$20,2,FALSE), "")</f>
        <v/>
      </c>
      <c r="L611" s="36" t="str">
        <f>IFERROR(VLOOKUP(I611,보도매체!$A:$C,2,FALSE), "")</f>
        <v/>
      </c>
      <c r="M611" s="38" t="str">
        <f>IFERROR(VLOOKUP(I611,보도매체!$A:$C,3,FALSE), "")</f>
        <v/>
      </c>
    </row>
    <row r="612" spans="3:13" x14ac:dyDescent="0.3">
      <c r="C612" s="35">
        <f t="shared" si="10"/>
        <v>0</v>
      </c>
      <c r="D612" s="30" t="str">
        <f>IFERROR(VLOOKUP(C612,소속부서!$A$2:$B$20,2,FALSE), "")</f>
        <v/>
      </c>
      <c r="L612" s="36" t="str">
        <f>IFERROR(VLOOKUP(I612,보도매체!$A:$C,2,FALSE), "")</f>
        <v/>
      </c>
      <c r="M612" s="38" t="str">
        <f>IFERROR(VLOOKUP(I612,보도매체!$A:$C,3,FALSE), "")</f>
        <v/>
      </c>
    </row>
    <row r="613" spans="3:13" x14ac:dyDescent="0.3">
      <c r="C613" s="35">
        <f t="shared" si="10"/>
        <v>0</v>
      </c>
      <c r="D613" s="30" t="str">
        <f>IFERROR(VLOOKUP(C613,소속부서!$A$2:$B$20,2,FALSE), "")</f>
        <v/>
      </c>
      <c r="L613" s="36" t="str">
        <f>IFERROR(VLOOKUP(I613,보도매체!$A:$C,2,FALSE), "")</f>
        <v/>
      </c>
      <c r="M613" s="38" t="str">
        <f>IFERROR(VLOOKUP(I613,보도매체!$A:$C,3,FALSE), "")</f>
        <v/>
      </c>
    </row>
    <row r="614" spans="3:13" x14ac:dyDescent="0.3">
      <c r="C614" s="35">
        <f t="shared" si="10"/>
        <v>0</v>
      </c>
      <c r="D614" s="30" t="str">
        <f>IFERROR(VLOOKUP(C614,소속부서!$A$2:$B$20,2,FALSE), "")</f>
        <v/>
      </c>
      <c r="L614" s="36" t="str">
        <f>IFERROR(VLOOKUP(I614,보도매체!$A:$C,2,FALSE), "")</f>
        <v/>
      </c>
      <c r="M614" s="38" t="str">
        <f>IFERROR(VLOOKUP(I614,보도매체!$A:$C,3,FALSE), "")</f>
        <v/>
      </c>
    </row>
    <row r="615" spans="3:13" x14ac:dyDescent="0.3">
      <c r="C615" s="35">
        <f t="shared" si="10"/>
        <v>0</v>
      </c>
      <c r="D615" s="30" t="str">
        <f>IFERROR(VLOOKUP(C615,소속부서!$A$2:$B$20,2,FALSE), "")</f>
        <v/>
      </c>
      <c r="L615" s="36" t="str">
        <f>IFERROR(VLOOKUP(I615,보도매체!$A:$C,2,FALSE), "")</f>
        <v/>
      </c>
      <c r="M615" s="38" t="str">
        <f>IFERROR(VLOOKUP(I615,보도매체!$A:$C,3,FALSE), "")</f>
        <v/>
      </c>
    </row>
    <row r="616" spans="3:13" x14ac:dyDescent="0.3">
      <c r="C616" s="35">
        <f t="shared" si="10"/>
        <v>0</v>
      </c>
      <c r="D616" s="30" t="str">
        <f>IFERROR(VLOOKUP(C616,소속부서!$A$2:$B$20,2,FALSE), "")</f>
        <v/>
      </c>
      <c r="L616" s="36" t="str">
        <f>IFERROR(VLOOKUP(I616,보도매체!$A:$C,2,FALSE), "")</f>
        <v/>
      </c>
      <c r="M616" s="38" t="str">
        <f>IFERROR(VLOOKUP(I616,보도매체!$A:$C,3,FALSE), "")</f>
        <v/>
      </c>
    </row>
    <row r="617" spans="3:13" x14ac:dyDescent="0.3">
      <c r="C617" s="35">
        <f t="shared" si="10"/>
        <v>0</v>
      </c>
      <c r="D617" s="30" t="str">
        <f>IFERROR(VLOOKUP(C617,소속부서!$A$2:$B$20,2,FALSE), "")</f>
        <v/>
      </c>
      <c r="L617" s="36" t="str">
        <f>IFERROR(VLOOKUP(I617,보도매체!$A:$C,2,FALSE), "")</f>
        <v/>
      </c>
      <c r="M617" s="38" t="str">
        <f>IFERROR(VLOOKUP(I617,보도매체!$A:$C,3,FALSE), "")</f>
        <v/>
      </c>
    </row>
    <row r="618" spans="3:13" x14ac:dyDescent="0.3">
      <c r="C618" s="35">
        <f t="shared" si="10"/>
        <v>0</v>
      </c>
      <c r="D618" s="30" t="str">
        <f>IFERROR(VLOOKUP(C618,소속부서!$A$2:$B$20,2,FALSE), "")</f>
        <v/>
      </c>
      <c r="L618" s="36" t="str">
        <f>IFERROR(VLOOKUP(I618,보도매체!$A:$C,2,FALSE), "")</f>
        <v/>
      </c>
      <c r="M618" s="38" t="str">
        <f>IFERROR(VLOOKUP(I618,보도매체!$A:$C,3,FALSE), "")</f>
        <v/>
      </c>
    </row>
    <row r="619" spans="3:13" x14ac:dyDescent="0.3">
      <c r="C619" s="35">
        <f t="shared" si="10"/>
        <v>0</v>
      </c>
      <c r="D619" s="30" t="str">
        <f>IFERROR(VLOOKUP(C619,소속부서!$A$2:$B$20,2,FALSE), "")</f>
        <v/>
      </c>
      <c r="L619" s="36" t="str">
        <f>IFERROR(VLOOKUP(I619,보도매체!$A:$C,2,FALSE), "")</f>
        <v/>
      </c>
      <c r="M619" s="38" t="str">
        <f>IFERROR(VLOOKUP(I619,보도매체!$A:$C,3,FALSE), "")</f>
        <v/>
      </c>
    </row>
    <row r="620" spans="3:13" x14ac:dyDescent="0.3">
      <c r="C620" s="35">
        <f t="shared" si="10"/>
        <v>0</v>
      </c>
      <c r="D620" s="30" t="str">
        <f>IFERROR(VLOOKUP(C620,소속부서!$A$2:$B$20,2,FALSE), "")</f>
        <v/>
      </c>
      <c r="L620" s="36" t="str">
        <f>IFERROR(VLOOKUP(I620,보도매체!$A:$C,2,FALSE), "")</f>
        <v/>
      </c>
      <c r="M620" s="38" t="str">
        <f>IFERROR(VLOOKUP(I620,보도매체!$A:$C,3,FALSE), "")</f>
        <v/>
      </c>
    </row>
    <row r="621" spans="3:13" x14ac:dyDescent="0.3">
      <c r="C621" s="35">
        <f t="shared" si="10"/>
        <v>0</v>
      </c>
      <c r="D621" s="30" t="str">
        <f>IFERROR(VLOOKUP(C621,소속부서!$A$2:$B$20,2,FALSE), "")</f>
        <v/>
      </c>
      <c r="L621" s="36" t="str">
        <f>IFERROR(VLOOKUP(I621,보도매체!$A:$C,2,FALSE), "")</f>
        <v/>
      </c>
      <c r="M621" s="38" t="str">
        <f>IFERROR(VLOOKUP(I621,보도매체!$A:$C,3,FALSE), "")</f>
        <v/>
      </c>
    </row>
    <row r="622" spans="3:13" x14ac:dyDescent="0.3">
      <c r="C622" s="35">
        <f t="shared" si="10"/>
        <v>0</v>
      </c>
      <c r="D622" s="30" t="str">
        <f>IFERROR(VLOOKUP(C622,소속부서!$A$2:$B$20,2,FALSE), "")</f>
        <v/>
      </c>
      <c r="L622" s="36" t="str">
        <f>IFERROR(VLOOKUP(I622,보도매체!$A:$C,2,FALSE), "")</f>
        <v/>
      </c>
      <c r="M622" s="38" t="str">
        <f>IFERROR(VLOOKUP(I622,보도매체!$A:$C,3,FALSE), "")</f>
        <v/>
      </c>
    </row>
    <row r="623" spans="3:13" x14ac:dyDescent="0.3">
      <c r="C623" s="35">
        <f t="shared" si="10"/>
        <v>0</v>
      </c>
      <c r="D623" s="30" t="str">
        <f>IFERROR(VLOOKUP(C623,소속부서!$A$2:$B$20,2,FALSE), "")</f>
        <v/>
      </c>
      <c r="L623" s="36" t="str">
        <f>IFERROR(VLOOKUP(I623,보도매체!$A:$C,2,FALSE), "")</f>
        <v/>
      </c>
      <c r="M623" s="38" t="str">
        <f>IFERROR(VLOOKUP(I623,보도매체!$A:$C,3,FALSE), "")</f>
        <v/>
      </c>
    </row>
    <row r="624" spans="3:13" x14ac:dyDescent="0.3">
      <c r="C624" s="35">
        <f t="shared" si="10"/>
        <v>0</v>
      </c>
      <c r="D624" s="30" t="str">
        <f>IFERROR(VLOOKUP(C624,소속부서!$A$2:$B$20,2,FALSE), "")</f>
        <v/>
      </c>
      <c r="L624" s="36" t="str">
        <f>IFERROR(VLOOKUP(I624,보도매체!$A:$C,2,FALSE), "")</f>
        <v/>
      </c>
      <c r="M624" s="38" t="str">
        <f>IFERROR(VLOOKUP(I624,보도매체!$A:$C,3,FALSE), "")</f>
        <v/>
      </c>
    </row>
    <row r="625" spans="3:13" x14ac:dyDescent="0.3">
      <c r="C625" s="35">
        <f t="shared" si="10"/>
        <v>0</v>
      </c>
      <c r="D625" s="30" t="str">
        <f>IFERROR(VLOOKUP(C625,소속부서!$A$2:$B$20,2,FALSE), "")</f>
        <v/>
      </c>
      <c r="L625" s="36" t="str">
        <f>IFERROR(VLOOKUP(I625,보도매체!$A:$C,2,FALSE), "")</f>
        <v/>
      </c>
      <c r="M625" s="38" t="str">
        <f>IFERROR(VLOOKUP(I625,보도매체!$A:$C,3,FALSE), "")</f>
        <v/>
      </c>
    </row>
    <row r="626" spans="3:13" x14ac:dyDescent="0.3">
      <c r="C626" s="35">
        <f t="shared" si="10"/>
        <v>0</v>
      </c>
      <c r="D626" s="30" t="str">
        <f>IFERROR(VLOOKUP(C626,소속부서!$A$2:$B$20,2,FALSE), "")</f>
        <v/>
      </c>
      <c r="L626" s="36" t="str">
        <f>IFERROR(VLOOKUP(I626,보도매체!$A:$C,2,FALSE), "")</f>
        <v/>
      </c>
      <c r="M626" s="38" t="str">
        <f>IFERROR(VLOOKUP(I626,보도매체!$A:$C,3,FALSE), "")</f>
        <v/>
      </c>
    </row>
    <row r="627" spans="3:13" x14ac:dyDescent="0.3">
      <c r="C627" s="35">
        <f t="shared" si="10"/>
        <v>0</v>
      </c>
      <c r="D627" s="30" t="str">
        <f>IFERROR(VLOOKUP(C627,소속부서!$A$2:$B$20,2,FALSE), "")</f>
        <v/>
      </c>
      <c r="L627" s="36" t="str">
        <f>IFERROR(VLOOKUP(I627,보도매체!$A:$C,2,FALSE), "")</f>
        <v/>
      </c>
      <c r="M627" s="38" t="str">
        <f>IFERROR(VLOOKUP(I627,보도매체!$A:$C,3,FALSE), "")</f>
        <v/>
      </c>
    </row>
    <row r="628" spans="3:13" x14ac:dyDescent="0.3">
      <c r="C628" s="35">
        <f t="shared" si="10"/>
        <v>0</v>
      </c>
      <c r="D628" s="30" t="str">
        <f>IFERROR(VLOOKUP(C628,소속부서!$A$2:$B$20,2,FALSE), "")</f>
        <v/>
      </c>
      <c r="L628" s="36" t="str">
        <f>IFERROR(VLOOKUP(I628,보도매체!$A:$C,2,FALSE), "")</f>
        <v/>
      </c>
      <c r="M628" s="38" t="str">
        <f>IFERROR(VLOOKUP(I628,보도매체!$A:$C,3,FALSE), "")</f>
        <v/>
      </c>
    </row>
    <row r="629" spans="3:13" x14ac:dyDescent="0.3">
      <c r="C629" s="35">
        <f t="shared" si="10"/>
        <v>0</v>
      </c>
      <c r="D629" s="30" t="str">
        <f>IFERROR(VLOOKUP(C629,소속부서!$A$2:$B$20,2,FALSE), "")</f>
        <v/>
      </c>
      <c r="L629" s="36" t="str">
        <f>IFERROR(VLOOKUP(I629,보도매체!$A:$C,2,FALSE), "")</f>
        <v/>
      </c>
      <c r="M629" s="38" t="str">
        <f>IFERROR(VLOOKUP(I629,보도매체!$A:$C,3,FALSE), "")</f>
        <v/>
      </c>
    </row>
    <row r="630" spans="3:13" x14ac:dyDescent="0.3">
      <c r="C630" s="35">
        <f t="shared" si="10"/>
        <v>0</v>
      </c>
      <c r="D630" s="30" t="str">
        <f>IFERROR(VLOOKUP(C630,소속부서!$A$2:$B$20,2,FALSE), "")</f>
        <v/>
      </c>
      <c r="L630" s="36" t="str">
        <f>IFERROR(VLOOKUP(I630,보도매체!$A:$C,2,FALSE), "")</f>
        <v/>
      </c>
      <c r="M630" s="38" t="str">
        <f>IFERROR(VLOOKUP(I630,보도매체!$A:$C,3,FALSE), "")</f>
        <v/>
      </c>
    </row>
    <row r="631" spans="3:13" x14ac:dyDescent="0.3">
      <c r="C631" s="35">
        <f t="shared" si="10"/>
        <v>0</v>
      </c>
      <c r="D631" s="30" t="str">
        <f>IFERROR(VLOOKUP(C631,소속부서!$A$2:$B$20,2,FALSE), "")</f>
        <v/>
      </c>
      <c r="L631" s="36" t="str">
        <f>IFERROR(VLOOKUP(I631,보도매체!$A:$C,2,FALSE), "")</f>
        <v/>
      </c>
      <c r="M631" s="38" t="str">
        <f>IFERROR(VLOOKUP(I631,보도매체!$A:$C,3,FALSE), "")</f>
        <v/>
      </c>
    </row>
    <row r="632" spans="3:13" x14ac:dyDescent="0.3">
      <c r="C632" s="35">
        <f t="shared" si="10"/>
        <v>0</v>
      </c>
      <c r="D632" s="30" t="str">
        <f>IFERROR(VLOOKUP(C632,소속부서!$A$2:$B$20,2,FALSE), "")</f>
        <v/>
      </c>
      <c r="L632" s="36" t="str">
        <f>IFERROR(VLOOKUP(I632,보도매체!$A:$C,2,FALSE), "")</f>
        <v/>
      </c>
      <c r="M632" s="38" t="str">
        <f>IFERROR(VLOOKUP(I632,보도매체!$A:$C,3,FALSE), "")</f>
        <v/>
      </c>
    </row>
    <row r="633" spans="3:13" x14ac:dyDescent="0.3">
      <c r="C633" s="35">
        <f t="shared" si="10"/>
        <v>0</v>
      </c>
      <c r="D633" s="30" t="str">
        <f>IFERROR(VLOOKUP(C633,소속부서!$A$2:$B$20,2,FALSE), "")</f>
        <v/>
      </c>
      <c r="L633" s="36" t="str">
        <f>IFERROR(VLOOKUP(I633,보도매체!$A:$C,2,FALSE), "")</f>
        <v/>
      </c>
      <c r="M633" s="38" t="str">
        <f>IFERROR(VLOOKUP(I633,보도매체!$A:$C,3,FALSE), "")</f>
        <v/>
      </c>
    </row>
    <row r="634" spans="3:13" x14ac:dyDescent="0.3">
      <c r="C634" s="35">
        <f t="shared" si="10"/>
        <v>0</v>
      </c>
      <c r="D634" s="30" t="str">
        <f>IFERROR(VLOOKUP(C634,소속부서!$A$2:$B$20,2,FALSE), "")</f>
        <v/>
      </c>
      <c r="L634" s="36" t="str">
        <f>IFERROR(VLOOKUP(I634,보도매체!$A:$C,2,FALSE), "")</f>
        <v/>
      </c>
      <c r="M634" s="38" t="str">
        <f>IFERROR(VLOOKUP(I634,보도매체!$A:$C,3,FALSE), "")</f>
        <v/>
      </c>
    </row>
    <row r="635" spans="3:13" x14ac:dyDescent="0.3">
      <c r="C635" s="35">
        <f t="shared" si="10"/>
        <v>0</v>
      </c>
      <c r="D635" s="30" t="str">
        <f>IFERROR(VLOOKUP(C635,소속부서!$A$2:$B$20,2,FALSE), "")</f>
        <v/>
      </c>
      <c r="L635" s="36" t="str">
        <f>IFERROR(VLOOKUP(I635,보도매체!$A:$C,2,FALSE), "")</f>
        <v/>
      </c>
      <c r="M635" s="38" t="str">
        <f>IFERROR(VLOOKUP(I635,보도매체!$A:$C,3,FALSE), "")</f>
        <v/>
      </c>
    </row>
    <row r="636" spans="3:13" x14ac:dyDescent="0.3">
      <c r="C636" s="35">
        <f t="shared" si="10"/>
        <v>0</v>
      </c>
      <c r="D636" s="30" t="str">
        <f>IFERROR(VLOOKUP(C636,소속부서!$A$2:$B$20,2,FALSE), "")</f>
        <v/>
      </c>
      <c r="L636" s="36" t="str">
        <f>IFERROR(VLOOKUP(I636,보도매체!$A:$C,2,FALSE), "")</f>
        <v/>
      </c>
      <c r="M636" s="38" t="str">
        <f>IFERROR(VLOOKUP(I636,보도매체!$A:$C,3,FALSE), "")</f>
        <v/>
      </c>
    </row>
    <row r="637" spans="3:13" x14ac:dyDescent="0.3">
      <c r="C637" s="35">
        <f t="shared" si="10"/>
        <v>0</v>
      </c>
      <c r="D637" s="30" t="str">
        <f>IFERROR(VLOOKUP(C637,소속부서!$A$2:$B$20,2,FALSE), "")</f>
        <v/>
      </c>
      <c r="L637" s="36" t="str">
        <f>IFERROR(VLOOKUP(I637,보도매체!$A:$C,2,FALSE), "")</f>
        <v/>
      </c>
      <c r="M637" s="38" t="str">
        <f>IFERROR(VLOOKUP(I637,보도매체!$A:$C,3,FALSE), "")</f>
        <v/>
      </c>
    </row>
    <row r="638" spans="3:13" x14ac:dyDescent="0.3">
      <c r="C638" s="35">
        <f t="shared" si="10"/>
        <v>0</v>
      </c>
      <c r="D638" s="30" t="str">
        <f>IFERROR(VLOOKUP(C638,소속부서!$A$2:$B$20,2,FALSE), "")</f>
        <v/>
      </c>
      <c r="L638" s="36" t="str">
        <f>IFERROR(VLOOKUP(I638,보도매체!$A:$C,2,FALSE), "")</f>
        <v/>
      </c>
      <c r="M638" s="38" t="str">
        <f>IFERROR(VLOOKUP(I638,보도매체!$A:$C,3,FALSE), "")</f>
        <v/>
      </c>
    </row>
    <row r="639" spans="3:13" x14ac:dyDescent="0.3">
      <c r="C639" s="35">
        <f t="shared" si="10"/>
        <v>0</v>
      </c>
      <c r="D639" s="30" t="str">
        <f>IFERROR(VLOOKUP(C639,소속부서!$A$2:$B$20,2,FALSE), "")</f>
        <v/>
      </c>
      <c r="L639" s="36" t="str">
        <f>IFERROR(VLOOKUP(I639,보도매체!$A:$C,2,FALSE), "")</f>
        <v/>
      </c>
      <c r="M639" s="38" t="str">
        <f>IFERROR(VLOOKUP(I639,보도매체!$A:$C,3,FALSE), "")</f>
        <v/>
      </c>
    </row>
    <row r="640" spans="3:13" x14ac:dyDescent="0.3">
      <c r="C640" s="35">
        <f t="shared" si="10"/>
        <v>0</v>
      </c>
      <c r="D640" s="30" t="str">
        <f>IFERROR(VLOOKUP(C640,소속부서!$A$2:$B$20,2,FALSE), "")</f>
        <v/>
      </c>
      <c r="L640" s="36" t="str">
        <f>IFERROR(VLOOKUP(I640,보도매체!$A:$C,2,FALSE), "")</f>
        <v/>
      </c>
      <c r="M640" s="38" t="str">
        <f>IFERROR(VLOOKUP(I640,보도매체!$A:$C,3,FALSE), "")</f>
        <v/>
      </c>
    </row>
    <row r="641" spans="3:13" x14ac:dyDescent="0.3">
      <c r="C641" s="35">
        <f t="shared" si="10"/>
        <v>0</v>
      </c>
      <c r="D641" s="30" t="str">
        <f>IFERROR(VLOOKUP(C641,소속부서!$A$2:$B$20,2,FALSE), "")</f>
        <v/>
      </c>
      <c r="L641" s="36" t="str">
        <f>IFERROR(VLOOKUP(I641,보도매체!$A:$C,2,FALSE), "")</f>
        <v/>
      </c>
      <c r="M641" s="38" t="str">
        <f>IFERROR(VLOOKUP(I641,보도매체!$A:$C,3,FALSE), "")</f>
        <v/>
      </c>
    </row>
    <row r="642" spans="3:13" x14ac:dyDescent="0.3">
      <c r="C642" s="35">
        <f t="shared" si="10"/>
        <v>0</v>
      </c>
      <c r="D642" s="30" t="str">
        <f>IFERROR(VLOOKUP(C642,소속부서!$A$2:$B$20,2,FALSE), "")</f>
        <v/>
      </c>
      <c r="L642" s="36" t="str">
        <f>IFERROR(VLOOKUP(I642,보도매체!$A:$C,2,FALSE), "")</f>
        <v/>
      </c>
      <c r="M642" s="38" t="str">
        <f>IFERROR(VLOOKUP(I642,보도매체!$A:$C,3,FALSE), "")</f>
        <v/>
      </c>
    </row>
    <row r="643" spans="3:13" x14ac:dyDescent="0.3">
      <c r="C643" s="35">
        <f t="shared" si="10"/>
        <v>0</v>
      </c>
      <c r="D643" s="30" t="str">
        <f>IFERROR(VLOOKUP(C643,소속부서!$A$2:$B$20,2,FALSE), "")</f>
        <v/>
      </c>
      <c r="L643" s="36" t="str">
        <f>IFERROR(VLOOKUP(I643,보도매체!$A:$C,2,FALSE), "")</f>
        <v/>
      </c>
      <c r="M643" s="38" t="str">
        <f>IFERROR(VLOOKUP(I643,보도매체!$A:$C,3,FALSE), "")</f>
        <v/>
      </c>
    </row>
    <row r="644" spans="3:13" x14ac:dyDescent="0.3">
      <c r="C644" s="35">
        <f t="shared" ref="C644:C707" si="11">E644</f>
        <v>0</v>
      </c>
      <c r="D644" s="30" t="str">
        <f>IFERROR(VLOOKUP(C644,소속부서!$A$2:$B$20,2,FALSE), "")</f>
        <v/>
      </c>
      <c r="L644" s="36" t="str">
        <f>IFERROR(VLOOKUP(I644,보도매체!$A:$C,2,FALSE), "")</f>
        <v/>
      </c>
      <c r="M644" s="38" t="str">
        <f>IFERROR(VLOOKUP(I644,보도매체!$A:$C,3,FALSE), "")</f>
        <v/>
      </c>
    </row>
    <row r="645" spans="3:13" x14ac:dyDescent="0.3">
      <c r="C645" s="35">
        <f t="shared" si="11"/>
        <v>0</v>
      </c>
      <c r="D645" s="30" t="str">
        <f>IFERROR(VLOOKUP(C645,소속부서!$A$2:$B$20,2,FALSE), "")</f>
        <v/>
      </c>
      <c r="L645" s="36" t="str">
        <f>IFERROR(VLOOKUP(I645,보도매체!$A:$C,2,FALSE), "")</f>
        <v/>
      </c>
      <c r="M645" s="38" t="str">
        <f>IFERROR(VLOOKUP(I645,보도매체!$A:$C,3,FALSE), "")</f>
        <v/>
      </c>
    </row>
    <row r="646" spans="3:13" x14ac:dyDescent="0.3">
      <c r="C646" s="35">
        <f t="shared" si="11"/>
        <v>0</v>
      </c>
      <c r="D646" s="30" t="str">
        <f>IFERROR(VLOOKUP(C646,소속부서!$A$2:$B$20,2,FALSE), "")</f>
        <v/>
      </c>
      <c r="L646" s="36" t="str">
        <f>IFERROR(VLOOKUP(I646,보도매체!$A:$C,2,FALSE), "")</f>
        <v/>
      </c>
      <c r="M646" s="38" t="str">
        <f>IFERROR(VLOOKUP(I646,보도매체!$A:$C,3,FALSE), "")</f>
        <v/>
      </c>
    </row>
    <row r="647" spans="3:13" x14ac:dyDescent="0.3">
      <c r="C647" s="35">
        <f t="shared" si="11"/>
        <v>0</v>
      </c>
      <c r="D647" s="30" t="str">
        <f>IFERROR(VLOOKUP(C647,소속부서!$A$2:$B$20,2,FALSE), "")</f>
        <v/>
      </c>
      <c r="L647" s="36" t="str">
        <f>IFERROR(VLOOKUP(I647,보도매체!$A:$C,2,FALSE), "")</f>
        <v/>
      </c>
      <c r="M647" s="38" t="str">
        <f>IFERROR(VLOOKUP(I647,보도매체!$A:$C,3,FALSE), "")</f>
        <v/>
      </c>
    </row>
    <row r="648" spans="3:13" x14ac:dyDescent="0.3">
      <c r="C648" s="35">
        <f t="shared" si="11"/>
        <v>0</v>
      </c>
      <c r="D648" s="30" t="str">
        <f>IFERROR(VLOOKUP(C648,소속부서!$A$2:$B$20,2,FALSE), "")</f>
        <v/>
      </c>
      <c r="L648" s="36" t="str">
        <f>IFERROR(VLOOKUP(I648,보도매체!$A:$C,2,FALSE), "")</f>
        <v/>
      </c>
      <c r="M648" s="38" t="str">
        <f>IFERROR(VLOOKUP(I648,보도매체!$A:$C,3,FALSE), "")</f>
        <v/>
      </c>
    </row>
    <row r="649" spans="3:13" x14ac:dyDescent="0.3">
      <c r="C649" s="35">
        <f t="shared" si="11"/>
        <v>0</v>
      </c>
      <c r="D649" s="30" t="str">
        <f>IFERROR(VLOOKUP(C649,소속부서!$A$2:$B$20,2,FALSE), "")</f>
        <v/>
      </c>
      <c r="L649" s="36" t="str">
        <f>IFERROR(VLOOKUP(I649,보도매체!$A:$C,2,FALSE), "")</f>
        <v/>
      </c>
      <c r="M649" s="38" t="str">
        <f>IFERROR(VLOOKUP(I649,보도매체!$A:$C,3,FALSE), "")</f>
        <v/>
      </c>
    </row>
    <row r="650" spans="3:13" x14ac:dyDescent="0.3">
      <c r="C650" s="35">
        <f t="shared" si="11"/>
        <v>0</v>
      </c>
      <c r="D650" s="30" t="str">
        <f>IFERROR(VLOOKUP(C650,소속부서!$A$2:$B$20,2,FALSE), "")</f>
        <v/>
      </c>
      <c r="L650" s="36" t="str">
        <f>IFERROR(VLOOKUP(I650,보도매체!$A:$C,2,FALSE), "")</f>
        <v/>
      </c>
      <c r="M650" s="38" t="str">
        <f>IFERROR(VLOOKUP(I650,보도매체!$A:$C,3,FALSE), "")</f>
        <v/>
      </c>
    </row>
    <row r="651" spans="3:13" x14ac:dyDescent="0.3">
      <c r="C651" s="35">
        <f t="shared" si="11"/>
        <v>0</v>
      </c>
      <c r="D651" s="30" t="str">
        <f>IFERROR(VLOOKUP(C651,소속부서!$A$2:$B$20,2,FALSE), "")</f>
        <v/>
      </c>
      <c r="L651" s="36" t="str">
        <f>IFERROR(VLOOKUP(I651,보도매체!$A:$C,2,FALSE), "")</f>
        <v/>
      </c>
      <c r="M651" s="38" t="str">
        <f>IFERROR(VLOOKUP(I651,보도매체!$A:$C,3,FALSE), "")</f>
        <v/>
      </c>
    </row>
    <row r="652" spans="3:13" x14ac:dyDescent="0.3">
      <c r="C652" s="35">
        <f t="shared" si="11"/>
        <v>0</v>
      </c>
      <c r="D652" s="30" t="str">
        <f>IFERROR(VLOOKUP(C652,소속부서!$A$2:$B$20,2,FALSE), "")</f>
        <v/>
      </c>
      <c r="L652" s="36" t="str">
        <f>IFERROR(VLOOKUP(I652,보도매체!$A:$C,2,FALSE), "")</f>
        <v/>
      </c>
      <c r="M652" s="38" t="str">
        <f>IFERROR(VLOOKUP(I652,보도매체!$A:$C,3,FALSE), "")</f>
        <v/>
      </c>
    </row>
    <row r="653" spans="3:13" x14ac:dyDescent="0.3">
      <c r="C653" s="35">
        <f t="shared" si="11"/>
        <v>0</v>
      </c>
      <c r="D653" s="30" t="str">
        <f>IFERROR(VLOOKUP(C653,소속부서!$A$2:$B$20,2,FALSE), "")</f>
        <v/>
      </c>
      <c r="L653" s="36" t="str">
        <f>IFERROR(VLOOKUP(I653,보도매체!$A:$C,2,FALSE), "")</f>
        <v/>
      </c>
      <c r="M653" s="38" t="str">
        <f>IFERROR(VLOOKUP(I653,보도매체!$A:$C,3,FALSE), "")</f>
        <v/>
      </c>
    </row>
    <row r="654" spans="3:13" x14ac:dyDescent="0.3">
      <c r="C654" s="35">
        <f t="shared" si="11"/>
        <v>0</v>
      </c>
      <c r="D654" s="30" t="str">
        <f>IFERROR(VLOOKUP(C654,소속부서!$A$2:$B$20,2,FALSE), "")</f>
        <v/>
      </c>
      <c r="L654" s="36" t="str">
        <f>IFERROR(VLOOKUP(I654,보도매체!$A:$C,2,FALSE), "")</f>
        <v/>
      </c>
      <c r="M654" s="38" t="str">
        <f>IFERROR(VLOOKUP(I654,보도매체!$A:$C,3,FALSE), "")</f>
        <v/>
      </c>
    </row>
    <row r="655" spans="3:13" x14ac:dyDescent="0.3">
      <c r="C655" s="35">
        <f t="shared" si="11"/>
        <v>0</v>
      </c>
      <c r="D655" s="30" t="str">
        <f>IFERROR(VLOOKUP(C655,소속부서!$A$2:$B$20,2,FALSE), "")</f>
        <v/>
      </c>
      <c r="L655" s="36" t="str">
        <f>IFERROR(VLOOKUP(I655,보도매체!$A:$C,2,FALSE), "")</f>
        <v/>
      </c>
      <c r="M655" s="38" t="str">
        <f>IFERROR(VLOOKUP(I655,보도매체!$A:$C,3,FALSE), "")</f>
        <v/>
      </c>
    </row>
    <row r="656" spans="3:13" x14ac:dyDescent="0.3">
      <c r="C656" s="35">
        <f t="shared" si="11"/>
        <v>0</v>
      </c>
      <c r="D656" s="30" t="str">
        <f>IFERROR(VLOOKUP(C656,소속부서!$A$2:$B$20,2,FALSE), "")</f>
        <v/>
      </c>
      <c r="L656" s="36" t="str">
        <f>IFERROR(VLOOKUP(I656,보도매체!$A:$C,2,FALSE), "")</f>
        <v/>
      </c>
      <c r="M656" s="38" t="str">
        <f>IFERROR(VLOOKUP(I656,보도매체!$A:$C,3,FALSE), "")</f>
        <v/>
      </c>
    </row>
    <row r="657" spans="3:13" x14ac:dyDescent="0.3">
      <c r="C657" s="35">
        <f t="shared" si="11"/>
        <v>0</v>
      </c>
      <c r="D657" s="30" t="str">
        <f>IFERROR(VLOOKUP(C657,소속부서!$A$2:$B$20,2,FALSE), "")</f>
        <v/>
      </c>
      <c r="L657" s="36" t="str">
        <f>IFERROR(VLOOKUP(I657,보도매체!$A:$C,2,FALSE), "")</f>
        <v/>
      </c>
      <c r="M657" s="38" t="str">
        <f>IFERROR(VLOOKUP(I657,보도매체!$A:$C,3,FALSE), "")</f>
        <v/>
      </c>
    </row>
    <row r="658" spans="3:13" x14ac:dyDescent="0.3">
      <c r="C658" s="35">
        <f t="shared" si="11"/>
        <v>0</v>
      </c>
      <c r="D658" s="30" t="str">
        <f>IFERROR(VLOOKUP(C658,소속부서!$A$2:$B$20,2,FALSE), "")</f>
        <v/>
      </c>
      <c r="L658" s="36" t="str">
        <f>IFERROR(VLOOKUP(I658,보도매체!$A:$C,2,FALSE), "")</f>
        <v/>
      </c>
      <c r="M658" s="38" t="str">
        <f>IFERROR(VLOOKUP(I658,보도매체!$A:$C,3,FALSE), "")</f>
        <v/>
      </c>
    </row>
    <row r="659" spans="3:13" x14ac:dyDescent="0.3">
      <c r="C659" s="35">
        <f t="shared" si="11"/>
        <v>0</v>
      </c>
      <c r="D659" s="30" t="str">
        <f>IFERROR(VLOOKUP(C659,소속부서!$A$2:$B$20,2,FALSE), "")</f>
        <v/>
      </c>
      <c r="L659" s="36" t="str">
        <f>IFERROR(VLOOKUP(I659,보도매체!$A:$C,2,FALSE), "")</f>
        <v/>
      </c>
      <c r="M659" s="38" t="str">
        <f>IFERROR(VLOOKUP(I659,보도매체!$A:$C,3,FALSE), "")</f>
        <v/>
      </c>
    </row>
    <row r="660" spans="3:13" x14ac:dyDescent="0.3">
      <c r="C660" s="35">
        <f t="shared" si="11"/>
        <v>0</v>
      </c>
      <c r="D660" s="30" t="str">
        <f>IFERROR(VLOOKUP(C660,소속부서!$A$2:$B$20,2,FALSE), "")</f>
        <v/>
      </c>
      <c r="L660" s="36" t="str">
        <f>IFERROR(VLOOKUP(I660,보도매체!$A:$C,2,FALSE), "")</f>
        <v/>
      </c>
      <c r="M660" s="38" t="str">
        <f>IFERROR(VLOOKUP(I660,보도매체!$A:$C,3,FALSE), "")</f>
        <v/>
      </c>
    </row>
    <row r="661" spans="3:13" x14ac:dyDescent="0.3">
      <c r="C661" s="35">
        <f t="shared" si="11"/>
        <v>0</v>
      </c>
      <c r="D661" s="30" t="str">
        <f>IFERROR(VLOOKUP(C661,소속부서!$A$2:$B$20,2,FALSE), "")</f>
        <v/>
      </c>
      <c r="L661" s="36" t="str">
        <f>IFERROR(VLOOKUP(I661,보도매체!$A:$C,2,FALSE), "")</f>
        <v/>
      </c>
      <c r="M661" s="38" t="str">
        <f>IFERROR(VLOOKUP(I661,보도매체!$A:$C,3,FALSE), "")</f>
        <v/>
      </c>
    </row>
    <row r="662" spans="3:13" x14ac:dyDescent="0.3">
      <c r="C662" s="35">
        <f t="shared" si="11"/>
        <v>0</v>
      </c>
      <c r="D662" s="30" t="str">
        <f>IFERROR(VLOOKUP(C662,소속부서!$A$2:$B$20,2,FALSE), "")</f>
        <v/>
      </c>
      <c r="L662" s="36" t="str">
        <f>IFERROR(VLOOKUP(I662,보도매체!$A:$C,2,FALSE), "")</f>
        <v/>
      </c>
      <c r="M662" s="38" t="str">
        <f>IFERROR(VLOOKUP(I662,보도매체!$A:$C,3,FALSE), "")</f>
        <v/>
      </c>
    </row>
    <row r="663" spans="3:13" x14ac:dyDescent="0.3">
      <c r="C663" s="35">
        <f t="shared" si="11"/>
        <v>0</v>
      </c>
      <c r="D663" s="30" t="str">
        <f>IFERROR(VLOOKUP(C663,소속부서!$A$2:$B$20,2,FALSE), "")</f>
        <v/>
      </c>
      <c r="L663" s="36" t="str">
        <f>IFERROR(VLOOKUP(I663,보도매체!$A:$C,2,FALSE), "")</f>
        <v/>
      </c>
      <c r="M663" s="38" t="str">
        <f>IFERROR(VLOOKUP(I663,보도매체!$A:$C,3,FALSE), "")</f>
        <v/>
      </c>
    </row>
    <row r="664" spans="3:13" x14ac:dyDescent="0.3">
      <c r="C664" s="35">
        <f t="shared" si="11"/>
        <v>0</v>
      </c>
      <c r="D664" s="30" t="str">
        <f>IFERROR(VLOOKUP(C664,소속부서!$A$2:$B$20,2,FALSE), "")</f>
        <v/>
      </c>
      <c r="L664" s="36" t="str">
        <f>IFERROR(VLOOKUP(I664,보도매체!$A:$C,2,FALSE), "")</f>
        <v/>
      </c>
      <c r="M664" s="38" t="str">
        <f>IFERROR(VLOOKUP(I664,보도매체!$A:$C,3,FALSE), "")</f>
        <v/>
      </c>
    </row>
    <row r="665" spans="3:13" x14ac:dyDescent="0.3">
      <c r="C665" s="35">
        <f t="shared" si="11"/>
        <v>0</v>
      </c>
      <c r="D665" s="30" t="str">
        <f>IFERROR(VLOOKUP(C665,소속부서!$A$2:$B$20,2,FALSE), "")</f>
        <v/>
      </c>
      <c r="L665" s="36" t="str">
        <f>IFERROR(VLOOKUP(I665,보도매체!$A:$C,2,FALSE), "")</f>
        <v/>
      </c>
      <c r="M665" s="38" t="str">
        <f>IFERROR(VLOOKUP(I665,보도매체!$A:$C,3,FALSE), "")</f>
        <v/>
      </c>
    </row>
    <row r="666" spans="3:13" x14ac:dyDescent="0.3">
      <c r="C666" s="35">
        <f t="shared" si="11"/>
        <v>0</v>
      </c>
      <c r="D666" s="30" t="str">
        <f>IFERROR(VLOOKUP(C666,소속부서!$A$2:$B$20,2,FALSE), "")</f>
        <v/>
      </c>
      <c r="L666" s="36" t="str">
        <f>IFERROR(VLOOKUP(I666,보도매체!$A:$C,2,FALSE), "")</f>
        <v/>
      </c>
      <c r="M666" s="38" t="str">
        <f>IFERROR(VLOOKUP(I666,보도매체!$A:$C,3,FALSE), "")</f>
        <v/>
      </c>
    </row>
    <row r="667" spans="3:13" x14ac:dyDescent="0.3">
      <c r="C667" s="35">
        <f t="shared" si="11"/>
        <v>0</v>
      </c>
      <c r="D667" s="30" t="str">
        <f>IFERROR(VLOOKUP(C667,소속부서!$A$2:$B$20,2,FALSE), "")</f>
        <v/>
      </c>
      <c r="L667" s="36" t="str">
        <f>IFERROR(VLOOKUP(I667,보도매체!$A:$C,2,FALSE), "")</f>
        <v/>
      </c>
      <c r="M667" s="38" t="str">
        <f>IFERROR(VLOOKUP(I667,보도매체!$A:$C,3,FALSE), "")</f>
        <v/>
      </c>
    </row>
    <row r="668" spans="3:13" x14ac:dyDescent="0.3">
      <c r="C668" s="35">
        <f t="shared" si="11"/>
        <v>0</v>
      </c>
      <c r="D668" s="30" t="str">
        <f>IFERROR(VLOOKUP(C668,소속부서!$A$2:$B$20,2,FALSE), "")</f>
        <v/>
      </c>
      <c r="L668" s="36" t="str">
        <f>IFERROR(VLOOKUP(I668,보도매체!$A:$C,2,FALSE), "")</f>
        <v/>
      </c>
      <c r="M668" s="38" t="str">
        <f>IFERROR(VLOOKUP(I668,보도매체!$A:$C,3,FALSE), "")</f>
        <v/>
      </c>
    </row>
    <row r="669" spans="3:13" x14ac:dyDescent="0.3">
      <c r="C669" s="35">
        <f t="shared" si="11"/>
        <v>0</v>
      </c>
      <c r="D669" s="30" t="str">
        <f>IFERROR(VLOOKUP(C669,소속부서!$A$2:$B$20,2,FALSE), "")</f>
        <v/>
      </c>
      <c r="L669" s="36" t="str">
        <f>IFERROR(VLOOKUP(I669,보도매체!$A:$C,2,FALSE), "")</f>
        <v/>
      </c>
      <c r="M669" s="38" t="str">
        <f>IFERROR(VLOOKUP(I669,보도매체!$A:$C,3,FALSE), "")</f>
        <v/>
      </c>
    </row>
    <row r="670" spans="3:13" x14ac:dyDescent="0.3">
      <c r="C670" s="35">
        <f t="shared" si="11"/>
        <v>0</v>
      </c>
      <c r="D670" s="30" t="str">
        <f>IFERROR(VLOOKUP(C670,소속부서!$A$2:$B$20,2,FALSE), "")</f>
        <v/>
      </c>
      <c r="L670" s="36" t="str">
        <f>IFERROR(VLOOKUP(I670,보도매체!$A:$C,2,FALSE), "")</f>
        <v/>
      </c>
      <c r="M670" s="38" t="str">
        <f>IFERROR(VLOOKUP(I670,보도매체!$A:$C,3,FALSE), "")</f>
        <v/>
      </c>
    </row>
    <row r="671" spans="3:13" x14ac:dyDescent="0.3">
      <c r="C671" s="35">
        <f t="shared" si="11"/>
        <v>0</v>
      </c>
      <c r="D671" s="30" t="str">
        <f>IFERROR(VLOOKUP(C671,소속부서!$A$2:$B$20,2,FALSE), "")</f>
        <v/>
      </c>
      <c r="L671" s="36" t="str">
        <f>IFERROR(VLOOKUP(I671,보도매체!$A:$C,2,FALSE), "")</f>
        <v/>
      </c>
      <c r="M671" s="38" t="str">
        <f>IFERROR(VLOOKUP(I671,보도매체!$A:$C,3,FALSE), "")</f>
        <v/>
      </c>
    </row>
    <row r="672" spans="3:13" x14ac:dyDescent="0.3">
      <c r="C672" s="35">
        <f t="shared" si="11"/>
        <v>0</v>
      </c>
      <c r="D672" s="30" t="str">
        <f>IFERROR(VLOOKUP(C672,소속부서!$A$2:$B$20,2,FALSE), "")</f>
        <v/>
      </c>
      <c r="L672" s="36" t="str">
        <f>IFERROR(VLOOKUP(I672,보도매체!$A:$C,2,FALSE), "")</f>
        <v/>
      </c>
      <c r="M672" s="38" t="str">
        <f>IFERROR(VLOOKUP(I672,보도매체!$A:$C,3,FALSE), "")</f>
        <v/>
      </c>
    </row>
    <row r="673" spans="3:13" x14ac:dyDescent="0.3">
      <c r="C673" s="35">
        <f t="shared" si="11"/>
        <v>0</v>
      </c>
      <c r="D673" s="30" t="str">
        <f>IFERROR(VLOOKUP(C673,소속부서!$A$2:$B$20,2,FALSE), "")</f>
        <v/>
      </c>
      <c r="L673" s="36" t="str">
        <f>IFERROR(VLOOKUP(I673,보도매체!$A:$C,2,FALSE), "")</f>
        <v/>
      </c>
      <c r="M673" s="38" t="str">
        <f>IFERROR(VLOOKUP(I673,보도매체!$A:$C,3,FALSE), "")</f>
        <v/>
      </c>
    </row>
    <row r="674" spans="3:13" x14ac:dyDescent="0.3">
      <c r="C674" s="35">
        <f t="shared" si="11"/>
        <v>0</v>
      </c>
      <c r="D674" s="30" t="str">
        <f>IFERROR(VLOOKUP(C674,소속부서!$A$2:$B$20,2,FALSE), "")</f>
        <v/>
      </c>
      <c r="L674" s="36" t="str">
        <f>IFERROR(VLOOKUP(I674,보도매체!$A:$C,2,FALSE), "")</f>
        <v/>
      </c>
      <c r="M674" s="38" t="str">
        <f>IFERROR(VLOOKUP(I674,보도매체!$A:$C,3,FALSE), "")</f>
        <v/>
      </c>
    </row>
    <row r="675" spans="3:13" x14ac:dyDescent="0.3">
      <c r="C675" s="35">
        <f t="shared" si="11"/>
        <v>0</v>
      </c>
      <c r="D675" s="30" t="str">
        <f>IFERROR(VLOOKUP(C675,소속부서!$A$2:$B$20,2,FALSE), "")</f>
        <v/>
      </c>
      <c r="L675" s="36" t="str">
        <f>IFERROR(VLOOKUP(I675,보도매체!$A:$C,2,FALSE), "")</f>
        <v/>
      </c>
      <c r="M675" s="38" t="str">
        <f>IFERROR(VLOOKUP(I675,보도매체!$A:$C,3,FALSE), "")</f>
        <v/>
      </c>
    </row>
    <row r="676" spans="3:13" x14ac:dyDescent="0.3">
      <c r="C676" s="35">
        <f t="shared" si="11"/>
        <v>0</v>
      </c>
      <c r="D676" s="30" t="str">
        <f>IFERROR(VLOOKUP(C676,소속부서!$A$2:$B$20,2,FALSE), "")</f>
        <v/>
      </c>
      <c r="L676" s="36" t="str">
        <f>IFERROR(VLOOKUP(I676,보도매체!$A:$C,2,FALSE), "")</f>
        <v/>
      </c>
      <c r="M676" s="38" t="str">
        <f>IFERROR(VLOOKUP(I676,보도매체!$A:$C,3,FALSE), "")</f>
        <v/>
      </c>
    </row>
    <row r="677" spans="3:13" x14ac:dyDescent="0.3">
      <c r="C677" s="35">
        <f t="shared" si="11"/>
        <v>0</v>
      </c>
      <c r="D677" s="30" t="str">
        <f>IFERROR(VLOOKUP(C677,소속부서!$A$2:$B$20,2,FALSE), "")</f>
        <v/>
      </c>
      <c r="L677" s="36" t="str">
        <f>IFERROR(VLOOKUP(I677,보도매체!$A:$C,2,FALSE), "")</f>
        <v/>
      </c>
      <c r="M677" s="38" t="str">
        <f>IFERROR(VLOOKUP(I677,보도매체!$A:$C,3,FALSE), "")</f>
        <v/>
      </c>
    </row>
    <row r="678" spans="3:13" x14ac:dyDescent="0.3">
      <c r="C678" s="35">
        <f t="shared" si="11"/>
        <v>0</v>
      </c>
      <c r="D678" s="30" t="str">
        <f>IFERROR(VLOOKUP(C678,소속부서!$A$2:$B$20,2,FALSE), "")</f>
        <v/>
      </c>
      <c r="L678" s="36" t="str">
        <f>IFERROR(VLOOKUP(I678,보도매체!$A:$C,2,FALSE), "")</f>
        <v/>
      </c>
      <c r="M678" s="38" t="str">
        <f>IFERROR(VLOOKUP(I678,보도매체!$A:$C,3,FALSE), "")</f>
        <v/>
      </c>
    </row>
    <row r="679" spans="3:13" x14ac:dyDescent="0.3">
      <c r="C679" s="35">
        <f t="shared" si="11"/>
        <v>0</v>
      </c>
      <c r="D679" s="30" t="str">
        <f>IFERROR(VLOOKUP(C679,소속부서!$A$2:$B$20,2,FALSE), "")</f>
        <v/>
      </c>
      <c r="L679" s="36" t="str">
        <f>IFERROR(VLOOKUP(I679,보도매체!$A:$C,2,FALSE), "")</f>
        <v/>
      </c>
      <c r="M679" s="38" t="str">
        <f>IFERROR(VLOOKUP(I679,보도매체!$A:$C,3,FALSE), "")</f>
        <v/>
      </c>
    </row>
    <row r="680" spans="3:13" x14ac:dyDescent="0.3">
      <c r="C680" s="35">
        <f t="shared" si="11"/>
        <v>0</v>
      </c>
      <c r="D680" s="30" t="str">
        <f>IFERROR(VLOOKUP(C680,소속부서!$A$2:$B$20,2,FALSE), "")</f>
        <v/>
      </c>
      <c r="L680" s="36" t="str">
        <f>IFERROR(VLOOKUP(I680,보도매체!$A:$C,2,FALSE), "")</f>
        <v/>
      </c>
      <c r="M680" s="38" t="str">
        <f>IFERROR(VLOOKUP(I680,보도매체!$A:$C,3,FALSE), "")</f>
        <v/>
      </c>
    </row>
    <row r="681" spans="3:13" x14ac:dyDescent="0.3">
      <c r="C681" s="35">
        <f t="shared" si="11"/>
        <v>0</v>
      </c>
      <c r="D681" s="30" t="str">
        <f>IFERROR(VLOOKUP(C681,소속부서!$A$2:$B$20,2,FALSE), "")</f>
        <v/>
      </c>
      <c r="L681" s="36" t="str">
        <f>IFERROR(VLOOKUP(I681,보도매체!$A:$C,2,FALSE), "")</f>
        <v/>
      </c>
      <c r="M681" s="38" t="str">
        <f>IFERROR(VLOOKUP(I681,보도매체!$A:$C,3,FALSE), "")</f>
        <v/>
      </c>
    </row>
    <row r="682" spans="3:13" x14ac:dyDescent="0.3">
      <c r="C682" s="35">
        <f t="shared" si="11"/>
        <v>0</v>
      </c>
      <c r="D682" s="30" t="str">
        <f>IFERROR(VLOOKUP(C682,소속부서!$A$2:$B$20,2,FALSE), "")</f>
        <v/>
      </c>
      <c r="L682" s="36" t="str">
        <f>IFERROR(VLOOKUP(I682,보도매체!$A:$C,2,FALSE), "")</f>
        <v/>
      </c>
      <c r="M682" s="38" t="str">
        <f>IFERROR(VLOOKUP(I682,보도매체!$A:$C,3,FALSE), "")</f>
        <v/>
      </c>
    </row>
    <row r="683" spans="3:13" x14ac:dyDescent="0.3">
      <c r="C683" s="35">
        <f t="shared" si="11"/>
        <v>0</v>
      </c>
      <c r="D683" s="30" t="str">
        <f>IFERROR(VLOOKUP(C683,소속부서!$A$2:$B$20,2,FALSE), "")</f>
        <v/>
      </c>
      <c r="L683" s="36" t="str">
        <f>IFERROR(VLOOKUP(I683,보도매체!$A:$C,2,FALSE), "")</f>
        <v/>
      </c>
      <c r="M683" s="38" t="str">
        <f>IFERROR(VLOOKUP(I683,보도매체!$A:$C,3,FALSE), "")</f>
        <v/>
      </c>
    </row>
    <row r="684" spans="3:13" x14ac:dyDescent="0.3">
      <c r="C684" s="35">
        <f t="shared" si="11"/>
        <v>0</v>
      </c>
      <c r="D684" s="30" t="str">
        <f>IFERROR(VLOOKUP(C684,소속부서!$A$2:$B$20,2,FALSE), "")</f>
        <v/>
      </c>
      <c r="L684" s="36" t="str">
        <f>IFERROR(VLOOKUP(I684,보도매체!$A:$C,2,FALSE), "")</f>
        <v/>
      </c>
      <c r="M684" s="38" t="str">
        <f>IFERROR(VLOOKUP(I684,보도매체!$A:$C,3,FALSE), "")</f>
        <v/>
      </c>
    </row>
    <row r="685" spans="3:13" x14ac:dyDescent="0.3">
      <c r="C685" s="35">
        <f t="shared" si="11"/>
        <v>0</v>
      </c>
      <c r="D685" s="30" t="str">
        <f>IFERROR(VLOOKUP(C685,소속부서!$A$2:$B$20,2,FALSE), "")</f>
        <v/>
      </c>
      <c r="L685" s="36" t="str">
        <f>IFERROR(VLOOKUP(I685,보도매체!$A:$C,2,FALSE), "")</f>
        <v/>
      </c>
      <c r="M685" s="38" t="str">
        <f>IFERROR(VLOOKUP(I685,보도매체!$A:$C,3,FALSE), "")</f>
        <v/>
      </c>
    </row>
    <row r="686" spans="3:13" x14ac:dyDescent="0.3">
      <c r="C686" s="35">
        <f t="shared" si="11"/>
        <v>0</v>
      </c>
      <c r="D686" s="30" t="str">
        <f>IFERROR(VLOOKUP(C686,소속부서!$A$2:$B$20,2,FALSE), "")</f>
        <v/>
      </c>
      <c r="L686" s="36" t="str">
        <f>IFERROR(VLOOKUP(I686,보도매체!$A:$C,2,FALSE), "")</f>
        <v/>
      </c>
      <c r="M686" s="38" t="str">
        <f>IFERROR(VLOOKUP(I686,보도매체!$A:$C,3,FALSE), "")</f>
        <v/>
      </c>
    </row>
    <row r="687" spans="3:13" x14ac:dyDescent="0.3">
      <c r="C687" s="35">
        <f t="shared" si="11"/>
        <v>0</v>
      </c>
      <c r="D687" s="30" t="str">
        <f>IFERROR(VLOOKUP(C687,소속부서!$A$2:$B$20,2,FALSE), "")</f>
        <v/>
      </c>
      <c r="L687" s="36" t="str">
        <f>IFERROR(VLOOKUP(I687,보도매체!$A:$C,2,FALSE), "")</f>
        <v/>
      </c>
      <c r="M687" s="38" t="str">
        <f>IFERROR(VLOOKUP(I687,보도매체!$A:$C,3,FALSE), "")</f>
        <v/>
      </c>
    </row>
    <row r="688" spans="3:13" x14ac:dyDescent="0.3">
      <c r="C688" s="35">
        <f t="shared" si="11"/>
        <v>0</v>
      </c>
      <c r="D688" s="30" t="str">
        <f>IFERROR(VLOOKUP(C688,소속부서!$A$2:$B$20,2,FALSE), "")</f>
        <v/>
      </c>
      <c r="L688" s="36" t="str">
        <f>IFERROR(VLOOKUP(I688,보도매체!$A:$C,2,FALSE), "")</f>
        <v/>
      </c>
      <c r="M688" s="38" t="str">
        <f>IFERROR(VLOOKUP(I688,보도매체!$A:$C,3,FALSE), "")</f>
        <v/>
      </c>
    </row>
    <row r="689" spans="3:13" x14ac:dyDescent="0.3">
      <c r="C689" s="35">
        <f t="shared" si="11"/>
        <v>0</v>
      </c>
      <c r="D689" s="30" t="str">
        <f>IFERROR(VLOOKUP(C689,소속부서!$A$2:$B$20,2,FALSE), "")</f>
        <v/>
      </c>
      <c r="L689" s="36" t="str">
        <f>IFERROR(VLOOKUP(I689,보도매체!$A:$C,2,FALSE), "")</f>
        <v/>
      </c>
      <c r="M689" s="38" t="str">
        <f>IFERROR(VLOOKUP(I689,보도매체!$A:$C,3,FALSE), "")</f>
        <v/>
      </c>
    </row>
    <row r="690" spans="3:13" x14ac:dyDescent="0.3">
      <c r="C690" s="35">
        <f t="shared" si="11"/>
        <v>0</v>
      </c>
      <c r="D690" s="30" t="str">
        <f>IFERROR(VLOOKUP(C690,소속부서!$A$2:$B$20,2,FALSE), "")</f>
        <v/>
      </c>
      <c r="L690" s="36" t="str">
        <f>IFERROR(VLOOKUP(I690,보도매체!$A:$C,2,FALSE), "")</f>
        <v/>
      </c>
      <c r="M690" s="38" t="str">
        <f>IFERROR(VLOOKUP(I690,보도매체!$A:$C,3,FALSE), "")</f>
        <v/>
      </c>
    </row>
    <row r="691" spans="3:13" x14ac:dyDescent="0.3">
      <c r="C691" s="35">
        <f t="shared" si="11"/>
        <v>0</v>
      </c>
      <c r="D691" s="30" t="str">
        <f>IFERROR(VLOOKUP(C691,소속부서!$A$2:$B$20,2,FALSE), "")</f>
        <v/>
      </c>
      <c r="L691" s="36" t="str">
        <f>IFERROR(VLOOKUP(I691,보도매체!$A:$C,2,FALSE), "")</f>
        <v/>
      </c>
      <c r="M691" s="38" t="str">
        <f>IFERROR(VLOOKUP(I691,보도매체!$A:$C,3,FALSE), "")</f>
        <v/>
      </c>
    </row>
    <row r="692" spans="3:13" x14ac:dyDescent="0.3">
      <c r="C692" s="35">
        <f t="shared" si="11"/>
        <v>0</v>
      </c>
      <c r="D692" s="30" t="str">
        <f>IFERROR(VLOOKUP(C692,소속부서!$A$2:$B$20,2,FALSE), "")</f>
        <v/>
      </c>
      <c r="L692" s="36" t="str">
        <f>IFERROR(VLOOKUP(I692,보도매체!$A:$C,2,FALSE), "")</f>
        <v/>
      </c>
      <c r="M692" s="38" t="str">
        <f>IFERROR(VLOOKUP(I692,보도매체!$A:$C,3,FALSE), "")</f>
        <v/>
      </c>
    </row>
    <row r="693" spans="3:13" x14ac:dyDescent="0.3">
      <c r="C693" s="35">
        <f t="shared" si="11"/>
        <v>0</v>
      </c>
      <c r="D693" s="30" t="str">
        <f>IFERROR(VLOOKUP(C693,소속부서!$A$2:$B$20,2,FALSE), "")</f>
        <v/>
      </c>
      <c r="L693" s="36" t="str">
        <f>IFERROR(VLOOKUP(I693,보도매체!$A:$C,2,FALSE), "")</f>
        <v/>
      </c>
      <c r="M693" s="38" t="str">
        <f>IFERROR(VLOOKUP(I693,보도매체!$A:$C,3,FALSE), "")</f>
        <v/>
      </c>
    </row>
    <row r="694" spans="3:13" x14ac:dyDescent="0.3">
      <c r="C694" s="35">
        <f t="shared" si="11"/>
        <v>0</v>
      </c>
      <c r="D694" s="30" t="str">
        <f>IFERROR(VLOOKUP(C694,소속부서!$A$2:$B$20,2,FALSE), "")</f>
        <v/>
      </c>
      <c r="L694" s="36" t="str">
        <f>IFERROR(VLOOKUP(I694,보도매체!$A:$C,2,FALSE), "")</f>
        <v/>
      </c>
      <c r="M694" s="38" t="str">
        <f>IFERROR(VLOOKUP(I694,보도매체!$A:$C,3,FALSE), "")</f>
        <v/>
      </c>
    </row>
    <row r="695" spans="3:13" x14ac:dyDescent="0.3">
      <c r="C695" s="35">
        <f t="shared" si="11"/>
        <v>0</v>
      </c>
      <c r="D695" s="30" t="str">
        <f>IFERROR(VLOOKUP(C695,소속부서!$A$2:$B$20,2,FALSE), "")</f>
        <v/>
      </c>
      <c r="L695" s="36" t="str">
        <f>IFERROR(VLOOKUP(I695,보도매체!$A:$C,2,FALSE), "")</f>
        <v/>
      </c>
      <c r="M695" s="38" t="str">
        <f>IFERROR(VLOOKUP(I695,보도매체!$A:$C,3,FALSE), "")</f>
        <v/>
      </c>
    </row>
    <row r="696" spans="3:13" x14ac:dyDescent="0.3">
      <c r="C696" s="35">
        <f t="shared" si="11"/>
        <v>0</v>
      </c>
      <c r="D696" s="30" t="str">
        <f>IFERROR(VLOOKUP(C696,소속부서!$A$2:$B$20,2,FALSE), "")</f>
        <v/>
      </c>
      <c r="L696" s="36" t="str">
        <f>IFERROR(VLOOKUP(I696,보도매체!$A:$C,2,FALSE), "")</f>
        <v/>
      </c>
      <c r="M696" s="38" t="str">
        <f>IFERROR(VLOOKUP(I696,보도매체!$A:$C,3,FALSE), "")</f>
        <v/>
      </c>
    </row>
    <row r="697" spans="3:13" x14ac:dyDescent="0.3">
      <c r="C697" s="35">
        <f t="shared" si="11"/>
        <v>0</v>
      </c>
      <c r="D697" s="30" t="str">
        <f>IFERROR(VLOOKUP(C697,소속부서!$A$2:$B$20,2,FALSE), "")</f>
        <v/>
      </c>
      <c r="L697" s="36" t="str">
        <f>IFERROR(VLOOKUP(I697,보도매체!$A:$C,2,FALSE), "")</f>
        <v/>
      </c>
      <c r="M697" s="38" t="str">
        <f>IFERROR(VLOOKUP(I697,보도매체!$A:$C,3,FALSE), "")</f>
        <v/>
      </c>
    </row>
    <row r="698" spans="3:13" x14ac:dyDescent="0.3">
      <c r="C698" s="35">
        <f t="shared" si="11"/>
        <v>0</v>
      </c>
      <c r="D698" s="30" t="str">
        <f>IFERROR(VLOOKUP(C698,소속부서!$A$2:$B$20,2,FALSE), "")</f>
        <v/>
      </c>
      <c r="L698" s="36" t="str">
        <f>IFERROR(VLOOKUP(I698,보도매체!$A:$C,2,FALSE), "")</f>
        <v/>
      </c>
      <c r="M698" s="38" t="str">
        <f>IFERROR(VLOOKUP(I698,보도매체!$A:$C,3,FALSE), "")</f>
        <v/>
      </c>
    </row>
    <row r="699" spans="3:13" x14ac:dyDescent="0.3">
      <c r="C699" s="35">
        <f t="shared" si="11"/>
        <v>0</v>
      </c>
      <c r="D699" s="30" t="str">
        <f>IFERROR(VLOOKUP(C699,소속부서!$A$2:$B$20,2,FALSE), "")</f>
        <v/>
      </c>
      <c r="L699" s="36" t="str">
        <f>IFERROR(VLOOKUP(I699,보도매체!$A:$C,2,FALSE), "")</f>
        <v/>
      </c>
      <c r="M699" s="38" t="str">
        <f>IFERROR(VLOOKUP(I699,보도매체!$A:$C,3,FALSE), "")</f>
        <v/>
      </c>
    </row>
    <row r="700" spans="3:13" x14ac:dyDescent="0.3">
      <c r="C700" s="35">
        <f t="shared" si="11"/>
        <v>0</v>
      </c>
      <c r="D700" s="30" t="str">
        <f>IFERROR(VLOOKUP(C700,소속부서!$A$2:$B$20,2,FALSE), "")</f>
        <v/>
      </c>
      <c r="L700" s="36" t="str">
        <f>IFERROR(VLOOKUP(I700,보도매체!$A:$C,2,FALSE), "")</f>
        <v/>
      </c>
      <c r="M700" s="38" t="str">
        <f>IFERROR(VLOOKUP(I700,보도매체!$A:$C,3,FALSE), "")</f>
        <v/>
      </c>
    </row>
    <row r="701" spans="3:13" x14ac:dyDescent="0.3">
      <c r="C701" s="35">
        <f t="shared" si="11"/>
        <v>0</v>
      </c>
      <c r="D701" s="30" t="str">
        <f>IFERROR(VLOOKUP(C701,소속부서!$A$2:$B$20,2,FALSE), "")</f>
        <v/>
      </c>
      <c r="L701" s="36" t="str">
        <f>IFERROR(VLOOKUP(I701,보도매체!$A:$C,2,FALSE), "")</f>
        <v/>
      </c>
      <c r="M701" s="38" t="str">
        <f>IFERROR(VLOOKUP(I701,보도매체!$A:$C,3,FALSE), "")</f>
        <v/>
      </c>
    </row>
    <row r="702" spans="3:13" x14ac:dyDescent="0.3">
      <c r="C702" s="35">
        <f t="shared" si="11"/>
        <v>0</v>
      </c>
      <c r="D702" s="30" t="str">
        <f>IFERROR(VLOOKUP(C702,소속부서!$A$2:$B$20,2,FALSE), "")</f>
        <v/>
      </c>
      <c r="L702" s="36" t="str">
        <f>IFERROR(VLOOKUP(I702,보도매체!$A:$C,2,FALSE), "")</f>
        <v/>
      </c>
      <c r="M702" s="38" t="str">
        <f>IFERROR(VLOOKUP(I702,보도매체!$A:$C,3,FALSE), "")</f>
        <v/>
      </c>
    </row>
    <row r="703" spans="3:13" x14ac:dyDescent="0.3">
      <c r="C703" s="35">
        <f t="shared" si="11"/>
        <v>0</v>
      </c>
      <c r="D703" s="30" t="str">
        <f>IFERROR(VLOOKUP(C703,소속부서!$A$2:$B$20,2,FALSE), "")</f>
        <v/>
      </c>
      <c r="L703" s="36" t="str">
        <f>IFERROR(VLOOKUP(I703,보도매체!$A:$C,2,FALSE), "")</f>
        <v/>
      </c>
      <c r="M703" s="38" t="str">
        <f>IFERROR(VLOOKUP(I703,보도매체!$A:$C,3,FALSE), "")</f>
        <v/>
      </c>
    </row>
    <row r="704" spans="3:13" x14ac:dyDescent="0.3">
      <c r="C704" s="35">
        <f t="shared" si="11"/>
        <v>0</v>
      </c>
      <c r="D704" s="30" t="str">
        <f>IFERROR(VLOOKUP(C704,소속부서!$A$2:$B$20,2,FALSE), "")</f>
        <v/>
      </c>
      <c r="L704" s="36" t="str">
        <f>IFERROR(VLOOKUP(I704,보도매체!$A:$C,2,FALSE), "")</f>
        <v/>
      </c>
      <c r="M704" s="38" t="str">
        <f>IFERROR(VLOOKUP(I704,보도매체!$A:$C,3,FALSE), "")</f>
        <v/>
      </c>
    </row>
    <row r="705" spans="3:13" x14ac:dyDescent="0.3">
      <c r="C705" s="35">
        <f t="shared" si="11"/>
        <v>0</v>
      </c>
      <c r="D705" s="30" t="str">
        <f>IFERROR(VLOOKUP(C705,소속부서!$A$2:$B$20,2,FALSE), "")</f>
        <v/>
      </c>
      <c r="L705" s="36" t="str">
        <f>IFERROR(VLOOKUP(I705,보도매체!$A:$C,2,FALSE), "")</f>
        <v/>
      </c>
      <c r="M705" s="38" t="str">
        <f>IFERROR(VLOOKUP(I705,보도매체!$A:$C,3,FALSE), "")</f>
        <v/>
      </c>
    </row>
    <row r="706" spans="3:13" x14ac:dyDescent="0.3">
      <c r="C706" s="35">
        <f t="shared" si="11"/>
        <v>0</v>
      </c>
      <c r="D706" s="30" t="str">
        <f>IFERROR(VLOOKUP(C706,소속부서!$A$2:$B$20,2,FALSE), "")</f>
        <v/>
      </c>
      <c r="L706" s="36" t="str">
        <f>IFERROR(VLOOKUP(I706,보도매체!$A:$C,2,FALSE), "")</f>
        <v/>
      </c>
      <c r="M706" s="38" t="str">
        <f>IFERROR(VLOOKUP(I706,보도매체!$A:$C,3,FALSE), "")</f>
        <v/>
      </c>
    </row>
    <row r="707" spans="3:13" x14ac:dyDescent="0.3">
      <c r="C707" s="35">
        <f t="shared" si="11"/>
        <v>0</v>
      </c>
      <c r="D707" s="30" t="str">
        <f>IFERROR(VLOOKUP(C707,소속부서!$A$2:$B$20,2,FALSE), "")</f>
        <v/>
      </c>
      <c r="L707" s="36" t="str">
        <f>IFERROR(VLOOKUP(I707,보도매체!$A:$C,2,FALSE), "")</f>
        <v/>
      </c>
      <c r="M707" s="38" t="str">
        <f>IFERROR(VLOOKUP(I707,보도매체!$A:$C,3,FALSE), "")</f>
        <v/>
      </c>
    </row>
    <row r="708" spans="3:13" x14ac:dyDescent="0.3">
      <c r="C708" s="35">
        <f t="shared" ref="C708:C771" si="12">E708</f>
        <v>0</v>
      </c>
      <c r="D708" s="30" t="str">
        <f>IFERROR(VLOOKUP(C708,소속부서!$A$2:$B$20,2,FALSE), "")</f>
        <v/>
      </c>
      <c r="L708" s="36" t="str">
        <f>IFERROR(VLOOKUP(I708,보도매체!$A:$C,2,FALSE), "")</f>
        <v/>
      </c>
      <c r="M708" s="38" t="str">
        <f>IFERROR(VLOOKUP(I708,보도매체!$A:$C,3,FALSE), "")</f>
        <v/>
      </c>
    </row>
    <row r="709" spans="3:13" x14ac:dyDescent="0.3">
      <c r="C709" s="35">
        <f t="shared" si="12"/>
        <v>0</v>
      </c>
      <c r="D709" s="30" t="str">
        <f>IFERROR(VLOOKUP(C709,소속부서!$A$2:$B$20,2,FALSE), "")</f>
        <v/>
      </c>
      <c r="L709" s="36" t="str">
        <f>IFERROR(VLOOKUP(I709,보도매체!$A:$C,2,FALSE), "")</f>
        <v/>
      </c>
      <c r="M709" s="38" t="str">
        <f>IFERROR(VLOOKUP(I709,보도매체!$A:$C,3,FALSE), "")</f>
        <v/>
      </c>
    </row>
    <row r="710" spans="3:13" x14ac:dyDescent="0.3">
      <c r="C710" s="35">
        <f t="shared" si="12"/>
        <v>0</v>
      </c>
      <c r="D710" s="30" t="str">
        <f>IFERROR(VLOOKUP(C710,소속부서!$A$2:$B$20,2,FALSE), "")</f>
        <v/>
      </c>
      <c r="L710" s="36" t="str">
        <f>IFERROR(VLOOKUP(I710,보도매체!$A:$C,2,FALSE), "")</f>
        <v/>
      </c>
      <c r="M710" s="38" t="str">
        <f>IFERROR(VLOOKUP(I710,보도매체!$A:$C,3,FALSE), "")</f>
        <v/>
      </c>
    </row>
    <row r="711" spans="3:13" x14ac:dyDescent="0.3">
      <c r="C711" s="35">
        <f t="shared" si="12"/>
        <v>0</v>
      </c>
      <c r="D711" s="30" t="str">
        <f>IFERROR(VLOOKUP(C711,소속부서!$A$2:$B$20,2,FALSE), "")</f>
        <v/>
      </c>
      <c r="L711" s="36" t="str">
        <f>IFERROR(VLOOKUP(I711,보도매체!$A:$C,2,FALSE), "")</f>
        <v/>
      </c>
      <c r="M711" s="38" t="str">
        <f>IFERROR(VLOOKUP(I711,보도매체!$A:$C,3,FALSE), "")</f>
        <v/>
      </c>
    </row>
    <row r="712" spans="3:13" x14ac:dyDescent="0.3">
      <c r="C712" s="35">
        <f t="shared" si="12"/>
        <v>0</v>
      </c>
      <c r="D712" s="30" t="str">
        <f>IFERROR(VLOOKUP(C712,소속부서!$A$2:$B$20,2,FALSE), "")</f>
        <v/>
      </c>
      <c r="L712" s="36" t="str">
        <f>IFERROR(VLOOKUP(I712,보도매체!$A:$C,2,FALSE), "")</f>
        <v/>
      </c>
      <c r="M712" s="38" t="str">
        <f>IFERROR(VLOOKUP(I712,보도매체!$A:$C,3,FALSE), "")</f>
        <v/>
      </c>
    </row>
    <row r="713" spans="3:13" x14ac:dyDescent="0.3">
      <c r="C713" s="35">
        <f t="shared" si="12"/>
        <v>0</v>
      </c>
      <c r="D713" s="30" t="str">
        <f>IFERROR(VLOOKUP(C713,소속부서!$A$2:$B$20,2,FALSE), "")</f>
        <v/>
      </c>
      <c r="L713" s="36" t="str">
        <f>IFERROR(VLOOKUP(I713,보도매체!$A:$C,2,FALSE), "")</f>
        <v/>
      </c>
      <c r="M713" s="38" t="str">
        <f>IFERROR(VLOOKUP(I713,보도매체!$A:$C,3,FALSE), "")</f>
        <v/>
      </c>
    </row>
    <row r="714" spans="3:13" x14ac:dyDescent="0.3">
      <c r="C714" s="35">
        <f t="shared" si="12"/>
        <v>0</v>
      </c>
      <c r="D714" s="30" t="str">
        <f>IFERROR(VLOOKUP(C714,소속부서!$A$2:$B$20,2,FALSE), "")</f>
        <v/>
      </c>
      <c r="L714" s="36" t="str">
        <f>IFERROR(VLOOKUP(I714,보도매체!$A:$C,2,FALSE), "")</f>
        <v/>
      </c>
      <c r="M714" s="38" t="str">
        <f>IFERROR(VLOOKUP(I714,보도매체!$A:$C,3,FALSE), "")</f>
        <v/>
      </c>
    </row>
    <row r="715" spans="3:13" x14ac:dyDescent="0.3">
      <c r="C715" s="35">
        <f t="shared" si="12"/>
        <v>0</v>
      </c>
      <c r="D715" s="30" t="str">
        <f>IFERROR(VLOOKUP(C715,소속부서!$A$2:$B$20,2,FALSE), "")</f>
        <v/>
      </c>
      <c r="L715" s="36" t="str">
        <f>IFERROR(VLOOKUP(I715,보도매체!$A:$C,2,FALSE), "")</f>
        <v/>
      </c>
      <c r="M715" s="38" t="str">
        <f>IFERROR(VLOOKUP(I715,보도매체!$A:$C,3,FALSE), "")</f>
        <v/>
      </c>
    </row>
    <row r="716" spans="3:13" x14ac:dyDescent="0.3">
      <c r="C716" s="35">
        <f t="shared" si="12"/>
        <v>0</v>
      </c>
      <c r="D716" s="30" t="str">
        <f>IFERROR(VLOOKUP(C716,소속부서!$A$2:$B$20,2,FALSE), "")</f>
        <v/>
      </c>
      <c r="L716" s="36" t="str">
        <f>IFERROR(VLOOKUP(I716,보도매체!$A:$C,2,FALSE), "")</f>
        <v/>
      </c>
      <c r="M716" s="38" t="str">
        <f>IFERROR(VLOOKUP(I716,보도매체!$A:$C,3,FALSE), "")</f>
        <v/>
      </c>
    </row>
    <row r="717" spans="3:13" x14ac:dyDescent="0.3">
      <c r="C717" s="35">
        <f t="shared" si="12"/>
        <v>0</v>
      </c>
      <c r="D717" s="30" t="str">
        <f>IFERROR(VLOOKUP(C717,소속부서!$A$2:$B$20,2,FALSE), "")</f>
        <v/>
      </c>
      <c r="L717" s="36" t="str">
        <f>IFERROR(VLOOKUP(I717,보도매체!$A:$C,2,FALSE), "")</f>
        <v/>
      </c>
      <c r="M717" s="38" t="str">
        <f>IFERROR(VLOOKUP(I717,보도매체!$A:$C,3,FALSE), "")</f>
        <v/>
      </c>
    </row>
    <row r="718" spans="3:13" x14ac:dyDescent="0.3">
      <c r="C718" s="35">
        <f t="shared" si="12"/>
        <v>0</v>
      </c>
      <c r="D718" s="30" t="str">
        <f>IFERROR(VLOOKUP(C718,소속부서!$A$2:$B$20,2,FALSE), "")</f>
        <v/>
      </c>
      <c r="L718" s="36" t="str">
        <f>IFERROR(VLOOKUP(I718,보도매체!$A:$C,2,FALSE), "")</f>
        <v/>
      </c>
      <c r="M718" s="38" t="str">
        <f>IFERROR(VLOOKUP(I718,보도매체!$A:$C,3,FALSE), "")</f>
        <v/>
      </c>
    </row>
    <row r="719" spans="3:13" x14ac:dyDescent="0.3">
      <c r="C719" s="35">
        <f t="shared" si="12"/>
        <v>0</v>
      </c>
      <c r="D719" s="30" t="str">
        <f>IFERROR(VLOOKUP(C719,소속부서!$A$2:$B$20,2,FALSE), "")</f>
        <v/>
      </c>
      <c r="L719" s="36" t="str">
        <f>IFERROR(VLOOKUP(I719,보도매체!$A:$C,2,FALSE), "")</f>
        <v/>
      </c>
      <c r="M719" s="38" t="str">
        <f>IFERROR(VLOOKUP(I719,보도매체!$A:$C,3,FALSE), "")</f>
        <v/>
      </c>
    </row>
    <row r="720" spans="3:13" x14ac:dyDescent="0.3">
      <c r="C720" s="35">
        <f t="shared" si="12"/>
        <v>0</v>
      </c>
      <c r="D720" s="30" t="str">
        <f>IFERROR(VLOOKUP(C720,소속부서!$A$2:$B$20,2,FALSE), "")</f>
        <v/>
      </c>
      <c r="L720" s="36" t="str">
        <f>IFERROR(VLOOKUP(I720,보도매체!$A:$C,2,FALSE), "")</f>
        <v/>
      </c>
      <c r="M720" s="38" t="str">
        <f>IFERROR(VLOOKUP(I720,보도매체!$A:$C,3,FALSE), "")</f>
        <v/>
      </c>
    </row>
    <row r="721" spans="3:13" x14ac:dyDescent="0.3">
      <c r="C721" s="35">
        <f t="shared" si="12"/>
        <v>0</v>
      </c>
      <c r="D721" s="30" t="str">
        <f>IFERROR(VLOOKUP(C721,소속부서!$A$2:$B$20,2,FALSE), "")</f>
        <v/>
      </c>
      <c r="L721" s="36" t="str">
        <f>IFERROR(VLOOKUP(I721,보도매체!$A:$C,2,FALSE), "")</f>
        <v/>
      </c>
      <c r="M721" s="38" t="str">
        <f>IFERROR(VLOOKUP(I721,보도매체!$A:$C,3,FALSE), "")</f>
        <v/>
      </c>
    </row>
    <row r="722" spans="3:13" x14ac:dyDescent="0.3">
      <c r="C722" s="35">
        <f t="shared" si="12"/>
        <v>0</v>
      </c>
      <c r="D722" s="30" t="str">
        <f>IFERROR(VLOOKUP(C722,소속부서!$A$2:$B$20,2,FALSE), "")</f>
        <v/>
      </c>
      <c r="L722" s="36" t="str">
        <f>IFERROR(VLOOKUP(I722,보도매체!$A:$C,2,FALSE), "")</f>
        <v/>
      </c>
      <c r="M722" s="38" t="str">
        <f>IFERROR(VLOOKUP(I722,보도매체!$A:$C,3,FALSE), "")</f>
        <v/>
      </c>
    </row>
    <row r="723" spans="3:13" x14ac:dyDescent="0.3">
      <c r="C723" s="35">
        <f t="shared" si="12"/>
        <v>0</v>
      </c>
      <c r="D723" s="30" t="str">
        <f>IFERROR(VLOOKUP(C723,소속부서!$A$2:$B$20,2,FALSE), "")</f>
        <v/>
      </c>
      <c r="L723" s="36" t="str">
        <f>IFERROR(VLOOKUP(I723,보도매체!$A:$C,2,FALSE), "")</f>
        <v/>
      </c>
      <c r="M723" s="38" t="str">
        <f>IFERROR(VLOOKUP(I723,보도매체!$A:$C,3,FALSE), "")</f>
        <v/>
      </c>
    </row>
    <row r="724" spans="3:13" x14ac:dyDescent="0.3">
      <c r="C724" s="35">
        <f t="shared" si="12"/>
        <v>0</v>
      </c>
      <c r="D724" s="30" t="str">
        <f>IFERROR(VLOOKUP(C724,소속부서!$A$2:$B$20,2,FALSE), "")</f>
        <v/>
      </c>
      <c r="L724" s="36" t="str">
        <f>IFERROR(VLOOKUP(I724,보도매체!$A:$C,2,FALSE), "")</f>
        <v/>
      </c>
      <c r="M724" s="38" t="str">
        <f>IFERROR(VLOOKUP(I724,보도매체!$A:$C,3,FALSE), "")</f>
        <v/>
      </c>
    </row>
    <row r="725" spans="3:13" x14ac:dyDescent="0.3">
      <c r="C725" s="35">
        <f t="shared" si="12"/>
        <v>0</v>
      </c>
      <c r="D725" s="30" t="str">
        <f>IFERROR(VLOOKUP(C725,소속부서!$A$2:$B$20,2,FALSE), "")</f>
        <v/>
      </c>
      <c r="L725" s="36" t="str">
        <f>IFERROR(VLOOKUP(I725,보도매체!$A:$C,2,FALSE), "")</f>
        <v/>
      </c>
      <c r="M725" s="38" t="str">
        <f>IFERROR(VLOOKUP(I725,보도매체!$A:$C,3,FALSE), "")</f>
        <v/>
      </c>
    </row>
    <row r="726" spans="3:13" x14ac:dyDescent="0.3">
      <c r="C726" s="35">
        <f t="shared" si="12"/>
        <v>0</v>
      </c>
      <c r="D726" s="30" t="str">
        <f>IFERROR(VLOOKUP(C726,소속부서!$A$2:$B$20,2,FALSE), "")</f>
        <v/>
      </c>
      <c r="L726" s="36" t="str">
        <f>IFERROR(VLOOKUP(I726,보도매체!$A:$C,2,FALSE), "")</f>
        <v/>
      </c>
      <c r="M726" s="38" t="str">
        <f>IFERROR(VLOOKUP(I726,보도매체!$A:$C,3,FALSE), "")</f>
        <v/>
      </c>
    </row>
    <row r="727" spans="3:13" x14ac:dyDescent="0.3">
      <c r="C727" s="35">
        <f t="shared" si="12"/>
        <v>0</v>
      </c>
      <c r="D727" s="30" t="str">
        <f>IFERROR(VLOOKUP(C727,소속부서!$A$2:$B$20,2,FALSE), "")</f>
        <v/>
      </c>
      <c r="L727" s="36" t="str">
        <f>IFERROR(VLOOKUP(I727,보도매체!$A:$C,2,FALSE), "")</f>
        <v/>
      </c>
      <c r="M727" s="38" t="str">
        <f>IFERROR(VLOOKUP(I727,보도매체!$A:$C,3,FALSE), "")</f>
        <v/>
      </c>
    </row>
    <row r="728" spans="3:13" x14ac:dyDescent="0.3">
      <c r="C728" s="35">
        <f t="shared" si="12"/>
        <v>0</v>
      </c>
      <c r="D728" s="30" t="str">
        <f>IFERROR(VLOOKUP(C728,소속부서!$A$2:$B$20,2,FALSE), "")</f>
        <v/>
      </c>
      <c r="L728" s="36" t="str">
        <f>IFERROR(VLOOKUP(I728,보도매체!$A:$C,2,FALSE), "")</f>
        <v/>
      </c>
      <c r="M728" s="38" t="str">
        <f>IFERROR(VLOOKUP(I728,보도매체!$A:$C,3,FALSE), "")</f>
        <v/>
      </c>
    </row>
    <row r="729" spans="3:13" x14ac:dyDescent="0.3">
      <c r="C729" s="35">
        <f t="shared" si="12"/>
        <v>0</v>
      </c>
      <c r="D729" s="30" t="str">
        <f>IFERROR(VLOOKUP(C729,소속부서!$A$2:$B$20,2,FALSE), "")</f>
        <v/>
      </c>
      <c r="L729" s="36" t="str">
        <f>IFERROR(VLOOKUP(I729,보도매체!$A:$C,2,FALSE), "")</f>
        <v/>
      </c>
      <c r="M729" s="38" t="str">
        <f>IFERROR(VLOOKUP(I729,보도매체!$A:$C,3,FALSE), "")</f>
        <v/>
      </c>
    </row>
    <row r="730" spans="3:13" x14ac:dyDescent="0.3">
      <c r="C730" s="35">
        <f t="shared" si="12"/>
        <v>0</v>
      </c>
      <c r="D730" s="30" t="str">
        <f>IFERROR(VLOOKUP(C730,소속부서!$A$2:$B$20,2,FALSE), "")</f>
        <v/>
      </c>
      <c r="L730" s="36" t="str">
        <f>IFERROR(VLOOKUP(I730,보도매체!$A:$C,2,FALSE), "")</f>
        <v/>
      </c>
      <c r="M730" s="38" t="str">
        <f>IFERROR(VLOOKUP(I730,보도매체!$A:$C,3,FALSE), "")</f>
        <v/>
      </c>
    </row>
    <row r="731" spans="3:13" x14ac:dyDescent="0.3">
      <c r="C731" s="35">
        <f t="shared" si="12"/>
        <v>0</v>
      </c>
      <c r="D731" s="30" t="str">
        <f>IFERROR(VLOOKUP(C731,소속부서!$A$2:$B$20,2,FALSE), "")</f>
        <v/>
      </c>
      <c r="L731" s="36" t="str">
        <f>IFERROR(VLOOKUP(I731,보도매체!$A:$C,2,FALSE), "")</f>
        <v/>
      </c>
      <c r="M731" s="38" t="str">
        <f>IFERROR(VLOOKUP(I731,보도매체!$A:$C,3,FALSE), "")</f>
        <v/>
      </c>
    </row>
    <row r="732" spans="3:13" x14ac:dyDescent="0.3">
      <c r="C732" s="35">
        <f t="shared" si="12"/>
        <v>0</v>
      </c>
      <c r="D732" s="30" t="str">
        <f>IFERROR(VLOOKUP(C732,소속부서!$A$2:$B$20,2,FALSE), "")</f>
        <v/>
      </c>
      <c r="L732" s="36" t="str">
        <f>IFERROR(VLOOKUP(I732,보도매체!$A:$C,2,FALSE), "")</f>
        <v/>
      </c>
      <c r="M732" s="38" t="str">
        <f>IFERROR(VLOOKUP(I732,보도매체!$A:$C,3,FALSE), "")</f>
        <v/>
      </c>
    </row>
    <row r="733" spans="3:13" x14ac:dyDescent="0.3">
      <c r="C733" s="35">
        <f t="shared" si="12"/>
        <v>0</v>
      </c>
      <c r="D733" s="30" t="str">
        <f>IFERROR(VLOOKUP(C733,소속부서!$A$2:$B$20,2,FALSE), "")</f>
        <v/>
      </c>
      <c r="L733" s="36" t="str">
        <f>IFERROR(VLOOKUP(I733,보도매체!$A:$C,2,FALSE), "")</f>
        <v/>
      </c>
      <c r="M733" s="38" t="str">
        <f>IFERROR(VLOOKUP(I733,보도매체!$A:$C,3,FALSE), "")</f>
        <v/>
      </c>
    </row>
    <row r="734" spans="3:13" x14ac:dyDescent="0.3">
      <c r="C734" s="35">
        <f t="shared" si="12"/>
        <v>0</v>
      </c>
      <c r="D734" s="30" t="str">
        <f>IFERROR(VLOOKUP(C734,소속부서!$A$2:$B$20,2,FALSE), "")</f>
        <v/>
      </c>
      <c r="L734" s="36" t="str">
        <f>IFERROR(VLOOKUP(I734,보도매체!$A:$C,2,FALSE), "")</f>
        <v/>
      </c>
      <c r="M734" s="38" t="str">
        <f>IFERROR(VLOOKUP(I734,보도매체!$A:$C,3,FALSE), "")</f>
        <v/>
      </c>
    </row>
    <row r="735" spans="3:13" x14ac:dyDescent="0.3">
      <c r="C735" s="35">
        <f t="shared" si="12"/>
        <v>0</v>
      </c>
      <c r="D735" s="30" t="str">
        <f>IFERROR(VLOOKUP(C735,소속부서!$A$2:$B$20,2,FALSE), "")</f>
        <v/>
      </c>
      <c r="L735" s="36" t="str">
        <f>IFERROR(VLOOKUP(I735,보도매체!$A:$C,2,FALSE), "")</f>
        <v/>
      </c>
      <c r="M735" s="38" t="str">
        <f>IFERROR(VLOOKUP(I735,보도매체!$A:$C,3,FALSE), "")</f>
        <v/>
      </c>
    </row>
    <row r="736" spans="3:13" x14ac:dyDescent="0.3">
      <c r="C736" s="35">
        <f t="shared" si="12"/>
        <v>0</v>
      </c>
      <c r="D736" s="30" t="str">
        <f>IFERROR(VLOOKUP(C736,소속부서!$A$2:$B$20,2,FALSE), "")</f>
        <v/>
      </c>
      <c r="L736" s="36" t="str">
        <f>IFERROR(VLOOKUP(I736,보도매체!$A:$C,2,FALSE), "")</f>
        <v/>
      </c>
      <c r="M736" s="38" t="str">
        <f>IFERROR(VLOOKUP(I736,보도매체!$A:$C,3,FALSE), "")</f>
        <v/>
      </c>
    </row>
    <row r="737" spans="3:13" x14ac:dyDescent="0.3">
      <c r="C737" s="35">
        <f t="shared" si="12"/>
        <v>0</v>
      </c>
      <c r="D737" s="30" t="str">
        <f>IFERROR(VLOOKUP(C737,소속부서!$A$2:$B$20,2,FALSE), "")</f>
        <v/>
      </c>
      <c r="L737" s="36" t="str">
        <f>IFERROR(VLOOKUP(I737,보도매체!$A:$C,2,FALSE), "")</f>
        <v/>
      </c>
      <c r="M737" s="38" t="str">
        <f>IFERROR(VLOOKUP(I737,보도매체!$A:$C,3,FALSE), "")</f>
        <v/>
      </c>
    </row>
    <row r="738" spans="3:13" x14ac:dyDescent="0.3">
      <c r="C738" s="35">
        <f t="shared" si="12"/>
        <v>0</v>
      </c>
      <c r="D738" s="30" t="str">
        <f>IFERROR(VLOOKUP(C738,소속부서!$A$2:$B$20,2,FALSE), "")</f>
        <v/>
      </c>
      <c r="L738" s="36" t="str">
        <f>IFERROR(VLOOKUP(I738,보도매체!$A:$C,2,FALSE), "")</f>
        <v/>
      </c>
      <c r="M738" s="38" t="str">
        <f>IFERROR(VLOOKUP(I738,보도매체!$A:$C,3,FALSE), "")</f>
        <v/>
      </c>
    </row>
    <row r="739" spans="3:13" x14ac:dyDescent="0.3">
      <c r="C739" s="35">
        <f t="shared" si="12"/>
        <v>0</v>
      </c>
      <c r="D739" s="30" t="str">
        <f>IFERROR(VLOOKUP(C739,소속부서!$A$2:$B$20,2,FALSE), "")</f>
        <v/>
      </c>
      <c r="L739" s="36" t="str">
        <f>IFERROR(VLOOKUP(I739,보도매체!$A:$C,2,FALSE), "")</f>
        <v/>
      </c>
      <c r="M739" s="38" t="str">
        <f>IFERROR(VLOOKUP(I739,보도매체!$A:$C,3,FALSE), "")</f>
        <v/>
      </c>
    </row>
    <row r="740" spans="3:13" x14ac:dyDescent="0.3">
      <c r="C740" s="35">
        <f t="shared" si="12"/>
        <v>0</v>
      </c>
      <c r="D740" s="30" t="str">
        <f>IFERROR(VLOOKUP(C740,소속부서!$A$2:$B$20,2,FALSE), "")</f>
        <v/>
      </c>
      <c r="L740" s="36" t="str">
        <f>IFERROR(VLOOKUP(I740,보도매체!$A:$C,2,FALSE), "")</f>
        <v/>
      </c>
      <c r="M740" s="38" t="str">
        <f>IFERROR(VLOOKUP(I740,보도매체!$A:$C,3,FALSE), "")</f>
        <v/>
      </c>
    </row>
    <row r="741" spans="3:13" x14ac:dyDescent="0.3">
      <c r="C741" s="35">
        <f t="shared" si="12"/>
        <v>0</v>
      </c>
      <c r="D741" s="30" t="str">
        <f>IFERROR(VLOOKUP(C741,소속부서!$A$2:$B$20,2,FALSE), "")</f>
        <v/>
      </c>
      <c r="L741" s="36" t="str">
        <f>IFERROR(VLOOKUP(I741,보도매체!$A:$C,2,FALSE), "")</f>
        <v/>
      </c>
      <c r="M741" s="38" t="str">
        <f>IFERROR(VLOOKUP(I741,보도매체!$A:$C,3,FALSE), "")</f>
        <v/>
      </c>
    </row>
    <row r="742" spans="3:13" x14ac:dyDescent="0.3">
      <c r="C742" s="35">
        <f t="shared" si="12"/>
        <v>0</v>
      </c>
      <c r="D742" s="30" t="str">
        <f>IFERROR(VLOOKUP(C742,소속부서!$A$2:$B$20,2,FALSE), "")</f>
        <v/>
      </c>
      <c r="L742" s="36" t="str">
        <f>IFERROR(VLOOKUP(I742,보도매체!$A:$C,2,FALSE), "")</f>
        <v/>
      </c>
      <c r="M742" s="38" t="str">
        <f>IFERROR(VLOOKUP(I742,보도매체!$A:$C,3,FALSE), "")</f>
        <v/>
      </c>
    </row>
    <row r="743" spans="3:13" x14ac:dyDescent="0.3">
      <c r="C743" s="35">
        <f t="shared" si="12"/>
        <v>0</v>
      </c>
      <c r="D743" s="30" t="str">
        <f>IFERROR(VLOOKUP(C743,소속부서!$A$2:$B$20,2,FALSE), "")</f>
        <v/>
      </c>
      <c r="L743" s="36" t="str">
        <f>IFERROR(VLOOKUP(I743,보도매체!$A:$C,2,FALSE), "")</f>
        <v/>
      </c>
      <c r="M743" s="38" t="str">
        <f>IFERROR(VLOOKUP(I743,보도매체!$A:$C,3,FALSE), "")</f>
        <v/>
      </c>
    </row>
    <row r="744" spans="3:13" x14ac:dyDescent="0.3">
      <c r="C744" s="35">
        <f t="shared" si="12"/>
        <v>0</v>
      </c>
      <c r="D744" s="30" t="str">
        <f>IFERROR(VLOOKUP(C744,소속부서!$A$2:$B$20,2,FALSE), "")</f>
        <v/>
      </c>
      <c r="L744" s="36" t="str">
        <f>IFERROR(VLOOKUP(I744,보도매체!$A:$C,2,FALSE), "")</f>
        <v/>
      </c>
      <c r="M744" s="38" t="str">
        <f>IFERROR(VLOOKUP(I744,보도매체!$A:$C,3,FALSE), "")</f>
        <v/>
      </c>
    </row>
    <row r="745" spans="3:13" x14ac:dyDescent="0.3">
      <c r="C745" s="35">
        <f t="shared" si="12"/>
        <v>0</v>
      </c>
      <c r="D745" s="30" t="str">
        <f>IFERROR(VLOOKUP(C745,소속부서!$A$2:$B$20,2,FALSE), "")</f>
        <v/>
      </c>
      <c r="L745" s="36" t="str">
        <f>IFERROR(VLOOKUP(I745,보도매체!$A:$C,2,FALSE), "")</f>
        <v/>
      </c>
      <c r="M745" s="38" t="str">
        <f>IFERROR(VLOOKUP(I745,보도매체!$A:$C,3,FALSE), "")</f>
        <v/>
      </c>
    </row>
    <row r="746" spans="3:13" x14ac:dyDescent="0.3">
      <c r="C746" s="35">
        <f t="shared" si="12"/>
        <v>0</v>
      </c>
      <c r="D746" s="30" t="str">
        <f>IFERROR(VLOOKUP(C746,소속부서!$A$2:$B$20,2,FALSE), "")</f>
        <v/>
      </c>
      <c r="L746" s="36" t="str">
        <f>IFERROR(VLOOKUP(I746,보도매체!$A:$C,2,FALSE), "")</f>
        <v/>
      </c>
      <c r="M746" s="38" t="str">
        <f>IFERROR(VLOOKUP(I746,보도매체!$A:$C,3,FALSE), "")</f>
        <v/>
      </c>
    </row>
    <row r="747" spans="3:13" x14ac:dyDescent="0.3">
      <c r="C747" s="35">
        <f t="shared" si="12"/>
        <v>0</v>
      </c>
      <c r="D747" s="30" t="str">
        <f>IFERROR(VLOOKUP(C747,소속부서!$A$2:$B$20,2,FALSE), "")</f>
        <v/>
      </c>
      <c r="L747" s="36" t="str">
        <f>IFERROR(VLOOKUP(I747,보도매체!$A:$C,2,FALSE), "")</f>
        <v/>
      </c>
      <c r="M747" s="38" t="str">
        <f>IFERROR(VLOOKUP(I747,보도매체!$A:$C,3,FALSE), "")</f>
        <v/>
      </c>
    </row>
    <row r="748" spans="3:13" x14ac:dyDescent="0.3">
      <c r="C748" s="35">
        <f t="shared" si="12"/>
        <v>0</v>
      </c>
      <c r="D748" s="30" t="str">
        <f>IFERROR(VLOOKUP(C748,소속부서!$A$2:$B$20,2,FALSE), "")</f>
        <v/>
      </c>
      <c r="L748" s="36" t="str">
        <f>IFERROR(VLOOKUP(I748,보도매체!$A:$C,2,FALSE), "")</f>
        <v/>
      </c>
      <c r="M748" s="38" t="str">
        <f>IFERROR(VLOOKUP(I748,보도매체!$A:$C,3,FALSE), "")</f>
        <v/>
      </c>
    </row>
    <row r="749" spans="3:13" x14ac:dyDescent="0.3">
      <c r="C749" s="35">
        <f t="shared" si="12"/>
        <v>0</v>
      </c>
      <c r="D749" s="30" t="str">
        <f>IFERROR(VLOOKUP(C749,소속부서!$A$2:$B$20,2,FALSE), "")</f>
        <v/>
      </c>
      <c r="L749" s="36" t="str">
        <f>IFERROR(VLOOKUP(I749,보도매체!$A:$C,2,FALSE), "")</f>
        <v/>
      </c>
      <c r="M749" s="38" t="str">
        <f>IFERROR(VLOOKUP(I749,보도매체!$A:$C,3,FALSE), "")</f>
        <v/>
      </c>
    </row>
    <row r="750" spans="3:13" x14ac:dyDescent="0.3">
      <c r="C750" s="35">
        <f t="shared" si="12"/>
        <v>0</v>
      </c>
      <c r="D750" s="30" t="str">
        <f>IFERROR(VLOOKUP(C750,소속부서!$A$2:$B$20,2,FALSE), "")</f>
        <v/>
      </c>
      <c r="L750" s="36" t="str">
        <f>IFERROR(VLOOKUP(I750,보도매체!$A:$C,2,FALSE), "")</f>
        <v/>
      </c>
      <c r="M750" s="38" t="str">
        <f>IFERROR(VLOOKUP(I750,보도매체!$A:$C,3,FALSE), "")</f>
        <v/>
      </c>
    </row>
    <row r="751" spans="3:13" x14ac:dyDescent="0.3">
      <c r="C751" s="35">
        <f t="shared" si="12"/>
        <v>0</v>
      </c>
      <c r="D751" s="30" t="str">
        <f>IFERROR(VLOOKUP(C751,소속부서!$A$2:$B$20,2,FALSE), "")</f>
        <v/>
      </c>
      <c r="L751" s="36" t="str">
        <f>IFERROR(VLOOKUP(I751,보도매체!$A:$C,2,FALSE), "")</f>
        <v/>
      </c>
      <c r="M751" s="38" t="str">
        <f>IFERROR(VLOOKUP(I751,보도매체!$A:$C,3,FALSE), "")</f>
        <v/>
      </c>
    </row>
    <row r="752" spans="3:13" x14ac:dyDescent="0.3">
      <c r="C752" s="35">
        <f t="shared" si="12"/>
        <v>0</v>
      </c>
      <c r="D752" s="30" t="str">
        <f>IFERROR(VLOOKUP(C752,소속부서!$A$2:$B$20,2,FALSE), "")</f>
        <v/>
      </c>
      <c r="L752" s="36" t="str">
        <f>IFERROR(VLOOKUP(I752,보도매체!$A:$C,2,FALSE), "")</f>
        <v/>
      </c>
      <c r="M752" s="38" t="str">
        <f>IFERROR(VLOOKUP(I752,보도매체!$A:$C,3,FALSE), "")</f>
        <v/>
      </c>
    </row>
    <row r="753" spans="3:13" x14ac:dyDescent="0.3">
      <c r="C753" s="35">
        <f t="shared" si="12"/>
        <v>0</v>
      </c>
      <c r="D753" s="30" t="str">
        <f>IFERROR(VLOOKUP(C753,소속부서!$A$2:$B$20,2,FALSE), "")</f>
        <v/>
      </c>
      <c r="L753" s="36" t="str">
        <f>IFERROR(VLOOKUP(I753,보도매체!$A:$C,2,FALSE), "")</f>
        <v/>
      </c>
      <c r="M753" s="38" t="str">
        <f>IFERROR(VLOOKUP(I753,보도매체!$A:$C,3,FALSE), "")</f>
        <v/>
      </c>
    </row>
    <row r="754" spans="3:13" x14ac:dyDescent="0.3">
      <c r="C754" s="35">
        <f t="shared" si="12"/>
        <v>0</v>
      </c>
      <c r="D754" s="30" t="str">
        <f>IFERROR(VLOOKUP(C754,소속부서!$A$2:$B$20,2,FALSE), "")</f>
        <v/>
      </c>
      <c r="L754" s="36" t="str">
        <f>IFERROR(VLOOKUP(I754,보도매체!$A:$C,2,FALSE), "")</f>
        <v/>
      </c>
      <c r="M754" s="38" t="str">
        <f>IFERROR(VLOOKUP(I754,보도매체!$A:$C,3,FALSE), "")</f>
        <v/>
      </c>
    </row>
    <row r="755" spans="3:13" x14ac:dyDescent="0.3">
      <c r="C755" s="35">
        <f t="shared" si="12"/>
        <v>0</v>
      </c>
      <c r="D755" s="30" t="str">
        <f>IFERROR(VLOOKUP(C755,소속부서!$A$2:$B$20,2,FALSE), "")</f>
        <v/>
      </c>
      <c r="L755" s="36" t="str">
        <f>IFERROR(VLOOKUP(I755,보도매체!$A:$C,2,FALSE), "")</f>
        <v/>
      </c>
      <c r="M755" s="38" t="str">
        <f>IFERROR(VLOOKUP(I755,보도매체!$A:$C,3,FALSE), "")</f>
        <v/>
      </c>
    </row>
    <row r="756" spans="3:13" x14ac:dyDescent="0.3">
      <c r="C756" s="35">
        <f t="shared" si="12"/>
        <v>0</v>
      </c>
      <c r="D756" s="30" t="str">
        <f>IFERROR(VLOOKUP(C756,소속부서!$A$2:$B$20,2,FALSE), "")</f>
        <v/>
      </c>
      <c r="L756" s="36" t="str">
        <f>IFERROR(VLOOKUP(I756,보도매체!$A:$C,2,FALSE), "")</f>
        <v/>
      </c>
      <c r="M756" s="38" t="str">
        <f>IFERROR(VLOOKUP(I756,보도매체!$A:$C,3,FALSE), "")</f>
        <v/>
      </c>
    </row>
    <row r="757" spans="3:13" x14ac:dyDescent="0.3">
      <c r="C757" s="35">
        <f t="shared" si="12"/>
        <v>0</v>
      </c>
      <c r="D757" s="30" t="str">
        <f>IFERROR(VLOOKUP(C757,소속부서!$A$2:$B$20,2,FALSE), "")</f>
        <v/>
      </c>
      <c r="L757" s="36" t="str">
        <f>IFERROR(VLOOKUP(I757,보도매체!$A:$C,2,FALSE), "")</f>
        <v/>
      </c>
      <c r="M757" s="38" t="str">
        <f>IFERROR(VLOOKUP(I757,보도매체!$A:$C,3,FALSE), "")</f>
        <v/>
      </c>
    </row>
    <row r="758" spans="3:13" x14ac:dyDescent="0.3">
      <c r="C758" s="35">
        <f t="shared" si="12"/>
        <v>0</v>
      </c>
      <c r="D758" s="30" t="str">
        <f>IFERROR(VLOOKUP(C758,소속부서!$A$2:$B$20,2,FALSE), "")</f>
        <v/>
      </c>
      <c r="L758" s="36" t="str">
        <f>IFERROR(VLOOKUP(I758,보도매체!$A:$C,2,FALSE), "")</f>
        <v/>
      </c>
      <c r="M758" s="38" t="str">
        <f>IFERROR(VLOOKUP(I758,보도매체!$A:$C,3,FALSE), "")</f>
        <v/>
      </c>
    </row>
    <row r="759" spans="3:13" x14ac:dyDescent="0.3">
      <c r="C759" s="35">
        <f t="shared" si="12"/>
        <v>0</v>
      </c>
      <c r="D759" s="30" t="str">
        <f>IFERROR(VLOOKUP(C759,소속부서!$A$2:$B$20,2,FALSE), "")</f>
        <v/>
      </c>
      <c r="L759" s="36" t="str">
        <f>IFERROR(VLOOKUP(I759,보도매체!$A:$C,2,FALSE), "")</f>
        <v/>
      </c>
      <c r="M759" s="38" t="str">
        <f>IFERROR(VLOOKUP(I759,보도매체!$A:$C,3,FALSE), "")</f>
        <v/>
      </c>
    </row>
    <row r="760" spans="3:13" x14ac:dyDescent="0.3">
      <c r="C760" s="35">
        <f t="shared" si="12"/>
        <v>0</v>
      </c>
      <c r="D760" s="30" t="str">
        <f>IFERROR(VLOOKUP(C760,소속부서!$A$2:$B$20,2,FALSE), "")</f>
        <v/>
      </c>
      <c r="L760" s="36" t="str">
        <f>IFERROR(VLOOKUP(I760,보도매체!$A:$C,2,FALSE), "")</f>
        <v/>
      </c>
      <c r="M760" s="38" t="str">
        <f>IFERROR(VLOOKUP(I760,보도매체!$A:$C,3,FALSE), "")</f>
        <v/>
      </c>
    </row>
    <row r="761" spans="3:13" x14ac:dyDescent="0.3">
      <c r="C761" s="35">
        <f t="shared" si="12"/>
        <v>0</v>
      </c>
      <c r="D761" s="30" t="str">
        <f>IFERROR(VLOOKUP(C761,소속부서!$A$2:$B$20,2,FALSE), "")</f>
        <v/>
      </c>
      <c r="L761" s="36" t="str">
        <f>IFERROR(VLOOKUP(I761,보도매체!$A:$C,2,FALSE), "")</f>
        <v/>
      </c>
      <c r="M761" s="38" t="str">
        <f>IFERROR(VLOOKUP(I761,보도매체!$A:$C,3,FALSE), "")</f>
        <v/>
      </c>
    </row>
    <row r="762" spans="3:13" x14ac:dyDescent="0.3">
      <c r="C762" s="35">
        <f t="shared" si="12"/>
        <v>0</v>
      </c>
      <c r="D762" s="30" t="str">
        <f>IFERROR(VLOOKUP(C762,소속부서!$A$2:$B$20,2,FALSE), "")</f>
        <v/>
      </c>
      <c r="L762" s="36" t="str">
        <f>IFERROR(VLOOKUP(I762,보도매체!$A:$C,2,FALSE), "")</f>
        <v/>
      </c>
      <c r="M762" s="38" t="str">
        <f>IFERROR(VLOOKUP(I762,보도매체!$A:$C,3,FALSE), "")</f>
        <v/>
      </c>
    </row>
    <row r="763" spans="3:13" x14ac:dyDescent="0.3">
      <c r="C763" s="35">
        <f t="shared" si="12"/>
        <v>0</v>
      </c>
      <c r="D763" s="30" t="str">
        <f>IFERROR(VLOOKUP(C763,소속부서!$A$2:$B$20,2,FALSE), "")</f>
        <v/>
      </c>
      <c r="L763" s="36" t="str">
        <f>IFERROR(VLOOKUP(I763,보도매체!$A:$C,2,FALSE), "")</f>
        <v/>
      </c>
      <c r="M763" s="38" t="str">
        <f>IFERROR(VLOOKUP(I763,보도매체!$A:$C,3,FALSE), "")</f>
        <v/>
      </c>
    </row>
    <row r="764" spans="3:13" x14ac:dyDescent="0.3">
      <c r="C764" s="35">
        <f t="shared" si="12"/>
        <v>0</v>
      </c>
      <c r="D764" s="30" t="str">
        <f>IFERROR(VLOOKUP(C764,소속부서!$A$2:$B$20,2,FALSE), "")</f>
        <v/>
      </c>
      <c r="L764" s="36" t="str">
        <f>IFERROR(VLOOKUP(I764,보도매체!$A:$C,2,FALSE), "")</f>
        <v/>
      </c>
      <c r="M764" s="38" t="str">
        <f>IFERROR(VLOOKUP(I764,보도매체!$A:$C,3,FALSE), "")</f>
        <v/>
      </c>
    </row>
    <row r="765" spans="3:13" x14ac:dyDescent="0.3">
      <c r="C765" s="35">
        <f t="shared" si="12"/>
        <v>0</v>
      </c>
      <c r="D765" s="30" t="str">
        <f>IFERROR(VLOOKUP(C765,소속부서!$A$2:$B$20,2,FALSE), "")</f>
        <v/>
      </c>
      <c r="L765" s="36" t="str">
        <f>IFERROR(VLOOKUP(I765,보도매체!$A:$C,2,FALSE), "")</f>
        <v/>
      </c>
      <c r="M765" s="38" t="str">
        <f>IFERROR(VLOOKUP(I765,보도매체!$A:$C,3,FALSE), "")</f>
        <v/>
      </c>
    </row>
    <row r="766" spans="3:13" x14ac:dyDescent="0.3">
      <c r="C766" s="35">
        <f t="shared" si="12"/>
        <v>0</v>
      </c>
      <c r="D766" s="30" t="str">
        <f>IFERROR(VLOOKUP(C766,소속부서!$A$2:$B$20,2,FALSE), "")</f>
        <v/>
      </c>
      <c r="L766" s="36" t="str">
        <f>IFERROR(VLOOKUP(I766,보도매체!$A:$C,2,FALSE), "")</f>
        <v/>
      </c>
      <c r="M766" s="38" t="str">
        <f>IFERROR(VLOOKUP(I766,보도매체!$A:$C,3,FALSE), "")</f>
        <v/>
      </c>
    </row>
    <row r="767" spans="3:13" x14ac:dyDescent="0.3">
      <c r="C767" s="35">
        <f t="shared" si="12"/>
        <v>0</v>
      </c>
      <c r="D767" s="30" t="str">
        <f>IFERROR(VLOOKUP(C767,소속부서!$A$2:$B$20,2,FALSE), "")</f>
        <v/>
      </c>
      <c r="L767" s="36" t="str">
        <f>IFERROR(VLOOKUP(I767,보도매체!$A:$C,2,FALSE), "")</f>
        <v/>
      </c>
      <c r="M767" s="38" t="str">
        <f>IFERROR(VLOOKUP(I767,보도매체!$A:$C,3,FALSE), "")</f>
        <v/>
      </c>
    </row>
    <row r="768" spans="3:13" x14ac:dyDescent="0.3">
      <c r="C768" s="35">
        <f t="shared" si="12"/>
        <v>0</v>
      </c>
      <c r="D768" s="30" t="str">
        <f>IFERROR(VLOOKUP(C768,소속부서!$A$2:$B$20,2,FALSE), "")</f>
        <v/>
      </c>
      <c r="L768" s="36" t="str">
        <f>IFERROR(VLOOKUP(I768,보도매체!$A:$C,2,FALSE), "")</f>
        <v/>
      </c>
      <c r="M768" s="38" t="str">
        <f>IFERROR(VLOOKUP(I768,보도매체!$A:$C,3,FALSE), "")</f>
        <v/>
      </c>
    </row>
    <row r="769" spans="3:13" x14ac:dyDescent="0.3">
      <c r="C769" s="35">
        <f t="shared" si="12"/>
        <v>0</v>
      </c>
      <c r="D769" s="30" t="str">
        <f>IFERROR(VLOOKUP(C769,소속부서!$A$2:$B$20,2,FALSE), "")</f>
        <v/>
      </c>
      <c r="L769" s="36" t="str">
        <f>IFERROR(VLOOKUP(I769,보도매체!$A:$C,2,FALSE), "")</f>
        <v/>
      </c>
      <c r="M769" s="38" t="str">
        <f>IFERROR(VLOOKUP(I769,보도매체!$A:$C,3,FALSE), "")</f>
        <v/>
      </c>
    </row>
    <row r="770" spans="3:13" x14ac:dyDescent="0.3">
      <c r="C770" s="35">
        <f t="shared" si="12"/>
        <v>0</v>
      </c>
      <c r="D770" s="30" t="str">
        <f>IFERROR(VLOOKUP(C770,소속부서!$A$2:$B$20,2,FALSE), "")</f>
        <v/>
      </c>
      <c r="L770" s="36" t="str">
        <f>IFERROR(VLOOKUP(I770,보도매체!$A:$C,2,FALSE), "")</f>
        <v/>
      </c>
      <c r="M770" s="38" t="str">
        <f>IFERROR(VLOOKUP(I770,보도매체!$A:$C,3,FALSE), "")</f>
        <v/>
      </c>
    </row>
    <row r="771" spans="3:13" x14ac:dyDescent="0.3">
      <c r="C771" s="35">
        <f t="shared" si="12"/>
        <v>0</v>
      </c>
      <c r="D771" s="30" t="str">
        <f>IFERROR(VLOOKUP(C771,소속부서!$A$2:$B$20,2,FALSE), "")</f>
        <v/>
      </c>
      <c r="L771" s="36" t="str">
        <f>IFERROR(VLOOKUP(I771,보도매체!$A:$C,2,FALSE), "")</f>
        <v/>
      </c>
      <c r="M771" s="38" t="str">
        <f>IFERROR(VLOOKUP(I771,보도매체!$A:$C,3,FALSE), "")</f>
        <v/>
      </c>
    </row>
    <row r="772" spans="3:13" x14ac:dyDescent="0.3">
      <c r="C772" s="35">
        <f t="shared" ref="C772:C835" si="13">E772</f>
        <v>0</v>
      </c>
      <c r="D772" s="30" t="str">
        <f>IFERROR(VLOOKUP(C772,소속부서!$A$2:$B$20,2,FALSE), "")</f>
        <v/>
      </c>
      <c r="L772" s="36" t="str">
        <f>IFERROR(VLOOKUP(I772,보도매체!$A:$C,2,FALSE), "")</f>
        <v/>
      </c>
      <c r="M772" s="38" t="str">
        <f>IFERROR(VLOOKUP(I772,보도매체!$A:$C,3,FALSE), "")</f>
        <v/>
      </c>
    </row>
    <row r="773" spans="3:13" x14ac:dyDescent="0.3">
      <c r="C773" s="35">
        <f t="shared" si="13"/>
        <v>0</v>
      </c>
      <c r="D773" s="30" t="str">
        <f>IFERROR(VLOOKUP(C773,소속부서!$A$2:$B$20,2,FALSE), "")</f>
        <v/>
      </c>
      <c r="L773" s="36" t="str">
        <f>IFERROR(VLOOKUP(I773,보도매체!$A:$C,2,FALSE), "")</f>
        <v/>
      </c>
      <c r="M773" s="38" t="str">
        <f>IFERROR(VLOOKUP(I773,보도매체!$A:$C,3,FALSE), "")</f>
        <v/>
      </c>
    </row>
    <row r="774" spans="3:13" x14ac:dyDescent="0.3">
      <c r="C774" s="35">
        <f t="shared" si="13"/>
        <v>0</v>
      </c>
      <c r="D774" s="30" t="str">
        <f>IFERROR(VLOOKUP(C774,소속부서!$A$2:$B$20,2,FALSE), "")</f>
        <v/>
      </c>
      <c r="L774" s="36" t="str">
        <f>IFERROR(VLOOKUP(I774,보도매체!$A:$C,2,FALSE), "")</f>
        <v/>
      </c>
      <c r="M774" s="38" t="str">
        <f>IFERROR(VLOOKUP(I774,보도매체!$A:$C,3,FALSE), "")</f>
        <v/>
      </c>
    </row>
    <row r="775" spans="3:13" x14ac:dyDescent="0.3">
      <c r="C775" s="35">
        <f t="shared" si="13"/>
        <v>0</v>
      </c>
      <c r="D775" s="30" t="str">
        <f>IFERROR(VLOOKUP(C775,소속부서!$A$2:$B$20,2,FALSE), "")</f>
        <v/>
      </c>
      <c r="L775" s="36" t="str">
        <f>IFERROR(VLOOKUP(I775,보도매체!$A:$C,2,FALSE), "")</f>
        <v/>
      </c>
      <c r="M775" s="38" t="str">
        <f>IFERROR(VLOOKUP(I775,보도매체!$A:$C,3,FALSE), "")</f>
        <v/>
      </c>
    </row>
    <row r="776" spans="3:13" x14ac:dyDescent="0.3">
      <c r="C776" s="35">
        <f t="shared" si="13"/>
        <v>0</v>
      </c>
      <c r="D776" s="30" t="str">
        <f>IFERROR(VLOOKUP(C776,소속부서!$A$2:$B$20,2,FALSE), "")</f>
        <v/>
      </c>
      <c r="L776" s="36" t="str">
        <f>IFERROR(VLOOKUP(I776,보도매체!$A:$C,2,FALSE), "")</f>
        <v/>
      </c>
      <c r="M776" s="38" t="str">
        <f>IFERROR(VLOOKUP(I776,보도매체!$A:$C,3,FALSE), "")</f>
        <v/>
      </c>
    </row>
    <row r="777" spans="3:13" x14ac:dyDescent="0.3">
      <c r="C777" s="35">
        <f t="shared" si="13"/>
        <v>0</v>
      </c>
      <c r="D777" s="30" t="str">
        <f>IFERROR(VLOOKUP(C777,소속부서!$A$2:$B$20,2,FALSE), "")</f>
        <v/>
      </c>
      <c r="L777" s="36" t="str">
        <f>IFERROR(VLOOKUP(I777,보도매체!$A:$C,2,FALSE), "")</f>
        <v/>
      </c>
      <c r="M777" s="38" t="str">
        <f>IFERROR(VLOOKUP(I777,보도매체!$A:$C,3,FALSE), "")</f>
        <v/>
      </c>
    </row>
    <row r="778" spans="3:13" x14ac:dyDescent="0.3">
      <c r="C778" s="35">
        <f t="shared" si="13"/>
        <v>0</v>
      </c>
      <c r="D778" s="30" t="str">
        <f>IFERROR(VLOOKUP(C778,소속부서!$A$2:$B$20,2,FALSE), "")</f>
        <v/>
      </c>
      <c r="L778" s="36" t="str">
        <f>IFERROR(VLOOKUP(I778,보도매체!$A:$C,2,FALSE), "")</f>
        <v/>
      </c>
      <c r="M778" s="38" t="str">
        <f>IFERROR(VLOOKUP(I778,보도매체!$A:$C,3,FALSE), "")</f>
        <v/>
      </c>
    </row>
    <row r="779" spans="3:13" x14ac:dyDescent="0.3">
      <c r="C779" s="35">
        <f t="shared" si="13"/>
        <v>0</v>
      </c>
      <c r="D779" s="30" t="str">
        <f>IFERROR(VLOOKUP(C779,소속부서!$A$2:$B$20,2,FALSE), "")</f>
        <v/>
      </c>
      <c r="L779" s="36" t="str">
        <f>IFERROR(VLOOKUP(I779,보도매체!$A:$C,2,FALSE), "")</f>
        <v/>
      </c>
      <c r="M779" s="38" t="str">
        <f>IFERROR(VLOOKUP(I779,보도매체!$A:$C,3,FALSE), "")</f>
        <v/>
      </c>
    </row>
    <row r="780" spans="3:13" x14ac:dyDescent="0.3">
      <c r="C780" s="35">
        <f t="shared" si="13"/>
        <v>0</v>
      </c>
      <c r="D780" s="30" t="str">
        <f>IFERROR(VLOOKUP(C780,소속부서!$A$2:$B$20,2,FALSE), "")</f>
        <v/>
      </c>
      <c r="L780" s="36" t="str">
        <f>IFERROR(VLOOKUP(I780,보도매체!$A:$C,2,FALSE), "")</f>
        <v/>
      </c>
      <c r="M780" s="38" t="str">
        <f>IFERROR(VLOOKUP(I780,보도매체!$A:$C,3,FALSE), "")</f>
        <v/>
      </c>
    </row>
    <row r="781" spans="3:13" x14ac:dyDescent="0.3">
      <c r="C781" s="35">
        <f t="shared" si="13"/>
        <v>0</v>
      </c>
      <c r="D781" s="30" t="str">
        <f>IFERROR(VLOOKUP(C781,소속부서!$A$2:$B$20,2,FALSE), "")</f>
        <v/>
      </c>
      <c r="L781" s="36" t="str">
        <f>IFERROR(VLOOKUP(I781,보도매체!$A:$C,2,FALSE), "")</f>
        <v/>
      </c>
      <c r="M781" s="38" t="str">
        <f>IFERROR(VLOOKUP(I781,보도매체!$A:$C,3,FALSE), "")</f>
        <v/>
      </c>
    </row>
    <row r="782" spans="3:13" x14ac:dyDescent="0.3">
      <c r="C782" s="35">
        <f t="shared" si="13"/>
        <v>0</v>
      </c>
      <c r="D782" s="30" t="str">
        <f>IFERROR(VLOOKUP(C782,소속부서!$A$2:$B$20,2,FALSE), "")</f>
        <v/>
      </c>
      <c r="L782" s="36" t="str">
        <f>IFERROR(VLOOKUP(I782,보도매체!$A:$C,2,FALSE), "")</f>
        <v/>
      </c>
      <c r="M782" s="38" t="str">
        <f>IFERROR(VLOOKUP(I782,보도매체!$A:$C,3,FALSE), "")</f>
        <v/>
      </c>
    </row>
    <row r="783" spans="3:13" x14ac:dyDescent="0.3">
      <c r="C783" s="35">
        <f t="shared" si="13"/>
        <v>0</v>
      </c>
      <c r="D783" s="30" t="str">
        <f>IFERROR(VLOOKUP(C783,소속부서!$A$2:$B$20,2,FALSE), "")</f>
        <v/>
      </c>
      <c r="L783" s="36" t="str">
        <f>IFERROR(VLOOKUP(I783,보도매체!$A:$C,2,FALSE), "")</f>
        <v/>
      </c>
      <c r="M783" s="38" t="str">
        <f>IFERROR(VLOOKUP(I783,보도매체!$A:$C,3,FALSE), "")</f>
        <v/>
      </c>
    </row>
    <row r="784" spans="3:13" x14ac:dyDescent="0.3">
      <c r="C784" s="35">
        <f t="shared" si="13"/>
        <v>0</v>
      </c>
      <c r="D784" s="30" t="str">
        <f>IFERROR(VLOOKUP(C784,소속부서!$A$2:$B$20,2,FALSE), "")</f>
        <v/>
      </c>
      <c r="L784" s="36" t="str">
        <f>IFERROR(VLOOKUP(I784,보도매체!$A:$C,2,FALSE), "")</f>
        <v/>
      </c>
      <c r="M784" s="38" t="str">
        <f>IFERROR(VLOOKUP(I784,보도매체!$A:$C,3,FALSE), "")</f>
        <v/>
      </c>
    </row>
    <row r="785" spans="3:13" x14ac:dyDescent="0.3">
      <c r="C785" s="35">
        <f t="shared" si="13"/>
        <v>0</v>
      </c>
      <c r="D785" s="30" t="str">
        <f>IFERROR(VLOOKUP(C785,소속부서!$A$2:$B$20,2,FALSE), "")</f>
        <v/>
      </c>
      <c r="L785" s="36" t="str">
        <f>IFERROR(VLOOKUP(I785,보도매체!$A:$C,2,FALSE), "")</f>
        <v/>
      </c>
      <c r="M785" s="38" t="str">
        <f>IFERROR(VLOOKUP(I785,보도매체!$A:$C,3,FALSE), "")</f>
        <v/>
      </c>
    </row>
    <row r="786" spans="3:13" x14ac:dyDescent="0.3">
      <c r="C786" s="35">
        <f t="shared" si="13"/>
        <v>0</v>
      </c>
      <c r="D786" s="30" t="str">
        <f>IFERROR(VLOOKUP(C786,소속부서!$A$2:$B$20,2,FALSE), "")</f>
        <v/>
      </c>
      <c r="L786" s="36" t="str">
        <f>IFERROR(VLOOKUP(I786,보도매체!$A:$C,2,FALSE), "")</f>
        <v/>
      </c>
      <c r="M786" s="38" t="str">
        <f>IFERROR(VLOOKUP(I786,보도매체!$A:$C,3,FALSE), "")</f>
        <v/>
      </c>
    </row>
    <row r="787" spans="3:13" x14ac:dyDescent="0.3">
      <c r="C787" s="35">
        <f t="shared" si="13"/>
        <v>0</v>
      </c>
      <c r="D787" s="30" t="str">
        <f>IFERROR(VLOOKUP(C787,소속부서!$A$2:$B$20,2,FALSE), "")</f>
        <v/>
      </c>
      <c r="L787" s="36" t="str">
        <f>IFERROR(VLOOKUP(I787,보도매체!$A:$C,2,FALSE), "")</f>
        <v/>
      </c>
      <c r="M787" s="38" t="str">
        <f>IFERROR(VLOOKUP(I787,보도매체!$A:$C,3,FALSE), "")</f>
        <v/>
      </c>
    </row>
    <row r="788" spans="3:13" x14ac:dyDescent="0.3">
      <c r="C788" s="35">
        <f t="shared" si="13"/>
        <v>0</v>
      </c>
      <c r="D788" s="30" t="str">
        <f>IFERROR(VLOOKUP(C788,소속부서!$A$2:$B$20,2,FALSE), "")</f>
        <v/>
      </c>
      <c r="L788" s="36" t="str">
        <f>IFERROR(VLOOKUP(I788,보도매체!$A:$C,2,FALSE), "")</f>
        <v/>
      </c>
      <c r="M788" s="38" t="str">
        <f>IFERROR(VLOOKUP(I788,보도매체!$A:$C,3,FALSE), "")</f>
        <v/>
      </c>
    </row>
    <row r="789" spans="3:13" x14ac:dyDescent="0.3">
      <c r="C789" s="35">
        <f t="shared" si="13"/>
        <v>0</v>
      </c>
      <c r="D789" s="30" t="str">
        <f>IFERROR(VLOOKUP(C789,소속부서!$A$2:$B$20,2,FALSE), "")</f>
        <v/>
      </c>
      <c r="L789" s="36" t="str">
        <f>IFERROR(VLOOKUP(I789,보도매체!$A:$C,2,FALSE), "")</f>
        <v/>
      </c>
      <c r="M789" s="38" t="str">
        <f>IFERROR(VLOOKUP(I789,보도매체!$A:$C,3,FALSE), "")</f>
        <v/>
      </c>
    </row>
    <row r="790" spans="3:13" x14ac:dyDescent="0.3">
      <c r="C790" s="35">
        <f t="shared" si="13"/>
        <v>0</v>
      </c>
      <c r="D790" s="30" t="str">
        <f>IFERROR(VLOOKUP(C790,소속부서!$A$2:$B$20,2,FALSE), "")</f>
        <v/>
      </c>
      <c r="L790" s="36" t="str">
        <f>IFERROR(VLOOKUP(I790,보도매체!$A:$C,2,FALSE), "")</f>
        <v/>
      </c>
      <c r="M790" s="38" t="str">
        <f>IFERROR(VLOOKUP(I790,보도매체!$A:$C,3,FALSE), "")</f>
        <v/>
      </c>
    </row>
    <row r="791" spans="3:13" x14ac:dyDescent="0.3">
      <c r="C791" s="35">
        <f t="shared" si="13"/>
        <v>0</v>
      </c>
      <c r="D791" s="30" t="str">
        <f>IFERROR(VLOOKUP(C791,소속부서!$A$2:$B$20,2,FALSE), "")</f>
        <v/>
      </c>
      <c r="L791" s="36" t="str">
        <f>IFERROR(VLOOKUP(I791,보도매체!$A:$C,2,FALSE), "")</f>
        <v/>
      </c>
      <c r="M791" s="38" t="str">
        <f>IFERROR(VLOOKUP(I791,보도매체!$A:$C,3,FALSE), "")</f>
        <v/>
      </c>
    </row>
    <row r="792" spans="3:13" x14ac:dyDescent="0.3">
      <c r="C792" s="35">
        <f t="shared" si="13"/>
        <v>0</v>
      </c>
      <c r="D792" s="30" t="str">
        <f>IFERROR(VLOOKUP(C792,소속부서!$A$2:$B$20,2,FALSE), "")</f>
        <v/>
      </c>
      <c r="L792" s="36" t="str">
        <f>IFERROR(VLOOKUP(I792,보도매체!$A:$C,2,FALSE), "")</f>
        <v/>
      </c>
      <c r="M792" s="38" t="str">
        <f>IFERROR(VLOOKUP(I792,보도매체!$A:$C,3,FALSE), "")</f>
        <v/>
      </c>
    </row>
    <row r="793" spans="3:13" x14ac:dyDescent="0.3">
      <c r="C793" s="35">
        <f t="shared" si="13"/>
        <v>0</v>
      </c>
      <c r="D793" s="30" t="str">
        <f>IFERROR(VLOOKUP(C793,소속부서!$A$2:$B$20,2,FALSE), "")</f>
        <v/>
      </c>
      <c r="L793" s="36" t="str">
        <f>IFERROR(VLOOKUP(I793,보도매체!$A:$C,2,FALSE), "")</f>
        <v/>
      </c>
      <c r="M793" s="38" t="str">
        <f>IFERROR(VLOOKUP(I793,보도매체!$A:$C,3,FALSE), "")</f>
        <v/>
      </c>
    </row>
    <row r="794" spans="3:13" x14ac:dyDescent="0.3">
      <c r="C794" s="35">
        <f t="shared" si="13"/>
        <v>0</v>
      </c>
      <c r="D794" s="30" t="str">
        <f>IFERROR(VLOOKUP(C794,소속부서!$A$2:$B$20,2,FALSE), "")</f>
        <v/>
      </c>
      <c r="L794" s="36" t="str">
        <f>IFERROR(VLOOKUP(I794,보도매체!$A:$C,2,FALSE), "")</f>
        <v/>
      </c>
      <c r="M794" s="38" t="str">
        <f>IFERROR(VLOOKUP(I794,보도매체!$A:$C,3,FALSE), "")</f>
        <v/>
      </c>
    </row>
    <row r="795" spans="3:13" x14ac:dyDescent="0.3">
      <c r="C795" s="35">
        <f t="shared" si="13"/>
        <v>0</v>
      </c>
      <c r="D795" s="30" t="str">
        <f>IFERROR(VLOOKUP(C795,소속부서!$A$2:$B$20,2,FALSE), "")</f>
        <v/>
      </c>
      <c r="L795" s="36" t="str">
        <f>IFERROR(VLOOKUP(I795,보도매체!$A:$C,2,FALSE), "")</f>
        <v/>
      </c>
      <c r="M795" s="38" t="str">
        <f>IFERROR(VLOOKUP(I795,보도매체!$A:$C,3,FALSE), "")</f>
        <v/>
      </c>
    </row>
    <row r="796" spans="3:13" x14ac:dyDescent="0.3">
      <c r="C796" s="35">
        <f t="shared" si="13"/>
        <v>0</v>
      </c>
      <c r="D796" s="30" t="str">
        <f>IFERROR(VLOOKUP(C796,소속부서!$A$2:$B$20,2,FALSE), "")</f>
        <v/>
      </c>
      <c r="L796" s="36" t="str">
        <f>IFERROR(VLOOKUP(I796,보도매체!$A:$C,2,FALSE), "")</f>
        <v/>
      </c>
      <c r="M796" s="38" t="str">
        <f>IFERROR(VLOOKUP(I796,보도매체!$A:$C,3,FALSE), "")</f>
        <v/>
      </c>
    </row>
    <row r="797" spans="3:13" x14ac:dyDescent="0.3">
      <c r="C797" s="35">
        <f t="shared" si="13"/>
        <v>0</v>
      </c>
      <c r="D797" s="30" t="str">
        <f>IFERROR(VLOOKUP(C797,소속부서!$A$2:$B$20,2,FALSE), "")</f>
        <v/>
      </c>
      <c r="L797" s="36" t="str">
        <f>IFERROR(VLOOKUP(I797,보도매체!$A:$C,2,FALSE), "")</f>
        <v/>
      </c>
      <c r="M797" s="38" t="str">
        <f>IFERROR(VLOOKUP(I797,보도매체!$A:$C,3,FALSE), "")</f>
        <v/>
      </c>
    </row>
    <row r="798" spans="3:13" x14ac:dyDescent="0.3">
      <c r="C798" s="35">
        <f t="shared" si="13"/>
        <v>0</v>
      </c>
      <c r="D798" s="30" t="str">
        <f>IFERROR(VLOOKUP(C798,소속부서!$A$2:$B$20,2,FALSE), "")</f>
        <v/>
      </c>
      <c r="L798" s="36" t="str">
        <f>IFERROR(VLOOKUP(I798,보도매체!$A:$C,2,FALSE), "")</f>
        <v/>
      </c>
      <c r="M798" s="38" t="str">
        <f>IFERROR(VLOOKUP(I798,보도매체!$A:$C,3,FALSE), "")</f>
        <v/>
      </c>
    </row>
    <row r="799" spans="3:13" x14ac:dyDescent="0.3">
      <c r="C799" s="35">
        <f t="shared" si="13"/>
        <v>0</v>
      </c>
      <c r="D799" s="30" t="str">
        <f>IFERROR(VLOOKUP(C799,소속부서!$A$2:$B$20,2,FALSE), "")</f>
        <v/>
      </c>
      <c r="L799" s="36" t="str">
        <f>IFERROR(VLOOKUP(I799,보도매체!$A:$C,2,FALSE), "")</f>
        <v/>
      </c>
      <c r="M799" s="38" t="str">
        <f>IFERROR(VLOOKUP(I799,보도매체!$A:$C,3,FALSE), "")</f>
        <v/>
      </c>
    </row>
    <row r="800" spans="3:13" x14ac:dyDescent="0.3">
      <c r="C800" s="35">
        <f t="shared" si="13"/>
        <v>0</v>
      </c>
      <c r="D800" s="30" t="str">
        <f>IFERROR(VLOOKUP(C800,소속부서!$A$2:$B$20,2,FALSE), "")</f>
        <v/>
      </c>
      <c r="L800" s="36" t="str">
        <f>IFERROR(VLOOKUP(I800,보도매체!$A:$C,2,FALSE), "")</f>
        <v/>
      </c>
      <c r="M800" s="38" t="str">
        <f>IFERROR(VLOOKUP(I800,보도매체!$A:$C,3,FALSE), "")</f>
        <v/>
      </c>
    </row>
    <row r="801" spans="3:13" x14ac:dyDescent="0.3">
      <c r="C801" s="35">
        <f t="shared" si="13"/>
        <v>0</v>
      </c>
      <c r="D801" s="30" t="str">
        <f>IFERROR(VLOOKUP(C801,소속부서!$A$2:$B$20,2,FALSE), "")</f>
        <v/>
      </c>
      <c r="L801" s="36" t="str">
        <f>IFERROR(VLOOKUP(I801,보도매체!$A:$C,2,FALSE), "")</f>
        <v/>
      </c>
      <c r="M801" s="38" t="str">
        <f>IFERROR(VLOOKUP(I801,보도매체!$A:$C,3,FALSE), "")</f>
        <v/>
      </c>
    </row>
    <row r="802" spans="3:13" x14ac:dyDescent="0.3">
      <c r="C802" s="35">
        <f t="shared" si="13"/>
        <v>0</v>
      </c>
      <c r="D802" s="30" t="str">
        <f>IFERROR(VLOOKUP(C802,소속부서!$A$2:$B$20,2,FALSE), "")</f>
        <v/>
      </c>
      <c r="L802" s="36" t="str">
        <f>IFERROR(VLOOKUP(I802,보도매체!$A:$C,2,FALSE), "")</f>
        <v/>
      </c>
      <c r="M802" s="38" t="str">
        <f>IFERROR(VLOOKUP(I802,보도매체!$A:$C,3,FALSE), "")</f>
        <v/>
      </c>
    </row>
    <row r="803" spans="3:13" x14ac:dyDescent="0.3">
      <c r="C803" s="35">
        <f t="shared" si="13"/>
        <v>0</v>
      </c>
      <c r="D803" s="30" t="str">
        <f>IFERROR(VLOOKUP(C803,소속부서!$A$2:$B$20,2,FALSE), "")</f>
        <v/>
      </c>
      <c r="L803" s="36" t="str">
        <f>IFERROR(VLOOKUP(I803,보도매체!$A:$C,2,FALSE), "")</f>
        <v/>
      </c>
      <c r="M803" s="38" t="str">
        <f>IFERROR(VLOOKUP(I803,보도매체!$A:$C,3,FALSE), "")</f>
        <v/>
      </c>
    </row>
    <row r="804" spans="3:13" x14ac:dyDescent="0.3">
      <c r="C804" s="35">
        <f t="shared" si="13"/>
        <v>0</v>
      </c>
      <c r="D804" s="30" t="str">
        <f>IFERROR(VLOOKUP(C804,소속부서!$A$2:$B$20,2,FALSE), "")</f>
        <v/>
      </c>
      <c r="L804" s="36" t="str">
        <f>IFERROR(VLOOKUP(I804,보도매체!$A:$C,2,FALSE), "")</f>
        <v/>
      </c>
      <c r="M804" s="38" t="str">
        <f>IFERROR(VLOOKUP(I804,보도매체!$A:$C,3,FALSE), "")</f>
        <v/>
      </c>
    </row>
    <row r="805" spans="3:13" x14ac:dyDescent="0.3">
      <c r="C805" s="35">
        <f t="shared" si="13"/>
        <v>0</v>
      </c>
      <c r="D805" s="30" t="str">
        <f>IFERROR(VLOOKUP(C805,소속부서!$A$2:$B$20,2,FALSE), "")</f>
        <v/>
      </c>
      <c r="L805" s="36" t="str">
        <f>IFERROR(VLOOKUP(I805,보도매체!$A:$C,2,FALSE), "")</f>
        <v/>
      </c>
      <c r="M805" s="38" t="str">
        <f>IFERROR(VLOOKUP(I805,보도매체!$A:$C,3,FALSE), "")</f>
        <v/>
      </c>
    </row>
    <row r="806" spans="3:13" x14ac:dyDescent="0.3">
      <c r="C806" s="35">
        <f t="shared" si="13"/>
        <v>0</v>
      </c>
      <c r="D806" s="30" t="str">
        <f>IFERROR(VLOOKUP(C806,소속부서!$A$2:$B$20,2,FALSE), "")</f>
        <v/>
      </c>
      <c r="L806" s="36" t="str">
        <f>IFERROR(VLOOKUP(I806,보도매체!$A:$C,2,FALSE), "")</f>
        <v/>
      </c>
      <c r="M806" s="38" t="str">
        <f>IFERROR(VLOOKUP(I806,보도매체!$A:$C,3,FALSE), "")</f>
        <v/>
      </c>
    </row>
    <row r="807" spans="3:13" x14ac:dyDescent="0.3">
      <c r="C807" s="35">
        <f t="shared" si="13"/>
        <v>0</v>
      </c>
      <c r="D807" s="30" t="str">
        <f>IFERROR(VLOOKUP(C807,소속부서!$A$2:$B$20,2,FALSE), "")</f>
        <v/>
      </c>
      <c r="L807" s="36" t="str">
        <f>IFERROR(VLOOKUP(I807,보도매체!$A:$C,2,FALSE), "")</f>
        <v/>
      </c>
      <c r="M807" s="38" t="str">
        <f>IFERROR(VLOOKUP(I807,보도매체!$A:$C,3,FALSE), "")</f>
        <v/>
      </c>
    </row>
    <row r="808" spans="3:13" x14ac:dyDescent="0.3">
      <c r="C808" s="35">
        <f t="shared" si="13"/>
        <v>0</v>
      </c>
      <c r="D808" s="30" t="str">
        <f>IFERROR(VLOOKUP(C808,소속부서!$A$2:$B$20,2,FALSE), "")</f>
        <v/>
      </c>
      <c r="L808" s="36" t="str">
        <f>IFERROR(VLOOKUP(I808,보도매체!$A:$C,2,FALSE), "")</f>
        <v/>
      </c>
      <c r="M808" s="38" t="str">
        <f>IFERROR(VLOOKUP(I808,보도매체!$A:$C,3,FALSE), "")</f>
        <v/>
      </c>
    </row>
    <row r="809" spans="3:13" x14ac:dyDescent="0.3">
      <c r="C809" s="35">
        <f t="shared" si="13"/>
        <v>0</v>
      </c>
      <c r="D809" s="30" t="str">
        <f>IFERROR(VLOOKUP(C809,소속부서!$A$2:$B$20,2,FALSE), "")</f>
        <v/>
      </c>
      <c r="L809" s="36" t="str">
        <f>IFERROR(VLOOKUP(I809,보도매체!$A:$C,2,FALSE), "")</f>
        <v/>
      </c>
      <c r="M809" s="38" t="str">
        <f>IFERROR(VLOOKUP(I809,보도매체!$A:$C,3,FALSE), "")</f>
        <v/>
      </c>
    </row>
    <row r="810" spans="3:13" x14ac:dyDescent="0.3">
      <c r="C810" s="35">
        <f t="shared" si="13"/>
        <v>0</v>
      </c>
      <c r="D810" s="30" t="str">
        <f>IFERROR(VLOOKUP(C810,소속부서!$A$2:$B$20,2,FALSE), "")</f>
        <v/>
      </c>
      <c r="L810" s="36" t="str">
        <f>IFERROR(VLOOKUP(I810,보도매체!$A:$C,2,FALSE), "")</f>
        <v/>
      </c>
      <c r="M810" s="38" t="str">
        <f>IFERROR(VLOOKUP(I810,보도매체!$A:$C,3,FALSE), "")</f>
        <v/>
      </c>
    </row>
    <row r="811" spans="3:13" x14ac:dyDescent="0.3">
      <c r="C811" s="35">
        <f t="shared" si="13"/>
        <v>0</v>
      </c>
      <c r="D811" s="30" t="str">
        <f>IFERROR(VLOOKUP(C811,소속부서!$A$2:$B$20,2,FALSE), "")</f>
        <v/>
      </c>
      <c r="L811" s="36" t="str">
        <f>IFERROR(VLOOKUP(I811,보도매체!$A:$C,2,FALSE), "")</f>
        <v/>
      </c>
      <c r="M811" s="38" t="str">
        <f>IFERROR(VLOOKUP(I811,보도매체!$A:$C,3,FALSE), "")</f>
        <v/>
      </c>
    </row>
    <row r="812" spans="3:13" x14ac:dyDescent="0.3">
      <c r="C812" s="35">
        <f t="shared" si="13"/>
        <v>0</v>
      </c>
      <c r="D812" s="30" t="str">
        <f>IFERROR(VLOOKUP(C812,소속부서!$A$2:$B$20,2,FALSE), "")</f>
        <v/>
      </c>
      <c r="L812" s="36" t="str">
        <f>IFERROR(VLOOKUP(I812,보도매체!$A:$C,2,FALSE), "")</f>
        <v/>
      </c>
      <c r="M812" s="38" t="str">
        <f>IFERROR(VLOOKUP(I812,보도매체!$A:$C,3,FALSE), "")</f>
        <v/>
      </c>
    </row>
    <row r="813" spans="3:13" x14ac:dyDescent="0.3">
      <c r="C813" s="35">
        <f t="shared" si="13"/>
        <v>0</v>
      </c>
      <c r="D813" s="30" t="str">
        <f>IFERROR(VLOOKUP(C813,소속부서!$A$2:$B$20,2,FALSE), "")</f>
        <v/>
      </c>
      <c r="L813" s="36" t="str">
        <f>IFERROR(VLOOKUP(I813,보도매체!$A:$C,2,FALSE), "")</f>
        <v/>
      </c>
      <c r="M813" s="38" t="str">
        <f>IFERROR(VLOOKUP(I813,보도매체!$A:$C,3,FALSE), "")</f>
        <v/>
      </c>
    </row>
    <row r="814" spans="3:13" x14ac:dyDescent="0.3">
      <c r="C814" s="35">
        <f t="shared" si="13"/>
        <v>0</v>
      </c>
      <c r="D814" s="30" t="str">
        <f>IFERROR(VLOOKUP(C814,소속부서!$A$2:$B$20,2,FALSE), "")</f>
        <v/>
      </c>
      <c r="L814" s="36" t="str">
        <f>IFERROR(VLOOKUP(I814,보도매체!$A:$C,2,FALSE), "")</f>
        <v/>
      </c>
      <c r="M814" s="38" t="str">
        <f>IFERROR(VLOOKUP(I814,보도매체!$A:$C,3,FALSE), "")</f>
        <v/>
      </c>
    </row>
    <row r="815" spans="3:13" x14ac:dyDescent="0.3">
      <c r="C815" s="35">
        <f t="shared" si="13"/>
        <v>0</v>
      </c>
      <c r="D815" s="30" t="str">
        <f>IFERROR(VLOOKUP(C815,소속부서!$A$2:$B$20,2,FALSE), "")</f>
        <v/>
      </c>
      <c r="L815" s="36" t="str">
        <f>IFERROR(VLOOKUP(I815,보도매체!$A:$C,2,FALSE), "")</f>
        <v/>
      </c>
      <c r="M815" s="38" t="str">
        <f>IFERROR(VLOOKUP(I815,보도매체!$A:$C,3,FALSE), "")</f>
        <v/>
      </c>
    </row>
    <row r="816" spans="3:13" x14ac:dyDescent="0.3">
      <c r="C816" s="35">
        <f t="shared" si="13"/>
        <v>0</v>
      </c>
      <c r="D816" s="30" t="str">
        <f>IFERROR(VLOOKUP(C816,소속부서!$A$2:$B$20,2,FALSE), "")</f>
        <v/>
      </c>
      <c r="L816" s="36" t="str">
        <f>IFERROR(VLOOKUP(I816,보도매체!$A:$C,2,FALSE), "")</f>
        <v/>
      </c>
      <c r="M816" s="38" t="str">
        <f>IFERROR(VLOOKUP(I816,보도매체!$A:$C,3,FALSE), "")</f>
        <v/>
      </c>
    </row>
    <row r="817" spans="3:13" x14ac:dyDescent="0.3">
      <c r="C817" s="35">
        <f t="shared" si="13"/>
        <v>0</v>
      </c>
      <c r="D817" s="30" t="str">
        <f>IFERROR(VLOOKUP(C817,소속부서!$A$2:$B$20,2,FALSE), "")</f>
        <v/>
      </c>
      <c r="L817" s="36" t="str">
        <f>IFERROR(VLOOKUP(I817,보도매체!$A:$C,2,FALSE), "")</f>
        <v/>
      </c>
      <c r="M817" s="38" t="str">
        <f>IFERROR(VLOOKUP(I817,보도매체!$A:$C,3,FALSE), "")</f>
        <v/>
      </c>
    </row>
    <row r="818" spans="3:13" x14ac:dyDescent="0.3">
      <c r="C818" s="35">
        <f t="shared" si="13"/>
        <v>0</v>
      </c>
      <c r="D818" s="30" t="str">
        <f>IFERROR(VLOOKUP(C818,소속부서!$A$2:$B$20,2,FALSE), "")</f>
        <v/>
      </c>
      <c r="L818" s="36" t="str">
        <f>IFERROR(VLOOKUP(I818,보도매체!$A:$C,2,FALSE), "")</f>
        <v/>
      </c>
      <c r="M818" s="38" t="str">
        <f>IFERROR(VLOOKUP(I818,보도매체!$A:$C,3,FALSE), "")</f>
        <v/>
      </c>
    </row>
    <row r="819" spans="3:13" x14ac:dyDescent="0.3">
      <c r="C819" s="35">
        <f t="shared" si="13"/>
        <v>0</v>
      </c>
      <c r="D819" s="30" t="str">
        <f>IFERROR(VLOOKUP(C819,소속부서!$A$2:$B$20,2,FALSE), "")</f>
        <v/>
      </c>
      <c r="L819" s="36" t="str">
        <f>IFERROR(VLOOKUP(I819,보도매체!$A:$C,2,FALSE), "")</f>
        <v/>
      </c>
      <c r="M819" s="38" t="str">
        <f>IFERROR(VLOOKUP(I819,보도매체!$A:$C,3,FALSE), "")</f>
        <v/>
      </c>
    </row>
    <row r="820" spans="3:13" x14ac:dyDescent="0.3">
      <c r="C820" s="35">
        <f t="shared" si="13"/>
        <v>0</v>
      </c>
      <c r="D820" s="30" t="str">
        <f>IFERROR(VLOOKUP(C820,소속부서!$A$2:$B$20,2,FALSE), "")</f>
        <v/>
      </c>
      <c r="L820" s="36" t="str">
        <f>IFERROR(VLOOKUP(I820,보도매체!$A:$C,2,FALSE), "")</f>
        <v/>
      </c>
      <c r="M820" s="38" t="str">
        <f>IFERROR(VLOOKUP(I820,보도매체!$A:$C,3,FALSE), "")</f>
        <v/>
      </c>
    </row>
    <row r="821" spans="3:13" x14ac:dyDescent="0.3">
      <c r="C821" s="35">
        <f t="shared" si="13"/>
        <v>0</v>
      </c>
      <c r="D821" s="30" t="str">
        <f>IFERROR(VLOOKUP(C821,소속부서!$A$2:$B$20,2,FALSE), "")</f>
        <v/>
      </c>
      <c r="L821" s="36" t="str">
        <f>IFERROR(VLOOKUP(I821,보도매체!$A:$C,2,FALSE), "")</f>
        <v/>
      </c>
      <c r="M821" s="38" t="str">
        <f>IFERROR(VLOOKUP(I821,보도매체!$A:$C,3,FALSE), "")</f>
        <v/>
      </c>
    </row>
    <row r="822" spans="3:13" x14ac:dyDescent="0.3">
      <c r="C822" s="35">
        <f t="shared" si="13"/>
        <v>0</v>
      </c>
      <c r="D822" s="30" t="str">
        <f>IFERROR(VLOOKUP(C822,소속부서!$A$2:$B$20,2,FALSE), "")</f>
        <v/>
      </c>
      <c r="L822" s="36" t="str">
        <f>IFERROR(VLOOKUP(I822,보도매체!$A:$C,2,FALSE), "")</f>
        <v/>
      </c>
      <c r="M822" s="38" t="str">
        <f>IFERROR(VLOOKUP(I822,보도매체!$A:$C,3,FALSE), "")</f>
        <v/>
      </c>
    </row>
    <row r="823" spans="3:13" x14ac:dyDescent="0.3">
      <c r="C823" s="35">
        <f t="shared" si="13"/>
        <v>0</v>
      </c>
      <c r="D823" s="30" t="str">
        <f>IFERROR(VLOOKUP(C823,소속부서!$A$2:$B$20,2,FALSE), "")</f>
        <v/>
      </c>
      <c r="L823" s="36" t="str">
        <f>IFERROR(VLOOKUP(I823,보도매체!$A:$C,2,FALSE), "")</f>
        <v/>
      </c>
      <c r="M823" s="38" t="str">
        <f>IFERROR(VLOOKUP(I823,보도매체!$A:$C,3,FALSE), "")</f>
        <v/>
      </c>
    </row>
    <row r="824" spans="3:13" x14ac:dyDescent="0.3">
      <c r="C824" s="35">
        <f t="shared" si="13"/>
        <v>0</v>
      </c>
      <c r="D824" s="30" t="str">
        <f>IFERROR(VLOOKUP(C824,소속부서!$A$2:$B$20,2,FALSE), "")</f>
        <v/>
      </c>
      <c r="L824" s="36" t="str">
        <f>IFERROR(VLOOKUP(I824,보도매체!$A:$C,2,FALSE), "")</f>
        <v/>
      </c>
      <c r="M824" s="38" t="str">
        <f>IFERROR(VLOOKUP(I824,보도매체!$A:$C,3,FALSE), "")</f>
        <v/>
      </c>
    </row>
    <row r="825" spans="3:13" x14ac:dyDescent="0.3">
      <c r="C825" s="35">
        <f t="shared" si="13"/>
        <v>0</v>
      </c>
      <c r="D825" s="30" t="str">
        <f>IFERROR(VLOOKUP(C825,소속부서!$A$2:$B$20,2,FALSE), "")</f>
        <v/>
      </c>
      <c r="L825" s="36" t="str">
        <f>IFERROR(VLOOKUP(I825,보도매체!$A:$C,2,FALSE), "")</f>
        <v/>
      </c>
      <c r="M825" s="38" t="str">
        <f>IFERROR(VLOOKUP(I825,보도매체!$A:$C,3,FALSE), "")</f>
        <v/>
      </c>
    </row>
    <row r="826" spans="3:13" x14ac:dyDescent="0.3">
      <c r="C826" s="35">
        <f t="shared" si="13"/>
        <v>0</v>
      </c>
      <c r="D826" s="30" t="str">
        <f>IFERROR(VLOOKUP(C826,소속부서!$A$2:$B$20,2,FALSE), "")</f>
        <v/>
      </c>
      <c r="L826" s="36" t="str">
        <f>IFERROR(VLOOKUP(I826,보도매체!$A:$C,2,FALSE), "")</f>
        <v/>
      </c>
      <c r="M826" s="38" t="str">
        <f>IFERROR(VLOOKUP(I826,보도매체!$A:$C,3,FALSE), "")</f>
        <v/>
      </c>
    </row>
    <row r="827" spans="3:13" x14ac:dyDescent="0.3">
      <c r="C827" s="35">
        <f t="shared" si="13"/>
        <v>0</v>
      </c>
      <c r="D827" s="30" t="str">
        <f>IFERROR(VLOOKUP(C827,소속부서!$A$2:$B$20,2,FALSE), "")</f>
        <v/>
      </c>
      <c r="L827" s="36" t="str">
        <f>IFERROR(VLOOKUP(I827,보도매체!$A:$C,2,FALSE), "")</f>
        <v/>
      </c>
      <c r="M827" s="38" t="str">
        <f>IFERROR(VLOOKUP(I827,보도매체!$A:$C,3,FALSE), "")</f>
        <v/>
      </c>
    </row>
    <row r="828" spans="3:13" x14ac:dyDescent="0.3">
      <c r="C828" s="35">
        <f t="shared" si="13"/>
        <v>0</v>
      </c>
      <c r="D828" s="30" t="str">
        <f>IFERROR(VLOOKUP(C828,소속부서!$A$2:$B$20,2,FALSE), "")</f>
        <v/>
      </c>
      <c r="L828" s="36" t="str">
        <f>IFERROR(VLOOKUP(I828,보도매체!$A:$C,2,FALSE), "")</f>
        <v/>
      </c>
      <c r="M828" s="38" t="str">
        <f>IFERROR(VLOOKUP(I828,보도매체!$A:$C,3,FALSE), "")</f>
        <v/>
      </c>
    </row>
    <row r="829" spans="3:13" x14ac:dyDescent="0.3">
      <c r="C829" s="35">
        <f t="shared" si="13"/>
        <v>0</v>
      </c>
      <c r="D829" s="30" t="str">
        <f>IFERROR(VLOOKUP(C829,소속부서!$A$2:$B$20,2,FALSE), "")</f>
        <v/>
      </c>
      <c r="L829" s="36" t="str">
        <f>IFERROR(VLOOKUP(I829,보도매체!$A:$C,2,FALSE), "")</f>
        <v/>
      </c>
      <c r="M829" s="38" t="str">
        <f>IFERROR(VLOOKUP(I829,보도매체!$A:$C,3,FALSE), "")</f>
        <v/>
      </c>
    </row>
    <row r="830" spans="3:13" x14ac:dyDescent="0.3">
      <c r="C830" s="35">
        <f t="shared" si="13"/>
        <v>0</v>
      </c>
      <c r="D830" s="30" t="str">
        <f>IFERROR(VLOOKUP(C830,소속부서!$A$2:$B$20,2,FALSE), "")</f>
        <v/>
      </c>
      <c r="L830" s="36" t="str">
        <f>IFERROR(VLOOKUP(I830,보도매체!$A:$C,2,FALSE), "")</f>
        <v/>
      </c>
      <c r="M830" s="38" t="str">
        <f>IFERROR(VLOOKUP(I830,보도매체!$A:$C,3,FALSE), "")</f>
        <v/>
      </c>
    </row>
    <row r="831" spans="3:13" x14ac:dyDescent="0.3">
      <c r="C831" s="35">
        <f t="shared" si="13"/>
        <v>0</v>
      </c>
      <c r="D831" s="30" t="str">
        <f>IFERROR(VLOOKUP(C831,소속부서!$A$2:$B$20,2,FALSE), "")</f>
        <v/>
      </c>
      <c r="L831" s="36" t="str">
        <f>IFERROR(VLOOKUP(I831,보도매체!$A:$C,2,FALSE), "")</f>
        <v/>
      </c>
      <c r="M831" s="38" t="str">
        <f>IFERROR(VLOOKUP(I831,보도매체!$A:$C,3,FALSE), "")</f>
        <v/>
      </c>
    </row>
    <row r="832" spans="3:13" x14ac:dyDescent="0.3">
      <c r="C832" s="35">
        <f t="shared" si="13"/>
        <v>0</v>
      </c>
      <c r="D832" s="30" t="str">
        <f>IFERROR(VLOOKUP(C832,소속부서!$A$2:$B$20,2,FALSE), "")</f>
        <v/>
      </c>
      <c r="L832" s="36" t="str">
        <f>IFERROR(VLOOKUP(I832,보도매체!$A:$C,2,FALSE), "")</f>
        <v/>
      </c>
      <c r="M832" s="38" t="str">
        <f>IFERROR(VLOOKUP(I832,보도매체!$A:$C,3,FALSE), "")</f>
        <v/>
      </c>
    </row>
    <row r="833" spans="3:13" x14ac:dyDescent="0.3">
      <c r="C833" s="35">
        <f t="shared" si="13"/>
        <v>0</v>
      </c>
      <c r="D833" s="30" t="str">
        <f>IFERROR(VLOOKUP(C833,소속부서!$A$2:$B$20,2,FALSE), "")</f>
        <v/>
      </c>
      <c r="L833" s="36" t="str">
        <f>IFERROR(VLOOKUP(I833,보도매체!$A:$C,2,FALSE), "")</f>
        <v/>
      </c>
      <c r="M833" s="38" t="str">
        <f>IFERROR(VLOOKUP(I833,보도매체!$A:$C,3,FALSE), "")</f>
        <v/>
      </c>
    </row>
    <row r="834" spans="3:13" x14ac:dyDescent="0.3">
      <c r="C834" s="35">
        <f t="shared" si="13"/>
        <v>0</v>
      </c>
      <c r="D834" s="30" t="str">
        <f>IFERROR(VLOOKUP(C834,소속부서!$A$2:$B$20,2,FALSE), "")</f>
        <v/>
      </c>
      <c r="L834" s="36" t="str">
        <f>IFERROR(VLOOKUP(I834,보도매체!$A:$C,2,FALSE), "")</f>
        <v/>
      </c>
      <c r="M834" s="38" t="str">
        <f>IFERROR(VLOOKUP(I834,보도매체!$A:$C,3,FALSE), "")</f>
        <v/>
      </c>
    </row>
    <row r="835" spans="3:13" x14ac:dyDescent="0.3">
      <c r="C835" s="35">
        <f t="shared" si="13"/>
        <v>0</v>
      </c>
      <c r="D835" s="30" t="str">
        <f>IFERROR(VLOOKUP(C835,소속부서!$A$2:$B$20,2,FALSE), "")</f>
        <v/>
      </c>
      <c r="L835" s="36" t="str">
        <f>IFERROR(VLOOKUP(I835,보도매체!$A:$C,2,FALSE), "")</f>
        <v/>
      </c>
      <c r="M835" s="38" t="str">
        <f>IFERROR(VLOOKUP(I835,보도매체!$A:$C,3,FALSE), "")</f>
        <v/>
      </c>
    </row>
    <row r="836" spans="3:13" x14ac:dyDescent="0.3">
      <c r="C836" s="35">
        <f t="shared" ref="C836:C899" si="14">E836</f>
        <v>0</v>
      </c>
      <c r="D836" s="30" t="str">
        <f>IFERROR(VLOOKUP(C836,소속부서!$A$2:$B$20,2,FALSE), "")</f>
        <v/>
      </c>
      <c r="L836" s="36" t="str">
        <f>IFERROR(VLOOKUP(I836,보도매체!$A:$C,2,FALSE), "")</f>
        <v/>
      </c>
      <c r="M836" s="38" t="str">
        <f>IFERROR(VLOOKUP(I836,보도매체!$A:$C,3,FALSE), "")</f>
        <v/>
      </c>
    </row>
    <row r="837" spans="3:13" x14ac:dyDescent="0.3">
      <c r="C837" s="35">
        <f t="shared" si="14"/>
        <v>0</v>
      </c>
      <c r="D837" s="30" t="str">
        <f>IFERROR(VLOOKUP(C837,소속부서!$A$2:$B$20,2,FALSE), "")</f>
        <v/>
      </c>
      <c r="L837" s="36" t="str">
        <f>IFERROR(VLOOKUP(I837,보도매체!$A:$C,2,FALSE), "")</f>
        <v/>
      </c>
      <c r="M837" s="38" t="str">
        <f>IFERROR(VLOOKUP(I837,보도매체!$A:$C,3,FALSE), "")</f>
        <v/>
      </c>
    </row>
    <row r="838" spans="3:13" x14ac:dyDescent="0.3">
      <c r="C838" s="35">
        <f t="shared" si="14"/>
        <v>0</v>
      </c>
      <c r="D838" s="30" t="str">
        <f>IFERROR(VLOOKUP(C838,소속부서!$A$2:$B$20,2,FALSE), "")</f>
        <v/>
      </c>
      <c r="L838" s="36" t="str">
        <f>IFERROR(VLOOKUP(I838,보도매체!$A:$C,2,FALSE), "")</f>
        <v/>
      </c>
      <c r="M838" s="38" t="str">
        <f>IFERROR(VLOOKUP(I838,보도매체!$A:$C,3,FALSE), "")</f>
        <v/>
      </c>
    </row>
    <row r="839" spans="3:13" x14ac:dyDescent="0.3">
      <c r="C839" s="35">
        <f t="shared" si="14"/>
        <v>0</v>
      </c>
      <c r="D839" s="30" t="str">
        <f>IFERROR(VLOOKUP(C839,소속부서!$A$2:$B$20,2,FALSE), "")</f>
        <v/>
      </c>
      <c r="L839" s="36" t="str">
        <f>IFERROR(VLOOKUP(I839,보도매체!$A:$C,2,FALSE), "")</f>
        <v/>
      </c>
      <c r="M839" s="38" t="str">
        <f>IFERROR(VLOOKUP(I839,보도매체!$A:$C,3,FALSE), "")</f>
        <v/>
      </c>
    </row>
    <row r="840" spans="3:13" x14ac:dyDescent="0.3">
      <c r="C840" s="35">
        <f t="shared" si="14"/>
        <v>0</v>
      </c>
      <c r="D840" s="30" t="str">
        <f>IFERROR(VLOOKUP(C840,소속부서!$A$2:$B$20,2,FALSE), "")</f>
        <v/>
      </c>
      <c r="L840" s="36" t="str">
        <f>IFERROR(VLOOKUP(I840,보도매체!$A:$C,2,FALSE), "")</f>
        <v/>
      </c>
      <c r="M840" s="38" t="str">
        <f>IFERROR(VLOOKUP(I840,보도매체!$A:$C,3,FALSE), "")</f>
        <v/>
      </c>
    </row>
    <row r="841" spans="3:13" x14ac:dyDescent="0.3">
      <c r="C841" s="35">
        <f t="shared" si="14"/>
        <v>0</v>
      </c>
      <c r="D841" s="30" t="str">
        <f>IFERROR(VLOOKUP(C841,소속부서!$A$2:$B$20,2,FALSE), "")</f>
        <v/>
      </c>
      <c r="L841" s="36" t="str">
        <f>IFERROR(VLOOKUP(I841,보도매체!$A:$C,2,FALSE), "")</f>
        <v/>
      </c>
      <c r="M841" s="38" t="str">
        <f>IFERROR(VLOOKUP(I841,보도매체!$A:$C,3,FALSE), "")</f>
        <v/>
      </c>
    </row>
    <row r="842" spans="3:13" x14ac:dyDescent="0.3">
      <c r="C842" s="35">
        <f t="shared" si="14"/>
        <v>0</v>
      </c>
      <c r="D842" s="30" t="str">
        <f>IFERROR(VLOOKUP(C842,소속부서!$A$2:$B$20,2,FALSE), "")</f>
        <v/>
      </c>
      <c r="L842" s="36" t="str">
        <f>IFERROR(VLOOKUP(I842,보도매체!$A:$C,2,FALSE), "")</f>
        <v/>
      </c>
      <c r="M842" s="38" t="str">
        <f>IFERROR(VLOOKUP(I842,보도매체!$A:$C,3,FALSE), "")</f>
        <v/>
      </c>
    </row>
    <row r="843" spans="3:13" x14ac:dyDescent="0.3">
      <c r="C843" s="35">
        <f t="shared" si="14"/>
        <v>0</v>
      </c>
      <c r="D843" s="30" t="str">
        <f>IFERROR(VLOOKUP(C843,소속부서!$A$2:$B$20,2,FALSE), "")</f>
        <v/>
      </c>
      <c r="L843" s="36" t="str">
        <f>IFERROR(VLOOKUP(I843,보도매체!$A:$C,2,FALSE), "")</f>
        <v/>
      </c>
      <c r="M843" s="38" t="str">
        <f>IFERROR(VLOOKUP(I843,보도매체!$A:$C,3,FALSE), "")</f>
        <v/>
      </c>
    </row>
    <row r="844" spans="3:13" x14ac:dyDescent="0.3">
      <c r="C844" s="35">
        <f t="shared" si="14"/>
        <v>0</v>
      </c>
      <c r="D844" s="30" t="str">
        <f>IFERROR(VLOOKUP(C844,소속부서!$A$2:$B$20,2,FALSE), "")</f>
        <v/>
      </c>
      <c r="L844" s="36" t="str">
        <f>IFERROR(VLOOKUP(I844,보도매체!$A:$C,2,FALSE), "")</f>
        <v/>
      </c>
      <c r="M844" s="38" t="str">
        <f>IFERROR(VLOOKUP(I844,보도매체!$A:$C,3,FALSE), "")</f>
        <v/>
      </c>
    </row>
    <row r="845" spans="3:13" x14ac:dyDescent="0.3">
      <c r="C845" s="35">
        <f t="shared" si="14"/>
        <v>0</v>
      </c>
      <c r="D845" s="30" t="str">
        <f>IFERROR(VLOOKUP(C845,소속부서!$A$2:$B$20,2,FALSE), "")</f>
        <v/>
      </c>
      <c r="L845" s="36" t="str">
        <f>IFERROR(VLOOKUP(I845,보도매체!$A:$C,2,FALSE), "")</f>
        <v/>
      </c>
      <c r="M845" s="38" t="str">
        <f>IFERROR(VLOOKUP(I845,보도매체!$A:$C,3,FALSE), "")</f>
        <v/>
      </c>
    </row>
    <row r="846" spans="3:13" x14ac:dyDescent="0.3">
      <c r="C846" s="35">
        <f t="shared" si="14"/>
        <v>0</v>
      </c>
      <c r="D846" s="30" t="str">
        <f>IFERROR(VLOOKUP(C846,소속부서!$A$2:$B$20,2,FALSE), "")</f>
        <v/>
      </c>
      <c r="L846" s="36" t="str">
        <f>IFERROR(VLOOKUP(I846,보도매체!$A:$C,2,FALSE), "")</f>
        <v/>
      </c>
      <c r="M846" s="38" t="str">
        <f>IFERROR(VLOOKUP(I846,보도매체!$A:$C,3,FALSE), "")</f>
        <v/>
      </c>
    </row>
    <row r="847" spans="3:13" x14ac:dyDescent="0.3">
      <c r="C847" s="35">
        <f t="shared" si="14"/>
        <v>0</v>
      </c>
      <c r="D847" s="30" t="str">
        <f>IFERROR(VLOOKUP(C847,소속부서!$A$2:$B$20,2,FALSE), "")</f>
        <v/>
      </c>
      <c r="L847" s="36" t="str">
        <f>IFERROR(VLOOKUP(I847,보도매체!$A:$C,2,FALSE), "")</f>
        <v/>
      </c>
      <c r="M847" s="38" t="str">
        <f>IFERROR(VLOOKUP(I847,보도매체!$A:$C,3,FALSE), "")</f>
        <v/>
      </c>
    </row>
    <row r="848" spans="3:13" x14ac:dyDescent="0.3">
      <c r="C848" s="35">
        <f t="shared" si="14"/>
        <v>0</v>
      </c>
      <c r="D848" s="30" t="str">
        <f>IFERROR(VLOOKUP(C848,소속부서!$A$2:$B$20,2,FALSE), "")</f>
        <v/>
      </c>
      <c r="L848" s="36" t="str">
        <f>IFERROR(VLOOKUP(I848,보도매체!$A:$C,2,FALSE), "")</f>
        <v/>
      </c>
      <c r="M848" s="38" t="str">
        <f>IFERROR(VLOOKUP(I848,보도매체!$A:$C,3,FALSE), "")</f>
        <v/>
      </c>
    </row>
    <row r="849" spans="3:13" x14ac:dyDescent="0.3">
      <c r="C849" s="35">
        <f t="shared" si="14"/>
        <v>0</v>
      </c>
      <c r="D849" s="30" t="str">
        <f>IFERROR(VLOOKUP(C849,소속부서!$A$2:$B$20,2,FALSE), "")</f>
        <v/>
      </c>
      <c r="L849" s="36" t="str">
        <f>IFERROR(VLOOKUP(I849,보도매체!$A:$C,2,FALSE), "")</f>
        <v/>
      </c>
      <c r="M849" s="38" t="str">
        <f>IFERROR(VLOOKUP(I849,보도매체!$A:$C,3,FALSE), "")</f>
        <v/>
      </c>
    </row>
    <row r="850" spans="3:13" x14ac:dyDescent="0.3">
      <c r="C850" s="35">
        <f t="shared" si="14"/>
        <v>0</v>
      </c>
      <c r="D850" s="30" t="str">
        <f>IFERROR(VLOOKUP(C850,소속부서!$A$2:$B$20,2,FALSE), "")</f>
        <v/>
      </c>
      <c r="L850" s="36" t="str">
        <f>IFERROR(VLOOKUP(I850,보도매체!$A:$C,2,FALSE), "")</f>
        <v/>
      </c>
      <c r="M850" s="38" t="str">
        <f>IFERROR(VLOOKUP(I850,보도매체!$A:$C,3,FALSE), "")</f>
        <v/>
      </c>
    </row>
    <row r="851" spans="3:13" x14ac:dyDescent="0.3">
      <c r="C851" s="35">
        <f t="shared" si="14"/>
        <v>0</v>
      </c>
      <c r="D851" s="30" t="str">
        <f>IFERROR(VLOOKUP(C851,소속부서!$A$2:$B$20,2,FALSE), "")</f>
        <v/>
      </c>
      <c r="L851" s="36" t="str">
        <f>IFERROR(VLOOKUP(I851,보도매체!$A:$C,2,FALSE), "")</f>
        <v/>
      </c>
      <c r="M851" s="38" t="str">
        <f>IFERROR(VLOOKUP(I851,보도매체!$A:$C,3,FALSE), "")</f>
        <v/>
      </c>
    </row>
    <row r="852" spans="3:13" x14ac:dyDescent="0.3">
      <c r="C852" s="35">
        <f t="shared" si="14"/>
        <v>0</v>
      </c>
      <c r="D852" s="30" t="str">
        <f>IFERROR(VLOOKUP(C852,소속부서!$A$2:$B$20,2,FALSE), "")</f>
        <v/>
      </c>
      <c r="L852" s="36" t="str">
        <f>IFERROR(VLOOKUP(I852,보도매체!$A:$C,2,FALSE), "")</f>
        <v/>
      </c>
      <c r="M852" s="38" t="str">
        <f>IFERROR(VLOOKUP(I852,보도매체!$A:$C,3,FALSE), "")</f>
        <v/>
      </c>
    </row>
    <row r="853" spans="3:13" x14ac:dyDescent="0.3">
      <c r="C853" s="35">
        <f t="shared" si="14"/>
        <v>0</v>
      </c>
      <c r="D853" s="30" t="str">
        <f>IFERROR(VLOOKUP(C853,소속부서!$A$2:$B$20,2,FALSE), "")</f>
        <v/>
      </c>
      <c r="L853" s="36" t="str">
        <f>IFERROR(VLOOKUP(I853,보도매체!$A:$C,2,FALSE), "")</f>
        <v/>
      </c>
      <c r="M853" s="38" t="str">
        <f>IFERROR(VLOOKUP(I853,보도매체!$A:$C,3,FALSE), "")</f>
        <v/>
      </c>
    </row>
    <row r="854" spans="3:13" x14ac:dyDescent="0.3">
      <c r="C854" s="35">
        <f t="shared" si="14"/>
        <v>0</v>
      </c>
      <c r="D854" s="30" t="str">
        <f>IFERROR(VLOOKUP(C854,소속부서!$A$2:$B$20,2,FALSE), "")</f>
        <v/>
      </c>
      <c r="L854" s="36" t="str">
        <f>IFERROR(VLOOKUP(I854,보도매체!$A:$C,2,FALSE), "")</f>
        <v/>
      </c>
      <c r="M854" s="38" t="str">
        <f>IFERROR(VLOOKUP(I854,보도매체!$A:$C,3,FALSE), "")</f>
        <v/>
      </c>
    </row>
    <row r="855" spans="3:13" x14ac:dyDescent="0.3">
      <c r="C855" s="35">
        <f t="shared" si="14"/>
        <v>0</v>
      </c>
      <c r="D855" s="30" t="str">
        <f>IFERROR(VLOOKUP(C855,소속부서!$A$2:$B$20,2,FALSE), "")</f>
        <v/>
      </c>
      <c r="L855" s="36" t="str">
        <f>IFERROR(VLOOKUP(I855,보도매체!$A:$C,2,FALSE), "")</f>
        <v/>
      </c>
      <c r="M855" s="38" t="str">
        <f>IFERROR(VLOOKUP(I855,보도매체!$A:$C,3,FALSE), "")</f>
        <v/>
      </c>
    </row>
    <row r="856" spans="3:13" x14ac:dyDescent="0.3">
      <c r="C856" s="35">
        <f t="shared" si="14"/>
        <v>0</v>
      </c>
      <c r="D856" s="30" t="str">
        <f>IFERROR(VLOOKUP(C856,소속부서!$A$2:$B$20,2,FALSE), "")</f>
        <v/>
      </c>
      <c r="L856" s="36" t="str">
        <f>IFERROR(VLOOKUP(I856,보도매체!$A:$C,2,FALSE), "")</f>
        <v/>
      </c>
      <c r="M856" s="38" t="str">
        <f>IFERROR(VLOOKUP(I856,보도매체!$A:$C,3,FALSE), "")</f>
        <v/>
      </c>
    </row>
    <row r="857" spans="3:13" x14ac:dyDescent="0.3">
      <c r="C857" s="35">
        <f t="shared" si="14"/>
        <v>0</v>
      </c>
      <c r="D857" s="30" t="str">
        <f>IFERROR(VLOOKUP(C857,소속부서!$A$2:$B$20,2,FALSE), "")</f>
        <v/>
      </c>
      <c r="L857" s="36" t="str">
        <f>IFERROR(VLOOKUP(I857,보도매체!$A:$C,2,FALSE), "")</f>
        <v/>
      </c>
      <c r="M857" s="38" t="str">
        <f>IFERROR(VLOOKUP(I857,보도매체!$A:$C,3,FALSE), "")</f>
        <v/>
      </c>
    </row>
    <row r="858" spans="3:13" x14ac:dyDescent="0.3">
      <c r="C858" s="35">
        <f t="shared" si="14"/>
        <v>0</v>
      </c>
      <c r="D858" s="30" t="str">
        <f>IFERROR(VLOOKUP(C858,소속부서!$A$2:$B$20,2,FALSE), "")</f>
        <v/>
      </c>
      <c r="L858" s="36" t="str">
        <f>IFERROR(VLOOKUP(I858,보도매체!$A:$C,2,FALSE), "")</f>
        <v/>
      </c>
      <c r="M858" s="38" t="str">
        <f>IFERROR(VLOOKUP(I858,보도매체!$A:$C,3,FALSE), "")</f>
        <v/>
      </c>
    </row>
    <row r="859" spans="3:13" x14ac:dyDescent="0.3">
      <c r="C859" s="35">
        <f t="shared" si="14"/>
        <v>0</v>
      </c>
      <c r="D859" s="30" t="str">
        <f>IFERROR(VLOOKUP(C859,소속부서!$A$2:$B$20,2,FALSE), "")</f>
        <v/>
      </c>
      <c r="L859" s="36" t="str">
        <f>IFERROR(VLOOKUP(I859,보도매체!$A:$C,2,FALSE), "")</f>
        <v/>
      </c>
      <c r="M859" s="38" t="str">
        <f>IFERROR(VLOOKUP(I859,보도매체!$A:$C,3,FALSE), "")</f>
        <v/>
      </c>
    </row>
    <row r="860" spans="3:13" x14ac:dyDescent="0.3">
      <c r="C860" s="35">
        <f t="shared" si="14"/>
        <v>0</v>
      </c>
      <c r="D860" s="30" t="str">
        <f>IFERROR(VLOOKUP(C860,소속부서!$A$2:$B$20,2,FALSE), "")</f>
        <v/>
      </c>
      <c r="L860" s="36" t="str">
        <f>IFERROR(VLOOKUP(I860,보도매체!$A:$C,2,FALSE), "")</f>
        <v/>
      </c>
      <c r="M860" s="38" t="str">
        <f>IFERROR(VLOOKUP(I860,보도매체!$A:$C,3,FALSE), "")</f>
        <v/>
      </c>
    </row>
    <row r="861" spans="3:13" x14ac:dyDescent="0.3">
      <c r="C861" s="35">
        <f t="shared" si="14"/>
        <v>0</v>
      </c>
      <c r="D861" s="30" t="str">
        <f>IFERROR(VLOOKUP(C861,소속부서!$A$2:$B$20,2,FALSE), "")</f>
        <v/>
      </c>
      <c r="L861" s="36" t="str">
        <f>IFERROR(VLOOKUP(I861,보도매체!$A:$C,2,FALSE), "")</f>
        <v/>
      </c>
      <c r="M861" s="38" t="str">
        <f>IFERROR(VLOOKUP(I861,보도매체!$A:$C,3,FALSE), "")</f>
        <v/>
      </c>
    </row>
    <row r="862" spans="3:13" x14ac:dyDescent="0.3">
      <c r="C862" s="35">
        <f t="shared" si="14"/>
        <v>0</v>
      </c>
      <c r="D862" s="30" t="str">
        <f>IFERROR(VLOOKUP(C862,소속부서!$A$2:$B$20,2,FALSE), "")</f>
        <v/>
      </c>
      <c r="L862" s="36" t="str">
        <f>IFERROR(VLOOKUP(I862,보도매체!$A:$C,2,FALSE), "")</f>
        <v/>
      </c>
      <c r="M862" s="38" t="str">
        <f>IFERROR(VLOOKUP(I862,보도매체!$A:$C,3,FALSE), "")</f>
        <v/>
      </c>
    </row>
    <row r="863" spans="3:13" x14ac:dyDescent="0.3">
      <c r="C863" s="35">
        <f t="shared" si="14"/>
        <v>0</v>
      </c>
      <c r="D863" s="30" t="str">
        <f>IFERROR(VLOOKUP(C863,소속부서!$A$2:$B$20,2,FALSE), "")</f>
        <v/>
      </c>
      <c r="L863" s="36" t="str">
        <f>IFERROR(VLOOKUP(I863,보도매체!$A:$C,2,FALSE), "")</f>
        <v/>
      </c>
      <c r="M863" s="38" t="str">
        <f>IFERROR(VLOOKUP(I863,보도매체!$A:$C,3,FALSE), "")</f>
        <v/>
      </c>
    </row>
    <row r="864" spans="3:13" x14ac:dyDescent="0.3">
      <c r="C864" s="35">
        <f t="shared" si="14"/>
        <v>0</v>
      </c>
      <c r="D864" s="30" t="str">
        <f>IFERROR(VLOOKUP(C864,소속부서!$A$2:$B$20,2,FALSE), "")</f>
        <v/>
      </c>
      <c r="L864" s="36" t="str">
        <f>IFERROR(VLOOKUP(I864,보도매체!$A:$C,2,FALSE), "")</f>
        <v/>
      </c>
      <c r="M864" s="38" t="str">
        <f>IFERROR(VLOOKUP(I864,보도매체!$A:$C,3,FALSE), "")</f>
        <v/>
      </c>
    </row>
    <row r="865" spans="3:13" x14ac:dyDescent="0.3">
      <c r="C865" s="35">
        <f t="shared" si="14"/>
        <v>0</v>
      </c>
      <c r="D865" s="30" t="str">
        <f>IFERROR(VLOOKUP(C865,소속부서!$A$2:$B$20,2,FALSE), "")</f>
        <v/>
      </c>
      <c r="L865" s="36" t="str">
        <f>IFERROR(VLOOKUP(I865,보도매체!$A:$C,2,FALSE), "")</f>
        <v/>
      </c>
      <c r="M865" s="38" t="str">
        <f>IFERROR(VLOOKUP(I865,보도매체!$A:$C,3,FALSE), "")</f>
        <v/>
      </c>
    </row>
    <row r="866" spans="3:13" x14ac:dyDescent="0.3">
      <c r="C866" s="35">
        <f t="shared" si="14"/>
        <v>0</v>
      </c>
      <c r="D866" s="30" t="str">
        <f>IFERROR(VLOOKUP(C866,소속부서!$A$2:$B$20,2,FALSE), "")</f>
        <v/>
      </c>
      <c r="L866" s="36" t="str">
        <f>IFERROR(VLOOKUP(I866,보도매체!$A:$C,2,FALSE), "")</f>
        <v/>
      </c>
      <c r="M866" s="38" t="str">
        <f>IFERROR(VLOOKUP(I866,보도매체!$A:$C,3,FALSE), "")</f>
        <v/>
      </c>
    </row>
    <row r="867" spans="3:13" x14ac:dyDescent="0.3">
      <c r="C867" s="35">
        <f t="shared" si="14"/>
        <v>0</v>
      </c>
      <c r="D867" s="30" t="str">
        <f>IFERROR(VLOOKUP(C867,소속부서!$A$2:$B$20,2,FALSE), "")</f>
        <v/>
      </c>
      <c r="L867" s="36" t="str">
        <f>IFERROR(VLOOKUP(I867,보도매체!$A:$C,2,FALSE), "")</f>
        <v/>
      </c>
      <c r="M867" s="38" t="str">
        <f>IFERROR(VLOOKUP(I867,보도매체!$A:$C,3,FALSE), "")</f>
        <v/>
      </c>
    </row>
    <row r="868" spans="3:13" x14ac:dyDescent="0.3">
      <c r="C868" s="35">
        <f t="shared" si="14"/>
        <v>0</v>
      </c>
      <c r="D868" s="30" t="str">
        <f>IFERROR(VLOOKUP(C868,소속부서!$A$2:$B$20,2,FALSE), "")</f>
        <v/>
      </c>
      <c r="L868" s="36" t="str">
        <f>IFERROR(VLOOKUP(I868,보도매체!$A:$C,2,FALSE), "")</f>
        <v/>
      </c>
      <c r="M868" s="38" t="str">
        <f>IFERROR(VLOOKUP(I868,보도매체!$A:$C,3,FALSE), "")</f>
        <v/>
      </c>
    </row>
    <row r="869" spans="3:13" x14ac:dyDescent="0.3">
      <c r="C869" s="35">
        <f t="shared" si="14"/>
        <v>0</v>
      </c>
      <c r="D869" s="30" t="str">
        <f>IFERROR(VLOOKUP(C869,소속부서!$A$2:$B$20,2,FALSE), "")</f>
        <v/>
      </c>
      <c r="L869" s="36" t="str">
        <f>IFERROR(VLOOKUP(I869,보도매체!$A:$C,2,FALSE), "")</f>
        <v/>
      </c>
      <c r="M869" s="38" t="str">
        <f>IFERROR(VLOOKUP(I869,보도매체!$A:$C,3,FALSE), "")</f>
        <v/>
      </c>
    </row>
    <row r="870" spans="3:13" x14ac:dyDescent="0.3">
      <c r="C870" s="35">
        <f t="shared" si="14"/>
        <v>0</v>
      </c>
      <c r="D870" s="30" t="str">
        <f>IFERROR(VLOOKUP(C870,소속부서!$A$2:$B$20,2,FALSE), "")</f>
        <v/>
      </c>
      <c r="L870" s="36" t="str">
        <f>IFERROR(VLOOKUP(I870,보도매체!$A:$C,2,FALSE), "")</f>
        <v/>
      </c>
      <c r="M870" s="38" t="str">
        <f>IFERROR(VLOOKUP(I870,보도매체!$A:$C,3,FALSE), "")</f>
        <v/>
      </c>
    </row>
    <row r="871" spans="3:13" x14ac:dyDescent="0.3">
      <c r="C871" s="35">
        <f t="shared" si="14"/>
        <v>0</v>
      </c>
      <c r="D871" s="30" t="str">
        <f>IFERROR(VLOOKUP(C871,소속부서!$A$2:$B$20,2,FALSE), "")</f>
        <v/>
      </c>
      <c r="L871" s="36" t="str">
        <f>IFERROR(VLOOKUP(I871,보도매체!$A:$C,2,FALSE), "")</f>
        <v/>
      </c>
      <c r="M871" s="38" t="str">
        <f>IFERROR(VLOOKUP(I871,보도매체!$A:$C,3,FALSE), "")</f>
        <v/>
      </c>
    </row>
    <row r="872" spans="3:13" x14ac:dyDescent="0.3">
      <c r="C872" s="35">
        <f t="shared" si="14"/>
        <v>0</v>
      </c>
      <c r="D872" s="30" t="str">
        <f>IFERROR(VLOOKUP(C872,소속부서!$A$2:$B$20,2,FALSE), "")</f>
        <v/>
      </c>
      <c r="L872" s="36" t="str">
        <f>IFERROR(VLOOKUP(I872,보도매체!$A:$C,2,FALSE), "")</f>
        <v/>
      </c>
      <c r="M872" s="38" t="str">
        <f>IFERROR(VLOOKUP(I872,보도매체!$A:$C,3,FALSE), "")</f>
        <v/>
      </c>
    </row>
    <row r="873" spans="3:13" x14ac:dyDescent="0.3">
      <c r="C873" s="35">
        <f t="shared" si="14"/>
        <v>0</v>
      </c>
      <c r="D873" s="30" t="str">
        <f>IFERROR(VLOOKUP(C873,소속부서!$A$2:$B$20,2,FALSE), "")</f>
        <v/>
      </c>
      <c r="L873" s="36" t="str">
        <f>IFERROR(VLOOKUP(I873,보도매체!$A:$C,2,FALSE), "")</f>
        <v/>
      </c>
      <c r="M873" s="38" t="str">
        <f>IFERROR(VLOOKUP(I873,보도매체!$A:$C,3,FALSE), "")</f>
        <v/>
      </c>
    </row>
    <row r="874" spans="3:13" x14ac:dyDescent="0.3">
      <c r="C874" s="35">
        <f t="shared" si="14"/>
        <v>0</v>
      </c>
      <c r="D874" s="30" t="str">
        <f>IFERROR(VLOOKUP(C874,소속부서!$A$2:$B$20,2,FALSE), "")</f>
        <v/>
      </c>
      <c r="L874" s="36" t="str">
        <f>IFERROR(VLOOKUP(I874,보도매체!$A:$C,2,FALSE), "")</f>
        <v/>
      </c>
      <c r="M874" s="38" t="str">
        <f>IFERROR(VLOOKUP(I874,보도매체!$A:$C,3,FALSE), "")</f>
        <v/>
      </c>
    </row>
    <row r="875" spans="3:13" x14ac:dyDescent="0.3">
      <c r="C875" s="35">
        <f t="shared" si="14"/>
        <v>0</v>
      </c>
      <c r="D875" s="30" t="str">
        <f>IFERROR(VLOOKUP(C875,소속부서!$A$2:$B$20,2,FALSE), "")</f>
        <v/>
      </c>
      <c r="L875" s="36" t="str">
        <f>IFERROR(VLOOKUP(I875,보도매체!$A:$C,2,FALSE), "")</f>
        <v/>
      </c>
      <c r="M875" s="38" t="str">
        <f>IFERROR(VLOOKUP(I875,보도매체!$A:$C,3,FALSE), "")</f>
        <v/>
      </c>
    </row>
    <row r="876" spans="3:13" x14ac:dyDescent="0.3">
      <c r="C876" s="35">
        <f t="shared" si="14"/>
        <v>0</v>
      </c>
      <c r="D876" s="30" t="str">
        <f>IFERROR(VLOOKUP(C876,소속부서!$A$2:$B$20,2,FALSE), "")</f>
        <v/>
      </c>
      <c r="L876" s="36" t="str">
        <f>IFERROR(VLOOKUP(I876,보도매체!$A:$C,2,FALSE), "")</f>
        <v/>
      </c>
      <c r="M876" s="38" t="str">
        <f>IFERROR(VLOOKUP(I876,보도매체!$A:$C,3,FALSE), "")</f>
        <v/>
      </c>
    </row>
    <row r="877" spans="3:13" x14ac:dyDescent="0.3">
      <c r="C877" s="35">
        <f t="shared" si="14"/>
        <v>0</v>
      </c>
      <c r="D877" s="30" t="str">
        <f>IFERROR(VLOOKUP(C877,소속부서!$A$2:$B$20,2,FALSE), "")</f>
        <v/>
      </c>
      <c r="L877" s="36" t="str">
        <f>IFERROR(VLOOKUP(I877,보도매체!$A:$C,2,FALSE), "")</f>
        <v/>
      </c>
      <c r="M877" s="38" t="str">
        <f>IFERROR(VLOOKUP(I877,보도매체!$A:$C,3,FALSE), "")</f>
        <v/>
      </c>
    </row>
    <row r="878" spans="3:13" x14ac:dyDescent="0.3">
      <c r="C878" s="35">
        <f t="shared" si="14"/>
        <v>0</v>
      </c>
      <c r="D878" s="30" t="str">
        <f>IFERROR(VLOOKUP(C878,소속부서!$A$2:$B$20,2,FALSE), "")</f>
        <v/>
      </c>
      <c r="L878" s="36" t="str">
        <f>IFERROR(VLOOKUP(I878,보도매체!$A:$C,2,FALSE), "")</f>
        <v/>
      </c>
      <c r="M878" s="38" t="str">
        <f>IFERROR(VLOOKUP(I878,보도매체!$A:$C,3,FALSE), "")</f>
        <v/>
      </c>
    </row>
    <row r="879" spans="3:13" x14ac:dyDescent="0.3">
      <c r="C879" s="35">
        <f t="shared" si="14"/>
        <v>0</v>
      </c>
      <c r="D879" s="30" t="str">
        <f>IFERROR(VLOOKUP(C879,소속부서!$A$2:$B$20,2,FALSE), "")</f>
        <v/>
      </c>
      <c r="L879" s="36" t="str">
        <f>IFERROR(VLOOKUP(I879,보도매체!$A:$C,2,FALSE), "")</f>
        <v/>
      </c>
      <c r="M879" s="38" t="str">
        <f>IFERROR(VLOOKUP(I879,보도매체!$A:$C,3,FALSE), "")</f>
        <v/>
      </c>
    </row>
    <row r="880" spans="3:13" x14ac:dyDescent="0.3">
      <c r="C880" s="35">
        <f t="shared" si="14"/>
        <v>0</v>
      </c>
      <c r="D880" s="30" t="str">
        <f>IFERROR(VLOOKUP(C880,소속부서!$A$2:$B$20,2,FALSE), "")</f>
        <v/>
      </c>
      <c r="L880" s="36" t="str">
        <f>IFERROR(VLOOKUP(I880,보도매체!$A:$C,2,FALSE), "")</f>
        <v/>
      </c>
      <c r="M880" s="38" t="str">
        <f>IFERROR(VLOOKUP(I880,보도매체!$A:$C,3,FALSE), "")</f>
        <v/>
      </c>
    </row>
    <row r="881" spans="3:13" x14ac:dyDescent="0.3">
      <c r="C881" s="35">
        <f t="shared" si="14"/>
        <v>0</v>
      </c>
      <c r="D881" s="30" t="str">
        <f>IFERROR(VLOOKUP(C881,소속부서!$A$2:$B$20,2,FALSE), "")</f>
        <v/>
      </c>
      <c r="L881" s="36" t="str">
        <f>IFERROR(VLOOKUP(I881,보도매체!$A:$C,2,FALSE), "")</f>
        <v/>
      </c>
      <c r="M881" s="38" t="str">
        <f>IFERROR(VLOOKUP(I881,보도매체!$A:$C,3,FALSE), "")</f>
        <v/>
      </c>
    </row>
    <row r="882" spans="3:13" x14ac:dyDescent="0.3">
      <c r="C882" s="35">
        <f t="shared" si="14"/>
        <v>0</v>
      </c>
      <c r="D882" s="30" t="str">
        <f>IFERROR(VLOOKUP(C882,소속부서!$A$2:$B$20,2,FALSE), "")</f>
        <v/>
      </c>
      <c r="L882" s="36" t="str">
        <f>IFERROR(VLOOKUP(I882,보도매체!$A:$C,2,FALSE), "")</f>
        <v/>
      </c>
      <c r="M882" s="38" t="str">
        <f>IFERROR(VLOOKUP(I882,보도매체!$A:$C,3,FALSE), "")</f>
        <v/>
      </c>
    </row>
    <row r="883" spans="3:13" x14ac:dyDescent="0.3">
      <c r="C883" s="35">
        <f t="shared" si="14"/>
        <v>0</v>
      </c>
      <c r="D883" s="30" t="str">
        <f>IFERROR(VLOOKUP(C883,소속부서!$A$2:$B$20,2,FALSE), "")</f>
        <v/>
      </c>
      <c r="L883" s="36" t="str">
        <f>IFERROR(VLOOKUP(I883,보도매체!$A:$C,2,FALSE), "")</f>
        <v/>
      </c>
      <c r="M883" s="38" t="str">
        <f>IFERROR(VLOOKUP(I883,보도매체!$A:$C,3,FALSE), "")</f>
        <v/>
      </c>
    </row>
    <row r="884" spans="3:13" x14ac:dyDescent="0.3">
      <c r="C884" s="35">
        <f t="shared" si="14"/>
        <v>0</v>
      </c>
      <c r="D884" s="30" t="str">
        <f>IFERROR(VLOOKUP(C884,소속부서!$A$2:$B$20,2,FALSE), "")</f>
        <v/>
      </c>
      <c r="L884" s="36" t="str">
        <f>IFERROR(VLOOKUP(I884,보도매체!$A:$C,2,FALSE), "")</f>
        <v/>
      </c>
      <c r="M884" s="38" t="str">
        <f>IFERROR(VLOOKUP(I884,보도매체!$A:$C,3,FALSE), "")</f>
        <v/>
      </c>
    </row>
    <row r="885" spans="3:13" x14ac:dyDescent="0.3">
      <c r="C885" s="35">
        <f t="shared" si="14"/>
        <v>0</v>
      </c>
      <c r="D885" s="30" t="str">
        <f>IFERROR(VLOOKUP(C885,소속부서!$A$2:$B$20,2,FALSE), "")</f>
        <v/>
      </c>
      <c r="L885" s="36" t="str">
        <f>IFERROR(VLOOKUP(I885,보도매체!$A:$C,2,FALSE), "")</f>
        <v/>
      </c>
      <c r="M885" s="38" t="str">
        <f>IFERROR(VLOOKUP(I885,보도매체!$A:$C,3,FALSE), "")</f>
        <v/>
      </c>
    </row>
    <row r="886" spans="3:13" x14ac:dyDescent="0.3">
      <c r="C886" s="35">
        <f t="shared" si="14"/>
        <v>0</v>
      </c>
      <c r="D886" s="30" t="str">
        <f>IFERROR(VLOOKUP(C886,소속부서!$A$2:$B$20,2,FALSE), "")</f>
        <v/>
      </c>
      <c r="L886" s="36" t="str">
        <f>IFERROR(VLOOKUP(I886,보도매체!$A:$C,2,FALSE), "")</f>
        <v/>
      </c>
      <c r="M886" s="38" t="str">
        <f>IFERROR(VLOOKUP(I886,보도매체!$A:$C,3,FALSE), "")</f>
        <v/>
      </c>
    </row>
    <row r="887" spans="3:13" x14ac:dyDescent="0.3">
      <c r="C887" s="35">
        <f t="shared" si="14"/>
        <v>0</v>
      </c>
      <c r="D887" s="30" t="str">
        <f>IFERROR(VLOOKUP(C887,소속부서!$A$2:$B$20,2,FALSE), "")</f>
        <v/>
      </c>
      <c r="L887" s="36" t="str">
        <f>IFERROR(VLOOKUP(I887,보도매체!$A:$C,2,FALSE), "")</f>
        <v/>
      </c>
      <c r="M887" s="38" t="str">
        <f>IFERROR(VLOOKUP(I887,보도매체!$A:$C,3,FALSE), "")</f>
        <v/>
      </c>
    </row>
    <row r="888" spans="3:13" x14ac:dyDescent="0.3">
      <c r="C888" s="35">
        <f t="shared" si="14"/>
        <v>0</v>
      </c>
      <c r="D888" s="30" t="str">
        <f>IFERROR(VLOOKUP(C888,소속부서!$A$2:$B$20,2,FALSE), "")</f>
        <v/>
      </c>
      <c r="L888" s="36" t="str">
        <f>IFERROR(VLOOKUP(I888,보도매체!$A:$C,2,FALSE), "")</f>
        <v/>
      </c>
      <c r="M888" s="38" t="str">
        <f>IFERROR(VLOOKUP(I888,보도매체!$A:$C,3,FALSE), "")</f>
        <v/>
      </c>
    </row>
    <row r="889" spans="3:13" x14ac:dyDescent="0.3">
      <c r="C889" s="35">
        <f t="shared" si="14"/>
        <v>0</v>
      </c>
      <c r="D889" s="30" t="str">
        <f>IFERROR(VLOOKUP(C889,소속부서!$A$2:$B$20,2,FALSE), "")</f>
        <v/>
      </c>
      <c r="L889" s="36" t="str">
        <f>IFERROR(VLOOKUP(I889,보도매체!$A:$C,2,FALSE), "")</f>
        <v/>
      </c>
      <c r="M889" s="38" t="str">
        <f>IFERROR(VLOOKUP(I889,보도매체!$A:$C,3,FALSE), "")</f>
        <v/>
      </c>
    </row>
    <row r="890" spans="3:13" x14ac:dyDescent="0.3">
      <c r="C890" s="35">
        <f t="shared" si="14"/>
        <v>0</v>
      </c>
      <c r="D890" s="30" t="str">
        <f>IFERROR(VLOOKUP(C890,소속부서!$A$2:$B$20,2,FALSE), "")</f>
        <v/>
      </c>
      <c r="L890" s="36" t="str">
        <f>IFERROR(VLOOKUP(I890,보도매체!$A:$C,2,FALSE), "")</f>
        <v/>
      </c>
      <c r="M890" s="38" t="str">
        <f>IFERROR(VLOOKUP(I890,보도매체!$A:$C,3,FALSE), "")</f>
        <v/>
      </c>
    </row>
    <row r="891" spans="3:13" x14ac:dyDescent="0.3">
      <c r="C891" s="35">
        <f t="shared" si="14"/>
        <v>0</v>
      </c>
      <c r="D891" s="30" t="str">
        <f>IFERROR(VLOOKUP(C891,소속부서!$A$2:$B$20,2,FALSE), "")</f>
        <v/>
      </c>
      <c r="L891" s="36" t="str">
        <f>IFERROR(VLOOKUP(I891,보도매체!$A:$C,2,FALSE), "")</f>
        <v/>
      </c>
      <c r="M891" s="38" t="str">
        <f>IFERROR(VLOOKUP(I891,보도매체!$A:$C,3,FALSE), "")</f>
        <v/>
      </c>
    </row>
    <row r="892" spans="3:13" x14ac:dyDescent="0.3">
      <c r="C892" s="35">
        <f t="shared" si="14"/>
        <v>0</v>
      </c>
      <c r="D892" s="30" t="str">
        <f>IFERROR(VLOOKUP(C892,소속부서!$A$2:$B$20,2,FALSE), "")</f>
        <v/>
      </c>
      <c r="L892" s="36" t="str">
        <f>IFERROR(VLOOKUP(I892,보도매체!$A:$C,2,FALSE), "")</f>
        <v/>
      </c>
      <c r="M892" s="38" t="str">
        <f>IFERROR(VLOOKUP(I892,보도매체!$A:$C,3,FALSE), "")</f>
        <v/>
      </c>
    </row>
    <row r="893" spans="3:13" x14ac:dyDescent="0.3">
      <c r="C893" s="35">
        <f t="shared" si="14"/>
        <v>0</v>
      </c>
      <c r="D893" s="30" t="str">
        <f>IFERROR(VLOOKUP(C893,소속부서!$A$2:$B$20,2,FALSE), "")</f>
        <v/>
      </c>
      <c r="L893" s="36" t="str">
        <f>IFERROR(VLOOKUP(I893,보도매체!$A:$C,2,FALSE), "")</f>
        <v/>
      </c>
      <c r="M893" s="38" t="str">
        <f>IFERROR(VLOOKUP(I893,보도매체!$A:$C,3,FALSE), "")</f>
        <v/>
      </c>
    </row>
    <row r="894" spans="3:13" x14ac:dyDescent="0.3">
      <c r="C894" s="35">
        <f t="shared" si="14"/>
        <v>0</v>
      </c>
      <c r="D894" s="30" t="str">
        <f>IFERROR(VLOOKUP(C894,소속부서!$A$2:$B$20,2,FALSE), "")</f>
        <v/>
      </c>
      <c r="L894" s="36" t="str">
        <f>IFERROR(VLOOKUP(I894,보도매체!$A:$C,2,FALSE), "")</f>
        <v/>
      </c>
      <c r="M894" s="38" t="str">
        <f>IFERROR(VLOOKUP(I894,보도매체!$A:$C,3,FALSE), "")</f>
        <v/>
      </c>
    </row>
    <row r="895" spans="3:13" x14ac:dyDescent="0.3">
      <c r="C895" s="35">
        <f t="shared" si="14"/>
        <v>0</v>
      </c>
      <c r="D895" s="30" t="str">
        <f>IFERROR(VLOOKUP(C895,소속부서!$A$2:$B$20,2,FALSE), "")</f>
        <v/>
      </c>
      <c r="L895" s="36" t="str">
        <f>IFERROR(VLOOKUP(I895,보도매체!$A:$C,2,FALSE), "")</f>
        <v/>
      </c>
      <c r="M895" s="38" t="str">
        <f>IFERROR(VLOOKUP(I895,보도매체!$A:$C,3,FALSE), "")</f>
        <v/>
      </c>
    </row>
    <row r="896" spans="3:13" x14ac:dyDescent="0.3">
      <c r="C896" s="35">
        <f t="shared" si="14"/>
        <v>0</v>
      </c>
      <c r="D896" s="30" t="str">
        <f>IFERROR(VLOOKUP(C896,소속부서!$A$2:$B$20,2,FALSE), "")</f>
        <v/>
      </c>
      <c r="L896" s="36" t="str">
        <f>IFERROR(VLOOKUP(I896,보도매체!$A:$C,2,FALSE), "")</f>
        <v/>
      </c>
      <c r="M896" s="38" t="str">
        <f>IFERROR(VLOOKUP(I896,보도매체!$A:$C,3,FALSE), "")</f>
        <v/>
      </c>
    </row>
    <row r="897" spans="3:13" x14ac:dyDescent="0.3">
      <c r="C897" s="35">
        <f t="shared" si="14"/>
        <v>0</v>
      </c>
      <c r="D897" s="30" t="str">
        <f>IFERROR(VLOOKUP(C897,소속부서!$A$2:$B$20,2,FALSE), "")</f>
        <v/>
      </c>
      <c r="L897" s="36" t="str">
        <f>IFERROR(VLOOKUP(I897,보도매체!$A:$C,2,FALSE), "")</f>
        <v/>
      </c>
      <c r="M897" s="38" t="str">
        <f>IFERROR(VLOOKUP(I897,보도매체!$A:$C,3,FALSE), "")</f>
        <v/>
      </c>
    </row>
    <row r="898" spans="3:13" x14ac:dyDescent="0.3">
      <c r="C898" s="35">
        <f t="shared" si="14"/>
        <v>0</v>
      </c>
      <c r="D898" s="30" t="str">
        <f>IFERROR(VLOOKUP(C898,소속부서!$A$2:$B$20,2,FALSE), "")</f>
        <v/>
      </c>
      <c r="L898" s="36" t="str">
        <f>IFERROR(VLOOKUP(I898,보도매체!$A:$C,2,FALSE), "")</f>
        <v/>
      </c>
      <c r="M898" s="38" t="str">
        <f>IFERROR(VLOOKUP(I898,보도매체!$A:$C,3,FALSE), "")</f>
        <v/>
      </c>
    </row>
    <row r="899" spans="3:13" x14ac:dyDescent="0.3">
      <c r="C899" s="35">
        <f t="shared" si="14"/>
        <v>0</v>
      </c>
      <c r="D899" s="30" t="str">
        <f>IFERROR(VLOOKUP(C899,소속부서!$A$2:$B$20,2,FALSE), "")</f>
        <v/>
      </c>
      <c r="L899" s="36" t="str">
        <f>IFERROR(VLOOKUP(I899,보도매체!$A:$C,2,FALSE), "")</f>
        <v/>
      </c>
      <c r="M899" s="38" t="str">
        <f>IFERROR(VLOOKUP(I899,보도매체!$A:$C,3,FALSE), "")</f>
        <v/>
      </c>
    </row>
    <row r="900" spans="3:13" x14ac:dyDescent="0.3">
      <c r="C900" s="35">
        <f t="shared" ref="C900:C963" si="15">E900</f>
        <v>0</v>
      </c>
      <c r="D900" s="30" t="str">
        <f>IFERROR(VLOOKUP(C900,소속부서!$A$2:$B$20,2,FALSE), "")</f>
        <v/>
      </c>
      <c r="L900" s="36" t="str">
        <f>IFERROR(VLOOKUP(I900,보도매체!$A:$C,2,FALSE), "")</f>
        <v/>
      </c>
      <c r="M900" s="38" t="str">
        <f>IFERROR(VLOOKUP(I900,보도매체!$A:$C,3,FALSE), "")</f>
        <v/>
      </c>
    </row>
    <row r="901" spans="3:13" x14ac:dyDescent="0.3">
      <c r="C901" s="35">
        <f t="shared" si="15"/>
        <v>0</v>
      </c>
      <c r="D901" s="30" t="str">
        <f>IFERROR(VLOOKUP(C901,소속부서!$A$2:$B$20,2,FALSE), "")</f>
        <v/>
      </c>
      <c r="L901" s="36" t="str">
        <f>IFERROR(VLOOKUP(I901,보도매체!$A:$C,2,FALSE), "")</f>
        <v/>
      </c>
      <c r="M901" s="38" t="str">
        <f>IFERROR(VLOOKUP(I901,보도매체!$A:$C,3,FALSE), "")</f>
        <v/>
      </c>
    </row>
    <row r="902" spans="3:13" x14ac:dyDescent="0.3">
      <c r="C902" s="35">
        <f t="shared" si="15"/>
        <v>0</v>
      </c>
      <c r="D902" s="30" t="str">
        <f>IFERROR(VLOOKUP(C902,소속부서!$A$2:$B$20,2,FALSE), "")</f>
        <v/>
      </c>
      <c r="L902" s="36" t="str">
        <f>IFERROR(VLOOKUP(I902,보도매체!$A:$C,2,FALSE), "")</f>
        <v/>
      </c>
      <c r="M902" s="38" t="str">
        <f>IFERROR(VLOOKUP(I902,보도매체!$A:$C,3,FALSE), "")</f>
        <v/>
      </c>
    </row>
    <row r="903" spans="3:13" x14ac:dyDescent="0.3">
      <c r="C903" s="35">
        <f t="shared" si="15"/>
        <v>0</v>
      </c>
      <c r="D903" s="30" t="str">
        <f>IFERROR(VLOOKUP(C903,소속부서!$A$2:$B$20,2,FALSE), "")</f>
        <v/>
      </c>
      <c r="L903" s="36" t="str">
        <f>IFERROR(VLOOKUP(I903,보도매체!$A:$C,2,FALSE), "")</f>
        <v/>
      </c>
      <c r="M903" s="38" t="str">
        <f>IFERROR(VLOOKUP(I903,보도매체!$A:$C,3,FALSE), "")</f>
        <v/>
      </c>
    </row>
    <row r="904" spans="3:13" x14ac:dyDescent="0.3">
      <c r="C904" s="35">
        <f t="shared" si="15"/>
        <v>0</v>
      </c>
      <c r="D904" s="30" t="str">
        <f>IFERROR(VLOOKUP(C904,소속부서!$A$2:$B$20,2,FALSE), "")</f>
        <v/>
      </c>
      <c r="L904" s="36" t="str">
        <f>IFERROR(VLOOKUP(I904,보도매체!$A:$C,2,FALSE), "")</f>
        <v/>
      </c>
      <c r="M904" s="38" t="str">
        <f>IFERROR(VLOOKUP(I904,보도매체!$A:$C,3,FALSE), "")</f>
        <v/>
      </c>
    </row>
    <row r="905" spans="3:13" x14ac:dyDescent="0.3">
      <c r="C905" s="35">
        <f t="shared" si="15"/>
        <v>0</v>
      </c>
      <c r="D905" s="30" t="str">
        <f>IFERROR(VLOOKUP(C905,소속부서!$A$2:$B$20,2,FALSE), "")</f>
        <v/>
      </c>
      <c r="L905" s="36" t="str">
        <f>IFERROR(VLOOKUP(I905,보도매체!$A:$C,2,FALSE), "")</f>
        <v/>
      </c>
      <c r="M905" s="38" t="str">
        <f>IFERROR(VLOOKUP(I905,보도매체!$A:$C,3,FALSE), "")</f>
        <v/>
      </c>
    </row>
    <row r="906" spans="3:13" x14ac:dyDescent="0.3">
      <c r="C906" s="35">
        <f t="shared" si="15"/>
        <v>0</v>
      </c>
      <c r="D906" s="30" t="str">
        <f>IFERROR(VLOOKUP(C906,소속부서!$A$2:$B$20,2,FALSE), "")</f>
        <v/>
      </c>
      <c r="L906" s="36" t="str">
        <f>IFERROR(VLOOKUP(I906,보도매체!$A:$C,2,FALSE), "")</f>
        <v/>
      </c>
      <c r="M906" s="38" t="str">
        <f>IFERROR(VLOOKUP(I906,보도매체!$A:$C,3,FALSE), "")</f>
        <v/>
      </c>
    </row>
    <row r="907" spans="3:13" x14ac:dyDescent="0.3">
      <c r="C907" s="35">
        <f t="shared" si="15"/>
        <v>0</v>
      </c>
      <c r="D907" s="30" t="str">
        <f>IFERROR(VLOOKUP(C907,소속부서!$A$2:$B$20,2,FALSE), "")</f>
        <v/>
      </c>
      <c r="L907" s="36" t="str">
        <f>IFERROR(VLOOKUP(I907,보도매체!$A:$C,2,FALSE), "")</f>
        <v/>
      </c>
      <c r="M907" s="38" t="str">
        <f>IFERROR(VLOOKUP(I907,보도매체!$A:$C,3,FALSE), "")</f>
        <v/>
      </c>
    </row>
    <row r="908" spans="3:13" x14ac:dyDescent="0.3">
      <c r="C908" s="35">
        <f t="shared" si="15"/>
        <v>0</v>
      </c>
      <c r="D908" s="30" t="str">
        <f>IFERROR(VLOOKUP(C908,소속부서!$A$2:$B$20,2,FALSE), "")</f>
        <v/>
      </c>
      <c r="L908" s="36" t="str">
        <f>IFERROR(VLOOKUP(I908,보도매체!$A:$C,2,FALSE), "")</f>
        <v/>
      </c>
      <c r="M908" s="38" t="str">
        <f>IFERROR(VLOOKUP(I908,보도매체!$A:$C,3,FALSE), "")</f>
        <v/>
      </c>
    </row>
    <row r="909" spans="3:13" x14ac:dyDescent="0.3">
      <c r="C909" s="35">
        <f t="shared" si="15"/>
        <v>0</v>
      </c>
      <c r="D909" s="30" t="str">
        <f>IFERROR(VLOOKUP(C909,소속부서!$A$2:$B$20,2,FALSE), "")</f>
        <v/>
      </c>
      <c r="L909" s="36" t="str">
        <f>IFERROR(VLOOKUP(I909,보도매체!$A:$C,2,FALSE), "")</f>
        <v/>
      </c>
      <c r="M909" s="38" t="str">
        <f>IFERROR(VLOOKUP(I909,보도매체!$A:$C,3,FALSE), "")</f>
        <v/>
      </c>
    </row>
    <row r="910" spans="3:13" x14ac:dyDescent="0.3">
      <c r="C910" s="35">
        <f t="shared" si="15"/>
        <v>0</v>
      </c>
      <c r="D910" s="30" t="str">
        <f>IFERROR(VLOOKUP(C910,소속부서!$A$2:$B$20,2,FALSE), "")</f>
        <v/>
      </c>
      <c r="L910" s="36" t="str">
        <f>IFERROR(VLOOKUP(I910,보도매체!$A:$C,2,FALSE), "")</f>
        <v/>
      </c>
      <c r="M910" s="38" t="str">
        <f>IFERROR(VLOOKUP(I910,보도매체!$A:$C,3,FALSE), "")</f>
        <v/>
      </c>
    </row>
    <row r="911" spans="3:13" x14ac:dyDescent="0.3">
      <c r="C911" s="35">
        <f t="shared" si="15"/>
        <v>0</v>
      </c>
      <c r="D911" s="30" t="str">
        <f>IFERROR(VLOOKUP(C911,소속부서!$A$2:$B$20,2,FALSE), "")</f>
        <v/>
      </c>
      <c r="L911" s="36" t="str">
        <f>IFERROR(VLOOKUP(I911,보도매체!$A:$C,2,FALSE), "")</f>
        <v/>
      </c>
      <c r="M911" s="38" t="str">
        <f>IFERROR(VLOOKUP(I911,보도매체!$A:$C,3,FALSE), "")</f>
        <v/>
      </c>
    </row>
    <row r="912" spans="3:13" x14ac:dyDescent="0.3">
      <c r="C912" s="35">
        <f t="shared" si="15"/>
        <v>0</v>
      </c>
      <c r="D912" s="30" t="str">
        <f>IFERROR(VLOOKUP(C912,소속부서!$A$2:$B$20,2,FALSE), "")</f>
        <v/>
      </c>
      <c r="L912" s="36" t="str">
        <f>IFERROR(VLOOKUP(I912,보도매체!$A:$C,2,FALSE), "")</f>
        <v/>
      </c>
      <c r="M912" s="38" t="str">
        <f>IFERROR(VLOOKUP(I912,보도매체!$A:$C,3,FALSE), "")</f>
        <v/>
      </c>
    </row>
    <row r="913" spans="3:13" x14ac:dyDescent="0.3">
      <c r="C913" s="35">
        <f t="shared" si="15"/>
        <v>0</v>
      </c>
      <c r="D913" s="30" t="str">
        <f>IFERROR(VLOOKUP(C913,소속부서!$A$2:$B$20,2,FALSE), "")</f>
        <v/>
      </c>
      <c r="L913" s="36" t="str">
        <f>IFERROR(VLOOKUP(I913,보도매체!$A:$C,2,FALSE), "")</f>
        <v/>
      </c>
      <c r="M913" s="38" t="str">
        <f>IFERROR(VLOOKUP(I913,보도매체!$A:$C,3,FALSE), "")</f>
        <v/>
      </c>
    </row>
    <row r="914" spans="3:13" x14ac:dyDescent="0.3">
      <c r="C914" s="35">
        <f t="shared" si="15"/>
        <v>0</v>
      </c>
      <c r="D914" s="30" t="str">
        <f>IFERROR(VLOOKUP(C914,소속부서!$A$2:$B$20,2,FALSE), "")</f>
        <v/>
      </c>
      <c r="L914" s="36" t="str">
        <f>IFERROR(VLOOKUP(I914,보도매체!$A:$C,2,FALSE), "")</f>
        <v/>
      </c>
      <c r="M914" s="38" t="str">
        <f>IFERROR(VLOOKUP(I914,보도매체!$A:$C,3,FALSE), "")</f>
        <v/>
      </c>
    </row>
    <row r="915" spans="3:13" x14ac:dyDescent="0.3">
      <c r="C915" s="35">
        <f t="shared" si="15"/>
        <v>0</v>
      </c>
      <c r="D915" s="30" t="str">
        <f>IFERROR(VLOOKUP(C915,소속부서!$A$2:$B$20,2,FALSE), "")</f>
        <v/>
      </c>
      <c r="L915" s="36" t="str">
        <f>IFERROR(VLOOKUP(I915,보도매체!$A:$C,2,FALSE), "")</f>
        <v/>
      </c>
      <c r="M915" s="38" t="str">
        <f>IFERROR(VLOOKUP(I915,보도매체!$A:$C,3,FALSE), "")</f>
        <v/>
      </c>
    </row>
    <row r="916" spans="3:13" x14ac:dyDescent="0.3">
      <c r="C916" s="35">
        <f t="shared" si="15"/>
        <v>0</v>
      </c>
      <c r="D916" s="30" t="str">
        <f>IFERROR(VLOOKUP(C916,소속부서!$A$2:$B$20,2,FALSE), "")</f>
        <v/>
      </c>
      <c r="L916" s="36" t="str">
        <f>IFERROR(VLOOKUP(I916,보도매체!$A:$C,2,FALSE), "")</f>
        <v/>
      </c>
      <c r="M916" s="38" t="str">
        <f>IFERROR(VLOOKUP(I916,보도매체!$A:$C,3,FALSE), "")</f>
        <v/>
      </c>
    </row>
    <row r="917" spans="3:13" x14ac:dyDescent="0.3">
      <c r="C917" s="35">
        <f t="shared" si="15"/>
        <v>0</v>
      </c>
      <c r="D917" s="30" t="str">
        <f>IFERROR(VLOOKUP(C917,소속부서!$A$2:$B$20,2,FALSE), "")</f>
        <v/>
      </c>
      <c r="L917" s="36" t="str">
        <f>IFERROR(VLOOKUP(I917,보도매체!$A:$C,2,FALSE), "")</f>
        <v/>
      </c>
      <c r="M917" s="38" t="str">
        <f>IFERROR(VLOOKUP(I917,보도매체!$A:$C,3,FALSE), "")</f>
        <v/>
      </c>
    </row>
    <row r="918" spans="3:13" x14ac:dyDescent="0.3">
      <c r="C918" s="35">
        <f t="shared" si="15"/>
        <v>0</v>
      </c>
      <c r="D918" s="30" t="str">
        <f>IFERROR(VLOOKUP(C918,소속부서!$A$2:$B$20,2,FALSE), "")</f>
        <v/>
      </c>
      <c r="L918" s="36" t="str">
        <f>IFERROR(VLOOKUP(I918,보도매체!$A:$C,2,FALSE), "")</f>
        <v/>
      </c>
      <c r="M918" s="38" t="str">
        <f>IFERROR(VLOOKUP(I918,보도매체!$A:$C,3,FALSE), "")</f>
        <v/>
      </c>
    </row>
    <row r="919" spans="3:13" x14ac:dyDescent="0.3">
      <c r="C919" s="35">
        <f t="shared" si="15"/>
        <v>0</v>
      </c>
      <c r="D919" s="30" t="str">
        <f>IFERROR(VLOOKUP(C919,소속부서!$A$2:$B$20,2,FALSE), "")</f>
        <v/>
      </c>
      <c r="L919" s="36" t="str">
        <f>IFERROR(VLOOKUP(I919,보도매체!$A:$C,2,FALSE), "")</f>
        <v/>
      </c>
      <c r="M919" s="38" t="str">
        <f>IFERROR(VLOOKUP(I919,보도매체!$A:$C,3,FALSE), "")</f>
        <v/>
      </c>
    </row>
    <row r="920" spans="3:13" x14ac:dyDescent="0.3">
      <c r="C920" s="35">
        <f t="shared" si="15"/>
        <v>0</v>
      </c>
      <c r="D920" s="30" t="str">
        <f>IFERROR(VLOOKUP(C920,소속부서!$A$2:$B$20,2,FALSE), "")</f>
        <v/>
      </c>
      <c r="L920" s="36" t="str">
        <f>IFERROR(VLOOKUP(I920,보도매체!$A:$C,2,FALSE), "")</f>
        <v/>
      </c>
      <c r="M920" s="38" t="str">
        <f>IFERROR(VLOOKUP(I920,보도매체!$A:$C,3,FALSE), "")</f>
        <v/>
      </c>
    </row>
    <row r="921" spans="3:13" x14ac:dyDescent="0.3">
      <c r="C921" s="35">
        <f t="shared" si="15"/>
        <v>0</v>
      </c>
      <c r="D921" s="30" t="str">
        <f>IFERROR(VLOOKUP(C921,소속부서!$A$2:$B$20,2,FALSE), "")</f>
        <v/>
      </c>
      <c r="L921" s="36" t="str">
        <f>IFERROR(VLOOKUP(I921,보도매체!$A:$C,2,FALSE), "")</f>
        <v/>
      </c>
      <c r="M921" s="38" t="str">
        <f>IFERROR(VLOOKUP(I921,보도매체!$A:$C,3,FALSE), "")</f>
        <v/>
      </c>
    </row>
    <row r="922" spans="3:13" x14ac:dyDescent="0.3">
      <c r="C922" s="35">
        <f t="shared" si="15"/>
        <v>0</v>
      </c>
      <c r="D922" s="30" t="str">
        <f>IFERROR(VLOOKUP(C922,소속부서!$A$2:$B$20,2,FALSE), "")</f>
        <v/>
      </c>
      <c r="L922" s="36" t="str">
        <f>IFERROR(VLOOKUP(I922,보도매체!$A:$C,2,FALSE), "")</f>
        <v/>
      </c>
      <c r="M922" s="38" t="str">
        <f>IFERROR(VLOOKUP(I922,보도매체!$A:$C,3,FALSE), "")</f>
        <v/>
      </c>
    </row>
    <row r="923" spans="3:13" x14ac:dyDescent="0.3">
      <c r="C923" s="35">
        <f t="shared" si="15"/>
        <v>0</v>
      </c>
      <c r="D923" s="30" t="str">
        <f>IFERROR(VLOOKUP(C923,소속부서!$A$2:$B$20,2,FALSE), "")</f>
        <v/>
      </c>
      <c r="L923" s="36" t="str">
        <f>IFERROR(VLOOKUP(I923,보도매체!$A:$C,2,FALSE), "")</f>
        <v/>
      </c>
      <c r="M923" s="38" t="str">
        <f>IFERROR(VLOOKUP(I923,보도매체!$A:$C,3,FALSE), "")</f>
        <v/>
      </c>
    </row>
    <row r="924" spans="3:13" x14ac:dyDescent="0.3">
      <c r="C924" s="35">
        <f t="shared" si="15"/>
        <v>0</v>
      </c>
      <c r="D924" s="30" t="str">
        <f>IFERROR(VLOOKUP(C924,소속부서!$A$2:$B$20,2,FALSE), "")</f>
        <v/>
      </c>
      <c r="L924" s="36" t="str">
        <f>IFERROR(VLOOKUP(I924,보도매체!$A:$C,2,FALSE), "")</f>
        <v/>
      </c>
      <c r="M924" s="38" t="str">
        <f>IFERROR(VLOOKUP(I924,보도매체!$A:$C,3,FALSE), "")</f>
        <v/>
      </c>
    </row>
    <row r="925" spans="3:13" x14ac:dyDescent="0.3">
      <c r="C925" s="35">
        <f t="shared" si="15"/>
        <v>0</v>
      </c>
      <c r="D925" s="30" t="str">
        <f>IFERROR(VLOOKUP(C925,소속부서!$A$2:$B$20,2,FALSE), "")</f>
        <v/>
      </c>
      <c r="L925" s="36" t="str">
        <f>IFERROR(VLOOKUP(I925,보도매체!$A:$C,2,FALSE), "")</f>
        <v/>
      </c>
      <c r="M925" s="38" t="str">
        <f>IFERROR(VLOOKUP(I925,보도매체!$A:$C,3,FALSE), "")</f>
        <v/>
      </c>
    </row>
    <row r="926" spans="3:13" x14ac:dyDescent="0.3">
      <c r="C926" s="35">
        <f t="shared" si="15"/>
        <v>0</v>
      </c>
      <c r="D926" s="30" t="str">
        <f>IFERROR(VLOOKUP(C926,소속부서!$A$2:$B$20,2,FALSE), "")</f>
        <v/>
      </c>
      <c r="L926" s="36" t="str">
        <f>IFERROR(VLOOKUP(I926,보도매체!$A:$C,2,FALSE), "")</f>
        <v/>
      </c>
      <c r="M926" s="38" t="str">
        <f>IFERROR(VLOOKUP(I926,보도매체!$A:$C,3,FALSE), "")</f>
        <v/>
      </c>
    </row>
    <row r="927" spans="3:13" x14ac:dyDescent="0.3">
      <c r="C927" s="35">
        <f t="shared" si="15"/>
        <v>0</v>
      </c>
      <c r="D927" s="30" t="str">
        <f>IFERROR(VLOOKUP(C927,소속부서!$A$2:$B$20,2,FALSE), "")</f>
        <v/>
      </c>
      <c r="L927" s="36" t="str">
        <f>IFERROR(VLOOKUP(I927,보도매체!$A:$C,2,FALSE), "")</f>
        <v/>
      </c>
      <c r="M927" s="38" t="str">
        <f>IFERROR(VLOOKUP(I927,보도매체!$A:$C,3,FALSE), "")</f>
        <v/>
      </c>
    </row>
    <row r="928" spans="3:13" x14ac:dyDescent="0.3">
      <c r="C928" s="35">
        <f t="shared" si="15"/>
        <v>0</v>
      </c>
      <c r="D928" s="30" t="str">
        <f>IFERROR(VLOOKUP(C928,소속부서!$A$2:$B$20,2,FALSE), "")</f>
        <v/>
      </c>
      <c r="L928" s="36" t="str">
        <f>IFERROR(VLOOKUP(I928,보도매체!$A:$C,2,FALSE), "")</f>
        <v/>
      </c>
      <c r="M928" s="38" t="str">
        <f>IFERROR(VLOOKUP(I928,보도매체!$A:$C,3,FALSE), "")</f>
        <v/>
      </c>
    </row>
    <row r="929" spans="3:13" x14ac:dyDescent="0.3">
      <c r="C929" s="35">
        <f t="shared" si="15"/>
        <v>0</v>
      </c>
      <c r="D929" s="30" t="str">
        <f>IFERROR(VLOOKUP(C929,소속부서!$A$2:$B$20,2,FALSE), "")</f>
        <v/>
      </c>
      <c r="L929" s="36" t="str">
        <f>IFERROR(VLOOKUP(I929,보도매체!$A:$C,2,FALSE), "")</f>
        <v/>
      </c>
      <c r="M929" s="38" t="str">
        <f>IFERROR(VLOOKUP(I929,보도매체!$A:$C,3,FALSE), "")</f>
        <v/>
      </c>
    </row>
    <row r="930" spans="3:13" x14ac:dyDescent="0.3">
      <c r="C930" s="35">
        <f t="shared" si="15"/>
        <v>0</v>
      </c>
      <c r="D930" s="30" t="str">
        <f>IFERROR(VLOOKUP(C930,소속부서!$A$2:$B$20,2,FALSE), "")</f>
        <v/>
      </c>
      <c r="L930" s="36" t="str">
        <f>IFERROR(VLOOKUP(I930,보도매체!$A:$C,2,FALSE), "")</f>
        <v/>
      </c>
      <c r="M930" s="38" t="str">
        <f>IFERROR(VLOOKUP(I930,보도매체!$A:$C,3,FALSE), "")</f>
        <v/>
      </c>
    </row>
    <row r="931" spans="3:13" x14ac:dyDescent="0.3">
      <c r="C931" s="35">
        <f t="shared" si="15"/>
        <v>0</v>
      </c>
      <c r="D931" s="30" t="str">
        <f>IFERROR(VLOOKUP(C931,소속부서!$A$2:$B$20,2,FALSE), "")</f>
        <v/>
      </c>
      <c r="L931" s="36" t="str">
        <f>IFERROR(VLOOKUP(I931,보도매체!$A:$C,2,FALSE), "")</f>
        <v/>
      </c>
      <c r="M931" s="38" t="str">
        <f>IFERROR(VLOOKUP(I931,보도매체!$A:$C,3,FALSE), "")</f>
        <v/>
      </c>
    </row>
    <row r="932" spans="3:13" x14ac:dyDescent="0.3">
      <c r="C932" s="35">
        <f t="shared" si="15"/>
        <v>0</v>
      </c>
      <c r="D932" s="30" t="str">
        <f>IFERROR(VLOOKUP(C932,소속부서!$A$2:$B$20,2,FALSE), "")</f>
        <v/>
      </c>
      <c r="L932" s="36" t="str">
        <f>IFERROR(VLOOKUP(I932,보도매체!$A:$C,2,FALSE), "")</f>
        <v/>
      </c>
      <c r="M932" s="38" t="str">
        <f>IFERROR(VLOOKUP(I932,보도매체!$A:$C,3,FALSE), "")</f>
        <v/>
      </c>
    </row>
    <row r="933" spans="3:13" x14ac:dyDescent="0.3">
      <c r="C933" s="35">
        <f t="shared" si="15"/>
        <v>0</v>
      </c>
      <c r="D933" s="30" t="str">
        <f>IFERROR(VLOOKUP(C933,소속부서!$A$2:$B$20,2,FALSE), "")</f>
        <v/>
      </c>
      <c r="L933" s="36" t="str">
        <f>IFERROR(VLOOKUP(I933,보도매체!$A:$C,2,FALSE), "")</f>
        <v/>
      </c>
      <c r="M933" s="38" t="str">
        <f>IFERROR(VLOOKUP(I933,보도매체!$A:$C,3,FALSE), "")</f>
        <v/>
      </c>
    </row>
    <row r="934" spans="3:13" x14ac:dyDescent="0.3">
      <c r="C934" s="35">
        <f t="shared" si="15"/>
        <v>0</v>
      </c>
      <c r="D934" s="30" t="str">
        <f>IFERROR(VLOOKUP(C934,소속부서!$A$2:$B$20,2,FALSE), "")</f>
        <v/>
      </c>
      <c r="L934" s="36" t="str">
        <f>IFERROR(VLOOKUP(I934,보도매체!$A:$C,2,FALSE), "")</f>
        <v/>
      </c>
      <c r="M934" s="38" t="str">
        <f>IFERROR(VLOOKUP(I934,보도매체!$A:$C,3,FALSE), "")</f>
        <v/>
      </c>
    </row>
    <row r="935" spans="3:13" x14ac:dyDescent="0.3">
      <c r="C935" s="35">
        <f t="shared" si="15"/>
        <v>0</v>
      </c>
      <c r="D935" s="30" t="str">
        <f>IFERROR(VLOOKUP(C935,소속부서!$A$2:$B$20,2,FALSE), "")</f>
        <v/>
      </c>
      <c r="L935" s="36" t="str">
        <f>IFERROR(VLOOKUP(I935,보도매체!$A:$C,2,FALSE), "")</f>
        <v/>
      </c>
      <c r="M935" s="38" t="str">
        <f>IFERROR(VLOOKUP(I935,보도매체!$A:$C,3,FALSE), "")</f>
        <v/>
      </c>
    </row>
    <row r="936" spans="3:13" x14ac:dyDescent="0.3">
      <c r="C936" s="35">
        <f t="shared" si="15"/>
        <v>0</v>
      </c>
      <c r="D936" s="30" t="str">
        <f>IFERROR(VLOOKUP(C936,소속부서!$A$2:$B$20,2,FALSE), "")</f>
        <v/>
      </c>
      <c r="L936" s="36" t="str">
        <f>IFERROR(VLOOKUP(I936,보도매체!$A:$C,2,FALSE), "")</f>
        <v/>
      </c>
      <c r="M936" s="38" t="str">
        <f>IFERROR(VLOOKUP(I936,보도매체!$A:$C,3,FALSE), "")</f>
        <v/>
      </c>
    </row>
    <row r="937" spans="3:13" x14ac:dyDescent="0.3">
      <c r="C937" s="35">
        <f t="shared" si="15"/>
        <v>0</v>
      </c>
      <c r="D937" s="30" t="str">
        <f>IFERROR(VLOOKUP(C937,소속부서!$A$2:$B$20,2,FALSE), "")</f>
        <v/>
      </c>
      <c r="L937" s="36" t="str">
        <f>IFERROR(VLOOKUP(I937,보도매체!$A:$C,2,FALSE), "")</f>
        <v/>
      </c>
      <c r="M937" s="38" t="str">
        <f>IFERROR(VLOOKUP(I937,보도매체!$A:$C,3,FALSE), "")</f>
        <v/>
      </c>
    </row>
    <row r="938" spans="3:13" x14ac:dyDescent="0.3">
      <c r="C938" s="35">
        <f t="shared" si="15"/>
        <v>0</v>
      </c>
      <c r="D938" s="30" t="str">
        <f>IFERROR(VLOOKUP(C938,소속부서!$A$2:$B$20,2,FALSE), "")</f>
        <v/>
      </c>
      <c r="L938" s="36" t="str">
        <f>IFERROR(VLOOKUP(I938,보도매체!$A:$C,2,FALSE), "")</f>
        <v/>
      </c>
      <c r="M938" s="38" t="str">
        <f>IFERROR(VLOOKUP(I938,보도매체!$A:$C,3,FALSE), "")</f>
        <v/>
      </c>
    </row>
    <row r="939" spans="3:13" x14ac:dyDescent="0.3">
      <c r="C939" s="35">
        <f t="shared" si="15"/>
        <v>0</v>
      </c>
      <c r="D939" s="30" t="str">
        <f>IFERROR(VLOOKUP(C939,소속부서!$A$2:$B$20,2,FALSE), "")</f>
        <v/>
      </c>
      <c r="L939" s="36" t="str">
        <f>IFERROR(VLOOKUP(I939,보도매체!$A:$C,2,FALSE), "")</f>
        <v/>
      </c>
      <c r="M939" s="38" t="str">
        <f>IFERROR(VLOOKUP(I939,보도매체!$A:$C,3,FALSE), "")</f>
        <v/>
      </c>
    </row>
    <row r="940" spans="3:13" x14ac:dyDescent="0.3">
      <c r="C940" s="35">
        <f t="shared" si="15"/>
        <v>0</v>
      </c>
      <c r="D940" s="30" t="str">
        <f>IFERROR(VLOOKUP(C940,소속부서!$A$2:$B$20,2,FALSE), "")</f>
        <v/>
      </c>
      <c r="L940" s="36" t="str">
        <f>IFERROR(VLOOKUP(I940,보도매체!$A:$C,2,FALSE), "")</f>
        <v/>
      </c>
      <c r="M940" s="38" t="str">
        <f>IFERROR(VLOOKUP(I940,보도매체!$A:$C,3,FALSE), "")</f>
        <v/>
      </c>
    </row>
    <row r="941" spans="3:13" x14ac:dyDescent="0.3">
      <c r="C941" s="35">
        <f t="shared" si="15"/>
        <v>0</v>
      </c>
      <c r="D941" s="30" t="str">
        <f>IFERROR(VLOOKUP(C941,소속부서!$A$2:$B$20,2,FALSE), "")</f>
        <v/>
      </c>
      <c r="L941" s="36" t="str">
        <f>IFERROR(VLOOKUP(I941,보도매체!$A:$C,2,FALSE), "")</f>
        <v/>
      </c>
      <c r="M941" s="38" t="str">
        <f>IFERROR(VLOOKUP(I941,보도매체!$A:$C,3,FALSE), "")</f>
        <v/>
      </c>
    </row>
    <row r="942" spans="3:13" x14ac:dyDescent="0.3">
      <c r="C942" s="35">
        <f t="shared" si="15"/>
        <v>0</v>
      </c>
      <c r="D942" s="30" t="str">
        <f>IFERROR(VLOOKUP(C942,소속부서!$A$2:$B$20,2,FALSE), "")</f>
        <v/>
      </c>
      <c r="L942" s="36" t="str">
        <f>IFERROR(VLOOKUP(I942,보도매체!$A:$C,2,FALSE), "")</f>
        <v/>
      </c>
      <c r="M942" s="38" t="str">
        <f>IFERROR(VLOOKUP(I942,보도매체!$A:$C,3,FALSE), "")</f>
        <v/>
      </c>
    </row>
    <row r="943" spans="3:13" x14ac:dyDescent="0.3">
      <c r="C943" s="35">
        <f t="shared" si="15"/>
        <v>0</v>
      </c>
      <c r="D943" s="30" t="str">
        <f>IFERROR(VLOOKUP(C943,소속부서!$A$2:$B$20,2,FALSE), "")</f>
        <v/>
      </c>
      <c r="L943" s="36" t="str">
        <f>IFERROR(VLOOKUP(I943,보도매체!$A:$C,2,FALSE), "")</f>
        <v/>
      </c>
      <c r="M943" s="38" t="str">
        <f>IFERROR(VLOOKUP(I943,보도매체!$A:$C,3,FALSE), "")</f>
        <v/>
      </c>
    </row>
    <row r="944" spans="3:13" x14ac:dyDescent="0.3">
      <c r="C944" s="35">
        <f t="shared" si="15"/>
        <v>0</v>
      </c>
      <c r="D944" s="30" t="str">
        <f>IFERROR(VLOOKUP(C944,소속부서!$A$2:$B$20,2,FALSE), "")</f>
        <v/>
      </c>
      <c r="L944" s="36" t="str">
        <f>IFERROR(VLOOKUP(I944,보도매체!$A:$C,2,FALSE), "")</f>
        <v/>
      </c>
      <c r="M944" s="38" t="str">
        <f>IFERROR(VLOOKUP(I944,보도매체!$A:$C,3,FALSE), "")</f>
        <v/>
      </c>
    </row>
    <row r="945" spans="3:13" x14ac:dyDescent="0.3">
      <c r="C945" s="35">
        <f t="shared" si="15"/>
        <v>0</v>
      </c>
      <c r="D945" s="30" t="str">
        <f>IFERROR(VLOOKUP(C945,소속부서!$A$2:$B$20,2,FALSE), "")</f>
        <v/>
      </c>
      <c r="L945" s="36" t="str">
        <f>IFERROR(VLOOKUP(I945,보도매체!$A:$C,2,FALSE), "")</f>
        <v/>
      </c>
      <c r="M945" s="38" t="str">
        <f>IFERROR(VLOOKUP(I945,보도매체!$A:$C,3,FALSE), "")</f>
        <v/>
      </c>
    </row>
    <row r="946" spans="3:13" x14ac:dyDescent="0.3">
      <c r="C946" s="35">
        <f t="shared" si="15"/>
        <v>0</v>
      </c>
      <c r="D946" s="30" t="str">
        <f>IFERROR(VLOOKUP(C946,소속부서!$A$2:$B$20,2,FALSE), "")</f>
        <v/>
      </c>
      <c r="L946" s="36" t="str">
        <f>IFERROR(VLOOKUP(I946,보도매체!$A:$C,2,FALSE), "")</f>
        <v/>
      </c>
      <c r="M946" s="38" t="str">
        <f>IFERROR(VLOOKUP(I946,보도매체!$A:$C,3,FALSE), "")</f>
        <v/>
      </c>
    </row>
    <row r="947" spans="3:13" x14ac:dyDescent="0.3">
      <c r="C947" s="35">
        <f t="shared" si="15"/>
        <v>0</v>
      </c>
      <c r="D947" s="30" t="str">
        <f>IFERROR(VLOOKUP(C947,소속부서!$A$2:$B$20,2,FALSE), "")</f>
        <v/>
      </c>
      <c r="L947" s="36" t="str">
        <f>IFERROR(VLOOKUP(I947,보도매체!$A:$C,2,FALSE), "")</f>
        <v/>
      </c>
      <c r="M947" s="38" t="str">
        <f>IFERROR(VLOOKUP(I947,보도매체!$A:$C,3,FALSE), "")</f>
        <v/>
      </c>
    </row>
    <row r="948" spans="3:13" x14ac:dyDescent="0.3">
      <c r="C948" s="35">
        <f t="shared" si="15"/>
        <v>0</v>
      </c>
      <c r="D948" s="30" t="str">
        <f>IFERROR(VLOOKUP(C948,소속부서!$A$2:$B$20,2,FALSE), "")</f>
        <v/>
      </c>
      <c r="L948" s="36" t="str">
        <f>IFERROR(VLOOKUP(I948,보도매체!$A:$C,2,FALSE), "")</f>
        <v/>
      </c>
      <c r="M948" s="38" t="str">
        <f>IFERROR(VLOOKUP(I948,보도매체!$A:$C,3,FALSE), "")</f>
        <v/>
      </c>
    </row>
    <row r="949" spans="3:13" x14ac:dyDescent="0.3">
      <c r="C949" s="35">
        <f t="shared" si="15"/>
        <v>0</v>
      </c>
      <c r="D949" s="30" t="str">
        <f>IFERROR(VLOOKUP(C949,소속부서!$A$2:$B$20,2,FALSE), "")</f>
        <v/>
      </c>
      <c r="L949" s="36" t="str">
        <f>IFERROR(VLOOKUP(I949,보도매체!$A:$C,2,FALSE), "")</f>
        <v/>
      </c>
      <c r="M949" s="38" t="str">
        <f>IFERROR(VLOOKUP(I949,보도매체!$A:$C,3,FALSE), "")</f>
        <v/>
      </c>
    </row>
    <row r="950" spans="3:13" x14ac:dyDescent="0.3">
      <c r="C950" s="35">
        <f t="shared" si="15"/>
        <v>0</v>
      </c>
      <c r="D950" s="30" t="str">
        <f>IFERROR(VLOOKUP(C950,소속부서!$A$2:$B$20,2,FALSE), "")</f>
        <v/>
      </c>
      <c r="L950" s="36" t="str">
        <f>IFERROR(VLOOKUP(I950,보도매체!$A:$C,2,FALSE), "")</f>
        <v/>
      </c>
      <c r="M950" s="38" t="str">
        <f>IFERROR(VLOOKUP(I950,보도매체!$A:$C,3,FALSE), "")</f>
        <v/>
      </c>
    </row>
    <row r="951" spans="3:13" x14ac:dyDescent="0.3">
      <c r="C951" s="35">
        <f t="shared" si="15"/>
        <v>0</v>
      </c>
      <c r="D951" s="30" t="str">
        <f>IFERROR(VLOOKUP(C951,소속부서!$A$2:$B$20,2,FALSE), "")</f>
        <v/>
      </c>
      <c r="L951" s="36" t="str">
        <f>IFERROR(VLOOKUP(I951,보도매체!$A:$C,2,FALSE), "")</f>
        <v/>
      </c>
      <c r="M951" s="38" t="str">
        <f>IFERROR(VLOOKUP(I951,보도매체!$A:$C,3,FALSE), "")</f>
        <v/>
      </c>
    </row>
    <row r="952" spans="3:13" x14ac:dyDescent="0.3">
      <c r="C952" s="35">
        <f t="shared" si="15"/>
        <v>0</v>
      </c>
      <c r="D952" s="30" t="str">
        <f>IFERROR(VLOOKUP(C952,소속부서!$A$2:$B$20,2,FALSE), "")</f>
        <v/>
      </c>
      <c r="L952" s="36" t="str">
        <f>IFERROR(VLOOKUP(I952,보도매체!$A:$C,2,FALSE), "")</f>
        <v/>
      </c>
      <c r="M952" s="38" t="str">
        <f>IFERROR(VLOOKUP(I952,보도매체!$A:$C,3,FALSE), "")</f>
        <v/>
      </c>
    </row>
    <row r="953" spans="3:13" x14ac:dyDescent="0.3">
      <c r="C953" s="35">
        <f t="shared" si="15"/>
        <v>0</v>
      </c>
      <c r="D953" s="30" t="str">
        <f>IFERROR(VLOOKUP(C953,소속부서!$A$2:$B$20,2,FALSE), "")</f>
        <v/>
      </c>
      <c r="L953" s="36" t="str">
        <f>IFERROR(VLOOKUP(I953,보도매체!$A:$C,2,FALSE), "")</f>
        <v/>
      </c>
      <c r="M953" s="38" t="str">
        <f>IFERROR(VLOOKUP(I953,보도매체!$A:$C,3,FALSE), "")</f>
        <v/>
      </c>
    </row>
    <row r="954" spans="3:13" x14ac:dyDescent="0.3">
      <c r="C954" s="35">
        <f t="shared" si="15"/>
        <v>0</v>
      </c>
      <c r="D954" s="30" t="str">
        <f>IFERROR(VLOOKUP(C954,소속부서!$A$2:$B$20,2,FALSE), "")</f>
        <v/>
      </c>
      <c r="L954" s="36" t="str">
        <f>IFERROR(VLOOKUP(I954,보도매체!$A:$C,2,FALSE), "")</f>
        <v/>
      </c>
      <c r="M954" s="38" t="str">
        <f>IFERROR(VLOOKUP(I954,보도매체!$A:$C,3,FALSE), "")</f>
        <v/>
      </c>
    </row>
    <row r="955" spans="3:13" x14ac:dyDescent="0.3">
      <c r="C955" s="35">
        <f t="shared" si="15"/>
        <v>0</v>
      </c>
      <c r="D955" s="30" t="str">
        <f>IFERROR(VLOOKUP(C955,소속부서!$A$2:$B$20,2,FALSE), "")</f>
        <v/>
      </c>
      <c r="L955" s="36" t="str">
        <f>IFERROR(VLOOKUP(I955,보도매체!$A:$C,2,FALSE), "")</f>
        <v/>
      </c>
      <c r="M955" s="38" t="str">
        <f>IFERROR(VLOOKUP(I955,보도매체!$A:$C,3,FALSE), "")</f>
        <v/>
      </c>
    </row>
    <row r="956" spans="3:13" x14ac:dyDescent="0.3">
      <c r="C956" s="35">
        <f t="shared" si="15"/>
        <v>0</v>
      </c>
      <c r="D956" s="30" t="str">
        <f>IFERROR(VLOOKUP(C956,소속부서!$A$2:$B$20,2,FALSE), "")</f>
        <v/>
      </c>
      <c r="L956" s="36" t="str">
        <f>IFERROR(VLOOKUP(I956,보도매체!$A:$C,2,FALSE), "")</f>
        <v/>
      </c>
      <c r="M956" s="38" t="str">
        <f>IFERROR(VLOOKUP(I956,보도매체!$A:$C,3,FALSE), "")</f>
        <v/>
      </c>
    </row>
    <row r="957" spans="3:13" x14ac:dyDescent="0.3">
      <c r="C957" s="35">
        <f t="shared" si="15"/>
        <v>0</v>
      </c>
      <c r="D957" s="30" t="str">
        <f>IFERROR(VLOOKUP(C957,소속부서!$A$2:$B$20,2,FALSE), "")</f>
        <v/>
      </c>
      <c r="L957" s="36" t="str">
        <f>IFERROR(VLOOKUP(I957,보도매체!$A:$C,2,FALSE), "")</f>
        <v/>
      </c>
      <c r="M957" s="38" t="str">
        <f>IFERROR(VLOOKUP(I957,보도매체!$A:$C,3,FALSE), "")</f>
        <v/>
      </c>
    </row>
    <row r="958" spans="3:13" x14ac:dyDescent="0.3">
      <c r="C958" s="35">
        <f t="shared" si="15"/>
        <v>0</v>
      </c>
      <c r="D958" s="30" t="str">
        <f>IFERROR(VLOOKUP(C958,소속부서!$A$2:$B$20,2,FALSE), "")</f>
        <v/>
      </c>
      <c r="L958" s="36" t="str">
        <f>IFERROR(VLOOKUP(I958,보도매체!$A:$C,2,FALSE), "")</f>
        <v/>
      </c>
      <c r="M958" s="38" t="str">
        <f>IFERROR(VLOOKUP(I958,보도매체!$A:$C,3,FALSE), "")</f>
        <v/>
      </c>
    </row>
    <row r="959" spans="3:13" x14ac:dyDescent="0.3">
      <c r="C959" s="35">
        <f t="shared" si="15"/>
        <v>0</v>
      </c>
      <c r="D959" s="30" t="str">
        <f>IFERROR(VLOOKUP(C959,소속부서!$A$2:$B$20,2,FALSE), "")</f>
        <v/>
      </c>
      <c r="L959" s="36" t="str">
        <f>IFERROR(VLOOKUP(I959,보도매체!$A:$C,2,FALSE), "")</f>
        <v/>
      </c>
      <c r="M959" s="38" t="str">
        <f>IFERROR(VLOOKUP(I959,보도매체!$A:$C,3,FALSE), "")</f>
        <v/>
      </c>
    </row>
    <row r="960" spans="3:13" x14ac:dyDescent="0.3">
      <c r="C960" s="35">
        <f t="shared" si="15"/>
        <v>0</v>
      </c>
      <c r="D960" s="30" t="str">
        <f>IFERROR(VLOOKUP(C960,소속부서!$A$2:$B$20,2,FALSE), "")</f>
        <v/>
      </c>
      <c r="L960" s="36" t="str">
        <f>IFERROR(VLOOKUP(I960,보도매체!$A:$C,2,FALSE), "")</f>
        <v/>
      </c>
      <c r="M960" s="38" t="str">
        <f>IFERROR(VLOOKUP(I960,보도매체!$A:$C,3,FALSE), "")</f>
        <v/>
      </c>
    </row>
    <row r="961" spans="3:13" x14ac:dyDescent="0.3">
      <c r="C961" s="35">
        <f t="shared" si="15"/>
        <v>0</v>
      </c>
      <c r="D961" s="30" t="str">
        <f>IFERROR(VLOOKUP(C961,소속부서!$A$2:$B$20,2,FALSE), "")</f>
        <v/>
      </c>
      <c r="L961" s="36" t="str">
        <f>IFERROR(VLOOKUP(I961,보도매체!$A:$C,2,FALSE), "")</f>
        <v/>
      </c>
      <c r="M961" s="38" t="str">
        <f>IFERROR(VLOOKUP(I961,보도매체!$A:$C,3,FALSE), "")</f>
        <v/>
      </c>
    </row>
    <row r="962" spans="3:13" x14ac:dyDescent="0.3">
      <c r="C962" s="35">
        <f t="shared" si="15"/>
        <v>0</v>
      </c>
      <c r="D962" s="30" t="str">
        <f>IFERROR(VLOOKUP(C962,소속부서!$A$2:$B$20,2,FALSE), "")</f>
        <v/>
      </c>
      <c r="L962" s="36" t="str">
        <f>IFERROR(VLOOKUP(I962,보도매체!$A:$C,2,FALSE), "")</f>
        <v/>
      </c>
      <c r="M962" s="38" t="str">
        <f>IFERROR(VLOOKUP(I962,보도매체!$A:$C,3,FALSE), "")</f>
        <v/>
      </c>
    </row>
    <row r="963" spans="3:13" x14ac:dyDescent="0.3">
      <c r="C963" s="35">
        <f t="shared" si="15"/>
        <v>0</v>
      </c>
      <c r="D963" s="30" t="str">
        <f>IFERROR(VLOOKUP(C963,소속부서!$A$2:$B$20,2,FALSE), "")</f>
        <v/>
      </c>
      <c r="L963" s="36" t="str">
        <f>IFERROR(VLOOKUP(I963,보도매체!$A:$C,2,FALSE), "")</f>
        <v/>
      </c>
      <c r="M963" s="38" t="str">
        <f>IFERROR(VLOOKUP(I963,보도매체!$A:$C,3,FALSE), "")</f>
        <v/>
      </c>
    </row>
    <row r="964" spans="3:13" x14ac:dyDescent="0.3">
      <c r="C964" s="35">
        <f t="shared" ref="C964:C1027" si="16">E964</f>
        <v>0</v>
      </c>
      <c r="D964" s="30" t="str">
        <f>IFERROR(VLOOKUP(C964,소속부서!$A$2:$B$20,2,FALSE), "")</f>
        <v/>
      </c>
      <c r="L964" s="36" t="str">
        <f>IFERROR(VLOOKUP(I964,보도매체!$A:$C,2,FALSE), "")</f>
        <v/>
      </c>
      <c r="M964" s="38" t="str">
        <f>IFERROR(VLOOKUP(I964,보도매체!$A:$C,3,FALSE), "")</f>
        <v/>
      </c>
    </row>
    <row r="965" spans="3:13" x14ac:dyDescent="0.3">
      <c r="C965" s="35">
        <f t="shared" si="16"/>
        <v>0</v>
      </c>
      <c r="D965" s="30" t="str">
        <f>IFERROR(VLOOKUP(C965,소속부서!$A$2:$B$20,2,FALSE), "")</f>
        <v/>
      </c>
      <c r="L965" s="36" t="str">
        <f>IFERROR(VLOOKUP(I965,보도매체!$A:$C,2,FALSE), "")</f>
        <v/>
      </c>
      <c r="M965" s="38" t="str">
        <f>IFERROR(VLOOKUP(I965,보도매체!$A:$C,3,FALSE), "")</f>
        <v/>
      </c>
    </row>
    <row r="966" spans="3:13" x14ac:dyDescent="0.3">
      <c r="C966" s="35">
        <f t="shared" si="16"/>
        <v>0</v>
      </c>
      <c r="D966" s="30" t="str">
        <f>IFERROR(VLOOKUP(C966,소속부서!$A$2:$B$20,2,FALSE), "")</f>
        <v/>
      </c>
      <c r="L966" s="36" t="str">
        <f>IFERROR(VLOOKUP(I966,보도매체!$A:$C,2,FALSE), "")</f>
        <v/>
      </c>
      <c r="M966" s="38" t="str">
        <f>IFERROR(VLOOKUP(I966,보도매체!$A:$C,3,FALSE), "")</f>
        <v/>
      </c>
    </row>
    <row r="967" spans="3:13" x14ac:dyDescent="0.3">
      <c r="C967" s="35">
        <f t="shared" si="16"/>
        <v>0</v>
      </c>
      <c r="D967" s="30" t="str">
        <f>IFERROR(VLOOKUP(C967,소속부서!$A$2:$B$20,2,FALSE), "")</f>
        <v/>
      </c>
      <c r="L967" s="36" t="str">
        <f>IFERROR(VLOOKUP(I967,보도매체!$A:$C,2,FALSE), "")</f>
        <v/>
      </c>
      <c r="M967" s="38" t="str">
        <f>IFERROR(VLOOKUP(I967,보도매체!$A:$C,3,FALSE), "")</f>
        <v/>
      </c>
    </row>
    <row r="968" spans="3:13" x14ac:dyDescent="0.3">
      <c r="C968" s="35">
        <f t="shared" si="16"/>
        <v>0</v>
      </c>
      <c r="D968" s="30" t="str">
        <f>IFERROR(VLOOKUP(C968,소속부서!$A$2:$B$20,2,FALSE), "")</f>
        <v/>
      </c>
      <c r="L968" s="36" t="str">
        <f>IFERROR(VLOOKUP(I968,보도매체!$A:$C,2,FALSE), "")</f>
        <v/>
      </c>
      <c r="M968" s="38" t="str">
        <f>IFERROR(VLOOKUP(I968,보도매체!$A:$C,3,FALSE), "")</f>
        <v/>
      </c>
    </row>
    <row r="969" spans="3:13" x14ac:dyDescent="0.3">
      <c r="C969" s="35">
        <f t="shared" si="16"/>
        <v>0</v>
      </c>
      <c r="D969" s="30" t="str">
        <f>IFERROR(VLOOKUP(C969,소속부서!$A$2:$B$20,2,FALSE), "")</f>
        <v/>
      </c>
      <c r="L969" s="36" t="str">
        <f>IFERROR(VLOOKUP(I969,보도매체!$A:$C,2,FALSE), "")</f>
        <v/>
      </c>
      <c r="M969" s="38" t="str">
        <f>IFERROR(VLOOKUP(I969,보도매체!$A:$C,3,FALSE), "")</f>
        <v/>
      </c>
    </row>
    <row r="970" spans="3:13" x14ac:dyDescent="0.3">
      <c r="C970" s="35">
        <f t="shared" si="16"/>
        <v>0</v>
      </c>
      <c r="D970" s="30" t="str">
        <f>IFERROR(VLOOKUP(C970,소속부서!$A$2:$B$20,2,FALSE), "")</f>
        <v/>
      </c>
      <c r="L970" s="36" t="str">
        <f>IFERROR(VLOOKUP(I970,보도매체!$A:$C,2,FALSE), "")</f>
        <v/>
      </c>
      <c r="M970" s="38" t="str">
        <f>IFERROR(VLOOKUP(I970,보도매체!$A:$C,3,FALSE), "")</f>
        <v/>
      </c>
    </row>
    <row r="971" spans="3:13" x14ac:dyDescent="0.3">
      <c r="C971" s="35">
        <f t="shared" si="16"/>
        <v>0</v>
      </c>
      <c r="D971" s="30" t="str">
        <f>IFERROR(VLOOKUP(C971,소속부서!$A$2:$B$20,2,FALSE), "")</f>
        <v/>
      </c>
      <c r="L971" s="36" t="str">
        <f>IFERROR(VLOOKUP(I971,보도매체!$A:$C,2,FALSE), "")</f>
        <v/>
      </c>
      <c r="M971" s="38" t="str">
        <f>IFERROR(VLOOKUP(I971,보도매체!$A:$C,3,FALSE), "")</f>
        <v/>
      </c>
    </row>
    <row r="972" spans="3:13" x14ac:dyDescent="0.3">
      <c r="C972" s="35">
        <f t="shared" si="16"/>
        <v>0</v>
      </c>
      <c r="D972" s="30" t="str">
        <f>IFERROR(VLOOKUP(C972,소속부서!$A$2:$B$20,2,FALSE), "")</f>
        <v/>
      </c>
      <c r="L972" s="36" t="str">
        <f>IFERROR(VLOOKUP(I972,보도매체!$A:$C,2,FALSE), "")</f>
        <v/>
      </c>
      <c r="M972" s="38" t="str">
        <f>IFERROR(VLOOKUP(I972,보도매체!$A:$C,3,FALSE), "")</f>
        <v/>
      </c>
    </row>
    <row r="973" spans="3:13" x14ac:dyDescent="0.3">
      <c r="C973" s="35">
        <f t="shared" si="16"/>
        <v>0</v>
      </c>
      <c r="D973" s="30" t="str">
        <f>IFERROR(VLOOKUP(C973,소속부서!$A$2:$B$20,2,FALSE), "")</f>
        <v/>
      </c>
      <c r="L973" s="36" t="str">
        <f>IFERROR(VLOOKUP(I973,보도매체!$A:$C,2,FALSE), "")</f>
        <v/>
      </c>
      <c r="M973" s="38" t="str">
        <f>IFERROR(VLOOKUP(I973,보도매체!$A:$C,3,FALSE), "")</f>
        <v/>
      </c>
    </row>
    <row r="974" spans="3:13" x14ac:dyDescent="0.3">
      <c r="C974" s="35">
        <f t="shared" si="16"/>
        <v>0</v>
      </c>
      <c r="D974" s="30" t="str">
        <f>IFERROR(VLOOKUP(C974,소속부서!$A$2:$B$20,2,FALSE), "")</f>
        <v/>
      </c>
      <c r="L974" s="36" t="str">
        <f>IFERROR(VLOOKUP(I974,보도매체!$A:$C,2,FALSE), "")</f>
        <v/>
      </c>
      <c r="M974" s="38" t="str">
        <f>IFERROR(VLOOKUP(I974,보도매체!$A:$C,3,FALSE), "")</f>
        <v/>
      </c>
    </row>
    <row r="975" spans="3:13" x14ac:dyDescent="0.3">
      <c r="C975" s="35">
        <f t="shared" si="16"/>
        <v>0</v>
      </c>
      <c r="D975" s="30" t="str">
        <f>IFERROR(VLOOKUP(C975,소속부서!$A$2:$B$20,2,FALSE), "")</f>
        <v/>
      </c>
      <c r="L975" s="36" t="str">
        <f>IFERROR(VLOOKUP(I975,보도매체!$A:$C,2,FALSE), "")</f>
        <v/>
      </c>
      <c r="M975" s="38" t="str">
        <f>IFERROR(VLOOKUP(I975,보도매체!$A:$C,3,FALSE), "")</f>
        <v/>
      </c>
    </row>
    <row r="976" spans="3:13" x14ac:dyDescent="0.3">
      <c r="C976" s="35">
        <f t="shared" si="16"/>
        <v>0</v>
      </c>
      <c r="D976" s="30" t="str">
        <f>IFERROR(VLOOKUP(C976,소속부서!$A$2:$B$20,2,FALSE), "")</f>
        <v/>
      </c>
      <c r="L976" s="36" t="str">
        <f>IFERROR(VLOOKUP(I976,보도매체!$A:$C,2,FALSE), "")</f>
        <v/>
      </c>
      <c r="M976" s="38" t="str">
        <f>IFERROR(VLOOKUP(I976,보도매체!$A:$C,3,FALSE), "")</f>
        <v/>
      </c>
    </row>
    <row r="977" spans="3:13" x14ac:dyDescent="0.3">
      <c r="C977" s="35">
        <f t="shared" si="16"/>
        <v>0</v>
      </c>
      <c r="D977" s="30" t="str">
        <f>IFERROR(VLOOKUP(C977,소속부서!$A$2:$B$20,2,FALSE), "")</f>
        <v/>
      </c>
      <c r="L977" s="36" t="str">
        <f>IFERROR(VLOOKUP(I977,보도매체!$A:$C,2,FALSE), "")</f>
        <v/>
      </c>
      <c r="M977" s="38" t="str">
        <f>IFERROR(VLOOKUP(I977,보도매체!$A:$C,3,FALSE), "")</f>
        <v/>
      </c>
    </row>
    <row r="978" spans="3:13" x14ac:dyDescent="0.3">
      <c r="C978" s="35">
        <f t="shared" si="16"/>
        <v>0</v>
      </c>
      <c r="D978" s="30" t="str">
        <f>IFERROR(VLOOKUP(C978,소속부서!$A$2:$B$20,2,FALSE), "")</f>
        <v/>
      </c>
      <c r="L978" s="36" t="str">
        <f>IFERROR(VLOOKUP(I978,보도매체!$A:$C,2,FALSE), "")</f>
        <v/>
      </c>
      <c r="M978" s="38" t="str">
        <f>IFERROR(VLOOKUP(I978,보도매체!$A:$C,3,FALSE), "")</f>
        <v/>
      </c>
    </row>
    <row r="979" spans="3:13" x14ac:dyDescent="0.3">
      <c r="C979" s="35">
        <f t="shared" si="16"/>
        <v>0</v>
      </c>
      <c r="D979" s="30" t="str">
        <f>IFERROR(VLOOKUP(C979,소속부서!$A$2:$B$20,2,FALSE), "")</f>
        <v/>
      </c>
      <c r="L979" s="36" t="str">
        <f>IFERROR(VLOOKUP(I979,보도매체!$A:$C,2,FALSE), "")</f>
        <v/>
      </c>
      <c r="M979" s="38" t="str">
        <f>IFERROR(VLOOKUP(I979,보도매체!$A:$C,3,FALSE), "")</f>
        <v/>
      </c>
    </row>
    <row r="980" spans="3:13" x14ac:dyDescent="0.3">
      <c r="C980" s="35">
        <f t="shared" si="16"/>
        <v>0</v>
      </c>
      <c r="D980" s="30" t="str">
        <f>IFERROR(VLOOKUP(C980,소속부서!$A$2:$B$20,2,FALSE), "")</f>
        <v/>
      </c>
      <c r="L980" s="36" t="str">
        <f>IFERROR(VLOOKUP(I980,보도매체!$A:$C,2,FALSE), "")</f>
        <v/>
      </c>
      <c r="M980" s="38" t="str">
        <f>IFERROR(VLOOKUP(I980,보도매체!$A:$C,3,FALSE), "")</f>
        <v/>
      </c>
    </row>
    <row r="981" spans="3:13" x14ac:dyDescent="0.3">
      <c r="C981" s="35">
        <f t="shared" si="16"/>
        <v>0</v>
      </c>
      <c r="D981" s="30" t="str">
        <f>IFERROR(VLOOKUP(C981,소속부서!$A$2:$B$20,2,FALSE), "")</f>
        <v/>
      </c>
      <c r="L981" s="36" t="str">
        <f>IFERROR(VLOOKUP(I981,보도매체!$A:$C,2,FALSE), "")</f>
        <v/>
      </c>
      <c r="M981" s="38" t="str">
        <f>IFERROR(VLOOKUP(I981,보도매체!$A:$C,3,FALSE), "")</f>
        <v/>
      </c>
    </row>
    <row r="982" spans="3:13" x14ac:dyDescent="0.3">
      <c r="C982" s="35">
        <f t="shared" si="16"/>
        <v>0</v>
      </c>
      <c r="D982" s="30" t="str">
        <f>IFERROR(VLOOKUP(C982,소속부서!$A$2:$B$20,2,FALSE), "")</f>
        <v/>
      </c>
      <c r="L982" s="36" t="str">
        <f>IFERROR(VLOOKUP(I982,보도매체!$A:$C,2,FALSE), "")</f>
        <v/>
      </c>
      <c r="M982" s="38" t="str">
        <f>IFERROR(VLOOKUP(I982,보도매체!$A:$C,3,FALSE), "")</f>
        <v/>
      </c>
    </row>
    <row r="983" spans="3:13" x14ac:dyDescent="0.3">
      <c r="C983" s="35">
        <f t="shared" si="16"/>
        <v>0</v>
      </c>
      <c r="D983" s="30" t="str">
        <f>IFERROR(VLOOKUP(C983,소속부서!$A$2:$B$20,2,FALSE), "")</f>
        <v/>
      </c>
      <c r="L983" s="36" t="str">
        <f>IFERROR(VLOOKUP(I983,보도매체!$A:$C,2,FALSE), "")</f>
        <v/>
      </c>
      <c r="M983" s="38" t="str">
        <f>IFERROR(VLOOKUP(I983,보도매체!$A:$C,3,FALSE), "")</f>
        <v/>
      </c>
    </row>
    <row r="984" spans="3:13" x14ac:dyDescent="0.3">
      <c r="C984" s="35">
        <f t="shared" si="16"/>
        <v>0</v>
      </c>
      <c r="D984" s="30" t="str">
        <f>IFERROR(VLOOKUP(C984,소속부서!$A$2:$B$20,2,FALSE), "")</f>
        <v/>
      </c>
      <c r="L984" s="36" t="str">
        <f>IFERROR(VLOOKUP(I984,보도매체!$A:$C,2,FALSE), "")</f>
        <v/>
      </c>
      <c r="M984" s="38" t="str">
        <f>IFERROR(VLOOKUP(I984,보도매체!$A:$C,3,FALSE), "")</f>
        <v/>
      </c>
    </row>
    <row r="985" spans="3:13" x14ac:dyDescent="0.3">
      <c r="C985" s="35">
        <f t="shared" si="16"/>
        <v>0</v>
      </c>
      <c r="D985" s="30" t="str">
        <f>IFERROR(VLOOKUP(C985,소속부서!$A$2:$B$20,2,FALSE), "")</f>
        <v/>
      </c>
      <c r="L985" s="36" t="str">
        <f>IFERROR(VLOOKUP(I985,보도매체!$A:$C,2,FALSE), "")</f>
        <v/>
      </c>
      <c r="M985" s="38" t="str">
        <f>IFERROR(VLOOKUP(I985,보도매체!$A:$C,3,FALSE), "")</f>
        <v/>
      </c>
    </row>
    <row r="986" spans="3:13" x14ac:dyDescent="0.3">
      <c r="C986" s="35">
        <f t="shared" si="16"/>
        <v>0</v>
      </c>
      <c r="D986" s="30" t="str">
        <f>IFERROR(VLOOKUP(C986,소속부서!$A$2:$B$20,2,FALSE), "")</f>
        <v/>
      </c>
      <c r="L986" s="36" t="str">
        <f>IFERROR(VLOOKUP(I986,보도매체!$A:$C,2,FALSE), "")</f>
        <v/>
      </c>
      <c r="M986" s="38" t="str">
        <f>IFERROR(VLOOKUP(I986,보도매체!$A:$C,3,FALSE), "")</f>
        <v/>
      </c>
    </row>
    <row r="987" spans="3:13" x14ac:dyDescent="0.3">
      <c r="C987" s="35">
        <f t="shared" si="16"/>
        <v>0</v>
      </c>
      <c r="D987" s="30" t="str">
        <f>IFERROR(VLOOKUP(C987,소속부서!$A$2:$B$20,2,FALSE), "")</f>
        <v/>
      </c>
      <c r="L987" s="36" t="str">
        <f>IFERROR(VLOOKUP(I987,보도매체!$A:$C,2,FALSE), "")</f>
        <v/>
      </c>
      <c r="M987" s="38" t="str">
        <f>IFERROR(VLOOKUP(I987,보도매체!$A:$C,3,FALSE), "")</f>
        <v/>
      </c>
    </row>
    <row r="988" spans="3:13" x14ac:dyDescent="0.3">
      <c r="C988" s="35">
        <f t="shared" si="16"/>
        <v>0</v>
      </c>
      <c r="D988" s="30" t="str">
        <f>IFERROR(VLOOKUP(C988,소속부서!$A$2:$B$20,2,FALSE), "")</f>
        <v/>
      </c>
      <c r="L988" s="36" t="str">
        <f>IFERROR(VLOOKUP(I988,보도매체!$A:$C,2,FALSE), "")</f>
        <v/>
      </c>
      <c r="M988" s="38" t="str">
        <f>IFERROR(VLOOKUP(I988,보도매체!$A:$C,3,FALSE), "")</f>
        <v/>
      </c>
    </row>
    <row r="989" spans="3:13" x14ac:dyDescent="0.3">
      <c r="C989" s="35">
        <f t="shared" si="16"/>
        <v>0</v>
      </c>
      <c r="D989" s="30" t="str">
        <f>IFERROR(VLOOKUP(C989,소속부서!$A$2:$B$20,2,FALSE), "")</f>
        <v/>
      </c>
      <c r="L989" s="36" t="str">
        <f>IFERROR(VLOOKUP(I989,보도매체!$A:$C,2,FALSE), "")</f>
        <v/>
      </c>
      <c r="M989" s="38" t="str">
        <f>IFERROR(VLOOKUP(I989,보도매체!$A:$C,3,FALSE), "")</f>
        <v/>
      </c>
    </row>
    <row r="990" spans="3:13" x14ac:dyDescent="0.3">
      <c r="C990" s="35">
        <f t="shared" si="16"/>
        <v>0</v>
      </c>
      <c r="D990" s="30" t="str">
        <f>IFERROR(VLOOKUP(C990,소속부서!$A$2:$B$20,2,FALSE), "")</f>
        <v/>
      </c>
      <c r="L990" s="36" t="str">
        <f>IFERROR(VLOOKUP(I990,보도매체!$A:$C,2,FALSE), "")</f>
        <v/>
      </c>
      <c r="M990" s="38" t="str">
        <f>IFERROR(VLOOKUP(I990,보도매체!$A:$C,3,FALSE), "")</f>
        <v/>
      </c>
    </row>
    <row r="991" spans="3:13" x14ac:dyDescent="0.3">
      <c r="C991" s="35">
        <f t="shared" si="16"/>
        <v>0</v>
      </c>
      <c r="D991" s="30" t="str">
        <f>IFERROR(VLOOKUP(C991,소속부서!$A$2:$B$20,2,FALSE), "")</f>
        <v/>
      </c>
      <c r="L991" s="36" t="str">
        <f>IFERROR(VLOOKUP(I991,보도매체!$A:$C,2,FALSE), "")</f>
        <v/>
      </c>
      <c r="M991" s="38" t="str">
        <f>IFERROR(VLOOKUP(I991,보도매체!$A:$C,3,FALSE), "")</f>
        <v/>
      </c>
    </row>
    <row r="992" spans="3:13" x14ac:dyDescent="0.3">
      <c r="C992" s="35">
        <f t="shared" si="16"/>
        <v>0</v>
      </c>
      <c r="D992" s="30" t="str">
        <f>IFERROR(VLOOKUP(C992,소속부서!$A$2:$B$20,2,FALSE), "")</f>
        <v/>
      </c>
      <c r="L992" s="36" t="str">
        <f>IFERROR(VLOOKUP(I992,보도매체!$A:$C,2,FALSE), "")</f>
        <v/>
      </c>
      <c r="M992" s="38" t="str">
        <f>IFERROR(VLOOKUP(I992,보도매체!$A:$C,3,FALSE), "")</f>
        <v/>
      </c>
    </row>
    <row r="993" spans="3:13" x14ac:dyDescent="0.3">
      <c r="C993" s="35">
        <f t="shared" si="16"/>
        <v>0</v>
      </c>
      <c r="D993" s="30" t="str">
        <f>IFERROR(VLOOKUP(C993,소속부서!$A$2:$B$20,2,FALSE), "")</f>
        <v/>
      </c>
      <c r="L993" s="36" t="str">
        <f>IFERROR(VLOOKUP(I993,보도매체!$A:$C,2,FALSE), "")</f>
        <v/>
      </c>
      <c r="M993" s="38" t="str">
        <f>IFERROR(VLOOKUP(I993,보도매체!$A:$C,3,FALSE), "")</f>
        <v/>
      </c>
    </row>
    <row r="994" spans="3:13" x14ac:dyDescent="0.3">
      <c r="C994" s="35">
        <f t="shared" si="16"/>
        <v>0</v>
      </c>
      <c r="D994" s="30" t="str">
        <f>IFERROR(VLOOKUP(C994,소속부서!$A$2:$B$20,2,FALSE), "")</f>
        <v/>
      </c>
      <c r="L994" s="36" t="str">
        <f>IFERROR(VLOOKUP(I994,보도매체!$A:$C,2,FALSE), "")</f>
        <v/>
      </c>
      <c r="M994" s="38" t="str">
        <f>IFERROR(VLOOKUP(I994,보도매체!$A:$C,3,FALSE), "")</f>
        <v/>
      </c>
    </row>
    <row r="995" spans="3:13" x14ac:dyDescent="0.3">
      <c r="C995" s="35">
        <f t="shared" si="16"/>
        <v>0</v>
      </c>
      <c r="D995" s="30" t="str">
        <f>IFERROR(VLOOKUP(C995,소속부서!$A$2:$B$20,2,FALSE), "")</f>
        <v/>
      </c>
      <c r="L995" s="36" t="str">
        <f>IFERROR(VLOOKUP(I995,보도매체!$A:$C,2,FALSE), "")</f>
        <v/>
      </c>
      <c r="M995" s="38" t="str">
        <f>IFERROR(VLOOKUP(I995,보도매체!$A:$C,3,FALSE), "")</f>
        <v/>
      </c>
    </row>
    <row r="996" spans="3:13" x14ac:dyDescent="0.3">
      <c r="C996" s="35">
        <f t="shared" si="16"/>
        <v>0</v>
      </c>
      <c r="D996" s="30" t="str">
        <f>IFERROR(VLOOKUP(C996,소속부서!$A$2:$B$20,2,FALSE), "")</f>
        <v/>
      </c>
      <c r="L996" s="36" t="str">
        <f>IFERROR(VLOOKUP(I996,보도매체!$A:$C,2,FALSE), "")</f>
        <v/>
      </c>
      <c r="M996" s="38" t="str">
        <f>IFERROR(VLOOKUP(I996,보도매체!$A:$C,3,FALSE), "")</f>
        <v/>
      </c>
    </row>
    <row r="997" spans="3:13" x14ac:dyDescent="0.3">
      <c r="C997" s="35">
        <f t="shared" si="16"/>
        <v>0</v>
      </c>
      <c r="D997" s="30" t="str">
        <f>IFERROR(VLOOKUP(C997,소속부서!$A$2:$B$20,2,FALSE), "")</f>
        <v/>
      </c>
      <c r="L997" s="36" t="str">
        <f>IFERROR(VLOOKUP(I997,보도매체!$A:$C,2,FALSE), "")</f>
        <v/>
      </c>
      <c r="M997" s="38" t="str">
        <f>IFERROR(VLOOKUP(I997,보도매체!$A:$C,3,FALSE), "")</f>
        <v/>
      </c>
    </row>
    <row r="998" spans="3:13" x14ac:dyDescent="0.3">
      <c r="C998" s="35">
        <f t="shared" si="16"/>
        <v>0</v>
      </c>
      <c r="D998" s="30" t="str">
        <f>IFERROR(VLOOKUP(C998,소속부서!$A$2:$B$20,2,FALSE), "")</f>
        <v/>
      </c>
      <c r="L998" s="36" t="str">
        <f>IFERROR(VLOOKUP(I998,보도매체!$A:$C,2,FALSE), "")</f>
        <v/>
      </c>
      <c r="M998" s="38" t="str">
        <f>IFERROR(VLOOKUP(I998,보도매체!$A:$C,3,FALSE), "")</f>
        <v/>
      </c>
    </row>
    <row r="999" spans="3:13" x14ac:dyDescent="0.3">
      <c r="C999" s="35">
        <f t="shared" si="16"/>
        <v>0</v>
      </c>
      <c r="D999" s="30" t="str">
        <f>IFERROR(VLOOKUP(C999,소속부서!$A$2:$B$20,2,FALSE), "")</f>
        <v/>
      </c>
      <c r="L999" s="36" t="str">
        <f>IFERROR(VLOOKUP(I999,보도매체!$A:$C,2,FALSE), "")</f>
        <v/>
      </c>
      <c r="M999" s="38" t="str">
        <f>IFERROR(VLOOKUP(I999,보도매체!$A:$C,3,FALSE), "")</f>
        <v/>
      </c>
    </row>
    <row r="1000" spans="3:13" x14ac:dyDescent="0.3">
      <c r="C1000" s="35">
        <f t="shared" si="16"/>
        <v>0</v>
      </c>
      <c r="D1000" s="30" t="str">
        <f>IFERROR(VLOOKUP(C1000,소속부서!$A$2:$B$20,2,FALSE), "")</f>
        <v/>
      </c>
      <c r="L1000" s="36" t="str">
        <f>IFERROR(VLOOKUP(I1000,보도매체!$A:$C,2,FALSE), "")</f>
        <v/>
      </c>
      <c r="M1000" s="38" t="str">
        <f>IFERROR(VLOOKUP(I1000,보도매체!$A:$C,3,FALSE), "")</f>
        <v/>
      </c>
    </row>
    <row r="1001" spans="3:13" x14ac:dyDescent="0.3">
      <c r="C1001" s="35">
        <f t="shared" si="16"/>
        <v>0</v>
      </c>
      <c r="D1001" s="30" t="str">
        <f>IFERROR(VLOOKUP(C1001,소속부서!$A$2:$B$20,2,FALSE), "")</f>
        <v/>
      </c>
      <c r="L1001" s="36" t="str">
        <f>IFERROR(VLOOKUP(I1001,보도매체!$A:$C,2,FALSE), "")</f>
        <v/>
      </c>
      <c r="M1001" s="38" t="str">
        <f>IFERROR(VLOOKUP(I1001,보도매체!$A:$C,3,FALSE), "")</f>
        <v/>
      </c>
    </row>
    <row r="1002" spans="3:13" x14ac:dyDescent="0.3">
      <c r="C1002" s="35">
        <f t="shared" si="16"/>
        <v>0</v>
      </c>
      <c r="D1002" s="30" t="str">
        <f>IFERROR(VLOOKUP(C1002,소속부서!$A$2:$B$20,2,FALSE), "")</f>
        <v/>
      </c>
      <c r="L1002" s="36" t="str">
        <f>IFERROR(VLOOKUP(I1002,보도매체!$A:$C,2,FALSE), "")</f>
        <v/>
      </c>
      <c r="M1002" s="38" t="str">
        <f>IFERROR(VLOOKUP(I1002,보도매체!$A:$C,3,FALSE), "")</f>
        <v/>
      </c>
    </row>
    <row r="1003" spans="3:13" x14ac:dyDescent="0.3">
      <c r="C1003" s="35">
        <f t="shared" si="16"/>
        <v>0</v>
      </c>
      <c r="D1003" s="30" t="str">
        <f>IFERROR(VLOOKUP(C1003,소속부서!$A$2:$B$20,2,FALSE), "")</f>
        <v/>
      </c>
      <c r="L1003" s="36" t="str">
        <f>IFERROR(VLOOKUP(I1003,보도매체!$A:$C,2,FALSE), "")</f>
        <v/>
      </c>
      <c r="M1003" s="38" t="str">
        <f>IFERROR(VLOOKUP(I1003,보도매체!$A:$C,3,FALSE), "")</f>
        <v/>
      </c>
    </row>
    <row r="1004" spans="3:13" x14ac:dyDescent="0.3">
      <c r="C1004" s="35">
        <f t="shared" si="16"/>
        <v>0</v>
      </c>
      <c r="D1004" s="30" t="str">
        <f>IFERROR(VLOOKUP(C1004,소속부서!$A$2:$B$20,2,FALSE), "")</f>
        <v/>
      </c>
      <c r="L1004" s="36" t="str">
        <f>IFERROR(VLOOKUP(I1004,보도매체!$A:$C,2,FALSE), "")</f>
        <v/>
      </c>
      <c r="M1004" s="38" t="str">
        <f>IFERROR(VLOOKUP(I1004,보도매체!$A:$C,3,FALSE), "")</f>
        <v/>
      </c>
    </row>
    <row r="1005" spans="3:13" x14ac:dyDescent="0.3">
      <c r="C1005" s="35">
        <f t="shared" si="16"/>
        <v>0</v>
      </c>
      <c r="D1005" s="30" t="str">
        <f>IFERROR(VLOOKUP(C1005,소속부서!$A$2:$B$20,2,FALSE), "")</f>
        <v/>
      </c>
      <c r="L1005" s="36" t="str">
        <f>IFERROR(VLOOKUP(I1005,보도매체!$A:$C,2,FALSE), "")</f>
        <v/>
      </c>
      <c r="M1005" s="38" t="str">
        <f>IFERROR(VLOOKUP(I1005,보도매체!$A:$C,3,FALSE), "")</f>
        <v/>
      </c>
    </row>
    <row r="1006" spans="3:13" x14ac:dyDescent="0.3">
      <c r="C1006" s="35">
        <f t="shared" si="16"/>
        <v>0</v>
      </c>
      <c r="D1006" s="30" t="str">
        <f>IFERROR(VLOOKUP(C1006,소속부서!$A$2:$B$20,2,FALSE), "")</f>
        <v/>
      </c>
      <c r="L1006" s="36" t="str">
        <f>IFERROR(VLOOKUP(I1006,보도매체!$A:$C,2,FALSE), "")</f>
        <v/>
      </c>
      <c r="M1006" s="38" t="str">
        <f>IFERROR(VLOOKUP(I1006,보도매체!$A:$C,3,FALSE), "")</f>
        <v/>
      </c>
    </row>
    <row r="1007" spans="3:13" x14ac:dyDescent="0.3">
      <c r="C1007" s="35">
        <f t="shared" si="16"/>
        <v>0</v>
      </c>
      <c r="D1007" s="30" t="str">
        <f>IFERROR(VLOOKUP(C1007,소속부서!$A$2:$B$20,2,FALSE), "")</f>
        <v/>
      </c>
      <c r="L1007" s="36" t="str">
        <f>IFERROR(VLOOKUP(I1007,보도매체!$A:$C,2,FALSE), "")</f>
        <v/>
      </c>
      <c r="M1007" s="38" t="str">
        <f>IFERROR(VLOOKUP(I1007,보도매체!$A:$C,3,FALSE), "")</f>
        <v/>
      </c>
    </row>
    <row r="1008" spans="3:13" x14ac:dyDescent="0.3">
      <c r="C1008" s="35">
        <f t="shared" si="16"/>
        <v>0</v>
      </c>
      <c r="D1008" s="30" t="str">
        <f>IFERROR(VLOOKUP(C1008,소속부서!$A$2:$B$20,2,FALSE), "")</f>
        <v/>
      </c>
      <c r="L1008" s="36" t="str">
        <f>IFERROR(VLOOKUP(I1008,보도매체!$A:$C,2,FALSE), "")</f>
        <v/>
      </c>
      <c r="M1008" s="38" t="str">
        <f>IFERROR(VLOOKUP(I1008,보도매체!$A:$C,3,FALSE), "")</f>
        <v/>
      </c>
    </row>
    <row r="1009" spans="3:13" x14ac:dyDescent="0.3">
      <c r="C1009" s="35">
        <f t="shared" si="16"/>
        <v>0</v>
      </c>
      <c r="D1009" s="30" t="str">
        <f>IFERROR(VLOOKUP(C1009,소속부서!$A$2:$B$20,2,FALSE), "")</f>
        <v/>
      </c>
      <c r="L1009" s="36" t="str">
        <f>IFERROR(VLOOKUP(I1009,보도매체!$A:$C,2,FALSE), "")</f>
        <v/>
      </c>
      <c r="M1009" s="38" t="str">
        <f>IFERROR(VLOOKUP(I1009,보도매체!$A:$C,3,FALSE), "")</f>
        <v/>
      </c>
    </row>
    <row r="1010" spans="3:13" x14ac:dyDescent="0.3">
      <c r="C1010" s="35">
        <f t="shared" si="16"/>
        <v>0</v>
      </c>
      <c r="D1010" s="30" t="str">
        <f>IFERROR(VLOOKUP(C1010,소속부서!$A$2:$B$20,2,FALSE), "")</f>
        <v/>
      </c>
      <c r="L1010" s="36" t="str">
        <f>IFERROR(VLOOKUP(I1010,보도매체!$A:$C,2,FALSE), "")</f>
        <v/>
      </c>
      <c r="M1010" s="38" t="str">
        <f>IFERROR(VLOOKUP(I1010,보도매체!$A:$C,3,FALSE), "")</f>
        <v/>
      </c>
    </row>
    <row r="1011" spans="3:13" x14ac:dyDescent="0.3">
      <c r="C1011" s="35">
        <f t="shared" si="16"/>
        <v>0</v>
      </c>
      <c r="D1011" s="30" t="str">
        <f>IFERROR(VLOOKUP(C1011,소속부서!$A$2:$B$20,2,FALSE), "")</f>
        <v/>
      </c>
      <c r="L1011" s="36" t="str">
        <f>IFERROR(VLOOKUP(I1011,보도매체!$A:$C,2,FALSE), "")</f>
        <v/>
      </c>
      <c r="M1011" s="38" t="str">
        <f>IFERROR(VLOOKUP(I1011,보도매체!$A:$C,3,FALSE), "")</f>
        <v/>
      </c>
    </row>
    <row r="1012" spans="3:13" x14ac:dyDescent="0.3">
      <c r="C1012" s="35">
        <f t="shared" si="16"/>
        <v>0</v>
      </c>
      <c r="D1012" s="30" t="str">
        <f>IFERROR(VLOOKUP(C1012,소속부서!$A$2:$B$20,2,FALSE), "")</f>
        <v/>
      </c>
      <c r="L1012" s="36" t="str">
        <f>IFERROR(VLOOKUP(I1012,보도매체!$A:$C,2,FALSE), "")</f>
        <v/>
      </c>
      <c r="M1012" s="38" t="str">
        <f>IFERROR(VLOOKUP(I1012,보도매체!$A:$C,3,FALSE), "")</f>
        <v/>
      </c>
    </row>
    <row r="1013" spans="3:13" x14ac:dyDescent="0.3">
      <c r="C1013" s="35">
        <f t="shared" si="16"/>
        <v>0</v>
      </c>
      <c r="D1013" s="30" t="str">
        <f>IFERROR(VLOOKUP(C1013,소속부서!$A$2:$B$20,2,FALSE), "")</f>
        <v/>
      </c>
      <c r="L1013" s="36" t="str">
        <f>IFERROR(VLOOKUP(I1013,보도매체!$A:$C,2,FALSE), "")</f>
        <v/>
      </c>
      <c r="M1013" s="38" t="str">
        <f>IFERROR(VLOOKUP(I1013,보도매체!$A:$C,3,FALSE), "")</f>
        <v/>
      </c>
    </row>
    <row r="1014" spans="3:13" x14ac:dyDescent="0.3">
      <c r="C1014" s="35">
        <f t="shared" si="16"/>
        <v>0</v>
      </c>
      <c r="D1014" s="30" t="str">
        <f>IFERROR(VLOOKUP(C1014,소속부서!$A$2:$B$20,2,FALSE), "")</f>
        <v/>
      </c>
      <c r="L1014" s="36" t="str">
        <f>IFERROR(VLOOKUP(I1014,보도매체!$A:$C,2,FALSE), "")</f>
        <v/>
      </c>
      <c r="M1014" s="38" t="str">
        <f>IFERROR(VLOOKUP(I1014,보도매체!$A:$C,3,FALSE), "")</f>
        <v/>
      </c>
    </row>
    <row r="1015" spans="3:13" x14ac:dyDescent="0.3">
      <c r="C1015" s="35">
        <f t="shared" si="16"/>
        <v>0</v>
      </c>
      <c r="D1015" s="30" t="str">
        <f>IFERROR(VLOOKUP(C1015,소속부서!$A$2:$B$20,2,FALSE), "")</f>
        <v/>
      </c>
      <c r="L1015" s="36" t="str">
        <f>IFERROR(VLOOKUP(I1015,보도매체!$A:$C,2,FALSE), "")</f>
        <v/>
      </c>
      <c r="M1015" s="38" t="str">
        <f>IFERROR(VLOOKUP(I1015,보도매체!$A:$C,3,FALSE), "")</f>
        <v/>
      </c>
    </row>
    <row r="1016" spans="3:13" x14ac:dyDescent="0.3">
      <c r="C1016" s="35">
        <f t="shared" si="16"/>
        <v>0</v>
      </c>
      <c r="D1016" s="30" t="str">
        <f>IFERROR(VLOOKUP(C1016,소속부서!$A$2:$B$20,2,FALSE), "")</f>
        <v/>
      </c>
      <c r="L1016" s="36" t="str">
        <f>IFERROR(VLOOKUP(I1016,보도매체!$A:$C,2,FALSE), "")</f>
        <v/>
      </c>
      <c r="M1016" s="38" t="str">
        <f>IFERROR(VLOOKUP(I1016,보도매체!$A:$C,3,FALSE), "")</f>
        <v/>
      </c>
    </row>
    <row r="1017" spans="3:13" x14ac:dyDescent="0.3">
      <c r="C1017" s="35">
        <f t="shared" si="16"/>
        <v>0</v>
      </c>
      <c r="D1017" s="30" t="str">
        <f>IFERROR(VLOOKUP(C1017,소속부서!$A$2:$B$20,2,FALSE), "")</f>
        <v/>
      </c>
      <c r="L1017" s="36" t="str">
        <f>IFERROR(VLOOKUP(I1017,보도매체!$A:$C,2,FALSE), "")</f>
        <v/>
      </c>
      <c r="M1017" s="38" t="str">
        <f>IFERROR(VLOOKUP(I1017,보도매체!$A:$C,3,FALSE), "")</f>
        <v/>
      </c>
    </row>
    <row r="1018" spans="3:13" x14ac:dyDescent="0.3">
      <c r="C1018" s="35">
        <f t="shared" si="16"/>
        <v>0</v>
      </c>
      <c r="D1018" s="30" t="str">
        <f>IFERROR(VLOOKUP(C1018,소속부서!$A$2:$B$20,2,FALSE), "")</f>
        <v/>
      </c>
      <c r="L1018" s="36" t="str">
        <f>IFERROR(VLOOKUP(I1018,보도매체!$A:$C,2,FALSE), "")</f>
        <v/>
      </c>
      <c r="M1018" s="38" t="str">
        <f>IFERROR(VLOOKUP(I1018,보도매체!$A:$C,3,FALSE), "")</f>
        <v/>
      </c>
    </row>
    <row r="1019" spans="3:13" x14ac:dyDescent="0.3">
      <c r="C1019" s="35">
        <f t="shared" si="16"/>
        <v>0</v>
      </c>
      <c r="D1019" s="30" t="str">
        <f>IFERROR(VLOOKUP(C1019,소속부서!$A$2:$B$20,2,FALSE), "")</f>
        <v/>
      </c>
      <c r="L1019" s="36" t="str">
        <f>IFERROR(VLOOKUP(I1019,보도매체!$A:$C,2,FALSE), "")</f>
        <v/>
      </c>
      <c r="M1019" s="38" t="str">
        <f>IFERROR(VLOOKUP(I1019,보도매체!$A:$C,3,FALSE), "")</f>
        <v/>
      </c>
    </row>
    <row r="1020" spans="3:13" x14ac:dyDescent="0.3">
      <c r="C1020" s="35">
        <f t="shared" si="16"/>
        <v>0</v>
      </c>
      <c r="D1020" s="30" t="str">
        <f>IFERROR(VLOOKUP(C1020,소속부서!$A$2:$B$20,2,FALSE), "")</f>
        <v/>
      </c>
      <c r="L1020" s="36" t="str">
        <f>IFERROR(VLOOKUP(I1020,보도매체!$A:$C,2,FALSE), "")</f>
        <v/>
      </c>
      <c r="M1020" s="38" t="str">
        <f>IFERROR(VLOOKUP(I1020,보도매체!$A:$C,3,FALSE), "")</f>
        <v/>
      </c>
    </row>
    <row r="1021" spans="3:13" x14ac:dyDescent="0.3">
      <c r="C1021" s="35">
        <f t="shared" si="16"/>
        <v>0</v>
      </c>
      <c r="D1021" s="30" t="str">
        <f>IFERROR(VLOOKUP(C1021,소속부서!$A$2:$B$20,2,FALSE), "")</f>
        <v/>
      </c>
      <c r="L1021" s="36" t="str">
        <f>IFERROR(VLOOKUP(I1021,보도매체!$A:$C,2,FALSE), "")</f>
        <v/>
      </c>
      <c r="M1021" s="38" t="str">
        <f>IFERROR(VLOOKUP(I1021,보도매체!$A:$C,3,FALSE), "")</f>
        <v/>
      </c>
    </row>
    <row r="1022" spans="3:13" x14ac:dyDescent="0.3">
      <c r="C1022" s="35">
        <f t="shared" si="16"/>
        <v>0</v>
      </c>
      <c r="D1022" s="30" t="str">
        <f>IFERROR(VLOOKUP(C1022,소속부서!$A$2:$B$20,2,FALSE), "")</f>
        <v/>
      </c>
      <c r="L1022" s="36" t="str">
        <f>IFERROR(VLOOKUP(I1022,보도매체!$A:$C,2,FALSE), "")</f>
        <v/>
      </c>
      <c r="M1022" s="38" t="str">
        <f>IFERROR(VLOOKUP(I1022,보도매체!$A:$C,3,FALSE), "")</f>
        <v/>
      </c>
    </row>
    <row r="1023" spans="3:13" x14ac:dyDescent="0.3">
      <c r="C1023" s="35">
        <f t="shared" si="16"/>
        <v>0</v>
      </c>
      <c r="D1023" s="30" t="str">
        <f>IFERROR(VLOOKUP(C1023,소속부서!$A$2:$B$20,2,FALSE), "")</f>
        <v/>
      </c>
      <c r="L1023" s="36" t="str">
        <f>IFERROR(VLOOKUP(I1023,보도매체!$A:$C,2,FALSE), "")</f>
        <v/>
      </c>
      <c r="M1023" s="38" t="str">
        <f>IFERROR(VLOOKUP(I1023,보도매체!$A:$C,3,FALSE), "")</f>
        <v/>
      </c>
    </row>
    <row r="1024" spans="3:13" x14ac:dyDescent="0.3">
      <c r="C1024" s="35">
        <f t="shared" si="16"/>
        <v>0</v>
      </c>
      <c r="D1024" s="30" t="str">
        <f>IFERROR(VLOOKUP(C1024,소속부서!$A$2:$B$20,2,FALSE), "")</f>
        <v/>
      </c>
      <c r="L1024" s="36" t="str">
        <f>IFERROR(VLOOKUP(I1024,보도매체!$A:$C,2,FALSE), "")</f>
        <v/>
      </c>
      <c r="M1024" s="38" t="str">
        <f>IFERROR(VLOOKUP(I1024,보도매체!$A:$C,3,FALSE), "")</f>
        <v/>
      </c>
    </row>
    <row r="1025" spans="3:13" x14ac:dyDescent="0.3">
      <c r="C1025" s="35">
        <f t="shared" si="16"/>
        <v>0</v>
      </c>
      <c r="D1025" s="30" t="str">
        <f>IFERROR(VLOOKUP(C1025,소속부서!$A$2:$B$20,2,FALSE), "")</f>
        <v/>
      </c>
      <c r="L1025" s="36" t="str">
        <f>IFERROR(VLOOKUP(I1025,보도매체!$A:$C,2,FALSE), "")</f>
        <v/>
      </c>
      <c r="M1025" s="38" t="str">
        <f>IFERROR(VLOOKUP(I1025,보도매체!$A:$C,3,FALSE), "")</f>
        <v/>
      </c>
    </row>
    <row r="1026" spans="3:13" x14ac:dyDescent="0.3">
      <c r="C1026" s="35">
        <f t="shared" si="16"/>
        <v>0</v>
      </c>
      <c r="D1026" s="30" t="str">
        <f>IFERROR(VLOOKUP(C1026,소속부서!$A$2:$B$20,2,FALSE), "")</f>
        <v/>
      </c>
      <c r="L1026" s="36" t="str">
        <f>IFERROR(VLOOKUP(I1026,보도매체!$A:$C,2,FALSE), "")</f>
        <v/>
      </c>
      <c r="M1026" s="38" t="str">
        <f>IFERROR(VLOOKUP(I1026,보도매체!$A:$C,3,FALSE), "")</f>
        <v/>
      </c>
    </row>
    <row r="1027" spans="3:13" x14ac:dyDescent="0.3">
      <c r="C1027" s="35">
        <f t="shared" si="16"/>
        <v>0</v>
      </c>
      <c r="D1027" s="30" t="str">
        <f>IFERROR(VLOOKUP(C1027,소속부서!$A$2:$B$20,2,FALSE), "")</f>
        <v/>
      </c>
      <c r="L1027" s="36" t="str">
        <f>IFERROR(VLOOKUP(I1027,보도매체!$A:$C,2,FALSE), "")</f>
        <v/>
      </c>
      <c r="M1027" s="38" t="str">
        <f>IFERROR(VLOOKUP(I1027,보도매체!$A:$C,3,FALSE), "")</f>
        <v/>
      </c>
    </row>
    <row r="1028" spans="3:13" x14ac:dyDescent="0.3">
      <c r="C1028" s="35">
        <f t="shared" ref="C1028:C1091" si="17">E1028</f>
        <v>0</v>
      </c>
      <c r="D1028" s="30" t="str">
        <f>IFERROR(VLOOKUP(C1028,소속부서!$A$2:$B$20,2,FALSE), "")</f>
        <v/>
      </c>
      <c r="L1028" s="36" t="str">
        <f>IFERROR(VLOOKUP(I1028,보도매체!$A:$C,2,FALSE), "")</f>
        <v/>
      </c>
      <c r="M1028" s="38" t="str">
        <f>IFERROR(VLOOKUP(I1028,보도매체!$A:$C,3,FALSE), "")</f>
        <v/>
      </c>
    </row>
    <row r="1029" spans="3:13" x14ac:dyDescent="0.3">
      <c r="C1029" s="35">
        <f t="shared" si="17"/>
        <v>0</v>
      </c>
      <c r="D1029" s="30" t="str">
        <f>IFERROR(VLOOKUP(C1029,소속부서!$A$2:$B$20,2,FALSE), "")</f>
        <v/>
      </c>
      <c r="L1029" s="36" t="str">
        <f>IFERROR(VLOOKUP(I1029,보도매체!$A:$C,2,FALSE), "")</f>
        <v/>
      </c>
      <c r="M1029" s="38" t="str">
        <f>IFERROR(VLOOKUP(I1029,보도매체!$A:$C,3,FALSE), "")</f>
        <v/>
      </c>
    </row>
    <row r="1030" spans="3:13" x14ac:dyDescent="0.3">
      <c r="C1030" s="35">
        <f t="shared" si="17"/>
        <v>0</v>
      </c>
      <c r="D1030" s="30" t="str">
        <f>IFERROR(VLOOKUP(C1030,소속부서!$A$2:$B$20,2,FALSE), "")</f>
        <v/>
      </c>
      <c r="L1030" s="36" t="str">
        <f>IFERROR(VLOOKUP(I1030,보도매체!$A:$C,2,FALSE), "")</f>
        <v/>
      </c>
      <c r="M1030" s="38" t="str">
        <f>IFERROR(VLOOKUP(I1030,보도매체!$A:$C,3,FALSE), "")</f>
        <v/>
      </c>
    </row>
    <row r="1031" spans="3:13" x14ac:dyDescent="0.3">
      <c r="C1031" s="35">
        <f t="shared" si="17"/>
        <v>0</v>
      </c>
      <c r="D1031" s="30" t="str">
        <f>IFERROR(VLOOKUP(C1031,소속부서!$A$2:$B$20,2,FALSE), "")</f>
        <v/>
      </c>
      <c r="L1031" s="36" t="str">
        <f>IFERROR(VLOOKUP(I1031,보도매체!$A:$C,2,FALSE), "")</f>
        <v/>
      </c>
      <c r="M1031" s="38" t="str">
        <f>IFERROR(VLOOKUP(I1031,보도매체!$A:$C,3,FALSE), "")</f>
        <v/>
      </c>
    </row>
    <row r="1032" spans="3:13" x14ac:dyDescent="0.3">
      <c r="C1032" s="35">
        <f t="shared" si="17"/>
        <v>0</v>
      </c>
      <c r="D1032" s="30" t="str">
        <f>IFERROR(VLOOKUP(C1032,소속부서!$A$2:$B$20,2,FALSE), "")</f>
        <v/>
      </c>
      <c r="L1032" s="36" t="str">
        <f>IFERROR(VLOOKUP(I1032,보도매체!$A:$C,2,FALSE), "")</f>
        <v/>
      </c>
      <c r="M1032" s="38" t="str">
        <f>IFERROR(VLOOKUP(I1032,보도매체!$A:$C,3,FALSE), "")</f>
        <v/>
      </c>
    </row>
    <row r="1033" spans="3:13" x14ac:dyDescent="0.3">
      <c r="C1033" s="35">
        <f t="shared" si="17"/>
        <v>0</v>
      </c>
      <c r="D1033" s="30" t="str">
        <f>IFERROR(VLOOKUP(C1033,소속부서!$A$2:$B$20,2,FALSE), "")</f>
        <v/>
      </c>
      <c r="L1033" s="36" t="str">
        <f>IFERROR(VLOOKUP(I1033,보도매체!$A:$C,2,FALSE), "")</f>
        <v/>
      </c>
      <c r="M1033" s="38" t="str">
        <f>IFERROR(VLOOKUP(I1033,보도매체!$A:$C,3,FALSE), "")</f>
        <v/>
      </c>
    </row>
    <row r="1034" spans="3:13" x14ac:dyDescent="0.3">
      <c r="C1034" s="35">
        <f t="shared" si="17"/>
        <v>0</v>
      </c>
      <c r="D1034" s="30" t="str">
        <f>IFERROR(VLOOKUP(C1034,소속부서!$A$2:$B$20,2,FALSE), "")</f>
        <v/>
      </c>
      <c r="L1034" s="36" t="str">
        <f>IFERROR(VLOOKUP(I1034,보도매체!$A:$C,2,FALSE), "")</f>
        <v/>
      </c>
      <c r="M1034" s="38" t="str">
        <f>IFERROR(VLOOKUP(I1034,보도매체!$A:$C,3,FALSE), "")</f>
        <v/>
      </c>
    </row>
    <row r="1035" spans="3:13" x14ac:dyDescent="0.3">
      <c r="C1035" s="35">
        <f t="shared" si="17"/>
        <v>0</v>
      </c>
      <c r="D1035" s="30" t="str">
        <f>IFERROR(VLOOKUP(C1035,소속부서!$A$2:$B$20,2,FALSE), "")</f>
        <v/>
      </c>
      <c r="L1035" s="36" t="str">
        <f>IFERROR(VLOOKUP(I1035,보도매체!$A:$C,2,FALSE), "")</f>
        <v/>
      </c>
      <c r="M1035" s="38" t="str">
        <f>IFERROR(VLOOKUP(I1035,보도매체!$A:$C,3,FALSE), "")</f>
        <v/>
      </c>
    </row>
    <row r="1036" spans="3:13" x14ac:dyDescent="0.3">
      <c r="C1036" s="35">
        <f t="shared" si="17"/>
        <v>0</v>
      </c>
      <c r="D1036" s="30" t="str">
        <f>IFERROR(VLOOKUP(C1036,소속부서!$A$2:$B$20,2,FALSE), "")</f>
        <v/>
      </c>
      <c r="L1036" s="36" t="str">
        <f>IFERROR(VLOOKUP(I1036,보도매체!$A:$C,2,FALSE), "")</f>
        <v/>
      </c>
      <c r="M1036" s="38" t="str">
        <f>IFERROR(VLOOKUP(I1036,보도매체!$A:$C,3,FALSE), "")</f>
        <v/>
      </c>
    </row>
    <row r="1037" spans="3:13" x14ac:dyDescent="0.3">
      <c r="C1037" s="35">
        <f t="shared" si="17"/>
        <v>0</v>
      </c>
      <c r="D1037" s="30" t="str">
        <f>IFERROR(VLOOKUP(C1037,소속부서!$A$2:$B$20,2,FALSE), "")</f>
        <v/>
      </c>
      <c r="L1037" s="36" t="str">
        <f>IFERROR(VLOOKUP(I1037,보도매체!$A:$C,2,FALSE), "")</f>
        <v/>
      </c>
      <c r="M1037" s="38" t="str">
        <f>IFERROR(VLOOKUP(I1037,보도매체!$A:$C,3,FALSE), "")</f>
        <v/>
      </c>
    </row>
    <row r="1038" spans="3:13" x14ac:dyDescent="0.3">
      <c r="C1038" s="35">
        <f t="shared" si="17"/>
        <v>0</v>
      </c>
      <c r="D1038" s="30" t="str">
        <f>IFERROR(VLOOKUP(C1038,소속부서!$A$2:$B$20,2,FALSE), "")</f>
        <v/>
      </c>
      <c r="L1038" s="36" t="str">
        <f>IFERROR(VLOOKUP(I1038,보도매체!$A:$C,2,FALSE), "")</f>
        <v/>
      </c>
      <c r="M1038" s="38" t="str">
        <f>IFERROR(VLOOKUP(I1038,보도매체!$A:$C,3,FALSE), "")</f>
        <v/>
      </c>
    </row>
    <row r="1039" spans="3:13" x14ac:dyDescent="0.3">
      <c r="C1039" s="35">
        <f t="shared" si="17"/>
        <v>0</v>
      </c>
      <c r="D1039" s="30" t="str">
        <f>IFERROR(VLOOKUP(C1039,소속부서!$A$2:$B$20,2,FALSE), "")</f>
        <v/>
      </c>
      <c r="L1039" s="36" t="str">
        <f>IFERROR(VLOOKUP(I1039,보도매체!$A:$C,2,FALSE), "")</f>
        <v/>
      </c>
      <c r="M1039" s="38" t="str">
        <f>IFERROR(VLOOKUP(I1039,보도매체!$A:$C,3,FALSE), "")</f>
        <v/>
      </c>
    </row>
    <row r="1040" spans="3:13" x14ac:dyDescent="0.3">
      <c r="C1040" s="35">
        <f t="shared" si="17"/>
        <v>0</v>
      </c>
      <c r="D1040" s="30" t="str">
        <f>IFERROR(VLOOKUP(C1040,소속부서!$A$2:$B$20,2,FALSE), "")</f>
        <v/>
      </c>
      <c r="L1040" s="36" t="str">
        <f>IFERROR(VLOOKUP(I1040,보도매체!$A:$C,2,FALSE), "")</f>
        <v/>
      </c>
      <c r="M1040" s="38" t="str">
        <f>IFERROR(VLOOKUP(I1040,보도매체!$A:$C,3,FALSE), "")</f>
        <v/>
      </c>
    </row>
    <row r="1041" spans="3:13" x14ac:dyDescent="0.3">
      <c r="C1041" s="35">
        <f t="shared" si="17"/>
        <v>0</v>
      </c>
      <c r="D1041" s="30" t="str">
        <f>IFERROR(VLOOKUP(C1041,소속부서!$A$2:$B$20,2,FALSE), "")</f>
        <v/>
      </c>
      <c r="L1041" s="36" t="str">
        <f>IFERROR(VLOOKUP(I1041,보도매체!$A:$C,2,FALSE), "")</f>
        <v/>
      </c>
      <c r="M1041" s="38" t="str">
        <f>IFERROR(VLOOKUP(I1041,보도매체!$A:$C,3,FALSE), "")</f>
        <v/>
      </c>
    </row>
    <row r="1042" spans="3:13" x14ac:dyDescent="0.3">
      <c r="C1042" s="35">
        <f t="shared" si="17"/>
        <v>0</v>
      </c>
      <c r="D1042" s="30" t="str">
        <f>IFERROR(VLOOKUP(C1042,소속부서!$A$2:$B$20,2,FALSE), "")</f>
        <v/>
      </c>
      <c r="L1042" s="36" t="str">
        <f>IFERROR(VLOOKUP(I1042,보도매체!$A:$C,2,FALSE), "")</f>
        <v/>
      </c>
      <c r="M1042" s="38" t="str">
        <f>IFERROR(VLOOKUP(I1042,보도매체!$A:$C,3,FALSE), "")</f>
        <v/>
      </c>
    </row>
    <row r="1043" spans="3:13" x14ac:dyDescent="0.3">
      <c r="C1043" s="35">
        <f t="shared" si="17"/>
        <v>0</v>
      </c>
      <c r="D1043" s="30" t="str">
        <f>IFERROR(VLOOKUP(C1043,소속부서!$A$2:$B$20,2,FALSE), "")</f>
        <v/>
      </c>
      <c r="L1043" s="36" t="str">
        <f>IFERROR(VLOOKUP(I1043,보도매체!$A:$C,2,FALSE), "")</f>
        <v/>
      </c>
      <c r="M1043" s="38" t="str">
        <f>IFERROR(VLOOKUP(I1043,보도매체!$A:$C,3,FALSE), "")</f>
        <v/>
      </c>
    </row>
    <row r="1044" spans="3:13" x14ac:dyDescent="0.3">
      <c r="C1044" s="35">
        <f t="shared" si="17"/>
        <v>0</v>
      </c>
      <c r="D1044" s="30" t="str">
        <f>IFERROR(VLOOKUP(C1044,소속부서!$A$2:$B$20,2,FALSE), "")</f>
        <v/>
      </c>
      <c r="L1044" s="36" t="str">
        <f>IFERROR(VLOOKUP(I1044,보도매체!$A:$C,2,FALSE), "")</f>
        <v/>
      </c>
      <c r="M1044" s="38" t="str">
        <f>IFERROR(VLOOKUP(I1044,보도매체!$A:$C,3,FALSE), "")</f>
        <v/>
      </c>
    </row>
    <row r="1045" spans="3:13" x14ac:dyDescent="0.3">
      <c r="C1045" s="35">
        <f t="shared" si="17"/>
        <v>0</v>
      </c>
      <c r="D1045" s="30" t="str">
        <f>IFERROR(VLOOKUP(C1045,소속부서!$A$2:$B$20,2,FALSE), "")</f>
        <v/>
      </c>
      <c r="L1045" s="36" t="str">
        <f>IFERROR(VLOOKUP(I1045,보도매체!$A:$C,2,FALSE), "")</f>
        <v/>
      </c>
      <c r="M1045" s="38" t="str">
        <f>IFERROR(VLOOKUP(I1045,보도매체!$A:$C,3,FALSE), "")</f>
        <v/>
      </c>
    </row>
    <row r="1046" spans="3:13" x14ac:dyDescent="0.3">
      <c r="C1046" s="35">
        <f t="shared" si="17"/>
        <v>0</v>
      </c>
      <c r="D1046" s="30" t="str">
        <f>IFERROR(VLOOKUP(C1046,소속부서!$A$2:$B$20,2,FALSE), "")</f>
        <v/>
      </c>
      <c r="L1046" s="36" t="str">
        <f>IFERROR(VLOOKUP(I1046,보도매체!$A:$C,2,FALSE), "")</f>
        <v/>
      </c>
      <c r="M1046" s="38" t="str">
        <f>IFERROR(VLOOKUP(I1046,보도매체!$A:$C,3,FALSE), "")</f>
        <v/>
      </c>
    </row>
    <row r="1047" spans="3:13" x14ac:dyDescent="0.3">
      <c r="C1047" s="35">
        <f t="shared" si="17"/>
        <v>0</v>
      </c>
      <c r="D1047" s="30" t="str">
        <f>IFERROR(VLOOKUP(C1047,소속부서!$A$2:$B$20,2,FALSE), "")</f>
        <v/>
      </c>
      <c r="L1047" s="36" t="str">
        <f>IFERROR(VLOOKUP(I1047,보도매체!$A:$C,2,FALSE), "")</f>
        <v/>
      </c>
      <c r="M1047" s="38" t="str">
        <f>IFERROR(VLOOKUP(I1047,보도매체!$A:$C,3,FALSE), "")</f>
        <v/>
      </c>
    </row>
    <row r="1048" spans="3:13" x14ac:dyDescent="0.3">
      <c r="C1048" s="35">
        <f t="shared" si="17"/>
        <v>0</v>
      </c>
      <c r="D1048" s="30" t="str">
        <f>IFERROR(VLOOKUP(C1048,소속부서!$A$2:$B$20,2,FALSE), "")</f>
        <v/>
      </c>
      <c r="L1048" s="36" t="str">
        <f>IFERROR(VLOOKUP(I1048,보도매체!$A:$C,2,FALSE), "")</f>
        <v/>
      </c>
      <c r="M1048" s="38" t="str">
        <f>IFERROR(VLOOKUP(I1048,보도매체!$A:$C,3,FALSE), "")</f>
        <v/>
      </c>
    </row>
    <row r="1049" spans="3:13" x14ac:dyDescent="0.3">
      <c r="C1049" s="35">
        <f t="shared" si="17"/>
        <v>0</v>
      </c>
      <c r="D1049" s="30" t="str">
        <f>IFERROR(VLOOKUP(C1049,소속부서!$A$2:$B$20,2,FALSE), "")</f>
        <v/>
      </c>
      <c r="L1049" s="36" t="str">
        <f>IFERROR(VLOOKUP(I1049,보도매체!$A:$C,2,FALSE), "")</f>
        <v/>
      </c>
      <c r="M1049" s="38" t="str">
        <f>IFERROR(VLOOKUP(I1049,보도매체!$A:$C,3,FALSE), "")</f>
        <v/>
      </c>
    </row>
    <row r="1050" spans="3:13" x14ac:dyDescent="0.3">
      <c r="C1050" s="35">
        <f t="shared" si="17"/>
        <v>0</v>
      </c>
      <c r="D1050" s="30" t="str">
        <f>IFERROR(VLOOKUP(C1050,소속부서!$A$2:$B$20,2,FALSE), "")</f>
        <v/>
      </c>
      <c r="L1050" s="36" t="str">
        <f>IFERROR(VLOOKUP(I1050,보도매체!$A:$C,2,FALSE), "")</f>
        <v/>
      </c>
      <c r="M1050" s="38" t="str">
        <f>IFERROR(VLOOKUP(I1050,보도매체!$A:$C,3,FALSE), "")</f>
        <v/>
      </c>
    </row>
    <row r="1051" spans="3:13" x14ac:dyDescent="0.3">
      <c r="C1051" s="35">
        <f t="shared" si="17"/>
        <v>0</v>
      </c>
      <c r="D1051" s="30" t="str">
        <f>IFERROR(VLOOKUP(C1051,소속부서!$A$2:$B$20,2,FALSE), "")</f>
        <v/>
      </c>
      <c r="L1051" s="36" t="str">
        <f>IFERROR(VLOOKUP(I1051,보도매체!$A:$C,2,FALSE), "")</f>
        <v/>
      </c>
      <c r="M1051" s="38" t="str">
        <f>IFERROR(VLOOKUP(I1051,보도매체!$A:$C,3,FALSE), "")</f>
        <v/>
      </c>
    </row>
    <row r="1052" spans="3:13" x14ac:dyDescent="0.3">
      <c r="C1052" s="35">
        <f t="shared" si="17"/>
        <v>0</v>
      </c>
      <c r="D1052" s="30" t="str">
        <f>IFERROR(VLOOKUP(C1052,소속부서!$A$2:$B$20,2,FALSE), "")</f>
        <v/>
      </c>
      <c r="L1052" s="36" t="str">
        <f>IFERROR(VLOOKUP(I1052,보도매체!$A:$C,2,FALSE), "")</f>
        <v/>
      </c>
      <c r="M1052" s="38" t="str">
        <f>IFERROR(VLOOKUP(I1052,보도매체!$A:$C,3,FALSE), "")</f>
        <v/>
      </c>
    </row>
    <row r="1053" spans="3:13" x14ac:dyDescent="0.3">
      <c r="C1053" s="35">
        <f t="shared" si="17"/>
        <v>0</v>
      </c>
      <c r="D1053" s="30" t="str">
        <f>IFERROR(VLOOKUP(C1053,소속부서!$A$2:$B$20,2,FALSE), "")</f>
        <v/>
      </c>
      <c r="L1053" s="36" t="str">
        <f>IFERROR(VLOOKUP(I1053,보도매체!$A:$C,2,FALSE), "")</f>
        <v/>
      </c>
      <c r="M1053" s="38" t="str">
        <f>IFERROR(VLOOKUP(I1053,보도매체!$A:$C,3,FALSE), "")</f>
        <v/>
      </c>
    </row>
    <row r="1054" spans="3:13" x14ac:dyDescent="0.3">
      <c r="C1054" s="35">
        <f t="shared" si="17"/>
        <v>0</v>
      </c>
      <c r="D1054" s="30" t="str">
        <f>IFERROR(VLOOKUP(C1054,소속부서!$A$2:$B$20,2,FALSE), "")</f>
        <v/>
      </c>
      <c r="L1054" s="36" t="str">
        <f>IFERROR(VLOOKUP(I1054,보도매체!$A:$C,2,FALSE), "")</f>
        <v/>
      </c>
      <c r="M1054" s="38" t="str">
        <f>IFERROR(VLOOKUP(I1054,보도매체!$A:$C,3,FALSE), "")</f>
        <v/>
      </c>
    </row>
    <row r="1055" spans="3:13" x14ac:dyDescent="0.3">
      <c r="C1055" s="35">
        <f t="shared" si="17"/>
        <v>0</v>
      </c>
      <c r="D1055" s="30" t="str">
        <f>IFERROR(VLOOKUP(C1055,소속부서!$A$2:$B$20,2,FALSE), "")</f>
        <v/>
      </c>
      <c r="L1055" s="36" t="str">
        <f>IFERROR(VLOOKUP(I1055,보도매체!$A:$C,2,FALSE), "")</f>
        <v/>
      </c>
      <c r="M1055" s="38" t="str">
        <f>IFERROR(VLOOKUP(I1055,보도매체!$A:$C,3,FALSE), "")</f>
        <v/>
      </c>
    </row>
    <row r="1056" spans="3:13" x14ac:dyDescent="0.3">
      <c r="C1056" s="35">
        <f t="shared" si="17"/>
        <v>0</v>
      </c>
      <c r="D1056" s="30" t="str">
        <f>IFERROR(VLOOKUP(C1056,소속부서!$A$2:$B$20,2,FALSE), "")</f>
        <v/>
      </c>
      <c r="L1056" s="36" t="str">
        <f>IFERROR(VLOOKUP(I1056,보도매체!$A:$C,2,FALSE), "")</f>
        <v/>
      </c>
      <c r="M1056" s="38" t="str">
        <f>IFERROR(VLOOKUP(I1056,보도매체!$A:$C,3,FALSE), "")</f>
        <v/>
      </c>
    </row>
    <row r="1057" spans="3:13" x14ac:dyDescent="0.3">
      <c r="C1057" s="35">
        <f t="shared" si="17"/>
        <v>0</v>
      </c>
      <c r="D1057" s="30" t="str">
        <f>IFERROR(VLOOKUP(C1057,소속부서!$A$2:$B$20,2,FALSE), "")</f>
        <v/>
      </c>
      <c r="L1057" s="36" t="str">
        <f>IFERROR(VLOOKUP(I1057,보도매체!$A:$C,2,FALSE), "")</f>
        <v/>
      </c>
      <c r="M1057" s="38" t="str">
        <f>IFERROR(VLOOKUP(I1057,보도매체!$A:$C,3,FALSE), "")</f>
        <v/>
      </c>
    </row>
    <row r="1058" spans="3:13" x14ac:dyDescent="0.3">
      <c r="C1058" s="35">
        <f t="shared" si="17"/>
        <v>0</v>
      </c>
      <c r="D1058" s="30" t="str">
        <f>IFERROR(VLOOKUP(C1058,소속부서!$A$2:$B$20,2,FALSE), "")</f>
        <v/>
      </c>
      <c r="L1058" s="36" t="str">
        <f>IFERROR(VLOOKUP(I1058,보도매체!$A:$C,2,FALSE), "")</f>
        <v/>
      </c>
      <c r="M1058" s="38" t="str">
        <f>IFERROR(VLOOKUP(I1058,보도매체!$A:$C,3,FALSE), "")</f>
        <v/>
      </c>
    </row>
    <row r="1059" spans="3:13" x14ac:dyDescent="0.3">
      <c r="C1059" s="35">
        <f t="shared" si="17"/>
        <v>0</v>
      </c>
      <c r="D1059" s="30" t="str">
        <f>IFERROR(VLOOKUP(C1059,소속부서!$A$2:$B$20,2,FALSE), "")</f>
        <v/>
      </c>
      <c r="L1059" s="36" t="str">
        <f>IFERROR(VLOOKUP(I1059,보도매체!$A:$C,2,FALSE), "")</f>
        <v/>
      </c>
      <c r="M1059" s="38" t="str">
        <f>IFERROR(VLOOKUP(I1059,보도매체!$A:$C,3,FALSE), "")</f>
        <v/>
      </c>
    </row>
    <row r="1060" spans="3:13" x14ac:dyDescent="0.3">
      <c r="C1060" s="35">
        <f t="shared" si="17"/>
        <v>0</v>
      </c>
      <c r="D1060" s="30" t="str">
        <f>IFERROR(VLOOKUP(C1060,소속부서!$A$2:$B$20,2,FALSE), "")</f>
        <v/>
      </c>
      <c r="L1060" s="36" t="str">
        <f>IFERROR(VLOOKUP(I1060,보도매체!$A:$C,2,FALSE), "")</f>
        <v/>
      </c>
      <c r="M1060" s="38" t="str">
        <f>IFERROR(VLOOKUP(I1060,보도매체!$A:$C,3,FALSE), "")</f>
        <v/>
      </c>
    </row>
    <row r="1061" spans="3:13" x14ac:dyDescent="0.3">
      <c r="C1061" s="35">
        <f t="shared" si="17"/>
        <v>0</v>
      </c>
      <c r="D1061" s="30" t="str">
        <f>IFERROR(VLOOKUP(C1061,소속부서!$A$2:$B$20,2,FALSE), "")</f>
        <v/>
      </c>
      <c r="L1061" s="36" t="str">
        <f>IFERROR(VLOOKUP(I1061,보도매체!$A:$C,2,FALSE), "")</f>
        <v/>
      </c>
      <c r="M1061" s="38" t="str">
        <f>IFERROR(VLOOKUP(I1061,보도매체!$A:$C,3,FALSE), "")</f>
        <v/>
      </c>
    </row>
    <row r="1062" spans="3:13" x14ac:dyDescent="0.3">
      <c r="C1062" s="35">
        <f t="shared" si="17"/>
        <v>0</v>
      </c>
      <c r="D1062" s="30" t="str">
        <f>IFERROR(VLOOKUP(C1062,소속부서!$A$2:$B$20,2,FALSE), "")</f>
        <v/>
      </c>
      <c r="L1062" s="36" t="str">
        <f>IFERROR(VLOOKUP(I1062,보도매체!$A:$C,2,FALSE), "")</f>
        <v/>
      </c>
      <c r="M1062" s="38" t="str">
        <f>IFERROR(VLOOKUP(I1062,보도매체!$A:$C,3,FALSE), "")</f>
        <v/>
      </c>
    </row>
    <row r="1063" spans="3:13" x14ac:dyDescent="0.3">
      <c r="C1063" s="35">
        <f t="shared" si="17"/>
        <v>0</v>
      </c>
      <c r="D1063" s="30" t="str">
        <f>IFERROR(VLOOKUP(C1063,소속부서!$A$2:$B$20,2,FALSE), "")</f>
        <v/>
      </c>
      <c r="L1063" s="36" t="str">
        <f>IFERROR(VLOOKUP(I1063,보도매체!$A:$C,2,FALSE), "")</f>
        <v/>
      </c>
      <c r="M1063" s="38" t="str">
        <f>IFERROR(VLOOKUP(I1063,보도매체!$A:$C,3,FALSE), "")</f>
        <v/>
      </c>
    </row>
    <row r="1064" spans="3:13" x14ac:dyDescent="0.3">
      <c r="C1064" s="35">
        <f t="shared" si="17"/>
        <v>0</v>
      </c>
      <c r="D1064" s="30" t="str">
        <f>IFERROR(VLOOKUP(C1064,소속부서!$A$2:$B$20,2,FALSE), "")</f>
        <v/>
      </c>
      <c r="L1064" s="36" t="str">
        <f>IFERROR(VLOOKUP(I1064,보도매체!$A:$C,2,FALSE), "")</f>
        <v/>
      </c>
      <c r="M1064" s="38" t="str">
        <f>IFERROR(VLOOKUP(I1064,보도매체!$A:$C,3,FALSE), "")</f>
        <v/>
      </c>
    </row>
    <row r="1065" spans="3:13" x14ac:dyDescent="0.3">
      <c r="C1065" s="35">
        <f t="shared" si="17"/>
        <v>0</v>
      </c>
      <c r="D1065" s="30" t="str">
        <f>IFERROR(VLOOKUP(C1065,소속부서!$A$2:$B$20,2,FALSE), "")</f>
        <v/>
      </c>
      <c r="L1065" s="36" t="str">
        <f>IFERROR(VLOOKUP(I1065,보도매체!$A:$C,2,FALSE), "")</f>
        <v/>
      </c>
      <c r="M1065" s="38" t="str">
        <f>IFERROR(VLOOKUP(I1065,보도매체!$A:$C,3,FALSE), "")</f>
        <v/>
      </c>
    </row>
    <row r="1066" spans="3:13" x14ac:dyDescent="0.3">
      <c r="C1066" s="35">
        <f t="shared" si="17"/>
        <v>0</v>
      </c>
      <c r="D1066" s="30" t="str">
        <f>IFERROR(VLOOKUP(C1066,소속부서!$A$2:$B$20,2,FALSE), "")</f>
        <v/>
      </c>
      <c r="L1066" s="36" t="str">
        <f>IFERROR(VLOOKUP(I1066,보도매체!$A:$C,2,FALSE), "")</f>
        <v/>
      </c>
      <c r="M1066" s="38" t="str">
        <f>IFERROR(VLOOKUP(I1066,보도매체!$A:$C,3,FALSE), "")</f>
        <v/>
      </c>
    </row>
    <row r="1067" spans="3:13" x14ac:dyDescent="0.3">
      <c r="C1067" s="35">
        <f t="shared" si="17"/>
        <v>0</v>
      </c>
      <c r="D1067" s="30" t="str">
        <f>IFERROR(VLOOKUP(C1067,소속부서!$A$2:$B$20,2,FALSE), "")</f>
        <v/>
      </c>
    </row>
    <row r="1068" spans="3:13" x14ac:dyDescent="0.3">
      <c r="C1068" s="35">
        <f t="shared" si="17"/>
        <v>0</v>
      </c>
      <c r="D1068" s="30" t="str">
        <f>IFERROR(VLOOKUP(C1068,소속부서!$A$2:$B$20,2,FALSE), "")</f>
        <v/>
      </c>
    </row>
    <row r="1069" spans="3:13" x14ac:dyDescent="0.3">
      <c r="C1069" s="35">
        <f t="shared" si="17"/>
        <v>0</v>
      </c>
      <c r="D1069" s="30" t="str">
        <f>IFERROR(VLOOKUP(C1069,소속부서!$A$2:$B$20,2,FALSE), "")</f>
        <v/>
      </c>
    </row>
    <row r="1070" spans="3:13" x14ac:dyDescent="0.3">
      <c r="C1070" s="35">
        <f t="shared" si="17"/>
        <v>0</v>
      </c>
      <c r="D1070" s="30" t="str">
        <f>IFERROR(VLOOKUP(C1070,소속부서!$A$2:$B$20,2,FALSE), "")</f>
        <v/>
      </c>
    </row>
    <row r="1071" spans="3:13" x14ac:dyDescent="0.3">
      <c r="C1071" s="35">
        <f t="shared" si="17"/>
        <v>0</v>
      </c>
      <c r="D1071" s="30" t="str">
        <f>IFERROR(VLOOKUP(C1071,소속부서!$A$2:$B$20,2,FALSE), "")</f>
        <v/>
      </c>
    </row>
    <row r="1072" spans="3:13" x14ac:dyDescent="0.3">
      <c r="C1072" s="35">
        <f t="shared" si="17"/>
        <v>0</v>
      </c>
      <c r="D1072" s="30" t="str">
        <f>IFERROR(VLOOKUP(C1072,소속부서!$A$2:$B$20,2,FALSE), "")</f>
        <v/>
      </c>
    </row>
    <row r="1073" spans="3:4" x14ac:dyDescent="0.3">
      <c r="C1073" s="35">
        <f t="shared" si="17"/>
        <v>0</v>
      </c>
      <c r="D1073" s="30" t="str">
        <f>IFERROR(VLOOKUP(C1073,소속부서!$A$2:$B$20,2,FALSE), "")</f>
        <v/>
      </c>
    </row>
    <row r="1074" spans="3:4" x14ac:dyDescent="0.3">
      <c r="C1074" s="35">
        <f t="shared" si="17"/>
        <v>0</v>
      </c>
      <c r="D1074" s="30" t="str">
        <f>IFERROR(VLOOKUP(C1074,소속부서!$A$2:$B$20,2,FALSE), "")</f>
        <v/>
      </c>
    </row>
    <row r="1075" spans="3:4" x14ac:dyDescent="0.3">
      <c r="C1075" s="35">
        <f t="shared" si="17"/>
        <v>0</v>
      </c>
      <c r="D1075" s="30" t="str">
        <f>IFERROR(VLOOKUP(C1075,소속부서!$A$2:$B$20,2,FALSE), "")</f>
        <v/>
      </c>
    </row>
    <row r="1076" spans="3:4" x14ac:dyDescent="0.3">
      <c r="C1076" s="35">
        <f t="shared" si="17"/>
        <v>0</v>
      </c>
      <c r="D1076" s="30" t="str">
        <f>IFERROR(VLOOKUP(C1076,소속부서!$A$2:$B$20,2,FALSE), "")</f>
        <v/>
      </c>
    </row>
    <row r="1077" spans="3:4" x14ac:dyDescent="0.3">
      <c r="C1077" s="35">
        <f t="shared" si="17"/>
        <v>0</v>
      </c>
      <c r="D1077" s="30" t="str">
        <f>IFERROR(VLOOKUP(C1077,소속부서!$A$2:$B$20,2,FALSE), "")</f>
        <v/>
      </c>
    </row>
    <row r="1078" spans="3:4" x14ac:dyDescent="0.3">
      <c r="C1078" s="35">
        <f t="shared" si="17"/>
        <v>0</v>
      </c>
      <c r="D1078" s="30" t="str">
        <f>IFERROR(VLOOKUP(C1078,소속부서!$A$2:$B$20,2,FALSE), "")</f>
        <v/>
      </c>
    </row>
    <row r="1079" spans="3:4" x14ac:dyDescent="0.3">
      <c r="C1079" s="35">
        <f t="shared" si="17"/>
        <v>0</v>
      </c>
      <c r="D1079" s="30" t="str">
        <f>IFERROR(VLOOKUP(C1079,소속부서!$A$2:$B$20,2,FALSE), "")</f>
        <v/>
      </c>
    </row>
    <row r="1080" spans="3:4" x14ac:dyDescent="0.3">
      <c r="C1080" s="35">
        <f t="shared" si="17"/>
        <v>0</v>
      </c>
      <c r="D1080" s="30" t="str">
        <f>IFERROR(VLOOKUP(C1080,소속부서!$A$2:$B$20,2,FALSE), "")</f>
        <v/>
      </c>
    </row>
    <row r="1081" spans="3:4" x14ac:dyDescent="0.3">
      <c r="C1081" s="35">
        <f t="shared" si="17"/>
        <v>0</v>
      </c>
      <c r="D1081" s="30" t="str">
        <f>IFERROR(VLOOKUP(C1081,소속부서!$A$2:$B$20,2,FALSE), "")</f>
        <v/>
      </c>
    </row>
    <row r="1082" spans="3:4" x14ac:dyDescent="0.3">
      <c r="C1082" s="35">
        <f t="shared" si="17"/>
        <v>0</v>
      </c>
      <c r="D1082" s="30" t="str">
        <f>IFERROR(VLOOKUP(C1082,소속부서!$A$2:$B$20,2,FALSE), "")</f>
        <v/>
      </c>
    </row>
    <row r="1083" spans="3:4" x14ac:dyDescent="0.3">
      <c r="C1083" s="35">
        <f t="shared" si="17"/>
        <v>0</v>
      </c>
      <c r="D1083" s="30" t="str">
        <f>IFERROR(VLOOKUP(C1083,소속부서!$A$2:$B$20,2,FALSE), "")</f>
        <v/>
      </c>
    </row>
    <row r="1084" spans="3:4" x14ac:dyDescent="0.3">
      <c r="C1084" s="35">
        <f t="shared" si="17"/>
        <v>0</v>
      </c>
      <c r="D1084" s="30" t="str">
        <f>IFERROR(VLOOKUP(C1084,소속부서!$A$2:$B$20,2,FALSE), "")</f>
        <v/>
      </c>
    </row>
    <row r="1085" spans="3:4" x14ac:dyDescent="0.3">
      <c r="C1085" s="35">
        <f t="shared" si="17"/>
        <v>0</v>
      </c>
      <c r="D1085" s="30" t="str">
        <f>IFERROR(VLOOKUP(C1085,소속부서!$A$2:$B$20,2,FALSE), "")</f>
        <v/>
      </c>
    </row>
    <row r="1086" spans="3:4" x14ac:dyDescent="0.3">
      <c r="C1086" s="35">
        <f t="shared" si="17"/>
        <v>0</v>
      </c>
      <c r="D1086" s="30" t="str">
        <f>IFERROR(VLOOKUP(C1086,소속부서!$A$2:$B$20,2,FALSE), "")</f>
        <v/>
      </c>
    </row>
    <row r="1087" spans="3:4" x14ac:dyDescent="0.3">
      <c r="C1087" s="35">
        <f t="shared" si="17"/>
        <v>0</v>
      </c>
      <c r="D1087" s="30" t="str">
        <f>IFERROR(VLOOKUP(C1087,소속부서!$A$2:$B$20,2,FALSE), "")</f>
        <v/>
      </c>
    </row>
    <row r="1088" spans="3:4" x14ac:dyDescent="0.3">
      <c r="C1088" s="35">
        <f t="shared" si="17"/>
        <v>0</v>
      </c>
      <c r="D1088" s="30" t="str">
        <f>IFERROR(VLOOKUP(C1088,소속부서!$A$2:$B$20,2,FALSE), "")</f>
        <v/>
      </c>
    </row>
    <row r="1089" spans="3:4" x14ac:dyDescent="0.3">
      <c r="C1089" s="35">
        <f t="shared" si="17"/>
        <v>0</v>
      </c>
      <c r="D1089" s="30" t="str">
        <f>IFERROR(VLOOKUP(C1089,소속부서!$A$2:$B$20,2,FALSE), "")</f>
        <v/>
      </c>
    </row>
    <row r="1090" spans="3:4" x14ac:dyDescent="0.3">
      <c r="C1090" s="35">
        <f t="shared" si="17"/>
        <v>0</v>
      </c>
      <c r="D1090" s="30" t="str">
        <f>IFERROR(VLOOKUP(C1090,소속부서!$A$2:$B$20,2,FALSE), "")</f>
        <v/>
      </c>
    </row>
    <row r="1091" spans="3:4" x14ac:dyDescent="0.3">
      <c r="C1091" s="35">
        <f t="shared" si="17"/>
        <v>0</v>
      </c>
      <c r="D1091" s="30" t="str">
        <f>IFERROR(VLOOKUP(C1091,소속부서!$A$2:$B$20,2,FALSE), "")</f>
        <v/>
      </c>
    </row>
    <row r="1092" spans="3:4" x14ac:dyDescent="0.3">
      <c r="C1092" s="35">
        <f t="shared" ref="C1092:C1155" si="18">E1092</f>
        <v>0</v>
      </c>
      <c r="D1092" s="30" t="str">
        <f>IFERROR(VLOOKUP(C1092,소속부서!$A$2:$B$20,2,FALSE), "")</f>
        <v/>
      </c>
    </row>
    <row r="1093" spans="3:4" x14ac:dyDescent="0.3">
      <c r="C1093" s="35">
        <f t="shared" si="18"/>
        <v>0</v>
      </c>
      <c r="D1093" s="30" t="str">
        <f>IFERROR(VLOOKUP(C1093,소속부서!$A$2:$B$20,2,FALSE), "")</f>
        <v/>
      </c>
    </row>
    <row r="1094" spans="3:4" x14ac:dyDescent="0.3">
      <c r="C1094" s="35">
        <f t="shared" si="18"/>
        <v>0</v>
      </c>
      <c r="D1094" s="30" t="str">
        <f>IFERROR(VLOOKUP(C1094,소속부서!$A$2:$B$20,2,FALSE), "")</f>
        <v/>
      </c>
    </row>
    <row r="1095" spans="3:4" x14ac:dyDescent="0.3">
      <c r="C1095" s="35">
        <f t="shared" si="18"/>
        <v>0</v>
      </c>
      <c r="D1095" s="30" t="str">
        <f>IFERROR(VLOOKUP(C1095,소속부서!$A$2:$B$20,2,FALSE), "")</f>
        <v/>
      </c>
    </row>
    <row r="1096" spans="3:4" x14ac:dyDescent="0.3">
      <c r="C1096" s="35">
        <f t="shared" si="18"/>
        <v>0</v>
      </c>
      <c r="D1096" s="30" t="str">
        <f>IFERROR(VLOOKUP(C1096,소속부서!$A$2:$B$20,2,FALSE), "")</f>
        <v/>
      </c>
    </row>
    <row r="1097" spans="3:4" x14ac:dyDescent="0.3">
      <c r="C1097" s="35">
        <f t="shared" si="18"/>
        <v>0</v>
      </c>
      <c r="D1097" s="30" t="str">
        <f>IFERROR(VLOOKUP(C1097,소속부서!$A$2:$B$20,2,FALSE), "")</f>
        <v/>
      </c>
    </row>
    <row r="1098" spans="3:4" x14ac:dyDescent="0.3">
      <c r="C1098" s="35">
        <f t="shared" si="18"/>
        <v>0</v>
      </c>
      <c r="D1098" s="30" t="str">
        <f>IFERROR(VLOOKUP(C1098,소속부서!$A$2:$B$20,2,FALSE), "")</f>
        <v/>
      </c>
    </row>
    <row r="1099" spans="3:4" x14ac:dyDescent="0.3">
      <c r="C1099" s="35">
        <f t="shared" si="18"/>
        <v>0</v>
      </c>
      <c r="D1099" s="30" t="str">
        <f>IFERROR(VLOOKUP(C1099,소속부서!$A$2:$B$20,2,FALSE), "")</f>
        <v/>
      </c>
    </row>
    <row r="1100" spans="3:4" x14ac:dyDescent="0.3">
      <c r="C1100" s="35">
        <f t="shared" si="18"/>
        <v>0</v>
      </c>
      <c r="D1100" s="30" t="str">
        <f>IFERROR(VLOOKUP(C1100,소속부서!$A$2:$B$20,2,FALSE), "")</f>
        <v/>
      </c>
    </row>
    <row r="1101" spans="3:4" x14ac:dyDescent="0.3">
      <c r="C1101" s="35">
        <f t="shared" si="18"/>
        <v>0</v>
      </c>
      <c r="D1101" s="30" t="str">
        <f>IFERROR(VLOOKUP(C1101,소속부서!$A$2:$B$20,2,FALSE), "")</f>
        <v/>
      </c>
    </row>
    <row r="1102" spans="3:4" x14ac:dyDescent="0.3">
      <c r="C1102" s="35">
        <f t="shared" si="18"/>
        <v>0</v>
      </c>
      <c r="D1102" s="30" t="str">
        <f>IFERROR(VLOOKUP(C1102,소속부서!$A$2:$B$20,2,FALSE), "")</f>
        <v/>
      </c>
    </row>
    <row r="1103" spans="3:4" x14ac:dyDescent="0.3">
      <c r="C1103" s="35">
        <f t="shared" si="18"/>
        <v>0</v>
      </c>
      <c r="D1103" s="30" t="str">
        <f>IFERROR(VLOOKUP(C1103,소속부서!$A$2:$B$20,2,FALSE), "")</f>
        <v/>
      </c>
    </row>
    <row r="1104" spans="3:4" x14ac:dyDescent="0.3">
      <c r="C1104" s="35">
        <f t="shared" si="18"/>
        <v>0</v>
      </c>
      <c r="D1104" s="30" t="str">
        <f>IFERROR(VLOOKUP(C1104,소속부서!$A$2:$B$20,2,FALSE), "")</f>
        <v/>
      </c>
    </row>
    <row r="1105" spans="3:4" x14ac:dyDescent="0.3">
      <c r="C1105" s="35">
        <f t="shared" si="18"/>
        <v>0</v>
      </c>
      <c r="D1105" s="30" t="str">
        <f>IFERROR(VLOOKUP(C1105,소속부서!$A$2:$B$20,2,FALSE), "")</f>
        <v/>
      </c>
    </row>
    <row r="1106" spans="3:4" x14ac:dyDescent="0.3">
      <c r="C1106" s="35">
        <f t="shared" si="18"/>
        <v>0</v>
      </c>
      <c r="D1106" s="30" t="str">
        <f>IFERROR(VLOOKUP(C1106,소속부서!$A$2:$B$20,2,FALSE), "")</f>
        <v/>
      </c>
    </row>
    <row r="1107" spans="3:4" x14ac:dyDescent="0.3">
      <c r="C1107" s="35">
        <f t="shared" si="18"/>
        <v>0</v>
      </c>
      <c r="D1107" s="30" t="str">
        <f>IFERROR(VLOOKUP(C1107,소속부서!$A$2:$B$20,2,FALSE), "")</f>
        <v/>
      </c>
    </row>
    <row r="1108" spans="3:4" x14ac:dyDescent="0.3">
      <c r="C1108" s="35">
        <f t="shared" si="18"/>
        <v>0</v>
      </c>
      <c r="D1108" s="30" t="str">
        <f>IFERROR(VLOOKUP(C1108,소속부서!$A$2:$B$20,2,FALSE), "")</f>
        <v/>
      </c>
    </row>
    <row r="1109" spans="3:4" x14ac:dyDescent="0.3">
      <c r="C1109" s="35">
        <f t="shared" si="18"/>
        <v>0</v>
      </c>
      <c r="D1109" s="30" t="str">
        <f>IFERROR(VLOOKUP(C1109,소속부서!$A$2:$B$20,2,FALSE), "")</f>
        <v/>
      </c>
    </row>
    <row r="1110" spans="3:4" x14ac:dyDescent="0.3">
      <c r="C1110" s="35">
        <f t="shared" si="18"/>
        <v>0</v>
      </c>
      <c r="D1110" s="30" t="str">
        <f>IFERROR(VLOOKUP(C1110,소속부서!$A$2:$B$20,2,FALSE), "")</f>
        <v/>
      </c>
    </row>
    <row r="1111" spans="3:4" x14ac:dyDescent="0.3">
      <c r="C1111" s="35">
        <f t="shared" si="18"/>
        <v>0</v>
      </c>
      <c r="D1111" s="30" t="str">
        <f>IFERROR(VLOOKUP(C1111,소속부서!$A$2:$B$20,2,FALSE), "")</f>
        <v/>
      </c>
    </row>
    <row r="1112" spans="3:4" x14ac:dyDescent="0.3">
      <c r="C1112" s="35">
        <f t="shared" si="18"/>
        <v>0</v>
      </c>
      <c r="D1112" s="30" t="str">
        <f>IFERROR(VLOOKUP(C1112,소속부서!$A$2:$B$20,2,FALSE), "")</f>
        <v/>
      </c>
    </row>
    <row r="1113" spans="3:4" x14ac:dyDescent="0.3">
      <c r="C1113" s="35">
        <f t="shared" si="18"/>
        <v>0</v>
      </c>
      <c r="D1113" s="30" t="str">
        <f>IFERROR(VLOOKUP(C1113,소속부서!$A$2:$B$20,2,FALSE), "")</f>
        <v/>
      </c>
    </row>
    <row r="1114" spans="3:4" x14ac:dyDescent="0.3">
      <c r="C1114" s="35">
        <f t="shared" si="18"/>
        <v>0</v>
      </c>
      <c r="D1114" s="30" t="str">
        <f>IFERROR(VLOOKUP(C1114,소속부서!$A$2:$B$20,2,FALSE), "")</f>
        <v/>
      </c>
    </row>
    <row r="1115" spans="3:4" x14ac:dyDescent="0.3">
      <c r="C1115" s="35">
        <f t="shared" si="18"/>
        <v>0</v>
      </c>
      <c r="D1115" s="30" t="str">
        <f>IFERROR(VLOOKUP(C1115,소속부서!$A$2:$B$20,2,FALSE), "")</f>
        <v/>
      </c>
    </row>
    <row r="1116" spans="3:4" x14ac:dyDescent="0.3">
      <c r="C1116" s="35">
        <f t="shared" si="18"/>
        <v>0</v>
      </c>
      <c r="D1116" s="30" t="str">
        <f>IFERROR(VLOOKUP(C1116,소속부서!$A$2:$B$20,2,FALSE), "")</f>
        <v/>
      </c>
    </row>
    <row r="1117" spans="3:4" x14ac:dyDescent="0.3">
      <c r="C1117" s="35">
        <f t="shared" si="18"/>
        <v>0</v>
      </c>
      <c r="D1117" s="30" t="str">
        <f>IFERROR(VLOOKUP(C1117,소속부서!$A$2:$B$20,2,FALSE), "")</f>
        <v/>
      </c>
    </row>
    <row r="1118" spans="3:4" x14ac:dyDescent="0.3">
      <c r="C1118" s="35">
        <f t="shared" si="18"/>
        <v>0</v>
      </c>
      <c r="D1118" s="30" t="str">
        <f>IFERROR(VLOOKUP(C1118,소속부서!$A$2:$B$20,2,FALSE), "")</f>
        <v/>
      </c>
    </row>
    <row r="1119" spans="3:4" x14ac:dyDescent="0.3">
      <c r="C1119" s="35">
        <f t="shared" si="18"/>
        <v>0</v>
      </c>
      <c r="D1119" s="30" t="str">
        <f>IFERROR(VLOOKUP(C1119,소속부서!$A$2:$B$20,2,FALSE), "")</f>
        <v/>
      </c>
    </row>
    <row r="1120" spans="3:4" x14ac:dyDescent="0.3">
      <c r="C1120" s="35">
        <f t="shared" si="18"/>
        <v>0</v>
      </c>
      <c r="D1120" s="30" t="str">
        <f>IFERROR(VLOOKUP(C1120,소속부서!$A$2:$B$20,2,FALSE), "")</f>
        <v/>
      </c>
    </row>
    <row r="1121" spans="3:4" x14ac:dyDescent="0.3">
      <c r="C1121" s="35">
        <f t="shared" si="18"/>
        <v>0</v>
      </c>
      <c r="D1121" s="30" t="str">
        <f>IFERROR(VLOOKUP(C1121,소속부서!$A$2:$B$20,2,FALSE), "")</f>
        <v/>
      </c>
    </row>
    <row r="1122" spans="3:4" x14ac:dyDescent="0.3">
      <c r="C1122" s="35">
        <f t="shared" si="18"/>
        <v>0</v>
      </c>
      <c r="D1122" s="30" t="str">
        <f>IFERROR(VLOOKUP(C1122,소속부서!$A$2:$B$20,2,FALSE), "")</f>
        <v/>
      </c>
    </row>
    <row r="1123" spans="3:4" x14ac:dyDescent="0.3">
      <c r="C1123" s="35">
        <f t="shared" si="18"/>
        <v>0</v>
      </c>
      <c r="D1123" s="30" t="str">
        <f>IFERROR(VLOOKUP(C1123,소속부서!$A$2:$B$20,2,FALSE), "")</f>
        <v/>
      </c>
    </row>
    <row r="1124" spans="3:4" x14ac:dyDescent="0.3">
      <c r="C1124" s="35">
        <f t="shared" si="18"/>
        <v>0</v>
      </c>
      <c r="D1124" s="30" t="str">
        <f>IFERROR(VLOOKUP(C1124,소속부서!$A$2:$B$20,2,FALSE), "")</f>
        <v/>
      </c>
    </row>
    <row r="1125" spans="3:4" x14ac:dyDescent="0.3">
      <c r="C1125" s="35">
        <f t="shared" si="18"/>
        <v>0</v>
      </c>
      <c r="D1125" s="30" t="str">
        <f>IFERROR(VLOOKUP(C1125,소속부서!$A$2:$B$20,2,FALSE), "")</f>
        <v/>
      </c>
    </row>
    <row r="1126" spans="3:4" x14ac:dyDescent="0.3">
      <c r="C1126" s="35">
        <f t="shared" si="18"/>
        <v>0</v>
      </c>
      <c r="D1126" s="30" t="str">
        <f>IFERROR(VLOOKUP(C1126,소속부서!$A$2:$B$20,2,FALSE), "")</f>
        <v/>
      </c>
    </row>
    <row r="1127" spans="3:4" x14ac:dyDescent="0.3">
      <c r="C1127" s="35">
        <f t="shared" si="18"/>
        <v>0</v>
      </c>
      <c r="D1127" s="30" t="str">
        <f>IFERROR(VLOOKUP(C1127,소속부서!$A$2:$B$20,2,FALSE), "")</f>
        <v/>
      </c>
    </row>
    <row r="1128" spans="3:4" x14ac:dyDescent="0.3">
      <c r="C1128" s="35">
        <f t="shared" si="18"/>
        <v>0</v>
      </c>
      <c r="D1128" s="30" t="str">
        <f>IFERROR(VLOOKUP(C1128,소속부서!$A$2:$B$20,2,FALSE), "")</f>
        <v/>
      </c>
    </row>
    <row r="1129" spans="3:4" x14ac:dyDescent="0.3">
      <c r="C1129" s="35">
        <f t="shared" si="18"/>
        <v>0</v>
      </c>
      <c r="D1129" s="30" t="str">
        <f>IFERROR(VLOOKUP(C1129,소속부서!$A$2:$B$20,2,FALSE), "")</f>
        <v/>
      </c>
    </row>
    <row r="1130" spans="3:4" x14ac:dyDescent="0.3">
      <c r="C1130" s="35">
        <f t="shared" si="18"/>
        <v>0</v>
      </c>
      <c r="D1130" s="30" t="str">
        <f>IFERROR(VLOOKUP(C1130,소속부서!$A$2:$B$20,2,FALSE), "")</f>
        <v/>
      </c>
    </row>
    <row r="1131" spans="3:4" x14ac:dyDescent="0.3">
      <c r="C1131" s="35">
        <f t="shared" si="18"/>
        <v>0</v>
      </c>
      <c r="D1131" s="30" t="str">
        <f>IFERROR(VLOOKUP(C1131,소속부서!$A$2:$B$20,2,FALSE), "")</f>
        <v/>
      </c>
    </row>
    <row r="1132" spans="3:4" x14ac:dyDescent="0.3">
      <c r="C1132" s="35">
        <f t="shared" si="18"/>
        <v>0</v>
      </c>
      <c r="D1132" s="30" t="str">
        <f>IFERROR(VLOOKUP(C1132,소속부서!$A$2:$B$20,2,FALSE), "")</f>
        <v/>
      </c>
    </row>
    <row r="1133" spans="3:4" x14ac:dyDescent="0.3">
      <c r="C1133" s="35">
        <f t="shared" si="18"/>
        <v>0</v>
      </c>
      <c r="D1133" s="30" t="str">
        <f>IFERROR(VLOOKUP(C1133,소속부서!$A$2:$B$20,2,FALSE), "")</f>
        <v/>
      </c>
    </row>
    <row r="1134" spans="3:4" x14ac:dyDescent="0.3">
      <c r="C1134" s="35">
        <f t="shared" si="18"/>
        <v>0</v>
      </c>
      <c r="D1134" s="30" t="str">
        <f>IFERROR(VLOOKUP(C1134,소속부서!$A$2:$B$20,2,FALSE), "")</f>
        <v/>
      </c>
    </row>
    <row r="1135" spans="3:4" x14ac:dyDescent="0.3">
      <c r="C1135" s="35">
        <f t="shared" si="18"/>
        <v>0</v>
      </c>
      <c r="D1135" s="30" t="str">
        <f>IFERROR(VLOOKUP(C1135,소속부서!$A$2:$B$20,2,FALSE), "")</f>
        <v/>
      </c>
    </row>
    <row r="1136" spans="3:4" x14ac:dyDescent="0.3">
      <c r="C1136" s="35">
        <f t="shared" si="18"/>
        <v>0</v>
      </c>
      <c r="D1136" s="30" t="str">
        <f>IFERROR(VLOOKUP(C1136,소속부서!$A$2:$B$20,2,FALSE), "")</f>
        <v/>
      </c>
    </row>
    <row r="1137" spans="3:4" x14ac:dyDescent="0.3">
      <c r="C1137" s="35">
        <f t="shared" si="18"/>
        <v>0</v>
      </c>
      <c r="D1137" s="30" t="str">
        <f>IFERROR(VLOOKUP(C1137,소속부서!$A$2:$B$20,2,FALSE), "")</f>
        <v/>
      </c>
    </row>
    <row r="1138" spans="3:4" x14ac:dyDescent="0.3">
      <c r="C1138" s="35">
        <f t="shared" si="18"/>
        <v>0</v>
      </c>
      <c r="D1138" s="30" t="str">
        <f>IFERROR(VLOOKUP(C1138,소속부서!$A$2:$B$20,2,FALSE), "")</f>
        <v/>
      </c>
    </row>
    <row r="1139" spans="3:4" x14ac:dyDescent="0.3">
      <c r="C1139" s="35">
        <f t="shared" si="18"/>
        <v>0</v>
      </c>
      <c r="D1139" s="30" t="str">
        <f>IFERROR(VLOOKUP(C1139,소속부서!$A$2:$B$20,2,FALSE), "")</f>
        <v/>
      </c>
    </row>
    <row r="1140" spans="3:4" x14ac:dyDescent="0.3">
      <c r="C1140" s="35">
        <f t="shared" si="18"/>
        <v>0</v>
      </c>
      <c r="D1140" s="30" t="str">
        <f>IFERROR(VLOOKUP(C1140,소속부서!$A$2:$B$20,2,FALSE), "")</f>
        <v/>
      </c>
    </row>
    <row r="1141" spans="3:4" x14ac:dyDescent="0.3">
      <c r="C1141" s="35">
        <f t="shared" si="18"/>
        <v>0</v>
      </c>
      <c r="D1141" s="30" t="str">
        <f>IFERROR(VLOOKUP(C1141,소속부서!$A$2:$B$20,2,FALSE), "")</f>
        <v/>
      </c>
    </row>
    <row r="1142" spans="3:4" x14ac:dyDescent="0.3">
      <c r="C1142" s="35">
        <f t="shared" si="18"/>
        <v>0</v>
      </c>
      <c r="D1142" s="30" t="str">
        <f>IFERROR(VLOOKUP(C1142,소속부서!$A$2:$B$20,2,FALSE), "")</f>
        <v/>
      </c>
    </row>
    <row r="1143" spans="3:4" x14ac:dyDescent="0.3">
      <c r="C1143" s="35">
        <f t="shared" si="18"/>
        <v>0</v>
      </c>
      <c r="D1143" s="30" t="str">
        <f>IFERROR(VLOOKUP(C1143,소속부서!$A$2:$B$20,2,FALSE), "")</f>
        <v/>
      </c>
    </row>
    <row r="1144" spans="3:4" x14ac:dyDescent="0.3">
      <c r="C1144" s="35">
        <f t="shared" si="18"/>
        <v>0</v>
      </c>
      <c r="D1144" s="30" t="str">
        <f>IFERROR(VLOOKUP(C1144,소속부서!$A$2:$B$20,2,FALSE), "")</f>
        <v/>
      </c>
    </row>
    <row r="1145" spans="3:4" x14ac:dyDescent="0.3">
      <c r="C1145" s="35">
        <f t="shared" si="18"/>
        <v>0</v>
      </c>
      <c r="D1145" s="30" t="str">
        <f>IFERROR(VLOOKUP(C1145,소속부서!$A$2:$B$20,2,FALSE), "")</f>
        <v/>
      </c>
    </row>
    <row r="1146" spans="3:4" x14ac:dyDescent="0.3">
      <c r="C1146" s="35">
        <f t="shared" si="18"/>
        <v>0</v>
      </c>
      <c r="D1146" s="30" t="str">
        <f>IFERROR(VLOOKUP(C1146,소속부서!$A$2:$B$20,2,FALSE), "")</f>
        <v/>
      </c>
    </row>
    <row r="1147" spans="3:4" x14ac:dyDescent="0.3">
      <c r="C1147" s="35">
        <f t="shared" si="18"/>
        <v>0</v>
      </c>
      <c r="D1147" s="30" t="str">
        <f>IFERROR(VLOOKUP(C1147,소속부서!$A$2:$B$20,2,FALSE), "")</f>
        <v/>
      </c>
    </row>
    <row r="1148" spans="3:4" x14ac:dyDescent="0.3">
      <c r="C1148" s="35">
        <f t="shared" si="18"/>
        <v>0</v>
      </c>
      <c r="D1148" s="30" t="str">
        <f>IFERROR(VLOOKUP(C1148,소속부서!$A$2:$B$20,2,FALSE), "")</f>
        <v/>
      </c>
    </row>
    <row r="1149" spans="3:4" x14ac:dyDescent="0.3">
      <c r="C1149" s="35">
        <f t="shared" si="18"/>
        <v>0</v>
      </c>
      <c r="D1149" s="30" t="str">
        <f>IFERROR(VLOOKUP(C1149,소속부서!$A$2:$B$20,2,FALSE), "")</f>
        <v/>
      </c>
    </row>
    <row r="1150" spans="3:4" x14ac:dyDescent="0.3">
      <c r="C1150" s="35">
        <f t="shared" si="18"/>
        <v>0</v>
      </c>
      <c r="D1150" s="30" t="str">
        <f>IFERROR(VLOOKUP(C1150,소속부서!$A$2:$B$20,2,FALSE), "")</f>
        <v/>
      </c>
    </row>
    <row r="1151" spans="3:4" x14ac:dyDescent="0.3">
      <c r="C1151" s="35">
        <f t="shared" si="18"/>
        <v>0</v>
      </c>
      <c r="D1151" s="30" t="str">
        <f>IFERROR(VLOOKUP(C1151,소속부서!$A$2:$B$20,2,FALSE), "")</f>
        <v/>
      </c>
    </row>
    <row r="1152" spans="3:4" x14ac:dyDescent="0.3">
      <c r="C1152" s="35">
        <f t="shared" si="18"/>
        <v>0</v>
      </c>
      <c r="D1152" s="30" t="str">
        <f>IFERROR(VLOOKUP(C1152,소속부서!$A$2:$B$20,2,FALSE), "")</f>
        <v/>
      </c>
    </row>
    <row r="1153" spans="3:4" x14ac:dyDescent="0.3">
      <c r="C1153" s="35">
        <f t="shared" si="18"/>
        <v>0</v>
      </c>
      <c r="D1153" s="30" t="str">
        <f>IFERROR(VLOOKUP(C1153,소속부서!$A$2:$B$20,2,FALSE), "")</f>
        <v/>
      </c>
    </row>
    <row r="1154" spans="3:4" x14ac:dyDescent="0.3">
      <c r="C1154" s="35">
        <f t="shared" si="18"/>
        <v>0</v>
      </c>
      <c r="D1154" s="30" t="str">
        <f>IFERROR(VLOOKUP(C1154,소속부서!$A$2:$B$20,2,FALSE), "")</f>
        <v/>
      </c>
    </row>
    <row r="1155" spans="3:4" x14ac:dyDescent="0.3">
      <c r="C1155" s="35">
        <f t="shared" si="18"/>
        <v>0</v>
      </c>
      <c r="D1155" s="30" t="str">
        <f>IFERROR(VLOOKUP(C1155,소속부서!$A$2:$B$20,2,FALSE), "")</f>
        <v/>
      </c>
    </row>
    <row r="1156" spans="3:4" x14ac:dyDescent="0.3">
      <c r="C1156" s="35">
        <f t="shared" ref="C1156:C1219" si="19">E1156</f>
        <v>0</v>
      </c>
      <c r="D1156" s="30" t="str">
        <f>IFERROR(VLOOKUP(C1156,소속부서!$A$2:$B$20,2,FALSE), "")</f>
        <v/>
      </c>
    </row>
    <row r="1157" spans="3:4" x14ac:dyDescent="0.3">
      <c r="C1157" s="35">
        <f t="shared" si="19"/>
        <v>0</v>
      </c>
      <c r="D1157" s="30" t="str">
        <f>IFERROR(VLOOKUP(C1157,소속부서!$A$2:$B$20,2,FALSE), "")</f>
        <v/>
      </c>
    </row>
    <row r="1158" spans="3:4" x14ac:dyDescent="0.3">
      <c r="C1158" s="35">
        <f t="shared" si="19"/>
        <v>0</v>
      </c>
      <c r="D1158" s="30" t="str">
        <f>IFERROR(VLOOKUP(C1158,소속부서!$A$2:$B$20,2,FALSE), "")</f>
        <v/>
      </c>
    </row>
    <row r="1159" spans="3:4" x14ac:dyDescent="0.3">
      <c r="C1159" s="35">
        <f t="shared" si="19"/>
        <v>0</v>
      </c>
      <c r="D1159" s="30" t="str">
        <f>IFERROR(VLOOKUP(C1159,소속부서!$A$2:$B$20,2,FALSE), "")</f>
        <v/>
      </c>
    </row>
    <row r="1160" spans="3:4" x14ac:dyDescent="0.3">
      <c r="C1160" s="35">
        <f t="shared" si="19"/>
        <v>0</v>
      </c>
      <c r="D1160" s="30" t="str">
        <f>IFERROR(VLOOKUP(C1160,소속부서!$A$2:$B$20,2,FALSE), "")</f>
        <v/>
      </c>
    </row>
    <row r="1161" spans="3:4" x14ac:dyDescent="0.3">
      <c r="C1161" s="35">
        <f t="shared" si="19"/>
        <v>0</v>
      </c>
      <c r="D1161" s="30" t="str">
        <f>IFERROR(VLOOKUP(C1161,소속부서!$A$2:$B$20,2,FALSE), "")</f>
        <v/>
      </c>
    </row>
    <row r="1162" spans="3:4" x14ac:dyDescent="0.3">
      <c r="C1162" s="35">
        <f t="shared" si="19"/>
        <v>0</v>
      </c>
      <c r="D1162" s="30" t="str">
        <f>IFERROR(VLOOKUP(C1162,소속부서!$A$2:$B$20,2,FALSE), "")</f>
        <v/>
      </c>
    </row>
    <row r="1163" spans="3:4" x14ac:dyDescent="0.3">
      <c r="C1163" s="35">
        <f t="shared" si="19"/>
        <v>0</v>
      </c>
      <c r="D1163" s="30" t="str">
        <f>IFERROR(VLOOKUP(C1163,소속부서!$A$2:$B$20,2,FALSE), "")</f>
        <v/>
      </c>
    </row>
    <row r="1164" spans="3:4" x14ac:dyDescent="0.3">
      <c r="C1164" s="35">
        <f t="shared" si="19"/>
        <v>0</v>
      </c>
      <c r="D1164" s="30" t="str">
        <f>IFERROR(VLOOKUP(C1164,소속부서!$A$2:$B$20,2,FALSE), "")</f>
        <v/>
      </c>
    </row>
    <row r="1165" spans="3:4" x14ac:dyDescent="0.3">
      <c r="C1165" s="35">
        <f t="shared" si="19"/>
        <v>0</v>
      </c>
      <c r="D1165" s="30" t="str">
        <f>IFERROR(VLOOKUP(C1165,소속부서!$A$2:$B$20,2,FALSE), "")</f>
        <v/>
      </c>
    </row>
    <row r="1166" spans="3:4" x14ac:dyDescent="0.3">
      <c r="C1166" s="35">
        <f t="shared" si="19"/>
        <v>0</v>
      </c>
      <c r="D1166" s="30" t="str">
        <f>IFERROR(VLOOKUP(C1166,소속부서!$A$2:$B$20,2,FALSE), "")</f>
        <v/>
      </c>
    </row>
    <row r="1167" spans="3:4" x14ac:dyDescent="0.3">
      <c r="C1167" s="35">
        <f t="shared" si="19"/>
        <v>0</v>
      </c>
      <c r="D1167" s="30" t="str">
        <f>IFERROR(VLOOKUP(C1167,소속부서!$A$2:$B$20,2,FALSE), "")</f>
        <v/>
      </c>
    </row>
    <row r="1168" spans="3:4" x14ac:dyDescent="0.3">
      <c r="C1168" s="35">
        <f t="shared" si="19"/>
        <v>0</v>
      </c>
      <c r="D1168" s="30" t="str">
        <f>IFERROR(VLOOKUP(C1168,소속부서!$A$2:$B$20,2,FALSE), "")</f>
        <v/>
      </c>
    </row>
    <row r="1169" spans="3:4" x14ac:dyDescent="0.3">
      <c r="C1169" s="35">
        <f t="shared" si="19"/>
        <v>0</v>
      </c>
      <c r="D1169" s="30" t="str">
        <f>IFERROR(VLOOKUP(C1169,소속부서!$A$2:$B$20,2,FALSE), "")</f>
        <v/>
      </c>
    </row>
    <row r="1170" spans="3:4" x14ac:dyDescent="0.3">
      <c r="C1170" s="35">
        <f t="shared" si="19"/>
        <v>0</v>
      </c>
      <c r="D1170" s="30" t="str">
        <f>IFERROR(VLOOKUP(C1170,소속부서!$A$2:$B$20,2,FALSE), "")</f>
        <v/>
      </c>
    </row>
    <row r="1171" spans="3:4" x14ac:dyDescent="0.3">
      <c r="C1171" s="35">
        <f t="shared" si="19"/>
        <v>0</v>
      </c>
      <c r="D1171" s="30" t="str">
        <f>IFERROR(VLOOKUP(C1171,소속부서!$A$2:$B$20,2,FALSE), "")</f>
        <v/>
      </c>
    </row>
    <row r="1172" spans="3:4" x14ac:dyDescent="0.3">
      <c r="C1172" s="35">
        <f t="shared" si="19"/>
        <v>0</v>
      </c>
      <c r="D1172" s="30" t="str">
        <f>IFERROR(VLOOKUP(C1172,소속부서!$A$2:$B$20,2,FALSE), "")</f>
        <v/>
      </c>
    </row>
    <row r="1173" spans="3:4" x14ac:dyDescent="0.3">
      <c r="C1173" s="35">
        <f t="shared" si="19"/>
        <v>0</v>
      </c>
      <c r="D1173" s="30" t="str">
        <f>IFERROR(VLOOKUP(C1173,소속부서!$A$2:$B$20,2,FALSE), "")</f>
        <v/>
      </c>
    </row>
    <row r="1174" spans="3:4" x14ac:dyDescent="0.3">
      <c r="C1174" s="35">
        <f t="shared" si="19"/>
        <v>0</v>
      </c>
      <c r="D1174" s="30" t="str">
        <f>IFERROR(VLOOKUP(C1174,소속부서!$A$2:$B$20,2,FALSE), "")</f>
        <v/>
      </c>
    </row>
    <row r="1175" spans="3:4" x14ac:dyDescent="0.3">
      <c r="C1175" s="35">
        <f t="shared" si="19"/>
        <v>0</v>
      </c>
      <c r="D1175" s="30" t="str">
        <f>IFERROR(VLOOKUP(C1175,소속부서!$A$2:$B$20,2,FALSE), "")</f>
        <v/>
      </c>
    </row>
    <row r="1176" spans="3:4" x14ac:dyDescent="0.3">
      <c r="C1176" s="35">
        <f t="shared" si="19"/>
        <v>0</v>
      </c>
      <c r="D1176" s="30" t="str">
        <f>IFERROR(VLOOKUP(C1176,소속부서!$A$2:$B$20,2,FALSE), "")</f>
        <v/>
      </c>
    </row>
    <row r="1177" spans="3:4" x14ac:dyDescent="0.3">
      <c r="C1177" s="35">
        <f t="shared" si="19"/>
        <v>0</v>
      </c>
      <c r="D1177" s="30" t="str">
        <f>IFERROR(VLOOKUP(C1177,소속부서!$A$2:$B$20,2,FALSE), "")</f>
        <v/>
      </c>
    </row>
    <row r="1178" spans="3:4" x14ac:dyDescent="0.3">
      <c r="C1178" s="35">
        <f t="shared" si="19"/>
        <v>0</v>
      </c>
      <c r="D1178" s="30" t="str">
        <f>IFERROR(VLOOKUP(C1178,소속부서!$A$2:$B$20,2,FALSE), "")</f>
        <v/>
      </c>
    </row>
    <row r="1179" spans="3:4" x14ac:dyDescent="0.3">
      <c r="C1179" s="35">
        <f t="shared" si="19"/>
        <v>0</v>
      </c>
      <c r="D1179" s="30" t="str">
        <f>IFERROR(VLOOKUP(C1179,소속부서!$A$2:$B$20,2,FALSE), "")</f>
        <v/>
      </c>
    </row>
    <row r="1180" spans="3:4" x14ac:dyDescent="0.3">
      <c r="C1180" s="35">
        <f t="shared" si="19"/>
        <v>0</v>
      </c>
      <c r="D1180" s="30" t="str">
        <f>IFERROR(VLOOKUP(C1180,소속부서!$A$2:$B$20,2,FALSE), "")</f>
        <v/>
      </c>
    </row>
    <row r="1181" spans="3:4" x14ac:dyDescent="0.3">
      <c r="C1181" s="35">
        <f t="shared" si="19"/>
        <v>0</v>
      </c>
      <c r="D1181" s="30" t="str">
        <f>IFERROR(VLOOKUP(C1181,소속부서!$A$2:$B$20,2,FALSE), "")</f>
        <v/>
      </c>
    </row>
    <row r="1182" spans="3:4" x14ac:dyDescent="0.3">
      <c r="C1182" s="35">
        <f t="shared" si="19"/>
        <v>0</v>
      </c>
      <c r="D1182" s="30" t="str">
        <f>IFERROR(VLOOKUP(C1182,소속부서!$A$2:$B$20,2,FALSE), "")</f>
        <v/>
      </c>
    </row>
    <row r="1183" spans="3:4" x14ac:dyDescent="0.3">
      <c r="C1183" s="35">
        <f t="shared" si="19"/>
        <v>0</v>
      </c>
      <c r="D1183" s="30" t="str">
        <f>IFERROR(VLOOKUP(C1183,소속부서!$A$2:$B$20,2,FALSE), "")</f>
        <v/>
      </c>
    </row>
    <row r="1184" spans="3:4" x14ac:dyDescent="0.3">
      <c r="C1184" s="35">
        <f t="shared" si="19"/>
        <v>0</v>
      </c>
      <c r="D1184" s="30" t="str">
        <f>IFERROR(VLOOKUP(C1184,소속부서!$A$2:$B$20,2,FALSE), "")</f>
        <v/>
      </c>
    </row>
    <row r="1185" spans="3:4" x14ac:dyDescent="0.3">
      <c r="C1185" s="35">
        <f t="shared" si="19"/>
        <v>0</v>
      </c>
      <c r="D1185" s="30" t="str">
        <f>IFERROR(VLOOKUP(C1185,소속부서!$A$2:$B$20,2,FALSE), "")</f>
        <v/>
      </c>
    </row>
    <row r="1186" spans="3:4" x14ac:dyDescent="0.3">
      <c r="C1186" s="35">
        <f t="shared" si="19"/>
        <v>0</v>
      </c>
      <c r="D1186" s="30" t="str">
        <f>IFERROR(VLOOKUP(C1186,소속부서!$A$2:$B$20,2,FALSE), "")</f>
        <v/>
      </c>
    </row>
    <row r="1187" spans="3:4" x14ac:dyDescent="0.3">
      <c r="C1187" s="35">
        <f t="shared" si="19"/>
        <v>0</v>
      </c>
      <c r="D1187" s="30" t="str">
        <f>IFERROR(VLOOKUP(C1187,소속부서!$A$2:$B$20,2,FALSE), "")</f>
        <v/>
      </c>
    </row>
    <row r="1188" spans="3:4" x14ac:dyDescent="0.3">
      <c r="C1188" s="35">
        <f t="shared" si="19"/>
        <v>0</v>
      </c>
      <c r="D1188" s="30" t="str">
        <f>IFERROR(VLOOKUP(C1188,소속부서!$A$2:$B$20,2,FALSE), "")</f>
        <v/>
      </c>
    </row>
    <row r="1189" spans="3:4" x14ac:dyDescent="0.3">
      <c r="C1189" s="35">
        <f t="shared" si="19"/>
        <v>0</v>
      </c>
      <c r="D1189" s="30" t="str">
        <f>IFERROR(VLOOKUP(C1189,소속부서!$A$2:$B$20,2,FALSE), "")</f>
        <v/>
      </c>
    </row>
    <row r="1190" spans="3:4" x14ac:dyDescent="0.3">
      <c r="C1190" s="35">
        <f t="shared" si="19"/>
        <v>0</v>
      </c>
      <c r="D1190" s="30" t="str">
        <f>IFERROR(VLOOKUP(C1190,소속부서!$A$2:$B$20,2,FALSE), "")</f>
        <v/>
      </c>
    </row>
    <row r="1191" spans="3:4" x14ac:dyDescent="0.3">
      <c r="C1191" s="35">
        <f t="shared" si="19"/>
        <v>0</v>
      </c>
      <c r="D1191" s="30" t="str">
        <f>IFERROR(VLOOKUP(C1191,소속부서!$A$2:$B$20,2,FALSE), "")</f>
        <v/>
      </c>
    </row>
    <row r="1192" spans="3:4" x14ac:dyDescent="0.3">
      <c r="C1192" s="35">
        <f t="shared" si="19"/>
        <v>0</v>
      </c>
      <c r="D1192" s="30" t="str">
        <f>IFERROR(VLOOKUP(C1192,소속부서!$A$2:$B$20,2,FALSE), "")</f>
        <v/>
      </c>
    </row>
    <row r="1193" spans="3:4" x14ac:dyDescent="0.3">
      <c r="C1193" s="35">
        <f t="shared" si="19"/>
        <v>0</v>
      </c>
      <c r="D1193" s="30" t="str">
        <f>IFERROR(VLOOKUP(C1193,소속부서!$A$2:$B$20,2,FALSE), "")</f>
        <v/>
      </c>
    </row>
    <row r="1194" spans="3:4" x14ac:dyDescent="0.3">
      <c r="C1194" s="35">
        <f t="shared" si="19"/>
        <v>0</v>
      </c>
      <c r="D1194" s="30" t="str">
        <f>IFERROR(VLOOKUP(C1194,소속부서!$A$2:$B$20,2,FALSE), "")</f>
        <v/>
      </c>
    </row>
    <row r="1195" spans="3:4" x14ac:dyDescent="0.3">
      <c r="C1195" s="35">
        <f t="shared" si="19"/>
        <v>0</v>
      </c>
      <c r="D1195" s="30" t="str">
        <f>IFERROR(VLOOKUP(C1195,소속부서!$A$2:$B$20,2,FALSE), "")</f>
        <v/>
      </c>
    </row>
    <row r="1196" spans="3:4" x14ac:dyDescent="0.3">
      <c r="C1196" s="35">
        <f t="shared" si="19"/>
        <v>0</v>
      </c>
      <c r="D1196" s="30" t="str">
        <f>IFERROR(VLOOKUP(C1196,소속부서!$A$2:$B$20,2,FALSE), "")</f>
        <v/>
      </c>
    </row>
    <row r="1197" spans="3:4" x14ac:dyDescent="0.3">
      <c r="C1197" s="35">
        <f t="shared" si="19"/>
        <v>0</v>
      </c>
      <c r="D1197" s="30" t="str">
        <f>IFERROR(VLOOKUP(C1197,소속부서!$A$2:$B$20,2,FALSE), "")</f>
        <v/>
      </c>
    </row>
    <row r="1198" spans="3:4" x14ac:dyDescent="0.3">
      <c r="C1198" s="35">
        <f t="shared" si="19"/>
        <v>0</v>
      </c>
      <c r="D1198" s="30" t="str">
        <f>IFERROR(VLOOKUP(C1198,소속부서!$A$2:$B$20,2,FALSE), "")</f>
        <v/>
      </c>
    </row>
    <row r="1199" spans="3:4" x14ac:dyDescent="0.3">
      <c r="C1199" s="35">
        <f t="shared" si="19"/>
        <v>0</v>
      </c>
      <c r="D1199" s="30" t="str">
        <f>IFERROR(VLOOKUP(C1199,소속부서!$A$2:$B$20,2,FALSE), "")</f>
        <v/>
      </c>
    </row>
    <row r="1200" spans="3:4" x14ac:dyDescent="0.3">
      <c r="C1200" s="35">
        <f t="shared" si="19"/>
        <v>0</v>
      </c>
      <c r="D1200" s="30" t="str">
        <f>IFERROR(VLOOKUP(C1200,소속부서!$A$2:$B$20,2,FALSE), "")</f>
        <v/>
      </c>
    </row>
    <row r="1201" spans="3:4" x14ac:dyDescent="0.3">
      <c r="C1201" s="35">
        <f t="shared" si="19"/>
        <v>0</v>
      </c>
      <c r="D1201" s="30" t="str">
        <f>IFERROR(VLOOKUP(C1201,소속부서!$A$2:$B$20,2,FALSE), "")</f>
        <v/>
      </c>
    </row>
    <row r="1202" spans="3:4" x14ac:dyDescent="0.3">
      <c r="C1202" s="35">
        <f t="shared" si="19"/>
        <v>0</v>
      </c>
      <c r="D1202" s="30" t="str">
        <f>IFERROR(VLOOKUP(C1202,소속부서!$A$2:$B$20,2,FALSE), "")</f>
        <v/>
      </c>
    </row>
    <row r="1203" spans="3:4" x14ac:dyDescent="0.3">
      <c r="C1203" s="35">
        <f t="shared" si="19"/>
        <v>0</v>
      </c>
      <c r="D1203" s="30" t="str">
        <f>IFERROR(VLOOKUP(C1203,소속부서!$A$2:$B$20,2,FALSE), "")</f>
        <v/>
      </c>
    </row>
    <row r="1204" spans="3:4" x14ac:dyDescent="0.3">
      <c r="C1204" s="35">
        <f t="shared" si="19"/>
        <v>0</v>
      </c>
      <c r="D1204" s="30" t="str">
        <f>IFERROR(VLOOKUP(C1204,소속부서!$A$2:$B$20,2,FALSE), "")</f>
        <v/>
      </c>
    </row>
    <row r="1205" spans="3:4" x14ac:dyDescent="0.3">
      <c r="C1205" s="35">
        <f t="shared" si="19"/>
        <v>0</v>
      </c>
      <c r="D1205" s="30" t="str">
        <f>IFERROR(VLOOKUP(C1205,소속부서!$A$2:$B$20,2,FALSE), "")</f>
        <v/>
      </c>
    </row>
    <row r="1206" spans="3:4" x14ac:dyDescent="0.3">
      <c r="C1206" s="35">
        <f t="shared" si="19"/>
        <v>0</v>
      </c>
      <c r="D1206" s="30" t="str">
        <f>IFERROR(VLOOKUP(C1206,소속부서!$A$2:$B$20,2,FALSE), "")</f>
        <v/>
      </c>
    </row>
    <row r="1207" spans="3:4" x14ac:dyDescent="0.3">
      <c r="C1207" s="35">
        <f t="shared" si="19"/>
        <v>0</v>
      </c>
      <c r="D1207" s="30" t="str">
        <f>IFERROR(VLOOKUP(C1207,소속부서!$A$2:$B$20,2,FALSE), "")</f>
        <v/>
      </c>
    </row>
    <row r="1208" spans="3:4" x14ac:dyDescent="0.3">
      <c r="C1208" s="35">
        <f t="shared" si="19"/>
        <v>0</v>
      </c>
      <c r="D1208" s="30" t="str">
        <f>IFERROR(VLOOKUP(C1208,소속부서!$A$2:$B$20,2,FALSE), "")</f>
        <v/>
      </c>
    </row>
    <row r="1209" spans="3:4" x14ac:dyDescent="0.3">
      <c r="C1209" s="35">
        <f t="shared" si="19"/>
        <v>0</v>
      </c>
      <c r="D1209" s="30" t="str">
        <f>IFERROR(VLOOKUP(C1209,소속부서!$A$2:$B$20,2,FALSE), "")</f>
        <v/>
      </c>
    </row>
    <row r="1210" spans="3:4" x14ac:dyDescent="0.3">
      <c r="C1210" s="35">
        <f t="shared" si="19"/>
        <v>0</v>
      </c>
      <c r="D1210" s="30" t="str">
        <f>IFERROR(VLOOKUP(C1210,소속부서!$A$2:$B$20,2,FALSE), "")</f>
        <v/>
      </c>
    </row>
    <row r="1211" spans="3:4" x14ac:dyDescent="0.3">
      <c r="C1211" s="35">
        <f t="shared" si="19"/>
        <v>0</v>
      </c>
      <c r="D1211" s="30" t="str">
        <f>IFERROR(VLOOKUP(C1211,소속부서!$A$2:$B$20,2,FALSE), "")</f>
        <v/>
      </c>
    </row>
    <row r="1212" spans="3:4" x14ac:dyDescent="0.3">
      <c r="C1212" s="35">
        <f t="shared" si="19"/>
        <v>0</v>
      </c>
      <c r="D1212" s="30" t="str">
        <f>IFERROR(VLOOKUP(C1212,소속부서!$A$2:$B$20,2,FALSE), "")</f>
        <v/>
      </c>
    </row>
    <row r="1213" spans="3:4" x14ac:dyDescent="0.3">
      <c r="C1213" s="35">
        <f t="shared" si="19"/>
        <v>0</v>
      </c>
      <c r="D1213" s="30" t="str">
        <f>IFERROR(VLOOKUP(C1213,소속부서!$A$2:$B$20,2,FALSE), "")</f>
        <v/>
      </c>
    </row>
    <row r="1214" spans="3:4" x14ac:dyDescent="0.3">
      <c r="C1214" s="35">
        <f t="shared" si="19"/>
        <v>0</v>
      </c>
      <c r="D1214" s="30" t="str">
        <f>IFERROR(VLOOKUP(C1214,소속부서!$A$2:$B$20,2,FALSE), "")</f>
        <v/>
      </c>
    </row>
    <row r="1215" spans="3:4" x14ac:dyDescent="0.3">
      <c r="C1215" s="35">
        <f t="shared" si="19"/>
        <v>0</v>
      </c>
      <c r="D1215" s="30" t="str">
        <f>IFERROR(VLOOKUP(C1215,소속부서!$A$2:$B$20,2,FALSE), "")</f>
        <v/>
      </c>
    </row>
    <row r="1216" spans="3:4" x14ac:dyDescent="0.3">
      <c r="C1216" s="35">
        <f t="shared" si="19"/>
        <v>0</v>
      </c>
      <c r="D1216" s="30" t="str">
        <f>IFERROR(VLOOKUP(C1216,소속부서!$A$2:$B$20,2,FALSE), "")</f>
        <v/>
      </c>
    </row>
    <row r="1217" spans="3:4" x14ac:dyDescent="0.3">
      <c r="C1217" s="35">
        <f t="shared" si="19"/>
        <v>0</v>
      </c>
      <c r="D1217" s="30" t="str">
        <f>IFERROR(VLOOKUP(C1217,소속부서!$A$2:$B$20,2,FALSE), "")</f>
        <v/>
      </c>
    </row>
    <row r="1218" spans="3:4" x14ac:dyDescent="0.3">
      <c r="C1218" s="35">
        <f t="shared" si="19"/>
        <v>0</v>
      </c>
      <c r="D1218" s="30" t="str">
        <f>IFERROR(VLOOKUP(C1218,소속부서!$A$2:$B$20,2,FALSE), "")</f>
        <v/>
      </c>
    </row>
    <row r="1219" spans="3:4" x14ac:dyDescent="0.3">
      <c r="C1219" s="35">
        <f t="shared" si="19"/>
        <v>0</v>
      </c>
      <c r="D1219" s="30" t="str">
        <f>IFERROR(VLOOKUP(C1219,소속부서!$A$2:$B$20,2,FALSE), "")</f>
        <v/>
      </c>
    </row>
    <row r="1220" spans="3:4" x14ac:dyDescent="0.3">
      <c r="C1220" s="35">
        <f t="shared" ref="C1220:C1283" si="20">E1220</f>
        <v>0</v>
      </c>
      <c r="D1220" s="30" t="str">
        <f>IFERROR(VLOOKUP(C1220,소속부서!$A$2:$B$20,2,FALSE), "")</f>
        <v/>
      </c>
    </row>
    <row r="1221" spans="3:4" x14ac:dyDescent="0.3">
      <c r="C1221" s="35">
        <f t="shared" si="20"/>
        <v>0</v>
      </c>
      <c r="D1221" s="30" t="str">
        <f>IFERROR(VLOOKUP(C1221,소속부서!$A$2:$B$20,2,FALSE), "")</f>
        <v/>
      </c>
    </row>
    <row r="1222" spans="3:4" x14ac:dyDescent="0.3">
      <c r="C1222" s="35">
        <f t="shared" si="20"/>
        <v>0</v>
      </c>
      <c r="D1222" s="30" t="str">
        <f>IFERROR(VLOOKUP(C1222,소속부서!$A$2:$B$20,2,FALSE), "")</f>
        <v/>
      </c>
    </row>
    <row r="1223" spans="3:4" x14ac:dyDescent="0.3">
      <c r="C1223" s="35">
        <f t="shared" si="20"/>
        <v>0</v>
      </c>
      <c r="D1223" s="30" t="str">
        <f>IFERROR(VLOOKUP(C1223,소속부서!$A$2:$B$20,2,FALSE), "")</f>
        <v/>
      </c>
    </row>
    <row r="1224" spans="3:4" x14ac:dyDescent="0.3">
      <c r="C1224" s="35">
        <f t="shared" si="20"/>
        <v>0</v>
      </c>
      <c r="D1224" s="30" t="str">
        <f>IFERROR(VLOOKUP(C1224,소속부서!$A$2:$B$20,2,FALSE), "")</f>
        <v/>
      </c>
    </row>
    <row r="1225" spans="3:4" x14ac:dyDescent="0.3">
      <c r="C1225" s="35">
        <f t="shared" si="20"/>
        <v>0</v>
      </c>
      <c r="D1225" s="30" t="str">
        <f>IFERROR(VLOOKUP(C1225,소속부서!$A$2:$B$20,2,FALSE), "")</f>
        <v/>
      </c>
    </row>
    <row r="1226" spans="3:4" x14ac:dyDescent="0.3">
      <c r="C1226" s="35">
        <f t="shared" si="20"/>
        <v>0</v>
      </c>
      <c r="D1226" s="30" t="str">
        <f>IFERROR(VLOOKUP(C1226,소속부서!$A$2:$B$20,2,FALSE), "")</f>
        <v/>
      </c>
    </row>
    <row r="1227" spans="3:4" x14ac:dyDescent="0.3">
      <c r="C1227" s="35">
        <f t="shared" si="20"/>
        <v>0</v>
      </c>
      <c r="D1227" s="30" t="str">
        <f>IFERROR(VLOOKUP(C1227,소속부서!$A$2:$B$20,2,FALSE), "")</f>
        <v/>
      </c>
    </row>
    <row r="1228" spans="3:4" x14ac:dyDescent="0.3">
      <c r="C1228" s="35">
        <f t="shared" si="20"/>
        <v>0</v>
      </c>
      <c r="D1228" s="30" t="str">
        <f>IFERROR(VLOOKUP(C1228,소속부서!$A$2:$B$20,2,FALSE), "")</f>
        <v/>
      </c>
    </row>
    <row r="1229" spans="3:4" x14ac:dyDescent="0.3">
      <c r="C1229" s="35">
        <f t="shared" si="20"/>
        <v>0</v>
      </c>
      <c r="D1229" s="30" t="str">
        <f>IFERROR(VLOOKUP(C1229,소속부서!$A$2:$B$20,2,FALSE), "")</f>
        <v/>
      </c>
    </row>
    <row r="1230" spans="3:4" x14ac:dyDescent="0.3">
      <c r="C1230" s="35">
        <f t="shared" si="20"/>
        <v>0</v>
      </c>
      <c r="D1230" s="30" t="str">
        <f>IFERROR(VLOOKUP(C1230,소속부서!$A$2:$B$20,2,FALSE), "")</f>
        <v/>
      </c>
    </row>
    <row r="1231" spans="3:4" x14ac:dyDescent="0.3">
      <c r="C1231" s="35">
        <f t="shared" si="20"/>
        <v>0</v>
      </c>
      <c r="D1231" s="30" t="str">
        <f>IFERROR(VLOOKUP(C1231,소속부서!$A$2:$B$20,2,FALSE), "")</f>
        <v/>
      </c>
    </row>
    <row r="1232" spans="3:4" x14ac:dyDescent="0.3">
      <c r="C1232" s="35">
        <f t="shared" si="20"/>
        <v>0</v>
      </c>
      <c r="D1232" s="30" t="str">
        <f>IFERROR(VLOOKUP(C1232,소속부서!$A$2:$B$20,2,FALSE), "")</f>
        <v/>
      </c>
    </row>
    <row r="1233" spans="3:4" x14ac:dyDescent="0.3">
      <c r="C1233" s="35">
        <f t="shared" si="20"/>
        <v>0</v>
      </c>
      <c r="D1233" s="30" t="str">
        <f>IFERROR(VLOOKUP(C1233,소속부서!$A$2:$B$20,2,FALSE), "")</f>
        <v/>
      </c>
    </row>
    <row r="1234" spans="3:4" x14ac:dyDescent="0.3">
      <c r="C1234" s="35">
        <f t="shared" si="20"/>
        <v>0</v>
      </c>
      <c r="D1234" s="30" t="str">
        <f>IFERROR(VLOOKUP(C1234,소속부서!$A$2:$B$20,2,FALSE), "")</f>
        <v/>
      </c>
    </row>
    <row r="1235" spans="3:4" x14ac:dyDescent="0.3">
      <c r="C1235" s="35">
        <f t="shared" si="20"/>
        <v>0</v>
      </c>
      <c r="D1235" s="30" t="str">
        <f>IFERROR(VLOOKUP(C1235,소속부서!$A$2:$B$20,2,FALSE), "")</f>
        <v/>
      </c>
    </row>
    <row r="1236" spans="3:4" x14ac:dyDescent="0.3">
      <c r="C1236" s="35">
        <f t="shared" si="20"/>
        <v>0</v>
      </c>
      <c r="D1236" s="30" t="str">
        <f>IFERROR(VLOOKUP(C1236,소속부서!$A$2:$B$20,2,FALSE), "")</f>
        <v/>
      </c>
    </row>
    <row r="1237" spans="3:4" x14ac:dyDescent="0.3">
      <c r="C1237" s="35">
        <f t="shared" si="20"/>
        <v>0</v>
      </c>
      <c r="D1237" s="30" t="str">
        <f>IFERROR(VLOOKUP(C1237,소속부서!$A$2:$B$20,2,FALSE), "")</f>
        <v/>
      </c>
    </row>
    <row r="1238" spans="3:4" x14ac:dyDescent="0.3">
      <c r="C1238" s="35">
        <f t="shared" si="20"/>
        <v>0</v>
      </c>
      <c r="D1238" s="30" t="str">
        <f>IFERROR(VLOOKUP(C1238,소속부서!$A$2:$B$20,2,FALSE), "")</f>
        <v/>
      </c>
    </row>
    <row r="1239" spans="3:4" x14ac:dyDescent="0.3">
      <c r="C1239" s="35">
        <f t="shared" si="20"/>
        <v>0</v>
      </c>
      <c r="D1239" s="30" t="str">
        <f>IFERROR(VLOOKUP(C1239,소속부서!$A$2:$B$20,2,FALSE), "")</f>
        <v/>
      </c>
    </row>
    <row r="1240" spans="3:4" x14ac:dyDescent="0.3">
      <c r="C1240" s="35">
        <f t="shared" si="20"/>
        <v>0</v>
      </c>
      <c r="D1240" s="30" t="str">
        <f>IFERROR(VLOOKUP(C1240,소속부서!$A$2:$B$20,2,FALSE), "")</f>
        <v/>
      </c>
    </row>
    <row r="1241" spans="3:4" x14ac:dyDescent="0.3">
      <c r="C1241" s="35">
        <f t="shared" si="20"/>
        <v>0</v>
      </c>
      <c r="D1241" s="30" t="str">
        <f>IFERROR(VLOOKUP(C1241,소속부서!$A$2:$B$20,2,FALSE), "")</f>
        <v/>
      </c>
    </row>
    <row r="1242" spans="3:4" x14ac:dyDescent="0.3">
      <c r="C1242" s="35">
        <f t="shared" si="20"/>
        <v>0</v>
      </c>
      <c r="D1242" s="30" t="str">
        <f>IFERROR(VLOOKUP(C1242,소속부서!$A$2:$B$20,2,FALSE), "")</f>
        <v/>
      </c>
    </row>
    <row r="1243" spans="3:4" x14ac:dyDescent="0.3">
      <c r="C1243" s="35">
        <f t="shared" si="20"/>
        <v>0</v>
      </c>
      <c r="D1243" s="30" t="str">
        <f>IFERROR(VLOOKUP(C1243,소속부서!$A$2:$B$20,2,FALSE), "")</f>
        <v/>
      </c>
    </row>
    <row r="1244" spans="3:4" x14ac:dyDescent="0.3">
      <c r="C1244" s="35">
        <f t="shared" si="20"/>
        <v>0</v>
      </c>
      <c r="D1244" s="30" t="str">
        <f>IFERROR(VLOOKUP(C1244,소속부서!$A$2:$B$20,2,FALSE), "")</f>
        <v/>
      </c>
    </row>
    <row r="1245" spans="3:4" x14ac:dyDescent="0.3">
      <c r="C1245" s="35">
        <f t="shared" si="20"/>
        <v>0</v>
      </c>
      <c r="D1245" s="30" t="str">
        <f>IFERROR(VLOOKUP(C1245,소속부서!$A$2:$B$20,2,FALSE), "")</f>
        <v/>
      </c>
    </row>
    <row r="1246" spans="3:4" x14ac:dyDescent="0.3">
      <c r="C1246" s="35">
        <f t="shared" si="20"/>
        <v>0</v>
      </c>
      <c r="D1246" s="30" t="str">
        <f>IFERROR(VLOOKUP(C1246,소속부서!$A$2:$B$20,2,FALSE), "")</f>
        <v/>
      </c>
    </row>
    <row r="1247" spans="3:4" x14ac:dyDescent="0.3">
      <c r="C1247" s="35">
        <f t="shared" si="20"/>
        <v>0</v>
      </c>
      <c r="D1247" s="30" t="str">
        <f>IFERROR(VLOOKUP(C1247,소속부서!$A$2:$B$20,2,FALSE), "")</f>
        <v/>
      </c>
    </row>
    <row r="1248" spans="3:4" x14ac:dyDescent="0.3">
      <c r="C1248" s="35">
        <f t="shared" si="20"/>
        <v>0</v>
      </c>
      <c r="D1248" s="30" t="str">
        <f>IFERROR(VLOOKUP(C1248,소속부서!$A$2:$B$20,2,FALSE), "")</f>
        <v/>
      </c>
    </row>
    <row r="1249" spans="3:4" x14ac:dyDescent="0.3">
      <c r="C1249" s="35">
        <f t="shared" si="20"/>
        <v>0</v>
      </c>
      <c r="D1249" s="30" t="str">
        <f>IFERROR(VLOOKUP(C1249,소속부서!$A$2:$B$20,2,FALSE), "")</f>
        <v/>
      </c>
    </row>
    <row r="1250" spans="3:4" x14ac:dyDescent="0.3">
      <c r="C1250" s="35">
        <f t="shared" si="20"/>
        <v>0</v>
      </c>
      <c r="D1250" s="30" t="str">
        <f>IFERROR(VLOOKUP(C1250,소속부서!$A$2:$B$20,2,FALSE), "")</f>
        <v/>
      </c>
    </row>
    <row r="1251" spans="3:4" x14ac:dyDescent="0.3">
      <c r="C1251" s="35">
        <f t="shared" si="20"/>
        <v>0</v>
      </c>
      <c r="D1251" s="30" t="str">
        <f>IFERROR(VLOOKUP(C1251,소속부서!$A$2:$B$20,2,FALSE), "")</f>
        <v/>
      </c>
    </row>
    <row r="1252" spans="3:4" x14ac:dyDescent="0.3">
      <c r="C1252" s="35">
        <f t="shared" si="20"/>
        <v>0</v>
      </c>
      <c r="D1252" s="30" t="str">
        <f>IFERROR(VLOOKUP(C1252,소속부서!$A$2:$B$20,2,FALSE), "")</f>
        <v/>
      </c>
    </row>
    <row r="1253" spans="3:4" x14ac:dyDescent="0.3">
      <c r="C1253" s="35">
        <f t="shared" si="20"/>
        <v>0</v>
      </c>
      <c r="D1253" s="30" t="str">
        <f>IFERROR(VLOOKUP(C1253,소속부서!$A$2:$B$20,2,FALSE), "")</f>
        <v/>
      </c>
    </row>
    <row r="1254" spans="3:4" x14ac:dyDescent="0.3">
      <c r="C1254" s="35">
        <f t="shared" si="20"/>
        <v>0</v>
      </c>
      <c r="D1254" s="30" t="str">
        <f>IFERROR(VLOOKUP(C1254,소속부서!$A$2:$B$20,2,FALSE), "")</f>
        <v/>
      </c>
    </row>
    <row r="1255" spans="3:4" x14ac:dyDescent="0.3">
      <c r="C1255" s="35">
        <f t="shared" si="20"/>
        <v>0</v>
      </c>
      <c r="D1255" s="30" t="str">
        <f>IFERROR(VLOOKUP(C1255,소속부서!$A$2:$B$20,2,FALSE), "")</f>
        <v/>
      </c>
    </row>
    <row r="1256" spans="3:4" x14ac:dyDescent="0.3">
      <c r="C1256" s="35">
        <f t="shared" si="20"/>
        <v>0</v>
      </c>
      <c r="D1256" s="30" t="str">
        <f>IFERROR(VLOOKUP(C1256,소속부서!$A$2:$B$20,2,FALSE), "")</f>
        <v/>
      </c>
    </row>
    <row r="1257" spans="3:4" x14ac:dyDescent="0.3">
      <c r="C1257" s="35">
        <f t="shared" si="20"/>
        <v>0</v>
      </c>
      <c r="D1257" s="30" t="str">
        <f>IFERROR(VLOOKUP(C1257,소속부서!$A$2:$B$20,2,FALSE), "")</f>
        <v/>
      </c>
    </row>
    <row r="1258" spans="3:4" x14ac:dyDescent="0.3">
      <c r="C1258" s="35">
        <f t="shared" si="20"/>
        <v>0</v>
      </c>
      <c r="D1258" s="30" t="str">
        <f>IFERROR(VLOOKUP(C1258,소속부서!$A$2:$B$20,2,FALSE), "")</f>
        <v/>
      </c>
    </row>
    <row r="1259" spans="3:4" x14ac:dyDescent="0.3">
      <c r="C1259" s="35">
        <f t="shared" si="20"/>
        <v>0</v>
      </c>
      <c r="D1259" s="30" t="str">
        <f>IFERROR(VLOOKUP(C1259,소속부서!$A$2:$B$20,2,FALSE), "")</f>
        <v/>
      </c>
    </row>
    <row r="1260" spans="3:4" x14ac:dyDescent="0.3">
      <c r="C1260" s="35">
        <f t="shared" si="20"/>
        <v>0</v>
      </c>
      <c r="D1260" s="30" t="str">
        <f>IFERROR(VLOOKUP(C1260,소속부서!$A$2:$B$20,2,FALSE), "")</f>
        <v/>
      </c>
    </row>
    <row r="1261" spans="3:4" x14ac:dyDescent="0.3">
      <c r="C1261" s="35">
        <f t="shared" si="20"/>
        <v>0</v>
      </c>
      <c r="D1261" s="30" t="str">
        <f>IFERROR(VLOOKUP(C1261,소속부서!$A$2:$B$20,2,FALSE), "")</f>
        <v/>
      </c>
    </row>
    <row r="1262" spans="3:4" x14ac:dyDescent="0.3">
      <c r="C1262" s="35">
        <f t="shared" si="20"/>
        <v>0</v>
      </c>
      <c r="D1262" s="30" t="str">
        <f>IFERROR(VLOOKUP(C1262,소속부서!$A$2:$B$20,2,FALSE), "")</f>
        <v/>
      </c>
    </row>
    <row r="1263" spans="3:4" x14ac:dyDescent="0.3">
      <c r="C1263" s="35">
        <f t="shared" si="20"/>
        <v>0</v>
      </c>
      <c r="D1263" s="30" t="str">
        <f>IFERROR(VLOOKUP(C1263,소속부서!$A$2:$B$20,2,FALSE), "")</f>
        <v/>
      </c>
    </row>
    <row r="1264" spans="3:4" x14ac:dyDescent="0.3">
      <c r="C1264" s="35">
        <f t="shared" si="20"/>
        <v>0</v>
      </c>
      <c r="D1264" s="30" t="str">
        <f>IFERROR(VLOOKUP(C1264,소속부서!$A$2:$B$20,2,FALSE), "")</f>
        <v/>
      </c>
    </row>
    <row r="1265" spans="3:4" x14ac:dyDescent="0.3">
      <c r="C1265" s="35">
        <f t="shared" si="20"/>
        <v>0</v>
      </c>
      <c r="D1265" s="30" t="str">
        <f>IFERROR(VLOOKUP(C1265,소속부서!$A$2:$B$20,2,FALSE), "")</f>
        <v/>
      </c>
    </row>
    <row r="1266" spans="3:4" x14ac:dyDescent="0.3">
      <c r="C1266" s="35">
        <f t="shared" si="20"/>
        <v>0</v>
      </c>
      <c r="D1266" s="30" t="str">
        <f>IFERROR(VLOOKUP(C1266,소속부서!$A$2:$B$20,2,FALSE), "")</f>
        <v/>
      </c>
    </row>
    <row r="1267" spans="3:4" x14ac:dyDescent="0.3">
      <c r="C1267" s="35">
        <f t="shared" si="20"/>
        <v>0</v>
      </c>
      <c r="D1267" s="30" t="str">
        <f>IFERROR(VLOOKUP(C1267,소속부서!$A$2:$B$20,2,FALSE), "")</f>
        <v/>
      </c>
    </row>
    <row r="1268" spans="3:4" x14ac:dyDescent="0.3">
      <c r="C1268" s="35">
        <f t="shared" si="20"/>
        <v>0</v>
      </c>
      <c r="D1268" s="30" t="str">
        <f>IFERROR(VLOOKUP(C1268,소속부서!$A$2:$B$20,2,FALSE), "")</f>
        <v/>
      </c>
    </row>
    <row r="1269" spans="3:4" x14ac:dyDescent="0.3">
      <c r="C1269" s="35">
        <f t="shared" si="20"/>
        <v>0</v>
      </c>
      <c r="D1269" s="30" t="str">
        <f>IFERROR(VLOOKUP(C1269,소속부서!$A$2:$B$20,2,FALSE), "")</f>
        <v/>
      </c>
    </row>
    <row r="1270" spans="3:4" x14ac:dyDescent="0.3">
      <c r="C1270" s="35">
        <f t="shared" si="20"/>
        <v>0</v>
      </c>
      <c r="D1270" s="30" t="str">
        <f>IFERROR(VLOOKUP(C1270,소속부서!$A$2:$B$20,2,FALSE), "")</f>
        <v/>
      </c>
    </row>
    <row r="1271" spans="3:4" x14ac:dyDescent="0.3">
      <c r="C1271" s="35">
        <f t="shared" si="20"/>
        <v>0</v>
      </c>
      <c r="D1271" s="30" t="str">
        <f>IFERROR(VLOOKUP(C1271,소속부서!$A$2:$B$20,2,FALSE), "")</f>
        <v/>
      </c>
    </row>
    <row r="1272" spans="3:4" x14ac:dyDescent="0.3">
      <c r="C1272" s="35">
        <f t="shared" si="20"/>
        <v>0</v>
      </c>
      <c r="D1272" s="30" t="str">
        <f>IFERROR(VLOOKUP(C1272,소속부서!$A$2:$B$20,2,FALSE), "")</f>
        <v/>
      </c>
    </row>
    <row r="1273" spans="3:4" x14ac:dyDescent="0.3">
      <c r="C1273" s="35">
        <f t="shared" si="20"/>
        <v>0</v>
      </c>
      <c r="D1273" s="30" t="str">
        <f>IFERROR(VLOOKUP(C1273,소속부서!$A$2:$B$20,2,FALSE), "")</f>
        <v/>
      </c>
    </row>
    <row r="1274" spans="3:4" x14ac:dyDescent="0.3">
      <c r="C1274" s="35">
        <f t="shared" si="20"/>
        <v>0</v>
      </c>
      <c r="D1274" s="30" t="str">
        <f>IFERROR(VLOOKUP(C1274,소속부서!$A$2:$B$20,2,FALSE), "")</f>
        <v/>
      </c>
    </row>
    <row r="1275" spans="3:4" x14ac:dyDescent="0.3">
      <c r="C1275" s="35">
        <f t="shared" si="20"/>
        <v>0</v>
      </c>
      <c r="D1275" s="30" t="str">
        <f>IFERROR(VLOOKUP(C1275,소속부서!$A$2:$B$20,2,FALSE), "")</f>
        <v/>
      </c>
    </row>
    <row r="1276" spans="3:4" x14ac:dyDescent="0.3">
      <c r="C1276" s="35">
        <f t="shared" si="20"/>
        <v>0</v>
      </c>
      <c r="D1276" s="30" t="str">
        <f>IFERROR(VLOOKUP(C1276,소속부서!$A$2:$B$20,2,FALSE), "")</f>
        <v/>
      </c>
    </row>
    <row r="1277" spans="3:4" x14ac:dyDescent="0.3">
      <c r="C1277" s="35">
        <f t="shared" si="20"/>
        <v>0</v>
      </c>
      <c r="D1277" s="30" t="str">
        <f>IFERROR(VLOOKUP(C1277,소속부서!$A$2:$B$20,2,FALSE), "")</f>
        <v/>
      </c>
    </row>
    <row r="1278" spans="3:4" x14ac:dyDescent="0.3">
      <c r="C1278" s="35">
        <f t="shared" si="20"/>
        <v>0</v>
      </c>
      <c r="D1278" s="30" t="str">
        <f>IFERROR(VLOOKUP(C1278,소속부서!$A$2:$B$20,2,FALSE), "")</f>
        <v/>
      </c>
    </row>
    <row r="1279" spans="3:4" x14ac:dyDescent="0.3">
      <c r="C1279" s="35">
        <f t="shared" si="20"/>
        <v>0</v>
      </c>
      <c r="D1279" s="30" t="str">
        <f>IFERROR(VLOOKUP(C1279,소속부서!$A$2:$B$20,2,FALSE), "")</f>
        <v/>
      </c>
    </row>
    <row r="1280" spans="3:4" x14ac:dyDescent="0.3">
      <c r="C1280" s="35">
        <f t="shared" si="20"/>
        <v>0</v>
      </c>
      <c r="D1280" s="30" t="str">
        <f>IFERROR(VLOOKUP(C1280,소속부서!$A$2:$B$20,2,FALSE), "")</f>
        <v/>
      </c>
    </row>
    <row r="1281" spans="3:4" x14ac:dyDescent="0.3">
      <c r="C1281" s="35">
        <f t="shared" si="20"/>
        <v>0</v>
      </c>
      <c r="D1281" s="30" t="str">
        <f>IFERROR(VLOOKUP(C1281,소속부서!$A$2:$B$20,2,FALSE), "")</f>
        <v/>
      </c>
    </row>
    <row r="1282" spans="3:4" x14ac:dyDescent="0.3">
      <c r="C1282" s="35">
        <f t="shared" si="20"/>
        <v>0</v>
      </c>
      <c r="D1282" s="30" t="str">
        <f>IFERROR(VLOOKUP(C1282,소속부서!$A$2:$B$20,2,FALSE), "")</f>
        <v/>
      </c>
    </row>
    <row r="1283" spans="3:4" x14ac:dyDescent="0.3">
      <c r="C1283" s="35">
        <f t="shared" si="20"/>
        <v>0</v>
      </c>
      <c r="D1283" s="30" t="str">
        <f>IFERROR(VLOOKUP(C1283,소속부서!$A$2:$B$20,2,FALSE), "")</f>
        <v/>
      </c>
    </row>
    <row r="1284" spans="3:4" x14ac:dyDescent="0.3">
      <c r="C1284" s="35">
        <f t="shared" ref="C1284:C1347" si="21">E1284</f>
        <v>0</v>
      </c>
      <c r="D1284" s="30" t="str">
        <f>IFERROR(VLOOKUP(C1284,소속부서!$A$2:$B$20,2,FALSE), "")</f>
        <v/>
      </c>
    </row>
    <row r="1285" spans="3:4" x14ac:dyDescent="0.3">
      <c r="C1285" s="35">
        <f t="shared" si="21"/>
        <v>0</v>
      </c>
      <c r="D1285" s="30" t="str">
        <f>IFERROR(VLOOKUP(C1285,소속부서!$A$2:$B$20,2,FALSE), "")</f>
        <v/>
      </c>
    </row>
    <row r="1286" spans="3:4" x14ac:dyDescent="0.3">
      <c r="C1286" s="35">
        <f t="shared" si="21"/>
        <v>0</v>
      </c>
      <c r="D1286" s="30" t="str">
        <f>IFERROR(VLOOKUP(C1286,소속부서!$A$2:$B$20,2,FALSE), "")</f>
        <v/>
      </c>
    </row>
    <row r="1287" spans="3:4" x14ac:dyDescent="0.3">
      <c r="C1287" s="35">
        <f t="shared" si="21"/>
        <v>0</v>
      </c>
      <c r="D1287" s="30" t="str">
        <f>IFERROR(VLOOKUP(C1287,소속부서!$A$2:$B$20,2,FALSE), "")</f>
        <v/>
      </c>
    </row>
    <row r="1288" spans="3:4" x14ac:dyDescent="0.3">
      <c r="C1288" s="35">
        <f t="shared" si="21"/>
        <v>0</v>
      </c>
      <c r="D1288" s="30" t="str">
        <f>IFERROR(VLOOKUP(C1288,소속부서!$A$2:$B$20,2,FALSE), "")</f>
        <v/>
      </c>
    </row>
    <row r="1289" spans="3:4" x14ac:dyDescent="0.3">
      <c r="C1289" s="35">
        <f t="shared" si="21"/>
        <v>0</v>
      </c>
      <c r="D1289" s="30" t="str">
        <f>IFERROR(VLOOKUP(C1289,소속부서!$A$2:$B$20,2,FALSE), "")</f>
        <v/>
      </c>
    </row>
    <row r="1290" spans="3:4" x14ac:dyDescent="0.3">
      <c r="C1290" s="35">
        <f t="shared" si="21"/>
        <v>0</v>
      </c>
      <c r="D1290" s="30" t="str">
        <f>IFERROR(VLOOKUP(C1290,소속부서!$A$2:$B$20,2,FALSE), "")</f>
        <v/>
      </c>
    </row>
    <row r="1291" spans="3:4" x14ac:dyDescent="0.3">
      <c r="C1291" s="35">
        <f t="shared" si="21"/>
        <v>0</v>
      </c>
      <c r="D1291" s="30" t="str">
        <f>IFERROR(VLOOKUP(C1291,소속부서!$A$2:$B$20,2,FALSE), "")</f>
        <v/>
      </c>
    </row>
    <row r="1292" spans="3:4" x14ac:dyDescent="0.3">
      <c r="C1292" s="35">
        <f t="shared" si="21"/>
        <v>0</v>
      </c>
      <c r="D1292" s="30" t="str">
        <f>IFERROR(VLOOKUP(C1292,소속부서!$A$2:$B$20,2,FALSE), "")</f>
        <v/>
      </c>
    </row>
    <row r="1293" spans="3:4" x14ac:dyDescent="0.3">
      <c r="C1293" s="35">
        <f t="shared" si="21"/>
        <v>0</v>
      </c>
      <c r="D1293" s="30" t="str">
        <f>IFERROR(VLOOKUP(C1293,소속부서!$A$2:$B$20,2,FALSE), "")</f>
        <v/>
      </c>
    </row>
    <row r="1294" spans="3:4" x14ac:dyDescent="0.3">
      <c r="C1294" s="35">
        <f t="shared" si="21"/>
        <v>0</v>
      </c>
      <c r="D1294" s="30" t="str">
        <f>IFERROR(VLOOKUP(C1294,소속부서!$A$2:$B$20,2,FALSE), "")</f>
        <v/>
      </c>
    </row>
    <row r="1295" spans="3:4" x14ac:dyDescent="0.3">
      <c r="C1295" s="35">
        <f t="shared" si="21"/>
        <v>0</v>
      </c>
      <c r="D1295" s="30" t="str">
        <f>IFERROR(VLOOKUP(C1295,소속부서!$A$2:$B$20,2,FALSE), "")</f>
        <v/>
      </c>
    </row>
    <row r="1296" spans="3:4" x14ac:dyDescent="0.3">
      <c r="C1296" s="35">
        <f t="shared" si="21"/>
        <v>0</v>
      </c>
      <c r="D1296" s="30" t="str">
        <f>IFERROR(VLOOKUP(C1296,소속부서!$A$2:$B$20,2,FALSE), "")</f>
        <v/>
      </c>
    </row>
    <row r="1297" spans="3:4" x14ac:dyDescent="0.3">
      <c r="C1297" s="35">
        <f t="shared" si="21"/>
        <v>0</v>
      </c>
      <c r="D1297" s="30" t="str">
        <f>IFERROR(VLOOKUP(C1297,소속부서!$A$2:$B$20,2,FALSE), "")</f>
        <v/>
      </c>
    </row>
    <row r="1298" spans="3:4" x14ac:dyDescent="0.3">
      <c r="C1298" s="35">
        <f t="shared" si="21"/>
        <v>0</v>
      </c>
      <c r="D1298" s="30" t="str">
        <f>IFERROR(VLOOKUP(C1298,소속부서!$A$2:$B$20,2,FALSE), "")</f>
        <v/>
      </c>
    </row>
    <row r="1299" spans="3:4" x14ac:dyDescent="0.3">
      <c r="C1299" s="35">
        <f t="shared" si="21"/>
        <v>0</v>
      </c>
      <c r="D1299" s="30" t="str">
        <f>IFERROR(VLOOKUP(C1299,소속부서!$A$2:$B$20,2,FALSE), "")</f>
        <v/>
      </c>
    </row>
    <row r="1300" spans="3:4" x14ac:dyDescent="0.3">
      <c r="C1300" s="35">
        <f t="shared" si="21"/>
        <v>0</v>
      </c>
      <c r="D1300" s="30" t="str">
        <f>IFERROR(VLOOKUP(C1300,소속부서!$A$2:$B$20,2,FALSE), "")</f>
        <v/>
      </c>
    </row>
    <row r="1301" spans="3:4" x14ac:dyDescent="0.3">
      <c r="C1301" s="35">
        <f t="shared" si="21"/>
        <v>0</v>
      </c>
      <c r="D1301" s="30" t="str">
        <f>IFERROR(VLOOKUP(C1301,소속부서!$A$2:$B$20,2,FALSE), "")</f>
        <v/>
      </c>
    </row>
    <row r="1302" spans="3:4" x14ac:dyDescent="0.3">
      <c r="C1302" s="35">
        <f t="shared" si="21"/>
        <v>0</v>
      </c>
      <c r="D1302" s="30" t="str">
        <f>IFERROR(VLOOKUP(C1302,소속부서!$A$2:$B$20,2,FALSE), "")</f>
        <v/>
      </c>
    </row>
    <row r="1303" spans="3:4" x14ac:dyDescent="0.3">
      <c r="C1303" s="35">
        <f t="shared" si="21"/>
        <v>0</v>
      </c>
      <c r="D1303" s="30" t="str">
        <f>IFERROR(VLOOKUP(C1303,소속부서!$A$2:$B$20,2,FALSE), "")</f>
        <v/>
      </c>
    </row>
    <row r="1304" spans="3:4" x14ac:dyDescent="0.3">
      <c r="C1304" s="35">
        <f t="shared" si="21"/>
        <v>0</v>
      </c>
      <c r="D1304" s="30" t="str">
        <f>IFERROR(VLOOKUP(C1304,소속부서!$A$2:$B$20,2,FALSE), "")</f>
        <v/>
      </c>
    </row>
    <row r="1305" spans="3:4" x14ac:dyDescent="0.3">
      <c r="C1305" s="35">
        <f t="shared" si="21"/>
        <v>0</v>
      </c>
      <c r="D1305" s="30" t="str">
        <f>IFERROR(VLOOKUP(C1305,소속부서!$A$2:$B$20,2,FALSE), "")</f>
        <v/>
      </c>
    </row>
    <row r="1306" spans="3:4" x14ac:dyDescent="0.3">
      <c r="C1306" s="35">
        <f t="shared" si="21"/>
        <v>0</v>
      </c>
      <c r="D1306" s="30" t="str">
        <f>IFERROR(VLOOKUP(C1306,소속부서!$A$2:$B$20,2,FALSE), "")</f>
        <v/>
      </c>
    </row>
    <row r="1307" spans="3:4" x14ac:dyDescent="0.3">
      <c r="C1307" s="35">
        <f t="shared" si="21"/>
        <v>0</v>
      </c>
      <c r="D1307" s="30" t="str">
        <f>IFERROR(VLOOKUP(C1307,소속부서!$A$2:$B$20,2,FALSE), "")</f>
        <v/>
      </c>
    </row>
    <row r="1308" spans="3:4" x14ac:dyDescent="0.3">
      <c r="C1308" s="35">
        <f t="shared" si="21"/>
        <v>0</v>
      </c>
      <c r="D1308" s="30" t="str">
        <f>IFERROR(VLOOKUP(C1308,소속부서!$A$2:$B$20,2,FALSE), "")</f>
        <v/>
      </c>
    </row>
    <row r="1309" spans="3:4" x14ac:dyDescent="0.3">
      <c r="C1309" s="35">
        <f t="shared" si="21"/>
        <v>0</v>
      </c>
      <c r="D1309" s="30" t="str">
        <f>IFERROR(VLOOKUP(C1309,소속부서!$A$2:$B$20,2,FALSE), "")</f>
        <v/>
      </c>
    </row>
    <row r="1310" spans="3:4" x14ac:dyDescent="0.3">
      <c r="C1310" s="35">
        <f t="shared" si="21"/>
        <v>0</v>
      </c>
      <c r="D1310" s="30" t="str">
        <f>IFERROR(VLOOKUP(C1310,소속부서!$A$2:$B$20,2,FALSE), "")</f>
        <v/>
      </c>
    </row>
    <row r="1311" spans="3:4" x14ac:dyDescent="0.3">
      <c r="C1311" s="35">
        <f t="shared" si="21"/>
        <v>0</v>
      </c>
      <c r="D1311" s="30" t="str">
        <f>IFERROR(VLOOKUP(C1311,소속부서!$A$2:$B$20,2,FALSE), "")</f>
        <v/>
      </c>
    </row>
    <row r="1312" spans="3:4" x14ac:dyDescent="0.3">
      <c r="C1312" s="35">
        <f t="shared" si="21"/>
        <v>0</v>
      </c>
      <c r="D1312" s="30" t="str">
        <f>IFERROR(VLOOKUP(C1312,소속부서!$A$2:$B$20,2,FALSE), "")</f>
        <v/>
      </c>
    </row>
    <row r="1313" spans="3:4" x14ac:dyDescent="0.3">
      <c r="C1313" s="35">
        <f t="shared" si="21"/>
        <v>0</v>
      </c>
      <c r="D1313" s="30" t="str">
        <f>IFERROR(VLOOKUP(C1313,소속부서!$A$2:$B$20,2,FALSE), "")</f>
        <v/>
      </c>
    </row>
    <row r="1314" spans="3:4" x14ac:dyDescent="0.3">
      <c r="C1314" s="35">
        <f t="shared" si="21"/>
        <v>0</v>
      </c>
      <c r="D1314" s="30" t="str">
        <f>IFERROR(VLOOKUP(C1314,소속부서!$A$2:$B$20,2,FALSE), "")</f>
        <v/>
      </c>
    </row>
    <row r="1315" spans="3:4" x14ac:dyDescent="0.3">
      <c r="C1315" s="35">
        <f t="shared" si="21"/>
        <v>0</v>
      </c>
      <c r="D1315" s="30" t="str">
        <f>IFERROR(VLOOKUP(C1315,소속부서!$A$2:$B$20,2,FALSE), "")</f>
        <v/>
      </c>
    </row>
    <row r="1316" spans="3:4" x14ac:dyDescent="0.3">
      <c r="C1316" s="35">
        <f t="shared" si="21"/>
        <v>0</v>
      </c>
      <c r="D1316" s="30" t="str">
        <f>IFERROR(VLOOKUP(C1316,소속부서!$A$2:$B$20,2,FALSE), "")</f>
        <v/>
      </c>
    </row>
    <row r="1317" spans="3:4" x14ac:dyDescent="0.3">
      <c r="C1317" s="35">
        <f t="shared" si="21"/>
        <v>0</v>
      </c>
      <c r="D1317" s="30" t="str">
        <f>IFERROR(VLOOKUP(C1317,소속부서!$A$2:$B$20,2,FALSE), "")</f>
        <v/>
      </c>
    </row>
    <row r="1318" spans="3:4" x14ac:dyDescent="0.3">
      <c r="C1318" s="35">
        <f t="shared" si="21"/>
        <v>0</v>
      </c>
      <c r="D1318" s="30" t="str">
        <f>IFERROR(VLOOKUP(C1318,소속부서!$A$2:$B$20,2,FALSE), "")</f>
        <v/>
      </c>
    </row>
    <row r="1319" spans="3:4" x14ac:dyDescent="0.3">
      <c r="C1319" s="35">
        <f t="shared" si="21"/>
        <v>0</v>
      </c>
      <c r="D1319" s="30" t="str">
        <f>IFERROR(VLOOKUP(C1319,소속부서!$A$2:$B$20,2,FALSE), "")</f>
        <v/>
      </c>
    </row>
    <row r="1320" spans="3:4" x14ac:dyDescent="0.3">
      <c r="C1320" s="35">
        <f t="shared" si="21"/>
        <v>0</v>
      </c>
      <c r="D1320" s="30" t="str">
        <f>IFERROR(VLOOKUP(C1320,소속부서!$A$2:$B$20,2,FALSE), "")</f>
        <v/>
      </c>
    </row>
    <row r="1321" spans="3:4" x14ac:dyDescent="0.3">
      <c r="C1321" s="35">
        <f t="shared" si="21"/>
        <v>0</v>
      </c>
      <c r="D1321" s="30" t="str">
        <f>IFERROR(VLOOKUP(C1321,소속부서!$A$2:$B$20,2,FALSE), "")</f>
        <v/>
      </c>
    </row>
    <row r="1322" spans="3:4" x14ac:dyDescent="0.3">
      <c r="C1322" s="35">
        <f t="shared" si="21"/>
        <v>0</v>
      </c>
      <c r="D1322" s="30" t="str">
        <f>IFERROR(VLOOKUP(C1322,소속부서!$A$2:$B$20,2,FALSE), "")</f>
        <v/>
      </c>
    </row>
    <row r="1323" spans="3:4" x14ac:dyDescent="0.3">
      <c r="C1323" s="35">
        <f t="shared" si="21"/>
        <v>0</v>
      </c>
      <c r="D1323" s="30" t="str">
        <f>IFERROR(VLOOKUP(C1323,소속부서!$A$2:$B$20,2,FALSE), "")</f>
        <v/>
      </c>
    </row>
    <row r="1324" spans="3:4" x14ac:dyDescent="0.3">
      <c r="C1324" s="35">
        <f t="shared" si="21"/>
        <v>0</v>
      </c>
      <c r="D1324" s="30" t="str">
        <f>IFERROR(VLOOKUP(C1324,소속부서!$A$2:$B$20,2,FALSE), "")</f>
        <v/>
      </c>
    </row>
    <row r="1325" spans="3:4" x14ac:dyDescent="0.3">
      <c r="C1325" s="35">
        <f t="shared" si="21"/>
        <v>0</v>
      </c>
      <c r="D1325" s="30" t="str">
        <f>IFERROR(VLOOKUP(C1325,소속부서!$A$2:$B$20,2,FALSE), "")</f>
        <v/>
      </c>
    </row>
    <row r="1326" spans="3:4" x14ac:dyDescent="0.3">
      <c r="C1326" s="35">
        <f t="shared" si="21"/>
        <v>0</v>
      </c>
      <c r="D1326" s="30" t="str">
        <f>IFERROR(VLOOKUP(C1326,소속부서!$A$2:$B$20,2,FALSE), "")</f>
        <v/>
      </c>
    </row>
    <row r="1327" spans="3:4" x14ac:dyDescent="0.3">
      <c r="C1327" s="35">
        <f t="shared" si="21"/>
        <v>0</v>
      </c>
      <c r="D1327" s="30" t="str">
        <f>IFERROR(VLOOKUP(C1327,소속부서!$A$2:$B$20,2,FALSE), "")</f>
        <v/>
      </c>
    </row>
    <row r="1328" spans="3:4" x14ac:dyDescent="0.3">
      <c r="C1328" s="35">
        <f t="shared" si="21"/>
        <v>0</v>
      </c>
      <c r="D1328" s="30" t="str">
        <f>IFERROR(VLOOKUP(C1328,소속부서!$A$2:$B$20,2,FALSE), "")</f>
        <v/>
      </c>
    </row>
    <row r="1329" spans="3:4" x14ac:dyDescent="0.3">
      <c r="C1329" s="35">
        <f t="shared" si="21"/>
        <v>0</v>
      </c>
      <c r="D1329" s="30" t="str">
        <f>IFERROR(VLOOKUP(C1329,소속부서!$A$2:$B$20,2,FALSE), "")</f>
        <v/>
      </c>
    </row>
    <row r="1330" spans="3:4" x14ac:dyDescent="0.3">
      <c r="C1330" s="35">
        <f t="shared" si="21"/>
        <v>0</v>
      </c>
      <c r="D1330" s="30" t="str">
        <f>IFERROR(VLOOKUP(C1330,소속부서!$A$2:$B$20,2,FALSE), "")</f>
        <v/>
      </c>
    </row>
    <row r="1331" spans="3:4" x14ac:dyDescent="0.3">
      <c r="C1331" s="35">
        <f t="shared" si="21"/>
        <v>0</v>
      </c>
      <c r="D1331" s="30" t="str">
        <f>IFERROR(VLOOKUP(C1331,소속부서!$A$2:$B$20,2,FALSE), "")</f>
        <v/>
      </c>
    </row>
    <row r="1332" spans="3:4" x14ac:dyDescent="0.3">
      <c r="C1332" s="35">
        <f t="shared" si="21"/>
        <v>0</v>
      </c>
      <c r="D1332" s="30" t="str">
        <f>IFERROR(VLOOKUP(C1332,소속부서!$A$2:$B$20,2,FALSE), "")</f>
        <v/>
      </c>
    </row>
    <row r="1333" spans="3:4" x14ac:dyDescent="0.3">
      <c r="C1333" s="35">
        <f t="shared" si="21"/>
        <v>0</v>
      </c>
      <c r="D1333" s="30" t="str">
        <f>IFERROR(VLOOKUP(C1333,소속부서!$A$2:$B$20,2,FALSE), "")</f>
        <v/>
      </c>
    </row>
    <row r="1334" spans="3:4" x14ac:dyDescent="0.3">
      <c r="C1334" s="35">
        <f t="shared" si="21"/>
        <v>0</v>
      </c>
      <c r="D1334" s="30" t="str">
        <f>IFERROR(VLOOKUP(C1334,소속부서!$A$2:$B$20,2,FALSE), "")</f>
        <v/>
      </c>
    </row>
    <row r="1335" spans="3:4" x14ac:dyDescent="0.3">
      <c r="C1335" s="35">
        <f t="shared" si="21"/>
        <v>0</v>
      </c>
      <c r="D1335" s="30" t="str">
        <f>IFERROR(VLOOKUP(C1335,소속부서!$A$2:$B$20,2,FALSE), "")</f>
        <v/>
      </c>
    </row>
    <row r="1336" spans="3:4" x14ac:dyDescent="0.3">
      <c r="C1336" s="35">
        <f t="shared" si="21"/>
        <v>0</v>
      </c>
      <c r="D1336" s="30" t="str">
        <f>IFERROR(VLOOKUP(C1336,소속부서!$A$2:$B$20,2,FALSE), "")</f>
        <v/>
      </c>
    </row>
    <row r="1337" spans="3:4" x14ac:dyDescent="0.3">
      <c r="C1337" s="35">
        <f t="shared" si="21"/>
        <v>0</v>
      </c>
      <c r="D1337" s="30" t="str">
        <f>IFERROR(VLOOKUP(C1337,소속부서!$A$2:$B$20,2,FALSE), "")</f>
        <v/>
      </c>
    </row>
    <row r="1338" spans="3:4" x14ac:dyDescent="0.3">
      <c r="C1338" s="35">
        <f t="shared" si="21"/>
        <v>0</v>
      </c>
      <c r="D1338" s="30" t="str">
        <f>IFERROR(VLOOKUP(C1338,소속부서!$A$2:$B$20,2,FALSE), "")</f>
        <v/>
      </c>
    </row>
    <row r="1339" spans="3:4" x14ac:dyDescent="0.3">
      <c r="C1339" s="35">
        <f t="shared" si="21"/>
        <v>0</v>
      </c>
      <c r="D1339" s="30" t="str">
        <f>IFERROR(VLOOKUP(C1339,소속부서!$A$2:$B$20,2,FALSE), "")</f>
        <v/>
      </c>
    </row>
    <row r="1340" spans="3:4" x14ac:dyDescent="0.3">
      <c r="C1340" s="35">
        <f t="shared" si="21"/>
        <v>0</v>
      </c>
      <c r="D1340" s="30" t="str">
        <f>IFERROR(VLOOKUP(C1340,소속부서!$A$2:$B$20,2,FALSE), "")</f>
        <v/>
      </c>
    </row>
    <row r="1341" spans="3:4" x14ac:dyDescent="0.3">
      <c r="C1341" s="35">
        <f t="shared" si="21"/>
        <v>0</v>
      </c>
      <c r="D1341" s="30" t="str">
        <f>IFERROR(VLOOKUP(C1341,소속부서!$A$2:$B$20,2,FALSE), "")</f>
        <v/>
      </c>
    </row>
    <row r="1342" spans="3:4" x14ac:dyDescent="0.3">
      <c r="C1342" s="35">
        <f t="shared" si="21"/>
        <v>0</v>
      </c>
      <c r="D1342" s="30" t="str">
        <f>IFERROR(VLOOKUP(C1342,소속부서!$A$2:$B$20,2,FALSE), "")</f>
        <v/>
      </c>
    </row>
    <row r="1343" spans="3:4" x14ac:dyDescent="0.3">
      <c r="C1343" s="35">
        <f t="shared" si="21"/>
        <v>0</v>
      </c>
      <c r="D1343" s="30" t="str">
        <f>IFERROR(VLOOKUP(C1343,소속부서!$A$2:$B$20,2,FALSE), "")</f>
        <v/>
      </c>
    </row>
    <row r="1344" spans="3:4" x14ac:dyDescent="0.3">
      <c r="C1344" s="35">
        <f t="shared" si="21"/>
        <v>0</v>
      </c>
      <c r="D1344" s="30" t="str">
        <f>IFERROR(VLOOKUP(C1344,소속부서!$A$2:$B$20,2,FALSE), "")</f>
        <v/>
      </c>
    </row>
    <row r="1345" spans="3:4" x14ac:dyDescent="0.3">
      <c r="C1345" s="35">
        <f t="shared" si="21"/>
        <v>0</v>
      </c>
      <c r="D1345" s="30" t="str">
        <f>IFERROR(VLOOKUP(C1345,소속부서!$A$2:$B$20,2,FALSE), "")</f>
        <v/>
      </c>
    </row>
    <row r="1346" spans="3:4" x14ac:dyDescent="0.3">
      <c r="C1346" s="35">
        <f t="shared" si="21"/>
        <v>0</v>
      </c>
      <c r="D1346" s="30" t="str">
        <f>IFERROR(VLOOKUP(C1346,소속부서!$A$2:$B$20,2,FALSE), "")</f>
        <v/>
      </c>
    </row>
    <row r="1347" spans="3:4" x14ac:dyDescent="0.3">
      <c r="C1347" s="35">
        <f t="shared" si="21"/>
        <v>0</v>
      </c>
      <c r="D1347" s="30" t="str">
        <f>IFERROR(VLOOKUP(C1347,소속부서!$A$2:$B$20,2,FALSE), "")</f>
        <v/>
      </c>
    </row>
    <row r="1348" spans="3:4" x14ac:dyDescent="0.3">
      <c r="C1348" s="35">
        <f t="shared" ref="C1348:C1411" si="22">E1348</f>
        <v>0</v>
      </c>
      <c r="D1348" s="30" t="str">
        <f>IFERROR(VLOOKUP(C1348,소속부서!$A$2:$B$20,2,FALSE), "")</f>
        <v/>
      </c>
    </row>
    <row r="1349" spans="3:4" x14ac:dyDescent="0.3">
      <c r="C1349" s="35">
        <f t="shared" si="22"/>
        <v>0</v>
      </c>
      <c r="D1349" s="30" t="str">
        <f>IFERROR(VLOOKUP(C1349,소속부서!$A$2:$B$20,2,FALSE), "")</f>
        <v/>
      </c>
    </row>
    <row r="1350" spans="3:4" x14ac:dyDescent="0.3">
      <c r="C1350" s="35">
        <f t="shared" si="22"/>
        <v>0</v>
      </c>
      <c r="D1350" s="30" t="str">
        <f>IFERROR(VLOOKUP(C1350,소속부서!$A$2:$B$20,2,FALSE), "")</f>
        <v/>
      </c>
    </row>
    <row r="1351" spans="3:4" x14ac:dyDescent="0.3">
      <c r="C1351" s="35">
        <f t="shared" si="22"/>
        <v>0</v>
      </c>
      <c r="D1351" s="30" t="str">
        <f>IFERROR(VLOOKUP(C1351,소속부서!$A$2:$B$20,2,FALSE), "")</f>
        <v/>
      </c>
    </row>
    <row r="1352" spans="3:4" x14ac:dyDescent="0.3">
      <c r="C1352" s="35">
        <f t="shared" si="22"/>
        <v>0</v>
      </c>
      <c r="D1352" s="30" t="str">
        <f>IFERROR(VLOOKUP(C1352,소속부서!$A$2:$B$20,2,FALSE), "")</f>
        <v/>
      </c>
    </row>
    <row r="1353" spans="3:4" x14ac:dyDescent="0.3">
      <c r="C1353" s="35">
        <f t="shared" si="22"/>
        <v>0</v>
      </c>
      <c r="D1353" s="30" t="str">
        <f>IFERROR(VLOOKUP(C1353,소속부서!$A$2:$B$20,2,FALSE), "")</f>
        <v/>
      </c>
    </row>
    <row r="1354" spans="3:4" x14ac:dyDescent="0.3">
      <c r="C1354" s="35">
        <f t="shared" si="22"/>
        <v>0</v>
      </c>
      <c r="D1354" s="30" t="str">
        <f>IFERROR(VLOOKUP(C1354,소속부서!$A$2:$B$20,2,FALSE), "")</f>
        <v/>
      </c>
    </row>
    <row r="1355" spans="3:4" x14ac:dyDescent="0.3">
      <c r="C1355" s="35">
        <f t="shared" si="22"/>
        <v>0</v>
      </c>
      <c r="D1355" s="30" t="str">
        <f>IFERROR(VLOOKUP(C1355,소속부서!$A$2:$B$20,2,FALSE), "")</f>
        <v/>
      </c>
    </row>
    <row r="1356" spans="3:4" x14ac:dyDescent="0.3">
      <c r="C1356" s="35">
        <f t="shared" si="22"/>
        <v>0</v>
      </c>
      <c r="D1356" s="30" t="str">
        <f>IFERROR(VLOOKUP(C1356,소속부서!$A$2:$B$20,2,FALSE), "")</f>
        <v/>
      </c>
    </row>
    <row r="1357" spans="3:4" x14ac:dyDescent="0.3">
      <c r="C1357" s="35">
        <f t="shared" si="22"/>
        <v>0</v>
      </c>
      <c r="D1357" s="30" t="str">
        <f>IFERROR(VLOOKUP(C1357,소속부서!$A$2:$B$20,2,FALSE), "")</f>
        <v/>
      </c>
    </row>
    <row r="1358" spans="3:4" x14ac:dyDescent="0.3">
      <c r="C1358" s="35">
        <f t="shared" si="22"/>
        <v>0</v>
      </c>
      <c r="D1358" s="30" t="str">
        <f>IFERROR(VLOOKUP(C1358,소속부서!$A$2:$B$20,2,FALSE), "")</f>
        <v/>
      </c>
    </row>
    <row r="1359" spans="3:4" x14ac:dyDescent="0.3">
      <c r="C1359" s="35">
        <f t="shared" si="22"/>
        <v>0</v>
      </c>
      <c r="D1359" s="30" t="str">
        <f>IFERROR(VLOOKUP(C1359,소속부서!$A$2:$B$20,2,FALSE), "")</f>
        <v/>
      </c>
    </row>
    <row r="1360" spans="3:4" x14ac:dyDescent="0.3">
      <c r="C1360" s="35">
        <f t="shared" si="22"/>
        <v>0</v>
      </c>
      <c r="D1360" s="30" t="str">
        <f>IFERROR(VLOOKUP(C1360,소속부서!$A$2:$B$20,2,FALSE), "")</f>
        <v/>
      </c>
    </row>
    <row r="1361" spans="3:4" x14ac:dyDescent="0.3">
      <c r="C1361" s="35">
        <f t="shared" si="22"/>
        <v>0</v>
      </c>
      <c r="D1361" s="30" t="str">
        <f>IFERROR(VLOOKUP(C1361,소속부서!$A$2:$B$20,2,FALSE), "")</f>
        <v/>
      </c>
    </row>
    <row r="1362" spans="3:4" x14ac:dyDescent="0.3">
      <c r="C1362" s="35">
        <f t="shared" si="22"/>
        <v>0</v>
      </c>
      <c r="D1362" s="30" t="str">
        <f>IFERROR(VLOOKUP(C1362,소속부서!$A$2:$B$20,2,FALSE), "")</f>
        <v/>
      </c>
    </row>
    <row r="1363" spans="3:4" x14ac:dyDescent="0.3">
      <c r="C1363" s="35">
        <f t="shared" si="22"/>
        <v>0</v>
      </c>
      <c r="D1363" s="30" t="str">
        <f>IFERROR(VLOOKUP(C1363,소속부서!$A$2:$B$20,2,FALSE), "")</f>
        <v/>
      </c>
    </row>
    <row r="1364" spans="3:4" x14ac:dyDescent="0.3">
      <c r="C1364" s="35">
        <f t="shared" si="22"/>
        <v>0</v>
      </c>
      <c r="D1364" s="30" t="str">
        <f>IFERROR(VLOOKUP(C1364,소속부서!$A$2:$B$20,2,FALSE), "")</f>
        <v/>
      </c>
    </row>
    <row r="1365" spans="3:4" x14ac:dyDescent="0.3">
      <c r="C1365" s="35">
        <f t="shared" si="22"/>
        <v>0</v>
      </c>
      <c r="D1365" s="30" t="str">
        <f>IFERROR(VLOOKUP(C1365,소속부서!$A$2:$B$20,2,FALSE), "")</f>
        <v/>
      </c>
    </row>
    <row r="1366" spans="3:4" x14ac:dyDescent="0.3">
      <c r="C1366" s="35">
        <f t="shared" si="22"/>
        <v>0</v>
      </c>
      <c r="D1366" s="30" t="str">
        <f>IFERROR(VLOOKUP(C1366,소속부서!$A$2:$B$20,2,FALSE), "")</f>
        <v/>
      </c>
    </row>
    <row r="1367" spans="3:4" x14ac:dyDescent="0.3">
      <c r="C1367" s="35">
        <f t="shared" si="22"/>
        <v>0</v>
      </c>
      <c r="D1367" s="30" t="str">
        <f>IFERROR(VLOOKUP(C1367,소속부서!$A$2:$B$20,2,FALSE), "")</f>
        <v/>
      </c>
    </row>
    <row r="1368" spans="3:4" x14ac:dyDescent="0.3">
      <c r="C1368" s="35">
        <f t="shared" si="22"/>
        <v>0</v>
      </c>
      <c r="D1368" s="30" t="str">
        <f>IFERROR(VLOOKUP(C1368,소속부서!$A$2:$B$20,2,FALSE), "")</f>
        <v/>
      </c>
    </row>
    <row r="1369" spans="3:4" x14ac:dyDescent="0.3">
      <c r="C1369" s="35">
        <f t="shared" si="22"/>
        <v>0</v>
      </c>
      <c r="D1369" s="30" t="str">
        <f>IFERROR(VLOOKUP(C1369,소속부서!$A$2:$B$20,2,FALSE), "")</f>
        <v/>
      </c>
    </row>
    <row r="1370" spans="3:4" x14ac:dyDescent="0.3">
      <c r="C1370" s="35">
        <f t="shared" si="22"/>
        <v>0</v>
      </c>
      <c r="D1370" s="30" t="str">
        <f>IFERROR(VLOOKUP(C1370,소속부서!$A$2:$B$20,2,FALSE), "")</f>
        <v/>
      </c>
    </row>
    <row r="1371" spans="3:4" x14ac:dyDescent="0.3">
      <c r="C1371" s="35">
        <f t="shared" si="22"/>
        <v>0</v>
      </c>
      <c r="D1371" s="30" t="str">
        <f>IFERROR(VLOOKUP(C1371,소속부서!$A$2:$B$20,2,FALSE), "")</f>
        <v/>
      </c>
    </row>
    <row r="1372" spans="3:4" x14ac:dyDescent="0.3">
      <c r="C1372" s="35">
        <f t="shared" si="22"/>
        <v>0</v>
      </c>
      <c r="D1372" s="30" t="str">
        <f>IFERROR(VLOOKUP(C1372,소속부서!$A$2:$B$20,2,FALSE), "")</f>
        <v/>
      </c>
    </row>
    <row r="1373" spans="3:4" x14ac:dyDescent="0.3">
      <c r="C1373" s="35">
        <f t="shared" si="22"/>
        <v>0</v>
      </c>
      <c r="D1373" s="30" t="str">
        <f>IFERROR(VLOOKUP(C1373,소속부서!$A$2:$B$20,2,FALSE), "")</f>
        <v/>
      </c>
    </row>
    <row r="1374" spans="3:4" x14ac:dyDescent="0.3">
      <c r="C1374" s="35">
        <f t="shared" si="22"/>
        <v>0</v>
      </c>
      <c r="D1374" s="30" t="str">
        <f>IFERROR(VLOOKUP(C1374,소속부서!$A$2:$B$20,2,FALSE), "")</f>
        <v/>
      </c>
    </row>
    <row r="1375" spans="3:4" x14ac:dyDescent="0.3">
      <c r="C1375" s="35">
        <f t="shared" si="22"/>
        <v>0</v>
      </c>
      <c r="D1375" s="30" t="str">
        <f>IFERROR(VLOOKUP(C1375,소속부서!$A$2:$B$20,2,FALSE), "")</f>
        <v/>
      </c>
    </row>
    <row r="1376" spans="3:4" x14ac:dyDescent="0.3">
      <c r="C1376" s="35">
        <f t="shared" si="22"/>
        <v>0</v>
      </c>
      <c r="D1376" s="30" t="str">
        <f>IFERROR(VLOOKUP(C1376,소속부서!$A$2:$B$20,2,FALSE), "")</f>
        <v/>
      </c>
    </row>
    <row r="1377" spans="3:4" x14ac:dyDescent="0.3">
      <c r="C1377" s="35">
        <f t="shared" si="22"/>
        <v>0</v>
      </c>
      <c r="D1377" s="30" t="str">
        <f>IFERROR(VLOOKUP(C1377,소속부서!$A$2:$B$20,2,FALSE), "")</f>
        <v/>
      </c>
    </row>
    <row r="1378" spans="3:4" x14ac:dyDescent="0.3">
      <c r="C1378" s="35">
        <f t="shared" si="22"/>
        <v>0</v>
      </c>
      <c r="D1378" s="30" t="str">
        <f>IFERROR(VLOOKUP(C1378,소속부서!$A$2:$B$20,2,FALSE), "")</f>
        <v/>
      </c>
    </row>
    <row r="1379" spans="3:4" x14ac:dyDescent="0.3">
      <c r="C1379" s="35">
        <f t="shared" si="22"/>
        <v>0</v>
      </c>
      <c r="D1379" s="30" t="str">
        <f>IFERROR(VLOOKUP(C1379,소속부서!$A$2:$B$20,2,FALSE), "")</f>
        <v/>
      </c>
    </row>
    <row r="1380" spans="3:4" x14ac:dyDescent="0.3">
      <c r="C1380" s="35">
        <f t="shared" si="22"/>
        <v>0</v>
      </c>
      <c r="D1380" s="30" t="str">
        <f>IFERROR(VLOOKUP(C1380,소속부서!$A$2:$B$20,2,FALSE), "")</f>
        <v/>
      </c>
    </row>
    <row r="1381" spans="3:4" x14ac:dyDescent="0.3">
      <c r="C1381" s="35">
        <f t="shared" si="22"/>
        <v>0</v>
      </c>
      <c r="D1381" s="30" t="str">
        <f>IFERROR(VLOOKUP(C1381,소속부서!$A$2:$B$20,2,FALSE), "")</f>
        <v/>
      </c>
    </row>
    <row r="1382" spans="3:4" x14ac:dyDescent="0.3">
      <c r="C1382" s="35">
        <f t="shared" si="22"/>
        <v>0</v>
      </c>
      <c r="D1382" s="30" t="str">
        <f>IFERROR(VLOOKUP(C1382,소속부서!$A$2:$B$20,2,FALSE), "")</f>
        <v/>
      </c>
    </row>
    <row r="1383" spans="3:4" x14ac:dyDescent="0.3">
      <c r="C1383" s="35">
        <f t="shared" si="22"/>
        <v>0</v>
      </c>
      <c r="D1383" s="30" t="str">
        <f>IFERROR(VLOOKUP(C1383,소속부서!$A$2:$B$20,2,FALSE), "")</f>
        <v/>
      </c>
    </row>
    <row r="1384" spans="3:4" x14ac:dyDescent="0.3">
      <c r="C1384" s="35">
        <f t="shared" si="22"/>
        <v>0</v>
      </c>
      <c r="D1384" s="30" t="str">
        <f>IFERROR(VLOOKUP(C1384,소속부서!$A$2:$B$20,2,FALSE), "")</f>
        <v/>
      </c>
    </row>
    <row r="1385" spans="3:4" x14ac:dyDescent="0.3">
      <c r="C1385" s="35">
        <f t="shared" si="22"/>
        <v>0</v>
      </c>
      <c r="D1385" s="30" t="str">
        <f>IFERROR(VLOOKUP(C1385,소속부서!$A$2:$B$20,2,FALSE), "")</f>
        <v/>
      </c>
    </row>
    <row r="1386" spans="3:4" x14ac:dyDescent="0.3">
      <c r="C1386" s="35">
        <f t="shared" si="22"/>
        <v>0</v>
      </c>
      <c r="D1386" s="30" t="str">
        <f>IFERROR(VLOOKUP(C1386,소속부서!$A$2:$B$20,2,FALSE), "")</f>
        <v/>
      </c>
    </row>
    <row r="1387" spans="3:4" x14ac:dyDescent="0.3">
      <c r="C1387" s="35">
        <f t="shared" si="22"/>
        <v>0</v>
      </c>
      <c r="D1387" s="30" t="str">
        <f>IFERROR(VLOOKUP(C1387,소속부서!$A$2:$B$20,2,FALSE), "")</f>
        <v/>
      </c>
    </row>
    <row r="1388" spans="3:4" x14ac:dyDescent="0.3">
      <c r="C1388" s="35">
        <f t="shared" si="22"/>
        <v>0</v>
      </c>
      <c r="D1388" s="30" t="str">
        <f>IFERROR(VLOOKUP(C1388,소속부서!$A$2:$B$20,2,FALSE), "")</f>
        <v/>
      </c>
    </row>
    <row r="1389" spans="3:4" x14ac:dyDescent="0.3">
      <c r="C1389" s="35">
        <f t="shared" si="22"/>
        <v>0</v>
      </c>
      <c r="D1389" s="30" t="str">
        <f>IFERROR(VLOOKUP(C1389,소속부서!$A$2:$B$20,2,FALSE), "")</f>
        <v/>
      </c>
    </row>
    <row r="1390" spans="3:4" x14ac:dyDescent="0.3">
      <c r="C1390" s="35">
        <f t="shared" si="22"/>
        <v>0</v>
      </c>
      <c r="D1390" s="30" t="str">
        <f>IFERROR(VLOOKUP(C1390,소속부서!$A$2:$B$20,2,FALSE), "")</f>
        <v/>
      </c>
    </row>
    <row r="1391" spans="3:4" x14ac:dyDescent="0.3">
      <c r="C1391" s="35">
        <f t="shared" si="22"/>
        <v>0</v>
      </c>
      <c r="D1391" s="30" t="str">
        <f>IFERROR(VLOOKUP(C1391,소속부서!$A$2:$B$20,2,FALSE), "")</f>
        <v/>
      </c>
    </row>
    <row r="1392" spans="3:4" x14ac:dyDescent="0.3">
      <c r="C1392" s="35">
        <f t="shared" si="22"/>
        <v>0</v>
      </c>
      <c r="D1392" s="30" t="str">
        <f>IFERROR(VLOOKUP(C1392,소속부서!$A$2:$B$20,2,FALSE), "")</f>
        <v/>
      </c>
    </row>
    <row r="1393" spans="3:4" x14ac:dyDescent="0.3">
      <c r="C1393" s="35">
        <f t="shared" si="22"/>
        <v>0</v>
      </c>
      <c r="D1393" s="30" t="str">
        <f>IFERROR(VLOOKUP(C1393,소속부서!$A$2:$B$20,2,FALSE), "")</f>
        <v/>
      </c>
    </row>
    <row r="1394" spans="3:4" x14ac:dyDescent="0.3">
      <c r="C1394" s="35">
        <f t="shared" si="22"/>
        <v>0</v>
      </c>
      <c r="D1394" s="30" t="str">
        <f>IFERROR(VLOOKUP(C1394,소속부서!$A$2:$B$20,2,FALSE), "")</f>
        <v/>
      </c>
    </row>
    <row r="1395" spans="3:4" x14ac:dyDescent="0.3">
      <c r="C1395" s="35">
        <f t="shared" si="22"/>
        <v>0</v>
      </c>
      <c r="D1395" s="30" t="str">
        <f>IFERROR(VLOOKUP(C1395,소속부서!$A$2:$B$20,2,FALSE), "")</f>
        <v/>
      </c>
    </row>
    <row r="1396" spans="3:4" x14ac:dyDescent="0.3">
      <c r="C1396" s="35">
        <f t="shared" si="22"/>
        <v>0</v>
      </c>
      <c r="D1396" s="30" t="str">
        <f>IFERROR(VLOOKUP(C1396,소속부서!$A$2:$B$20,2,FALSE), "")</f>
        <v/>
      </c>
    </row>
    <row r="1397" spans="3:4" x14ac:dyDescent="0.3">
      <c r="C1397" s="35">
        <f t="shared" si="22"/>
        <v>0</v>
      </c>
      <c r="D1397" s="30" t="str">
        <f>IFERROR(VLOOKUP(C1397,소속부서!$A$2:$B$20,2,FALSE), "")</f>
        <v/>
      </c>
    </row>
    <row r="1398" spans="3:4" x14ac:dyDescent="0.3">
      <c r="C1398" s="35">
        <f t="shared" si="22"/>
        <v>0</v>
      </c>
      <c r="D1398" s="30" t="str">
        <f>IFERROR(VLOOKUP(C1398,소속부서!$A$2:$B$20,2,FALSE), "")</f>
        <v/>
      </c>
    </row>
    <row r="1399" spans="3:4" x14ac:dyDescent="0.3">
      <c r="C1399" s="35">
        <f t="shared" si="22"/>
        <v>0</v>
      </c>
      <c r="D1399" s="30" t="str">
        <f>IFERROR(VLOOKUP(C1399,소속부서!$A$2:$B$20,2,FALSE), "")</f>
        <v/>
      </c>
    </row>
    <row r="1400" spans="3:4" x14ac:dyDescent="0.3">
      <c r="C1400" s="35">
        <f t="shared" si="22"/>
        <v>0</v>
      </c>
      <c r="D1400" s="30" t="str">
        <f>IFERROR(VLOOKUP(C1400,소속부서!$A$2:$B$20,2,FALSE), "")</f>
        <v/>
      </c>
    </row>
    <row r="1401" spans="3:4" x14ac:dyDescent="0.3">
      <c r="C1401" s="35">
        <f t="shared" si="22"/>
        <v>0</v>
      </c>
      <c r="D1401" s="30" t="str">
        <f>IFERROR(VLOOKUP(C1401,소속부서!$A$2:$B$20,2,FALSE), "")</f>
        <v/>
      </c>
    </row>
    <row r="1402" spans="3:4" x14ac:dyDescent="0.3">
      <c r="C1402" s="35">
        <f t="shared" si="22"/>
        <v>0</v>
      </c>
      <c r="D1402" s="30" t="str">
        <f>IFERROR(VLOOKUP(C1402,소속부서!$A$2:$B$20,2,FALSE), "")</f>
        <v/>
      </c>
    </row>
    <row r="1403" spans="3:4" x14ac:dyDescent="0.3">
      <c r="C1403" s="35">
        <f t="shared" si="22"/>
        <v>0</v>
      </c>
      <c r="D1403" s="30" t="str">
        <f>IFERROR(VLOOKUP(C1403,소속부서!$A$2:$B$20,2,FALSE), "")</f>
        <v/>
      </c>
    </row>
    <row r="1404" spans="3:4" x14ac:dyDescent="0.3">
      <c r="C1404" s="35">
        <f t="shared" si="22"/>
        <v>0</v>
      </c>
      <c r="D1404" s="30" t="str">
        <f>IFERROR(VLOOKUP(C1404,소속부서!$A$2:$B$20,2,FALSE), "")</f>
        <v/>
      </c>
    </row>
    <row r="1405" spans="3:4" x14ac:dyDescent="0.3">
      <c r="C1405" s="35">
        <f t="shared" si="22"/>
        <v>0</v>
      </c>
      <c r="D1405" s="30" t="str">
        <f>IFERROR(VLOOKUP(C1405,소속부서!$A$2:$B$20,2,FALSE), "")</f>
        <v/>
      </c>
    </row>
    <row r="1406" spans="3:4" x14ac:dyDescent="0.3">
      <c r="C1406" s="35">
        <f t="shared" si="22"/>
        <v>0</v>
      </c>
      <c r="D1406" s="30" t="str">
        <f>IFERROR(VLOOKUP(C1406,소속부서!$A$2:$B$20,2,FALSE), "")</f>
        <v/>
      </c>
    </row>
    <row r="1407" spans="3:4" x14ac:dyDescent="0.3">
      <c r="C1407" s="35">
        <f t="shared" si="22"/>
        <v>0</v>
      </c>
      <c r="D1407" s="30" t="str">
        <f>IFERROR(VLOOKUP(C1407,소속부서!$A$2:$B$20,2,FALSE), "")</f>
        <v/>
      </c>
    </row>
    <row r="1408" spans="3:4" x14ac:dyDescent="0.3">
      <c r="C1408" s="35">
        <f t="shared" si="22"/>
        <v>0</v>
      </c>
      <c r="D1408" s="30" t="str">
        <f>IFERROR(VLOOKUP(C1408,소속부서!$A$2:$B$20,2,FALSE), "")</f>
        <v/>
      </c>
    </row>
    <row r="1409" spans="3:4" x14ac:dyDescent="0.3">
      <c r="C1409" s="35">
        <f t="shared" si="22"/>
        <v>0</v>
      </c>
      <c r="D1409" s="30" t="str">
        <f>IFERROR(VLOOKUP(C1409,소속부서!$A$2:$B$20,2,FALSE), "")</f>
        <v/>
      </c>
    </row>
    <row r="1410" spans="3:4" x14ac:dyDescent="0.3">
      <c r="C1410" s="35">
        <f t="shared" si="22"/>
        <v>0</v>
      </c>
      <c r="D1410" s="30" t="str">
        <f>IFERROR(VLOOKUP(C1410,소속부서!$A$2:$B$20,2,FALSE), "")</f>
        <v/>
      </c>
    </row>
    <row r="1411" spans="3:4" x14ac:dyDescent="0.3">
      <c r="C1411" s="35">
        <f t="shared" si="22"/>
        <v>0</v>
      </c>
      <c r="D1411" s="30" t="str">
        <f>IFERROR(VLOOKUP(C1411,소속부서!$A$2:$B$20,2,FALSE), "")</f>
        <v/>
      </c>
    </row>
    <row r="1412" spans="3:4" x14ac:dyDescent="0.3">
      <c r="C1412" s="35">
        <f t="shared" ref="C1412:C1475" si="23">E1412</f>
        <v>0</v>
      </c>
      <c r="D1412" s="30" t="str">
        <f>IFERROR(VLOOKUP(C1412,소속부서!$A$2:$B$20,2,FALSE), "")</f>
        <v/>
      </c>
    </row>
    <row r="1413" spans="3:4" x14ac:dyDescent="0.3">
      <c r="C1413" s="35">
        <f t="shared" si="23"/>
        <v>0</v>
      </c>
      <c r="D1413" s="30" t="str">
        <f>IFERROR(VLOOKUP(C1413,소속부서!$A$2:$B$20,2,FALSE), "")</f>
        <v/>
      </c>
    </row>
    <row r="1414" spans="3:4" x14ac:dyDescent="0.3">
      <c r="C1414" s="35">
        <f t="shared" si="23"/>
        <v>0</v>
      </c>
      <c r="D1414" s="30" t="str">
        <f>IFERROR(VLOOKUP(C1414,소속부서!$A$2:$B$20,2,FALSE), "")</f>
        <v/>
      </c>
    </row>
    <row r="1415" spans="3:4" x14ac:dyDescent="0.3">
      <c r="C1415" s="35">
        <f t="shared" si="23"/>
        <v>0</v>
      </c>
      <c r="D1415" s="30" t="str">
        <f>IFERROR(VLOOKUP(C1415,소속부서!$A$2:$B$20,2,FALSE), "")</f>
        <v/>
      </c>
    </row>
    <row r="1416" spans="3:4" x14ac:dyDescent="0.3">
      <c r="C1416" s="35">
        <f t="shared" si="23"/>
        <v>0</v>
      </c>
      <c r="D1416" s="30" t="str">
        <f>IFERROR(VLOOKUP(C1416,소속부서!$A$2:$B$20,2,FALSE), "")</f>
        <v/>
      </c>
    </row>
    <row r="1417" spans="3:4" x14ac:dyDescent="0.3">
      <c r="C1417" s="35">
        <f t="shared" si="23"/>
        <v>0</v>
      </c>
      <c r="D1417" s="30" t="str">
        <f>IFERROR(VLOOKUP(C1417,소속부서!$A$2:$B$20,2,FALSE), "")</f>
        <v/>
      </c>
    </row>
    <row r="1418" spans="3:4" x14ac:dyDescent="0.3">
      <c r="C1418" s="35">
        <f t="shared" si="23"/>
        <v>0</v>
      </c>
      <c r="D1418" s="30" t="str">
        <f>IFERROR(VLOOKUP(C1418,소속부서!$A$2:$B$20,2,FALSE), "")</f>
        <v/>
      </c>
    </row>
    <row r="1419" spans="3:4" x14ac:dyDescent="0.3">
      <c r="C1419" s="35">
        <f t="shared" si="23"/>
        <v>0</v>
      </c>
      <c r="D1419" s="30" t="str">
        <f>IFERROR(VLOOKUP(C1419,소속부서!$A$2:$B$20,2,FALSE), "")</f>
        <v/>
      </c>
    </row>
    <row r="1420" spans="3:4" x14ac:dyDescent="0.3">
      <c r="C1420" s="35">
        <f t="shared" si="23"/>
        <v>0</v>
      </c>
      <c r="D1420" s="30" t="str">
        <f>IFERROR(VLOOKUP(C1420,소속부서!$A$2:$B$20,2,FALSE), "")</f>
        <v/>
      </c>
    </row>
    <row r="1421" spans="3:4" x14ac:dyDescent="0.3">
      <c r="C1421" s="35">
        <f t="shared" si="23"/>
        <v>0</v>
      </c>
      <c r="D1421" s="30" t="str">
        <f>IFERROR(VLOOKUP(C1421,소속부서!$A$2:$B$20,2,FALSE), "")</f>
        <v/>
      </c>
    </row>
    <row r="1422" spans="3:4" x14ac:dyDescent="0.3">
      <c r="C1422" s="35">
        <f t="shared" si="23"/>
        <v>0</v>
      </c>
      <c r="D1422" s="30" t="str">
        <f>IFERROR(VLOOKUP(C1422,소속부서!$A$2:$B$20,2,FALSE), "")</f>
        <v/>
      </c>
    </row>
    <row r="1423" spans="3:4" x14ac:dyDescent="0.3">
      <c r="C1423" s="35">
        <f t="shared" si="23"/>
        <v>0</v>
      </c>
      <c r="D1423" s="30" t="str">
        <f>IFERROR(VLOOKUP(C1423,소속부서!$A$2:$B$20,2,FALSE), "")</f>
        <v/>
      </c>
    </row>
    <row r="1424" spans="3:4" x14ac:dyDescent="0.3">
      <c r="C1424" s="35">
        <f t="shared" si="23"/>
        <v>0</v>
      </c>
      <c r="D1424" s="30" t="str">
        <f>IFERROR(VLOOKUP(C1424,소속부서!$A$2:$B$20,2,FALSE), "")</f>
        <v/>
      </c>
    </row>
    <row r="1425" spans="3:4" x14ac:dyDescent="0.3">
      <c r="C1425" s="35">
        <f t="shared" si="23"/>
        <v>0</v>
      </c>
      <c r="D1425" s="30" t="str">
        <f>IFERROR(VLOOKUP(C1425,소속부서!$A$2:$B$20,2,FALSE), "")</f>
        <v/>
      </c>
    </row>
    <row r="1426" spans="3:4" x14ac:dyDescent="0.3">
      <c r="C1426" s="35">
        <f t="shared" si="23"/>
        <v>0</v>
      </c>
      <c r="D1426" s="30" t="str">
        <f>IFERROR(VLOOKUP(C1426,소속부서!$A$2:$B$20,2,FALSE), "")</f>
        <v/>
      </c>
    </row>
    <row r="1427" spans="3:4" x14ac:dyDescent="0.3">
      <c r="C1427" s="35">
        <f t="shared" si="23"/>
        <v>0</v>
      </c>
      <c r="D1427" s="30" t="str">
        <f>IFERROR(VLOOKUP(C1427,소속부서!$A$2:$B$20,2,FALSE), "")</f>
        <v/>
      </c>
    </row>
    <row r="1428" spans="3:4" x14ac:dyDescent="0.3">
      <c r="C1428" s="35">
        <f t="shared" si="23"/>
        <v>0</v>
      </c>
      <c r="D1428" s="30" t="str">
        <f>IFERROR(VLOOKUP(C1428,소속부서!$A$2:$B$20,2,FALSE), "")</f>
        <v/>
      </c>
    </row>
    <row r="1429" spans="3:4" x14ac:dyDescent="0.3">
      <c r="C1429" s="35">
        <f t="shared" si="23"/>
        <v>0</v>
      </c>
      <c r="D1429" s="30" t="str">
        <f>IFERROR(VLOOKUP(C1429,소속부서!$A$2:$B$20,2,FALSE), "")</f>
        <v/>
      </c>
    </row>
    <row r="1430" spans="3:4" x14ac:dyDescent="0.3">
      <c r="C1430" s="35">
        <f t="shared" si="23"/>
        <v>0</v>
      </c>
      <c r="D1430" s="30" t="str">
        <f>IFERROR(VLOOKUP(C1430,소속부서!$A$2:$B$20,2,FALSE), "")</f>
        <v/>
      </c>
    </row>
    <row r="1431" spans="3:4" x14ac:dyDescent="0.3">
      <c r="C1431" s="35">
        <f t="shared" si="23"/>
        <v>0</v>
      </c>
      <c r="D1431" s="30" t="str">
        <f>IFERROR(VLOOKUP(C1431,소속부서!$A$2:$B$20,2,FALSE), "")</f>
        <v/>
      </c>
    </row>
    <row r="1432" spans="3:4" x14ac:dyDescent="0.3">
      <c r="C1432" s="35">
        <f t="shared" si="23"/>
        <v>0</v>
      </c>
      <c r="D1432" s="30" t="str">
        <f>IFERROR(VLOOKUP(C1432,소속부서!$A$2:$B$20,2,FALSE), "")</f>
        <v/>
      </c>
    </row>
    <row r="1433" spans="3:4" x14ac:dyDescent="0.3">
      <c r="C1433" s="35">
        <f t="shared" si="23"/>
        <v>0</v>
      </c>
      <c r="D1433" s="30" t="str">
        <f>IFERROR(VLOOKUP(C1433,소속부서!$A$2:$B$20,2,FALSE), "")</f>
        <v/>
      </c>
    </row>
    <row r="1434" spans="3:4" x14ac:dyDescent="0.3">
      <c r="C1434" s="35">
        <f t="shared" si="23"/>
        <v>0</v>
      </c>
      <c r="D1434" s="30" t="str">
        <f>IFERROR(VLOOKUP(C1434,소속부서!$A$2:$B$20,2,FALSE), "")</f>
        <v/>
      </c>
    </row>
    <row r="1435" spans="3:4" x14ac:dyDescent="0.3">
      <c r="C1435" s="35">
        <f t="shared" si="23"/>
        <v>0</v>
      </c>
      <c r="D1435" s="30" t="str">
        <f>IFERROR(VLOOKUP(C1435,소속부서!$A$2:$B$20,2,FALSE), "")</f>
        <v/>
      </c>
    </row>
    <row r="1436" spans="3:4" x14ac:dyDescent="0.3">
      <c r="C1436" s="35">
        <f t="shared" si="23"/>
        <v>0</v>
      </c>
      <c r="D1436" s="30" t="str">
        <f>IFERROR(VLOOKUP(C1436,소속부서!$A$2:$B$20,2,FALSE), "")</f>
        <v/>
      </c>
    </row>
    <row r="1437" spans="3:4" x14ac:dyDescent="0.3">
      <c r="C1437" s="35">
        <f t="shared" si="23"/>
        <v>0</v>
      </c>
      <c r="D1437" s="30" t="str">
        <f>IFERROR(VLOOKUP(C1437,소속부서!$A$2:$B$20,2,FALSE), "")</f>
        <v/>
      </c>
    </row>
    <row r="1438" spans="3:4" x14ac:dyDescent="0.3">
      <c r="C1438" s="35">
        <f t="shared" si="23"/>
        <v>0</v>
      </c>
      <c r="D1438" s="30" t="str">
        <f>IFERROR(VLOOKUP(C1438,소속부서!$A$2:$B$20,2,FALSE), "")</f>
        <v/>
      </c>
    </row>
    <row r="1439" spans="3:4" x14ac:dyDescent="0.3">
      <c r="C1439" s="35">
        <f t="shared" si="23"/>
        <v>0</v>
      </c>
      <c r="D1439" s="30" t="str">
        <f>IFERROR(VLOOKUP(C1439,소속부서!$A$2:$B$20,2,FALSE), "")</f>
        <v/>
      </c>
    </row>
    <row r="1440" spans="3:4" x14ac:dyDescent="0.3">
      <c r="C1440" s="35">
        <f t="shared" si="23"/>
        <v>0</v>
      </c>
      <c r="D1440" s="30" t="str">
        <f>IFERROR(VLOOKUP(C1440,소속부서!$A$2:$B$20,2,FALSE), "")</f>
        <v/>
      </c>
    </row>
    <row r="1441" spans="3:4" x14ac:dyDescent="0.3">
      <c r="C1441" s="35">
        <f t="shared" si="23"/>
        <v>0</v>
      </c>
      <c r="D1441" s="30" t="str">
        <f>IFERROR(VLOOKUP(C1441,소속부서!$A$2:$B$20,2,FALSE), "")</f>
        <v/>
      </c>
    </row>
    <row r="1442" spans="3:4" x14ac:dyDescent="0.3">
      <c r="C1442" s="35">
        <f t="shared" si="23"/>
        <v>0</v>
      </c>
      <c r="D1442" s="30" t="str">
        <f>IFERROR(VLOOKUP(C1442,소속부서!$A$2:$B$20,2,FALSE), "")</f>
        <v/>
      </c>
    </row>
    <row r="1443" spans="3:4" x14ac:dyDescent="0.3">
      <c r="C1443" s="35">
        <f t="shared" si="23"/>
        <v>0</v>
      </c>
      <c r="D1443" s="30" t="str">
        <f>IFERROR(VLOOKUP(C1443,소속부서!$A$2:$B$20,2,FALSE), "")</f>
        <v/>
      </c>
    </row>
    <row r="1444" spans="3:4" x14ac:dyDescent="0.3">
      <c r="C1444" s="35">
        <f t="shared" si="23"/>
        <v>0</v>
      </c>
      <c r="D1444" s="30" t="str">
        <f>IFERROR(VLOOKUP(C1444,소속부서!$A$2:$B$20,2,FALSE), "")</f>
        <v/>
      </c>
    </row>
    <row r="1445" spans="3:4" x14ac:dyDescent="0.3">
      <c r="C1445" s="35">
        <f t="shared" si="23"/>
        <v>0</v>
      </c>
      <c r="D1445" s="30" t="str">
        <f>IFERROR(VLOOKUP(C1445,소속부서!$A$2:$B$20,2,FALSE), "")</f>
        <v/>
      </c>
    </row>
    <row r="1446" spans="3:4" x14ac:dyDescent="0.3">
      <c r="C1446" s="35">
        <f t="shared" si="23"/>
        <v>0</v>
      </c>
      <c r="D1446" s="30" t="str">
        <f>IFERROR(VLOOKUP(C1446,소속부서!$A$2:$B$20,2,FALSE), "")</f>
        <v/>
      </c>
    </row>
    <row r="1447" spans="3:4" x14ac:dyDescent="0.3">
      <c r="C1447" s="35">
        <f t="shared" si="23"/>
        <v>0</v>
      </c>
      <c r="D1447" s="30" t="str">
        <f>IFERROR(VLOOKUP(C1447,소속부서!$A$2:$B$20,2,FALSE), "")</f>
        <v/>
      </c>
    </row>
    <row r="1448" spans="3:4" x14ac:dyDescent="0.3">
      <c r="C1448" s="35">
        <f t="shared" si="23"/>
        <v>0</v>
      </c>
      <c r="D1448" s="30" t="str">
        <f>IFERROR(VLOOKUP(C1448,소속부서!$A$2:$B$20,2,FALSE), "")</f>
        <v/>
      </c>
    </row>
    <row r="1449" spans="3:4" x14ac:dyDescent="0.3">
      <c r="C1449" s="35">
        <f t="shared" si="23"/>
        <v>0</v>
      </c>
      <c r="D1449" s="30" t="str">
        <f>IFERROR(VLOOKUP(C1449,소속부서!$A$2:$B$20,2,FALSE), "")</f>
        <v/>
      </c>
    </row>
    <row r="1450" spans="3:4" x14ac:dyDescent="0.3">
      <c r="C1450" s="35">
        <f t="shared" si="23"/>
        <v>0</v>
      </c>
      <c r="D1450" s="30" t="str">
        <f>IFERROR(VLOOKUP(C1450,소속부서!$A$2:$B$20,2,FALSE), "")</f>
        <v/>
      </c>
    </row>
    <row r="1451" spans="3:4" x14ac:dyDescent="0.3">
      <c r="C1451" s="35">
        <f t="shared" si="23"/>
        <v>0</v>
      </c>
      <c r="D1451" s="30" t="str">
        <f>IFERROR(VLOOKUP(C1451,소속부서!$A$2:$B$20,2,FALSE), "")</f>
        <v/>
      </c>
    </row>
    <row r="1452" spans="3:4" x14ac:dyDescent="0.3">
      <c r="C1452" s="35">
        <f t="shared" si="23"/>
        <v>0</v>
      </c>
      <c r="D1452" s="30" t="str">
        <f>IFERROR(VLOOKUP(C1452,소속부서!$A$2:$B$20,2,FALSE), "")</f>
        <v/>
      </c>
    </row>
    <row r="1453" spans="3:4" x14ac:dyDescent="0.3">
      <c r="C1453" s="35">
        <f t="shared" si="23"/>
        <v>0</v>
      </c>
      <c r="D1453" s="30" t="str">
        <f>IFERROR(VLOOKUP(C1453,소속부서!$A$2:$B$20,2,FALSE), "")</f>
        <v/>
      </c>
    </row>
    <row r="1454" spans="3:4" x14ac:dyDescent="0.3">
      <c r="C1454" s="35">
        <f t="shared" si="23"/>
        <v>0</v>
      </c>
      <c r="D1454" s="30" t="str">
        <f>IFERROR(VLOOKUP(C1454,소속부서!$A$2:$B$20,2,FALSE), "")</f>
        <v/>
      </c>
    </row>
    <row r="1455" spans="3:4" x14ac:dyDescent="0.3">
      <c r="C1455" s="35">
        <f t="shared" si="23"/>
        <v>0</v>
      </c>
      <c r="D1455" s="30" t="str">
        <f>IFERROR(VLOOKUP(C1455,소속부서!$A$2:$B$20,2,FALSE), "")</f>
        <v/>
      </c>
    </row>
    <row r="1456" spans="3:4" x14ac:dyDescent="0.3">
      <c r="C1456" s="35">
        <f t="shared" si="23"/>
        <v>0</v>
      </c>
      <c r="D1456" s="30" t="str">
        <f>IFERROR(VLOOKUP(C1456,소속부서!$A$2:$B$20,2,FALSE), "")</f>
        <v/>
      </c>
    </row>
    <row r="1457" spans="3:4" x14ac:dyDescent="0.3">
      <c r="C1457" s="35">
        <f t="shared" si="23"/>
        <v>0</v>
      </c>
      <c r="D1457" s="30" t="str">
        <f>IFERROR(VLOOKUP(C1457,소속부서!$A$2:$B$20,2,FALSE), "")</f>
        <v/>
      </c>
    </row>
    <row r="1458" spans="3:4" x14ac:dyDescent="0.3">
      <c r="C1458" s="35">
        <f t="shared" si="23"/>
        <v>0</v>
      </c>
      <c r="D1458" s="30" t="str">
        <f>IFERROR(VLOOKUP(C1458,소속부서!$A$2:$B$20,2,FALSE), "")</f>
        <v/>
      </c>
    </row>
    <row r="1459" spans="3:4" x14ac:dyDescent="0.3">
      <c r="C1459" s="35">
        <f t="shared" si="23"/>
        <v>0</v>
      </c>
      <c r="D1459" s="30" t="str">
        <f>IFERROR(VLOOKUP(C1459,소속부서!$A$2:$B$20,2,FALSE), "")</f>
        <v/>
      </c>
    </row>
    <row r="1460" spans="3:4" x14ac:dyDescent="0.3">
      <c r="C1460" s="35">
        <f t="shared" si="23"/>
        <v>0</v>
      </c>
      <c r="D1460" s="30" t="str">
        <f>IFERROR(VLOOKUP(C1460,소속부서!$A$2:$B$20,2,FALSE), "")</f>
        <v/>
      </c>
    </row>
    <row r="1461" spans="3:4" x14ac:dyDescent="0.3">
      <c r="C1461" s="35">
        <f t="shared" si="23"/>
        <v>0</v>
      </c>
      <c r="D1461" s="30" t="str">
        <f>IFERROR(VLOOKUP(C1461,소속부서!$A$2:$B$20,2,FALSE), "")</f>
        <v/>
      </c>
    </row>
    <row r="1462" spans="3:4" x14ac:dyDescent="0.3">
      <c r="C1462" s="35">
        <f t="shared" si="23"/>
        <v>0</v>
      </c>
      <c r="D1462" s="30" t="str">
        <f>IFERROR(VLOOKUP(C1462,소속부서!$A$2:$B$20,2,FALSE), "")</f>
        <v/>
      </c>
    </row>
    <row r="1463" spans="3:4" x14ac:dyDescent="0.3">
      <c r="C1463" s="35">
        <f t="shared" si="23"/>
        <v>0</v>
      </c>
      <c r="D1463" s="30" t="str">
        <f>IFERROR(VLOOKUP(C1463,소속부서!$A$2:$B$20,2,FALSE), "")</f>
        <v/>
      </c>
    </row>
    <row r="1464" spans="3:4" x14ac:dyDescent="0.3">
      <c r="C1464" s="35">
        <f t="shared" si="23"/>
        <v>0</v>
      </c>
      <c r="D1464" s="30" t="str">
        <f>IFERROR(VLOOKUP(C1464,소속부서!$A$2:$B$20,2,FALSE), "")</f>
        <v/>
      </c>
    </row>
    <row r="1465" spans="3:4" x14ac:dyDescent="0.3">
      <c r="C1465" s="35">
        <f t="shared" si="23"/>
        <v>0</v>
      </c>
      <c r="D1465" s="30" t="str">
        <f>IFERROR(VLOOKUP(C1465,소속부서!$A$2:$B$20,2,FALSE), "")</f>
        <v/>
      </c>
    </row>
    <row r="1466" spans="3:4" x14ac:dyDescent="0.3">
      <c r="C1466" s="35">
        <f t="shared" si="23"/>
        <v>0</v>
      </c>
      <c r="D1466" s="30" t="str">
        <f>IFERROR(VLOOKUP(C1466,소속부서!$A$2:$B$20,2,FALSE), "")</f>
        <v/>
      </c>
    </row>
    <row r="1467" spans="3:4" x14ac:dyDescent="0.3">
      <c r="C1467" s="35">
        <f t="shared" si="23"/>
        <v>0</v>
      </c>
      <c r="D1467" s="30" t="str">
        <f>IFERROR(VLOOKUP(C1467,소속부서!$A$2:$B$20,2,FALSE), "")</f>
        <v/>
      </c>
    </row>
    <row r="1468" spans="3:4" x14ac:dyDescent="0.3">
      <c r="C1468" s="35">
        <f t="shared" si="23"/>
        <v>0</v>
      </c>
      <c r="D1468" s="30" t="str">
        <f>IFERROR(VLOOKUP(C1468,소속부서!$A$2:$B$20,2,FALSE), "")</f>
        <v/>
      </c>
    </row>
    <row r="1469" spans="3:4" x14ac:dyDescent="0.3">
      <c r="C1469" s="35">
        <f t="shared" si="23"/>
        <v>0</v>
      </c>
      <c r="D1469" s="30" t="str">
        <f>IFERROR(VLOOKUP(C1469,소속부서!$A$2:$B$20,2,FALSE), "")</f>
        <v/>
      </c>
    </row>
    <row r="1470" spans="3:4" x14ac:dyDescent="0.3">
      <c r="C1470" s="35">
        <f t="shared" si="23"/>
        <v>0</v>
      </c>
      <c r="D1470" s="30" t="str">
        <f>IFERROR(VLOOKUP(C1470,소속부서!$A$2:$B$20,2,FALSE), "")</f>
        <v/>
      </c>
    </row>
    <row r="1471" spans="3:4" x14ac:dyDescent="0.3">
      <c r="C1471" s="35">
        <f t="shared" si="23"/>
        <v>0</v>
      </c>
      <c r="D1471" s="30" t="str">
        <f>IFERROR(VLOOKUP(C1471,소속부서!$A$2:$B$20,2,FALSE), "")</f>
        <v/>
      </c>
    </row>
    <row r="1472" spans="3:4" x14ac:dyDescent="0.3">
      <c r="C1472" s="35">
        <f t="shared" si="23"/>
        <v>0</v>
      </c>
      <c r="D1472" s="30" t="str">
        <f>IFERROR(VLOOKUP(C1472,소속부서!$A$2:$B$20,2,FALSE), "")</f>
        <v/>
      </c>
    </row>
    <row r="1473" spans="3:4" x14ac:dyDescent="0.3">
      <c r="C1473" s="35">
        <f t="shared" si="23"/>
        <v>0</v>
      </c>
      <c r="D1473" s="30" t="str">
        <f>IFERROR(VLOOKUP(C1473,소속부서!$A$2:$B$20,2,FALSE), "")</f>
        <v/>
      </c>
    </row>
    <row r="1474" spans="3:4" x14ac:dyDescent="0.3">
      <c r="C1474" s="35">
        <f t="shared" si="23"/>
        <v>0</v>
      </c>
      <c r="D1474" s="30" t="str">
        <f>IFERROR(VLOOKUP(C1474,소속부서!$A$2:$B$20,2,FALSE), "")</f>
        <v/>
      </c>
    </row>
    <row r="1475" spans="3:4" x14ac:dyDescent="0.3">
      <c r="C1475" s="35">
        <f t="shared" si="23"/>
        <v>0</v>
      </c>
      <c r="D1475" s="30" t="str">
        <f>IFERROR(VLOOKUP(C1475,소속부서!$A$2:$B$20,2,FALSE), "")</f>
        <v/>
      </c>
    </row>
    <row r="1476" spans="3:4" x14ac:dyDescent="0.3">
      <c r="C1476" s="35">
        <f t="shared" ref="C1476:C1539" si="24">E1476</f>
        <v>0</v>
      </c>
      <c r="D1476" s="30" t="str">
        <f>IFERROR(VLOOKUP(C1476,소속부서!$A$2:$B$20,2,FALSE), "")</f>
        <v/>
      </c>
    </row>
    <row r="1477" spans="3:4" x14ac:dyDescent="0.3">
      <c r="C1477" s="35">
        <f t="shared" si="24"/>
        <v>0</v>
      </c>
      <c r="D1477" s="30" t="str">
        <f>IFERROR(VLOOKUP(C1477,소속부서!$A$2:$B$20,2,FALSE), "")</f>
        <v/>
      </c>
    </row>
    <row r="1478" spans="3:4" x14ac:dyDescent="0.3">
      <c r="C1478" s="35">
        <f t="shared" si="24"/>
        <v>0</v>
      </c>
      <c r="D1478" s="30" t="str">
        <f>IFERROR(VLOOKUP(C1478,소속부서!$A$2:$B$20,2,FALSE), "")</f>
        <v/>
      </c>
    </row>
    <row r="1479" spans="3:4" x14ac:dyDescent="0.3">
      <c r="C1479" s="35">
        <f t="shared" si="24"/>
        <v>0</v>
      </c>
      <c r="D1479" s="30" t="str">
        <f>IFERROR(VLOOKUP(C1479,소속부서!$A$2:$B$20,2,FALSE), "")</f>
        <v/>
      </c>
    </row>
    <row r="1480" spans="3:4" x14ac:dyDescent="0.3">
      <c r="C1480" s="35">
        <f t="shared" si="24"/>
        <v>0</v>
      </c>
      <c r="D1480" s="30" t="str">
        <f>IFERROR(VLOOKUP(C1480,소속부서!$A$2:$B$20,2,FALSE), "")</f>
        <v/>
      </c>
    </row>
    <row r="1481" spans="3:4" x14ac:dyDescent="0.3">
      <c r="C1481" s="35">
        <f t="shared" si="24"/>
        <v>0</v>
      </c>
      <c r="D1481" s="30" t="str">
        <f>IFERROR(VLOOKUP(C1481,소속부서!$A$2:$B$20,2,FALSE), "")</f>
        <v/>
      </c>
    </row>
    <row r="1482" spans="3:4" x14ac:dyDescent="0.3">
      <c r="C1482" s="35">
        <f t="shared" si="24"/>
        <v>0</v>
      </c>
      <c r="D1482" s="30" t="str">
        <f>IFERROR(VLOOKUP(C1482,소속부서!$A$2:$B$20,2,FALSE), "")</f>
        <v/>
      </c>
    </row>
    <row r="1483" spans="3:4" x14ac:dyDescent="0.3">
      <c r="C1483" s="35">
        <f t="shared" si="24"/>
        <v>0</v>
      </c>
      <c r="D1483" s="30" t="str">
        <f>IFERROR(VLOOKUP(C1483,소속부서!$A$2:$B$20,2,FALSE), "")</f>
        <v/>
      </c>
    </row>
    <row r="1484" spans="3:4" x14ac:dyDescent="0.3">
      <c r="C1484" s="35">
        <f t="shared" si="24"/>
        <v>0</v>
      </c>
      <c r="D1484" s="30" t="str">
        <f>IFERROR(VLOOKUP(C1484,소속부서!$A$2:$B$20,2,FALSE), "")</f>
        <v/>
      </c>
    </row>
    <row r="1485" spans="3:4" x14ac:dyDescent="0.3">
      <c r="C1485" s="35">
        <f t="shared" si="24"/>
        <v>0</v>
      </c>
      <c r="D1485" s="30" t="str">
        <f>IFERROR(VLOOKUP(C1485,소속부서!$A$2:$B$20,2,FALSE), "")</f>
        <v/>
      </c>
    </row>
    <row r="1486" spans="3:4" x14ac:dyDescent="0.3">
      <c r="C1486" s="35">
        <f t="shared" si="24"/>
        <v>0</v>
      </c>
      <c r="D1486" s="30" t="str">
        <f>IFERROR(VLOOKUP(C1486,소속부서!$A$2:$B$20,2,FALSE), "")</f>
        <v/>
      </c>
    </row>
    <row r="1487" spans="3:4" x14ac:dyDescent="0.3">
      <c r="C1487" s="35">
        <f t="shared" si="24"/>
        <v>0</v>
      </c>
      <c r="D1487" s="30" t="str">
        <f>IFERROR(VLOOKUP(C1487,소속부서!$A$2:$B$20,2,FALSE), "")</f>
        <v/>
      </c>
    </row>
    <row r="1488" spans="3:4" x14ac:dyDescent="0.3">
      <c r="C1488" s="35">
        <f t="shared" si="24"/>
        <v>0</v>
      </c>
      <c r="D1488" s="30" t="str">
        <f>IFERROR(VLOOKUP(C1488,소속부서!$A$2:$B$20,2,FALSE), "")</f>
        <v/>
      </c>
    </row>
    <row r="1489" spans="3:4" x14ac:dyDescent="0.3">
      <c r="C1489" s="35">
        <f t="shared" si="24"/>
        <v>0</v>
      </c>
      <c r="D1489" s="30" t="str">
        <f>IFERROR(VLOOKUP(C1489,소속부서!$A$2:$B$20,2,FALSE), "")</f>
        <v/>
      </c>
    </row>
    <row r="1490" spans="3:4" x14ac:dyDescent="0.3">
      <c r="C1490" s="35">
        <f t="shared" si="24"/>
        <v>0</v>
      </c>
      <c r="D1490" s="30" t="str">
        <f>IFERROR(VLOOKUP(C1490,소속부서!$A$2:$B$20,2,FALSE), "")</f>
        <v/>
      </c>
    </row>
    <row r="1491" spans="3:4" x14ac:dyDescent="0.3">
      <c r="C1491" s="35">
        <f t="shared" si="24"/>
        <v>0</v>
      </c>
      <c r="D1491" s="30" t="str">
        <f>IFERROR(VLOOKUP(C1491,소속부서!$A$2:$B$20,2,FALSE), "")</f>
        <v/>
      </c>
    </row>
    <row r="1492" spans="3:4" x14ac:dyDescent="0.3">
      <c r="C1492" s="35">
        <f t="shared" si="24"/>
        <v>0</v>
      </c>
      <c r="D1492" s="30" t="str">
        <f>IFERROR(VLOOKUP(C1492,소속부서!$A$2:$B$20,2,FALSE), "")</f>
        <v/>
      </c>
    </row>
    <row r="1493" spans="3:4" x14ac:dyDescent="0.3">
      <c r="C1493" s="35">
        <f t="shared" si="24"/>
        <v>0</v>
      </c>
      <c r="D1493" s="30" t="str">
        <f>IFERROR(VLOOKUP(C1493,소속부서!$A$2:$B$20,2,FALSE), "")</f>
        <v/>
      </c>
    </row>
    <row r="1494" spans="3:4" x14ac:dyDescent="0.3">
      <c r="C1494" s="35">
        <f t="shared" si="24"/>
        <v>0</v>
      </c>
      <c r="D1494" s="30" t="str">
        <f>IFERROR(VLOOKUP(C1494,소속부서!$A$2:$B$20,2,FALSE), "")</f>
        <v/>
      </c>
    </row>
    <row r="1495" spans="3:4" x14ac:dyDescent="0.3">
      <c r="C1495" s="35">
        <f t="shared" si="24"/>
        <v>0</v>
      </c>
      <c r="D1495" s="30" t="str">
        <f>IFERROR(VLOOKUP(C1495,소속부서!$A$2:$B$20,2,FALSE), "")</f>
        <v/>
      </c>
    </row>
    <row r="1496" spans="3:4" x14ac:dyDescent="0.3">
      <c r="C1496" s="35">
        <f t="shared" si="24"/>
        <v>0</v>
      </c>
      <c r="D1496" s="30" t="str">
        <f>IFERROR(VLOOKUP(C1496,소속부서!$A$2:$B$20,2,FALSE), "")</f>
        <v/>
      </c>
    </row>
    <row r="1497" spans="3:4" x14ac:dyDescent="0.3">
      <c r="C1497" s="35">
        <f t="shared" si="24"/>
        <v>0</v>
      </c>
      <c r="D1497" s="30" t="str">
        <f>IFERROR(VLOOKUP(C1497,소속부서!$A$2:$B$20,2,FALSE), "")</f>
        <v/>
      </c>
    </row>
    <row r="1498" spans="3:4" x14ac:dyDescent="0.3">
      <c r="C1498" s="35">
        <f t="shared" si="24"/>
        <v>0</v>
      </c>
      <c r="D1498" s="30" t="str">
        <f>IFERROR(VLOOKUP(C1498,소속부서!$A$2:$B$20,2,FALSE), "")</f>
        <v/>
      </c>
    </row>
    <row r="1499" spans="3:4" x14ac:dyDescent="0.3">
      <c r="C1499" s="35">
        <f t="shared" si="24"/>
        <v>0</v>
      </c>
      <c r="D1499" s="30" t="str">
        <f>IFERROR(VLOOKUP(C1499,소속부서!$A$2:$B$20,2,FALSE), "")</f>
        <v/>
      </c>
    </row>
    <row r="1500" spans="3:4" x14ac:dyDescent="0.3">
      <c r="C1500" s="35">
        <f t="shared" si="24"/>
        <v>0</v>
      </c>
      <c r="D1500" s="30" t="str">
        <f>IFERROR(VLOOKUP(C1500,소속부서!$A$2:$B$20,2,FALSE), "")</f>
        <v/>
      </c>
    </row>
    <row r="1501" spans="3:4" x14ac:dyDescent="0.3">
      <c r="C1501" s="35">
        <f t="shared" si="24"/>
        <v>0</v>
      </c>
      <c r="D1501" s="30" t="str">
        <f>IFERROR(VLOOKUP(C1501,소속부서!$A$2:$B$20,2,FALSE), "")</f>
        <v/>
      </c>
    </row>
    <row r="1502" spans="3:4" x14ac:dyDescent="0.3">
      <c r="C1502" s="35">
        <f t="shared" si="24"/>
        <v>0</v>
      </c>
      <c r="D1502" s="30" t="str">
        <f>IFERROR(VLOOKUP(C1502,소속부서!$A$2:$B$20,2,FALSE), "")</f>
        <v/>
      </c>
    </row>
    <row r="1503" spans="3:4" x14ac:dyDescent="0.3">
      <c r="C1503" s="35">
        <f t="shared" si="24"/>
        <v>0</v>
      </c>
      <c r="D1503" s="30" t="str">
        <f>IFERROR(VLOOKUP(C1503,소속부서!$A$2:$B$20,2,FALSE), "")</f>
        <v/>
      </c>
    </row>
    <row r="1504" spans="3:4" x14ac:dyDescent="0.3">
      <c r="C1504" s="35">
        <f t="shared" si="24"/>
        <v>0</v>
      </c>
      <c r="D1504" s="30" t="str">
        <f>IFERROR(VLOOKUP(C1504,소속부서!$A$2:$B$20,2,FALSE), "")</f>
        <v/>
      </c>
    </row>
    <row r="1505" spans="3:4" x14ac:dyDescent="0.3">
      <c r="C1505" s="35">
        <f t="shared" si="24"/>
        <v>0</v>
      </c>
      <c r="D1505" s="30" t="str">
        <f>IFERROR(VLOOKUP(C1505,소속부서!$A$2:$B$20,2,FALSE), "")</f>
        <v/>
      </c>
    </row>
    <row r="1506" spans="3:4" x14ac:dyDescent="0.3">
      <c r="C1506" s="35">
        <f t="shared" si="24"/>
        <v>0</v>
      </c>
      <c r="D1506" s="30" t="str">
        <f>IFERROR(VLOOKUP(C1506,소속부서!$A$2:$B$20,2,FALSE), "")</f>
        <v/>
      </c>
    </row>
    <row r="1507" spans="3:4" x14ac:dyDescent="0.3">
      <c r="C1507" s="35">
        <f t="shared" si="24"/>
        <v>0</v>
      </c>
      <c r="D1507" s="30" t="str">
        <f>IFERROR(VLOOKUP(C1507,소속부서!$A$2:$B$20,2,FALSE), "")</f>
        <v/>
      </c>
    </row>
    <row r="1508" spans="3:4" x14ac:dyDescent="0.3">
      <c r="C1508" s="35">
        <f t="shared" si="24"/>
        <v>0</v>
      </c>
      <c r="D1508" s="30" t="str">
        <f>IFERROR(VLOOKUP(C1508,소속부서!$A$2:$B$20,2,FALSE), "")</f>
        <v/>
      </c>
    </row>
    <row r="1509" spans="3:4" x14ac:dyDescent="0.3">
      <c r="C1509" s="35">
        <f t="shared" si="24"/>
        <v>0</v>
      </c>
      <c r="D1509" s="30" t="str">
        <f>IFERROR(VLOOKUP(C1509,소속부서!$A$2:$B$20,2,FALSE), "")</f>
        <v/>
      </c>
    </row>
    <row r="1510" spans="3:4" x14ac:dyDescent="0.3">
      <c r="C1510" s="35">
        <f t="shared" si="24"/>
        <v>0</v>
      </c>
      <c r="D1510" s="30" t="str">
        <f>IFERROR(VLOOKUP(C1510,소속부서!$A$2:$B$20,2,FALSE), "")</f>
        <v/>
      </c>
    </row>
    <row r="1511" spans="3:4" x14ac:dyDescent="0.3">
      <c r="C1511" s="35">
        <f t="shared" si="24"/>
        <v>0</v>
      </c>
      <c r="D1511" s="30" t="str">
        <f>IFERROR(VLOOKUP(C1511,소속부서!$A$2:$B$20,2,FALSE), "")</f>
        <v/>
      </c>
    </row>
    <row r="1512" spans="3:4" x14ac:dyDescent="0.3">
      <c r="C1512" s="35">
        <f t="shared" si="24"/>
        <v>0</v>
      </c>
      <c r="D1512" s="30" t="str">
        <f>IFERROR(VLOOKUP(C1512,소속부서!$A$2:$B$20,2,FALSE), "")</f>
        <v/>
      </c>
    </row>
    <row r="1513" spans="3:4" x14ac:dyDescent="0.3">
      <c r="C1513" s="35">
        <f t="shared" si="24"/>
        <v>0</v>
      </c>
      <c r="D1513" s="30" t="str">
        <f>IFERROR(VLOOKUP(C1513,소속부서!$A$2:$B$20,2,FALSE), "")</f>
        <v/>
      </c>
    </row>
    <row r="1514" spans="3:4" x14ac:dyDescent="0.3">
      <c r="C1514" s="35">
        <f t="shared" si="24"/>
        <v>0</v>
      </c>
      <c r="D1514" s="30" t="str">
        <f>IFERROR(VLOOKUP(C1514,소속부서!$A$2:$B$20,2,FALSE), "")</f>
        <v/>
      </c>
    </row>
    <row r="1515" spans="3:4" x14ac:dyDescent="0.3">
      <c r="C1515" s="35">
        <f t="shared" si="24"/>
        <v>0</v>
      </c>
      <c r="D1515" s="30" t="str">
        <f>IFERROR(VLOOKUP(C1515,소속부서!$A$2:$B$20,2,FALSE), "")</f>
        <v/>
      </c>
    </row>
    <row r="1516" spans="3:4" x14ac:dyDescent="0.3">
      <c r="C1516" s="35">
        <f t="shared" si="24"/>
        <v>0</v>
      </c>
      <c r="D1516" s="30" t="str">
        <f>IFERROR(VLOOKUP(C1516,소속부서!$A$2:$B$20,2,FALSE), "")</f>
        <v/>
      </c>
    </row>
    <row r="1517" spans="3:4" x14ac:dyDescent="0.3">
      <c r="C1517" s="35">
        <f t="shared" si="24"/>
        <v>0</v>
      </c>
      <c r="D1517" s="30" t="str">
        <f>IFERROR(VLOOKUP(C1517,소속부서!$A$2:$B$20,2,FALSE), "")</f>
        <v/>
      </c>
    </row>
    <row r="1518" spans="3:4" x14ac:dyDescent="0.3">
      <c r="C1518" s="35">
        <f t="shared" si="24"/>
        <v>0</v>
      </c>
      <c r="D1518" s="30" t="str">
        <f>IFERROR(VLOOKUP(C1518,소속부서!$A$2:$B$20,2,FALSE), "")</f>
        <v/>
      </c>
    </row>
    <row r="1519" spans="3:4" x14ac:dyDescent="0.3">
      <c r="C1519" s="35">
        <f t="shared" si="24"/>
        <v>0</v>
      </c>
      <c r="D1519" s="30" t="str">
        <f>IFERROR(VLOOKUP(C1519,소속부서!$A$2:$B$20,2,FALSE), "")</f>
        <v/>
      </c>
    </row>
    <row r="1520" spans="3:4" x14ac:dyDescent="0.3">
      <c r="C1520" s="35">
        <f t="shared" si="24"/>
        <v>0</v>
      </c>
      <c r="D1520" s="30" t="str">
        <f>IFERROR(VLOOKUP(C1520,소속부서!$A$2:$B$20,2,FALSE), "")</f>
        <v/>
      </c>
    </row>
    <row r="1521" spans="3:4" x14ac:dyDescent="0.3">
      <c r="C1521" s="35">
        <f t="shared" si="24"/>
        <v>0</v>
      </c>
      <c r="D1521" s="30" t="str">
        <f>IFERROR(VLOOKUP(C1521,소속부서!$A$2:$B$20,2,FALSE), "")</f>
        <v/>
      </c>
    </row>
    <row r="1522" spans="3:4" x14ac:dyDescent="0.3">
      <c r="C1522" s="35">
        <f t="shared" si="24"/>
        <v>0</v>
      </c>
      <c r="D1522" s="30" t="str">
        <f>IFERROR(VLOOKUP(C1522,소속부서!$A$2:$B$20,2,FALSE), "")</f>
        <v/>
      </c>
    </row>
    <row r="1523" spans="3:4" x14ac:dyDescent="0.3">
      <c r="C1523" s="35">
        <f t="shared" si="24"/>
        <v>0</v>
      </c>
      <c r="D1523" s="30" t="str">
        <f>IFERROR(VLOOKUP(C1523,소속부서!$A$2:$B$20,2,FALSE), "")</f>
        <v/>
      </c>
    </row>
    <row r="1524" spans="3:4" x14ac:dyDescent="0.3">
      <c r="C1524" s="35">
        <f t="shared" si="24"/>
        <v>0</v>
      </c>
      <c r="D1524" s="30" t="str">
        <f>IFERROR(VLOOKUP(C1524,소속부서!$A$2:$B$20,2,FALSE), "")</f>
        <v/>
      </c>
    </row>
    <row r="1525" spans="3:4" x14ac:dyDescent="0.3">
      <c r="C1525" s="35">
        <f t="shared" si="24"/>
        <v>0</v>
      </c>
      <c r="D1525" s="30" t="str">
        <f>IFERROR(VLOOKUP(C1525,소속부서!$A$2:$B$20,2,FALSE), "")</f>
        <v/>
      </c>
    </row>
    <row r="1526" spans="3:4" x14ac:dyDescent="0.3">
      <c r="C1526" s="35">
        <f t="shared" si="24"/>
        <v>0</v>
      </c>
      <c r="D1526" s="30" t="str">
        <f>IFERROR(VLOOKUP(C1526,소속부서!$A$2:$B$20,2,FALSE), "")</f>
        <v/>
      </c>
    </row>
    <row r="1527" spans="3:4" x14ac:dyDescent="0.3">
      <c r="C1527" s="35">
        <f t="shared" si="24"/>
        <v>0</v>
      </c>
      <c r="D1527" s="30" t="str">
        <f>IFERROR(VLOOKUP(C1527,소속부서!$A$2:$B$20,2,FALSE), "")</f>
        <v/>
      </c>
    </row>
    <row r="1528" spans="3:4" x14ac:dyDescent="0.3">
      <c r="C1528" s="35">
        <f t="shared" si="24"/>
        <v>0</v>
      </c>
      <c r="D1528" s="30" t="str">
        <f>IFERROR(VLOOKUP(C1528,소속부서!$A$2:$B$20,2,FALSE), "")</f>
        <v/>
      </c>
    </row>
    <row r="1529" spans="3:4" x14ac:dyDescent="0.3">
      <c r="C1529" s="35">
        <f t="shared" si="24"/>
        <v>0</v>
      </c>
      <c r="D1529" s="30" t="str">
        <f>IFERROR(VLOOKUP(C1529,소속부서!$A$2:$B$20,2,FALSE), "")</f>
        <v/>
      </c>
    </row>
    <row r="1530" spans="3:4" x14ac:dyDescent="0.3">
      <c r="C1530" s="35">
        <f t="shared" si="24"/>
        <v>0</v>
      </c>
      <c r="D1530" s="30" t="str">
        <f>IFERROR(VLOOKUP(C1530,소속부서!$A$2:$B$20,2,FALSE), "")</f>
        <v/>
      </c>
    </row>
    <row r="1531" spans="3:4" x14ac:dyDescent="0.3">
      <c r="C1531" s="35">
        <f t="shared" si="24"/>
        <v>0</v>
      </c>
      <c r="D1531" s="30" t="str">
        <f>IFERROR(VLOOKUP(C1531,소속부서!$A$2:$B$20,2,FALSE), "")</f>
        <v/>
      </c>
    </row>
    <row r="1532" spans="3:4" x14ac:dyDescent="0.3">
      <c r="C1532" s="35">
        <f t="shared" si="24"/>
        <v>0</v>
      </c>
      <c r="D1532" s="30" t="str">
        <f>IFERROR(VLOOKUP(C1532,소속부서!$A$2:$B$20,2,FALSE), "")</f>
        <v/>
      </c>
    </row>
    <row r="1533" spans="3:4" x14ac:dyDescent="0.3">
      <c r="C1533" s="35">
        <f t="shared" si="24"/>
        <v>0</v>
      </c>
      <c r="D1533" s="30" t="str">
        <f>IFERROR(VLOOKUP(C1533,소속부서!$A$2:$B$20,2,FALSE), "")</f>
        <v/>
      </c>
    </row>
    <row r="1534" spans="3:4" x14ac:dyDescent="0.3">
      <c r="C1534" s="35">
        <f t="shared" si="24"/>
        <v>0</v>
      </c>
      <c r="D1534" s="30" t="str">
        <f>IFERROR(VLOOKUP(C1534,소속부서!$A$2:$B$20,2,FALSE), "")</f>
        <v/>
      </c>
    </row>
    <row r="1535" spans="3:4" x14ac:dyDescent="0.3">
      <c r="C1535" s="35">
        <f t="shared" si="24"/>
        <v>0</v>
      </c>
      <c r="D1535" s="30" t="str">
        <f>IFERROR(VLOOKUP(C1535,소속부서!$A$2:$B$20,2,FALSE), "")</f>
        <v/>
      </c>
    </row>
    <row r="1536" spans="3:4" x14ac:dyDescent="0.3">
      <c r="C1536" s="35">
        <f t="shared" si="24"/>
        <v>0</v>
      </c>
      <c r="D1536" s="30" t="str">
        <f>IFERROR(VLOOKUP(C1536,소속부서!$A$2:$B$20,2,FALSE), "")</f>
        <v/>
      </c>
    </row>
    <row r="1537" spans="3:4" x14ac:dyDescent="0.3">
      <c r="C1537" s="35">
        <f t="shared" si="24"/>
        <v>0</v>
      </c>
      <c r="D1537" s="30" t="str">
        <f>IFERROR(VLOOKUP(C1537,소속부서!$A$2:$B$20,2,FALSE), "")</f>
        <v/>
      </c>
    </row>
    <row r="1538" spans="3:4" x14ac:dyDescent="0.3">
      <c r="C1538" s="35">
        <f t="shared" si="24"/>
        <v>0</v>
      </c>
      <c r="D1538" s="30" t="str">
        <f>IFERROR(VLOOKUP(C1538,소속부서!$A$2:$B$20,2,FALSE), "")</f>
        <v/>
      </c>
    </row>
    <row r="1539" spans="3:4" x14ac:dyDescent="0.3">
      <c r="C1539" s="35">
        <f t="shared" si="24"/>
        <v>0</v>
      </c>
      <c r="D1539" s="30" t="str">
        <f>IFERROR(VLOOKUP(C1539,소속부서!$A$2:$B$20,2,FALSE), "")</f>
        <v/>
      </c>
    </row>
    <row r="1540" spans="3:4" x14ac:dyDescent="0.3">
      <c r="C1540" s="35">
        <f t="shared" ref="C1540:C1603" si="25">E1540</f>
        <v>0</v>
      </c>
      <c r="D1540" s="30" t="str">
        <f>IFERROR(VLOOKUP(C1540,소속부서!$A$2:$B$20,2,FALSE), "")</f>
        <v/>
      </c>
    </row>
    <row r="1541" spans="3:4" x14ac:dyDescent="0.3">
      <c r="C1541" s="35">
        <f t="shared" si="25"/>
        <v>0</v>
      </c>
      <c r="D1541" s="30" t="str">
        <f>IFERROR(VLOOKUP(C1541,소속부서!$A$2:$B$20,2,FALSE), "")</f>
        <v/>
      </c>
    </row>
    <row r="1542" spans="3:4" x14ac:dyDescent="0.3">
      <c r="C1542" s="35">
        <f t="shared" si="25"/>
        <v>0</v>
      </c>
      <c r="D1542" s="30" t="str">
        <f>IFERROR(VLOOKUP(C1542,소속부서!$A$2:$B$20,2,FALSE), "")</f>
        <v/>
      </c>
    </row>
    <row r="1543" spans="3:4" x14ac:dyDescent="0.3">
      <c r="C1543" s="35">
        <f t="shared" si="25"/>
        <v>0</v>
      </c>
      <c r="D1543" s="30" t="str">
        <f>IFERROR(VLOOKUP(C1543,소속부서!$A$2:$B$20,2,FALSE), "")</f>
        <v/>
      </c>
    </row>
    <row r="1544" spans="3:4" x14ac:dyDescent="0.3">
      <c r="C1544" s="35">
        <f t="shared" si="25"/>
        <v>0</v>
      </c>
      <c r="D1544" s="30" t="str">
        <f>IFERROR(VLOOKUP(C1544,소속부서!$A$2:$B$20,2,FALSE), "")</f>
        <v/>
      </c>
    </row>
    <row r="1545" spans="3:4" x14ac:dyDescent="0.3">
      <c r="C1545" s="35">
        <f t="shared" si="25"/>
        <v>0</v>
      </c>
      <c r="D1545" s="30" t="str">
        <f>IFERROR(VLOOKUP(C1545,소속부서!$A$2:$B$20,2,FALSE), "")</f>
        <v/>
      </c>
    </row>
    <row r="1546" spans="3:4" x14ac:dyDescent="0.3">
      <c r="C1546" s="35">
        <f t="shared" si="25"/>
        <v>0</v>
      </c>
      <c r="D1546" s="30" t="str">
        <f>IFERROR(VLOOKUP(C1546,소속부서!$A$2:$B$20,2,FALSE), "")</f>
        <v/>
      </c>
    </row>
    <row r="1547" spans="3:4" x14ac:dyDescent="0.3">
      <c r="C1547" s="35">
        <f t="shared" si="25"/>
        <v>0</v>
      </c>
      <c r="D1547" s="30" t="str">
        <f>IFERROR(VLOOKUP(C1547,소속부서!$A$2:$B$20,2,FALSE), "")</f>
        <v/>
      </c>
    </row>
    <row r="1548" spans="3:4" x14ac:dyDescent="0.3">
      <c r="C1548" s="35">
        <f t="shared" si="25"/>
        <v>0</v>
      </c>
      <c r="D1548" s="30" t="str">
        <f>IFERROR(VLOOKUP(C1548,소속부서!$A$2:$B$20,2,FALSE), "")</f>
        <v/>
      </c>
    </row>
    <row r="1549" spans="3:4" x14ac:dyDescent="0.3">
      <c r="C1549" s="35">
        <f t="shared" si="25"/>
        <v>0</v>
      </c>
      <c r="D1549" s="30" t="str">
        <f>IFERROR(VLOOKUP(C1549,소속부서!$A$2:$B$20,2,FALSE), "")</f>
        <v/>
      </c>
    </row>
    <row r="1550" spans="3:4" x14ac:dyDescent="0.3">
      <c r="C1550" s="35">
        <f t="shared" si="25"/>
        <v>0</v>
      </c>
      <c r="D1550" s="30" t="str">
        <f>IFERROR(VLOOKUP(C1550,소속부서!$A$2:$B$20,2,FALSE), "")</f>
        <v/>
      </c>
    </row>
    <row r="1551" spans="3:4" x14ac:dyDescent="0.3">
      <c r="C1551" s="35">
        <f t="shared" si="25"/>
        <v>0</v>
      </c>
      <c r="D1551" s="30" t="str">
        <f>IFERROR(VLOOKUP(C1551,소속부서!$A$2:$B$20,2,FALSE), "")</f>
        <v/>
      </c>
    </row>
    <row r="1552" spans="3:4" x14ac:dyDescent="0.3">
      <c r="C1552" s="35">
        <f t="shared" si="25"/>
        <v>0</v>
      </c>
      <c r="D1552" s="30" t="str">
        <f>IFERROR(VLOOKUP(C1552,소속부서!$A$2:$B$20,2,FALSE), "")</f>
        <v/>
      </c>
    </row>
    <row r="1553" spans="3:4" x14ac:dyDescent="0.3">
      <c r="C1553" s="35">
        <f t="shared" si="25"/>
        <v>0</v>
      </c>
      <c r="D1553" s="30" t="str">
        <f>IFERROR(VLOOKUP(C1553,소속부서!$A$2:$B$20,2,FALSE), "")</f>
        <v/>
      </c>
    </row>
    <row r="1554" spans="3:4" x14ac:dyDescent="0.3">
      <c r="C1554" s="35">
        <f t="shared" si="25"/>
        <v>0</v>
      </c>
      <c r="D1554" s="30" t="str">
        <f>IFERROR(VLOOKUP(C1554,소속부서!$A$2:$B$20,2,FALSE), "")</f>
        <v/>
      </c>
    </row>
    <row r="1555" spans="3:4" x14ac:dyDescent="0.3">
      <c r="C1555" s="35">
        <f t="shared" si="25"/>
        <v>0</v>
      </c>
      <c r="D1555" s="30" t="str">
        <f>IFERROR(VLOOKUP(C1555,소속부서!$A$2:$B$20,2,FALSE), "")</f>
        <v/>
      </c>
    </row>
    <row r="1556" spans="3:4" x14ac:dyDescent="0.3">
      <c r="C1556" s="35">
        <f t="shared" si="25"/>
        <v>0</v>
      </c>
      <c r="D1556" s="30" t="str">
        <f>IFERROR(VLOOKUP(C1556,소속부서!$A$2:$B$20,2,FALSE), "")</f>
        <v/>
      </c>
    </row>
    <row r="1557" spans="3:4" x14ac:dyDescent="0.3">
      <c r="C1557" s="35">
        <f t="shared" si="25"/>
        <v>0</v>
      </c>
      <c r="D1557" s="30" t="str">
        <f>IFERROR(VLOOKUP(C1557,소속부서!$A$2:$B$20,2,FALSE), "")</f>
        <v/>
      </c>
    </row>
    <row r="1558" spans="3:4" x14ac:dyDescent="0.3">
      <c r="C1558" s="35">
        <f t="shared" si="25"/>
        <v>0</v>
      </c>
      <c r="D1558" s="30" t="str">
        <f>IFERROR(VLOOKUP(C1558,소속부서!$A$2:$B$20,2,FALSE), "")</f>
        <v/>
      </c>
    </row>
    <row r="1559" spans="3:4" x14ac:dyDescent="0.3">
      <c r="C1559" s="35">
        <f t="shared" si="25"/>
        <v>0</v>
      </c>
      <c r="D1559" s="30" t="str">
        <f>IFERROR(VLOOKUP(C1559,소속부서!$A$2:$B$20,2,FALSE), "")</f>
        <v/>
      </c>
    </row>
    <row r="1560" spans="3:4" x14ac:dyDescent="0.3">
      <c r="C1560" s="35">
        <f t="shared" si="25"/>
        <v>0</v>
      </c>
      <c r="D1560" s="30" t="str">
        <f>IFERROR(VLOOKUP(C1560,소속부서!$A$2:$B$20,2,FALSE), "")</f>
        <v/>
      </c>
    </row>
    <row r="1561" spans="3:4" x14ac:dyDescent="0.3">
      <c r="C1561" s="35">
        <f t="shared" si="25"/>
        <v>0</v>
      </c>
      <c r="D1561" s="30" t="str">
        <f>IFERROR(VLOOKUP(C1561,소속부서!$A$2:$B$20,2,FALSE), "")</f>
        <v/>
      </c>
    </row>
    <row r="1562" spans="3:4" x14ac:dyDescent="0.3">
      <c r="C1562" s="35">
        <f t="shared" si="25"/>
        <v>0</v>
      </c>
      <c r="D1562" s="30" t="str">
        <f>IFERROR(VLOOKUP(C1562,소속부서!$A$2:$B$20,2,FALSE), "")</f>
        <v/>
      </c>
    </row>
    <row r="1563" spans="3:4" x14ac:dyDescent="0.3">
      <c r="C1563" s="35">
        <f t="shared" si="25"/>
        <v>0</v>
      </c>
      <c r="D1563" s="30" t="str">
        <f>IFERROR(VLOOKUP(C1563,소속부서!$A$2:$B$20,2,FALSE), "")</f>
        <v/>
      </c>
    </row>
    <row r="1564" spans="3:4" x14ac:dyDescent="0.3">
      <c r="C1564" s="35">
        <f t="shared" si="25"/>
        <v>0</v>
      </c>
      <c r="D1564" s="30" t="str">
        <f>IFERROR(VLOOKUP(C1564,소속부서!$A$2:$B$20,2,FALSE), "")</f>
        <v/>
      </c>
    </row>
    <row r="1565" spans="3:4" x14ac:dyDescent="0.3">
      <c r="C1565" s="35">
        <f t="shared" si="25"/>
        <v>0</v>
      </c>
      <c r="D1565" s="30" t="str">
        <f>IFERROR(VLOOKUP(C1565,소속부서!$A$2:$B$20,2,FALSE), "")</f>
        <v/>
      </c>
    </row>
    <row r="1566" spans="3:4" x14ac:dyDescent="0.3">
      <c r="C1566" s="35">
        <f t="shared" si="25"/>
        <v>0</v>
      </c>
      <c r="D1566" s="30" t="str">
        <f>IFERROR(VLOOKUP(C1566,소속부서!$A$2:$B$20,2,FALSE), "")</f>
        <v/>
      </c>
    </row>
    <row r="1567" spans="3:4" x14ac:dyDescent="0.3">
      <c r="C1567" s="35">
        <f t="shared" si="25"/>
        <v>0</v>
      </c>
      <c r="D1567" s="30" t="str">
        <f>IFERROR(VLOOKUP(C1567,소속부서!$A$2:$B$20,2,FALSE), "")</f>
        <v/>
      </c>
    </row>
    <row r="1568" spans="3:4" x14ac:dyDescent="0.3">
      <c r="C1568" s="35">
        <f t="shared" si="25"/>
        <v>0</v>
      </c>
      <c r="D1568" s="30" t="str">
        <f>IFERROR(VLOOKUP(C1568,소속부서!$A$2:$B$20,2,FALSE), "")</f>
        <v/>
      </c>
    </row>
    <row r="1569" spans="3:4" x14ac:dyDescent="0.3">
      <c r="C1569" s="35">
        <f t="shared" si="25"/>
        <v>0</v>
      </c>
      <c r="D1569" s="30" t="str">
        <f>IFERROR(VLOOKUP(C1569,소속부서!$A$2:$B$20,2,FALSE), "")</f>
        <v/>
      </c>
    </row>
    <row r="1570" spans="3:4" x14ac:dyDescent="0.3">
      <c r="C1570" s="35">
        <f t="shared" si="25"/>
        <v>0</v>
      </c>
      <c r="D1570" s="30" t="str">
        <f>IFERROR(VLOOKUP(C1570,소속부서!$A$2:$B$20,2,FALSE), "")</f>
        <v/>
      </c>
    </row>
    <row r="1571" spans="3:4" x14ac:dyDescent="0.3">
      <c r="C1571" s="35">
        <f t="shared" si="25"/>
        <v>0</v>
      </c>
      <c r="D1571" s="30" t="str">
        <f>IFERROR(VLOOKUP(C1571,소속부서!$A$2:$B$20,2,FALSE), "")</f>
        <v/>
      </c>
    </row>
    <row r="1572" spans="3:4" x14ac:dyDescent="0.3">
      <c r="C1572" s="35">
        <f t="shared" si="25"/>
        <v>0</v>
      </c>
      <c r="D1572" s="30" t="str">
        <f>IFERROR(VLOOKUP(C1572,소속부서!$A$2:$B$20,2,FALSE), "")</f>
        <v/>
      </c>
    </row>
    <row r="1573" spans="3:4" x14ac:dyDescent="0.3">
      <c r="C1573" s="35">
        <f t="shared" si="25"/>
        <v>0</v>
      </c>
      <c r="D1573" s="30" t="str">
        <f>IFERROR(VLOOKUP(C1573,소속부서!$A$2:$B$20,2,FALSE), "")</f>
        <v/>
      </c>
    </row>
    <row r="1574" spans="3:4" x14ac:dyDescent="0.3">
      <c r="C1574" s="35">
        <f t="shared" si="25"/>
        <v>0</v>
      </c>
      <c r="D1574" s="30" t="str">
        <f>IFERROR(VLOOKUP(C1574,소속부서!$A$2:$B$20,2,FALSE), "")</f>
        <v/>
      </c>
    </row>
    <row r="1575" spans="3:4" x14ac:dyDescent="0.3">
      <c r="C1575" s="35">
        <f t="shared" si="25"/>
        <v>0</v>
      </c>
      <c r="D1575" s="30" t="str">
        <f>IFERROR(VLOOKUP(C1575,소속부서!$A$2:$B$20,2,FALSE), "")</f>
        <v/>
      </c>
    </row>
    <row r="1576" spans="3:4" x14ac:dyDescent="0.3">
      <c r="C1576" s="35">
        <f t="shared" si="25"/>
        <v>0</v>
      </c>
      <c r="D1576" s="30" t="str">
        <f>IFERROR(VLOOKUP(C1576,소속부서!$A$2:$B$20,2,FALSE), "")</f>
        <v/>
      </c>
    </row>
    <row r="1577" spans="3:4" x14ac:dyDescent="0.3">
      <c r="C1577" s="35">
        <f t="shared" si="25"/>
        <v>0</v>
      </c>
      <c r="D1577" s="30" t="str">
        <f>IFERROR(VLOOKUP(C1577,소속부서!$A$2:$B$20,2,FALSE), "")</f>
        <v/>
      </c>
    </row>
    <row r="1578" spans="3:4" x14ac:dyDescent="0.3">
      <c r="C1578" s="35">
        <f t="shared" si="25"/>
        <v>0</v>
      </c>
      <c r="D1578" s="30" t="str">
        <f>IFERROR(VLOOKUP(C1578,소속부서!$A$2:$B$20,2,FALSE), "")</f>
        <v/>
      </c>
    </row>
    <row r="1579" spans="3:4" x14ac:dyDescent="0.3">
      <c r="C1579" s="35">
        <f t="shared" si="25"/>
        <v>0</v>
      </c>
      <c r="D1579" s="30" t="str">
        <f>IFERROR(VLOOKUP(C1579,소속부서!$A$2:$B$20,2,FALSE), "")</f>
        <v/>
      </c>
    </row>
    <row r="1580" spans="3:4" x14ac:dyDescent="0.3">
      <c r="C1580" s="35">
        <f t="shared" si="25"/>
        <v>0</v>
      </c>
      <c r="D1580" s="30" t="str">
        <f>IFERROR(VLOOKUP(C1580,소속부서!$A$2:$B$20,2,FALSE), "")</f>
        <v/>
      </c>
    </row>
    <row r="1581" spans="3:4" x14ac:dyDescent="0.3">
      <c r="C1581" s="35">
        <f t="shared" si="25"/>
        <v>0</v>
      </c>
      <c r="D1581" s="30" t="str">
        <f>IFERROR(VLOOKUP(C1581,소속부서!$A$2:$B$20,2,FALSE), "")</f>
        <v/>
      </c>
    </row>
    <row r="1582" spans="3:4" x14ac:dyDescent="0.3">
      <c r="C1582" s="35">
        <f t="shared" si="25"/>
        <v>0</v>
      </c>
      <c r="D1582" s="30" t="str">
        <f>IFERROR(VLOOKUP(C1582,소속부서!$A$2:$B$20,2,FALSE), "")</f>
        <v/>
      </c>
    </row>
    <row r="1583" spans="3:4" x14ac:dyDescent="0.3">
      <c r="C1583" s="35">
        <f t="shared" si="25"/>
        <v>0</v>
      </c>
      <c r="D1583" s="30" t="str">
        <f>IFERROR(VLOOKUP(C1583,소속부서!$A$2:$B$20,2,FALSE), "")</f>
        <v/>
      </c>
    </row>
    <row r="1584" spans="3:4" x14ac:dyDescent="0.3">
      <c r="C1584" s="35">
        <f t="shared" si="25"/>
        <v>0</v>
      </c>
      <c r="D1584" s="30" t="str">
        <f>IFERROR(VLOOKUP(C1584,소속부서!$A$2:$B$20,2,FALSE), "")</f>
        <v/>
      </c>
    </row>
    <row r="1585" spans="3:4" x14ac:dyDescent="0.3">
      <c r="C1585" s="35">
        <f t="shared" si="25"/>
        <v>0</v>
      </c>
      <c r="D1585" s="30" t="str">
        <f>IFERROR(VLOOKUP(C1585,소속부서!$A$2:$B$20,2,FALSE), "")</f>
        <v/>
      </c>
    </row>
    <row r="1586" spans="3:4" x14ac:dyDescent="0.3">
      <c r="C1586" s="35">
        <f t="shared" si="25"/>
        <v>0</v>
      </c>
      <c r="D1586" s="30" t="str">
        <f>IFERROR(VLOOKUP(C1586,소속부서!$A$2:$B$20,2,FALSE), "")</f>
        <v/>
      </c>
    </row>
    <row r="1587" spans="3:4" x14ac:dyDescent="0.3">
      <c r="C1587" s="35">
        <f t="shared" si="25"/>
        <v>0</v>
      </c>
      <c r="D1587" s="30" t="str">
        <f>IFERROR(VLOOKUP(C1587,소속부서!$A$2:$B$20,2,FALSE), "")</f>
        <v/>
      </c>
    </row>
    <row r="1588" spans="3:4" x14ac:dyDescent="0.3">
      <c r="C1588" s="35">
        <f t="shared" si="25"/>
        <v>0</v>
      </c>
      <c r="D1588" s="30" t="str">
        <f>IFERROR(VLOOKUP(C1588,소속부서!$A$2:$B$20,2,FALSE), "")</f>
        <v/>
      </c>
    </row>
    <row r="1589" spans="3:4" x14ac:dyDescent="0.3">
      <c r="C1589" s="35">
        <f t="shared" si="25"/>
        <v>0</v>
      </c>
      <c r="D1589" s="30" t="str">
        <f>IFERROR(VLOOKUP(C1589,소속부서!$A$2:$B$20,2,FALSE), "")</f>
        <v/>
      </c>
    </row>
    <row r="1590" spans="3:4" x14ac:dyDescent="0.3">
      <c r="C1590" s="35">
        <f t="shared" si="25"/>
        <v>0</v>
      </c>
      <c r="D1590" s="30" t="str">
        <f>IFERROR(VLOOKUP(C1590,소속부서!$A$2:$B$20,2,FALSE), "")</f>
        <v/>
      </c>
    </row>
    <row r="1591" spans="3:4" x14ac:dyDescent="0.3">
      <c r="C1591" s="35">
        <f t="shared" si="25"/>
        <v>0</v>
      </c>
      <c r="D1591" s="30" t="str">
        <f>IFERROR(VLOOKUP(C1591,소속부서!$A$2:$B$20,2,FALSE), "")</f>
        <v/>
      </c>
    </row>
    <row r="1592" spans="3:4" x14ac:dyDescent="0.3">
      <c r="C1592" s="35">
        <f t="shared" si="25"/>
        <v>0</v>
      </c>
      <c r="D1592" s="30" t="str">
        <f>IFERROR(VLOOKUP(C1592,소속부서!$A$2:$B$20,2,FALSE), "")</f>
        <v/>
      </c>
    </row>
    <row r="1593" spans="3:4" x14ac:dyDescent="0.3">
      <c r="C1593" s="35">
        <f t="shared" si="25"/>
        <v>0</v>
      </c>
      <c r="D1593" s="30" t="str">
        <f>IFERROR(VLOOKUP(C1593,소속부서!$A$2:$B$20,2,FALSE), "")</f>
        <v/>
      </c>
    </row>
    <row r="1594" spans="3:4" x14ac:dyDescent="0.3">
      <c r="C1594" s="35">
        <f t="shared" si="25"/>
        <v>0</v>
      </c>
      <c r="D1594" s="30" t="str">
        <f>IFERROR(VLOOKUP(C1594,소속부서!$A$2:$B$20,2,FALSE), "")</f>
        <v/>
      </c>
    </row>
    <row r="1595" spans="3:4" x14ac:dyDescent="0.3">
      <c r="C1595" s="35">
        <f t="shared" si="25"/>
        <v>0</v>
      </c>
      <c r="D1595" s="30" t="str">
        <f>IFERROR(VLOOKUP(C1595,소속부서!$A$2:$B$20,2,FALSE), "")</f>
        <v/>
      </c>
    </row>
    <row r="1596" spans="3:4" x14ac:dyDescent="0.3">
      <c r="C1596" s="35">
        <f t="shared" si="25"/>
        <v>0</v>
      </c>
      <c r="D1596" s="30" t="str">
        <f>IFERROR(VLOOKUP(C1596,소속부서!$A$2:$B$20,2,FALSE), "")</f>
        <v/>
      </c>
    </row>
    <row r="1597" spans="3:4" x14ac:dyDescent="0.3">
      <c r="C1597" s="35">
        <f t="shared" si="25"/>
        <v>0</v>
      </c>
      <c r="D1597" s="30" t="str">
        <f>IFERROR(VLOOKUP(C1597,소속부서!$A$2:$B$20,2,FALSE), "")</f>
        <v/>
      </c>
    </row>
    <row r="1598" spans="3:4" x14ac:dyDescent="0.3">
      <c r="C1598" s="35">
        <f t="shared" si="25"/>
        <v>0</v>
      </c>
      <c r="D1598" s="30" t="str">
        <f>IFERROR(VLOOKUP(C1598,소속부서!$A$2:$B$20,2,FALSE), "")</f>
        <v/>
      </c>
    </row>
    <row r="1599" spans="3:4" x14ac:dyDescent="0.3">
      <c r="C1599" s="35">
        <f t="shared" si="25"/>
        <v>0</v>
      </c>
      <c r="D1599" s="30" t="str">
        <f>IFERROR(VLOOKUP(C1599,소속부서!$A$2:$B$20,2,FALSE), "")</f>
        <v/>
      </c>
    </row>
    <row r="1600" spans="3:4" x14ac:dyDescent="0.3">
      <c r="C1600" s="35">
        <f t="shared" si="25"/>
        <v>0</v>
      </c>
      <c r="D1600" s="30" t="str">
        <f>IFERROR(VLOOKUP(C1600,소속부서!$A$2:$B$20,2,FALSE), "")</f>
        <v/>
      </c>
    </row>
    <row r="1601" spans="3:4" x14ac:dyDescent="0.3">
      <c r="C1601" s="35">
        <f t="shared" si="25"/>
        <v>0</v>
      </c>
      <c r="D1601" s="30" t="str">
        <f>IFERROR(VLOOKUP(C1601,소속부서!$A$2:$B$20,2,FALSE), "")</f>
        <v/>
      </c>
    </row>
    <row r="1602" spans="3:4" x14ac:dyDescent="0.3">
      <c r="C1602" s="35">
        <f t="shared" si="25"/>
        <v>0</v>
      </c>
      <c r="D1602" s="30" t="str">
        <f>IFERROR(VLOOKUP(C1602,소속부서!$A$2:$B$20,2,FALSE), "")</f>
        <v/>
      </c>
    </row>
    <row r="1603" spans="3:4" x14ac:dyDescent="0.3">
      <c r="C1603" s="35">
        <f t="shared" si="25"/>
        <v>0</v>
      </c>
      <c r="D1603" s="30" t="str">
        <f>IFERROR(VLOOKUP(C1603,소속부서!$A$2:$B$20,2,FALSE), "")</f>
        <v/>
      </c>
    </row>
    <row r="1604" spans="3:4" x14ac:dyDescent="0.3">
      <c r="C1604" s="35">
        <f t="shared" ref="C1604:C1667" si="26">E1604</f>
        <v>0</v>
      </c>
      <c r="D1604" s="30" t="str">
        <f>IFERROR(VLOOKUP(C1604,소속부서!$A$2:$B$20,2,FALSE), "")</f>
        <v/>
      </c>
    </row>
    <row r="1605" spans="3:4" x14ac:dyDescent="0.3">
      <c r="C1605" s="35">
        <f t="shared" si="26"/>
        <v>0</v>
      </c>
      <c r="D1605" s="30" t="str">
        <f>IFERROR(VLOOKUP(C1605,소속부서!$A$2:$B$20,2,FALSE), "")</f>
        <v/>
      </c>
    </row>
    <row r="1606" spans="3:4" x14ac:dyDescent="0.3">
      <c r="C1606" s="35">
        <f t="shared" si="26"/>
        <v>0</v>
      </c>
      <c r="D1606" s="30" t="str">
        <f>IFERROR(VLOOKUP(C1606,소속부서!$A$2:$B$20,2,FALSE), "")</f>
        <v/>
      </c>
    </row>
    <row r="1607" spans="3:4" x14ac:dyDescent="0.3">
      <c r="C1607" s="35">
        <f t="shared" si="26"/>
        <v>0</v>
      </c>
      <c r="D1607" s="30" t="str">
        <f>IFERROR(VLOOKUP(C1607,소속부서!$A$2:$B$20,2,FALSE), "")</f>
        <v/>
      </c>
    </row>
    <row r="1608" spans="3:4" x14ac:dyDescent="0.3">
      <c r="C1608" s="35">
        <f t="shared" si="26"/>
        <v>0</v>
      </c>
      <c r="D1608" s="30" t="str">
        <f>IFERROR(VLOOKUP(C1608,소속부서!$A$2:$B$20,2,FALSE), "")</f>
        <v/>
      </c>
    </row>
    <row r="1609" spans="3:4" x14ac:dyDescent="0.3">
      <c r="C1609" s="35">
        <f t="shared" si="26"/>
        <v>0</v>
      </c>
      <c r="D1609" s="30" t="str">
        <f>IFERROR(VLOOKUP(C1609,소속부서!$A$2:$B$20,2,FALSE), "")</f>
        <v/>
      </c>
    </row>
    <row r="1610" spans="3:4" x14ac:dyDescent="0.3">
      <c r="C1610" s="35">
        <f t="shared" si="26"/>
        <v>0</v>
      </c>
      <c r="D1610" s="30" t="str">
        <f>IFERROR(VLOOKUP(C1610,소속부서!$A$2:$B$20,2,FALSE), "")</f>
        <v/>
      </c>
    </row>
    <row r="1611" spans="3:4" x14ac:dyDescent="0.3">
      <c r="C1611" s="35">
        <f t="shared" si="26"/>
        <v>0</v>
      </c>
      <c r="D1611" s="30" t="str">
        <f>IFERROR(VLOOKUP(C1611,소속부서!$A$2:$B$20,2,FALSE), "")</f>
        <v/>
      </c>
    </row>
    <row r="1612" spans="3:4" x14ac:dyDescent="0.3">
      <c r="C1612" s="35">
        <f t="shared" si="26"/>
        <v>0</v>
      </c>
      <c r="D1612" s="30" t="str">
        <f>IFERROR(VLOOKUP(C1612,소속부서!$A$2:$B$20,2,FALSE), "")</f>
        <v/>
      </c>
    </row>
    <row r="1613" spans="3:4" x14ac:dyDescent="0.3">
      <c r="C1613" s="35">
        <f t="shared" si="26"/>
        <v>0</v>
      </c>
      <c r="D1613" s="30" t="str">
        <f>IFERROR(VLOOKUP(C1613,소속부서!$A$2:$B$20,2,FALSE), "")</f>
        <v/>
      </c>
    </row>
    <row r="1614" spans="3:4" x14ac:dyDescent="0.3">
      <c r="C1614" s="35">
        <f t="shared" si="26"/>
        <v>0</v>
      </c>
      <c r="D1614" s="30" t="str">
        <f>IFERROR(VLOOKUP(C1614,소속부서!$A$2:$B$20,2,FALSE), "")</f>
        <v/>
      </c>
    </row>
    <row r="1615" spans="3:4" x14ac:dyDescent="0.3">
      <c r="C1615" s="35">
        <f t="shared" si="26"/>
        <v>0</v>
      </c>
      <c r="D1615" s="30" t="str">
        <f>IFERROR(VLOOKUP(C1615,소속부서!$A$2:$B$20,2,FALSE), "")</f>
        <v/>
      </c>
    </row>
    <row r="1616" spans="3:4" x14ac:dyDescent="0.3">
      <c r="C1616" s="35">
        <f t="shared" si="26"/>
        <v>0</v>
      </c>
      <c r="D1616" s="30" t="str">
        <f>IFERROR(VLOOKUP(C1616,소속부서!$A$2:$B$20,2,FALSE), "")</f>
        <v/>
      </c>
    </row>
    <row r="1617" spans="3:4" x14ac:dyDescent="0.3">
      <c r="C1617" s="35">
        <f t="shared" si="26"/>
        <v>0</v>
      </c>
      <c r="D1617" s="30" t="str">
        <f>IFERROR(VLOOKUP(C1617,소속부서!$A$2:$B$20,2,FALSE), "")</f>
        <v/>
      </c>
    </row>
    <row r="1618" spans="3:4" x14ac:dyDescent="0.3">
      <c r="C1618" s="35">
        <f t="shared" si="26"/>
        <v>0</v>
      </c>
      <c r="D1618" s="30" t="str">
        <f>IFERROR(VLOOKUP(C1618,소속부서!$A$2:$B$20,2,FALSE), "")</f>
        <v/>
      </c>
    </row>
    <row r="1619" spans="3:4" x14ac:dyDescent="0.3">
      <c r="C1619" s="35">
        <f t="shared" si="26"/>
        <v>0</v>
      </c>
      <c r="D1619" s="30" t="str">
        <f>IFERROR(VLOOKUP(C1619,소속부서!$A$2:$B$20,2,FALSE), "")</f>
        <v/>
      </c>
    </row>
    <row r="1620" spans="3:4" x14ac:dyDescent="0.3">
      <c r="C1620" s="35">
        <f t="shared" si="26"/>
        <v>0</v>
      </c>
      <c r="D1620" s="30" t="str">
        <f>IFERROR(VLOOKUP(C1620,소속부서!$A$2:$B$20,2,FALSE), "")</f>
        <v/>
      </c>
    </row>
    <row r="1621" spans="3:4" x14ac:dyDescent="0.3">
      <c r="C1621" s="35">
        <f t="shared" si="26"/>
        <v>0</v>
      </c>
      <c r="D1621" s="30" t="str">
        <f>IFERROR(VLOOKUP(C1621,소속부서!$A$2:$B$20,2,FALSE), "")</f>
        <v/>
      </c>
    </row>
    <row r="1622" spans="3:4" x14ac:dyDescent="0.3">
      <c r="C1622" s="35">
        <f t="shared" si="26"/>
        <v>0</v>
      </c>
      <c r="D1622" s="30" t="str">
        <f>IFERROR(VLOOKUP(C1622,소속부서!$A$2:$B$20,2,FALSE), "")</f>
        <v/>
      </c>
    </row>
    <row r="1623" spans="3:4" x14ac:dyDescent="0.3">
      <c r="C1623" s="35">
        <f t="shared" si="26"/>
        <v>0</v>
      </c>
      <c r="D1623" s="30" t="str">
        <f>IFERROR(VLOOKUP(C1623,소속부서!$A$2:$B$20,2,FALSE), "")</f>
        <v/>
      </c>
    </row>
    <row r="1624" spans="3:4" x14ac:dyDescent="0.3">
      <c r="C1624" s="35">
        <f t="shared" si="26"/>
        <v>0</v>
      </c>
      <c r="D1624" s="30" t="str">
        <f>IFERROR(VLOOKUP(C1624,소속부서!$A$2:$B$20,2,FALSE), "")</f>
        <v/>
      </c>
    </row>
    <row r="1625" spans="3:4" x14ac:dyDescent="0.3">
      <c r="C1625" s="35">
        <f t="shared" si="26"/>
        <v>0</v>
      </c>
      <c r="D1625" s="30" t="str">
        <f>IFERROR(VLOOKUP(C1625,소속부서!$A$2:$B$20,2,FALSE), "")</f>
        <v/>
      </c>
    </row>
    <row r="1626" spans="3:4" x14ac:dyDescent="0.3">
      <c r="C1626" s="35">
        <f t="shared" si="26"/>
        <v>0</v>
      </c>
      <c r="D1626" s="30" t="str">
        <f>IFERROR(VLOOKUP(C1626,소속부서!$A$2:$B$20,2,FALSE), "")</f>
        <v/>
      </c>
    </row>
    <row r="1627" spans="3:4" x14ac:dyDescent="0.3">
      <c r="C1627" s="35">
        <f t="shared" si="26"/>
        <v>0</v>
      </c>
      <c r="D1627" s="30" t="str">
        <f>IFERROR(VLOOKUP(C1627,소속부서!$A$2:$B$20,2,FALSE), "")</f>
        <v/>
      </c>
    </row>
    <row r="1628" spans="3:4" x14ac:dyDescent="0.3">
      <c r="C1628" s="35">
        <f t="shared" si="26"/>
        <v>0</v>
      </c>
      <c r="D1628" s="30" t="str">
        <f>IFERROR(VLOOKUP(C1628,소속부서!$A$2:$B$20,2,FALSE), "")</f>
        <v/>
      </c>
    </row>
    <row r="1629" spans="3:4" x14ac:dyDescent="0.3">
      <c r="C1629" s="35">
        <f t="shared" si="26"/>
        <v>0</v>
      </c>
      <c r="D1629" s="30" t="str">
        <f>IFERROR(VLOOKUP(C1629,소속부서!$A$2:$B$20,2,FALSE), "")</f>
        <v/>
      </c>
    </row>
    <row r="1630" spans="3:4" x14ac:dyDescent="0.3">
      <c r="C1630" s="35">
        <f t="shared" si="26"/>
        <v>0</v>
      </c>
      <c r="D1630" s="30" t="str">
        <f>IFERROR(VLOOKUP(C1630,소속부서!$A$2:$B$20,2,FALSE), "")</f>
        <v/>
      </c>
    </row>
    <row r="1631" spans="3:4" x14ac:dyDescent="0.3">
      <c r="C1631" s="35">
        <f t="shared" si="26"/>
        <v>0</v>
      </c>
      <c r="D1631" s="30" t="str">
        <f>IFERROR(VLOOKUP(C1631,소속부서!$A$2:$B$20,2,FALSE), "")</f>
        <v/>
      </c>
    </row>
    <row r="1632" spans="3:4" x14ac:dyDescent="0.3">
      <c r="C1632" s="35">
        <f t="shared" si="26"/>
        <v>0</v>
      </c>
      <c r="D1632" s="30" t="str">
        <f>IFERROR(VLOOKUP(C1632,소속부서!$A$2:$B$20,2,FALSE), "")</f>
        <v/>
      </c>
    </row>
    <row r="1633" spans="3:4" x14ac:dyDescent="0.3">
      <c r="C1633" s="35">
        <f t="shared" si="26"/>
        <v>0</v>
      </c>
      <c r="D1633" s="30" t="str">
        <f>IFERROR(VLOOKUP(C1633,소속부서!$A$2:$B$20,2,FALSE), "")</f>
        <v/>
      </c>
    </row>
    <row r="1634" spans="3:4" x14ac:dyDescent="0.3">
      <c r="C1634" s="35">
        <f t="shared" si="26"/>
        <v>0</v>
      </c>
      <c r="D1634" s="30" t="str">
        <f>IFERROR(VLOOKUP(C1634,소속부서!$A$2:$B$20,2,FALSE), "")</f>
        <v/>
      </c>
    </row>
    <row r="1635" spans="3:4" x14ac:dyDescent="0.3">
      <c r="C1635" s="35">
        <f t="shared" si="26"/>
        <v>0</v>
      </c>
      <c r="D1635" s="30" t="str">
        <f>IFERROR(VLOOKUP(C1635,소속부서!$A$2:$B$20,2,FALSE), "")</f>
        <v/>
      </c>
    </row>
    <row r="1636" spans="3:4" x14ac:dyDescent="0.3">
      <c r="C1636" s="35">
        <f t="shared" si="26"/>
        <v>0</v>
      </c>
      <c r="D1636" s="30" t="str">
        <f>IFERROR(VLOOKUP(C1636,소속부서!$A$2:$B$20,2,FALSE), "")</f>
        <v/>
      </c>
    </row>
    <row r="1637" spans="3:4" x14ac:dyDescent="0.3">
      <c r="C1637" s="35">
        <f t="shared" si="26"/>
        <v>0</v>
      </c>
      <c r="D1637" s="30" t="str">
        <f>IFERROR(VLOOKUP(C1637,소속부서!$A$2:$B$20,2,FALSE), "")</f>
        <v/>
      </c>
    </row>
    <row r="1638" spans="3:4" x14ac:dyDescent="0.3">
      <c r="C1638" s="35">
        <f t="shared" si="26"/>
        <v>0</v>
      </c>
      <c r="D1638" s="30" t="str">
        <f>IFERROR(VLOOKUP(C1638,소속부서!$A$2:$B$20,2,FALSE), "")</f>
        <v/>
      </c>
    </row>
    <row r="1639" spans="3:4" x14ac:dyDescent="0.3">
      <c r="C1639" s="35">
        <f t="shared" si="26"/>
        <v>0</v>
      </c>
      <c r="D1639" s="30" t="str">
        <f>IFERROR(VLOOKUP(C1639,소속부서!$A$2:$B$20,2,FALSE), "")</f>
        <v/>
      </c>
    </row>
    <row r="1640" spans="3:4" x14ac:dyDescent="0.3">
      <c r="C1640" s="35">
        <f t="shared" si="26"/>
        <v>0</v>
      </c>
      <c r="D1640" s="30" t="str">
        <f>IFERROR(VLOOKUP(C1640,소속부서!$A$2:$B$20,2,FALSE), "")</f>
        <v/>
      </c>
    </row>
    <row r="1641" spans="3:4" x14ac:dyDescent="0.3">
      <c r="C1641" s="35">
        <f t="shared" si="26"/>
        <v>0</v>
      </c>
      <c r="D1641" s="30" t="str">
        <f>IFERROR(VLOOKUP(C1641,소속부서!$A$2:$B$20,2,FALSE), "")</f>
        <v/>
      </c>
    </row>
    <row r="1642" spans="3:4" x14ac:dyDescent="0.3">
      <c r="C1642" s="35">
        <f t="shared" si="26"/>
        <v>0</v>
      </c>
      <c r="D1642" s="30" t="str">
        <f>IFERROR(VLOOKUP(C1642,소속부서!$A$2:$B$20,2,FALSE), "")</f>
        <v/>
      </c>
    </row>
    <row r="1643" spans="3:4" x14ac:dyDescent="0.3">
      <c r="C1643" s="35">
        <f t="shared" si="26"/>
        <v>0</v>
      </c>
      <c r="D1643" s="30" t="str">
        <f>IFERROR(VLOOKUP(C1643,소속부서!$A$2:$B$20,2,FALSE), "")</f>
        <v/>
      </c>
    </row>
    <row r="1644" spans="3:4" x14ac:dyDescent="0.3">
      <c r="C1644" s="35">
        <f t="shared" si="26"/>
        <v>0</v>
      </c>
      <c r="D1644" s="30" t="str">
        <f>IFERROR(VLOOKUP(C1644,소속부서!$A$2:$B$20,2,FALSE), "")</f>
        <v/>
      </c>
    </row>
    <row r="1645" spans="3:4" x14ac:dyDescent="0.3">
      <c r="C1645" s="35">
        <f t="shared" si="26"/>
        <v>0</v>
      </c>
      <c r="D1645" s="30" t="str">
        <f>IFERROR(VLOOKUP(C1645,소속부서!$A$2:$B$20,2,FALSE), "")</f>
        <v/>
      </c>
    </row>
    <row r="1646" spans="3:4" x14ac:dyDescent="0.3">
      <c r="C1646" s="35">
        <f t="shared" si="26"/>
        <v>0</v>
      </c>
      <c r="D1646" s="30" t="str">
        <f>IFERROR(VLOOKUP(C1646,소속부서!$A$2:$B$20,2,FALSE), "")</f>
        <v/>
      </c>
    </row>
    <row r="1647" spans="3:4" x14ac:dyDescent="0.3">
      <c r="C1647" s="35">
        <f t="shared" si="26"/>
        <v>0</v>
      </c>
      <c r="D1647" s="30" t="str">
        <f>IFERROR(VLOOKUP(C1647,소속부서!$A$2:$B$20,2,FALSE), "")</f>
        <v/>
      </c>
    </row>
    <row r="1648" spans="3:4" x14ac:dyDescent="0.3">
      <c r="C1648" s="35">
        <f t="shared" si="26"/>
        <v>0</v>
      </c>
      <c r="D1648" s="30" t="str">
        <f>IFERROR(VLOOKUP(C1648,소속부서!$A$2:$B$20,2,FALSE), "")</f>
        <v/>
      </c>
    </row>
    <row r="1649" spans="3:4" x14ac:dyDescent="0.3">
      <c r="C1649" s="35">
        <f t="shared" si="26"/>
        <v>0</v>
      </c>
      <c r="D1649" s="30" t="str">
        <f>IFERROR(VLOOKUP(C1649,소속부서!$A$2:$B$20,2,FALSE), "")</f>
        <v/>
      </c>
    </row>
    <row r="1650" spans="3:4" x14ac:dyDescent="0.3">
      <c r="C1650" s="35">
        <f t="shared" si="26"/>
        <v>0</v>
      </c>
      <c r="D1650" s="30" t="str">
        <f>IFERROR(VLOOKUP(C1650,소속부서!$A$2:$B$20,2,FALSE), "")</f>
        <v/>
      </c>
    </row>
    <row r="1651" spans="3:4" x14ac:dyDescent="0.3">
      <c r="C1651" s="35">
        <f t="shared" si="26"/>
        <v>0</v>
      </c>
      <c r="D1651" s="30" t="str">
        <f>IFERROR(VLOOKUP(C1651,소속부서!$A$2:$B$20,2,FALSE), "")</f>
        <v/>
      </c>
    </row>
    <row r="1652" spans="3:4" x14ac:dyDescent="0.3">
      <c r="C1652" s="35">
        <f t="shared" si="26"/>
        <v>0</v>
      </c>
      <c r="D1652" s="30" t="str">
        <f>IFERROR(VLOOKUP(C1652,소속부서!$A$2:$B$20,2,FALSE), "")</f>
        <v/>
      </c>
    </row>
    <row r="1653" spans="3:4" x14ac:dyDescent="0.3">
      <c r="C1653" s="35">
        <f t="shared" si="26"/>
        <v>0</v>
      </c>
      <c r="D1653" s="30" t="str">
        <f>IFERROR(VLOOKUP(C1653,소속부서!$A$2:$B$20,2,FALSE), "")</f>
        <v/>
      </c>
    </row>
    <row r="1654" spans="3:4" x14ac:dyDescent="0.3">
      <c r="C1654" s="35">
        <f t="shared" si="26"/>
        <v>0</v>
      </c>
      <c r="D1654" s="30" t="str">
        <f>IFERROR(VLOOKUP(C1654,소속부서!$A$2:$B$20,2,FALSE), "")</f>
        <v/>
      </c>
    </row>
    <row r="1655" spans="3:4" x14ac:dyDescent="0.3">
      <c r="C1655" s="35">
        <f t="shared" si="26"/>
        <v>0</v>
      </c>
      <c r="D1655" s="30" t="str">
        <f>IFERROR(VLOOKUP(C1655,소속부서!$A$2:$B$20,2,FALSE), "")</f>
        <v/>
      </c>
    </row>
    <row r="1656" spans="3:4" x14ac:dyDescent="0.3">
      <c r="C1656" s="35">
        <f t="shared" si="26"/>
        <v>0</v>
      </c>
      <c r="D1656" s="30" t="str">
        <f>IFERROR(VLOOKUP(C1656,소속부서!$A$2:$B$20,2,FALSE), "")</f>
        <v/>
      </c>
    </row>
    <row r="1657" spans="3:4" x14ac:dyDescent="0.3">
      <c r="C1657" s="35">
        <f t="shared" si="26"/>
        <v>0</v>
      </c>
      <c r="D1657" s="30" t="str">
        <f>IFERROR(VLOOKUP(C1657,소속부서!$A$2:$B$20,2,FALSE), "")</f>
        <v/>
      </c>
    </row>
    <row r="1658" spans="3:4" x14ac:dyDescent="0.3">
      <c r="C1658" s="35">
        <f t="shared" si="26"/>
        <v>0</v>
      </c>
      <c r="D1658" s="30" t="str">
        <f>IFERROR(VLOOKUP(C1658,소속부서!$A$2:$B$20,2,FALSE), "")</f>
        <v/>
      </c>
    </row>
    <row r="1659" spans="3:4" x14ac:dyDescent="0.3">
      <c r="C1659" s="35">
        <f t="shared" si="26"/>
        <v>0</v>
      </c>
      <c r="D1659" s="30" t="str">
        <f>IFERROR(VLOOKUP(C1659,소속부서!$A$2:$B$20,2,FALSE), "")</f>
        <v/>
      </c>
    </row>
    <row r="1660" spans="3:4" x14ac:dyDescent="0.3">
      <c r="C1660" s="35">
        <f t="shared" si="26"/>
        <v>0</v>
      </c>
      <c r="D1660" s="30" t="str">
        <f>IFERROR(VLOOKUP(C1660,소속부서!$A$2:$B$20,2,FALSE), "")</f>
        <v/>
      </c>
    </row>
    <row r="1661" spans="3:4" x14ac:dyDescent="0.3">
      <c r="C1661" s="35">
        <f t="shared" si="26"/>
        <v>0</v>
      </c>
      <c r="D1661" s="30" t="str">
        <f>IFERROR(VLOOKUP(C1661,소속부서!$A$2:$B$20,2,FALSE), "")</f>
        <v/>
      </c>
    </row>
    <row r="1662" spans="3:4" x14ac:dyDescent="0.3">
      <c r="C1662" s="35">
        <f t="shared" si="26"/>
        <v>0</v>
      </c>
      <c r="D1662" s="30" t="str">
        <f>IFERROR(VLOOKUP(C1662,소속부서!$A$2:$B$20,2,FALSE), "")</f>
        <v/>
      </c>
    </row>
    <row r="1663" spans="3:4" x14ac:dyDescent="0.3">
      <c r="C1663" s="35">
        <f t="shared" si="26"/>
        <v>0</v>
      </c>
      <c r="D1663" s="30" t="str">
        <f>IFERROR(VLOOKUP(C1663,소속부서!$A$2:$B$20,2,FALSE), "")</f>
        <v/>
      </c>
    </row>
    <row r="1664" spans="3:4" x14ac:dyDescent="0.3">
      <c r="C1664" s="35">
        <f t="shared" si="26"/>
        <v>0</v>
      </c>
      <c r="D1664" s="30" t="str">
        <f>IFERROR(VLOOKUP(C1664,소속부서!$A$2:$B$20,2,FALSE), "")</f>
        <v/>
      </c>
    </row>
    <row r="1665" spans="3:4" x14ac:dyDescent="0.3">
      <c r="C1665" s="35">
        <f t="shared" si="26"/>
        <v>0</v>
      </c>
      <c r="D1665" s="30" t="str">
        <f>IFERROR(VLOOKUP(C1665,소속부서!$A$2:$B$20,2,FALSE), "")</f>
        <v/>
      </c>
    </row>
    <row r="1666" spans="3:4" x14ac:dyDescent="0.3">
      <c r="C1666" s="35">
        <f t="shared" si="26"/>
        <v>0</v>
      </c>
      <c r="D1666" s="30" t="str">
        <f>IFERROR(VLOOKUP(C1666,소속부서!$A$2:$B$20,2,FALSE), "")</f>
        <v/>
      </c>
    </row>
    <row r="1667" spans="3:4" x14ac:dyDescent="0.3">
      <c r="C1667" s="35">
        <f t="shared" si="26"/>
        <v>0</v>
      </c>
      <c r="D1667" s="30" t="str">
        <f>IFERROR(VLOOKUP(C1667,소속부서!$A$2:$B$20,2,FALSE), "")</f>
        <v/>
      </c>
    </row>
    <row r="1668" spans="3:4" x14ac:dyDescent="0.3">
      <c r="C1668" s="35">
        <f t="shared" ref="C1668:C1731" si="27">E1668</f>
        <v>0</v>
      </c>
      <c r="D1668" s="30" t="str">
        <f>IFERROR(VLOOKUP(C1668,소속부서!$A$2:$B$20,2,FALSE), "")</f>
        <v/>
      </c>
    </row>
    <row r="1669" spans="3:4" x14ac:dyDescent="0.3">
      <c r="C1669" s="35">
        <f t="shared" si="27"/>
        <v>0</v>
      </c>
      <c r="D1669" s="30" t="str">
        <f>IFERROR(VLOOKUP(C1669,소속부서!$A$2:$B$20,2,FALSE), "")</f>
        <v/>
      </c>
    </row>
    <row r="1670" spans="3:4" x14ac:dyDescent="0.3">
      <c r="C1670" s="35">
        <f t="shared" si="27"/>
        <v>0</v>
      </c>
      <c r="D1670" s="30" t="str">
        <f>IFERROR(VLOOKUP(C1670,소속부서!$A$2:$B$20,2,FALSE), "")</f>
        <v/>
      </c>
    </row>
    <row r="1671" spans="3:4" x14ac:dyDescent="0.3">
      <c r="C1671" s="35">
        <f t="shared" si="27"/>
        <v>0</v>
      </c>
      <c r="D1671" s="30" t="str">
        <f>IFERROR(VLOOKUP(C1671,소속부서!$A$2:$B$20,2,FALSE), "")</f>
        <v/>
      </c>
    </row>
    <row r="1672" spans="3:4" x14ac:dyDescent="0.3">
      <c r="C1672" s="35">
        <f t="shared" si="27"/>
        <v>0</v>
      </c>
      <c r="D1672" s="30" t="str">
        <f>IFERROR(VLOOKUP(C1672,소속부서!$A$2:$B$20,2,FALSE), "")</f>
        <v/>
      </c>
    </row>
    <row r="1673" spans="3:4" x14ac:dyDescent="0.3">
      <c r="C1673" s="35">
        <f t="shared" si="27"/>
        <v>0</v>
      </c>
      <c r="D1673" s="30" t="str">
        <f>IFERROR(VLOOKUP(C1673,소속부서!$A$2:$B$20,2,FALSE), "")</f>
        <v/>
      </c>
    </row>
    <row r="1674" spans="3:4" x14ac:dyDescent="0.3">
      <c r="C1674" s="35">
        <f t="shared" si="27"/>
        <v>0</v>
      </c>
      <c r="D1674" s="30" t="str">
        <f>IFERROR(VLOOKUP(C1674,소속부서!$A$2:$B$20,2,FALSE), "")</f>
        <v/>
      </c>
    </row>
    <row r="1675" spans="3:4" x14ac:dyDescent="0.3">
      <c r="C1675" s="35">
        <f t="shared" si="27"/>
        <v>0</v>
      </c>
      <c r="D1675" s="30" t="str">
        <f>IFERROR(VLOOKUP(C1675,소속부서!$A$2:$B$20,2,FALSE), "")</f>
        <v/>
      </c>
    </row>
    <row r="1676" spans="3:4" x14ac:dyDescent="0.3">
      <c r="C1676" s="35">
        <f t="shared" si="27"/>
        <v>0</v>
      </c>
      <c r="D1676" s="30" t="str">
        <f>IFERROR(VLOOKUP(C1676,소속부서!$A$2:$B$20,2,FALSE), "")</f>
        <v/>
      </c>
    </row>
    <row r="1677" spans="3:4" x14ac:dyDescent="0.3">
      <c r="C1677" s="35">
        <f t="shared" si="27"/>
        <v>0</v>
      </c>
      <c r="D1677" s="30" t="str">
        <f>IFERROR(VLOOKUP(C1677,소속부서!$A$2:$B$20,2,FALSE), "")</f>
        <v/>
      </c>
    </row>
    <row r="1678" spans="3:4" x14ac:dyDescent="0.3">
      <c r="C1678" s="35">
        <f t="shared" si="27"/>
        <v>0</v>
      </c>
      <c r="D1678" s="30" t="str">
        <f>IFERROR(VLOOKUP(C1678,소속부서!$A$2:$B$20,2,FALSE), "")</f>
        <v/>
      </c>
    </row>
    <row r="1679" spans="3:4" x14ac:dyDescent="0.3">
      <c r="C1679" s="35">
        <f t="shared" si="27"/>
        <v>0</v>
      </c>
      <c r="D1679" s="30" t="str">
        <f>IFERROR(VLOOKUP(C1679,소속부서!$A$2:$B$20,2,FALSE), "")</f>
        <v/>
      </c>
    </row>
    <row r="1680" spans="3:4" x14ac:dyDescent="0.3">
      <c r="C1680" s="35">
        <f t="shared" si="27"/>
        <v>0</v>
      </c>
      <c r="D1680" s="30" t="str">
        <f>IFERROR(VLOOKUP(C1680,소속부서!$A$2:$B$20,2,FALSE), "")</f>
        <v/>
      </c>
    </row>
    <row r="1681" spans="3:4" x14ac:dyDescent="0.3">
      <c r="C1681" s="35">
        <f t="shared" si="27"/>
        <v>0</v>
      </c>
      <c r="D1681" s="30" t="str">
        <f>IFERROR(VLOOKUP(C1681,소속부서!$A$2:$B$20,2,FALSE), "")</f>
        <v/>
      </c>
    </row>
    <row r="1682" spans="3:4" x14ac:dyDescent="0.3">
      <c r="C1682" s="35">
        <f t="shared" si="27"/>
        <v>0</v>
      </c>
      <c r="D1682" s="30" t="str">
        <f>IFERROR(VLOOKUP(C1682,소속부서!$A$2:$B$20,2,FALSE), "")</f>
        <v/>
      </c>
    </row>
    <row r="1683" spans="3:4" x14ac:dyDescent="0.3">
      <c r="C1683" s="35">
        <f t="shared" si="27"/>
        <v>0</v>
      </c>
      <c r="D1683" s="30" t="str">
        <f>IFERROR(VLOOKUP(C1683,소속부서!$A$2:$B$20,2,FALSE), "")</f>
        <v/>
      </c>
    </row>
    <row r="1684" spans="3:4" x14ac:dyDescent="0.3">
      <c r="C1684" s="35">
        <f t="shared" si="27"/>
        <v>0</v>
      </c>
      <c r="D1684" s="30" t="str">
        <f>IFERROR(VLOOKUP(C1684,소속부서!$A$2:$B$20,2,FALSE), "")</f>
        <v/>
      </c>
    </row>
    <row r="1685" spans="3:4" x14ac:dyDescent="0.3">
      <c r="C1685" s="35">
        <f t="shared" si="27"/>
        <v>0</v>
      </c>
      <c r="D1685" s="30" t="str">
        <f>IFERROR(VLOOKUP(C1685,소속부서!$A$2:$B$20,2,FALSE), "")</f>
        <v/>
      </c>
    </row>
    <row r="1686" spans="3:4" x14ac:dyDescent="0.3">
      <c r="C1686" s="35">
        <f t="shared" si="27"/>
        <v>0</v>
      </c>
      <c r="D1686" s="30" t="str">
        <f>IFERROR(VLOOKUP(C1686,소속부서!$A$2:$B$20,2,FALSE), "")</f>
        <v/>
      </c>
    </row>
    <row r="1687" spans="3:4" x14ac:dyDescent="0.3">
      <c r="C1687" s="35">
        <f t="shared" si="27"/>
        <v>0</v>
      </c>
      <c r="D1687" s="30" t="str">
        <f>IFERROR(VLOOKUP(C1687,소속부서!$A$2:$B$20,2,FALSE), "")</f>
        <v/>
      </c>
    </row>
    <row r="1688" spans="3:4" x14ac:dyDescent="0.3">
      <c r="C1688" s="35">
        <f t="shared" si="27"/>
        <v>0</v>
      </c>
      <c r="D1688" s="30" t="str">
        <f>IFERROR(VLOOKUP(C1688,소속부서!$A$2:$B$20,2,FALSE), "")</f>
        <v/>
      </c>
    </row>
    <row r="1689" spans="3:4" x14ac:dyDescent="0.3">
      <c r="C1689" s="35">
        <f t="shared" si="27"/>
        <v>0</v>
      </c>
      <c r="D1689" s="30" t="str">
        <f>IFERROR(VLOOKUP(C1689,소속부서!$A$2:$B$20,2,FALSE), "")</f>
        <v/>
      </c>
    </row>
    <row r="1690" spans="3:4" x14ac:dyDescent="0.3">
      <c r="C1690" s="35">
        <f t="shared" si="27"/>
        <v>0</v>
      </c>
      <c r="D1690" s="30" t="str">
        <f>IFERROR(VLOOKUP(C1690,소속부서!$A$2:$B$20,2,FALSE), "")</f>
        <v/>
      </c>
    </row>
    <row r="1691" spans="3:4" x14ac:dyDescent="0.3">
      <c r="C1691" s="35">
        <f t="shared" si="27"/>
        <v>0</v>
      </c>
      <c r="D1691" s="30" t="str">
        <f>IFERROR(VLOOKUP(C1691,소속부서!$A$2:$B$20,2,FALSE), "")</f>
        <v/>
      </c>
    </row>
    <row r="1692" spans="3:4" x14ac:dyDescent="0.3">
      <c r="C1692" s="35">
        <f t="shared" si="27"/>
        <v>0</v>
      </c>
      <c r="D1692" s="30" t="str">
        <f>IFERROR(VLOOKUP(C1692,소속부서!$A$2:$B$20,2,FALSE), "")</f>
        <v/>
      </c>
    </row>
    <row r="1693" spans="3:4" x14ac:dyDescent="0.3">
      <c r="C1693" s="35">
        <f t="shared" si="27"/>
        <v>0</v>
      </c>
      <c r="D1693" s="30" t="str">
        <f>IFERROR(VLOOKUP(C1693,소속부서!$A$2:$B$20,2,FALSE), "")</f>
        <v/>
      </c>
    </row>
    <row r="1694" spans="3:4" x14ac:dyDescent="0.3">
      <c r="C1694" s="35">
        <f t="shared" si="27"/>
        <v>0</v>
      </c>
      <c r="D1694" s="30" t="str">
        <f>IFERROR(VLOOKUP(C1694,소속부서!$A$2:$B$20,2,FALSE), "")</f>
        <v/>
      </c>
    </row>
    <row r="1695" spans="3:4" x14ac:dyDescent="0.3">
      <c r="C1695" s="35">
        <f t="shared" si="27"/>
        <v>0</v>
      </c>
      <c r="D1695" s="30" t="str">
        <f>IFERROR(VLOOKUP(C1695,소속부서!$A$2:$B$20,2,FALSE), "")</f>
        <v/>
      </c>
    </row>
    <row r="1696" spans="3:4" x14ac:dyDescent="0.3">
      <c r="C1696" s="35">
        <f t="shared" si="27"/>
        <v>0</v>
      </c>
      <c r="D1696" s="30" t="str">
        <f>IFERROR(VLOOKUP(C1696,소속부서!$A$2:$B$20,2,FALSE), "")</f>
        <v/>
      </c>
    </row>
    <row r="1697" spans="3:4" x14ac:dyDescent="0.3">
      <c r="C1697" s="35">
        <f t="shared" si="27"/>
        <v>0</v>
      </c>
      <c r="D1697" s="30" t="str">
        <f>IFERROR(VLOOKUP(C1697,소속부서!$A$2:$B$20,2,FALSE), "")</f>
        <v/>
      </c>
    </row>
    <row r="1698" spans="3:4" x14ac:dyDescent="0.3">
      <c r="C1698" s="35">
        <f t="shared" si="27"/>
        <v>0</v>
      </c>
      <c r="D1698" s="30" t="str">
        <f>IFERROR(VLOOKUP(C1698,소속부서!$A$2:$B$20,2,FALSE), "")</f>
        <v/>
      </c>
    </row>
    <row r="1699" spans="3:4" x14ac:dyDescent="0.3">
      <c r="C1699" s="35">
        <f t="shared" si="27"/>
        <v>0</v>
      </c>
      <c r="D1699" s="30" t="str">
        <f>IFERROR(VLOOKUP(C1699,소속부서!$A$2:$B$20,2,FALSE), "")</f>
        <v/>
      </c>
    </row>
    <row r="1700" spans="3:4" x14ac:dyDescent="0.3">
      <c r="C1700" s="35">
        <f t="shared" si="27"/>
        <v>0</v>
      </c>
      <c r="D1700" s="30" t="str">
        <f>IFERROR(VLOOKUP(C1700,소속부서!$A$2:$B$20,2,FALSE), "")</f>
        <v/>
      </c>
    </row>
    <row r="1701" spans="3:4" x14ac:dyDescent="0.3">
      <c r="C1701" s="35">
        <f t="shared" si="27"/>
        <v>0</v>
      </c>
      <c r="D1701" s="30" t="str">
        <f>IFERROR(VLOOKUP(C1701,소속부서!$A$2:$B$20,2,FALSE), "")</f>
        <v/>
      </c>
    </row>
    <row r="1702" spans="3:4" x14ac:dyDescent="0.3">
      <c r="C1702" s="35">
        <f t="shared" si="27"/>
        <v>0</v>
      </c>
      <c r="D1702" s="30" t="str">
        <f>IFERROR(VLOOKUP(C1702,소속부서!$A$2:$B$20,2,FALSE), "")</f>
        <v/>
      </c>
    </row>
    <row r="1703" spans="3:4" x14ac:dyDescent="0.3">
      <c r="C1703" s="35">
        <f t="shared" si="27"/>
        <v>0</v>
      </c>
      <c r="D1703" s="30" t="str">
        <f>IFERROR(VLOOKUP(C1703,소속부서!$A$2:$B$20,2,FALSE), "")</f>
        <v/>
      </c>
    </row>
    <row r="1704" spans="3:4" x14ac:dyDescent="0.3">
      <c r="C1704" s="35">
        <f t="shared" si="27"/>
        <v>0</v>
      </c>
      <c r="D1704" s="30" t="str">
        <f>IFERROR(VLOOKUP(C1704,소속부서!$A$2:$B$20,2,FALSE), "")</f>
        <v/>
      </c>
    </row>
    <row r="1705" spans="3:4" x14ac:dyDescent="0.3">
      <c r="C1705" s="35">
        <f t="shared" si="27"/>
        <v>0</v>
      </c>
      <c r="D1705" s="30" t="str">
        <f>IFERROR(VLOOKUP(C1705,소속부서!$A$2:$B$20,2,FALSE), "")</f>
        <v/>
      </c>
    </row>
    <row r="1706" spans="3:4" x14ac:dyDescent="0.3">
      <c r="C1706" s="35">
        <f t="shared" si="27"/>
        <v>0</v>
      </c>
      <c r="D1706" s="30" t="str">
        <f>IFERROR(VLOOKUP(C1706,소속부서!$A$2:$B$20,2,FALSE), "")</f>
        <v/>
      </c>
    </row>
    <row r="1707" spans="3:4" x14ac:dyDescent="0.3">
      <c r="C1707" s="35">
        <f t="shared" si="27"/>
        <v>0</v>
      </c>
      <c r="D1707" s="30" t="str">
        <f>IFERROR(VLOOKUP(C1707,소속부서!$A$2:$B$20,2,FALSE), "")</f>
        <v/>
      </c>
    </row>
    <row r="1708" spans="3:4" x14ac:dyDescent="0.3">
      <c r="C1708" s="35">
        <f t="shared" si="27"/>
        <v>0</v>
      </c>
      <c r="D1708" s="30" t="str">
        <f>IFERROR(VLOOKUP(C1708,소속부서!$A$2:$B$20,2,FALSE), "")</f>
        <v/>
      </c>
    </row>
    <row r="1709" spans="3:4" x14ac:dyDescent="0.3">
      <c r="C1709" s="35">
        <f t="shared" si="27"/>
        <v>0</v>
      </c>
      <c r="D1709" s="30" t="str">
        <f>IFERROR(VLOOKUP(C1709,소속부서!$A$2:$B$20,2,FALSE), "")</f>
        <v/>
      </c>
    </row>
    <row r="1710" spans="3:4" x14ac:dyDescent="0.3">
      <c r="C1710" s="35">
        <f t="shared" si="27"/>
        <v>0</v>
      </c>
      <c r="D1710" s="30" t="str">
        <f>IFERROR(VLOOKUP(C1710,소속부서!$A$2:$B$20,2,FALSE), "")</f>
        <v/>
      </c>
    </row>
    <row r="1711" spans="3:4" x14ac:dyDescent="0.3">
      <c r="C1711" s="35">
        <f t="shared" si="27"/>
        <v>0</v>
      </c>
      <c r="D1711" s="30" t="str">
        <f>IFERROR(VLOOKUP(C1711,소속부서!$A$2:$B$20,2,FALSE), "")</f>
        <v/>
      </c>
    </row>
    <row r="1712" spans="3:4" x14ac:dyDescent="0.3">
      <c r="C1712" s="35">
        <f t="shared" si="27"/>
        <v>0</v>
      </c>
      <c r="D1712" s="30" t="str">
        <f>IFERROR(VLOOKUP(C1712,소속부서!$A$2:$B$20,2,FALSE), "")</f>
        <v/>
      </c>
    </row>
    <row r="1713" spans="3:4" x14ac:dyDescent="0.3">
      <c r="C1713" s="35">
        <f t="shared" si="27"/>
        <v>0</v>
      </c>
      <c r="D1713" s="30" t="str">
        <f>IFERROR(VLOOKUP(C1713,소속부서!$A$2:$B$20,2,FALSE), "")</f>
        <v/>
      </c>
    </row>
    <row r="1714" spans="3:4" x14ac:dyDescent="0.3">
      <c r="C1714" s="35">
        <f t="shared" si="27"/>
        <v>0</v>
      </c>
      <c r="D1714" s="30" t="str">
        <f>IFERROR(VLOOKUP(C1714,소속부서!$A$2:$B$20,2,FALSE), "")</f>
        <v/>
      </c>
    </row>
    <row r="1715" spans="3:4" x14ac:dyDescent="0.3">
      <c r="C1715" s="35">
        <f t="shared" si="27"/>
        <v>0</v>
      </c>
      <c r="D1715" s="30" t="str">
        <f>IFERROR(VLOOKUP(C1715,소속부서!$A$2:$B$20,2,FALSE), "")</f>
        <v/>
      </c>
    </row>
    <row r="1716" spans="3:4" x14ac:dyDescent="0.3">
      <c r="C1716" s="35">
        <f t="shared" si="27"/>
        <v>0</v>
      </c>
      <c r="D1716" s="30" t="str">
        <f>IFERROR(VLOOKUP(C1716,소속부서!$A$2:$B$20,2,FALSE), "")</f>
        <v/>
      </c>
    </row>
    <row r="1717" spans="3:4" x14ac:dyDescent="0.3">
      <c r="C1717" s="35">
        <f t="shared" si="27"/>
        <v>0</v>
      </c>
      <c r="D1717" s="30" t="str">
        <f>IFERROR(VLOOKUP(C1717,소속부서!$A$2:$B$20,2,FALSE), "")</f>
        <v/>
      </c>
    </row>
    <row r="1718" spans="3:4" x14ac:dyDescent="0.3">
      <c r="C1718" s="35">
        <f t="shared" si="27"/>
        <v>0</v>
      </c>
      <c r="D1718" s="30" t="str">
        <f>IFERROR(VLOOKUP(C1718,소속부서!$A$2:$B$20,2,FALSE), "")</f>
        <v/>
      </c>
    </row>
    <row r="1719" spans="3:4" x14ac:dyDescent="0.3">
      <c r="C1719" s="35">
        <f t="shared" si="27"/>
        <v>0</v>
      </c>
      <c r="D1719" s="30" t="str">
        <f>IFERROR(VLOOKUP(C1719,소속부서!$A$2:$B$20,2,FALSE), "")</f>
        <v/>
      </c>
    </row>
    <row r="1720" spans="3:4" x14ac:dyDescent="0.3">
      <c r="C1720" s="35">
        <f t="shared" si="27"/>
        <v>0</v>
      </c>
      <c r="D1720" s="30" t="str">
        <f>IFERROR(VLOOKUP(C1720,소속부서!$A$2:$B$20,2,FALSE), "")</f>
        <v/>
      </c>
    </row>
    <row r="1721" spans="3:4" x14ac:dyDescent="0.3">
      <c r="C1721" s="35">
        <f t="shared" si="27"/>
        <v>0</v>
      </c>
      <c r="D1721" s="30" t="str">
        <f>IFERROR(VLOOKUP(C1721,소속부서!$A$2:$B$20,2,FALSE), "")</f>
        <v/>
      </c>
    </row>
    <row r="1722" spans="3:4" x14ac:dyDescent="0.3">
      <c r="C1722" s="35">
        <f t="shared" si="27"/>
        <v>0</v>
      </c>
      <c r="D1722" s="30" t="str">
        <f>IFERROR(VLOOKUP(C1722,소속부서!$A$2:$B$20,2,FALSE), "")</f>
        <v/>
      </c>
    </row>
    <row r="1723" spans="3:4" x14ac:dyDescent="0.3">
      <c r="C1723" s="35">
        <f t="shared" si="27"/>
        <v>0</v>
      </c>
      <c r="D1723" s="30" t="str">
        <f>IFERROR(VLOOKUP(C1723,소속부서!$A$2:$B$20,2,FALSE), "")</f>
        <v/>
      </c>
    </row>
    <row r="1724" spans="3:4" x14ac:dyDescent="0.3">
      <c r="C1724" s="35">
        <f t="shared" si="27"/>
        <v>0</v>
      </c>
      <c r="D1724" s="30" t="str">
        <f>IFERROR(VLOOKUP(C1724,소속부서!$A$2:$B$20,2,FALSE), "")</f>
        <v/>
      </c>
    </row>
    <row r="1725" spans="3:4" x14ac:dyDescent="0.3">
      <c r="C1725" s="35">
        <f t="shared" si="27"/>
        <v>0</v>
      </c>
      <c r="D1725" s="30" t="str">
        <f>IFERROR(VLOOKUP(C1725,소속부서!$A$2:$B$20,2,FALSE), "")</f>
        <v/>
      </c>
    </row>
    <row r="1726" spans="3:4" x14ac:dyDescent="0.3">
      <c r="C1726" s="35">
        <f t="shared" si="27"/>
        <v>0</v>
      </c>
      <c r="D1726" s="30" t="str">
        <f>IFERROR(VLOOKUP(C1726,소속부서!$A$2:$B$20,2,FALSE), "")</f>
        <v/>
      </c>
    </row>
    <row r="1727" spans="3:4" x14ac:dyDescent="0.3">
      <c r="C1727" s="35">
        <f t="shared" si="27"/>
        <v>0</v>
      </c>
      <c r="D1727" s="30" t="str">
        <f>IFERROR(VLOOKUP(C1727,소속부서!$A$2:$B$20,2,FALSE), "")</f>
        <v/>
      </c>
    </row>
    <row r="1728" spans="3:4" x14ac:dyDescent="0.3">
      <c r="C1728" s="35">
        <f t="shared" si="27"/>
        <v>0</v>
      </c>
      <c r="D1728" s="30" t="str">
        <f>IFERROR(VLOOKUP(C1728,소속부서!$A$2:$B$20,2,FALSE), "")</f>
        <v/>
      </c>
    </row>
    <row r="1729" spans="3:4" x14ac:dyDescent="0.3">
      <c r="C1729" s="35">
        <f t="shared" si="27"/>
        <v>0</v>
      </c>
      <c r="D1729" s="30" t="str">
        <f>IFERROR(VLOOKUP(C1729,소속부서!$A$2:$B$20,2,FALSE), "")</f>
        <v/>
      </c>
    </row>
    <row r="1730" spans="3:4" x14ac:dyDescent="0.3">
      <c r="C1730" s="35">
        <f t="shared" si="27"/>
        <v>0</v>
      </c>
      <c r="D1730" s="30" t="str">
        <f>IFERROR(VLOOKUP(C1730,소속부서!$A$2:$B$20,2,FALSE), "")</f>
        <v/>
      </c>
    </row>
    <row r="1731" spans="3:4" x14ac:dyDescent="0.3">
      <c r="C1731" s="35">
        <f t="shared" si="27"/>
        <v>0</v>
      </c>
      <c r="D1731" s="30" t="str">
        <f>IFERROR(VLOOKUP(C1731,소속부서!$A$2:$B$20,2,FALSE), "")</f>
        <v/>
      </c>
    </row>
    <row r="1732" spans="3:4" x14ac:dyDescent="0.3">
      <c r="C1732" s="35">
        <f t="shared" ref="C1732:C1795" si="28">E1732</f>
        <v>0</v>
      </c>
      <c r="D1732" s="30" t="str">
        <f>IFERROR(VLOOKUP(C1732,소속부서!$A$2:$B$20,2,FALSE), "")</f>
        <v/>
      </c>
    </row>
    <row r="1733" spans="3:4" x14ac:dyDescent="0.3">
      <c r="C1733" s="35">
        <f t="shared" si="28"/>
        <v>0</v>
      </c>
      <c r="D1733" s="30" t="str">
        <f>IFERROR(VLOOKUP(C1733,소속부서!$A$2:$B$20,2,FALSE), "")</f>
        <v/>
      </c>
    </row>
    <row r="1734" spans="3:4" x14ac:dyDescent="0.3">
      <c r="C1734" s="35">
        <f t="shared" si="28"/>
        <v>0</v>
      </c>
      <c r="D1734" s="30" t="str">
        <f>IFERROR(VLOOKUP(C1734,소속부서!$A$2:$B$20,2,FALSE), "")</f>
        <v/>
      </c>
    </row>
    <row r="1735" spans="3:4" x14ac:dyDescent="0.3">
      <c r="C1735" s="35">
        <f t="shared" si="28"/>
        <v>0</v>
      </c>
      <c r="D1735" s="30" t="str">
        <f>IFERROR(VLOOKUP(C1735,소속부서!$A$2:$B$20,2,FALSE), "")</f>
        <v/>
      </c>
    </row>
    <row r="1736" spans="3:4" x14ac:dyDescent="0.3">
      <c r="C1736" s="35">
        <f t="shared" si="28"/>
        <v>0</v>
      </c>
      <c r="D1736" s="30" t="str">
        <f>IFERROR(VLOOKUP(C1736,소속부서!$A$2:$B$20,2,FALSE), "")</f>
        <v/>
      </c>
    </row>
    <row r="1737" spans="3:4" x14ac:dyDescent="0.3">
      <c r="C1737" s="35">
        <f t="shared" si="28"/>
        <v>0</v>
      </c>
      <c r="D1737" s="30" t="str">
        <f>IFERROR(VLOOKUP(C1737,소속부서!$A$2:$B$20,2,FALSE), "")</f>
        <v/>
      </c>
    </row>
    <row r="1738" spans="3:4" x14ac:dyDescent="0.3">
      <c r="C1738" s="35">
        <f t="shared" si="28"/>
        <v>0</v>
      </c>
      <c r="D1738" s="30" t="str">
        <f>IFERROR(VLOOKUP(C1738,소속부서!$A$2:$B$20,2,FALSE), "")</f>
        <v/>
      </c>
    </row>
    <row r="1739" spans="3:4" x14ac:dyDescent="0.3">
      <c r="C1739" s="35">
        <f t="shared" si="28"/>
        <v>0</v>
      </c>
      <c r="D1739" s="30" t="str">
        <f>IFERROR(VLOOKUP(C1739,소속부서!$A$2:$B$20,2,FALSE), "")</f>
        <v/>
      </c>
    </row>
    <row r="1740" spans="3:4" x14ac:dyDescent="0.3">
      <c r="C1740" s="35">
        <f t="shared" si="28"/>
        <v>0</v>
      </c>
      <c r="D1740" s="30" t="str">
        <f>IFERROR(VLOOKUP(C1740,소속부서!$A$2:$B$20,2,FALSE), "")</f>
        <v/>
      </c>
    </row>
    <row r="1741" spans="3:4" x14ac:dyDescent="0.3">
      <c r="C1741" s="35">
        <f t="shared" si="28"/>
        <v>0</v>
      </c>
      <c r="D1741" s="30" t="str">
        <f>IFERROR(VLOOKUP(C1741,소속부서!$A$2:$B$20,2,FALSE), "")</f>
        <v/>
      </c>
    </row>
    <row r="1742" spans="3:4" x14ac:dyDescent="0.3">
      <c r="C1742" s="35">
        <f t="shared" si="28"/>
        <v>0</v>
      </c>
      <c r="D1742" s="30" t="str">
        <f>IFERROR(VLOOKUP(C1742,소속부서!$A$2:$B$20,2,FALSE), "")</f>
        <v/>
      </c>
    </row>
    <row r="1743" spans="3:4" x14ac:dyDescent="0.3">
      <c r="C1743" s="35">
        <f t="shared" si="28"/>
        <v>0</v>
      </c>
      <c r="D1743" s="30" t="str">
        <f>IFERROR(VLOOKUP(C1743,소속부서!$A$2:$B$20,2,FALSE), "")</f>
        <v/>
      </c>
    </row>
    <row r="1744" spans="3:4" x14ac:dyDescent="0.3">
      <c r="C1744" s="35">
        <f t="shared" si="28"/>
        <v>0</v>
      </c>
      <c r="D1744" s="30" t="str">
        <f>IFERROR(VLOOKUP(C1744,소속부서!$A$2:$B$20,2,FALSE), "")</f>
        <v/>
      </c>
    </row>
    <row r="1745" spans="3:4" x14ac:dyDescent="0.3">
      <c r="C1745" s="35">
        <f t="shared" si="28"/>
        <v>0</v>
      </c>
      <c r="D1745" s="30" t="str">
        <f>IFERROR(VLOOKUP(C1745,소속부서!$A$2:$B$20,2,FALSE), "")</f>
        <v/>
      </c>
    </row>
    <row r="1746" spans="3:4" x14ac:dyDescent="0.3">
      <c r="C1746" s="35">
        <f t="shared" si="28"/>
        <v>0</v>
      </c>
      <c r="D1746" s="30" t="str">
        <f>IFERROR(VLOOKUP(C1746,소속부서!$A$2:$B$20,2,FALSE), "")</f>
        <v/>
      </c>
    </row>
    <row r="1747" spans="3:4" x14ac:dyDescent="0.3">
      <c r="C1747" s="35">
        <f t="shared" si="28"/>
        <v>0</v>
      </c>
      <c r="D1747" s="30" t="str">
        <f>IFERROR(VLOOKUP(C1747,소속부서!$A$2:$B$20,2,FALSE), "")</f>
        <v/>
      </c>
    </row>
    <row r="1748" spans="3:4" x14ac:dyDescent="0.3">
      <c r="C1748" s="35">
        <f t="shared" si="28"/>
        <v>0</v>
      </c>
      <c r="D1748" s="30" t="str">
        <f>IFERROR(VLOOKUP(C1748,소속부서!$A$2:$B$20,2,FALSE), "")</f>
        <v/>
      </c>
    </row>
    <row r="1749" spans="3:4" x14ac:dyDescent="0.3">
      <c r="C1749" s="35">
        <f t="shared" si="28"/>
        <v>0</v>
      </c>
      <c r="D1749" s="30" t="str">
        <f>IFERROR(VLOOKUP(C1749,소속부서!$A$2:$B$20,2,FALSE), "")</f>
        <v/>
      </c>
    </row>
    <row r="1750" spans="3:4" x14ac:dyDescent="0.3">
      <c r="C1750" s="35">
        <f t="shared" si="28"/>
        <v>0</v>
      </c>
      <c r="D1750" s="30" t="str">
        <f>IFERROR(VLOOKUP(C1750,소속부서!$A$2:$B$20,2,FALSE), "")</f>
        <v/>
      </c>
    </row>
    <row r="1751" spans="3:4" x14ac:dyDescent="0.3">
      <c r="C1751" s="35">
        <f t="shared" si="28"/>
        <v>0</v>
      </c>
      <c r="D1751" s="30" t="str">
        <f>IFERROR(VLOOKUP(C1751,소속부서!$A$2:$B$20,2,FALSE), "")</f>
        <v/>
      </c>
    </row>
    <row r="1752" spans="3:4" x14ac:dyDescent="0.3">
      <c r="C1752" s="35">
        <f t="shared" si="28"/>
        <v>0</v>
      </c>
      <c r="D1752" s="30" t="str">
        <f>IFERROR(VLOOKUP(C1752,소속부서!$A$2:$B$20,2,FALSE), "")</f>
        <v/>
      </c>
    </row>
    <row r="1753" spans="3:4" x14ac:dyDescent="0.3">
      <c r="C1753" s="35">
        <f t="shared" si="28"/>
        <v>0</v>
      </c>
      <c r="D1753" s="30" t="str">
        <f>IFERROR(VLOOKUP(C1753,소속부서!$A$2:$B$20,2,FALSE), "")</f>
        <v/>
      </c>
    </row>
    <row r="1754" spans="3:4" x14ac:dyDescent="0.3">
      <c r="C1754" s="35">
        <f t="shared" si="28"/>
        <v>0</v>
      </c>
      <c r="D1754" s="30" t="str">
        <f>IFERROR(VLOOKUP(C1754,소속부서!$A$2:$B$20,2,FALSE), "")</f>
        <v/>
      </c>
    </row>
    <row r="1755" spans="3:4" x14ac:dyDescent="0.3">
      <c r="C1755" s="35">
        <f t="shared" si="28"/>
        <v>0</v>
      </c>
      <c r="D1755" s="30" t="str">
        <f>IFERROR(VLOOKUP(C1755,소속부서!$A$2:$B$20,2,FALSE), "")</f>
        <v/>
      </c>
    </row>
    <row r="1756" spans="3:4" x14ac:dyDescent="0.3">
      <c r="C1756" s="35">
        <f t="shared" si="28"/>
        <v>0</v>
      </c>
      <c r="D1756" s="30" t="str">
        <f>IFERROR(VLOOKUP(C1756,소속부서!$A$2:$B$20,2,FALSE), "")</f>
        <v/>
      </c>
    </row>
    <row r="1757" spans="3:4" x14ac:dyDescent="0.3">
      <c r="C1757" s="35">
        <f t="shared" si="28"/>
        <v>0</v>
      </c>
      <c r="D1757" s="30" t="str">
        <f>IFERROR(VLOOKUP(C1757,소속부서!$A$2:$B$20,2,FALSE), "")</f>
        <v/>
      </c>
    </row>
    <row r="1758" spans="3:4" x14ac:dyDescent="0.3">
      <c r="C1758" s="35">
        <f t="shared" si="28"/>
        <v>0</v>
      </c>
      <c r="D1758" s="30" t="str">
        <f>IFERROR(VLOOKUP(C1758,소속부서!$A$2:$B$20,2,FALSE), "")</f>
        <v/>
      </c>
    </row>
    <row r="1759" spans="3:4" x14ac:dyDescent="0.3">
      <c r="C1759" s="35">
        <f t="shared" si="28"/>
        <v>0</v>
      </c>
      <c r="D1759" s="30" t="str">
        <f>IFERROR(VLOOKUP(C1759,소속부서!$A$2:$B$20,2,FALSE), "")</f>
        <v/>
      </c>
    </row>
    <row r="1760" spans="3:4" x14ac:dyDescent="0.3">
      <c r="C1760" s="35">
        <f t="shared" si="28"/>
        <v>0</v>
      </c>
      <c r="D1760" s="30" t="str">
        <f>IFERROR(VLOOKUP(C1760,소속부서!$A$2:$B$20,2,FALSE), "")</f>
        <v/>
      </c>
    </row>
    <row r="1761" spans="3:4" x14ac:dyDescent="0.3">
      <c r="C1761" s="35">
        <f t="shared" si="28"/>
        <v>0</v>
      </c>
      <c r="D1761" s="30" t="str">
        <f>IFERROR(VLOOKUP(C1761,소속부서!$A$2:$B$20,2,FALSE), "")</f>
        <v/>
      </c>
    </row>
    <row r="1762" spans="3:4" x14ac:dyDescent="0.3">
      <c r="C1762" s="35">
        <f t="shared" si="28"/>
        <v>0</v>
      </c>
      <c r="D1762" s="30" t="str">
        <f>IFERROR(VLOOKUP(C1762,소속부서!$A$2:$B$20,2,FALSE), "")</f>
        <v/>
      </c>
    </row>
    <row r="1763" spans="3:4" x14ac:dyDescent="0.3">
      <c r="C1763" s="35">
        <f t="shared" si="28"/>
        <v>0</v>
      </c>
      <c r="D1763" s="30" t="str">
        <f>IFERROR(VLOOKUP(C1763,소속부서!$A$2:$B$20,2,FALSE), "")</f>
        <v/>
      </c>
    </row>
    <row r="1764" spans="3:4" x14ac:dyDescent="0.3">
      <c r="C1764" s="35">
        <f t="shared" si="28"/>
        <v>0</v>
      </c>
      <c r="D1764" s="30" t="str">
        <f>IFERROR(VLOOKUP(C1764,소속부서!$A$2:$B$20,2,FALSE), "")</f>
        <v/>
      </c>
    </row>
    <row r="1765" spans="3:4" x14ac:dyDescent="0.3">
      <c r="C1765" s="35">
        <f t="shared" si="28"/>
        <v>0</v>
      </c>
      <c r="D1765" s="30" t="str">
        <f>IFERROR(VLOOKUP(C1765,소속부서!$A$2:$B$20,2,FALSE), "")</f>
        <v/>
      </c>
    </row>
    <row r="1766" spans="3:4" x14ac:dyDescent="0.3">
      <c r="C1766" s="35">
        <f t="shared" si="28"/>
        <v>0</v>
      </c>
      <c r="D1766" s="30" t="str">
        <f>IFERROR(VLOOKUP(C1766,소속부서!$A$2:$B$20,2,FALSE), "")</f>
        <v/>
      </c>
    </row>
    <row r="1767" spans="3:4" x14ac:dyDescent="0.3">
      <c r="C1767" s="35">
        <f t="shared" si="28"/>
        <v>0</v>
      </c>
      <c r="D1767" s="30" t="str">
        <f>IFERROR(VLOOKUP(C1767,소속부서!$A$2:$B$20,2,FALSE), "")</f>
        <v/>
      </c>
    </row>
    <row r="1768" spans="3:4" x14ac:dyDescent="0.3">
      <c r="C1768" s="35">
        <f t="shared" si="28"/>
        <v>0</v>
      </c>
      <c r="D1768" s="30" t="str">
        <f>IFERROR(VLOOKUP(C1768,소속부서!$A$2:$B$20,2,FALSE), "")</f>
        <v/>
      </c>
    </row>
    <row r="1769" spans="3:4" x14ac:dyDescent="0.3">
      <c r="C1769" s="35">
        <f t="shared" si="28"/>
        <v>0</v>
      </c>
      <c r="D1769" s="30" t="str">
        <f>IFERROR(VLOOKUP(C1769,소속부서!$A$2:$B$20,2,FALSE), "")</f>
        <v/>
      </c>
    </row>
    <row r="1770" spans="3:4" x14ac:dyDescent="0.3">
      <c r="C1770" s="35">
        <f t="shared" si="28"/>
        <v>0</v>
      </c>
      <c r="D1770" s="30" t="str">
        <f>IFERROR(VLOOKUP(C1770,소속부서!$A$2:$B$20,2,FALSE), "")</f>
        <v/>
      </c>
    </row>
    <row r="1771" spans="3:4" x14ac:dyDescent="0.3">
      <c r="C1771" s="35">
        <f t="shared" si="28"/>
        <v>0</v>
      </c>
      <c r="D1771" s="30" t="str">
        <f>IFERROR(VLOOKUP(C1771,소속부서!$A$2:$B$20,2,FALSE), "")</f>
        <v/>
      </c>
    </row>
    <row r="1772" spans="3:4" x14ac:dyDescent="0.3">
      <c r="C1772" s="35">
        <f t="shared" si="28"/>
        <v>0</v>
      </c>
      <c r="D1772" s="30" t="str">
        <f>IFERROR(VLOOKUP(C1772,소속부서!$A$2:$B$20,2,FALSE), "")</f>
        <v/>
      </c>
    </row>
    <row r="1773" spans="3:4" x14ac:dyDescent="0.3">
      <c r="C1773" s="35">
        <f t="shared" si="28"/>
        <v>0</v>
      </c>
      <c r="D1773" s="30" t="str">
        <f>IFERROR(VLOOKUP(C1773,소속부서!$A$2:$B$20,2,FALSE), "")</f>
        <v/>
      </c>
    </row>
    <row r="1774" spans="3:4" x14ac:dyDescent="0.3">
      <c r="C1774" s="35">
        <f t="shared" si="28"/>
        <v>0</v>
      </c>
      <c r="D1774" s="30" t="str">
        <f>IFERROR(VLOOKUP(C1774,소속부서!$A$2:$B$20,2,FALSE), "")</f>
        <v/>
      </c>
    </row>
    <row r="1775" spans="3:4" x14ac:dyDescent="0.3">
      <c r="C1775" s="35">
        <f t="shared" si="28"/>
        <v>0</v>
      </c>
      <c r="D1775" s="30" t="str">
        <f>IFERROR(VLOOKUP(C1775,소속부서!$A$2:$B$20,2,FALSE), "")</f>
        <v/>
      </c>
    </row>
    <row r="1776" spans="3:4" x14ac:dyDescent="0.3">
      <c r="C1776" s="35">
        <f t="shared" si="28"/>
        <v>0</v>
      </c>
      <c r="D1776" s="30" t="str">
        <f>IFERROR(VLOOKUP(C1776,소속부서!$A$2:$B$20,2,FALSE), "")</f>
        <v/>
      </c>
    </row>
    <row r="1777" spans="3:4" x14ac:dyDescent="0.3">
      <c r="C1777" s="35">
        <f t="shared" si="28"/>
        <v>0</v>
      </c>
      <c r="D1777" s="30" t="str">
        <f>IFERROR(VLOOKUP(C1777,소속부서!$A$2:$B$20,2,FALSE), "")</f>
        <v/>
      </c>
    </row>
    <row r="1778" spans="3:4" x14ac:dyDescent="0.3">
      <c r="C1778" s="35">
        <f t="shared" si="28"/>
        <v>0</v>
      </c>
      <c r="D1778" s="30" t="str">
        <f>IFERROR(VLOOKUP(C1778,소속부서!$A$2:$B$20,2,FALSE), "")</f>
        <v/>
      </c>
    </row>
    <row r="1779" spans="3:4" x14ac:dyDescent="0.3">
      <c r="C1779" s="35">
        <f t="shared" si="28"/>
        <v>0</v>
      </c>
      <c r="D1779" s="30" t="str">
        <f>IFERROR(VLOOKUP(C1779,소속부서!$A$2:$B$20,2,FALSE), "")</f>
        <v/>
      </c>
    </row>
    <row r="1780" spans="3:4" x14ac:dyDescent="0.3">
      <c r="C1780" s="35">
        <f t="shared" si="28"/>
        <v>0</v>
      </c>
      <c r="D1780" s="30" t="str">
        <f>IFERROR(VLOOKUP(C1780,소속부서!$A$2:$B$20,2,FALSE), "")</f>
        <v/>
      </c>
    </row>
    <row r="1781" spans="3:4" x14ac:dyDescent="0.3">
      <c r="C1781" s="35">
        <f t="shared" si="28"/>
        <v>0</v>
      </c>
      <c r="D1781" s="30" t="str">
        <f>IFERROR(VLOOKUP(C1781,소속부서!$A$2:$B$20,2,FALSE), "")</f>
        <v/>
      </c>
    </row>
    <row r="1782" spans="3:4" x14ac:dyDescent="0.3">
      <c r="C1782" s="35">
        <f t="shared" si="28"/>
        <v>0</v>
      </c>
      <c r="D1782" s="30" t="str">
        <f>IFERROR(VLOOKUP(C1782,소속부서!$A$2:$B$20,2,FALSE), "")</f>
        <v/>
      </c>
    </row>
    <row r="1783" spans="3:4" x14ac:dyDescent="0.3">
      <c r="C1783" s="35">
        <f t="shared" si="28"/>
        <v>0</v>
      </c>
      <c r="D1783" s="30" t="str">
        <f>IFERROR(VLOOKUP(C1783,소속부서!$A$2:$B$20,2,FALSE), "")</f>
        <v/>
      </c>
    </row>
    <row r="1784" spans="3:4" x14ac:dyDescent="0.3">
      <c r="C1784" s="35">
        <f t="shared" si="28"/>
        <v>0</v>
      </c>
      <c r="D1784" s="30" t="str">
        <f>IFERROR(VLOOKUP(C1784,소속부서!$A$2:$B$20,2,FALSE), "")</f>
        <v/>
      </c>
    </row>
    <row r="1785" spans="3:4" x14ac:dyDescent="0.3">
      <c r="C1785" s="35">
        <f t="shared" si="28"/>
        <v>0</v>
      </c>
      <c r="D1785" s="30" t="str">
        <f>IFERROR(VLOOKUP(C1785,소속부서!$A$2:$B$20,2,FALSE), "")</f>
        <v/>
      </c>
    </row>
    <row r="1786" spans="3:4" x14ac:dyDescent="0.3">
      <c r="C1786" s="35">
        <f t="shared" si="28"/>
        <v>0</v>
      </c>
      <c r="D1786" s="30" t="str">
        <f>IFERROR(VLOOKUP(C1786,소속부서!$A$2:$B$20,2,FALSE), "")</f>
        <v/>
      </c>
    </row>
    <row r="1787" spans="3:4" x14ac:dyDescent="0.3">
      <c r="C1787" s="35">
        <f t="shared" si="28"/>
        <v>0</v>
      </c>
      <c r="D1787" s="30" t="str">
        <f>IFERROR(VLOOKUP(C1787,소속부서!$A$2:$B$20,2,FALSE), "")</f>
        <v/>
      </c>
    </row>
    <row r="1788" spans="3:4" x14ac:dyDescent="0.3">
      <c r="C1788" s="35">
        <f t="shared" si="28"/>
        <v>0</v>
      </c>
      <c r="D1788" s="30" t="str">
        <f>IFERROR(VLOOKUP(C1788,소속부서!$A$2:$B$20,2,FALSE), "")</f>
        <v/>
      </c>
    </row>
    <row r="1789" spans="3:4" x14ac:dyDescent="0.3">
      <c r="C1789" s="35">
        <f t="shared" si="28"/>
        <v>0</v>
      </c>
      <c r="D1789" s="30" t="str">
        <f>IFERROR(VLOOKUP(C1789,소속부서!$A$2:$B$20,2,FALSE), "")</f>
        <v/>
      </c>
    </row>
    <row r="1790" spans="3:4" x14ac:dyDescent="0.3">
      <c r="C1790" s="35">
        <f t="shared" si="28"/>
        <v>0</v>
      </c>
      <c r="D1790" s="30" t="str">
        <f>IFERROR(VLOOKUP(C1790,소속부서!$A$2:$B$20,2,FALSE), "")</f>
        <v/>
      </c>
    </row>
    <row r="1791" spans="3:4" x14ac:dyDescent="0.3">
      <c r="C1791" s="35">
        <f t="shared" si="28"/>
        <v>0</v>
      </c>
      <c r="D1791" s="30" t="str">
        <f>IFERROR(VLOOKUP(C1791,소속부서!$A$2:$B$20,2,FALSE), "")</f>
        <v/>
      </c>
    </row>
    <row r="1792" spans="3:4" x14ac:dyDescent="0.3">
      <c r="C1792" s="35">
        <f t="shared" si="28"/>
        <v>0</v>
      </c>
      <c r="D1792" s="30" t="str">
        <f>IFERROR(VLOOKUP(C1792,소속부서!$A$2:$B$20,2,FALSE), "")</f>
        <v/>
      </c>
    </row>
    <row r="1793" spans="3:4" x14ac:dyDescent="0.3">
      <c r="C1793" s="35">
        <f t="shared" si="28"/>
        <v>0</v>
      </c>
      <c r="D1793" s="30" t="str">
        <f>IFERROR(VLOOKUP(C1793,소속부서!$A$2:$B$20,2,FALSE), "")</f>
        <v/>
      </c>
    </row>
    <row r="1794" spans="3:4" x14ac:dyDescent="0.3">
      <c r="C1794" s="35">
        <f t="shared" si="28"/>
        <v>0</v>
      </c>
      <c r="D1794" s="30" t="str">
        <f>IFERROR(VLOOKUP(C1794,소속부서!$A$2:$B$20,2,FALSE), "")</f>
        <v/>
      </c>
    </row>
    <row r="1795" spans="3:4" x14ac:dyDescent="0.3">
      <c r="C1795" s="35">
        <f t="shared" si="28"/>
        <v>0</v>
      </c>
      <c r="D1795" s="30" t="str">
        <f>IFERROR(VLOOKUP(C1795,소속부서!$A$2:$B$20,2,FALSE), "")</f>
        <v/>
      </c>
    </row>
    <row r="1796" spans="3:4" x14ac:dyDescent="0.3">
      <c r="C1796" s="35">
        <f t="shared" ref="C1796:C1859" si="29">E1796</f>
        <v>0</v>
      </c>
      <c r="D1796" s="30" t="str">
        <f>IFERROR(VLOOKUP(C1796,소속부서!$A$2:$B$20,2,FALSE), "")</f>
        <v/>
      </c>
    </row>
    <row r="1797" spans="3:4" x14ac:dyDescent="0.3">
      <c r="C1797" s="35">
        <f t="shared" si="29"/>
        <v>0</v>
      </c>
      <c r="D1797" s="30" t="str">
        <f>IFERROR(VLOOKUP(C1797,소속부서!$A$2:$B$20,2,FALSE), "")</f>
        <v/>
      </c>
    </row>
    <row r="1798" spans="3:4" x14ac:dyDescent="0.3">
      <c r="C1798" s="35">
        <f t="shared" si="29"/>
        <v>0</v>
      </c>
      <c r="D1798" s="30" t="str">
        <f>IFERROR(VLOOKUP(C1798,소속부서!$A$2:$B$20,2,FALSE), "")</f>
        <v/>
      </c>
    </row>
    <row r="1799" spans="3:4" x14ac:dyDescent="0.3">
      <c r="C1799" s="35">
        <f t="shared" si="29"/>
        <v>0</v>
      </c>
      <c r="D1799" s="30" t="str">
        <f>IFERROR(VLOOKUP(C1799,소속부서!$A$2:$B$20,2,FALSE), "")</f>
        <v/>
      </c>
    </row>
    <row r="1800" spans="3:4" x14ac:dyDescent="0.3">
      <c r="C1800" s="35">
        <f t="shared" si="29"/>
        <v>0</v>
      </c>
      <c r="D1800" s="30" t="str">
        <f>IFERROR(VLOOKUP(C1800,소속부서!$A$2:$B$20,2,FALSE), "")</f>
        <v/>
      </c>
    </row>
    <row r="1801" spans="3:4" x14ac:dyDescent="0.3">
      <c r="C1801" s="35">
        <f t="shared" si="29"/>
        <v>0</v>
      </c>
      <c r="D1801" s="30" t="str">
        <f>IFERROR(VLOOKUP(C1801,소속부서!$A$2:$B$20,2,FALSE), "")</f>
        <v/>
      </c>
    </row>
    <row r="1802" spans="3:4" x14ac:dyDescent="0.3">
      <c r="C1802" s="35">
        <f t="shared" si="29"/>
        <v>0</v>
      </c>
      <c r="D1802" s="30" t="str">
        <f>IFERROR(VLOOKUP(C1802,소속부서!$A$2:$B$20,2,FALSE), "")</f>
        <v/>
      </c>
    </row>
    <row r="1803" spans="3:4" x14ac:dyDescent="0.3">
      <c r="C1803" s="35">
        <f t="shared" si="29"/>
        <v>0</v>
      </c>
      <c r="D1803" s="30" t="str">
        <f>IFERROR(VLOOKUP(C1803,소속부서!$A$2:$B$20,2,FALSE), "")</f>
        <v/>
      </c>
    </row>
    <row r="1804" spans="3:4" x14ac:dyDescent="0.3">
      <c r="C1804" s="35">
        <f t="shared" si="29"/>
        <v>0</v>
      </c>
      <c r="D1804" s="30" t="str">
        <f>IFERROR(VLOOKUP(C1804,소속부서!$A$2:$B$20,2,FALSE), "")</f>
        <v/>
      </c>
    </row>
    <row r="1805" spans="3:4" x14ac:dyDescent="0.3">
      <c r="C1805" s="35">
        <f t="shared" si="29"/>
        <v>0</v>
      </c>
      <c r="D1805" s="30" t="str">
        <f>IFERROR(VLOOKUP(C1805,소속부서!$A$2:$B$20,2,FALSE), "")</f>
        <v/>
      </c>
    </row>
    <row r="1806" spans="3:4" x14ac:dyDescent="0.3">
      <c r="C1806" s="35">
        <f t="shared" si="29"/>
        <v>0</v>
      </c>
      <c r="D1806" s="30" t="str">
        <f>IFERROR(VLOOKUP(C1806,소속부서!$A$2:$B$20,2,FALSE), "")</f>
        <v/>
      </c>
    </row>
    <row r="1807" spans="3:4" x14ac:dyDescent="0.3">
      <c r="C1807" s="35">
        <f t="shared" si="29"/>
        <v>0</v>
      </c>
      <c r="D1807" s="30" t="str">
        <f>IFERROR(VLOOKUP(C1807,소속부서!$A$2:$B$20,2,FALSE), "")</f>
        <v/>
      </c>
    </row>
    <row r="1808" spans="3:4" x14ac:dyDescent="0.3">
      <c r="C1808" s="35">
        <f t="shared" si="29"/>
        <v>0</v>
      </c>
      <c r="D1808" s="30" t="str">
        <f>IFERROR(VLOOKUP(C1808,소속부서!$A$2:$B$20,2,FALSE), "")</f>
        <v/>
      </c>
    </row>
    <row r="1809" spans="3:4" x14ac:dyDescent="0.3">
      <c r="C1809" s="35">
        <f t="shared" si="29"/>
        <v>0</v>
      </c>
      <c r="D1809" s="30" t="str">
        <f>IFERROR(VLOOKUP(C1809,소속부서!$A$2:$B$20,2,FALSE), "")</f>
        <v/>
      </c>
    </row>
    <row r="1810" spans="3:4" x14ac:dyDescent="0.3">
      <c r="C1810" s="35">
        <f t="shared" si="29"/>
        <v>0</v>
      </c>
      <c r="D1810" s="30" t="str">
        <f>IFERROR(VLOOKUP(C1810,소속부서!$A$2:$B$20,2,FALSE), "")</f>
        <v/>
      </c>
    </row>
    <row r="1811" spans="3:4" x14ac:dyDescent="0.3">
      <c r="C1811" s="35">
        <f t="shared" si="29"/>
        <v>0</v>
      </c>
      <c r="D1811" s="30" t="str">
        <f>IFERROR(VLOOKUP(C1811,소속부서!$A$2:$B$20,2,FALSE), "")</f>
        <v/>
      </c>
    </row>
    <row r="1812" spans="3:4" x14ac:dyDescent="0.3">
      <c r="C1812" s="35">
        <f t="shared" si="29"/>
        <v>0</v>
      </c>
      <c r="D1812" s="30" t="str">
        <f>IFERROR(VLOOKUP(C1812,소속부서!$A$2:$B$20,2,FALSE), "")</f>
        <v/>
      </c>
    </row>
    <row r="1813" spans="3:4" x14ac:dyDescent="0.3">
      <c r="C1813" s="35">
        <f t="shared" si="29"/>
        <v>0</v>
      </c>
      <c r="D1813" s="30" t="str">
        <f>IFERROR(VLOOKUP(C1813,소속부서!$A$2:$B$20,2,FALSE), "")</f>
        <v/>
      </c>
    </row>
    <row r="1814" spans="3:4" x14ac:dyDescent="0.3">
      <c r="C1814" s="35">
        <f t="shared" si="29"/>
        <v>0</v>
      </c>
      <c r="D1814" s="30" t="str">
        <f>IFERROR(VLOOKUP(C1814,소속부서!$A$2:$B$20,2,FALSE), "")</f>
        <v/>
      </c>
    </row>
    <row r="1815" spans="3:4" x14ac:dyDescent="0.3">
      <c r="C1815" s="35">
        <f t="shared" si="29"/>
        <v>0</v>
      </c>
      <c r="D1815" s="30" t="str">
        <f>IFERROR(VLOOKUP(C1815,소속부서!$A$2:$B$20,2,FALSE), "")</f>
        <v/>
      </c>
    </row>
    <row r="1816" spans="3:4" x14ac:dyDescent="0.3">
      <c r="C1816" s="35">
        <f t="shared" si="29"/>
        <v>0</v>
      </c>
      <c r="D1816" s="30" t="str">
        <f>IFERROR(VLOOKUP(C1816,소속부서!$A$2:$B$20,2,FALSE), "")</f>
        <v/>
      </c>
    </row>
    <row r="1817" spans="3:4" x14ac:dyDescent="0.3">
      <c r="C1817" s="35">
        <f t="shared" si="29"/>
        <v>0</v>
      </c>
      <c r="D1817" s="30" t="str">
        <f>IFERROR(VLOOKUP(C1817,소속부서!$A$2:$B$20,2,FALSE), "")</f>
        <v/>
      </c>
    </row>
    <row r="1818" spans="3:4" x14ac:dyDescent="0.3">
      <c r="C1818" s="35">
        <f t="shared" si="29"/>
        <v>0</v>
      </c>
      <c r="D1818" s="30" t="str">
        <f>IFERROR(VLOOKUP(C1818,소속부서!$A$2:$B$20,2,FALSE), "")</f>
        <v/>
      </c>
    </row>
    <row r="1819" spans="3:4" x14ac:dyDescent="0.3">
      <c r="C1819" s="35">
        <f t="shared" si="29"/>
        <v>0</v>
      </c>
      <c r="D1819" s="30" t="str">
        <f>IFERROR(VLOOKUP(C1819,소속부서!$A$2:$B$20,2,FALSE), "")</f>
        <v/>
      </c>
    </row>
    <row r="1820" spans="3:4" x14ac:dyDescent="0.3">
      <c r="C1820" s="35">
        <f t="shared" si="29"/>
        <v>0</v>
      </c>
      <c r="D1820" s="30" t="str">
        <f>IFERROR(VLOOKUP(C1820,소속부서!$A$2:$B$20,2,FALSE), "")</f>
        <v/>
      </c>
    </row>
    <row r="1821" spans="3:4" x14ac:dyDescent="0.3">
      <c r="C1821" s="35">
        <f t="shared" si="29"/>
        <v>0</v>
      </c>
      <c r="D1821" s="30" t="str">
        <f>IFERROR(VLOOKUP(C1821,소속부서!$A$2:$B$20,2,FALSE), "")</f>
        <v/>
      </c>
    </row>
    <row r="1822" spans="3:4" x14ac:dyDescent="0.3">
      <c r="C1822" s="35">
        <f t="shared" si="29"/>
        <v>0</v>
      </c>
      <c r="D1822" s="30" t="str">
        <f>IFERROR(VLOOKUP(C1822,소속부서!$A$2:$B$20,2,FALSE), "")</f>
        <v/>
      </c>
    </row>
    <row r="1823" spans="3:4" x14ac:dyDescent="0.3">
      <c r="C1823" s="35">
        <f t="shared" si="29"/>
        <v>0</v>
      </c>
      <c r="D1823" s="30" t="str">
        <f>IFERROR(VLOOKUP(C1823,소속부서!$A$2:$B$20,2,FALSE), "")</f>
        <v/>
      </c>
    </row>
    <row r="1824" spans="3:4" x14ac:dyDescent="0.3">
      <c r="C1824" s="35">
        <f t="shared" si="29"/>
        <v>0</v>
      </c>
      <c r="D1824" s="30" t="str">
        <f>IFERROR(VLOOKUP(C1824,소속부서!$A$2:$B$20,2,FALSE), "")</f>
        <v/>
      </c>
    </row>
    <row r="1825" spans="3:4" x14ac:dyDescent="0.3">
      <c r="C1825" s="35">
        <f t="shared" si="29"/>
        <v>0</v>
      </c>
      <c r="D1825" s="30" t="str">
        <f>IFERROR(VLOOKUP(C1825,소속부서!$A$2:$B$20,2,FALSE), "")</f>
        <v/>
      </c>
    </row>
    <row r="1826" spans="3:4" x14ac:dyDescent="0.3">
      <c r="C1826" s="35">
        <f t="shared" si="29"/>
        <v>0</v>
      </c>
      <c r="D1826" s="30" t="str">
        <f>IFERROR(VLOOKUP(C1826,소속부서!$A$2:$B$20,2,FALSE), "")</f>
        <v/>
      </c>
    </row>
    <row r="1827" spans="3:4" x14ac:dyDescent="0.3">
      <c r="C1827" s="35">
        <f t="shared" si="29"/>
        <v>0</v>
      </c>
      <c r="D1827" s="30" t="str">
        <f>IFERROR(VLOOKUP(C1827,소속부서!$A$2:$B$20,2,FALSE), "")</f>
        <v/>
      </c>
    </row>
    <row r="1828" spans="3:4" x14ac:dyDescent="0.3">
      <c r="C1828" s="35">
        <f t="shared" si="29"/>
        <v>0</v>
      </c>
      <c r="D1828" s="30" t="str">
        <f>IFERROR(VLOOKUP(C1828,소속부서!$A$2:$B$20,2,FALSE), "")</f>
        <v/>
      </c>
    </row>
    <row r="1829" spans="3:4" x14ac:dyDescent="0.3">
      <c r="C1829" s="35">
        <f t="shared" si="29"/>
        <v>0</v>
      </c>
      <c r="D1829" s="30" t="str">
        <f>IFERROR(VLOOKUP(C1829,소속부서!$A$2:$B$20,2,FALSE), "")</f>
        <v/>
      </c>
    </row>
    <row r="1830" spans="3:4" x14ac:dyDescent="0.3">
      <c r="C1830" s="35">
        <f t="shared" si="29"/>
        <v>0</v>
      </c>
      <c r="D1830" s="30" t="str">
        <f>IFERROR(VLOOKUP(C1830,소속부서!$A$2:$B$20,2,FALSE), "")</f>
        <v/>
      </c>
    </row>
    <row r="1831" spans="3:4" x14ac:dyDescent="0.3">
      <c r="C1831" s="35">
        <f t="shared" si="29"/>
        <v>0</v>
      </c>
      <c r="D1831" s="30" t="str">
        <f>IFERROR(VLOOKUP(C1831,소속부서!$A$2:$B$20,2,FALSE), "")</f>
        <v/>
      </c>
    </row>
    <row r="1832" spans="3:4" x14ac:dyDescent="0.3">
      <c r="C1832" s="35">
        <f t="shared" si="29"/>
        <v>0</v>
      </c>
      <c r="D1832" s="30" t="str">
        <f>IFERROR(VLOOKUP(C1832,소속부서!$A$2:$B$20,2,FALSE), "")</f>
        <v/>
      </c>
    </row>
    <row r="1833" spans="3:4" x14ac:dyDescent="0.3">
      <c r="C1833" s="35">
        <f t="shared" si="29"/>
        <v>0</v>
      </c>
      <c r="D1833" s="30" t="str">
        <f>IFERROR(VLOOKUP(C1833,소속부서!$A$2:$B$20,2,FALSE), "")</f>
        <v/>
      </c>
    </row>
    <row r="1834" spans="3:4" x14ac:dyDescent="0.3">
      <c r="C1834" s="35">
        <f t="shared" si="29"/>
        <v>0</v>
      </c>
      <c r="D1834" s="30" t="str">
        <f>IFERROR(VLOOKUP(C1834,소속부서!$A$2:$B$20,2,FALSE), "")</f>
        <v/>
      </c>
    </row>
    <row r="1835" spans="3:4" x14ac:dyDescent="0.3">
      <c r="C1835" s="35">
        <f t="shared" si="29"/>
        <v>0</v>
      </c>
      <c r="D1835" s="30" t="str">
        <f>IFERROR(VLOOKUP(C1835,소속부서!$A$2:$B$20,2,FALSE), "")</f>
        <v/>
      </c>
    </row>
    <row r="1836" spans="3:4" x14ac:dyDescent="0.3">
      <c r="C1836" s="35">
        <f t="shared" si="29"/>
        <v>0</v>
      </c>
      <c r="D1836" s="30" t="str">
        <f>IFERROR(VLOOKUP(C1836,소속부서!$A$2:$B$20,2,FALSE), "")</f>
        <v/>
      </c>
    </row>
    <row r="1837" spans="3:4" x14ac:dyDescent="0.3">
      <c r="C1837" s="35">
        <f t="shared" si="29"/>
        <v>0</v>
      </c>
      <c r="D1837" s="30" t="str">
        <f>IFERROR(VLOOKUP(C1837,소속부서!$A$2:$B$20,2,FALSE), "")</f>
        <v/>
      </c>
    </row>
    <row r="1838" spans="3:4" x14ac:dyDescent="0.3">
      <c r="C1838" s="35">
        <f t="shared" si="29"/>
        <v>0</v>
      </c>
      <c r="D1838" s="30" t="str">
        <f>IFERROR(VLOOKUP(C1838,소속부서!$A$2:$B$20,2,FALSE), "")</f>
        <v/>
      </c>
    </row>
    <row r="1839" spans="3:4" x14ac:dyDescent="0.3">
      <c r="C1839" s="35">
        <f t="shared" si="29"/>
        <v>0</v>
      </c>
      <c r="D1839" s="30" t="str">
        <f>IFERROR(VLOOKUP(C1839,소속부서!$A$2:$B$20,2,FALSE), "")</f>
        <v/>
      </c>
    </row>
    <row r="1840" spans="3:4" x14ac:dyDescent="0.3">
      <c r="C1840" s="35">
        <f t="shared" si="29"/>
        <v>0</v>
      </c>
      <c r="D1840" s="30" t="str">
        <f>IFERROR(VLOOKUP(C1840,소속부서!$A$2:$B$20,2,FALSE), "")</f>
        <v/>
      </c>
    </row>
    <row r="1841" spans="3:4" x14ac:dyDescent="0.3">
      <c r="C1841" s="35">
        <f t="shared" si="29"/>
        <v>0</v>
      </c>
      <c r="D1841" s="30" t="str">
        <f>IFERROR(VLOOKUP(C1841,소속부서!$A$2:$B$20,2,FALSE), "")</f>
        <v/>
      </c>
    </row>
    <row r="1842" spans="3:4" x14ac:dyDescent="0.3">
      <c r="C1842" s="35">
        <f t="shared" si="29"/>
        <v>0</v>
      </c>
      <c r="D1842" s="30" t="str">
        <f>IFERROR(VLOOKUP(C1842,소속부서!$A$2:$B$20,2,FALSE), "")</f>
        <v/>
      </c>
    </row>
    <row r="1843" spans="3:4" x14ac:dyDescent="0.3">
      <c r="C1843" s="35">
        <f t="shared" si="29"/>
        <v>0</v>
      </c>
      <c r="D1843" s="30" t="str">
        <f>IFERROR(VLOOKUP(C1843,소속부서!$A$2:$B$20,2,FALSE), "")</f>
        <v/>
      </c>
    </row>
    <row r="1844" spans="3:4" x14ac:dyDescent="0.3">
      <c r="C1844" s="35">
        <f t="shared" si="29"/>
        <v>0</v>
      </c>
      <c r="D1844" s="30" t="str">
        <f>IFERROR(VLOOKUP(C1844,소속부서!$A$2:$B$20,2,FALSE), "")</f>
        <v/>
      </c>
    </row>
    <row r="1845" spans="3:4" x14ac:dyDescent="0.3">
      <c r="C1845" s="35">
        <f t="shared" si="29"/>
        <v>0</v>
      </c>
      <c r="D1845" s="30" t="str">
        <f>IFERROR(VLOOKUP(C1845,소속부서!$A$2:$B$20,2,FALSE), "")</f>
        <v/>
      </c>
    </row>
    <row r="1846" spans="3:4" x14ac:dyDescent="0.3">
      <c r="C1846" s="35">
        <f t="shared" si="29"/>
        <v>0</v>
      </c>
      <c r="D1846" s="30" t="str">
        <f>IFERROR(VLOOKUP(C1846,소속부서!$A$2:$B$20,2,FALSE), "")</f>
        <v/>
      </c>
    </row>
    <row r="1847" spans="3:4" x14ac:dyDescent="0.3">
      <c r="C1847" s="35">
        <f t="shared" si="29"/>
        <v>0</v>
      </c>
      <c r="D1847" s="30" t="str">
        <f>IFERROR(VLOOKUP(C1847,소속부서!$A$2:$B$20,2,FALSE), "")</f>
        <v/>
      </c>
    </row>
    <row r="1848" spans="3:4" x14ac:dyDescent="0.3">
      <c r="C1848" s="35">
        <f t="shared" si="29"/>
        <v>0</v>
      </c>
      <c r="D1848" s="30" t="str">
        <f>IFERROR(VLOOKUP(C1848,소속부서!$A$2:$B$20,2,FALSE), "")</f>
        <v/>
      </c>
    </row>
    <row r="1849" spans="3:4" x14ac:dyDescent="0.3">
      <c r="C1849" s="35">
        <f t="shared" si="29"/>
        <v>0</v>
      </c>
      <c r="D1849" s="30" t="str">
        <f>IFERROR(VLOOKUP(C1849,소속부서!$A$2:$B$20,2,FALSE), "")</f>
        <v/>
      </c>
    </row>
    <row r="1850" spans="3:4" x14ac:dyDescent="0.3">
      <c r="C1850" s="35">
        <f t="shared" si="29"/>
        <v>0</v>
      </c>
      <c r="D1850" s="30" t="str">
        <f>IFERROR(VLOOKUP(C1850,소속부서!$A$2:$B$20,2,FALSE), "")</f>
        <v/>
      </c>
    </row>
    <row r="1851" spans="3:4" x14ac:dyDescent="0.3">
      <c r="C1851" s="35">
        <f t="shared" si="29"/>
        <v>0</v>
      </c>
      <c r="D1851" s="30" t="str">
        <f>IFERROR(VLOOKUP(C1851,소속부서!$A$2:$B$20,2,FALSE), "")</f>
        <v/>
      </c>
    </row>
    <row r="1852" spans="3:4" x14ac:dyDescent="0.3">
      <c r="C1852" s="35">
        <f t="shared" si="29"/>
        <v>0</v>
      </c>
      <c r="D1852" s="30" t="str">
        <f>IFERROR(VLOOKUP(C1852,소속부서!$A$2:$B$20,2,FALSE), "")</f>
        <v/>
      </c>
    </row>
    <row r="1853" spans="3:4" x14ac:dyDescent="0.3">
      <c r="C1853" s="35">
        <f t="shared" si="29"/>
        <v>0</v>
      </c>
      <c r="D1853" s="30" t="str">
        <f>IFERROR(VLOOKUP(C1853,소속부서!$A$2:$B$20,2,FALSE), "")</f>
        <v/>
      </c>
    </row>
    <row r="1854" spans="3:4" x14ac:dyDescent="0.3">
      <c r="C1854" s="35">
        <f t="shared" si="29"/>
        <v>0</v>
      </c>
      <c r="D1854" s="30" t="str">
        <f>IFERROR(VLOOKUP(C1854,소속부서!$A$2:$B$20,2,FALSE), "")</f>
        <v/>
      </c>
    </row>
    <row r="1855" spans="3:4" x14ac:dyDescent="0.3">
      <c r="C1855" s="35">
        <f t="shared" si="29"/>
        <v>0</v>
      </c>
      <c r="D1855" s="30" t="str">
        <f>IFERROR(VLOOKUP(C1855,소속부서!$A$2:$B$20,2,FALSE), "")</f>
        <v/>
      </c>
    </row>
    <row r="1856" spans="3:4" x14ac:dyDescent="0.3">
      <c r="C1856" s="35">
        <f t="shared" si="29"/>
        <v>0</v>
      </c>
      <c r="D1856" s="30" t="str">
        <f>IFERROR(VLOOKUP(C1856,소속부서!$A$2:$B$20,2,FALSE), "")</f>
        <v/>
      </c>
    </row>
    <row r="1857" spans="3:4" x14ac:dyDescent="0.3">
      <c r="C1857" s="35">
        <f t="shared" si="29"/>
        <v>0</v>
      </c>
      <c r="D1857" s="30" t="str">
        <f>IFERROR(VLOOKUP(C1857,소속부서!$A$2:$B$20,2,FALSE), "")</f>
        <v/>
      </c>
    </row>
    <row r="1858" spans="3:4" x14ac:dyDescent="0.3">
      <c r="C1858" s="35">
        <f t="shared" si="29"/>
        <v>0</v>
      </c>
      <c r="D1858" s="30" t="str">
        <f>IFERROR(VLOOKUP(C1858,소속부서!$A$2:$B$20,2,FALSE), "")</f>
        <v/>
      </c>
    </row>
    <row r="1859" spans="3:4" x14ac:dyDescent="0.3">
      <c r="C1859" s="35">
        <f t="shared" si="29"/>
        <v>0</v>
      </c>
      <c r="D1859" s="30" t="str">
        <f>IFERROR(VLOOKUP(C1859,소속부서!$A$2:$B$20,2,FALSE), "")</f>
        <v/>
      </c>
    </row>
    <row r="1860" spans="3:4" x14ac:dyDescent="0.3">
      <c r="C1860" s="35">
        <f t="shared" ref="C1860:C1923" si="30">E1860</f>
        <v>0</v>
      </c>
      <c r="D1860" s="30" t="str">
        <f>IFERROR(VLOOKUP(C1860,소속부서!$A$2:$B$20,2,FALSE), "")</f>
        <v/>
      </c>
    </row>
    <row r="1861" spans="3:4" x14ac:dyDescent="0.3">
      <c r="C1861" s="35">
        <f t="shared" si="30"/>
        <v>0</v>
      </c>
      <c r="D1861" s="30" t="str">
        <f>IFERROR(VLOOKUP(C1861,소속부서!$A$2:$B$20,2,FALSE), "")</f>
        <v/>
      </c>
    </row>
    <row r="1862" spans="3:4" x14ac:dyDescent="0.3">
      <c r="C1862" s="35">
        <f t="shared" si="30"/>
        <v>0</v>
      </c>
      <c r="D1862" s="30" t="str">
        <f>IFERROR(VLOOKUP(C1862,소속부서!$A$2:$B$20,2,FALSE), "")</f>
        <v/>
      </c>
    </row>
    <row r="1863" spans="3:4" x14ac:dyDescent="0.3">
      <c r="C1863" s="35">
        <f t="shared" si="30"/>
        <v>0</v>
      </c>
      <c r="D1863" s="30" t="str">
        <f>IFERROR(VLOOKUP(C1863,소속부서!$A$2:$B$20,2,FALSE), "")</f>
        <v/>
      </c>
    </row>
    <row r="1864" spans="3:4" x14ac:dyDescent="0.3">
      <c r="C1864" s="35">
        <f t="shared" si="30"/>
        <v>0</v>
      </c>
      <c r="D1864" s="30" t="str">
        <f>IFERROR(VLOOKUP(C1864,소속부서!$A$2:$B$20,2,FALSE), "")</f>
        <v/>
      </c>
    </row>
    <row r="1865" spans="3:4" x14ac:dyDescent="0.3">
      <c r="C1865" s="35">
        <f t="shared" si="30"/>
        <v>0</v>
      </c>
      <c r="D1865" s="30" t="str">
        <f>IFERROR(VLOOKUP(C1865,소속부서!$A$2:$B$20,2,FALSE), "")</f>
        <v/>
      </c>
    </row>
    <row r="1866" spans="3:4" x14ac:dyDescent="0.3">
      <c r="C1866" s="35">
        <f t="shared" si="30"/>
        <v>0</v>
      </c>
      <c r="D1866" s="30" t="str">
        <f>IFERROR(VLOOKUP(C1866,소속부서!$A$2:$B$20,2,FALSE), "")</f>
        <v/>
      </c>
    </row>
    <row r="1867" spans="3:4" x14ac:dyDescent="0.3">
      <c r="C1867" s="35">
        <f t="shared" si="30"/>
        <v>0</v>
      </c>
      <c r="D1867" s="30" t="str">
        <f>IFERROR(VLOOKUP(C1867,소속부서!$A$2:$B$20,2,FALSE), "")</f>
        <v/>
      </c>
    </row>
    <row r="1868" spans="3:4" x14ac:dyDescent="0.3">
      <c r="C1868" s="35">
        <f t="shared" si="30"/>
        <v>0</v>
      </c>
      <c r="D1868" s="30" t="str">
        <f>IFERROR(VLOOKUP(C1868,소속부서!$A$2:$B$20,2,FALSE), "")</f>
        <v/>
      </c>
    </row>
    <row r="1869" spans="3:4" x14ac:dyDescent="0.3">
      <c r="C1869" s="35">
        <f t="shared" si="30"/>
        <v>0</v>
      </c>
      <c r="D1869" s="30" t="str">
        <f>IFERROR(VLOOKUP(C1869,소속부서!$A$2:$B$20,2,FALSE), "")</f>
        <v/>
      </c>
    </row>
    <row r="1870" spans="3:4" x14ac:dyDescent="0.3">
      <c r="C1870" s="35">
        <f t="shared" si="30"/>
        <v>0</v>
      </c>
      <c r="D1870" s="30" t="str">
        <f>IFERROR(VLOOKUP(C1870,소속부서!$A$2:$B$20,2,FALSE), "")</f>
        <v/>
      </c>
    </row>
    <row r="1871" spans="3:4" x14ac:dyDescent="0.3">
      <c r="C1871" s="35">
        <f t="shared" si="30"/>
        <v>0</v>
      </c>
      <c r="D1871" s="30" t="str">
        <f>IFERROR(VLOOKUP(C1871,소속부서!$A$2:$B$20,2,FALSE), "")</f>
        <v/>
      </c>
    </row>
    <row r="1872" spans="3:4" x14ac:dyDescent="0.3">
      <c r="C1872" s="35">
        <f t="shared" si="30"/>
        <v>0</v>
      </c>
      <c r="D1872" s="30" t="str">
        <f>IFERROR(VLOOKUP(C1872,소속부서!$A$2:$B$20,2,FALSE), "")</f>
        <v/>
      </c>
    </row>
    <row r="1873" spans="3:4" x14ac:dyDescent="0.3">
      <c r="C1873" s="35">
        <f t="shared" si="30"/>
        <v>0</v>
      </c>
      <c r="D1873" s="30" t="str">
        <f>IFERROR(VLOOKUP(C1873,소속부서!$A$2:$B$20,2,FALSE), "")</f>
        <v/>
      </c>
    </row>
    <row r="1874" spans="3:4" x14ac:dyDescent="0.3">
      <c r="C1874" s="35">
        <f t="shared" si="30"/>
        <v>0</v>
      </c>
      <c r="D1874" s="30" t="str">
        <f>IFERROR(VLOOKUP(C1874,소속부서!$A$2:$B$20,2,FALSE), "")</f>
        <v/>
      </c>
    </row>
    <row r="1875" spans="3:4" x14ac:dyDescent="0.3">
      <c r="C1875" s="35">
        <f t="shared" si="30"/>
        <v>0</v>
      </c>
      <c r="D1875" s="30" t="str">
        <f>IFERROR(VLOOKUP(C1875,소속부서!$A$2:$B$20,2,FALSE), "")</f>
        <v/>
      </c>
    </row>
    <row r="1876" spans="3:4" x14ac:dyDescent="0.3">
      <c r="C1876" s="35">
        <f t="shared" si="30"/>
        <v>0</v>
      </c>
      <c r="D1876" s="30" t="str">
        <f>IFERROR(VLOOKUP(C1876,소속부서!$A$2:$B$20,2,FALSE), "")</f>
        <v/>
      </c>
    </row>
    <row r="1877" spans="3:4" x14ac:dyDescent="0.3">
      <c r="C1877" s="35">
        <f t="shared" si="30"/>
        <v>0</v>
      </c>
      <c r="D1877" s="30" t="str">
        <f>IFERROR(VLOOKUP(C1877,소속부서!$A$2:$B$20,2,FALSE), "")</f>
        <v/>
      </c>
    </row>
    <row r="1878" spans="3:4" x14ac:dyDescent="0.3">
      <c r="C1878" s="35">
        <f t="shared" si="30"/>
        <v>0</v>
      </c>
      <c r="D1878" s="30" t="str">
        <f>IFERROR(VLOOKUP(C1878,소속부서!$A$2:$B$20,2,FALSE), "")</f>
        <v/>
      </c>
    </row>
    <row r="1879" spans="3:4" x14ac:dyDescent="0.3">
      <c r="C1879" s="35">
        <f t="shared" si="30"/>
        <v>0</v>
      </c>
      <c r="D1879" s="30" t="str">
        <f>IFERROR(VLOOKUP(C1879,소속부서!$A$2:$B$20,2,FALSE), "")</f>
        <v/>
      </c>
    </row>
    <row r="1880" spans="3:4" x14ac:dyDescent="0.3">
      <c r="C1880" s="35">
        <f t="shared" si="30"/>
        <v>0</v>
      </c>
      <c r="D1880" s="30" t="str">
        <f>IFERROR(VLOOKUP(C1880,소속부서!$A$2:$B$20,2,FALSE), "")</f>
        <v/>
      </c>
    </row>
    <row r="1881" spans="3:4" x14ac:dyDescent="0.3">
      <c r="C1881" s="35">
        <f t="shared" si="30"/>
        <v>0</v>
      </c>
      <c r="D1881" s="30" t="str">
        <f>IFERROR(VLOOKUP(C1881,소속부서!$A$2:$B$20,2,FALSE), "")</f>
        <v/>
      </c>
    </row>
    <row r="1882" spans="3:4" x14ac:dyDescent="0.3">
      <c r="C1882" s="35">
        <f t="shared" si="30"/>
        <v>0</v>
      </c>
      <c r="D1882" s="30" t="str">
        <f>IFERROR(VLOOKUP(C1882,소속부서!$A$2:$B$20,2,FALSE), "")</f>
        <v/>
      </c>
    </row>
    <row r="1883" spans="3:4" x14ac:dyDescent="0.3">
      <c r="C1883" s="35">
        <f t="shared" si="30"/>
        <v>0</v>
      </c>
      <c r="D1883" s="30" t="str">
        <f>IFERROR(VLOOKUP(C1883,소속부서!$A$2:$B$20,2,FALSE), "")</f>
        <v/>
      </c>
    </row>
    <row r="1884" spans="3:4" x14ac:dyDescent="0.3">
      <c r="C1884" s="35">
        <f t="shared" si="30"/>
        <v>0</v>
      </c>
      <c r="D1884" s="30" t="str">
        <f>IFERROR(VLOOKUP(C1884,소속부서!$A$2:$B$20,2,FALSE), "")</f>
        <v/>
      </c>
    </row>
    <row r="1885" spans="3:4" x14ac:dyDescent="0.3">
      <c r="C1885" s="35">
        <f t="shared" si="30"/>
        <v>0</v>
      </c>
      <c r="D1885" s="30" t="str">
        <f>IFERROR(VLOOKUP(C1885,소속부서!$A$2:$B$20,2,FALSE), "")</f>
        <v/>
      </c>
    </row>
    <row r="1886" spans="3:4" x14ac:dyDescent="0.3">
      <c r="C1886" s="35">
        <f t="shared" si="30"/>
        <v>0</v>
      </c>
      <c r="D1886" s="30" t="str">
        <f>IFERROR(VLOOKUP(C1886,소속부서!$A$2:$B$20,2,FALSE), "")</f>
        <v/>
      </c>
    </row>
    <row r="1887" spans="3:4" x14ac:dyDescent="0.3">
      <c r="C1887" s="35">
        <f t="shared" si="30"/>
        <v>0</v>
      </c>
      <c r="D1887" s="30" t="str">
        <f>IFERROR(VLOOKUP(C1887,소속부서!$A$2:$B$20,2,FALSE), "")</f>
        <v/>
      </c>
    </row>
    <row r="1888" spans="3:4" x14ac:dyDescent="0.3">
      <c r="C1888" s="35">
        <f t="shared" si="30"/>
        <v>0</v>
      </c>
      <c r="D1888" s="30" t="str">
        <f>IFERROR(VLOOKUP(C1888,소속부서!$A$2:$B$20,2,FALSE), "")</f>
        <v/>
      </c>
    </row>
    <row r="1889" spans="3:4" x14ac:dyDescent="0.3">
      <c r="C1889" s="35">
        <f t="shared" si="30"/>
        <v>0</v>
      </c>
      <c r="D1889" s="30" t="str">
        <f>IFERROR(VLOOKUP(C1889,소속부서!$A$2:$B$20,2,FALSE), "")</f>
        <v/>
      </c>
    </row>
    <row r="1890" spans="3:4" x14ac:dyDescent="0.3">
      <c r="C1890" s="35">
        <f t="shared" si="30"/>
        <v>0</v>
      </c>
      <c r="D1890" s="30" t="str">
        <f>IFERROR(VLOOKUP(C1890,소속부서!$A$2:$B$20,2,FALSE), "")</f>
        <v/>
      </c>
    </row>
    <row r="1891" spans="3:4" x14ac:dyDescent="0.3">
      <c r="C1891" s="35">
        <f t="shared" si="30"/>
        <v>0</v>
      </c>
      <c r="D1891" s="30" t="str">
        <f>IFERROR(VLOOKUP(C1891,소속부서!$A$2:$B$20,2,FALSE), "")</f>
        <v/>
      </c>
    </row>
    <row r="1892" spans="3:4" x14ac:dyDescent="0.3">
      <c r="C1892" s="35">
        <f t="shared" si="30"/>
        <v>0</v>
      </c>
      <c r="D1892" s="30" t="str">
        <f>IFERROR(VLOOKUP(C1892,소속부서!$A$2:$B$20,2,FALSE), "")</f>
        <v/>
      </c>
    </row>
    <row r="1893" spans="3:4" x14ac:dyDescent="0.3">
      <c r="C1893" s="35">
        <f t="shared" si="30"/>
        <v>0</v>
      </c>
      <c r="D1893" s="30" t="str">
        <f>IFERROR(VLOOKUP(C1893,소속부서!$A$2:$B$20,2,FALSE), "")</f>
        <v/>
      </c>
    </row>
    <row r="1894" spans="3:4" x14ac:dyDescent="0.3">
      <c r="C1894" s="35">
        <f t="shared" si="30"/>
        <v>0</v>
      </c>
      <c r="D1894" s="30" t="str">
        <f>IFERROR(VLOOKUP(C1894,소속부서!$A$2:$B$20,2,FALSE), "")</f>
        <v/>
      </c>
    </row>
    <row r="1895" spans="3:4" x14ac:dyDescent="0.3">
      <c r="C1895" s="35">
        <f t="shared" si="30"/>
        <v>0</v>
      </c>
      <c r="D1895" s="30" t="str">
        <f>IFERROR(VLOOKUP(C1895,소속부서!$A$2:$B$20,2,FALSE), "")</f>
        <v/>
      </c>
    </row>
    <row r="1896" spans="3:4" x14ac:dyDescent="0.3">
      <c r="C1896" s="35">
        <f t="shared" si="30"/>
        <v>0</v>
      </c>
      <c r="D1896" s="30" t="str">
        <f>IFERROR(VLOOKUP(C1896,소속부서!$A$2:$B$20,2,FALSE), "")</f>
        <v/>
      </c>
    </row>
    <row r="1897" spans="3:4" x14ac:dyDescent="0.3">
      <c r="C1897" s="35">
        <f t="shared" si="30"/>
        <v>0</v>
      </c>
      <c r="D1897" s="30" t="str">
        <f>IFERROR(VLOOKUP(C1897,소속부서!$A$2:$B$20,2,FALSE), "")</f>
        <v/>
      </c>
    </row>
    <row r="1898" spans="3:4" x14ac:dyDescent="0.3">
      <c r="C1898" s="35">
        <f t="shared" si="30"/>
        <v>0</v>
      </c>
      <c r="D1898" s="30" t="str">
        <f>IFERROR(VLOOKUP(C1898,소속부서!$A$2:$B$20,2,FALSE), "")</f>
        <v/>
      </c>
    </row>
    <row r="1899" spans="3:4" x14ac:dyDescent="0.3">
      <c r="C1899" s="35">
        <f t="shared" si="30"/>
        <v>0</v>
      </c>
      <c r="D1899" s="30" t="str">
        <f>IFERROR(VLOOKUP(C1899,소속부서!$A$2:$B$20,2,FALSE), "")</f>
        <v/>
      </c>
    </row>
    <row r="1900" spans="3:4" x14ac:dyDescent="0.3">
      <c r="C1900" s="35">
        <f t="shared" si="30"/>
        <v>0</v>
      </c>
      <c r="D1900" s="30" t="str">
        <f>IFERROR(VLOOKUP(C1900,소속부서!$A$2:$B$20,2,FALSE), "")</f>
        <v/>
      </c>
    </row>
    <row r="1901" spans="3:4" x14ac:dyDescent="0.3">
      <c r="C1901" s="35">
        <f t="shared" si="30"/>
        <v>0</v>
      </c>
      <c r="D1901" s="30" t="str">
        <f>IFERROR(VLOOKUP(C1901,소속부서!$A$2:$B$20,2,FALSE), "")</f>
        <v/>
      </c>
    </row>
    <row r="1902" spans="3:4" x14ac:dyDescent="0.3">
      <c r="C1902" s="35">
        <f t="shared" si="30"/>
        <v>0</v>
      </c>
      <c r="D1902" s="30" t="str">
        <f>IFERROR(VLOOKUP(C1902,소속부서!$A$2:$B$20,2,FALSE), "")</f>
        <v/>
      </c>
    </row>
    <row r="1903" spans="3:4" x14ac:dyDescent="0.3">
      <c r="C1903" s="35">
        <f t="shared" si="30"/>
        <v>0</v>
      </c>
      <c r="D1903" s="30" t="str">
        <f>IFERROR(VLOOKUP(C1903,소속부서!$A$2:$B$20,2,FALSE), "")</f>
        <v/>
      </c>
    </row>
    <row r="1904" spans="3:4" x14ac:dyDescent="0.3">
      <c r="C1904" s="35">
        <f t="shared" si="30"/>
        <v>0</v>
      </c>
      <c r="D1904" s="30" t="str">
        <f>IFERROR(VLOOKUP(C1904,소속부서!$A$2:$B$20,2,FALSE), "")</f>
        <v/>
      </c>
    </row>
    <row r="1905" spans="3:4" x14ac:dyDescent="0.3">
      <c r="C1905" s="35">
        <f t="shared" si="30"/>
        <v>0</v>
      </c>
      <c r="D1905" s="30" t="str">
        <f>IFERROR(VLOOKUP(C1905,소속부서!$A$2:$B$20,2,FALSE), "")</f>
        <v/>
      </c>
    </row>
    <row r="1906" spans="3:4" x14ac:dyDescent="0.3">
      <c r="C1906" s="35">
        <f t="shared" si="30"/>
        <v>0</v>
      </c>
      <c r="D1906" s="30" t="str">
        <f>IFERROR(VLOOKUP(C1906,소속부서!$A$2:$B$20,2,FALSE), "")</f>
        <v/>
      </c>
    </row>
    <row r="1907" spans="3:4" x14ac:dyDescent="0.3">
      <c r="C1907" s="35">
        <f t="shared" si="30"/>
        <v>0</v>
      </c>
      <c r="D1907" s="30" t="str">
        <f>IFERROR(VLOOKUP(C1907,소속부서!$A$2:$B$20,2,FALSE), "")</f>
        <v/>
      </c>
    </row>
    <row r="1908" spans="3:4" x14ac:dyDescent="0.3">
      <c r="C1908" s="35">
        <f t="shared" si="30"/>
        <v>0</v>
      </c>
      <c r="D1908" s="30" t="str">
        <f>IFERROR(VLOOKUP(C1908,소속부서!$A$2:$B$20,2,FALSE), "")</f>
        <v/>
      </c>
    </row>
    <row r="1909" spans="3:4" x14ac:dyDescent="0.3">
      <c r="C1909" s="35">
        <f t="shared" si="30"/>
        <v>0</v>
      </c>
      <c r="D1909" s="30" t="str">
        <f>IFERROR(VLOOKUP(C1909,소속부서!$A$2:$B$20,2,FALSE), "")</f>
        <v/>
      </c>
    </row>
    <row r="1910" spans="3:4" x14ac:dyDescent="0.3">
      <c r="C1910" s="35">
        <f t="shared" si="30"/>
        <v>0</v>
      </c>
      <c r="D1910" s="30" t="str">
        <f>IFERROR(VLOOKUP(C1910,소속부서!$A$2:$B$20,2,FALSE), "")</f>
        <v/>
      </c>
    </row>
    <row r="1911" spans="3:4" x14ac:dyDescent="0.3">
      <c r="C1911" s="35">
        <f t="shared" si="30"/>
        <v>0</v>
      </c>
      <c r="D1911" s="30" t="str">
        <f>IFERROR(VLOOKUP(C1911,소속부서!$A$2:$B$20,2,FALSE), "")</f>
        <v/>
      </c>
    </row>
    <row r="1912" spans="3:4" x14ac:dyDescent="0.3">
      <c r="C1912" s="35">
        <f t="shared" si="30"/>
        <v>0</v>
      </c>
      <c r="D1912" s="30" t="str">
        <f>IFERROR(VLOOKUP(C1912,소속부서!$A$2:$B$20,2,FALSE), "")</f>
        <v/>
      </c>
    </row>
    <row r="1913" spans="3:4" x14ac:dyDescent="0.3">
      <c r="C1913" s="35">
        <f t="shared" si="30"/>
        <v>0</v>
      </c>
      <c r="D1913" s="30" t="str">
        <f>IFERROR(VLOOKUP(C1913,소속부서!$A$2:$B$20,2,FALSE), "")</f>
        <v/>
      </c>
    </row>
    <row r="1914" spans="3:4" x14ac:dyDescent="0.3">
      <c r="C1914" s="35">
        <f t="shared" si="30"/>
        <v>0</v>
      </c>
      <c r="D1914" s="30" t="str">
        <f>IFERROR(VLOOKUP(C1914,소속부서!$A$2:$B$20,2,FALSE), "")</f>
        <v/>
      </c>
    </row>
    <row r="1915" spans="3:4" x14ac:dyDescent="0.3">
      <c r="C1915" s="35">
        <f t="shared" si="30"/>
        <v>0</v>
      </c>
      <c r="D1915" s="30" t="str">
        <f>IFERROR(VLOOKUP(C1915,소속부서!$A$2:$B$20,2,FALSE), "")</f>
        <v/>
      </c>
    </row>
    <row r="1916" spans="3:4" x14ac:dyDescent="0.3">
      <c r="C1916" s="35">
        <f t="shared" si="30"/>
        <v>0</v>
      </c>
      <c r="D1916" s="30" t="str">
        <f>IFERROR(VLOOKUP(C1916,소속부서!$A$2:$B$20,2,FALSE), "")</f>
        <v/>
      </c>
    </row>
    <row r="1917" spans="3:4" x14ac:dyDescent="0.3">
      <c r="C1917" s="35">
        <f t="shared" si="30"/>
        <v>0</v>
      </c>
      <c r="D1917" s="30" t="str">
        <f>IFERROR(VLOOKUP(C1917,소속부서!$A$2:$B$20,2,FALSE), "")</f>
        <v/>
      </c>
    </row>
    <row r="1918" spans="3:4" x14ac:dyDescent="0.3">
      <c r="C1918" s="35">
        <f t="shared" si="30"/>
        <v>0</v>
      </c>
      <c r="D1918" s="30" t="str">
        <f>IFERROR(VLOOKUP(C1918,소속부서!$A$2:$B$20,2,FALSE), "")</f>
        <v/>
      </c>
    </row>
    <row r="1919" spans="3:4" x14ac:dyDescent="0.3">
      <c r="C1919" s="35">
        <f t="shared" si="30"/>
        <v>0</v>
      </c>
      <c r="D1919" s="30" t="str">
        <f>IFERROR(VLOOKUP(C1919,소속부서!$A$2:$B$20,2,FALSE), "")</f>
        <v/>
      </c>
    </row>
    <row r="1920" spans="3:4" x14ac:dyDescent="0.3">
      <c r="C1920" s="35">
        <f t="shared" si="30"/>
        <v>0</v>
      </c>
      <c r="D1920" s="30" t="str">
        <f>IFERROR(VLOOKUP(C1920,소속부서!$A$2:$B$20,2,FALSE), "")</f>
        <v/>
      </c>
    </row>
    <row r="1921" spans="3:4" x14ac:dyDescent="0.3">
      <c r="C1921" s="35">
        <f t="shared" si="30"/>
        <v>0</v>
      </c>
      <c r="D1921" s="30" t="str">
        <f>IFERROR(VLOOKUP(C1921,소속부서!$A$2:$B$20,2,FALSE), "")</f>
        <v/>
      </c>
    </row>
    <row r="1922" spans="3:4" x14ac:dyDescent="0.3">
      <c r="C1922" s="35">
        <f t="shared" si="30"/>
        <v>0</v>
      </c>
      <c r="D1922" s="30" t="str">
        <f>IFERROR(VLOOKUP(C1922,소속부서!$A$2:$B$20,2,FALSE), "")</f>
        <v/>
      </c>
    </row>
    <row r="1923" spans="3:4" x14ac:dyDescent="0.3">
      <c r="C1923" s="35">
        <f t="shared" si="30"/>
        <v>0</v>
      </c>
      <c r="D1923" s="30" t="str">
        <f>IFERROR(VLOOKUP(C1923,소속부서!$A$2:$B$20,2,FALSE), "")</f>
        <v/>
      </c>
    </row>
    <row r="1924" spans="3:4" x14ac:dyDescent="0.3">
      <c r="C1924" s="35">
        <f t="shared" ref="C1924:C1987" si="31">E1924</f>
        <v>0</v>
      </c>
      <c r="D1924" s="30" t="str">
        <f>IFERROR(VLOOKUP(C1924,소속부서!$A$2:$B$20,2,FALSE), "")</f>
        <v/>
      </c>
    </row>
    <row r="1925" spans="3:4" x14ac:dyDescent="0.3">
      <c r="C1925" s="35">
        <f t="shared" si="31"/>
        <v>0</v>
      </c>
      <c r="D1925" s="30" t="str">
        <f>IFERROR(VLOOKUP(C1925,소속부서!$A$2:$B$20,2,FALSE), "")</f>
        <v/>
      </c>
    </row>
    <row r="1926" spans="3:4" x14ac:dyDescent="0.3">
      <c r="C1926" s="35">
        <f t="shared" si="31"/>
        <v>0</v>
      </c>
      <c r="D1926" s="30" t="str">
        <f>IFERROR(VLOOKUP(C1926,소속부서!$A$2:$B$20,2,FALSE), "")</f>
        <v/>
      </c>
    </row>
    <row r="1927" spans="3:4" x14ac:dyDescent="0.3">
      <c r="C1927" s="35">
        <f t="shared" si="31"/>
        <v>0</v>
      </c>
      <c r="D1927" s="30" t="str">
        <f>IFERROR(VLOOKUP(C1927,소속부서!$A$2:$B$20,2,FALSE), "")</f>
        <v/>
      </c>
    </row>
    <row r="1928" spans="3:4" x14ac:dyDescent="0.3">
      <c r="C1928" s="35">
        <f t="shared" si="31"/>
        <v>0</v>
      </c>
      <c r="D1928" s="30" t="str">
        <f>IFERROR(VLOOKUP(C1928,소속부서!$A$2:$B$20,2,FALSE), "")</f>
        <v/>
      </c>
    </row>
    <row r="1929" spans="3:4" x14ac:dyDescent="0.3">
      <c r="C1929" s="35">
        <f t="shared" si="31"/>
        <v>0</v>
      </c>
      <c r="D1929" s="30" t="str">
        <f>IFERROR(VLOOKUP(C1929,소속부서!$A$2:$B$20,2,FALSE), "")</f>
        <v/>
      </c>
    </row>
    <row r="1930" spans="3:4" x14ac:dyDescent="0.3">
      <c r="C1930" s="35">
        <f t="shared" si="31"/>
        <v>0</v>
      </c>
      <c r="D1930" s="30" t="str">
        <f>IFERROR(VLOOKUP(C1930,소속부서!$A$2:$B$20,2,FALSE), "")</f>
        <v/>
      </c>
    </row>
    <row r="1931" spans="3:4" x14ac:dyDescent="0.3">
      <c r="C1931" s="35">
        <f t="shared" si="31"/>
        <v>0</v>
      </c>
      <c r="D1931" s="30" t="str">
        <f>IFERROR(VLOOKUP(C1931,소속부서!$A$2:$B$20,2,FALSE), "")</f>
        <v/>
      </c>
    </row>
    <row r="1932" spans="3:4" x14ac:dyDescent="0.3">
      <c r="C1932" s="35">
        <f t="shared" si="31"/>
        <v>0</v>
      </c>
      <c r="D1932" s="30" t="str">
        <f>IFERROR(VLOOKUP(C1932,소속부서!$A$2:$B$20,2,FALSE), "")</f>
        <v/>
      </c>
    </row>
    <row r="1933" spans="3:4" x14ac:dyDescent="0.3">
      <c r="C1933" s="35">
        <f t="shared" si="31"/>
        <v>0</v>
      </c>
      <c r="D1933" s="30" t="str">
        <f>IFERROR(VLOOKUP(C1933,소속부서!$A$2:$B$20,2,FALSE), "")</f>
        <v/>
      </c>
    </row>
    <row r="1934" spans="3:4" x14ac:dyDescent="0.3">
      <c r="C1934" s="35">
        <f t="shared" si="31"/>
        <v>0</v>
      </c>
      <c r="D1934" s="30" t="str">
        <f>IFERROR(VLOOKUP(C1934,소속부서!$A$2:$B$20,2,FALSE), "")</f>
        <v/>
      </c>
    </row>
    <row r="1935" spans="3:4" x14ac:dyDescent="0.3">
      <c r="C1935" s="35">
        <f t="shared" si="31"/>
        <v>0</v>
      </c>
      <c r="D1935" s="30" t="str">
        <f>IFERROR(VLOOKUP(C1935,소속부서!$A$2:$B$20,2,FALSE), "")</f>
        <v/>
      </c>
    </row>
    <row r="1936" spans="3:4" x14ac:dyDescent="0.3">
      <c r="C1936" s="35">
        <f t="shared" si="31"/>
        <v>0</v>
      </c>
      <c r="D1936" s="30" t="str">
        <f>IFERROR(VLOOKUP(C1936,소속부서!$A$2:$B$20,2,FALSE), "")</f>
        <v/>
      </c>
    </row>
    <row r="1937" spans="3:4" x14ac:dyDescent="0.3">
      <c r="C1937" s="35">
        <f t="shared" si="31"/>
        <v>0</v>
      </c>
      <c r="D1937" s="30" t="str">
        <f>IFERROR(VLOOKUP(C1937,소속부서!$A$2:$B$20,2,FALSE), "")</f>
        <v/>
      </c>
    </row>
    <row r="1938" spans="3:4" x14ac:dyDescent="0.3">
      <c r="C1938" s="35">
        <f t="shared" si="31"/>
        <v>0</v>
      </c>
      <c r="D1938" s="30" t="str">
        <f>IFERROR(VLOOKUP(C1938,소속부서!$A$2:$B$20,2,FALSE), "")</f>
        <v/>
      </c>
    </row>
    <row r="1939" spans="3:4" x14ac:dyDescent="0.3">
      <c r="C1939" s="35">
        <f t="shared" si="31"/>
        <v>0</v>
      </c>
      <c r="D1939" s="30" t="str">
        <f>IFERROR(VLOOKUP(C1939,소속부서!$A$2:$B$20,2,FALSE), "")</f>
        <v/>
      </c>
    </row>
    <row r="1940" spans="3:4" x14ac:dyDescent="0.3">
      <c r="C1940" s="35">
        <f t="shared" si="31"/>
        <v>0</v>
      </c>
      <c r="D1940" s="30" t="str">
        <f>IFERROR(VLOOKUP(C1940,소속부서!$A$2:$B$20,2,FALSE), "")</f>
        <v/>
      </c>
    </row>
    <row r="1941" spans="3:4" x14ac:dyDescent="0.3">
      <c r="C1941" s="35">
        <f t="shared" si="31"/>
        <v>0</v>
      </c>
      <c r="D1941" s="30" t="str">
        <f>IFERROR(VLOOKUP(C1941,소속부서!$A$2:$B$20,2,FALSE), "")</f>
        <v/>
      </c>
    </row>
    <row r="1942" spans="3:4" x14ac:dyDescent="0.3">
      <c r="C1942" s="35">
        <f t="shared" si="31"/>
        <v>0</v>
      </c>
      <c r="D1942" s="30" t="str">
        <f>IFERROR(VLOOKUP(C1942,소속부서!$A$2:$B$20,2,FALSE), "")</f>
        <v/>
      </c>
    </row>
    <row r="1943" spans="3:4" x14ac:dyDescent="0.3">
      <c r="C1943" s="35">
        <f t="shared" si="31"/>
        <v>0</v>
      </c>
      <c r="D1943" s="30" t="str">
        <f>IFERROR(VLOOKUP(C1943,소속부서!$A$2:$B$20,2,FALSE), "")</f>
        <v/>
      </c>
    </row>
    <row r="1944" spans="3:4" x14ac:dyDescent="0.3">
      <c r="C1944" s="35">
        <f t="shared" si="31"/>
        <v>0</v>
      </c>
      <c r="D1944" s="30" t="str">
        <f>IFERROR(VLOOKUP(C1944,소속부서!$A$2:$B$20,2,FALSE), "")</f>
        <v/>
      </c>
    </row>
    <row r="1945" spans="3:4" x14ac:dyDescent="0.3">
      <c r="C1945" s="35">
        <f t="shared" si="31"/>
        <v>0</v>
      </c>
      <c r="D1945" s="30" t="str">
        <f>IFERROR(VLOOKUP(C1945,소속부서!$A$2:$B$20,2,FALSE), "")</f>
        <v/>
      </c>
    </row>
    <row r="1946" spans="3:4" x14ac:dyDescent="0.3">
      <c r="C1946" s="35">
        <f t="shared" si="31"/>
        <v>0</v>
      </c>
      <c r="D1946" s="30" t="str">
        <f>IFERROR(VLOOKUP(C1946,소속부서!$A$2:$B$20,2,FALSE), "")</f>
        <v/>
      </c>
    </row>
    <row r="1947" spans="3:4" x14ac:dyDescent="0.3">
      <c r="C1947" s="35">
        <f t="shared" si="31"/>
        <v>0</v>
      </c>
      <c r="D1947" s="30" t="str">
        <f>IFERROR(VLOOKUP(C1947,소속부서!$A$2:$B$20,2,FALSE), "")</f>
        <v/>
      </c>
    </row>
    <row r="1948" spans="3:4" x14ac:dyDescent="0.3">
      <c r="C1948" s="35">
        <f t="shared" si="31"/>
        <v>0</v>
      </c>
      <c r="D1948" s="30" t="str">
        <f>IFERROR(VLOOKUP(C1948,소속부서!$A$2:$B$20,2,FALSE), "")</f>
        <v/>
      </c>
    </row>
    <row r="1949" spans="3:4" x14ac:dyDescent="0.3">
      <c r="C1949" s="35">
        <f t="shared" si="31"/>
        <v>0</v>
      </c>
      <c r="D1949" s="30" t="str">
        <f>IFERROR(VLOOKUP(C1949,소속부서!$A$2:$B$20,2,FALSE), "")</f>
        <v/>
      </c>
    </row>
    <row r="1950" spans="3:4" x14ac:dyDescent="0.3">
      <c r="C1950" s="35">
        <f t="shared" si="31"/>
        <v>0</v>
      </c>
      <c r="D1950" s="30" t="str">
        <f>IFERROR(VLOOKUP(C1950,소속부서!$A$2:$B$20,2,FALSE), "")</f>
        <v/>
      </c>
    </row>
    <row r="1951" spans="3:4" x14ac:dyDescent="0.3">
      <c r="C1951" s="35">
        <f t="shared" si="31"/>
        <v>0</v>
      </c>
      <c r="D1951" s="30" t="str">
        <f>IFERROR(VLOOKUP(C1951,소속부서!$A$2:$B$20,2,FALSE), "")</f>
        <v/>
      </c>
    </row>
    <row r="1952" spans="3:4" x14ac:dyDescent="0.3">
      <c r="C1952" s="35">
        <f t="shared" si="31"/>
        <v>0</v>
      </c>
      <c r="D1952" s="30" t="str">
        <f>IFERROR(VLOOKUP(C1952,소속부서!$A$2:$B$20,2,FALSE), "")</f>
        <v/>
      </c>
    </row>
    <row r="1953" spans="3:4" x14ac:dyDescent="0.3">
      <c r="C1953" s="35">
        <f t="shared" si="31"/>
        <v>0</v>
      </c>
      <c r="D1953" s="30" t="str">
        <f>IFERROR(VLOOKUP(C1953,소속부서!$A$2:$B$20,2,FALSE), "")</f>
        <v/>
      </c>
    </row>
    <row r="1954" spans="3:4" x14ac:dyDescent="0.3">
      <c r="C1954" s="35">
        <f t="shared" si="31"/>
        <v>0</v>
      </c>
      <c r="D1954" s="30" t="str">
        <f>IFERROR(VLOOKUP(C1954,소속부서!$A$2:$B$20,2,FALSE), "")</f>
        <v/>
      </c>
    </row>
    <row r="1955" spans="3:4" x14ac:dyDescent="0.3">
      <c r="C1955" s="35">
        <f t="shared" si="31"/>
        <v>0</v>
      </c>
      <c r="D1955" s="30" t="str">
        <f>IFERROR(VLOOKUP(C1955,소속부서!$A$2:$B$20,2,FALSE), "")</f>
        <v/>
      </c>
    </row>
    <row r="1956" spans="3:4" x14ac:dyDescent="0.3">
      <c r="C1956" s="35">
        <f t="shared" si="31"/>
        <v>0</v>
      </c>
      <c r="D1956" s="30" t="str">
        <f>IFERROR(VLOOKUP(C1956,소속부서!$A$2:$B$20,2,FALSE), "")</f>
        <v/>
      </c>
    </row>
    <row r="1957" spans="3:4" x14ac:dyDescent="0.3">
      <c r="C1957" s="35">
        <f t="shared" si="31"/>
        <v>0</v>
      </c>
      <c r="D1957" s="30" t="str">
        <f>IFERROR(VLOOKUP(C1957,소속부서!$A$2:$B$20,2,FALSE), "")</f>
        <v/>
      </c>
    </row>
    <row r="1958" spans="3:4" x14ac:dyDescent="0.3">
      <c r="C1958" s="35">
        <f t="shared" si="31"/>
        <v>0</v>
      </c>
      <c r="D1958" s="30" t="str">
        <f>IFERROR(VLOOKUP(C1958,소속부서!$A$2:$B$20,2,FALSE), "")</f>
        <v/>
      </c>
    </row>
    <row r="1959" spans="3:4" x14ac:dyDescent="0.3">
      <c r="C1959" s="35">
        <f t="shared" si="31"/>
        <v>0</v>
      </c>
      <c r="D1959" s="30" t="str">
        <f>IFERROR(VLOOKUP(C1959,소속부서!$A$2:$B$20,2,FALSE), "")</f>
        <v/>
      </c>
    </row>
    <row r="1960" spans="3:4" x14ac:dyDescent="0.3">
      <c r="C1960" s="35">
        <f t="shared" si="31"/>
        <v>0</v>
      </c>
      <c r="D1960" s="30" t="str">
        <f>IFERROR(VLOOKUP(C1960,소속부서!$A$2:$B$20,2,FALSE), "")</f>
        <v/>
      </c>
    </row>
    <row r="1961" spans="3:4" x14ac:dyDescent="0.3">
      <c r="C1961" s="35">
        <f t="shared" si="31"/>
        <v>0</v>
      </c>
      <c r="D1961" s="30" t="str">
        <f>IFERROR(VLOOKUP(C1961,소속부서!$A$2:$B$20,2,FALSE), "")</f>
        <v/>
      </c>
    </row>
    <row r="1962" spans="3:4" x14ac:dyDescent="0.3">
      <c r="C1962" s="35">
        <f t="shared" si="31"/>
        <v>0</v>
      </c>
      <c r="D1962" s="30" t="str">
        <f>IFERROR(VLOOKUP(C1962,소속부서!$A$2:$B$20,2,FALSE), "")</f>
        <v/>
      </c>
    </row>
    <row r="1963" spans="3:4" x14ac:dyDescent="0.3">
      <c r="C1963" s="35">
        <f t="shared" si="31"/>
        <v>0</v>
      </c>
      <c r="D1963" s="30" t="str">
        <f>IFERROR(VLOOKUP(C1963,소속부서!$A$2:$B$20,2,FALSE), "")</f>
        <v/>
      </c>
    </row>
    <row r="1964" spans="3:4" x14ac:dyDescent="0.3">
      <c r="C1964" s="35">
        <f t="shared" si="31"/>
        <v>0</v>
      </c>
      <c r="D1964" s="30" t="str">
        <f>IFERROR(VLOOKUP(C1964,소속부서!$A$2:$B$20,2,FALSE), "")</f>
        <v/>
      </c>
    </row>
    <row r="1965" spans="3:4" x14ac:dyDescent="0.3">
      <c r="C1965" s="35">
        <f t="shared" si="31"/>
        <v>0</v>
      </c>
      <c r="D1965" s="30" t="str">
        <f>IFERROR(VLOOKUP(C1965,소속부서!$A$2:$B$20,2,FALSE), "")</f>
        <v/>
      </c>
    </row>
    <row r="1966" spans="3:4" x14ac:dyDescent="0.3">
      <c r="C1966" s="35">
        <f t="shared" si="31"/>
        <v>0</v>
      </c>
      <c r="D1966" s="30" t="str">
        <f>IFERROR(VLOOKUP(C1966,소속부서!$A$2:$B$20,2,FALSE), "")</f>
        <v/>
      </c>
    </row>
    <row r="1967" spans="3:4" x14ac:dyDescent="0.3">
      <c r="C1967" s="35">
        <f t="shared" si="31"/>
        <v>0</v>
      </c>
      <c r="D1967" s="30" t="str">
        <f>IFERROR(VLOOKUP(C1967,소속부서!$A$2:$B$20,2,FALSE), "")</f>
        <v/>
      </c>
    </row>
    <row r="1968" spans="3:4" x14ac:dyDescent="0.3">
      <c r="C1968" s="35">
        <f t="shared" si="31"/>
        <v>0</v>
      </c>
      <c r="D1968" s="30" t="str">
        <f>IFERROR(VLOOKUP(C1968,소속부서!$A$2:$B$20,2,FALSE), "")</f>
        <v/>
      </c>
    </row>
    <row r="1969" spans="3:4" x14ac:dyDescent="0.3">
      <c r="C1969" s="35">
        <f t="shared" si="31"/>
        <v>0</v>
      </c>
      <c r="D1969" s="30" t="str">
        <f>IFERROR(VLOOKUP(C1969,소속부서!$A$2:$B$20,2,FALSE), "")</f>
        <v/>
      </c>
    </row>
    <row r="1970" spans="3:4" x14ac:dyDescent="0.3">
      <c r="C1970" s="35">
        <f t="shared" si="31"/>
        <v>0</v>
      </c>
      <c r="D1970" s="30" t="str">
        <f>IFERROR(VLOOKUP(C1970,소속부서!$A$2:$B$20,2,FALSE), "")</f>
        <v/>
      </c>
    </row>
    <row r="1971" spans="3:4" x14ac:dyDescent="0.3">
      <c r="C1971" s="35">
        <f t="shared" si="31"/>
        <v>0</v>
      </c>
      <c r="D1971" s="30" t="str">
        <f>IFERROR(VLOOKUP(C1971,소속부서!$A$2:$B$20,2,FALSE), "")</f>
        <v/>
      </c>
    </row>
    <row r="1972" spans="3:4" x14ac:dyDescent="0.3">
      <c r="C1972" s="35">
        <f t="shared" si="31"/>
        <v>0</v>
      </c>
      <c r="D1972" s="30" t="str">
        <f>IFERROR(VLOOKUP(C1972,소속부서!$A$2:$B$20,2,FALSE), "")</f>
        <v/>
      </c>
    </row>
    <row r="1973" spans="3:4" x14ac:dyDescent="0.3">
      <c r="C1973" s="35">
        <f t="shared" si="31"/>
        <v>0</v>
      </c>
      <c r="D1973" s="30" t="str">
        <f>IFERROR(VLOOKUP(C1973,소속부서!$A$2:$B$20,2,FALSE), "")</f>
        <v/>
      </c>
    </row>
    <row r="1974" spans="3:4" x14ac:dyDescent="0.3">
      <c r="C1974" s="35">
        <f t="shared" si="31"/>
        <v>0</v>
      </c>
      <c r="D1974" s="30" t="str">
        <f>IFERROR(VLOOKUP(C1974,소속부서!$A$2:$B$20,2,FALSE), "")</f>
        <v/>
      </c>
    </row>
    <row r="1975" spans="3:4" x14ac:dyDescent="0.3">
      <c r="C1975" s="35">
        <f t="shared" si="31"/>
        <v>0</v>
      </c>
      <c r="D1975" s="30" t="str">
        <f>IFERROR(VLOOKUP(C1975,소속부서!$A$2:$B$20,2,FALSE), "")</f>
        <v/>
      </c>
    </row>
    <row r="1976" spans="3:4" x14ac:dyDescent="0.3">
      <c r="C1976" s="35">
        <f t="shared" si="31"/>
        <v>0</v>
      </c>
      <c r="D1976" s="30" t="str">
        <f>IFERROR(VLOOKUP(C1976,소속부서!$A$2:$B$20,2,FALSE), "")</f>
        <v/>
      </c>
    </row>
    <row r="1977" spans="3:4" x14ac:dyDescent="0.3">
      <c r="C1977" s="35">
        <f t="shared" si="31"/>
        <v>0</v>
      </c>
      <c r="D1977" s="30" t="str">
        <f>IFERROR(VLOOKUP(C1977,소속부서!$A$2:$B$20,2,FALSE), "")</f>
        <v/>
      </c>
    </row>
    <row r="1978" spans="3:4" x14ac:dyDescent="0.3">
      <c r="C1978" s="35">
        <f t="shared" si="31"/>
        <v>0</v>
      </c>
      <c r="D1978" s="30" t="str">
        <f>IFERROR(VLOOKUP(C1978,소속부서!$A$2:$B$20,2,FALSE), "")</f>
        <v/>
      </c>
    </row>
    <row r="1979" spans="3:4" x14ac:dyDescent="0.3">
      <c r="C1979" s="35">
        <f t="shared" si="31"/>
        <v>0</v>
      </c>
      <c r="D1979" s="30" t="str">
        <f>IFERROR(VLOOKUP(C1979,소속부서!$A$2:$B$20,2,FALSE), "")</f>
        <v/>
      </c>
    </row>
    <row r="1980" spans="3:4" x14ac:dyDescent="0.3">
      <c r="C1980" s="35">
        <f t="shared" si="31"/>
        <v>0</v>
      </c>
      <c r="D1980" s="30" t="str">
        <f>IFERROR(VLOOKUP(C1980,소속부서!$A$2:$B$20,2,FALSE), "")</f>
        <v/>
      </c>
    </row>
    <row r="1981" spans="3:4" x14ac:dyDescent="0.3">
      <c r="C1981" s="35">
        <f t="shared" si="31"/>
        <v>0</v>
      </c>
      <c r="D1981" s="30" t="str">
        <f>IFERROR(VLOOKUP(C1981,소속부서!$A$2:$B$20,2,FALSE), "")</f>
        <v/>
      </c>
    </row>
    <row r="1982" spans="3:4" x14ac:dyDescent="0.3">
      <c r="C1982" s="35">
        <f t="shared" si="31"/>
        <v>0</v>
      </c>
      <c r="D1982" s="30" t="str">
        <f>IFERROR(VLOOKUP(C1982,소속부서!$A$2:$B$20,2,FALSE), "")</f>
        <v/>
      </c>
    </row>
    <row r="1983" spans="3:4" x14ac:dyDescent="0.3">
      <c r="C1983" s="35">
        <f t="shared" si="31"/>
        <v>0</v>
      </c>
      <c r="D1983" s="30" t="str">
        <f>IFERROR(VLOOKUP(C1983,소속부서!$A$2:$B$20,2,FALSE), "")</f>
        <v/>
      </c>
    </row>
    <row r="1984" spans="3:4" x14ac:dyDescent="0.3">
      <c r="C1984" s="35">
        <f t="shared" si="31"/>
        <v>0</v>
      </c>
      <c r="D1984" s="30" t="str">
        <f>IFERROR(VLOOKUP(C1984,소속부서!$A$2:$B$20,2,FALSE), "")</f>
        <v/>
      </c>
    </row>
    <row r="1985" spans="3:4" x14ac:dyDescent="0.3">
      <c r="C1985" s="35">
        <f t="shared" si="31"/>
        <v>0</v>
      </c>
      <c r="D1985" s="30" t="str">
        <f>IFERROR(VLOOKUP(C1985,소속부서!$A$2:$B$20,2,FALSE), "")</f>
        <v/>
      </c>
    </row>
    <row r="1986" spans="3:4" x14ac:dyDescent="0.3">
      <c r="C1986" s="35">
        <f t="shared" si="31"/>
        <v>0</v>
      </c>
      <c r="D1986" s="30" t="str">
        <f>IFERROR(VLOOKUP(C1986,소속부서!$A$2:$B$20,2,FALSE), "")</f>
        <v/>
      </c>
    </row>
    <row r="1987" spans="3:4" x14ac:dyDescent="0.3">
      <c r="C1987" s="35">
        <f t="shared" si="31"/>
        <v>0</v>
      </c>
      <c r="D1987" s="30" t="str">
        <f>IFERROR(VLOOKUP(C1987,소속부서!$A$2:$B$20,2,FALSE), "")</f>
        <v/>
      </c>
    </row>
    <row r="1988" spans="3:4" x14ac:dyDescent="0.3">
      <c r="C1988" s="35">
        <f t="shared" ref="C1988:C2051" si="32">E1988</f>
        <v>0</v>
      </c>
      <c r="D1988" s="30" t="str">
        <f>IFERROR(VLOOKUP(C1988,소속부서!$A$2:$B$20,2,FALSE), "")</f>
        <v/>
      </c>
    </row>
    <row r="1989" spans="3:4" x14ac:dyDescent="0.3">
      <c r="C1989" s="35">
        <f t="shared" si="32"/>
        <v>0</v>
      </c>
      <c r="D1989" s="30" t="str">
        <f>IFERROR(VLOOKUP(C1989,소속부서!$A$2:$B$20,2,FALSE), "")</f>
        <v/>
      </c>
    </row>
    <row r="1990" spans="3:4" x14ac:dyDescent="0.3">
      <c r="C1990" s="35">
        <f t="shared" si="32"/>
        <v>0</v>
      </c>
      <c r="D1990" s="30" t="str">
        <f>IFERROR(VLOOKUP(C1990,소속부서!$A$2:$B$20,2,FALSE), "")</f>
        <v/>
      </c>
    </row>
    <row r="1991" spans="3:4" x14ac:dyDescent="0.3">
      <c r="C1991" s="35">
        <f t="shared" si="32"/>
        <v>0</v>
      </c>
      <c r="D1991" s="30" t="str">
        <f>IFERROR(VLOOKUP(C1991,소속부서!$A$2:$B$20,2,FALSE), "")</f>
        <v/>
      </c>
    </row>
    <row r="1992" spans="3:4" x14ac:dyDescent="0.3">
      <c r="C1992" s="35">
        <f t="shared" si="32"/>
        <v>0</v>
      </c>
      <c r="D1992" s="30" t="str">
        <f>IFERROR(VLOOKUP(C1992,소속부서!$A$2:$B$20,2,FALSE), "")</f>
        <v/>
      </c>
    </row>
    <row r="1993" spans="3:4" x14ac:dyDescent="0.3">
      <c r="C1993" s="35">
        <f t="shared" si="32"/>
        <v>0</v>
      </c>
      <c r="D1993" s="30" t="str">
        <f>IFERROR(VLOOKUP(C1993,소속부서!$A$2:$B$20,2,FALSE), "")</f>
        <v/>
      </c>
    </row>
    <row r="1994" spans="3:4" x14ac:dyDescent="0.3">
      <c r="C1994" s="35">
        <f t="shared" si="32"/>
        <v>0</v>
      </c>
      <c r="D1994" s="30" t="str">
        <f>IFERROR(VLOOKUP(C1994,소속부서!$A$2:$B$20,2,FALSE), "")</f>
        <v/>
      </c>
    </row>
    <row r="1995" spans="3:4" x14ac:dyDescent="0.3">
      <c r="C1995" s="35">
        <f t="shared" si="32"/>
        <v>0</v>
      </c>
      <c r="D1995" s="30" t="str">
        <f>IFERROR(VLOOKUP(C1995,소속부서!$A$2:$B$20,2,FALSE), "")</f>
        <v/>
      </c>
    </row>
    <row r="1996" spans="3:4" x14ac:dyDescent="0.3">
      <c r="C1996" s="35">
        <f t="shared" si="32"/>
        <v>0</v>
      </c>
      <c r="D1996" s="30" t="str">
        <f>IFERROR(VLOOKUP(C1996,소속부서!$A$2:$B$20,2,FALSE), "")</f>
        <v/>
      </c>
    </row>
    <row r="1997" spans="3:4" x14ac:dyDescent="0.3">
      <c r="C1997" s="35">
        <f t="shared" si="32"/>
        <v>0</v>
      </c>
      <c r="D1997" s="30" t="str">
        <f>IFERROR(VLOOKUP(C1997,소속부서!$A$2:$B$20,2,FALSE), "")</f>
        <v/>
      </c>
    </row>
    <row r="1998" spans="3:4" x14ac:dyDescent="0.3">
      <c r="C1998" s="35">
        <f t="shared" si="32"/>
        <v>0</v>
      </c>
      <c r="D1998" s="30" t="str">
        <f>IFERROR(VLOOKUP(C1998,소속부서!$A$2:$B$20,2,FALSE), "")</f>
        <v/>
      </c>
    </row>
    <row r="1999" spans="3:4" x14ac:dyDescent="0.3">
      <c r="C1999" s="35">
        <f t="shared" si="32"/>
        <v>0</v>
      </c>
      <c r="D1999" s="30" t="str">
        <f>IFERROR(VLOOKUP(C1999,소속부서!$A$2:$B$20,2,FALSE), "")</f>
        <v/>
      </c>
    </row>
    <row r="2000" spans="3:4" x14ac:dyDescent="0.3">
      <c r="C2000" s="35">
        <f t="shared" si="32"/>
        <v>0</v>
      </c>
      <c r="D2000" s="30" t="str">
        <f>IFERROR(VLOOKUP(C2000,소속부서!$A$2:$B$20,2,FALSE), "")</f>
        <v/>
      </c>
    </row>
    <row r="2001" spans="3:4" x14ac:dyDescent="0.3">
      <c r="C2001" s="35">
        <f t="shared" si="32"/>
        <v>0</v>
      </c>
      <c r="D2001" s="30" t="str">
        <f>IFERROR(VLOOKUP(C2001,소속부서!$A$2:$B$20,2,FALSE), "")</f>
        <v/>
      </c>
    </row>
    <row r="2002" spans="3:4" x14ac:dyDescent="0.3">
      <c r="C2002" s="35">
        <f t="shared" si="32"/>
        <v>0</v>
      </c>
      <c r="D2002" s="30" t="str">
        <f>IFERROR(VLOOKUP(C2002,소속부서!$A$2:$B$20,2,FALSE), "")</f>
        <v/>
      </c>
    </row>
    <row r="2003" spans="3:4" x14ac:dyDescent="0.3">
      <c r="C2003" s="35">
        <f t="shared" si="32"/>
        <v>0</v>
      </c>
      <c r="D2003" s="30" t="str">
        <f>IFERROR(VLOOKUP(C2003,소속부서!$A$2:$B$20,2,FALSE), "")</f>
        <v/>
      </c>
    </row>
    <row r="2004" spans="3:4" x14ac:dyDescent="0.3">
      <c r="C2004" s="35">
        <f t="shared" si="32"/>
        <v>0</v>
      </c>
      <c r="D2004" s="30" t="str">
        <f>IFERROR(VLOOKUP(C2004,소속부서!$A$2:$B$20,2,FALSE), "")</f>
        <v/>
      </c>
    </row>
    <row r="2005" spans="3:4" x14ac:dyDescent="0.3">
      <c r="C2005" s="35">
        <f t="shared" si="32"/>
        <v>0</v>
      </c>
      <c r="D2005" s="30" t="str">
        <f>IFERROR(VLOOKUP(C2005,소속부서!$A$2:$B$20,2,FALSE), "")</f>
        <v/>
      </c>
    </row>
    <row r="2006" spans="3:4" x14ac:dyDescent="0.3">
      <c r="C2006" s="35">
        <f t="shared" si="32"/>
        <v>0</v>
      </c>
      <c r="D2006" s="30" t="str">
        <f>IFERROR(VLOOKUP(C2006,소속부서!$A$2:$B$20,2,FALSE), "")</f>
        <v/>
      </c>
    </row>
    <row r="2007" spans="3:4" x14ac:dyDescent="0.3">
      <c r="C2007" s="35">
        <f t="shared" si="32"/>
        <v>0</v>
      </c>
      <c r="D2007" s="30" t="str">
        <f>IFERROR(VLOOKUP(C2007,소속부서!$A$2:$B$20,2,FALSE), "")</f>
        <v/>
      </c>
    </row>
    <row r="2008" spans="3:4" x14ac:dyDescent="0.3">
      <c r="C2008" s="35">
        <f t="shared" si="32"/>
        <v>0</v>
      </c>
      <c r="D2008" s="30" t="str">
        <f>IFERROR(VLOOKUP(C2008,소속부서!$A$2:$B$20,2,FALSE), "")</f>
        <v/>
      </c>
    </row>
    <row r="2009" spans="3:4" x14ac:dyDescent="0.3">
      <c r="C2009" s="35">
        <f t="shared" si="32"/>
        <v>0</v>
      </c>
      <c r="D2009" s="30" t="str">
        <f>IFERROR(VLOOKUP(C2009,소속부서!$A$2:$B$20,2,FALSE), "")</f>
        <v/>
      </c>
    </row>
    <row r="2010" spans="3:4" x14ac:dyDescent="0.3">
      <c r="C2010" s="35">
        <f t="shared" si="32"/>
        <v>0</v>
      </c>
      <c r="D2010" s="30" t="str">
        <f>IFERROR(VLOOKUP(C2010,소속부서!$A$2:$B$20,2,FALSE), "")</f>
        <v/>
      </c>
    </row>
    <row r="2011" spans="3:4" x14ac:dyDescent="0.3">
      <c r="C2011" s="35">
        <f t="shared" si="32"/>
        <v>0</v>
      </c>
      <c r="D2011" s="30" t="str">
        <f>IFERROR(VLOOKUP(C2011,소속부서!$A$2:$B$20,2,FALSE), "")</f>
        <v/>
      </c>
    </row>
    <row r="2012" spans="3:4" x14ac:dyDescent="0.3">
      <c r="C2012" s="35">
        <f t="shared" si="32"/>
        <v>0</v>
      </c>
      <c r="D2012" s="30" t="str">
        <f>IFERROR(VLOOKUP(C2012,소속부서!$A$2:$B$20,2,FALSE), "")</f>
        <v/>
      </c>
    </row>
    <row r="2013" spans="3:4" x14ac:dyDescent="0.3">
      <c r="C2013" s="35">
        <f t="shared" si="32"/>
        <v>0</v>
      </c>
      <c r="D2013" s="30" t="str">
        <f>IFERROR(VLOOKUP(C2013,소속부서!$A$2:$B$20,2,FALSE), "")</f>
        <v/>
      </c>
    </row>
    <row r="2014" spans="3:4" x14ac:dyDescent="0.3">
      <c r="C2014" s="35">
        <f t="shared" si="32"/>
        <v>0</v>
      </c>
      <c r="D2014" s="30" t="str">
        <f>IFERROR(VLOOKUP(C2014,소속부서!$A$2:$B$20,2,FALSE), "")</f>
        <v/>
      </c>
    </row>
    <row r="2015" spans="3:4" x14ac:dyDescent="0.3">
      <c r="C2015" s="35">
        <f t="shared" si="32"/>
        <v>0</v>
      </c>
      <c r="D2015" s="30" t="str">
        <f>IFERROR(VLOOKUP(C2015,소속부서!$A$2:$B$20,2,FALSE), "")</f>
        <v/>
      </c>
    </row>
    <row r="2016" spans="3:4" x14ac:dyDescent="0.3">
      <c r="C2016" s="35">
        <f t="shared" si="32"/>
        <v>0</v>
      </c>
      <c r="D2016" s="30" t="str">
        <f>IFERROR(VLOOKUP(C2016,소속부서!$A$2:$B$20,2,FALSE), "")</f>
        <v/>
      </c>
    </row>
    <row r="2017" spans="3:4" x14ac:dyDescent="0.3">
      <c r="C2017" s="35">
        <f t="shared" si="32"/>
        <v>0</v>
      </c>
      <c r="D2017" s="30" t="str">
        <f>IFERROR(VLOOKUP(C2017,소속부서!$A$2:$B$20,2,FALSE), "")</f>
        <v/>
      </c>
    </row>
    <row r="2018" spans="3:4" x14ac:dyDescent="0.3">
      <c r="C2018" s="35">
        <f t="shared" si="32"/>
        <v>0</v>
      </c>
      <c r="D2018" s="30" t="str">
        <f>IFERROR(VLOOKUP(C2018,소속부서!$A$2:$B$20,2,FALSE), "")</f>
        <v/>
      </c>
    </row>
    <row r="2019" spans="3:4" x14ac:dyDescent="0.3">
      <c r="C2019" s="35">
        <f t="shared" si="32"/>
        <v>0</v>
      </c>
      <c r="D2019" s="30" t="str">
        <f>IFERROR(VLOOKUP(C2019,소속부서!$A$2:$B$20,2,FALSE), "")</f>
        <v/>
      </c>
    </row>
    <row r="2020" spans="3:4" x14ac:dyDescent="0.3">
      <c r="C2020" s="35">
        <f t="shared" si="32"/>
        <v>0</v>
      </c>
      <c r="D2020" s="30" t="str">
        <f>IFERROR(VLOOKUP(C2020,소속부서!$A$2:$B$20,2,FALSE), "")</f>
        <v/>
      </c>
    </row>
    <row r="2021" spans="3:4" x14ac:dyDescent="0.3">
      <c r="C2021" s="35">
        <f t="shared" si="32"/>
        <v>0</v>
      </c>
      <c r="D2021" s="30" t="str">
        <f>IFERROR(VLOOKUP(C2021,소속부서!$A$2:$B$20,2,FALSE), "")</f>
        <v/>
      </c>
    </row>
    <row r="2022" spans="3:4" x14ac:dyDescent="0.3">
      <c r="C2022" s="35">
        <f t="shared" si="32"/>
        <v>0</v>
      </c>
      <c r="D2022" s="30" t="str">
        <f>IFERROR(VLOOKUP(C2022,소속부서!$A$2:$B$20,2,FALSE), "")</f>
        <v/>
      </c>
    </row>
    <row r="2023" spans="3:4" x14ac:dyDescent="0.3">
      <c r="C2023" s="35">
        <f t="shared" si="32"/>
        <v>0</v>
      </c>
      <c r="D2023" s="30" t="str">
        <f>IFERROR(VLOOKUP(C2023,소속부서!$A$2:$B$20,2,FALSE), "")</f>
        <v/>
      </c>
    </row>
    <row r="2024" spans="3:4" x14ac:dyDescent="0.3">
      <c r="C2024" s="35">
        <f t="shared" si="32"/>
        <v>0</v>
      </c>
      <c r="D2024" s="30" t="str">
        <f>IFERROR(VLOOKUP(C2024,소속부서!$A$2:$B$20,2,FALSE), "")</f>
        <v/>
      </c>
    </row>
    <row r="2025" spans="3:4" x14ac:dyDescent="0.3">
      <c r="C2025" s="35">
        <f t="shared" si="32"/>
        <v>0</v>
      </c>
      <c r="D2025" s="30" t="str">
        <f>IFERROR(VLOOKUP(C2025,소속부서!$A$2:$B$20,2,FALSE), "")</f>
        <v/>
      </c>
    </row>
    <row r="2026" spans="3:4" x14ac:dyDescent="0.3">
      <c r="C2026" s="35">
        <f t="shared" si="32"/>
        <v>0</v>
      </c>
      <c r="D2026" s="30" t="str">
        <f>IFERROR(VLOOKUP(C2026,소속부서!$A$2:$B$20,2,FALSE), "")</f>
        <v/>
      </c>
    </row>
    <row r="2027" spans="3:4" x14ac:dyDescent="0.3">
      <c r="C2027" s="35">
        <f t="shared" si="32"/>
        <v>0</v>
      </c>
      <c r="D2027" s="30" t="str">
        <f>IFERROR(VLOOKUP(C2027,소속부서!$A$2:$B$20,2,FALSE), "")</f>
        <v/>
      </c>
    </row>
    <row r="2028" spans="3:4" x14ac:dyDescent="0.3">
      <c r="C2028" s="35">
        <f t="shared" si="32"/>
        <v>0</v>
      </c>
      <c r="D2028" s="30" t="str">
        <f>IFERROR(VLOOKUP(C2028,소속부서!$A$2:$B$20,2,FALSE), "")</f>
        <v/>
      </c>
    </row>
    <row r="2029" spans="3:4" x14ac:dyDescent="0.3">
      <c r="C2029" s="35">
        <f t="shared" si="32"/>
        <v>0</v>
      </c>
      <c r="D2029" s="30" t="str">
        <f>IFERROR(VLOOKUP(C2029,소속부서!$A$2:$B$20,2,FALSE), "")</f>
        <v/>
      </c>
    </row>
    <row r="2030" spans="3:4" x14ac:dyDescent="0.3">
      <c r="C2030" s="35">
        <f t="shared" si="32"/>
        <v>0</v>
      </c>
      <c r="D2030" s="30" t="str">
        <f>IFERROR(VLOOKUP(C2030,소속부서!$A$2:$B$20,2,FALSE), "")</f>
        <v/>
      </c>
    </row>
    <row r="2031" spans="3:4" x14ac:dyDescent="0.3">
      <c r="C2031" s="35">
        <f t="shared" si="32"/>
        <v>0</v>
      </c>
      <c r="D2031" s="30" t="str">
        <f>IFERROR(VLOOKUP(C2031,소속부서!$A$2:$B$20,2,FALSE), "")</f>
        <v/>
      </c>
    </row>
    <row r="2032" spans="3:4" x14ac:dyDescent="0.3">
      <c r="C2032" s="35">
        <f t="shared" si="32"/>
        <v>0</v>
      </c>
      <c r="D2032" s="30" t="str">
        <f>IFERROR(VLOOKUP(C2032,소속부서!$A$2:$B$20,2,FALSE), "")</f>
        <v/>
      </c>
    </row>
    <row r="2033" spans="3:4" x14ac:dyDescent="0.3">
      <c r="C2033" s="35">
        <f t="shared" si="32"/>
        <v>0</v>
      </c>
      <c r="D2033" s="30" t="str">
        <f>IFERROR(VLOOKUP(C2033,소속부서!$A$2:$B$20,2,FALSE), "")</f>
        <v/>
      </c>
    </row>
    <row r="2034" spans="3:4" x14ac:dyDescent="0.3">
      <c r="C2034" s="35">
        <f t="shared" si="32"/>
        <v>0</v>
      </c>
      <c r="D2034" s="30" t="str">
        <f>IFERROR(VLOOKUP(C2034,소속부서!$A$2:$B$20,2,FALSE), "")</f>
        <v/>
      </c>
    </row>
    <row r="2035" spans="3:4" x14ac:dyDescent="0.3">
      <c r="C2035" s="35">
        <f t="shared" si="32"/>
        <v>0</v>
      </c>
      <c r="D2035" s="30" t="str">
        <f>IFERROR(VLOOKUP(C2035,소속부서!$A$2:$B$20,2,FALSE), "")</f>
        <v/>
      </c>
    </row>
    <row r="2036" spans="3:4" x14ac:dyDescent="0.3">
      <c r="C2036" s="35">
        <f t="shared" si="32"/>
        <v>0</v>
      </c>
      <c r="D2036" s="30" t="str">
        <f>IFERROR(VLOOKUP(C2036,소속부서!$A$2:$B$20,2,FALSE), "")</f>
        <v/>
      </c>
    </row>
    <row r="2037" spans="3:4" x14ac:dyDescent="0.3">
      <c r="C2037" s="35">
        <f t="shared" si="32"/>
        <v>0</v>
      </c>
      <c r="D2037" s="30" t="str">
        <f>IFERROR(VLOOKUP(C2037,소속부서!$A$2:$B$20,2,FALSE), "")</f>
        <v/>
      </c>
    </row>
    <row r="2038" spans="3:4" x14ac:dyDescent="0.3">
      <c r="C2038" s="35">
        <f t="shared" si="32"/>
        <v>0</v>
      </c>
      <c r="D2038" s="30" t="str">
        <f>IFERROR(VLOOKUP(C2038,소속부서!$A$2:$B$20,2,FALSE), "")</f>
        <v/>
      </c>
    </row>
    <row r="2039" spans="3:4" x14ac:dyDescent="0.3">
      <c r="C2039" s="35">
        <f t="shared" si="32"/>
        <v>0</v>
      </c>
      <c r="D2039" s="30" t="str">
        <f>IFERROR(VLOOKUP(C2039,소속부서!$A$2:$B$20,2,FALSE), "")</f>
        <v/>
      </c>
    </row>
    <row r="2040" spans="3:4" x14ac:dyDescent="0.3">
      <c r="C2040" s="35">
        <f t="shared" si="32"/>
        <v>0</v>
      </c>
      <c r="D2040" s="30" t="str">
        <f>IFERROR(VLOOKUP(C2040,소속부서!$A$2:$B$20,2,FALSE), "")</f>
        <v/>
      </c>
    </row>
    <row r="2041" spans="3:4" x14ac:dyDescent="0.3">
      <c r="C2041" s="35">
        <f t="shared" si="32"/>
        <v>0</v>
      </c>
      <c r="D2041" s="30" t="str">
        <f>IFERROR(VLOOKUP(C2041,소속부서!$A$2:$B$20,2,FALSE), "")</f>
        <v/>
      </c>
    </row>
    <row r="2042" spans="3:4" x14ac:dyDescent="0.3">
      <c r="C2042" s="35">
        <f t="shared" si="32"/>
        <v>0</v>
      </c>
      <c r="D2042" s="30" t="str">
        <f>IFERROR(VLOOKUP(C2042,소속부서!$A$2:$B$20,2,FALSE), "")</f>
        <v/>
      </c>
    </row>
    <row r="2043" spans="3:4" x14ac:dyDescent="0.3">
      <c r="C2043" s="35">
        <f t="shared" si="32"/>
        <v>0</v>
      </c>
      <c r="D2043" s="30" t="str">
        <f>IFERROR(VLOOKUP(C2043,소속부서!$A$2:$B$20,2,FALSE), "")</f>
        <v/>
      </c>
    </row>
    <row r="2044" spans="3:4" x14ac:dyDescent="0.3">
      <c r="C2044" s="35">
        <f t="shared" si="32"/>
        <v>0</v>
      </c>
      <c r="D2044" s="30" t="str">
        <f>IFERROR(VLOOKUP(C2044,소속부서!$A$2:$B$20,2,FALSE), "")</f>
        <v/>
      </c>
    </row>
    <row r="2045" spans="3:4" x14ac:dyDescent="0.3">
      <c r="C2045" s="35">
        <f t="shared" si="32"/>
        <v>0</v>
      </c>
      <c r="D2045" s="30" t="str">
        <f>IFERROR(VLOOKUP(C2045,소속부서!$A$2:$B$20,2,FALSE), "")</f>
        <v/>
      </c>
    </row>
    <row r="2046" spans="3:4" x14ac:dyDescent="0.3">
      <c r="C2046" s="35">
        <f t="shared" si="32"/>
        <v>0</v>
      </c>
      <c r="D2046" s="30" t="str">
        <f>IFERROR(VLOOKUP(C2046,소속부서!$A$2:$B$20,2,FALSE), "")</f>
        <v/>
      </c>
    </row>
    <row r="2047" spans="3:4" x14ac:dyDescent="0.3">
      <c r="C2047" s="35">
        <f t="shared" si="32"/>
        <v>0</v>
      </c>
      <c r="D2047" s="30" t="str">
        <f>IFERROR(VLOOKUP(C2047,소속부서!$A$2:$B$20,2,FALSE), "")</f>
        <v/>
      </c>
    </row>
    <row r="2048" spans="3:4" x14ac:dyDescent="0.3">
      <c r="C2048" s="35">
        <f t="shared" si="32"/>
        <v>0</v>
      </c>
      <c r="D2048" s="30" t="str">
        <f>IFERROR(VLOOKUP(C2048,소속부서!$A$2:$B$20,2,FALSE), "")</f>
        <v/>
      </c>
    </row>
    <row r="2049" spans="3:4" x14ac:dyDescent="0.3">
      <c r="C2049" s="35">
        <f t="shared" si="32"/>
        <v>0</v>
      </c>
      <c r="D2049" s="30" t="str">
        <f>IFERROR(VLOOKUP(C2049,소속부서!$A$2:$B$20,2,FALSE), "")</f>
        <v/>
      </c>
    </row>
    <row r="2050" spans="3:4" x14ac:dyDescent="0.3">
      <c r="C2050" s="35">
        <f t="shared" si="32"/>
        <v>0</v>
      </c>
      <c r="D2050" s="30" t="str">
        <f>IFERROR(VLOOKUP(C2050,소속부서!$A$2:$B$20,2,FALSE), "")</f>
        <v/>
      </c>
    </row>
    <row r="2051" spans="3:4" x14ac:dyDescent="0.3">
      <c r="C2051" s="35">
        <f t="shared" si="32"/>
        <v>0</v>
      </c>
      <c r="D2051" s="30" t="str">
        <f>IFERROR(VLOOKUP(C2051,소속부서!$A$2:$B$20,2,FALSE), "")</f>
        <v/>
      </c>
    </row>
    <row r="2052" spans="3:4" x14ac:dyDescent="0.3">
      <c r="C2052" s="35">
        <f t="shared" ref="C2052:C2115" si="33">E2052</f>
        <v>0</v>
      </c>
      <c r="D2052" s="30" t="str">
        <f>IFERROR(VLOOKUP(C2052,소속부서!$A$2:$B$20,2,FALSE), "")</f>
        <v/>
      </c>
    </row>
    <row r="2053" spans="3:4" x14ac:dyDescent="0.3">
      <c r="C2053" s="35">
        <f t="shared" si="33"/>
        <v>0</v>
      </c>
      <c r="D2053" s="30" t="str">
        <f>IFERROR(VLOOKUP(C2053,소속부서!$A$2:$B$20,2,FALSE), "")</f>
        <v/>
      </c>
    </row>
    <row r="2054" spans="3:4" x14ac:dyDescent="0.3">
      <c r="C2054" s="35">
        <f t="shared" si="33"/>
        <v>0</v>
      </c>
      <c r="D2054" s="30" t="str">
        <f>IFERROR(VLOOKUP(C2054,소속부서!$A$2:$B$20,2,FALSE), "")</f>
        <v/>
      </c>
    </row>
    <row r="2055" spans="3:4" x14ac:dyDescent="0.3">
      <c r="C2055" s="35">
        <f t="shared" si="33"/>
        <v>0</v>
      </c>
      <c r="D2055" s="30" t="str">
        <f>IFERROR(VLOOKUP(C2055,소속부서!$A$2:$B$20,2,FALSE), "")</f>
        <v/>
      </c>
    </row>
    <row r="2056" spans="3:4" x14ac:dyDescent="0.3">
      <c r="C2056" s="35">
        <f t="shared" si="33"/>
        <v>0</v>
      </c>
      <c r="D2056" s="30" t="str">
        <f>IFERROR(VLOOKUP(C2056,소속부서!$A$2:$B$20,2,FALSE), "")</f>
        <v/>
      </c>
    </row>
    <row r="2057" spans="3:4" x14ac:dyDescent="0.3">
      <c r="C2057" s="35">
        <f t="shared" si="33"/>
        <v>0</v>
      </c>
      <c r="D2057" s="30" t="str">
        <f>IFERROR(VLOOKUP(C2057,소속부서!$A$2:$B$20,2,FALSE), "")</f>
        <v/>
      </c>
    </row>
    <row r="2058" spans="3:4" x14ac:dyDescent="0.3">
      <c r="C2058" s="35">
        <f t="shared" si="33"/>
        <v>0</v>
      </c>
      <c r="D2058" s="30" t="str">
        <f>IFERROR(VLOOKUP(C2058,소속부서!$A$2:$B$20,2,FALSE), "")</f>
        <v/>
      </c>
    </row>
    <row r="2059" spans="3:4" x14ac:dyDescent="0.3">
      <c r="C2059" s="35">
        <f t="shared" si="33"/>
        <v>0</v>
      </c>
      <c r="D2059" s="30" t="str">
        <f>IFERROR(VLOOKUP(C2059,소속부서!$A$2:$B$20,2,FALSE), "")</f>
        <v/>
      </c>
    </row>
    <row r="2060" spans="3:4" x14ac:dyDescent="0.3">
      <c r="C2060" s="35">
        <f t="shared" si="33"/>
        <v>0</v>
      </c>
      <c r="D2060" s="30" t="str">
        <f>IFERROR(VLOOKUP(C2060,소속부서!$A$2:$B$20,2,FALSE), "")</f>
        <v/>
      </c>
    </row>
    <row r="2061" spans="3:4" x14ac:dyDescent="0.3">
      <c r="C2061" s="35">
        <f t="shared" si="33"/>
        <v>0</v>
      </c>
      <c r="D2061" s="30" t="str">
        <f>IFERROR(VLOOKUP(C2061,소속부서!$A$2:$B$20,2,FALSE), "")</f>
        <v/>
      </c>
    </row>
    <row r="2062" spans="3:4" x14ac:dyDescent="0.3">
      <c r="C2062" s="35">
        <f t="shared" si="33"/>
        <v>0</v>
      </c>
      <c r="D2062" s="30" t="str">
        <f>IFERROR(VLOOKUP(C2062,소속부서!$A$2:$B$20,2,FALSE), "")</f>
        <v/>
      </c>
    </row>
    <row r="2063" spans="3:4" x14ac:dyDescent="0.3">
      <c r="C2063" s="35">
        <f t="shared" si="33"/>
        <v>0</v>
      </c>
      <c r="D2063" s="30" t="str">
        <f>IFERROR(VLOOKUP(C2063,소속부서!$A$2:$B$20,2,FALSE), "")</f>
        <v/>
      </c>
    </row>
    <row r="2064" spans="3:4" x14ac:dyDescent="0.3">
      <c r="C2064" s="35">
        <f t="shared" si="33"/>
        <v>0</v>
      </c>
      <c r="D2064" s="30" t="str">
        <f>IFERROR(VLOOKUP(C2064,소속부서!$A$2:$B$20,2,FALSE), "")</f>
        <v/>
      </c>
    </row>
    <row r="2065" spans="3:4" x14ac:dyDescent="0.3">
      <c r="C2065" s="35">
        <f t="shared" si="33"/>
        <v>0</v>
      </c>
      <c r="D2065" s="30" t="str">
        <f>IFERROR(VLOOKUP(C2065,소속부서!$A$2:$B$20,2,FALSE), "")</f>
        <v/>
      </c>
    </row>
    <row r="2066" spans="3:4" x14ac:dyDescent="0.3">
      <c r="C2066" s="35">
        <f t="shared" si="33"/>
        <v>0</v>
      </c>
      <c r="D2066" s="30" t="str">
        <f>IFERROR(VLOOKUP(C2066,소속부서!$A$2:$B$20,2,FALSE), "")</f>
        <v/>
      </c>
    </row>
    <row r="2067" spans="3:4" x14ac:dyDescent="0.3">
      <c r="C2067" s="35">
        <f t="shared" si="33"/>
        <v>0</v>
      </c>
      <c r="D2067" s="30" t="str">
        <f>IFERROR(VLOOKUP(C2067,소속부서!$A$2:$B$20,2,FALSE), "")</f>
        <v/>
      </c>
    </row>
    <row r="2068" spans="3:4" x14ac:dyDescent="0.3">
      <c r="C2068" s="35">
        <f t="shared" si="33"/>
        <v>0</v>
      </c>
      <c r="D2068" s="30" t="str">
        <f>IFERROR(VLOOKUP(C2068,소속부서!$A$2:$B$20,2,FALSE), "")</f>
        <v/>
      </c>
    </row>
    <row r="2069" spans="3:4" x14ac:dyDescent="0.3">
      <c r="C2069" s="35">
        <f t="shared" si="33"/>
        <v>0</v>
      </c>
      <c r="D2069" s="30" t="str">
        <f>IFERROR(VLOOKUP(C2069,소속부서!$A$2:$B$20,2,FALSE), "")</f>
        <v/>
      </c>
    </row>
    <row r="2070" spans="3:4" x14ac:dyDescent="0.3">
      <c r="C2070" s="35">
        <f t="shared" si="33"/>
        <v>0</v>
      </c>
      <c r="D2070" s="30" t="str">
        <f>IFERROR(VLOOKUP(C2070,소속부서!$A$2:$B$20,2,FALSE), "")</f>
        <v/>
      </c>
    </row>
    <row r="2071" spans="3:4" x14ac:dyDescent="0.3">
      <c r="C2071" s="35">
        <f t="shared" si="33"/>
        <v>0</v>
      </c>
      <c r="D2071" s="30" t="str">
        <f>IFERROR(VLOOKUP(C2071,소속부서!$A$2:$B$20,2,FALSE), "")</f>
        <v/>
      </c>
    </row>
    <row r="2072" spans="3:4" x14ac:dyDescent="0.3">
      <c r="C2072" s="35">
        <f t="shared" si="33"/>
        <v>0</v>
      </c>
      <c r="D2072" s="30" t="str">
        <f>IFERROR(VLOOKUP(C2072,소속부서!$A$2:$B$20,2,FALSE), "")</f>
        <v/>
      </c>
    </row>
    <row r="2073" spans="3:4" x14ac:dyDescent="0.3">
      <c r="C2073" s="35">
        <f t="shared" si="33"/>
        <v>0</v>
      </c>
      <c r="D2073" s="30" t="str">
        <f>IFERROR(VLOOKUP(C2073,소속부서!$A$2:$B$20,2,FALSE), "")</f>
        <v/>
      </c>
    </row>
    <row r="2074" spans="3:4" x14ac:dyDescent="0.3">
      <c r="C2074" s="35">
        <f t="shared" si="33"/>
        <v>0</v>
      </c>
      <c r="D2074" s="30" t="str">
        <f>IFERROR(VLOOKUP(C2074,소속부서!$A$2:$B$20,2,FALSE), "")</f>
        <v/>
      </c>
    </row>
    <row r="2075" spans="3:4" x14ac:dyDescent="0.3">
      <c r="C2075" s="35">
        <f t="shared" si="33"/>
        <v>0</v>
      </c>
      <c r="D2075" s="30" t="str">
        <f>IFERROR(VLOOKUP(C2075,소속부서!$A$2:$B$20,2,FALSE), "")</f>
        <v/>
      </c>
    </row>
    <row r="2076" spans="3:4" x14ac:dyDescent="0.3">
      <c r="C2076" s="35">
        <f t="shared" si="33"/>
        <v>0</v>
      </c>
      <c r="D2076" s="30" t="str">
        <f>IFERROR(VLOOKUP(C2076,소속부서!$A$2:$B$20,2,FALSE), "")</f>
        <v/>
      </c>
    </row>
    <row r="2077" spans="3:4" x14ac:dyDescent="0.3">
      <c r="C2077" s="35">
        <f t="shared" si="33"/>
        <v>0</v>
      </c>
      <c r="D2077" s="30" t="str">
        <f>IFERROR(VLOOKUP(C2077,소속부서!$A$2:$B$20,2,FALSE), "")</f>
        <v/>
      </c>
    </row>
    <row r="2078" spans="3:4" x14ac:dyDescent="0.3">
      <c r="C2078" s="35">
        <f t="shared" si="33"/>
        <v>0</v>
      </c>
      <c r="D2078" s="30" t="str">
        <f>IFERROR(VLOOKUP(C2078,소속부서!$A$2:$B$20,2,FALSE), "")</f>
        <v/>
      </c>
    </row>
    <row r="2079" spans="3:4" x14ac:dyDescent="0.3">
      <c r="C2079" s="35">
        <f t="shared" si="33"/>
        <v>0</v>
      </c>
      <c r="D2079" s="30" t="str">
        <f>IFERROR(VLOOKUP(C2079,소속부서!$A$2:$B$20,2,FALSE), "")</f>
        <v/>
      </c>
    </row>
    <row r="2080" spans="3:4" x14ac:dyDescent="0.3">
      <c r="C2080" s="35">
        <f t="shared" si="33"/>
        <v>0</v>
      </c>
      <c r="D2080" s="30" t="str">
        <f>IFERROR(VLOOKUP(C2080,소속부서!$A$2:$B$20,2,FALSE), "")</f>
        <v/>
      </c>
    </row>
    <row r="2081" spans="3:4" x14ac:dyDescent="0.3">
      <c r="C2081" s="35">
        <f t="shared" si="33"/>
        <v>0</v>
      </c>
      <c r="D2081" s="30" t="str">
        <f>IFERROR(VLOOKUP(C2081,소속부서!$A$2:$B$20,2,FALSE), "")</f>
        <v/>
      </c>
    </row>
    <row r="2082" spans="3:4" x14ac:dyDescent="0.3">
      <c r="C2082" s="35">
        <f t="shared" si="33"/>
        <v>0</v>
      </c>
      <c r="D2082" s="30" t="str">
        <f>IFERROR(VLOOKUP(C2082,소속부서!$A$2:$B$20,2,FALSE), "")</f>
        <v/>
      </c>
    </row>
    <row r="2083" spans="3:4" x14ac:dyDescent="0.3">
      <c r="C2083" s="35">
        <f t="shared" si="33"/>
        <v>0</v>
      </c>
      <c r="D2083" s="30" t="str">
        <f>IFERROR(VLOOKUP(C2083,소속부서!$A$2:$B$20,2,FALSE), "")</f>
        <v/>
      </c>
    </row>
    <row r="2084" spans="3:4" x14ac:dyDescent="0.3">
      <c r="C2084" s="35">
        <f t="shared" si="33"/>
        <v>0</v>
      </c>
      <c r="D2084" s="30" t="str">
        <f>IFERROR(VLOOKUP(C2084,소속부서!$A$2:$B$20,2,FALSE), "")</f>
        <v/>
      </c>
    </row>
    <row r="2085" spans="3:4" x14ac:dyDescent="0.3">
      <c r="C2085" s="35">
        <f t="shared" si="33"/>
        <v>0</v>
      </c>
      <c r="D2085" s="30" t="str">
        <f>IFERROR(VLOOKUP(C2085,소속부서!$A$2:$B$20,2,FALSE), "")</f>
        <v/>
      </c>
    </row>
    <row r="2086" spans="3:4" x14ac:dyDescent="0.3">
      <c r="C2086" s="35">
        <f t="shared" si="33"/>
        <v>0</v>
      </c>
      <c r="D2086" s="30" t="str">
        <f>IFERROR(VLOOKUP(C2086,소속부서!$A$2:$B$20,2,FALSE), "")</f>
        <v/>
      </c>
    </row>
    <row r="2087" spans="3:4" x14ac:dyDescent="0.3">
      <c r="C2087" s="35">
        <f t="shared" si="33"/>
        <v>0</v>
      </c>
      <c r="D2087" s="30" t="str">
        <f>IFERROR(VLOOKUP(C2087,소속부서!$A$2:$B$20,2,FALSE), "")</f>
        <v/>
      </c>
    </row>
    <row r="2088" spans="3:4" x14ac:dyDescent="0.3">
      <c r="C2088" s="35">
        <f t="shared" si="33"/>
        <v>0</v>
      </c>
      <c r="D2088" s="30" t="str">
        <f>IFERROR(VLOOKUP(C2088,소속부서!$A$2:$B$20,2,FALSE), "")</f>
        <v/>
      </c>
    </row>
    <row r="2089" spans="3:4" x14ac:dyDescent="0.3">
      <c r="C2089" s="35">
        <f t="shared" si="33"/>
        <v>0</v>
      </c>
      <c r="D2089" s="30" t="str">
        <f>IFERROR(VLOOKUP(C2089,소속부서!$A$2:$B$20,2,FALSE), "")</f>
        <v/>
      </c>
    </row>
    <row r="2090" spans="3:4" x14ac:dyDescent="0.3">
      <c r="C2090" s="35">
        <f t="shared" si="33"/>
        <v>0</v>
      </c>
      <c r="D2090" s="30" t="str">
        <f>IFERROR(VLOOKUP(C2090,소속부서!$A$2:$B$20,2,FALSE), "")</f>
        <v/>
      </c>
    </row>
    <row r="2091" spans="3:4" x14ac:dyDescent="0.3">
      <c r="C2091" s="35">
        <f t="shared" si="33"/>
        <v>0</v>
      </c>
      <c r="D2091" s="30" t="str">
        <f>IFERROR(VLOOKUP(C2091,소속부서!$A$2:$B$20,2,FALSE), "")</f>
        <v/>
      </c>
    </row>
    <row r="2092" spans="3:4" x14ac:dyDescent="0.3">
      <c r="C2092" s="35">
        <f t="shared" si="33"/>
        <v>0</v>
      </c>
      <c r="D2092" s="30" t="str">
        <f>IFERROR(VLOOKUP(C2092,소속부서!$A$2:$B$20,2,FALSE), "")</f>
        <v/>
      </c>
    </row>
    <row r="2093" spans="3:4" x14ac:dyDescent="0.3">
      <c r="C2093" s="35">
        <f t="shared" si="33"/>
        <v>0</v>
      </c>
      <c r="D2093" s="30" t="str">
        <f>IFERROR(VLOOKUP(C2093,소속부서!$A$2:$B$20,2,FALSE), "")</f>
        <v/>
      </c>
    </row>
    <row r="2094" spans="3:4" x14ac:dyDescent="0.3">
      <c r="C2094" s="35">
        <f t="shared" si="33"/>
        <v>0</v>
      </c>
      <c r="D2094" s="30" t="str">
        <f>IFERROR(VLOOKUP(C2094,소속부서!$A$2:$B$20,2,FALSE), "")</f>
        <v/>
      </c>
    </row>
    <row r="2095" spans="3:4" x14ac:dyDescent="0.3">
      <c r="C2095" s="35">
        <f t="shared" si="33"/>
        <v>0</v>
      </c>
      <c r="D2095" s="30" t="str">
        <f>IFERROR(VLOOKUP(C2095,소속부서!$A$2:$B$20,2,FALSE), "")</f>
        <v/>
      </c>
    </row>
    <row r="2096" spans="3:4" x14ac:dyDescent="0.3">
      <c r="C2096" s="35">
        <f t="shared" si="33"/>
        <v>0</v>
      </c>
      <c r="D2096" s="30" t="str">
        <f>IFERROR(VLOOKUP(C2096,소속부서!$A$2:$B$20,2,FALSE), "")</f>
        <v/>
      </c>
    </row>
    <row r="2097" spans="3:4" x14ac:dyDescent="0.3">
      <c r="C2097" s="35">
        <f t="shared" si="33"/>
        <v>0</v>
      </c>
      <c r="D2097" s="30" t="str">
        <f>IFERROR(VLOOKUP(C2097,소속부서!$A$2:$B$20,2,FALSE), "")</f>
        <v/>
      </c>
    </row>
    <row r="2098" spans="3:4" x14ac:dyDescent="0.3">
      <c r="C2098" s="35">
        <f t="shared" si="33"/>
        <v>0</v>
      </c>
      <c r="D2098" s="30" t="str">
        <f>IFERROR(VLOOKUP(C2098,소속부서!$A$2:$B$20,2,FALSE), "")</f>
        <v/>
      </c>
    </row>
    <row r="2099" spans="3:4" x14ac:dyDescent="0.3">
      <c r="C2099" s="35">
        <f t="shared" si="33"/>
        <v>0</v>
      </c>
      <c r="D2099" s="30" t="str">
        <f>IFERROR(VLOOKUP(C2099,소속부서!$A$2:$B$20,2,FALSE), "")</f>
        <v/>
      </c>
    </row>
    <row r="2100" spans="3:4" x14ac:dyDescent="0.3">
      <c r="C2100" s="35">
        <f t="shared" si="33"/>
        <v>0</v>
      </c>
      <c r="D2100" s="30" t="str">
        <f>IFERROR(VLOOKUP(C2100,소속부서!$A$2:$B$20,2,FALSE), "")</f>
        <v/>
      </c>
    </row>
    <row r="2101" spans="3:4" x14ac:dyDescent="0.3">
      <c r="C2101" s="35">
        <f t="shared" si="33"/>
        <v>0</v>
      </c>
      <c r="D2101" s="30" t="str">
        <f>IFERROR(VLOOKUP(C2101,소속부서!$A$2:$B$20,2,FALSE), "")</f>
        <v/>
      </c>
    </row>
    <row r="2102" spans="3:4" x14ac:dyDescent="0.3">
      <c r="C2102" s="35">
        <f t="shared" si="33"/>
        <v>0</v>
      </c>
      <c r="D2102" s="30" t="str">
        <f>IFERROR(VLOOKUP(C2102,소속부서!$A$2:$B$20,2,FALSE), "")</f>
        <v/>
      </c>
    </row>
    <row r="2103" spans="3:4" x14ac:dyDescent="0.3">
      <c r="C2103" s="35">
        <f t="shared" si="33"/>
        <v>0</v>
      </c>
      <c r="D2103" s="30" t="str">
        <f>IFERROR(VLOOKUP(C2103,소속부서!$A$2:$B$20,2,FALSE), "")</f>
        <v/>
      </c>
    </row>
    <row r="2104" spans="3:4" x14ac:dyDescent="0.3">
      <c r="C2104" s="35">
        <f t="shared" si="33"/>
        <v>0</v>
      </c>
      <c r="D2104" s="30" t="str">
        <f>IFERROR(VLOOKUP(C2104,소속부서!$A$2:$B$20,2,FALSE), "")</f>
        <v/>
      </c>
    </row>
    <row r="2105" spans="3:4" x14ac:dyDescent="0.3">
      <c r="C2105" s="35">
        <f t="shared" si="33"/>
        <v>0</v>
      </c>
      <c r="D2105" s="30" t="str">
        <f>IFERROR(VLOOKUP(C2105,소속부서!$A$2:$B$20,2,FALSE), "")</f>
        <v/>
      </c>
    </row>
    <row r="2106" spans="3:4" x14ac:dyDescent="0.3">
      <c r="C2106" s="35">
        <f t="shared" si="33"/>
        <v>0</v>
      </c>
      <c r="D2106" s="30" t="str">
        <f>IFERROR(VLOOKUP(C2106,소속부서!$A$2:$B$20,2,FALSE), "")</f>
        <v/>
      </c>
    </row>
    <row r="2107" spans="3:4" x14ac:dyDescent="0.3">
      <c r="C2107" s="35">
        <f t="shared" si="33"/>
        <v>0</v>
      </c>
      <c r="D2107" s="30" t="str">
        <f>IFERROR(VLOOKUP(C2107,소속부서!$A$2:$B$20,2,FALSE), "")</f>
        <v/>
      </c>
    </row>
    <row r="2108" spans="3:4" x14ac:dyDescent="0.3">
      <c r="C2108" s="35">
        <f t="shared" si="33"/>
        <v>0</v>
      </c>
      <c r="D2108" s="30" t="str">
        <f>IFERROR(VLOOKUP(C2108,소속부서!$A$2:$B$20,2,FALSE), "")</f>
        <v/>
      </c>
    </row>
    <row r="2109" spans="3:4" x14ac:dyDescent="0.3">
      <c r="C2109" s="35">
        <f t="shared" si="33"/>
        <v>0</v>
      </c>
      <c r="D2109" s="30" t="str">
        <f>IFERROR(VLOOKUP(C2109,소속부서!$A$2:$B$20,2,FALSE), "")</f>
        <v/>
      </c>
    </row>
    <row r="2110" spans="3:4" x14ac:dyDescent="0.3">
      <c r="C2110" s="35">
        <f t="shared" si="33"/>
        <v>0</v>
      </c>
      <c r="D2110" s="30" t="str">
        <f>IFERROR(VLOOKUP(C2110,소속부서!$A$2:$B$20,2,FALSE), "")</f>
        <v/>
      </c>
    </row>
    <row r="2111" spans="3:4" x14ac:dyDescent="0.3">
      <c r="C2111" s="35">
        <f t="shared" si="33"/>
        <v>0</v>
      </c>
      <c r="D2111" s="30" t="str">
        <f>IFERROR(VLOOKUP(C2111,소속부서!$A$2:$B$20,2,FALSE), "")</f>
        <v/>
      </c>
    </row>
    <row r="2112" spans="3:4" x14ac:dyDescent="0.3">
      <c r="C2112" s="35">
        <f t="shared" si="33"/>
        <v>0</v>
      </c>
      <c r="D2112" s="30" t="str">
        <f>IFERROR(VLOOKUP(C2112,소속부서!$A$2:$B$20,2,FALSE), "")</f>
        <v/>
      </c>
    </row>
    <row r="2113" spans="3:4" x14ac:dyDescent="0.3">
      <c r="C2113" s="35">
        <f t="shared" si="33"/>
        <v>0</v>
      </c>
      <c r="D2113" s="30" t="str">
        <f>IFERROR(VLOOKUP(C2113,소속부서!$A$2:$B$20,2,FALSE), "")</f>
        <v/>
      </c>
    </row>
    <row r="2114" spans="3:4" x14ac:dyDescent="0.3">
      <c r="C2114" s="35">
        <f t="shared" si="33"/>
        <v>0</v>
      </c>
      <c r="D2114" s="30" t="str">
        <f>IFERROR(VLOOKUP(C2114,소속부서!$A$2:$B$20,2,FALSE), "")</f>
        <v/>
      </c>
    </row>
    <row r="2115" spans="3:4" x14ac:dyDescent="0.3">
      <c r="C2115" s="35">
        <f t="shared" si="33"/>
        <v>0</v>
      </c>
      <c r="D2115" s="30" t="str">
        <f>IFERROR(VLOOKUP(C2115,소속부서!$A$2:$B$20,2,FALSE), "")</f>
        <v/>
      </c>
    </row>
    <row r="2116" spans="3:4" x14ac:dyDescent="0.3">
      <c r="C2116" s="35">
        <f t="shared" ref="C2116:C2179" si="34">E2116</f>
        <v>0</v>
      </c>
      <c r="D2116" s="30" t="str">
        <f>IFERROR(VLOOKUP(C2116,소속부서!$A$2:$B$20,2,FALSE), "")</f>
        <v/>
      </c>
    </row>
    <row r="2117" spans="3:4" x14ac:dyDescent="0.3">
      <c r="C2117" s="35">
        <f t="shared" si="34"/>
        <v>0</v>
      </c>
      <c r="D2117" s="30" t="str">
        <f>IFERROR(VLOOKUP(C2117,소속부서!$A$2:$B$20,2,FALSE), "")</f>
        <v/>
      </c>
    </row>
    <row r="2118" spans="3:4" x14ac:dyDescent="0.3">
      <c r="C2118" s="35">
        <f t="shared" si="34"/>
        <v>0</v>
      </c>
      <c r="D2118" s="30" t="str">
        <f>IFERROR(VLOOKUP(C2118,소속부서!$A$2:$B$20,2,FALSE), "")</f>
        <v/>
      </c>
    </row>
    <row r="2119" spans="3:4" x14ac:dyDescent="0.3">
      <c r="C2119" s="35">
        <f t="shared" si="34"/>
        <v>0</v>
      </c>
      <c r="D2119" s="30" t="str">
        <f>IFERROR(VLOOKUP(C2119,소속부서!$A$2:$B$20,2,FALSE), "")</f>
        <v/>
      </c>
    </row>
    <row r="2120" spans="3:4" x14ac:dyDescent="0.3">
      <c r="C2120" s="35">
        <f t="shared" si="34"/>
        <v>0</v>
      </c>
      <c r="D2120" s="30" t="str">
        <f>IFERROR(VLOOKUP(C2120,소속부서!$A$2:$B$20,2,FALSE), "")</f>
        <v/>
      </c>
    </row>
    <row r="2121" spans="3:4" x14ac:dyDescent="0.3">
      <c r="C2121" s="35">
        <f t="shared" si="34"/>
        <v>0</v>
      </c>
      <c r="D2121" s="30" t="str">
        <f>IFERROR(VLOOKUP(C2121,소속부서!$A$2:$B$20,2,FALSE), "")</f>
        <v/>
      </c>
    </row>
    <row r="2122" spans="3:4" x14ac:dyDescent="0.3">
      <c r="C2122" s="35">
        <f t="shared" si="34"/>
        <v>0</v>
      </c>
      <c r="D2122" s="30" t="str">
        <f>IFERROR(VLOOKUP(C2122,소속부서!$A$2:$B$20,2,FALSE), "")</f>
        <v/>
      </c>
    </row>
    <row r="2123" spans="3:4" x14ac:dyDescent="0.3">
      <c r="C2123" s="35">
        <f t="shared" si="34"/>
        <v>0</v>
      </c>
      <c r="D2123" s="30" t="str">
        <f>IFERROR(VLOOKUP(C2123,소속부서!$A$2:$B$20,2,FALSE), "")</f>
        <v/>
      </c>
    </row>
    <row r="2124" spans="3:4" x14ac:dyDescent="0.3">
      <c r="C2124" s="35">
        <f t="shared" si="34"/>
        <v>0</v>
      </c>
      <c r="D2124" s="30" t="str">
        <f>IFERROR(VLOOKUP(C2124,소속부서!$A$2:$B$20,2,FALSE), "")</f>
        <v/>
      </c>
    </row>
    <row r="2125" spans="3:4" x14ac:dyDescent="0.3">
      <c r="C2125" s="35">
        <f t="shared" si="34"/>
        <v>0</v>
      </c>
      <c r="D2125" s="30" t="str">
        <f>IFERROR(VLOOKUP(C2125,소속부서!$A$2:$B$20,2,FALSE), "")</f>
        <v/>
      </c>
    </row>
    <row r="2126" spans="3:4" x14ac:dyDescent="0.3">
      <c r="C2126" s="35">
        <f t="shared" si="34"/>
        <v>0</v>
      </c>
      <c r="D2126" s="30" t="str">
        <f>IFERROR(VLOOKUP(C2126,소속부서!$A$2:$B$20,2,FALSE), "")</f>
        <v/>
      </c>
    </row>
    <row r="2127" spans="3:4" x14ac:dyDescent="0.3">
      <c r="C2127" s="35">
        <f t="shared" si="34"/>
        <v>0</v>
      </c>
      <c r="D2127" s="30" t="str">
        <f>IFERROR(VLOOKUP(C2127,소속부서!$A$2:$B$20,2,FALSE), "")</f>
        <v/>
      </c>
    </row>
    <row r="2128" spans="3:4" x14ac:dyDescent="0.3">
      <c r="C2128" s="35">
        <f t="shared" si="34"/>
        <v>0</v>
      </c>
      <c r="D2128" s="30" t="str">
        <f>IFERROR(VLOOKUP(C2128,소속부서!$A$2:$B$20,2,FALSE), "")</f>
        <v/>
      </c>
    </row>
    <row r="2129" spans="3:4" x14ac:dyDescent="0.3">
      <c r="C2129" s="35">
        <f t="shared" si="34"/>
        <v>0</v>
      </c>
      <c r="D2129" s="30" t="str">
        <f>IFERROR(VLOOKUP(C2129,소속부서!$A$2:$B$20,2,FALSE), "")</f>
        <v/>
      </c>
    </row>
    <row r="2130" spans="3:4" x14ac:dyDescent="0.3">
      <c r="C2130" s="35">
        <f t="shared" si="34"/>
        <v>0</v>
      </c>
      <c r="D2130" s="30" t="str">
        <f>IFERROR(VLOOKUP(C2130,소속부서!$A$2:$B$20,2,FALSE), "")</f>
        <v/>
      </c>
    </row>
    <row r="2131" spans="3:4" x14ac:dyDescent="0.3">
      <c r="C2131" s="35">
        <f t="shared" si="34"/>
        <v>0</v>
      </c>
      <c r="D2131" s="30" t="str">
        <f>IFERROR(VLOOKUP(C2131,소속부서!$A$2:$B$20,2,FALSE), "")</f>
        <v/>
      </c>
    </row>
    <row r="2132" spans="3:4" x14ac:dyDescent="0.3">
      <c r="C2132" s="35">
        <f t="shared" si="34"/>
        <v>0</v>
      </c>
      <c r="D2132" s="30" t="str">
        <f>IFERROR(VLOOKUP(C2132,소속부서!$A$2:$B$20,2,FALSE), "")</f>
        <v/>
      </c>
    </row>
    <row r="2133" spans="3:4" x14ac:dyDescent="0.3">
      <c r="C2133" s="35">
        <f t="shared" si="34"/>
        <v>0</v>
      </c>
      <c r="D2133" s="30" t="str">
        <f>IFERROR(VLOOKUP(C2133,소속부서!$A$2:$B$20,2,FALSE), "")</f>
        <v/>
      </c>
    </row>
    <row r="2134" spans="3:4" x14ac:dyDescent="0.3">
      <c r="C2134" s="35">
        <f t="shared" si="34"/>
        <v>0</v>
      </c>
      <c r="D2134" s="30" t="str">
        <f>IFERROR(VLOOKUP(C2134,소속부서!$A$2:$B$20,2,FALSE), "")</f>
        <v/>
      </c>
    </row>
    <row r="2135" spans="3:4" x14ac:dyDescent="0.3">
      <c r="C2135" s="35">
        <f t="shared" si="34"/>
        <v>0</v>
      </c>
      <c r="D2135" s="30" t="str">
        <f>IFERROR(VLOOKUP(C2135,소속부서!$A$2:$B$20,2,FALSE), "")</f>
        <v/>
      </c>
    </row>
    <row r="2136" spans="3:4" x14ac:dyDescent="0.3">
      <c r="C2136" s="35">
        <f t="shared" si="34"/>
        <v>0</v>
      </c>
      <c r="D2136" s="30" t="str">
        <f>IFERROR(VLOOKUP(C2136,소속부서!$A$2:$B$20,2,FALSE), "")</f>
        <v/>
      </c>
    </row>
    <row r="2137" spans="3:4" x14ac:dyDescent="0.3">
      <c r="C2137" s="35">
        <f t="shared" si="34"/>
        <v>0</v>
      </c>
      <c r="D2137" s="30" t="str">
        <f>IFERROR(VLOOKUP(C2137,소속부서!$A$2:$B$20,2,FALSE), "")</f>
        <v/>
      </c>
    </row>
    <row r="2138" spans="3:4" x14ac:dyDescent="0.3">
      <c r="C2138" s="35">
        <f t="shared" si="34"/>
        <v>0</v>
      </c>
      <c r="D2138" s="30" t="str">
        <f>IFERROR(VLOOKUP(C2138,소속부서!$A$2:$B$20,2,FALSE), "")</f>
        <v/>
      </c>
    </row>
    <row r="2139" spans="3:4" x14ac:dyDescent="0.3">
      <c r="C2139" s="35">
        <f t="shared" si="34"/>
        <v>0</v>
      </c>
      <c r="D2139" s="30" t="str">
        <f>IFERROR(VLOOKUP(C2139,소속부서!$A$2:$B$20,2,FALSE), "")</f>
        <v/>
      </c>
    </row>
    <row r="2140" spans="3:4" x14ac:dyDescent="0.3">
      <c r="C2140" s="35">
        <f t="shared" si="34"/>
        <v>0</v>
      </c>
      <c r="D2140" s="30" t="str">
        <f>IFERROR(VLOOKUP(C2140,소속부서!$A$2:$B$20,2,FALSE), "")</f>
        <v/>
      </c>
    </row>
    <row r="2141" spans="3:4" x14ac:dyDescent="0.3">
      <c r="C2141" s="35">
        <f t="shared" si="34"/>
        <v>0</v>
      </c>
      <c r="D2141" s="30" t="str">
        <f>IFERROR(VLOOKUP(C2141,소속부서!$A$2:$B$20,2,FALSE), "")</f>
        <v/>
      </c>
    </row>
    <row r="2142" spans="3:4" x14ac:dyDescent="0.3">
      <c r="C2142" s="35">
        <f t="shared" si="34"/>
        <v>0</v>
      </c>
      <c r="D2142" s="30" t="str">
        <f>IFERROR(VLOOKUP(C2142,소속부서!$A$2:$B$20,2,FALSE), "")</f>
        <v/>
      </c>
    </row>
    <row r="2143" spans="3:4" x14ac:dyDescent="0.3">
      <c r="C2143" s="35">
        <f t="shared" si="34"/>
        <v>0</v>
      </c>
      <c r="D2143" s="30" t="str">
        <f>IFERROR(VLOOKUP(C2143,소속부서!$A$2:$B$20,2,FALSE), "")</f>
        <v/>
      </c>
    </row>
    <row r="2144" spans="3:4" x14ac:dyDescent="0.3">
      <c r="C2144" s="35">
        <f t="shared" si="34"/>
        <v>0</v>
      </c>
      <c r="D2144" s="30" t="str">
        <f>IFERROR(VLOOKUP(C2144,소속부서!$A$2:$B$20,2,FALSE), "")</f>
        <v/>
      </c>
    </row>
    <row r="2145" spans="3:4" x14ac:dyDescent="0.3">
      <c r="C2145" s="35">
        <f t="shared" si="34"/>
        <v>0</v>
      </c>
      <c r="D2145" s="30" t="str">
        <f>IFERROR(VLOOKUP(C2145,소속부서!$A$2:$B$20,2,FALSE), "")</f>
        <v/>
      </c>
    </row>
    <row r="2146" spans="3:4" x14ac:dyDescent="0.3">
      <c r="C2146" s="35">
        <f t="shared" si="34"/>
        <v>0</v>
      </c>
      <c r="D2146" s="30" t="str">
        <f>IFERROR(VLOOKUP(C2146,소속부서!$A$2:$B$20,2,FALSE), "")</f>
        <v/>
      </c>
    </row>
    <row r="2147" spans="3:4" x14ac:dyDescent="0.3">
      <c r="C2147" s="35">
        <f t="shared" si="34"/>
        <v>0</v>
      </c>
      <c r="D2147" s="30" t="str">
        <f>IFERROR(VLOOKUP(C2147,소속부서!$A$2:$B$20,2,FALSE), "")</f>
        <v/>
      </c>
    </row>
    <row r="2148" spans="3:4" x14ac:dyDescent="0.3">
      <c r="C2148" s="35">
        <f t="shared" si="34"/>
        <v>0</v>
      </c>
      <c r="D2148" s="30" t="str">
        <f>IFERROR(VLOOKUP(C2148,소속부서!$A$2:$B$20,2,FALSE), "")</f>
        <v/>
      </c>
    </row>
    <row r="2149" spans="3:4" x14ac:dyDescent="0.3">
      <c r="C2149" s="35">
        <f t="shared" si="34"/>
        <v>0</v>
      </c>
      <c r="D2149" s="30" t="str">
        <f>IFERROR(VLOOKUP(C2149,소속부서!$A$2:$B$20,2,FALSE), "")</f>
        <v/>
      </c>
    </row>
    <row r="2150" spans="3:4" x14ac:dyDescent="0.3">
      <c r="C2150" s="35">
        <f t="shared" si="34"/>
        <v>0</v>
      </c>
      <c r="D2150" s="30" t="str">
        <f>IFERROR(VLOOKUP(C2150,소속부서!$A$2:$B$20,2,FALSE), "")</f>
        <v/>
      </c>
    </row>
    <row r="2151" spans="3:4" x14ac:dyDescent="0.3">
      <c r="C2151" s="35">
        <f t="shared" si="34"/>
        <v>0</v>
      </c>
      <c r="D2151" s="30" t="str">
        <f>IFERROR(VLOOKUP(C2151,소속부서!$A$2:$B$20,2,FALSE), "")</f>
        <v/>
      </c>
    </row>
    <row r="2152" spans="3:4" x14ac:dyDescent="0.3">
      <c r="C2152" s="35">
        <f t="shared" si="34"/>
        <v>0</v>
      </c>
      <c r="D2152" s="30" t="str">
        <f>IFERROR(VLOOKUP(C2152,소속부서!$A$2:$B$20,2,FALSE), "")</f>
        <v/>
      </c>
    </row>
    <row r="2153" spans="3:4" x14ac:dyDescent="0.3">
      <c r="C2153" s="35">
        <f t="shared" si="34"/>
        <v>0</v>
      </c>
      <c r="D2153" s="30" t="str">
        <f>IFERROR(VLOOKUP(C2153,소속부서!$A$2:$B$20,2,FALSE), "")</f>
        <v/>
      </c>
    </row>
    <row r="2154" spans="3:4" x14ac:dyDescent="0.3">
      <c r="C2154" s="35">
        <f t="shared" si="34"/>
        <v>0</v>
      </c>
      <c r="D2154" s="30" t="str">
        <f>IFERROR(VLOOKUP(C2154,소속부서!$A$2:$B$20,2,FALSE), "")</f>
        <v/>
      </c>
    </row>
    <row r="2155" spans="3:4" x14ac:dyDescent="0.3">
      <c r="C2155" s="35">
        <f t="shared" si="34"/>
        <v>0</v>
      </c>
      <c r="D2155" s="30" t="str">
        <f>IFERROR(VLOOKUP(C2155,소속부서!$A$2:$B$20,2,FALSE), "")</f>
        <v/>
      </c>
    </row>
    <row r="2156" spans="3:4" x14ac:dyDescent="0.3">
      <c r="C2156" s="35">
        <f t="shared" si="34"/>
        <v>0</v>
      </c>
      <c r="D2156" s="30" t="str">
        <f>IFERROR(VLOOKUP(C2156,소속부서!$A$2:$B$20,2,FALSE), "")</f>
        <v/>
      </c>
    </row>
    <row r="2157" spans="3:4" x14ac:dyDescent="0.3">
      <c r="C2157" s="35">
        <f t="shared" si="34"/>
        <v>0</v>
      </c>
      <c r="D2157" s="30" t="str">
        <f>IFERROR(VLOOKUP(C2157,소속부서!$A$2:$B$20,2,FALSE), "")</f>
        <v/>
      </c>
    </row>
    <row r="2158" spans="3:4" x14ac:dyDescent="0.3">
      <c r="C2158" s="35">
        <f t="shared" si="34"/>
        <v>0</v>
      </c>
      <c r="D2158" s="30" t="str">
        <f>IFERROR(VLOOKUP(C2158,소속부서!$A$2:$B$20,2,FALSE), "")</f>
        <v/>
      </c>
    </row>
    <row r="2159" spans="3:4" x14ac:dyDescent="0.3">
      <c r="C2159" s="35">
        <f t="shared" si="34"/>
        <v>0</v>
      </c>
      <c r="D2159" s="30" t="str">
        <f>IFERROR(VLOOKUP(C2159,소속부서!$A$2:$B$20,2,FALSE), "")</f>
        <v/>
      </c>
    </row>
    <row r="2160" spans="3:4" x14ac:dyDescent="0.3">
      <c r="C2160" s="35">
        <f t="shared" si="34"/>
        <v>0</v>
      </c>
      <c r="D2160" s="30" t="str">
        <f>IFERROR(VLOOKUP(C2160,소속부서!$A$2:$B$20,2,FALSE), "")</f>
        <v/>
      </c>
    </row>
    <row r="2161" spans="3:4" x14ac:dyDescent="0.3">
      <c r="C2161" s="35">
        <f t="shared" si="34"/>
        <v>0</v>
      </c>
      <c r="D2161" s="30" t="str">
        <f>IFERROR(VLOOKUP(C2161,소속부서!$A$2:$B$20,2,FALSE), "")</f>
        <v/>
      </c>
    </row>
    <row r="2162" spans="3:4" x14ac:dyDescent="0.3">
      <c r="C2162" s="35">
        <f t="shared" si="34"/>
        <v>0</v>
      </c>
      <c r="D2162" s="30" t="str">
        <f>IFERROR(VLOOKUP(C2162,소속부서!$A$2:$B$20,2,FALSE), "")</f>
        <v/>
      </c>
    </row>
    <row r="2163" spans="3:4" x14ac:dyDescent="0.3">
      <c r="C2163" s="35">
        <f t="shared" si="34"/>
        <v>0</v>
      </c>
      <c r="D2163" s="30" t="str">
        <f>IFERROR(VLOOKUP(C2163,소속부서!$A$2:$B$20,2,FALSE), "")</f>
        <v/>
      </c>
    </row>
    <row r="2164" spans="3:4" x14ac:dyDescent="0.3">
      <c r="C2164" s="35">
        <f t="shared" si="34"/>
        <v>0</v>
      </c>
      <c r="D2164" s="30" t="str">
        <f>IFERROR(VLOOKUP(C2164,소속부서!$A$2:$B$20,2,FALSE), "")</f>
        <v/>
      </c>
    </row>
    <row r="2165" spans="3:4" x14ac:dyDescent="0.3">
      <c r="C2165" s="35">
        <f t="shared" si="34"/>
        <v>0</v>
      </c>
      <c r="D2165" s="30" t="str">
        <f>IFERROR(VLOOKUP(C2165,소속부서!$A$2:$B$20,2,FALSE), "")</f>
        <v/>
      </c>
    </row>
    <row r="2166" spans="3:4" x14ac:dyDescent="0.3">
      <c r="C2166" s="35">
        <f t="shared" si="34"/>
        <v>0</v>
      </c>
      <c r="D2166" s="30" t="str">
        <f>IFERROR(VLOOKUP(C2166,소속부서!$A$2:$B$20,2,FALSE), "")</f>
        <v/>
      </c>
    </row>
    <row r="2167" spans="3:4" x14ac:dyDescent="0.3">
      <c r="C2167" s="35">
        <f t="shared" si="34"/>
        <v>0</v>
      </c>
      <c r="D2167" s="30" t="str">
        <f>IFERROR(VLOOKUP(C2167,소속부서!$A$2:$B$20,2,FALSE), "")</f>
        <v/>
      </c>
    </row>
    <row r="2168" spans="3:4" x14ac:dyDescent="0.3">
      <c r="C2168" s="35">
        <f t="shared" si="34"/>
        <v>0</v>
      </c>
      <c r="D2168" s="30" t="str">
        <f>IFERROR(VLOOKUP(C2168,소속부서!$A$2:$B$20,2,FALSE), "")</f>
        <v/>
      </c>
    </row>
    <row r="2169" spans="3:4" x14ac:dyDescent="0.3">
      <c r="C2169" s="35">
        <f t="shared" si="34"/>
        <v>0</v>
      </c>
      <c r="D2169" s="30" t="str">
        <f>IFERROR(VLOOKUP(C2169,소속부서!$A$2:$B$20,2,FALSE), "")</f>
        <v/>
      </c>
    </row>
    <row r="2170" spans="3:4" x14ac:dyDescent="0.3">
      <c r="C2170" s="35">
        <f t="shared" si="34"/>
        <v>0</v>
      </c>
      <c r="D2170" s="30" t="str">
        <f>IFERROR(VLOOKUP(C2170,소속부서!$A$2:$B$20,2,FALSE), "")</f>
        <v/>
      </c>
    </row>
    <row r="2171" spans="3:4" x14ac:dyDescent="0.3">
      <c r="C2171" s="35">
        <f t="shared" si="34"/>
        <v>0</v>
      </c>
      <c r="D2171" s="30" t="str">
        <f>IFERROR(VLOOKUP(C2171,소속부서!$A$2:$B$20,2,FALSE), "")</f>
        <v/>
      </c>
    </row>
    <row r="2172" spans="3:4" x14ac:dyDescent="0.3">
      <c r="C2172" s="35">
        <f t="shared" si="34"/>
        <v>0</v>
      </c>
      <c r="D2172" s="30" t="str">
        <f>IFERROR(VLOOKUP(C2172,소속부서!$A$2:$B$20,2,FALSE), "")</f>
        <v/>
      </c>
    </row>
    <row r="2173" spans="3:4" x14ac:dyDescent="0.3">
      <c r="C2173" s="35">
        <f t="shared" si="34"/>
        <v>0</v>
      </c>
      <c r="D2173" s="30" t="str">
        <f>IFERROR(VLOOKUP(C2173,소속부서!$A$2:$B$20,2,FALSE), "")</f>
        <v/>
      </c>
    </row>
    <row r="2174" spans="3:4" x14ac:dyDescent="0.3">
      <c r="C2174" s="35">
        <f t="shared" si="34"/>
        <v>0</v>
      </c>
      <c r="D2174" s="30" t="str">
        <f>IFERROR(VLOOKUP(C2174,소속부서!$A$2:$B$20,2,FALSE), "")</f>
        <v/>
      </c>
    </row>
    <row r="2175" spans="3:4" x14ac:dyDescent="0.3">
      <c r="C2175" s="35">
        <f t="shared" si="34"/>
        <v>0</v>
      </c>
      <c r="D2175" s="30" t="str">
        <f>IFERROR(VLOOKUP(C2175,소속부서!$A$2:$B$20,2,FALSE), "")</f>
        <v/>
      </c>
    </row>
    <row r="2176" spans="3:4" x14ac:dyDescent="0.3">
      <c r="C2176" s="35">
        <f t="shared" si="34"/>
        <v>0</v>
      </c>
      <c r="D2176" s="30" t="str">
        <f>IFERROR(VLOOKUP(C2176,소속부서!$A$2:$B$20,2,FALSE), "")</f>
        <v/>
      </c>
    </row>
    <row r="2177" spans="3:4" x14ac:dyDescent="0.3">
      <c r="C2177" s="35">
        <f t="shared" si="34"/>
        <v>0</v>
      </c>
      <c r="D2177" s="30" t="str">
        <f>IFERROR(VLOOKUP(C2177,소속부서!$A$2:$B$20,2,FALSE), "")</f>
        <v/>
      </c>
    </row>
    <row r="2178" spans="3:4" x14ac:dyDescent="0.3">
      <c r="C2178" s="35">
        <f t="shared" si="34"/>
        <v>0</v>
      </c>
      <c r="D2178" s="30" t="str">
        <f>IFERROR(VLOOKUP(C2178,소속부서!$A$2:$B$20,2,FALSE), "")</f>
        <v/>
      </c>
    </row>
    <row r="2179" spans="3:4" x14ac:dyDescent="0.3">
      <c r="C2179" s="35">
        <f t="shared" si="34"/>
        <v>0</v>
      </c>
      <c r="D2179" s="30" t="str">
        <f>IFERROR(VLOOKUP(C2179,소속부서!$A$2:$B$20,2,FALSE), "")</f>
        <v/>
      </c>
    </row>
    <row r="2180" spans="3:4" x14ac:dyDescent="0.3">
      <c r="C2180" s="35">
        <f t="shared" ref="C2180:C2243" si="35">E2180</f>
        <v>0</v>
      </c>
      <c r="D2180" s="30" t="str">
        <f>IFERROR(VLOOKUP(C2180,소속부서!$A$2:$B$20,2,FALSE), "")</f>
        <v/>
      </c>
    </row>
    <row r="2181" spans="3:4" x14ac:dyDescent="0.3">
      <c r="C2181" s="35">
        <f t="shared" si="35"/>
        <v>0</v>
      </c>
      <c r="D2181" s="30" t="str">
        <f>IFERROR(VLOOKUP(C2181,소속부서!$A$2:$B$20,2,FALSE), "")</f>
        <v/>
      </c>
    </row>
    <row r="2182" spans="3:4" x14ac:dyDescent="0.3">
      <c r="C2182" s="35">
        <f t="shared" si="35"/>
        <v>0</v>
      </c>
      <c r="D2182" s="30" t="str">
        <f>IFERROR(VLOOKUP(C2182,소속부서!$A$2:$B$20,2,FALSE), "")</f>
        <v/>
      </c>
    </row>
    <row r="2183" spans="3:4" x14ac:dyDescent="0.3">
      <c r="C2183" s="35">
        <f t="shared" si="35"/>
        <v>0</v>
      </c>
      <c r="D2183" s="30" t="str">
        <f>IFERROR(VLOOKUP(C2183,소속부서!$A$2:$B$20,2,FALSE), "")</f>
        <v/>
      </c>
    </row>
    <row r="2184" spans="3:4" x14ac:dyDescent="0.3">
      <c r="C2184" s="35">
        <f t="shared" si="35"/>
        <v>0</v>
      </c>
      <c r="D2184" s="30" t="str">
        <f>IFERROR(VLOOKUP(C2184,소속부서!$A$2:$B$20,2,FALSE), "")</f>
        <v/>
      </c>
    </row>
    <row r="2185" spans="3:4" x14ac:dyDescent="0.3">
      <c r="C2185" s="35">
        <f t="shared" si="35"/>
        <v>0</v>
      </c>
      <c r="D2185" s="30" t="str">
        <f>IFERROR(VLOOKUP(C2185,소속부서!$A$2:$B$20,2,FALSE), "")</f>
        <v/>
      </c>
    </row>
    <row r="2186" spans="3:4" x14ac:dyDescent="0.3">
      <c r="C2186" s="35">
        <f t="shared" si="35"/>
        <v>0</v>
      </c>
      <c r="D2186" s="30" t="str">
        <f>IFERROR(VLOOKUP(C2186,소속부서!$A$2:$B$20,2,FALSE), "")</f>
        <v/>
      </c>
    </row>
    <row r="2187" spans="3:4" x14ac:dyDescent="0.3">
      <c r="C2187" s="35">
        <f t="shared" si="35"/>
        <v>0</v>
      </c>
      <c r="D2187" s="30" t="str">
        <f>IFERROR(VLOOKUP(C2187,소속부서!$A$2:$B$20,2,FALSE), "")</f>
        <v/>
      </c>
    </row>
    <row r="2188" spans="3:4" x14ac:dyDescent="0.3">
      <c r="C2188" s="35">
        <f t="shared" si="35"/>
        <v>0</v>
      </c>
      <c r="D2188" s="30" t="str">
        <f>IFERROR(VLOOKUP(C2188,소속부서!$A$2:$B$20,2,FALSE), "")</f>
        <v/>
      </c>
    </row>
    <row r="2189" spans="3:4" x14ac:dyDescent="0.3">
      <c r="C2189" s="35">
        <f t="shared" si="35"/>
        <v>0</v>
      </c>
      <c r="D2189" s="30" t="str">
        <f>IFERROR(VLOOKUP(C2189,소속부서!$A$2:$B$20,2,FALSE), "")</f>
        <v/>
      </c>
    </row>
    <row r="2190" spans="3:4" x14ac:dyDescent="0.3">
      <c r="C2190" s="35">
        <f t="shared" si="35"/>
        <v>0</v>
      </c>
      <c r="D2190" s="30" t="str">
        <f>IFERROR(VLOOKUP(C2190,소속부서!$A$2:$B$20,2,FALSE), "")</f>
        <v/>
      </c>
    </row>
    <row r="2191" spans="3:4" x14ac:dyDescent="0.3">
      <c r="C2191" s="35">
        <f t="shared" si="35"/>
        <v>0</v>
      </c>
      <c r="D2191" s="30" t="str">
        <f>IFERROR(VLOOKUP(C2191,소속부서!$A$2:$B$20,2,FALSE), "")</f>
        <v/>
      </c>
    </row>
    <row r="2192" spans="3:4" x14ac:dyDescent="0.3">
      <c r="C2192" s="35">
        <f t="shared" si="35"/>
        <v>0</v>
      </c>
      <c r="D2192" s="30" t="str">
        <f>IFERROR(VLOOKUP(C2192,소속부서!$A$2:$B$20,2,FALSE), "")</f>
        <v/>
      </c>
    </row>
    <row r="2193" spans="3:4" x14ac:dyDescent="0.3">
      <c r="C2193" s="35">
        <f t="shared" si="35"/>
        <v>0</v>
      </c>
      <c r="D2193" s="30" t="str">
        <f>IFERROR(VLOOKUP(C2193,소속부서!$A$2:$B$20,2,FALSE), "")</f>
        <v/>
      </c>
    </row>
    <row r="2194" spans="3:4" x14ac:dyDescent="0.3">
      <c r="C2194" s="35">
        <f t="shared" si="35"/>
        <v>0</v>
      </c>
      <c r="D2194" s="30" t="str">
        <f>IFERROR(VLOOKUP(C2194,소속부서!$A$2:$B$20,2,FALSE), "")</f>
        <v/>
      </c>
    </row>
    <row r="2195" spans="3:4" x14ac:dyDescent="0.3">
      <c r="C2195" s="35">
        <f t="shared" si="35"/>
        <v>0</v>
      </c>
      <c r="D2195" s="30" t="str">
        <f>IFERROR(VLOOKUP(C2195,소속부서!$A$2:$B$20,2,FALSE), "")</f>
        <v/>
      </c>
    </row>
    <row r="2196" spans="3:4" x14ac:dyDescent="0.3">
      <c r="C2196" s="35">
        <f t="shared" si="35"/>
        <v>0</v>
      </c>
      <c r="D2196" s="30" t="str">
        <f>IFERROR(VLOOKUP(C2196,소속부서!$A$2:$B$20,2,FALSE), "")</f>
        <v/>
      </c>
    </row>
    <row r="2197" spans="3:4" x14ac:dyDescent="0.3">
      <c r="C2197" s="35">
        <f t="shared" si="35"/>
        <v>0</v>
      </c>
      <c r="D2197" s="30" t="str">
        <f>IFERROR(VLOOKUP(C2197,소속부서!$A$2:$B$20,2,FALSE), "")</f>
        <v/>
      </c>
    </row>
    <row r="2198" spans="3:4" x14ac:dyDescent="0.3">
      <c r="C2198" s="35">
        <f t="shared" si="35"/>
        <v>0</v>
      </c>
      <c r="D2198" s="30" t="str">
        <f>IFERROR(VLOOKUP(C2198,소속부서!$A$2:$B$20,2,FALSE), "")</f>
        <v/>
      </c>
    </row>
    <row r="2199" spans="3:4" x14ac:dyDescent="0.3">
      <c r="C2199" s="35">
        <f t="shared" si="35"/>
        <v>0</v>
      </c>
      <c r="D2199" s="30" t="str">
        <f>IFERROR(VLOOKUP(C2199,소속부서!$A$2:$B$20,2,FALSE), "")</f>
        <v/>
      </c>
    </row>
    <row r="2200" spans="3:4" x14ac:dyDescent="0.3">
      <c r="C2200" s="35">
        <f t="shared" si="35"/>
        <v>0</v>
      </c>
      <c r="D2200" s="30" t="str">
        <f>IFERROR(VLOOKUP(C2200,소속부서!$A$2:$B$20,2,FALSE), "")</f>
        <v/>
      </c>
    </row>
    <row r="2201" spans="3:4" x14ac:dyDescent="0.3">
      <c r="C2201" s="35">
        <f t="shared" si="35"/>
        <v>0</v>
      </c>
      <c r="D2201" s="30" t="str">
        <f>IFERROR(VLOOKUP(C2201,소속부서!$A$2:$B$20,2,FALSE), "")</f>
        <v/>
      </c>
    </row>
    <row r="2202" spans="3:4" x14ac:dyDescent="0.3">
      <c r="C2202" s="35">
        <f t="shared" si="35"/>
        <v>0</v>
      </c>
      <c r="D2202" s="30" t="str">
        <f>IFERROR(VLOOKUP(C2202,소속부서!$A$2:$B$20,2,FALSE), "")</f>
        <v/>
      </c>
    </row>
    <row r="2203" spans="3:4" x14ac:dyDescent="0.3">
      <c r="C2203" s="35">
        <f t="shared" si="35"/>
        <v>0</v>
      </c>
      <c r="D2203" s="30" t="str">
        <f>IFERROR(VLOOKUP(C2203,소속부서!$A$2:$B$20,2,FALSE), "")</f>
        <v/>
      </c>
    </row>
    <row r="2204" spans="3:4" x14ac:dyDescent="0.3">
      <c r="C2204" s="35">
        <f t="shared" si="35"/>
        <v>0</v>
      </c>
      <c r="D2204" s="30" t="str">
        <f>IFERROR(VLOOKUP(C2204,소속부서!$A$2:$B$20,2,FALSE), "")</f>
        <v/>
      </c>
    </row>
    <row r="2205" spans="3:4" x14ac:dyDescent="0.3">
      <c r="C2205" s="35">
        <f t="shared" si="35"/>
        <v>0</v>
      </c>
      <c r="D2205" s="30" t="str">
        <f>IFERROR(VLOOKUP(C2205,소속부서!$A$2:$B$20,2,FALSE), "")</f>
        <v/>
      </c>
    </row>
    <row r="2206" spans="3:4" x14ac:dyDescent="0.3">
      <c r="C2206" s="35">
        <f t="shared" si="35"/>
        <v>0</v>
      </c>
      <c r="D2206" s="30" t="str">
        <f>IFERROR(VLOOKUP(C2206,소속부서!$A$2:$B$20,2,FALSE), "")</f>
        <v/>
      </c>
    </row>
    <row r="2207" spans="3:4" x14ac:dyDescent="0.3">
      <c r="C2207" s="35">
        <f t="shared" si="35"/>
        <v>0</v>
      </c>
      <c r="D2207" s="30" t="str">
        <f>IFERROR(VLOOKUP(C2207,소속부서!$A$2:$B$20,2,FALSE), "")</f>
        <v/>
      </c>
    </row>
    <row r="2208" spans="3:4" x14ac:dyDescent="0.3">
      <c r="C2208" s="35">
        <f t="shared" si="35"/>
        <v>0</v>
      </c>
      <c r="D2208" s="30" t="str">
        <f>IFERROR(VLOOKUP(C2208,소속부서!$A$2:$B$20,2,FALSE), "")</f>
        <v/>
      </c>
    </row>
    <row r="2209" spans="3:4" x14ac:dyDescent="0.3">
      <c r="C2209" s="35">
        <f t="shared" si="35"/>
        <v>0</v>
      </c>
      <c r="D2209" s="30" t="str">
        <f>IFERROR(VLOOKUP(C2209,소속부서!$A$2:$B$20,2,FALSE), "")</f>
        <v/>
      </c>
    </row>
    <row r="2210" spans="3:4" x14ac:dyDescent="0.3">
      <c r="C2210" s="35">
        <f t="shared" si="35"/>
        <v>0</v>
      </c>
      <c r="D2210" s="30" t="str">
        <f>IFERROR(VLOOKUP(C2210,소속부서!$A$2:$B$20,2,FALSE), "")</f>
        <v/>
      </c>
    </row>
    <row r="2211" spans="3:4" x14ac:dyDescent="0.3">
      <c r="C2211" s="35">
        <f t="shared" si="35"/>
        <v>0</v>
      </c>
      <c r="D2211" s="30" t="str">
        <f>IFERROR(VLOOKUP(C2211,소속부서!$A$2:$B$20,2,FALSE), "")</f>
        <v/>
      </c>
    </row>
    <row r="2212" spans="3:4" x14ac:dyDescent="0.3">
      <c r="C2212" s="35">
        <f t="shared" si="35"/>
        <v>0</v>
      </c>
      <c r="D2212" s="30" t="str">
        <f>IFERROR(VLOOKUP(C2212,소속부서!$A$2:$B$20,2,FALSE), "")</f>
        <v/>
      </c>
    </row>
    <row r="2213" spans="3:4" x14ac:dyDescent="0.3">
      <c r="C2213" s="35">
        <f t="shared" si="35"/>
        <v>0</v>
      </c>
      <c r="D2213" s="30" t="str">
        <f>IFERROR(VLOOKUP(C2213,소속부서!$A$2:$B$20,2,FALSE), "")</f>
        <v/>
      </c>
    </row>
    <row r="2214" spans="3:4" x14ac:dyDescent="0.3">
      <c r="C2214" s="35">
        <f t="shared" si="35"/>
        <v>0</v>
      </c>
      <c r="D2214" s="30" t="str">
        <f>IFERROR(VLOOKUP(C2214,소속부서!$A$2:$B$20,2,FALSE), "")</f>
        <v/>
      </c>
    </row>
    <row r="2215" spans="3:4" x14ac:dyDescent="0.3">
      <c r="C2215" s="35">
        <f t="shared" si="35"/>
        <v>0</v>
      </c>
      <c r="D2215" s="30" t="str">
        <f>IFERROR(VLOOKUP(C2215,소속부서!$A$2:$B$20,2,FALSE), "")</f>
        <v/>
      </c>
    </row>
    <row r="2216" spans="3:4" x14ac:dyDescent="0.3">
      <c r="C2216" s="35">
        <f t="shared" si="35"/>
        <v>0</v>
      </c>
      <c r="D2216" s="30" t="str">
        <f>IFERROR(VLOOKUP(C2216,소속부서!$A$2:$B$20,2,FALSE), "")</f>
        <v/>
      </c>
    </row>
    <row r="2217" spans="3:4" x14ac:dyDescent="0.3">
      <c r="C2217" s="35">
        <f t="shared" si="35"/>
        <v>0</v>
      </c>
      <c r="D2217" s="30" t="str">
        <f>IFERROR(VLOOKUP(C2217,소속부서!$A$2:$B$20,2,FALSE), "")</f>
        <v/>
      </c>
    </row>
    <row r="2218" spans="3:4" x14ac:dyDescent="0.3">
      <c r="C2218" s="35">
        <f t="shared" si="35"/>
        <v>0</v>
      </c>
      <c r="D2218" s="30" t="str">
        <f>IFERROR(VLOOKUP(C2218,소속부서!$A$2:$B$20,2,FALSE), "")</f>
        <v/>
      </c>
    </row>
    <row r="2219" spans="3:4" x14ac:dyDescent="0.3">
      <c r="C2219" s="35">
        <f t="shared" si="35"/>
        <v>0</v>
      </c>
      <c r="D2219" s="30" t="str">
        <f>IFERROR(VLOOKUP(C2219,소속부서!$A$2:$B$20,2,FALSE), "")</f>
        <v/>
      </c>
    </row>
    <row r="2220" spans="3:4" x14ac:dyDescent="0.3">
      <c r="C2220" s="35">
        <f t="shared" si="35"/>
        <v>0</v>
      </c>
      <c r="D2220" s="30" t="str">
        <f>IFERROR(VLOOKUP(C2220,소속부서!$A$2:$B$20,2,FALSE), "")</f>
        <v/>
      </c>
    </row>
    <row r="2221" spans="3:4" x14ac:dyDescent="0.3">
      <c r="C2221" s="35">
        <f t="shared" si="35"/>
        <v>0</v>
      </c>
      <c r="D2221" s="30" t="str">
        <f>IFERROR(VLOOKUP(C2221,소속부서!$A$2:$B$20,2,FALSE), "")</f>
        <v/>
      </c>
    </row>
    <row r="2222" spans="3:4" x14ac:dyDescent="0.3">
      <c r="C2222" s="35">
        <f t="shared" si="35"/>
        <v>0</v>
      </c>
      <c r="D2222" s="30" t="str">
        <f>IFERROR(VLOOKUP(C2222,소속부서!$A$2:$B$20,2,FALSE), "")</f>
        <v/>
      </c>
    </row>
    <row r="2223" spans="3:4" x14ac:dyDescent="0.3">
      <c r="C2223" s="35">
        <f t="shared" si="35"/>
        <v>0</v>
      </c>
      <c r="D2223" s="30" t="str">
        <f>IFERROR(VLOOKUP(C2223,소속부서!$A$2:$B$20,2,FALSE), "")</f>
        <v/>
      </c>
    </row>
    <row r="2224" spans="3:4" x14ac:dyDescent="0.3">
      <c r="C2224" s="35">
        <f t="shared" si="35"/>
        <v>0</v>
      </c>
      <c r="D2224" s="30" t="str">
        <f>IFERROR(VLOOKUP(C2224,소속부서!$A$2:$B$20,2,FALSE), "")</f>
        <v/>
      </c>
    </row>
    <row r="2225" spans="3:4" x14ac:dyDescent="0.3">
      <c r="C2225" s="35">
        <f t="shared" si="35"/>
        <v>0</v>
      </c>
      <c r="D2225" s="30" t="str">
        <f>IFERROR(VLOOKUP(C2225,소속부서!$A$2:$B$20,2,FALSE), "")</f>
        <v/>
      </c>
    </row>
    <row r="2226" spans="3:4" x14ac:dyDescent="0.3">
      <c r="C2226" s="35">
        <f t="shared" si="35"/>
        <v>0</v>
      </c>
      <c r="D2226" s="30" t="str">
        <f>IFERROR(VLOOKUP(C2226,소속부서!$A$2:$B$20,2,FALSE), "")</f>
        <v/>
      </c>
    </row>
    <row r="2227" spans="3:4" x14ac:dyDescent="0.3">
      <c r="C2227" s="35">
        <f t="shared" si="35"/>
        <v>0</v>
      </c>
      <c r="D2227" s="30" t="str">
        <f>IFERROR(VLOOKUP(C2227,소속부서!$A$2:$B$20,2,FALSE), "")</f>
        <v/>
      </c>
    </row>
    <row r="2228" spans="3:4" x14ac:dyDescent="0.3">
      <c r="C2228" s="35">
        <f t="shared" si="35"/>
        <v>0</v>
      </c>
      <c r="D2228" s="30" t="str">
        <f>IFERROR(VLOOKUP(C2228,소속부서!$A$2:$B$20,2,FALSE), "")</f>
        <v/>
      </c>
    </row>
    <row r="2229" spans="3:4" x14ac:dyDescent="0.3">
      <c r="C2229" s="35">
        <f t="shared" si="35"/>
        <v>0</v>
      </c>
      <c r="D2229" s="30" t="str">
        <f>IFERROR(VLOOKUP(C2229,소속부서!$A$2:$B$20,2,FALSE), "")</f>
        <v/>
      </c>
    </row>
    <row r="2230" spans="3:4" x14ac:dyDescent="0.3">
      <c r="C2230" s="35">
        <f t="shared" si="35"/>
        <v>0</v>
      </c>
      <c r="D2230" s="30" t="str">
        <f>IFERROR(VLOOKUP(C2230,소속부서!$A$2:$B$20,2,FALSE), "")</f>
        <v/>
      </c>
    </row>
    <row r="2231" spans="3:4" x14ac:dyDescent="0.3">
      <c r="C2231" s="35">
        <f t="shared" si="35"/>
        <v>0</v>
      </c>
      <c r="D2231" s="30" t="str">
        <f>IFERROR(VLOOKUP(C2231,소속부서!$A$2:$B$20,2,FALSE), "")</f>
        <v/>
      </c>
    </row>
    <row r="2232" spans="3:4" x14ac:dyDescent="0.3">
      <c r="C2232" s="35">
        <f t="shared" si="35"/>
        <v>0</v>
      </c>
      <c r="D2232" s="30" t="str">
        <f>IFERROR(VLOOKUP(C2232,소속부서!$A$2:$B$20,2,FALSE), "")</f>
        <v/>
      </c>
    </row>
    <row r="2233" spans="3:4" x14ac:dyDescent="0.3">
      <c r="C2233" s="35">
        <f t="shared" si="35"/>
        <v>0</v>
      </c>
      <c r="D2233" s="30" t="str">
        <f>IFERROR(VLOOKUP(C2233,소속부서!$A$2:$B$20,2,FALSE), "")</f>
        <v/>
      </c>
    </row>
    <row r="2234" spans="3:4" x14ac:dyDescent="0.3">
      <c r="C2234" s="35">
        <f t="shared" si="35"/>
        <v>0</v>
      </c>
      <c r="D2234" s="30" t="str">
        <f>IFERROR(VLOOKUP(C2234,소속부서!$A$2:$B$20,2,FALSE), "")</f>
        <v/>
      </c>
    </row>
    <row r="2235" spans="3:4" x14ac:dyDescent="0.3">
      <c r="C2235" s="35">
        <f t="shared" si="35"/>
        <v>0</v>
      </c>
      <c r="D2235" s="30" t="str">
        <f>IFERROR(VLOOKUP(C2235,소속부서!$A$2:$B$20,2,FALSE), "")</f>
        <v/>
      </c>
    </row>
    <row r="2236" spans="3:4" x14ac:dyDescent="0.3">
      <c r="C2236" s="35">
        <f t="shared" si="35"/>
        <v>0</v>
      </c>
      <c r="D2236" s="30" t="str">
        <f>IFERROR(VLOOKUP(C2236,소속부서!$A$2:$B$20,2,FALSE), "")</f>
        <v/>
      </c>
    </row>
    <row r="2237" spans="3:4" x14ac:dyDescent="0.3">
      <c r="C2237" s="35">
        <f t="shared" si="35"/>
        <v>0</v>
      </c>
      <c r="D2237" s="30" t="str">
        <f>IFERROR(VLOOKUP(C2237,소속부서!$A$2:$B$20,2,FALSE), "")</f>
        <v/>
      </c>
    </row>
    <row r="2238" spans="3:4" x14ac:dyDescent="0.3">
      <c r="C2238" s="35">
        <f t="shared" si="35"/>
        <v>0</v>
      </c>
      <c r="D2238" s="30" t="str">
        <f>IFERROR(VLOOKUP(C2238,소속부서!$A$2:$B$20,2,FALSE), "")</f>
        <v/>
      </c>
    </row>
    <row r="2239" spans="3:4" x14ac:dyDescent="0.3">
      <c r="C2239" s="35">
        <f t="shared" si="35"/>
        <v>0</v>
      </c>
      <c r="D2239" s="30" t="str">
        <f>IFERROR(VLOOKUP(C2239,소속부서!$A$2:$B$20,2,FALSE), "")</f>
        <v/>
      </c>
    </row>
    <row r="2240" spans="3:4" x14ac:dyDescent="0.3">
      <c r="C2240" s="35">
        <f t="shared" si="35"/>
        <v>0</v>
      </c>
      <c r="D2240" s="30" t="str">
        <f>IFERROR(VLOOKUP(C2240,소속부서!$A$2:$B$20,2,FALSE), "")</f>
        <v/>
      </c>
    </row>
    <row r="2241" spans="3:4" x14ac:dyDescent="0.3">
      <c r="C2241" s="35">
        <f t="shared" si="35"/>
        <v>0</v>
      </c>
      <c r="D2241" s="30" t="str">
        <f>IFERROR(VLOOKUP(C2241,소속부서!$A$2:$B$20,2,FALSE), "")</f>
        <v/>
      </c>
    </row>
    <row r="2242" spans="3:4" x14ac:dyDescent="0.3">
      <c r="C2242" s="35">
        <f t="shared" si="35"/>
        <v>0</v>
      </c>
      <c r="D2242" s="30" t="str">
        <f>IFERROR(VLOOKUP(C2242,소속부서!$A$2:$B$20,2,FALSE), "")</f>
        <v/>
      </c>
    </row>
    <row r="2243" spans="3:4" x14ac:dyDescent="0.3">
      <c r="C2243" s="35">
        <f t="shared" si="35"/>
        <v>0</v>
      </c>
      <c r="D2243" s="30" t="str">
        <f>IFERROR(VLOOKUP(C2243,소속부서!$A$2:$B$20,2,FALSE), "")</f>
        <v/>
      </c>
    </row>
    <row r="2244" spans="3:4" x14ac:dyDescent="0.3">
      <c r="C2244" s="35">
        <f t="shared" ref="C2244:C2307" si="36">E2244</f>
        <v>0</v>
      </c>
      <c r="D2244" s="30" t="str">
        <f>IFERROR(VLOOKUP(C2244,소속부서!$A$2:$B$20,2,FALSE), "")</f>
        <v/>
      </c>
    </row>
    <row r="2245" spans="3:4" x14ac:dyDescent="0.3">
      <c r="C2245" s="35">
        <f t="shared" si="36"/>
        <v>0</v>
      </c>
      <c r="D2245" s="30" t="str">
        <f>IFERROR(VLOOKUP(C2245,소속부서!$A$2:$B$20,2,FALSE), "")</f>
        <v/>
      </c>
    </row>
    <row r="2246" spans="3:4" x14ac:dyDescent="0.3">
      <c r="C2246" s="35">
        <f t="shared" si="36"/>
        <v>0</v>
      </c>
      <c r="D2246" s="30" t="str">
        <f>IFERROR(VLOOKUP(C2246,소속부서!$A$2:$B$20,2,FALSE), "")</f>
        <v/>
      </c>
    </row>
    <row r="2247" spans="3:4" x14ac:dyDescent="0.3">
      <c r="C2247" s="35">
        <f t="shared" si="36"/>
        <v>0</v>
      </c>
      <c r="D2247" s="30" t="str">
        <f>IFERROR(VLOOKUP(C2247,소속부서!$A$2:$B$20,2,FALSE), "")</f>
        <v/>
      </c>
    </row>
    <row r="2248" spans="3:4" x14ac:dyDescent="0.3">
      <c r="C2248" s="35">
        <f t="shared" si="36"/>
        <v>0</v>
      </c>
      <c r="D2248" s="30" t="str">
        <f>IFERROR(VLOOKUP(C2248,소속부서!$A$2:$B$20,2,FALSE), "")</f>
        <v/>
      </c>
    </row>
    <row r="2249" spans="3:4" x14ac:dyDescent="0.3">
      <c r="C2249" s="35">
        <f t="shared" si="36"/>
        <v>0</v>
      </c>
      <c r="D2249" s="30" t="str">
        <f>IFERROR(VLOOKUP(C2249,소속부서!$A$2:$B$20,2,FALSE), "")</f>
        <v/>
      </c>
    </row>
    <row r="2250" spans="3:4" x14ac:dyDescent="0.3">
      <c r="C2250" s="35">
        <f t="shared" si="36"/>
        <v>0</v>
      </c>
      <c r="D2250" s="30" t="str">
        <f>IFERROR(VLOOKUP(C2250,소속부서!$A$2:$B$20,2,FALSE), "")</f>
        <v/>
      </c>
    </row>
    <row r="2251" spans="3:4" x14ac:dyDescent="0.3">
      <c r="C2251" s="35">
        <f t="shared" si="36"/>
        <v>0</v>
      </c>
      <c r="D2251" s="30" t="str">
        <f>IFERROR(VLOOKUP(C2251,소속부서!$A$2:$B$20,2,FALSE), "")</f>
        <v/>
      </c>
    </row>
    <row r="2252" spans="3:4" x14ac:dyDescent="0.3">
      <c r="C2252" s="35">
        <f t="shared" si="36"/>
        <v>0</v>
      </c>
      <c r="D2252" s="30" t="str">
        <f>IFERROR(VLOOKUP(C2252,소속부서!$A$2:$B$20,2,FALSE), "")</f>
        <v/>
      </c>
    </row>
    <row r="2253" spans="3:4" x14ac:dyDescent="0.3">
      <c r="C2253" s="35">
        <f t="shared" si="36"/>
        <v>0</v>
      </c>
      <c r="D2253" s="30" t="str">
        <f>IFERROR(VLOOKUP(C2253,소속부서!$A$2:$B$20,2,FALSE), "")</f>
        <v/>
      </c>
    </row>
    <row r="2254" spans="3:4" x14ac:dyDescent="0.3">
      <c r="C2254" s="35">
        <f t="shared" si="36"/>
        <v>0</v>
      </c>
      <c r="D2254" s="30" t="str">
        <f>IFERROR(VLOOKUP(C2254,소속부서!$A$2:$B$20,2,FALSE), "")</f>
        <v/>
      </c>
    </row>
    <row r="2255" spans="3:4" x14ac:dyDescent="0.3">
      <c r="C2255" s="35">
        <f t="shared" si="36"/>
        <v>0</v>
      </c>
      <c r="D2255" s="30" t="str">
        <f>IFERROR(VLOOKUP(C2255,소속부서!$A$2:$B$20,2,FALSE), "")</f>
        <v/>
      </c>
    </row>
    <row r="2256" spans="3:4" x14ac:dyDescent="0.3">
      <c r="C2256" s="35">
        <f t="shared" si="36"/>
        <v>0</v>
      </c>
      <c r="D2256" s="30" t="str">
        <f>IFERROR(VLOOKUP(C2256,소속부서!$A$2:$B$20,2,FALSE), "")</f>
        <v/>
      </c>
    </row>
    <row r="2257" spans="3:4" x14ac:dyDescent="0.3">
      <c r="C2257" s="35">
        <f t="shared" si="36"/>
        <v>0</v>
      </c>
      <c r="D2257" s="30" t="str">
        <f>IFERROR(VLOOKUP(C2257,소속부서!$A$2:$B$20,2,FALSE), "")</f>
        <v/>
      </c>
    </row>
    <row r="2258" spans="3:4" x14ac:dyDescent="0.3">
      <c r="C2258" s="35">
        <f t="shared" si="36"/>
        <v>0</v>
      </c>
      <c r="D2258" s="30" t="str">
        <f>IFERROR(VLOOKUP(C2258,소속부서!$A$2:$B$20,2,FALSE), "")</f>
        <v/>
      </c>
    </row>
    <row r="2259" spans="3:4" x14ac:dyDescent="0.3">
      <c r="C2259" s="35">
        <f t="shared" si="36"/>
        <v>0</v>
      </c>
      <c r="D2259" s="30" t="str">
        <f>IFERROR(VLOOKUP(C2259,소속부서!$A$2:$B$20,2,FALSE), "")</f>
        <v/>
      </c>
    </row>
    <row r="2260" spans="3:4" x14ac:dyDescent="0.3">
      <c r="C2260" s="35">
        <f t="shared" si="36"/>
        <v>0</v>
      </c>
      <c r="D2260" s="30" t="str">
        <f>IFERROR(VLOOKUP(C2260,소속부서!$A$2:$B$20,2,FALSE), "")</f>
        <v/>
      </c>
    </row>
    <row r="2261" spans="3:4" x14ac:dyDescent="0.3">
      <c r="C2261" s="35">
        <f t="shared" si="36"/>
        <v>0</v>
      </c>
      <c r="D2261" s="30" t="str">
        <f>IFERROR(VLOOKUP(C2261,소속부서!$A$2:$B$20,2,FALSE), "")</f>
        <v/>
      </c>
    </row>
    <row r="2262" spans="3:4" x14ac:dyDescent="0.3">
      <c r="C2262" s="35">
        <f t="shared" si="36"/>
        <v>0</v>
      </c>
      <c r="D2262" s="30" t="str">
        <f>IFERROR(VLOOKUP(C2262,소속부서!$A$2:$B$20,2,FALSE), "")</f>
        <v/>
      </c>
    </row>
    <row r="2263" spans="3:4" x14ac:dyDescent="0.3">
      <c r="C2263" s="35">
        <f t="shared" si="36"/>
        <v>0</v>
      </c>
      <c r="D2263" s="30" t="str">
        <f>IFERROR(VLOOKUP(C2263,소속부서!$A$2:$B$20,2,FALSE), "")</f>
        <v/>
      </c>
    </row>
    <row r="2264" spans="3:4" x14ac:dyDescent="0.3">
      <c r="C2264" s="35">
        <f t="shared" si="36"/>
        <v>0</v>
      </c>
      <c r="D2264" s="30" t="str">
        <f>IFERROR(VLOOKUP(C2264,소속부서!$A$2:$B$20,2,FALSE), "")</f>
        <v/>
      </c>
    </row>
    <row r="2265" spans="3:4" x14ac:dyDescent="0.3">
      <c r="C2265" s="35">
        <f t="shared" si="36"/>
        <v>0</v>
      </c>
      <c r="D2265" s="30" t="str">
        <f>IFERROR(VLOOKUP(C2265,소속부서!$A$2:$B$20,2,FALSE), "")</f>
        <v/>
      </c>
    </row>
    <row r="2266" spans="3:4" x14ac:dyDescent="0.3">
      <c r="C2266" s="35">
        <f t="shared" si="36"/>
        <v>0</v>
      </c>
      <c r="D2266" s="30" t="str">
        <f>IFERROR(VLOOKUP(C2266,소속부서!$A$2:$B$20,2,FALSE), "")</f>
        <v/>
      </c>
    </row>
    <row r="2267" spans="3:4" x14ac:dyDescent="0.3">
      <c r="C2267" s="35">
        <f t="shared" si="36"/>
        <v>0</v>
      </c>
      <c r="D2267" s="30" t="str">
        <f>IFERROR(VLOOKUP(C2267,소속부서!$A$2:$B$20,2,FALSE), "")</f>
        <v/>
      </c>
    </row>
    <row r="2268" spans="3:4" x14ac:dyDescent="0.3">
      <c r="C2268" s="35">
        <f t="shared" si="36"/>
        <v>0</v>
      </c>
      <c r="D2268" s="30" t="str">
        <f>IFERROR(VLOOKUP(C2268,소속부서!$A$2:$B$20,2,FALSE), "")</f>
        <v/>
      </c>
    </row>
    <row r="2269" spans="3:4" x14ac:dyDescent="0.3">
      <c r="C2269" s="35">
        <f t="shared" si="36"/>
        <v>0</v>
      </c>
      <c r="D2269" s="30" t="str">
        <f>IFERROR(VLOOKUP(C2269,소속부서!$A$2:$B$20,2,FALSE), "")</f>
        <v/>
      </c>
    </row>
    <row r="2270" spans="3:4" x14ac:dyDescent="0.3">
      <c r="C2270" s="35">
        <f t="shared" si="36"/>
        <v>0</v>
      </c>
      <c r="D2270" s="30" t="str">
        <f>IFERROR(VLOOKUP(C2270,소속부서!$A$2:$B$20,2,FALSE), "")</f>
        <v/>
      </c>
    </row>
    <row r="2271" spans="3:4" x14ac:dyDescent="0.3">
      <c r="C2271" s="35">
        <f t="shared" si="36"/>
        <v>0</v>
      </c>
      <c r="D2271" s="30" t="str">
        <f>IFERROR(VLOOKUP(C2271,소속부서!$A$2:$B$20,2,FALSE), "")</f>
        <v/>
      </c>
    </row>
    <row r="2272" spans="3:4" x14ac:dyDescent="0.3">
      <c r="C2272" s="35">
        <f t="shared" si="36"/>
        <v>0</v>
      </c>
      <c r="D2272" s="30" t="str">
        <f>IFERROR(VLOOKUP(C2272,소속부서!$A$2:$B$20,2,FALSE), "")</f>
        <v/>
      </c>
    </row>
    <row r="2273" spans="3:4" x14ac:dyDescent="0.3">
      <c r="C2273" s="35">
        <f t="shared" si="36"/>
        <v>0</v>
      </c>
      <c r="D2273" s="30" t="str">
        <f>IFERROR(VLOOKUP(C2273,소속부서!$A$2:$B$20,2,FALSE), "")</f>
        <v/>
      </c>
    </row>
    <row r="2274" spans="3:4" x14ac:dyDescent="0.3">
      <c r="C2274" s="35">
        <f t="shared" si="36"/>
        <v>0</v>
      </c>
      <c r="D2274" s="30" t="str">
        <f>IFERROR(VLOOKUP(C2274,소속부서!$A$2:$B$20,2,FALSE), "")</f>
        <v/>
      </c>
    </row>
    <row r="2275" spans="3:4" x14ac:dyDescent="0.3">
      <c r="C2275" s="35">
        <f t="shared" si="36"/>
        <v>0</v>
      </c>
      <c r="D2275" s="30" t="str">
        <f>IFERROR(VLOOKUP(C2275,소속부서!$A$2:$B$20,2,FALSE), "")</f>
        <v/>
      </c>
    </row>
    <row r="2276" spans="3:4" x14ac:dyDescent="0.3">
      <c r="C2276" s="35">
        <f t="shared" si="36"/>
        <v>0</v>
      </c>
      <c r="D2276" s="30" t="str">
        <f>IFERROR(VLOOKUP(C2276,소속부서!$A$2:$B$20,2,FALSE), "")</f>
        <v/>
      </c>
    </row>
    <row r="2277" spans="3:4" x14ac:dyDescent="0.3">
      <c r="C2277" s="35">
        <f t="shared" si="36"/>
        <v>0</v>
      </c>
      <c r="D2277" s="30" t="str">
        <f>IFERROR(VLOOKUP(C2277,소속부서!$A$2:$B$20,2,FALSE), "")</f>
        <v/>
      </c>
    </row>
    <row r="2278" spans="3:4" x14ac:dyDescent="0.3">
      <c r="C2278" s="35">
        <f t="shared" si="36"/>
        <v>0</v>
      </c>
      <c r="D2278" s="30" t="str">
        <f>IFERROR(VLOOKUP(C2278,소속부서!$A$2:$B$20,2,FALSE), "")</f>
        <v/>
      </c>
    </row>
    <row r="2279" spans="3:4" x14ac:dyDescent="0.3">
      <c r="C2279" s="35">
        <f t="shared" si="36"/>
        <v>0</v>
      </c>
      <c r="D2279" s="30" t="str">
        <f>IFERROR(VLOOKUP(C2279,소속부서!$A$2:$B$20,2,FALSE), "")</f>
        <v/>
      </c>
    </row>
    <row r="2280" spans="3:4" x14ac:dyDescent="0.3">
      <c r="C2280" s="35">
        <f t="shared" si="36"/>
        <v>0</v>
      </c>
      <c r="D2280" s="30" t="str">
        <f>IFERROR(VLOOKUP(C2280,소속부서!$A$2:$B$20,2,FALSE), "")</f>
        <v/>
      </c>
    </row>
    <row r="2281" spans="3:4" x14ac:dyDescent="0.3">
      <c r="C2281" s="35">
        <f t="shared" si="36"/>
        <v>0</v>
      </c>
      <c r="D2281" s="30" t="str">
        <f>IFERROR(VLOOKUP(C2281,소속부서!$A$2:$B$20,2,FALSE), "")</f>
        <v/>
      </c>
    </row>
    <row r="2282" spans="3:4" x14ac:dyDescent="0.3">
      <c r="C2282" s="35">
        <f t="shared" si="36"/>
        <v>0</v>
      </c>
      <c r="D2282" s="30" t="str">
        <f>IFERROR(VLOOKUP(C2282,소속부서!$A$2:$B$20,2,FALSE), "")</f>
        <v/>
      </c>
    </row>
    <row r="2283" spans="3:4" x14ac:dyDescent="0.3">
      <c r="C2283" s="35">
        <f t="shared" si="36"/>
        <v>0</v>
      </c>
      <c r="D2283" s="30" t="str">
        <f>IFERROR(VLOOKUP(C2283,소속부서!$A$2:$B$20,2,FALSE), "")</f>
        <v/>
      </c>
    </row>
    <row r="2284" spans="3:4" x14ac:dyDescent="0.3">
      <c r="C2284" s="35">
        <f t="shared" si="36"/>
        <v>0</v>
      </c>
      <c r="D2284" s="30" t="str">
        <f>IFERROR(VLOOKUP(C2284,소속부서!$A$2:$B$20,2,FALSE), "")</f>
        <v/>
      </c>
    </row>
    <row r="2285" spans="3:4" x14ac:dyDescent="0.3">
      <c r="C2285" s="35">
        <f t="shared" si="36"/>
        <v>0</v>
      </c>
      <c r="D2285" s="30" t="str">
        <f>IFERROR(VLOOKUP(C2285,소속부서!$A$2:$B$20,2,FALSE), "")</f>
        <v/>
      </c>
    </row>
    <row r="2286" spans="3:4" x14ac:dyDescent="0.3">
      <c r="C2286" s="35">
        <f t="shared" si="36"/>
        <v>0</v>
      </c>
      <c r="D2286" s="30" t="str">
        <f>IFERROR(VLOOKUP(C2286,소속부서!$A$2:$B$20,2,FALSE), "")</f>
        <v/>
      </c>
    </row>
    <row r="2287" spans="3:4" x14ac:dyDescent="0.3">
      <c r="C2287" s="35">
        <f t="shared" si="36"/>
        <v>0</v>
      </c>
      <c r="D2287" s="30" t="str">
        <f>IFERROR(VLOOKUP(C2287,소속부서!$A$2:$B$20,2,FALSE), "")</f>
        <v/>
      </c>
    </row>
    <row r="2288" spans="3:4" x14ac:dyDescent="0.3">
      <c r="C2288" s="35">
        <f t="shared" si="36"/>
        <v>0</v>
      </c>
      <c r="D2288" s="30" t="str">
        <f>IFERROR(VLOOKUP(C2288,소속부서!$A$2:$B$20,2,FALSE), "")</f>
        <v/>
      </c>
    </row>
    <row r="2289" spans="3:4" x14ac:dyDescent="0.3">
      <c r="C2289" s="35">
        <f t="shared" si="36"/>
        <v>0</v>
      </c>
      <c r="D2289" s="30" t="str">
        <f>IFERROR(VLOOKUP(C2289,소속부서!$A$2:$B$20,2,FALSE), "")</f>
        <v/>
      </c>
    </row>
    <row r="2290" spans="3:4" x14ac:dyDescent="0.3">
      <c r="C2290" s="35">
        <f t="shared" si="36"/>
        <v>0</v>
      </c>
      <c r="D2290" s="30" t="str">
        <f>IFERROR(VLOOKUP(C2290,소속부서!$A$2:$B$20,2,FALSE), "")</f>
        <v/>
      </c>
    </row>
    <row r="2291" spans="3:4" x14ac:dyDescent="0.3">
      <c r="C2291" s="35">
        <f t="shared" si="36"/>
        <v>0</v>
      </c>
      <c r="D2291" s="30" t="str">
        <f>IFERROR(VLOOKUP(C2291,소속부서!$A$2:$B$20,2,FALSE), "")</f>
        <v/>
      </c>
    </row>
    <row r="2292" spans="3:4" x14ac:dyDescent="0.3">
      <c r="C2292" s="35">
        <f t="shared" si="36"/>
        <v>0</v>
      </c>
      <c r="D2292" s="30" t="str">
        <f>IFERROR(VLOOKUP(C2292,소속부서!$A$2:$B$20,2,FALSE), "")</f>
        <v/>
      </c>
    </row>
    <row r="2293" spans="3:4" x14ac:dyDescent="0.3">
      <c r="C2293" s="35">
        <f t="shared" si="36"/>
        <v>0</v>
      </c>
      <c r="D2293" s="30" t="str">
        <f>IFERROR(VLOOKUP(C2293,소속부서!$A$2:$B$20,2,FALSE), "")</f>
        <v/>
      </c>
    </row>
    <row r="2294" spans="3:4" x14ac:dyDescent="0.3">
      <c r="C2294" s="35">
        <f t="shared" si="36"/>
        <v>0</v>
      </c>
      <c r="D2294" s="30" t="str">
        <f>IFERROR(VLOOKUP(C2294,소속부서!$A$2:$B$20,2,FALSE), "")</f>
        <v/>
      </c>
    </row>
    <row r="2295" spans="3:4" x14ac:dyDescent="0.3">
      <c r="C2295" s="35">
        <f t="shared" si="36"/>
        <v>0</v>
      </c>
      <c r="D2295" s="30" t="str">
        <f>IFERROR(VLOOKUP(C2295,소속부서!$A$2:$B$20,2,FALSE), "")</f>
        <v/>
      </c>
    </row>
    <row r="2296" spans="3:4" x14ac:dyDescent="0.3">
      <c r="C2296" s="35">
        <f t="shared" si="36"/>
        <v>0</v>
      </c>
      <c r="D2296" s="30" t="str">
        <f>IFERROR(VLOOKUP(C2296,소속부서!$A$2:$B$20,2,FALSE), "")</f>
        <v/>
      </c>
    </row>
    <row r="2297" spans="3:4" x14ac:dyDescent="0.3">
      <c r="C2297" s="35">
        <f t="shared" si="36"/>
        <v>0</v>
      </c>
      <c r="D2297" s="30" t="str">
        <f>IFERROR(VLOOKUP(C2297,소속부서!$A$2:$B$20,2,FALSE), "")</f>
        <v/>
      </c>
    </row>
    <row r="2298" spans="3:4" x14ac:dyDescent="0.3">
      <c r="C2298" s="35">
        <f t="shared" si="36"/>
        <v>0</v>
      </c>
      <c r="D2298" s="30" t="str">
        <f>IFERROR(VLOOKUP(C2298,소속부서!$A$2:$B$20,2,FALSE), "")</f>
        <v/>
      </c>
    </row>
    <row r="2299" spans="3:4" x14ac:dyDescent="0.3">
      <c r="C2299" s="35">
        <f t="shared" si="36"/>
        <v>0</v>
      </c>
      <c r="D2299" s="30" t="str">
        <f>IFERROR(VLOOKUP(C2299,소속부서!$A$2:$B$20,2,FALSE), "")</f>
        <v/>
      </c>
    </row>
    <row r="2300" spans="3:4" x14ac:dyDescent="0.3">
      <c r="C2300" s="35">
        <f t="shared" si="36"/>
        <v>0</v>
      </c>
      <c r="D2300" s="30" t="str">
        <f>IFERROR(VLOOKUP(C2300,소속부서!$A$2:$B$20,2,FALSE), "")</f>
        <v/>
      </c>
    </row>
    <row r="2301" spans="3:4" x14ac:dyDescent="0.3">
      <c r="C2301" s="35">
        <f t="shared" si="36"/>
        <v>0</v>
      </c>
      <c r="D2301" s="30" t="str">
        <f>IFERROR(VLOOKUP(C2301,소속부서!$A$2:$B$20,2,FALSE), "")</f>
        <v/>
      </c>
    </row>
    <row r="2302" spans="3:4" x14ac:dyDescent="0.3">
      <c r="C2302" s="35">
        <f t="shared" si="36"/>
        <v>0</v>
      </c>
      <c r="D2302" s="30" t="str">
        <f>IFERROR(VLOOKUP(C2302,소속부서!$A$2:$B$20,2,FALSE), "")</f>
        <v/>
      </c>
    </row>
    <row r="2303" spans="3:4" x14ac:dyDescent="0.3">
      <c r="C2303" s="35">
        <f t="shared" si="36"/>
        <v>0</v>
      </c>
      <c r="D2303" s="30" t="str">
        <f>IFERROR(VLOOKUP(C2303,소속부서!$A$2:$B$20,2,FALSE), "")</f>
        <v/>
      </c>
    </row>
    <row r="2304" spans="3:4" x14ac:dyDescent="0.3">
      <c r="C2304" s="35">
        <f t="shared" si="36"/>
        <v>0</v>
      </c>
      <c r="D2304" s="30" t="str">
        <f>IFERROR(VLOOKUP(C2304,소속부서!$A$2:$B$20,2,FALSE), "")</f>
        <v/>
      </c>
    </row>
    <row r="2305" spans="3:4" x14ac:dyDescent="0.3">
      <c r="C2305" s="35">
        <f t="shared" si="36"/>
        <v>0</v>
      </c>
      <c r="D2305" s="30" t="str">
        <f>IFERROR(VLOOKUP(C2305,소속부서!$A$2:$B$20,2,FALSE), "")</f>
        <v/>
      </c>
    </row>
    <row r="2306" spans="3:4" x14ac:dyDescent="0.3">
      <c r="C2306" s="35">
        <f t="shared" si="36"/>
        <v>0</v>
      </c>
      <c r="D2306" s="30" t="str">
        <f>IFERROR(VLOOKUP(C2306,소속부서!$A$2:$B$20,2,FALSE), "")</f>
        <v/>
      </c>
    </row>
    <row r="2307" spans="3:4" x14ac:dyDescent="0.3">
      <c r="C2307" s="35">
        <f t="shared" si="36"/>
        <v>0</v>
      </c>
      <c r="D2307" s="30" t="str">
        <f>IFERROR(VLOOKUP(C2307,소속부서!$A$2:$B$20,2,FALSE), "")</f>
        <v/>
      </c>
    </row>
    <row r="2308" spans="3:4" x14ac:dyDescent="0.3">
      <c r="C2308" s="35">
        <f t="shared" ref="C2308:C2371" si="37">E2308</f>
        <v>0</v>
      </c>
      <c r="D2308" s="30" t="str">
        <f>IFERROR(VLOOKUP(C2308,소속부서!$A$2:$B$20,2,FALSE), "")</f>
        <v/>
      </c>
    </row>
    <row r="2309" spans="3:4" x14ac:dyDescent="0.3">
      <c r="C2309" s="35">
        <f t="shared" si="37"/>
        <v>0</v>
      </c>
      <c r="D2309" s="30" t="str">
        <f>IFERROR(VLOOKUP(C2309,소속부서!$A$2:$B$20,2,FALSE), "")</f>
        <v/>
      </c>
    </row>
    <row r="2310" spans="3:4" x14ac:dyDescent="0.3">
      <c r="C2310" s="35">
        <f t="shared" si="37"/>
        <v>0</v>
      </c>
      <c r="D2310" s="30" t="str">
        <f>IFERROR(VLOOKUP(C2310,소속부서!$A$2:$B$20,2,FALSE), "")</f>
        <v/>
      </c>
    </row>
    <row r="2311" spans="3:4" x14ac:dyDescent="0.3">
      <c r="C2311" s="35">
        <f t="shared" si="37"/>
        <v>0</v>
      </c>
      <c r="D2311" s="30" t="str">
        <f>IFERROR(VLOOKUP(C2311,소속부서!$A$2:$B$20,2,FALSE), "")</f>
        <v/>
      </c>
    </row>
    <row r="2312" spans="3:4" x14ac:dyDescent="0.3">
      <c r="C2312" s="35">
        <f t="shared" si="37"/>
        <v>0</v>
      </c>
      <c r="D2312" s="30" t="str">
        <f>IFERROR(VLOOKUP(C2312,소속부서!$A$2:$B$20,2,FALSE), "")</f>
        <v/>
      </c>
    </row>
    <row r="2313" spans="3:4" x14ac:dyDescent="0.3">
      <c r="C2313" s="35">
        <f t="shared" si="37"/>
        <v>0</v>
      </c>
      <c r="D2313" s="30" t="str">
        <f>IFERROR(VLOOKUP(C2313,소속부서!$A$2:$B$20,2,FALSE), "")</f>
        <v/>
      </c>
    </row>
    <row r="2314" spans="3:4" x14ac:dyDescent="0.3">
      <c r="C2314" s="35">
        <f t="shared" si="37"/>
        <v>0</v>
      </c>
      <c r="D2314" s="30" t="str">
        <f>IFERROR(VLOOKUP(C2314,소속부서!$A$2:$B$20,2,FALSE), "")</f>
        <v/>
      </c>
    </row>
    <row r="2315" spans="3:4" x14ac:dyDescent="0.3">
      <c r="C2315" s="35">
        <f t="shared" si="37"/>
        <v>0</v>
      </c>
      <c r="D2315" s="30" t="str">
        <f>IFERROR(VLOOKUP(C2315,소속부서!$A$2:$B$20,2,FALSE), "")</f>
        <v/>
      </c>
    </row>
    <row r="2316" spans="3:4" x14ac:dyDescent="0.3">
      <c r="C2316" s="35">
        <f t="shared" si="37"/>
        <v>0</v>
      </c>
      <c r="D2316" s="30" t="str">
        <f>IFERROR(VLOOKUP(C2316,소속부서!$A$2:$B$20,2,FALSE), "")</f>
        <v/>
      </c>
    </row>
    <row r="2317" spans="3:4" x14ac:dyDescent="0.3">
      <c r="C2317" s="35">
        <f t="shared" si="37"/>
        <v>0</v>
      </c>
      <c r="D2317" s="30" t="str">
        <f>IFERROR(VLOOKUP(C2317,소속부서!$A$2:$B$20,2,FALSE), "")</f>
        <v/>
      </c>
    </row>
    <row r="2318" spans="3:4" x14ac:dyDescent="0.3">
      <c r="C2318" s="35">
        <f t="shared" si="37"/>
        <v>0</v>
      </c>
      <c r="D2318" s="30" t="str">
        <f>IFERROR(VLOOKUP(C2318,소속부서!$A$2:$B$20,2,FALSE), "")</f>
        <v/>
      </c>
    </row>
    <row r="2319" spans="3:4" x14ac:dyDescent="0.3">
      <c r="C2319" s="35">
        <f t="shared" si="37"/>
        <v>0</v>
      </c>
      <c r="D2319" s="30" t="str">
        <f>IFERROR(VLOOKUP(C2319,소속부서!$A$2:$B$20,2,FALSE), "")</f>
        <v/>
      </c>
    </row>
    <row r="2320" spans="3:4" x14ac:dyDescent="0.3">
      <c r="C2320" s="35">
        <f t="shared" si="37"/>
        <v>0</v>
      </c>
      <c r="D2320" s="30" t="str">
        <f>IFERROR(VLOOKUP(C2320,소속부서!$A$2:$B$20,2,FALSE), "")</f>
        <v/>
      </c>
    </row>
    <row r="2321" spans="3:4" x14ac:dyDescent="0.3">
      <c r="C2321" s="35">
        <f t="shared" si="37"/>
        <v>0</v>
      </c>
      <c r="D2321" s="30" t="str">
        <f>IFERROR(VLOOKUP(C2321,소속부서!$A$2:$B$20,2,FALSE), "")</f>
        <v/>
      </c>
    </row>
    <row r="2322" spans="3:4" x14ac:dyDescent="0.3">
      <c r="C2322" s="35">
        <f t="shared" si="37"/>
        <v>0</v>
      </c>
      <c r="D2322" s="30" t="str">
        <f>IFERROR(VLOOKUP(C2322,소속부서!$A$2:$B$20,2,FALSE), "")</f>
        <v/>
      </c>
    </row>
    <row r="2323" spans="3:4" x14ac:dyDescent="0.3">
      <c r="C2323" s="35">
        <f t="shared" si="37"/>
        <v>0</v>
      </c>
      <c r="D2323" s="30" t="str">
        <f>IFERROR(VLOOKUP(C2323,소속부서!$A$2:$B$20,2,FALSE), "")</f>
        <v/>
      </c>
    </row>
    <row r="2324" spans="3:4" x14ac:dyDescent="0.3">
      <c r="C2324" s="35">
        <f t="shared" si="37"/>
        <v>0</v>
      </c>
      <c r="D2324" s="30" t="str">
        <f>IFERROR(VLOOKUP(C2324,소속부서!$A$2:$B$20,2,FALSE), "")</f>
        <v/>
      </c>
    </row>
    <row r="2325" spans="3:4" x14ac:dyDescent="0.3">
      <c r="C2325" s="35">
        <f t="shared" si="37"/>
        <v>0</v>
      </c>
      <c r="D2325" s="30" t="str">
        <f>IFERROR(VLOOKUP(C2325,소속부서!$A$2:$B$20,2,FALSE), "")</f>
        <v/>
      </c>
    </row>
    <row r="2326" spans="3:4" x14ac:dyDescent="0.3">
      <c r="C2326" s="35">
        <f t="shared" si="37"/>
        <v>0</v>
      </c>
      <c r="D2326" s="30" t="str">
        <f>IFERROR(VLOOKUP(C2326,소속부서!$A$2:$B$20,2,FALSE), "")</f>
        <v/>
      </c>
    </row>
    <row r="2327" spans="3:4" x14ac:dyDescent="0.3">
      <c r="C2327" s="35">
        <f t="shared" si="37"/>
        <v>0</v>
      </c>
      <c r="D2327" s="30" t="str">
        <f>IFERROR(VLOOKUP(C2327,소속부서!$A$2:$B$20,2,FALSE), "")</f>
        <v/>
      </c>
    </row>
    <row r="2328" spans="3:4" x14ac:dyDescent="0.3">
      <c r="C2328" s="35">
        <f t="shared" si="37"/>
        <v>0</v>
      </c>
      <c r="D2328" s="30" t="str">
        <f>IFERROR(VLOOKUP(C2328,소속부서!$A$2:$B$20,2,FALSE), "")</f>
        <v/>
      </c>
    </row>
    <row r="2329" spans="3:4" x14ac:dyDescent="0.3">
      <c r="C2329" s="35">
        <f t="shared" si="37"/>
        <v>0</v>
      </c>
      <c r="D2329" s="30" t="str">
        <f>IFERROR(VLOOKUP(C2329,소속부서!$A$2:$B$20,2,FALSE), "")</f>
        <v/>
      </c>
    </row>
    <row r="2330" spans="3:4" x14ac:dyDescent="0.3">
      <c r="C2330" s="35">
        <f t="shared" si="37"/>
        <v>0</v>
      </c>
      <c r="D2330" s="30" t="str">
        <f>IFERROR(VLOOKUP(C2330,소속부서!$A$2:$B$20,2,FALSE), "")</f>
        <v/>
      </c>
    </row>
    <row r="2331" spans="3:4" x14ac:dyDescent="0.3">
      <c r="C2331" s="35">
        <f t="shared" si="37"/>
        <v>0</v>
      </c>
      <c r="D2331" s="30" t="str">
        <f>IFERROR(VLOOKUP(C2331,소속부서!$A$2:$B$20,2,FALSE), "")</f>
        <v/>
      </c>
    </row>
    <row r="2332" spans="3:4" x14ac:dyDescent="0.3">
      <c r="C2332" s="35">
        <f t="shared" si="37"/>
        <v>0</v>
      </c>
      <c r="D2332" s="30" t="str">
        <f>IFERROR(VLOOKUP(C2332,소속부서!$A$2:$B$20,2,FALSE), "")</f>
        <v/>
      </c>
    </row>
    <row r="2333" spans="3:4" x14ac:dyDescent="0.3">
      <c r="C2333" s="35">
        <f t="shared" si="37"/>
        <v>0</v>
      </c>
      <c r="D2333" s="30" t="str">
        <f>IFERROR(VLOOKUP(C2333,소속부서!$A$2:$B$20,2,FALSE), "")</f>
        <v/>
      </c>
    </row>
    <row r="2334" spans="3:4" x14ac:dyDescent="0.3">
      <c r="C2334" s="35">
        <f t="shared" si="37"/>
        <v>0</v>
      </c>
      <c r="D2334" s="30" t="str">
        <f>IFERROR(VLOOKUP(C2334,소속부서!$A$2:$B$20,2,FALSE), "")</f>
        <v/>
      </c>
    </row>
    <row r="2335" spans="3:4" x14ac:dyDescent="0.3">
      <c r="C2335" s="35">
        <f t="shared" si="37"/>
        <v>0</v>
      </c>
      <c r="D2335" s="30" t="str">
        <f>IFERROR(VLOOKUP(C2335,소속부서!$A$2:$B$20,2,FALSE), "")</f>
        <v/>
      </c>
    </row>
    <row r="2336" spans="3:4" x14ac:dyDescent="0.3">
      <c r="C2336" s="35">
        <f t="shared" si="37"/>
        <v>0</v>
      </c>
      <c r="D2336" s="30" t="str">
        <f>IFERROR(VLOOKUP(C2336,소속부서!$A$2:$B$20,2,FALSE), "")</f>
        <v/>
      </c>
    </row>
    <row r="2337" spans="3:4" x14ac:dyDescent="0.3">
      <c r="C2337" s="35">
        <f t="shared" si="37"/>
        <v>0</v>
      </c>
      <c r="D2337" s="30" t="str">
        <f>IFERROR(VLOOKUP(C2337,소속부서!$A$2:$B$20,2,FALSE), "")</f>
        <v/>
      </c>
    </row>
    <row r="2338" spans="3:4" x14ac:dyDescent="0.3">
      <c r="C2338" s="35">
        <f t="shared" si="37"/>
        <v>0</v>
      </c>
      <c r="D2338" s="30" t="str">
        <f>IFERROR(VLOOKUP(C2338,소속부서!$A$2:$B$20,2,FALSE), "")</f>
        <v/>
      </c>
    </row>
    <row r="2339" spans="3:4" x14ac:dyDescent="0.3">
      <c r="C2339" s="35">
        <f t="shared" si="37"/>
        <v>0</v>
      </c>
      <c r="D2339" s="30" t="str">
        <f>IFERROR(VLOOKUP(C2339,소속부서!$A$2:$B$20,2,FALSE), "")</f>
        <v/>
      </c>
    </row>
    <row r="2340" spans="3:4" x14ac:dyDescent="0.3">
      <c r="C2340" s="35">
        <f t="shared" si="37"/>
        <v>0</v>
      </c>
      <c r="D2340" s="30" t="str">
        <f>IFERROR(VLOOKUP(C2340,소속부서!$A$2:$B$20,2,FALSE), "")</f>
        <v/>
      </c>
    </row>
    <row r="2341" spans="3:4" x14ac:dyDescent="0.3">
      <c r="C2341" s="35">
        <f t="shared" si="37"/>
        <v>0</v>
      </c>
      <c r="D2341" s="30" t="str">
        <f>IFERROR(VLOOKUP(C2341,소속부서!$A$2:$B$20,2,FALSE), "")</f>
        <v/>
      </c>
    </row>
    <row r="2342" spans="3:4" x14ac:dyDescent="0.3">
      <c r="C2342" s="35">
        <f t="shared" si="37"/>
        <v>0</v>
      </c>
      <c r="D2342" s="30" t="str">
        <f>IFERROR(VLOOKUP(C2342,소속부서!$A$2:$B$20,2,FALSE), "")</f>
        <v/>
      </c>
    </row>
    <row r="2343" spans="3:4" x14ac:dyDescent="0.3">
      <c r="C2343" s="35">
        <f t="shared" si="37"/>
        <v>0</v>
      </c>
      <c r="D2343" s="30" t="str">
        <f>IFERROR(VLOOKUP(C2343,소속부서!$A$2:$B$20,2,FALSE), "")</f>
        <v/>
      </c>
    </row>
    <row r="2344" spans="3:4" x14ac:dyDescent="0.3">
      <c r="C2344" s="35">
        <f t="shared" si="37"/>
        <v>0</v>
      </c>
      <c r="D2344" s="30" t="str">
        <f>IFERROR(VLOOKUP(C2344,소속부서!$A$2:$B$20,2,FALSE), "")</f>
        <v/>
      </c>
    </row>
    <row r="2345" spans="3:4" x14ac:dyDescent="0.3">
      <c r="C2345" s="35">
        <f t="shared" si="37"/>
        <v>0</v>
      </c>
      <c r="D2345" s="30" t="str">
        <f>IFERROR(VLOOKUP(C2345,소속부서!$A$2:$B$20,2,FALSE), "")</f>
        <v/>
      </c>
    </row>
    <row r="2346" spans="3:4" x14ac:dyDescent="0.3">
      <c r="C2346" s="35">
        <f t="shared" si="37"/>
        <v>0</v>
      </c>
      <c r="D2346" s="30" t="str">
        <f>IFERROR(VLOOKUP(C2346,소속부서!$A$2:$B$20,2,FALSE), "")</f>
        <v/>
      </c>
    </row>
    <row r="2347" spans="3:4" x14ac:dyDescent="0.3">
      <c r="C2347" s="35">
        <f t="shared" si="37"/>
        <v>0</v>
      </c>
      <c r="D2347" s="30" t="str">
        <f>IFERROR(VLOOKUP(C2347,소속부서!$A$2:$B$20,2,FALSE), "")</f>
        <v/>
      </c>
    </row>
    <row r="2348" spans="3:4" x14ac:dyDescent="0.3">
      <c r="C2348" s="35">
        <f t="shared" si="37"/>
        <v>0</v>
      </c>
      <c r="D2348" s="30" t="str">
        <f>IFERROR(VLOOKUP(C2348,소속부서!$A$2:$B$20,2,FALSE), "")</f>
        <v/>
      </c>
    </row>
    <row r="2349" spans="3:4" x14ac:dyDescent="0.3">
      <c r="C2349" s="35">
        <f t="shared" si="37"/>
        <v>0</v>
      </c>
      <c r="D2349" s="30" t="str">
        <f>IFERROR(VLOOKUP(C2349,소속부서!$A$2:$B$20,2,FALSE), "")</f>
        <v/>
      </c>
    </row>
    <row r="2350" spans="3:4" x14ac:dyDescent="0.3">
      <c r="C2350" s="35">
        <f t="shared" si="37"/>
        <v>0</v>
      </c>
      <c r="D2350" s="30" t="str">
        <f>IFERROR(VLOOKUP(C2350,소속부서!$A$2:$B$20,2,FALSE), "")</f>
        <v/>
      </c>
    </row>
    <row r="2351" spans="3:4" x14ac:dyDescent="0.3">
      <c r="C2351" s="35">
        <f t="shared" si="37"/>
        <v>0</v>
      </c>
      <c r="D2351" s="30" t="str">
        <f>IFERROR(VLOOKUP(C2351,소속부서!$A$2:$B$20,2,FALSE), "")</f>
        <v/>
      </c>
    </row>
    <row r="2352" spans="3:4" x14ac:dyDescent="0.3">
      <c r="C2352" s="35">
        <f t="shared" si="37"/>
        <v>0</v>
      </c>
      <c r="D2352" s="30" t="str">
        <f>IFERROR(VLOOKUP(C2352,소속부서!$A$2:$B$20,2,FALSE), "")</f>
        <v/>
      </c>
    </row>
    <row r="2353" spans="3:4" x14ac:dyDescent="0.3">
      <c r="C2353" s="35">
        <f t="shared" si="37"/>
        <v>0</v>
      </c>
      <c r="D2353" s="30" t="str">
        <f>IFERROR(VLOOKUP(C2353,소속부서!$A$2:$B$20,2,FALSE), "")</f>
        <v/>
      </c>
    </row>
    <row r="2354" spans="3:4" x14ac:dyDescent="0.3">
      <c r="C2354" s="35">
        <f t="shared" si="37"/>
        <v>0</v>
      </c>
      <c r="D2354" s="30" t="str">
        <f>IFERROR(VLOOKUP(C2354,소속부서!$A$2:$B$20,2,FALSE), "")</f>
        <v/>
      </c>
    </row>
    <row r="2355" spans="3:4" x14ac:dyDescent="0.3">
      <c r="C2355" s="35">
        <f t="shared" si="37"/>
        <v>0</v>
      </c>
      <c r="D2355" s="30" t="str">
        <f>IFERROR(VLOOKUP(C2355,소속부서!$A$2:$B$20,2,FALSE), "")</f>
        <v/>
      </c>
    </row>
    <row r="2356" spans="3:4" x14ac:dyDescent="0.3">
      <c r="C2356" s="35">
        <f t="shared" si="37"/>
        <v>0</v>
      </c>
      <c r="D2356" s="30" t="str">
        <f>IFERROR(VLOOKUP(C2356,소속부서!$A$2:$B$20,2,FALSE), "")</f>
        <v/>
      </c>
    </row>
    <row r="2357" spans="3:4" x14ac:dyDescent="0.3">
      <c r="C2357" s="35">
        <f t="shared" si="37"/>
        <v>0</v>
      </c>
      <c r="D2357" s="30" t="str">
        <f>IFERROR(VLOOKUP(C2357,소속부서!$A$2:$B$20,2,FALSE), "")</f>
        <v/>
      </c>
    </row>
    <row r="2358" spans="3:4" x14ac:dyDescent="0.3">
      <c r="C2358" s="35">
        <f t="shared" si="37"/>
        <v>0</v>
      </c>
      <c r="D2358" s="30" t="str">
        <f>IFERROR(VLOOKUP(C2358,소속부서!$A$2:$B$20,2,FALSE), "")</f>
        <v/>
      </c>
    </row>
    <row r="2359" spans="3:4" x14ac:dyDescent="0.3">
      <c r="C2359" s="35">
        <f t="shared" si="37"/>
        <v>0</v>
      </c>
      <c r="D2359" s="30" t="str">
        <f>IFERROR(VLOOKUP(C2359,소속부서!$A$2:$B$20,2,FALSE), "")</f>
        <v/>
      </c>
    </row>
    <row r="2360" spans="3:4" x14ac:dyDescent="0.3">
      <c r="C2360" s="35">
        <f t="shared" si="37"/>
        <v>0</v>
      </c>
      <c r="D2360" s="30" t="str">
        <f>IFERROR(VLOOKUP(C2360,소속부서!$A$2:$B$20,2,FALSE), "")</f>
        <v/>
      </c>
    </row>
    <row r="2361" spans="3:4" x14ac:dyDescent="0.3">
      <c r="C2361" s="35">
        <f t="shared" si="37"/>
        <v>0</v>
      </c>
      <c r="D2361" s="30" t="str">
        <f>IFERROR(VLOOKUP(C2361,소속부서!$A$2:$B$20,2,FALSE), "")</f>
        <v/>
      </c>
    </row>
    <row r="2362" spans="3:4" x14ac:dyDescent="0.3">
      <c r="C2362" s="35">
        <f t="shared" si="37"/>
        <v>0</v>
      </c>
      <c r="D2362" s="30" t="str">
        <f>IFERROR(VLOOKUP(C2362,소속부서!$A$2:$B$20,2,FALSE), "")</f>
        <v/>
      </c>
    </row>
    <row r="2363" spans="3:4" x14ac:dyDescent="0.3">
      <c r="C2363" s="35">
        <f t="shared" si="37"/>
        <v>0</v>
      </c>
      <c r="D2363" s="30" t="str">
        <f>IFERROR(VLOOKUP(C2363,소속부서!$A$2:$B$20,2,FALSE), "")</f>
        <v/>
      </c>
    </row>
    <row r="2364" spans="3:4" x14ac:dyDescent="0.3">
      <c r="C2364" s="35">
        <f t="shared" si="37"/>
        <v>0</v>
      </c>
      <c r="D2364" s="30" t="str">
        <f>IFERROR(VLOOKUP(C2364,소속부서!$A$2:$B$20,2,FALSE), "")</f>
        <v/>
      </c>
    </row>
    <row r="2365" spans="3:4" x14ac:dyDescent="0.3">
      <c r="C2365" s="35">
        <f t="shared" si="37"/>
        <v>0</v>
      </c>
      <c r="D2365" s="30" t="str">
        <f>IFERROR(VLOOKUP(C2365,소속부서!$A$2:$B$20,2,FALSE), "")</f>
        <v/>
      </c>
    </row>
    <row r="2366" spans="3:4" x14ac:dyDescent="0.3">
      <c r="C2366" s="35">
        <f t="shared" si="37"/>
        <v>0</v>
      </c>
      <c r="D2366" s="30" t="str">
        <f>IFERROR(VLOOKUP(C2366,소속부서!$A$2:$B$20,2,FALSE), "")</f>
        <v/>
      </c>
    </row>
    <row r="2367" spans="3:4" x14ac:dyDescent="0.3">
      <c r="C2367" s="35">
        <f t="shared" si="37"/>
        <v>0</v>
      </c>
      <c r="D2367" s="30" t="str">
        <f>IFERROR(VLOOKUP(C2367,소속부서!$A$2:$B$20,2,FALSE), "")</f>
        <v/>
      </c>
    </row>
    <row r="2368" spans="3:4" x14ac:dyDescent="0.3">
      <c r="C2368" s="35">
        <f t="shared" si="37"/>
        <v>0</v>
      </c>
      <c r="D2368" s="30" t="str">
        <f>IFERROR(VLOOKUP(C2368,소속부서!$A$2:$B$20,2,FALSE), "")</f>
        <v/>
      </c>
    </row>
    <row r="2369" spans="3:4" x14ac:dyDescent="0.3">
      <c r="C2369" s="35">
        <f t="shared" si="37"/>
        <v>0</v>
      </c>
      <c r="D2369" s="30" t="str">
        <f>IFERROR(VLOOKUP(C2369,소속부서!$A$2:$B$20,2,FALSE), "")</f>
        <v/>
      </c>
    </row>
    <row r="2370" spans="3:4" x14ac:dyDescent="0.3">
      <c r="C2370" s="35">
        <f t="shared" si="37"/>
        <v>0</v>
      </c>
      <c r="D2370" s="30" t="str">
        <f>IFERROR(VLOOKUP(C2370,소속부서!$A$2:$B$20,2,FALSE), "")</f>
        <v/>
      </c>
    </row>
    <row r="2371" spans="3:4" x14ac:dyDescent="0.3">
      <c r="C2371" s="35">
        <f t="shared" si="37"/>
        <v>0</v>
      </c>
      <c r="D2371" s="30" t="str">
        <f>IFERROR(VLOOKUP(C2371,소속부서!$A$2:$B$20,2,FALSE), "")</f>
        <v/>
      </c>
    </row>
    <row r="2372" spans="3:4" x14ac:dyDescent="0.3">
      <c r="C2372" s="35">
        <f t="shared" ref="C2372:C2435" si="38">E2372</f>
        <v>0</v>
      </c>
      <c r="D2372" s="30" t="str">
        <f>IFERROR(VLOOKUP(C2372,소속부서!$A$2:$B$20,2,FALSE), "")</f>
        <v/>
      </c>
    </row>
    <row r="2373" spans="3:4" x14ac:dyDescent="0.3">
      <c r="C2373" s="35">
        <f t="shared" si="38"/>
        <v>0</v>
      </c>
      <c r="D2373" s="30" t="str">
        <f>IFERROR(VLOOKUP(C2373,소속부서!$A$2:$B$20,2,FALSE), "")</f>
        <v/>
      </c>
    </row>
    <row r="2374" spans="3:4" x14ac:dyDescent="0.3">
      <c r="C2374" s="35">
        <f t="shared" si="38"/>
        <v>0</v>
      </c>
      <c r="D2374" s="30" t="str">
        <f>IFERROR(VLOOKUP(C2374,소속부서!$A$2:$B$20,2,FALSE), "")</f>
        <v/>
      </c>
    </row>
    <row r="2375" spans="3:4" x14ac:dyDescent="0.3">
      <c r="C2375" s="35">
        <f t="shared" si="38"/>
        <v>0</v>
      </c>
      <c r="D2375" s="30" t="str">
        <f>IFERROR(VLOOKUP(C2375,소속부서!$A$2:$B$20,2,FALSE), "")</f>
        <v/>
      </c>
    </row>
    <row r="2376" spans="3:4" x14ac:dyDescent="0.3">
      <c r="C2376" s="35">
        <f t="shared" si="38"/>
        <v>0</v>
      </c>
      <c r="D2376" s="30" t="str">
        <f>IFERROR(VLOOKUP(C2376,소속부서!$A$2:$B$20,2,FALSE), "")</f>
        <v/>
      </c>
    </row>
    <row r="2377" spans="3:4" x14ac:dyDescent="0.3">
      <c r="C2377" s="35">
        <f t="shared" si="38"/>
        <v>0</v>
      </c>
      <c r="D2377" s="30" t="str">
        <f>IFERROR(VLOOKUP(C2377,소속부서!$A$2:$B$20,2,FALSE), "")</f>
        <v/>
      </c>
    </row>
    <row r="2378" spans="3:4" x14ac:dyDescent="0.3">
      <c r="C2378" s="35">
        <f t="shared" si="38"/>
        <v>0</v>
      </c>
      <c r="D2378" s="30" t="str">
        <f>IFERROR(VLOOKUP(C2378,소속부서!$A$2:$B$20,2,FALSE), "")</f>
        <v/>
      </c>
    </row>
    <row r="2379" spans="3:4" x14ac:dyDescent="0.3">
      <c r="C2379" s="35">
        <f t="shared" si="38"/>
        <v>0</v>
      </c>
      <c r="D2379" s="30" t="str">
        <f>IFERROR(VLOOKUP(C2379,소속부서!$A$2:$B$20,2,FALSE), "")</f>
        <v/>
      </c>
    </row>
    <row r="2380" spans="3:4" x14ac:dyDescent="0.3">
      <c r="C2380" s="35">
        <f t="shared" si="38"/>
        <v>0</v>
      </c>
      <c r="D2380" s="30" t="str">
        <f>IFERROR(VLOOKUP(C2380,소속부서!$A$2:$B$20,2,FALSE), "")</f>
        <v/>
      </c>
    </row>
    <row r="2381" spans="3:4" x14ac:dyDescent="0.3">
      <c r="C2381" s="35">
        <f t="shared" si="38"/>
        <v>0</v>
      </c>
      <c r="D2381" s="30" t="str">
        <f>IFERROR(VLOOKUP(C2381,소속부서!$A$2:$B$20,2,FALSE), "")</f>
        <v/>
      </c>
    </row>
    <row r="2382" spans="3:4" x14ac:dyDescent="0.3">
      <c r="C2382" s="35">
        <f t="shared" si="38"/>
        <v>0</v>
      </c>
      <c r="D2382" s="30" t="str">
        <f>IFERROR(VLOOKUP(C2382,소속부서!$A$2:$B$20,2,FALSE), "")</f>
        <v/>
      </c>
    </row>
    <row r="2383" spans="3:4" x14ac:dyDescent="0.3">
      <c r="C2383" s="35">
        <f t="shared" si="38"/>
        <v>0</v>
      </c>
      <c r="D2383" s="30" t="str">
        <f>IFERROR(VLOOKUP(C2383,소속부서!$A$2:$B$20,2,FALSE), "")</f>
        <v/>
      </c>
    </row>
    <row r="2384" spans="3:4" x14ac:dyDescent="0.3">
      <c r="C2384" s="35">
        <f t="shared" si="38"/>
        <v>0</v>
      </c>
      <c r="D2384" s="30" t="str">
        <f>IFERROR(VLOOKUP(C2384,소속부서!$A$2:$B$20,2,FALSE), "")</f>
        <v/>
      </c>
    </row>
    <row r="2385" spans="3:4" x14ac:dyDescent="0.3">
      <c r="C2385" s="35">
        <f t="shared" si="38"/>
        <v>0</v>
      </c>
      <c r="D2385" s="30" t="str">
        <f>IFERROR(VLOOKUP(C2385,소속부서!$A$2:$B$20,2,FALSE), "")</f>
        <v/>
      </c>
    </row>
    <row r="2386" spans="3:4" x14ac:dyDescent="0.3">
      <c r="C2386" s="35">
        <f t="shared" si="38"/>
        <v>0</v>
      </c>
      <c r="D2386" s="30" t="str">
        <f>IFERROR(VLOOKUP(C2386,소속부서!$A$2:$B$20,2,FALSE), "")</f>
        <v/>
      </c>
    </row>
    <row r="2387" spans="3:4" x14ac:dyDescent="0.3">
      <c r="C2387" s="35">
        <f t="shared" si="38"/>
        <v>0</v>
      </c>
      <c r="D2387" s="30" t="str">
        <f>IFERROR(VLOOKUP(C2387,소속부서!$A$2:$B$20,2,FALSE), "")</f>
        <v/>
      </c>
    </row>
    <row r="2388" spans="3:4" x14ac:dyDescent="0.3">
      <c r="C2388" s="35">
        <f t="shared" si="38"/>
        <v>0</v>
      </c>
      <c r="D2388" s="30" t="str">
        <f>IFERROR(VLOOKUP(C2388,소속부서!$A$2:$B$20,2,FALSE), "")</f>
        <v/>
      </c>
    </row>
    <row r="2389" spans="3:4" x14ac:dyDescent="0.3">
      <c r="C2389" s="35">
        <f t="shared" si="38"/>
        <v>0</v>
      </c>
      <c r="D2389" s="30" t="str">
        <f>IFERROR(VLOOKUP(C2389,소속부서!$A$2:$B$20,2,FALSE), "")</f>
        <v/>
      </c>
    </row>
    <row r="2390" spans="3:4" x14ac:dyDescent="0.3">
      <c r="C2390" s="35">
        <f t="shared" si="38"/>
        <v>0</v>
      </c>
      <c r="D2390" s="30" t="str">
        <f>IFERROR(VLOOKUP(C2390,소속부서!$A$2:$B$20,2,FALSE), "")</f>
        <v/>
      </c>
    </row>
    <row r="2391" spans="3:4" x14ac:dyDescent="0.3">
      <c r="C2391" s="35">
        <f t="shared" si="38"/>
        <v>0</v>
      </c>
      <c r="D2391" s="30" t="str">
        <f>IFERROR(VLOOKUP(C2391,소속부서!$A$2:$B$20,2,FALSE), "")</f>
        <v/>
      </c>
    </row>
    <row r="2392" spans="3:4" x14ac:dyDescent="0.3">
      <c r="C2392" s="35">
        <f t="shared" si="38"/>
        <v>0</v>
      </c>
      <c r="D2392" s="30" t="str">
        <f>IFERROR(VLOOKUP(C2392,소속부서!$A$2:$B$20,2,FALSE), "")</f>
        <v/>
      </c>
    </row>
    <row r="2393" spans="3:4" x14ac:dyDescent="0.3">
      <c r="C2393" s="35">
        <f t="shared" si="38"/>
        <v>0</v>
      </c>
      <c r="D2393" s="30" t="str">
        <f>IFERROR(VLOOKUP(C2393,소속부서!$A$2:$B$20,2,FALSE), "")</f>
        <v/>
      </c>
    </row>
    <row r="2394" spans="3:4" x14ac:dyDescent="0.3">
      <c r="C2394" s="35">
        <f t="shared" si="38"/>
        <v>0</v>
      </c>
      <c r="D2394" s="30" t="str">
        <f>IFERROR(VLOOKUP(C2394,소속부서!$A$2:$B$20,2,FALSE), "")</f>
        <v/>
      </c>
    </row>
    <row r="2395" spans="3:4" x14ac:dyDescent="0.3">
      <c r="C2395" s="35">
        <f t="shared" si="38"/>
        <v>0</v>
      </c>
      <c r="D2395" s="30" t="str">
        <f>IFERROR(VLOOKUP(C2395,소속부서!$A$2:$B$20,2,FALSE), "")</f>
        <v/>
      </c>
    </row>
    <row r="2396" spans="3:4" x14ac:dyDescent="0.3">
      <c r="C2396" s="35">
        <f t="shared" si="38"/>
        <v>0</v>
      </c>
      <c r="D2396" s="30" t="str">
        <f>IFERROR(VLOOKUP(C2396,소속부서!$A$2:$B$20,2,FALSE), "")</f>
        <v/>
      </c>
    </row>
    <row r="2397" spans="3:4" x14ac:dyDescent="0.3">
      <c r="C2397" s="35">
        <f t="shared" si="38"/>
        <v>0</v>
      </c>
      <c r="D2397" s="30" t="str">
        <f>IFERROR(VLOOKUP(C2397,소속부서!$A$2:$B$20,2,FALSE), "")</f>
        <v/>
      </c>
    </row>
    <row r="2398" spans="3:4" x14ac:dyDescent="0.3">
      <c r="C2398" s="35">
        <f t="shared" si="38"/>
        <v>0</v>
      </c>
      <c r="D2398" s="30" t="str">
        <f>IFERROR(VLOOKUP(C2398,소속부서!$A$2:$B$20,2,FALSE), "")</f>
        <v/>
      </c>
    </row>
    <row r="2399" spans="3:4" x14ac:dyDescent="0.3">
      <c r="C2399" s="35">
        <f t="shared" si="38"/>
        <v>0</v>
      </c>
      <c r="D2399" s="30" t="str">
        <f>IFERROR(VLOOKUP(C2399,소속부서!$A$2:$B$20,2,FALSE), "")</f>
        <v/>
      </c>
    </row>
    <row r="2400" spans="3:4" x14ac:dyDescent="0.3">
      <c r="C2400" s="35">
        <f t="shared" si="38"/>
        <v>0</v>
      </c>
      <c r="D2400" s="30" t="str">
        <f>IFERROR(VLOOKUP(C2400,소속부서!$A$2:$B$20,2,FALSE), "")</f>
        <v/>
      </c>
    </row>
    <row r="2401" spans="3:4" x14ac:dyDescent="0.3">
      <c r="C2401" s="35">
        <f t="shared" si="38"/>
        <v>0</v>
      </c>
      <c r="D2401" s="30" t="str">
        <f>IFERROR(VLOOKUP(C2401,소속부서!$A$2:$B$20,2,FALSE), "")</f>
        <v/>
      </c>
    </row>
    <row r="2402" spans="3:4" x14ac:dyDescent="0.3">
      <c r="C2402" s="35">
        <f t="shared" si="38"/>
        <v>0</v>
      </c>
      <c r="D2402" s="30" t="str">
        <f>IFERROR(VLOOKUP(C2402,소속부서!$A$2:$B$20,2,FALSE), "")</f>
        <v/>
      </c>
    </row>
    <row r="2403" spans="3:4" x14ac:dyDescent="0.3">
      <c r="C2403" s="35">
        <f t="shared" si="38"/>
        <v>0</v>
      </c>
      <c r="D2403" s="30" t="str">
        <f>IFERROR(VLOOKUP(C2403,소속부서!$A$2:$B$20,2,FALSE), "")</f>
        <v/>
      </c>
    </row>
    <row r="2404" spans="3:4" x14ac:dyDescent="0.3">
      <c r="C2404" s="35">
        <f t="shared" si="38"/>
        <v>0</v>
      </c>
      <c r="D2404" s="30" t="str">
        <f>IFERROR(VLOOKUP(C2404,소속부서!$A$2:$B$20,2,FALSE), "")</f>
        <v/>
      </c>
    </row>
    <row r="2405" spans="3:4" x14ac:dyDescent="0.3">
      <c r="C2405" s="35">
        <f t="shared" si="38"/>
        <v>0</v>
      </c>
      <c r="D2405" s="30" t="str">
        <f>IFERROR(VLOOKUP(C2405,소속부서!$A$2:$B$20,2,FALSE), "")</f>
        <v/>
      </c>
    </row>
    <row r="2406" spans="3:4" x14ac:dyDescent="0.3">
      <c r="C2406" s="35">
        <f t="shared" si="38"/>
        <v>0</v>
      </c>
      <c r="D2406" s="30" t="str">
        <f>IFERROR(VLOOKUP(C2406,소속부서!$A$2:$B$20,2,FALSE), "")</f>
        <v/>
      </c>
    </row>
    <row r="2407" spans="3:4" x14ac:dyDescent="0.3">
      <c r="C2407" s="35">
        <f t="shared" si="38"/>
        <v>0</v>
      </c>
      <c r="D2407" s="30" t="str">
        <f>IFERROR(VLOOKUP(C2407,소속부서!$A$2:$B$20,2,FALSE), "")</f>
        <v/>
      </c>
    </row>
    <row r="2408" spans="3:4" x14ac:dyDescent="0.3">
      <c r="C2408" s="35">
        <f t="shared" si="38"/>
        <v>0</v>
      </c>
      <c r="D2408" s="30" t="str">
        <f>IFERROR(VLOOKUP(C2408,소속부서!$A$2:$B$20,2,FALSE), "")</f>
        <v/>
      </c>
    </row>
    <row r="2409" spans="3:4" x14ac:dyDescent="0.3">
      <c r="C2409" s="35">
        <f t="shared" si="38"/>
        <v>0</v>
      </c>
      <c r="D2409" s="30" t="str">
        <f>IFERROR(VLOOKUP(C2409,소속부서!$A$2:$B$20,2,FALSE), "")</f>
        <v/>
      </c>
    </row>
    <row r="2410" spans="3:4" x14ac:dyDescent="0.3">
      <c r="C2410" s="35">
        <f t="shared" si="38"/>
        <v>0</v>
      </c>
      <c r="D2410" s="30" t="str">
        <f>IFERROR(VLOOKUP(C2410,소속부서!$A$2:$B$20,2,FALSE), "")</f>
        <v/>
      </c>
    </row>
    <row r="2411" spans="3:4" x14ac:dyDescent="0.3">
      <c r="C2411" s="35">
        <f t="shared" si="38"/>
        <v>0</v>
      </c>
      <c r="D2411" s="30" t="str">
        <f>IFERROR(VLOOKUP(C2411,소속부서!$A$2:$B$20,2,FALSE), "")</f>
        <v/>
      </c>
    </row>
    <row r="2412" spans="3:4" x14ac:dyDescent="0.3">
      <c r="C2412" s="35">
        <f t="shared" si="38"/>
        <v>0</v>
      </c>
      <c r="D2412" s="30" t="str">
        <f>IFERROR(VLOOKUP(C2412,소속부서!$A$2:$B$20,2,FALSE), "")</f>
        <v/>
      </c>
    </row>
    <row r="2413" spans="3:4" x14ac:dyDescent="0.3">
      <c r="C2413" s="35">
        <f t="shared" si="38"/>
        <v>0</v>
      </c>
      <c r="D2413" s="30" t="str">
        <f>IFERROR(VLOOKUP(C2413,소속부서!$A$2:$B$20,2,FALSE), "")</f>
        <v/>
      </c>
    </row>
    <row r="2414" spans="3:4" x14ac:dyDescent="0.3">
      <c r="C2414" s="35">
        <f t="shared" si="38"/>
        <v>0</v>
      </c>
      <c r="D2414" s="30" t="str">
        <f>IFERROR(VLOOKUP(C2414,소속부서!$A$2:$B$20,2,FALSE), "")</f>
        <v/>
      </c>
    </row>
    <row r="2415" spans="3:4" x14ac:dyDescent="0.3">
      <c r="C2415" s="35">
        <f t="shared" si="38"/>
        <v>0</v>
      </c>
      <c r="D2415" s="30" t="str">
        <f>IFERROR(VLOOKUP(C2415,소속부서!$A$2:$B$20,2,FALSE), "")</f>
        <v/>
      </c>
    </row>
    <row r="2416" spans="3:4" x14ac:dyDescent="0.3">
      <c r="C2416" s="35">
        <f t="shared" si="38"/>
        <v>0</v>
      </c>
      <c r="D2416" s="30" t="str">
        <f>IFERROR(VLOOKUP(C2416,소속부서!$A$2:$B$20,2,FALSE), "")</f>
        <v/>
      </c>
    </row>
    <row r="2417" spans="3:4" x14ac:dyDescent="0.3">
      <c r="C2417" s="35">
        <f t="shared" si="38"/>
        <v>0</v>
      </c>
      <c r="D2417" s="30" t="str">
        <f>IFERROR(VLOOKUP(C2417,소속부서!$A$2:$B$20,2,FALSE), "")</f>
        <v/>
      </c>
    </row>
    <row r="2418" spans="3:4" x14ac:dyDescent="0.3">
      <c r="C2418" s="35">
        <f t="shared" si="38"/>
        <v>0</v>
      </c>
      <c r="D2418" s="30" t="str">
        <f>IFERROR(VLOOKUP(C2418,소속부서!$A$2:$B$20,2,FALSE), "")</f>
        <v/>
      </c>
    </row>
    <row r="2419" spans="3:4" x14ac:dyDescent="0.3">
      <c r="C2419" s="35">
        <f t="shared" si="38"/>
        <v>0</v>
      </c>
      <c r="D2419" s="30" t="str">
        <f>IFERROR(VLOOKUP(C2419,소속부서!$A$2:$B$20,2,FALSE), "")</f>
        <v/>
      </c>
    </row>
    <row r="2420" spans="3:4" x14ac:dyDescent="0.3">
      <c r="C2420" s="35">
        <f t="shared" si="38"/>
        <v>0</v>
      </c>
      <c r="D2420" s="30" t="str">
        <f>IFERROR(VLOOKUP(C2420,소속부서!$A$2:$B$20,2,FALSE), "")</f>
        <v/>
      </c>
    </row>
    <row r="2421" spans="3:4" x14ac:dyDescent="0.3">
      <c r="C2421" s="35">
        <f t="shared" si="38"/>
        <v>0</v>
      </c>
      <c r="D2421" s="30" t="str">
        <f>IFERROR(VLOOKUP(C2421,소속부서!$A$2:$B$20,2,FALSE), "")</f>
        <v/>
      </c>
    </row>
    <row r="2422" spans="3:4" x14ac:dyDescent="0.3">
      <c r="C2422" s="35">
        <f t="shared" si="38"/>
        <v>0</v>
      </c>
      <c r="D2422" s="30" t="str">
        <f>IFERROR(VLOOKUP(C2422,소속부서!$A$2:$B$20,2,FALSE), "")</f>
        <v/>
      </c>
    </row>
    <row r="2423" spans="3:4" x14ac:dyDescent="0.3">
      <c r="C2423" s="35">
        <f t="shared" si="38"/>
        <v>0</v>
      </c>
      <c r="D2423" s="30" t="str">
        <f>IFERROR(VLOOKUP(C2423,소속부서!$A$2:$B$20,2,FALSE), "")</f>
        <v/>
      </c>
    </row>
    <row r="2424" spans="3:4" x14ac:dyDescent="0.3">
      <c r="C2424" s="35">
        <f t="shared" si="38"/>
        <v>0</v>
      </c>
      <c r="D2424" s="30" t="str">
        <f>IFERROR(VLOOKUP(C2424,소속부서!$A$2:$B$20,2,FALSE), "")</f>
        <v/>
      </c>
    </row>
    <row r="2425" spans="3:4" x14ac:dyDescent="0.3">
      <c r="C2425" s="35">
        <f t="shared" si="38"/>
        <v>0</v>
      </c>
      <c r="D2425" s="30" t="str">
        <f>IFERROR(VLOOKUP(C2425,소속부서!$A$2:$B$20,2,FALSE), "")</f>
        <v/>
      </c>
    </row>
    <row r="2426" spans="3:4" x14ac:dyDescent="0.3">
      <c r="C2426" s="35">
        <f t="shared" si="38"/>
        <v>0</v>
      </c>
      <c r="D2426" s="30" t="str">
        <f>IFERROR(VLOOKUP(C2426,소속부서!$A$2:$B$20,2,FALSE), "")</f>
        <v/>
      </c>
    </row>
    <row r="2427" spans="3:4" x14ac:dyDescent="0.3">
      <c r="C2427" s="35">
        <f t="shared" si="38"/>
        <v>0</v>
      </c>
      <c r="D2427" s="30" t="str">
        <f>IFERROR(VLOOKUP(C2427,소속부서!$A$2:$B$20,2,FALSE), "")</f>
        <v/>
      </c>
    </row>
    <row r="2428" spans="3:4" x14ac:dyDescent="0.3">
      <c r="C2428" s="35">
        <f t="shared" si="38"/>
        <v>0</v>
      </c>
      <c r="D2428" s="30" t="str">
        <f>IFERROR(VLOOKUP(C2428,소속부서!$A$2:$B$20,2,FALSE), "")</f>
        <v/>
      </c>
    </row>
    <row r="2429" spans="3:4" x14ac:dyDescent="0.3">
      <c r="C2429" s="35">
        <f t="shared" si="38"/>
        <v>0</v>
      </c>
      <c r="D2429" s="30" t="str">
        <f>IFERROR(VLOOKUP(C2429,소속부서!$A$2:$B$20,2,FALSE), "")</f>
        <v/>
      </c>
    </row>
    <row r="2430" spans="3:4" x14ac:dyDescent="0.3">
      <c r="C2430" s="35">
        <f t="shared" si="38"/>
        <v>0</v>
      </c>
      <c r="D2430" s="30" t="str">
        <f>IFERROR(VLOOKUP(C2430,소속부서!$A$2:$B$20,2,FALSE), "")</f>
        <v/>
      </c>
    </row>
    <row r="2431" spans="3:4" x14ac:dyDescent="0.3">
      <c r="C2431" s="35">
        <f t="shared" si="38"/>
        <v>0</v>
      </c>
      <c r="D2431" s="30" t="str">
        <f>IFERROR(VLOOKUP(C2431,소속부서!$A$2:$B$20,2,FALSE), "")</f>
        <v/>
      </c>
    </row>
    <row r="2432" spans="3:4" x14ac:dyDescent="0.3">
      <c r="C2432" s="35">
        <f t="shared" si="38"/>
        <v>0</v>
      </c>
      <c r="D2432" s="30" t="str">
        <f>IFERROR(VLOOKUP(C2432,소속부서!$A$2:$B$20,2,FALSE), "")</f>
        <v/>
      </c>
    </row>
    <row r="2433" spans="3:4" x14ac:dyDescent="0.3">
      <c r="C2433" s="35">
        <f t="shared" si="38"/>
        <v>0</v>
      </c>
      <c r="D2433" s="30" t="str">
        <f>IFERROR(VLOOKUP(C2433,소속부서!$A$2:$B$20,2,FALSE), "")</f>
        <v/>
      </c>
    </row>
    <row r="2434" spans="3:4" x14ac:dyDescent="0.3">
      <c r="C2434" s="35">
        <f t="shared" si="38"/>
        <v>0</v>
      </c>
      <c r="D2434" s="30" t="str">
        <f>IFERROR(VLOOKUP(C2434,소속부서!$A$2:$B$20,2,FALSE), "")</f>
        <v/>
      </c>
    </row>
    <row r="2435" spans="3:4" x14ac:dyDescent="0.3">
      <c r="C2435" s="35">
        <f t="shared" si="38"/>
        <v>0</v>
      </c>
      <c r="D2435" s="30" t="str">
        <f>IFERROR(VLOOKUP(C2435,소속부서!$A$2:$B$20,2,FALSE), "")</f>
        <v/>
      </c>
    </row>
    <row r="2436" spans="3:4" x14ac:dyDescent="0.3">
      <c r="C2436" s="35">
        <f t="shared" ref="C2436:C2499" si="39">E2436</f>
        <v>0</v>
      </c>
      <c r="D2436" s="30" t="str">
        <f>IFERROR(VLOOKUP(C2436,소속부서!$A$2:$B$20,2,FALSE), "")</f>
        <v/>
      </c>
    </row>
    <row r="2437" spans="3:4" x14ac:dyDescent="0.3">
      <c r="C2437" s="35">
        <f t="shared" si="39"/>
        <v>0</v>
      </c>
      <c r="D2437" s="30" t="str">
        <f>IFERROR(VLOOKUP(C2437,소속부서!$A$2:$B$20,2,FALSE), "")</f>
        <v/>
      </c>
    </row>
    <row r="2438" spans="3:4" x14ac:dyDescent="0.3">
      <c r="C2438" s="35">
        <f t="shared" si="39"/>
        <v>0</v>
      </c>
      <c r="D2438" s="30" t="str">
        <f>IFERROR(VLOOKUP(C2438,소속부서!$A$2:$B$20,2,FALSE), "")</f>
        <v/>
      </c>
    </row>
    <row r="2439" spans="3:4" x14ac:dyDescent="0.3">
      <c r="C2439" s="35">
        <f t="shared" si="39"/>
        <v>0</v>
      </c>
      <c r="D2439" s="30" t="str">
        <f>IFERROR(VLOOKUP(C2439,소속부서!$A$2:$B$20,2,FALSE), "")</f>
        <v/>
      </c>
    </row>
    <row r="2440" spans="3:4" x14ac:dyDescent="0.3">
      <c r="C2440" s="35">
        <f t="shared" si="39"/>
        <v>0</v>
      </c>
      <c r="D2440" s="30" t="str">
        <f>IFERROR(VLOOKUP(C2440,소속부서!$A$2:$B$20,2,FALSE), "")</f>
        <v/>
      </c>
    </row>
    <row r="2441" spans="3:4" x14ac:dyDescent="0.3">
      <c r="C2441" s="35">
        <f t="shared" si="39"/>
        <v>0</v>
      </c>
      <c r="D2441" s="30" t="str">
        <f>IFERROR(VLOOKUP(C2441,소속부서!$A$2:$B$20,2,FALSE), "")</f>
        <v/>
      </c>
    </row>
    <row r="2442" spans="3:4" x14ac:dyDescent="0.3">
      <c r="C2442" s="35">
        <f t="shared" si="39"/>
        <v>0</v>
      </c>
      <c r="D2442" s="30" t="str">
        <f>IFERROR(VLOOKUP(C2442,소속부서!$A$2:$B$20,2,FALSE), "")</f>
        <v/>
      </c>
    </row>
    <row r="2443" spans="3:4" x14ac:dyDescent="0.3">
      <c r="C2443" s="35">
        <f t="shared" si="39"/>
        <v>0</v>
      </c>
      <c r="D2443" s="30" t="str">
        <f>IFERROR(VLOOKUP(C2443,소속부서!$A$2:$B$20,2,FALSE), "")</f>
        <v/>
      </c>
    </row>
    <row r="2444" spans="3:4" x14ac:dyDescent="0.3">
      <c r="C2444" s="35">
        <f t="shared" si="39"/>
        <v>0</v>
      </c>
      <c r="D2444" s="30" t="str">
        <f>IFERROR(VLOOKUP(C2444,소속부서!$A$2:$B$20,2,FALSE), "")</f>
        <v/>
      </c>
    </row>
    <row r="2445" spans="3:4" x14ac:dyDescent="0.3">
      <c r="C2445" s="35">
        <f t="shared" si="39"/>
        <v>0</v>
      </c>
      <c r="D2445" s="30" t="str">
        <f>IFERROR(VLOOKUP(C2445,소속부서!$A$2:$B$20,2,FALSE), "")</f>
        <v/>
      </c>
    </row>
    <row r="2446" spans="3:4" x14ac:dyDescent="0.3">
      <c r="C2446" s="35">
        <f t="shared" si="39"/>
        <v>0</v>
      </c>
      <c r="D2446" s="30" t="str">
        <f>IFERROR(VLOOKUP(C2446,소속부서!$A$2:$B$20,2,FALSE), "")</f>
        <v/>
      </c>
    </row>
    <row r="2447" spans="3:4" x14ac:dyDescent="0.3">
      <c r="C2447" s="35">
        <f t="shared" si="39"/>
        <v>0</v>
      </c>
      <c r="D2447" s="30" t="str">
        <f>IFERROR(VLOOKUP(C2447,소속부서!$A$2:$B$20,2,FALSE), "")</f>
        <v/>
      </c>
    </row>
    <row r="2448" spans="3:4" x14ac:dyDescent="0.3">
      <c r="C2448" s="35">
        <f t="shared" si="39"/>
        <v>0</v>
      </c>
      <c r="D2448" s="30" t="str">
        <f>IFERROR(VLOOKUP(C2448,소속부서!$A$2:$B$20,2,FALSE), "")</f>
        <v/>
      </c>
    </row>
    <row r="2449" spans="3:4" x14ac:dyDescent="0.3">
      <c r="C2449" s="35">
        <f t="shared" si="39"/>
        <v>0</v>
      </c>
      <c r="D2449" s="30" t="str">
        <f>IFERROR(VLOOKUP(C2449,소속부서!$A$2:$B$20,2,FALSE), "")</f>
        <v/>
      </c>
    </row>
    <row r="2450" spans="3:4" x14ac:dyDescent="0.3">
      <c r="C2450" s="35">
        <f t="shared" si="39"/>
        <v>0</v>
      </c>
      <c r="D2450" s="30" t="str">
        <f>IFERROR(VLOOKUP(C2450,소속부서!$A$2:$B$20,2,FALSE), "")</f>
        <v/>
      </c>
    </row>
    <row r="2451" spans="3:4" x14ac:dyDescent="0.3">
      <c r="C2451" s="35">
        <f t="shared" si="39"/>
        <v>0</v>
      </c>
      <c r="D2451" s="30" t="str">
        <f>IFERROR(VLOOKUP(C2451,소속부서!$A$2:$B$20,2,FALSE), "")</f>
        <v/>
      </c>
    </row>
    <row r="2452" spans="3:4" x14ac:dyDescent="0.3">
      <c r="C2452" s="35">
        <f t="shared" si="39"/>
        <v>0</v>
      </c>
      <c r="D2452" s="30" t="str">
        <f>IFERROR(VLOOKUP(C2452,소속부서!$A$2:$B$20,2,FALSE), "")</f>
        <v/>
      </c>
    </row>
    <row r="2453" spans="3:4" x14ac:dyDescent="0.3">
      <c r="C2453" s="35">
        <f t="shared" si="39"/>
        <v>0</v>
      </c>
      <c r="D2453" s="30" t="str">
        <f>IFERROR(VLOOKUP(C2453,소속부서!$A$2:$B$20,2,FALSE), "")</f>
        <v/>
      </c>
    </row>
    <row r="2454" spans="3:4" x14ac:dyDescent="0.3">
      <c r="C2454" s="35">
        <f t="shared" si="39"/>
        <v>0</v>
      </c>
      <c r="D2454" s="30" t="str">
        <f>IFERROR(VLOOKUP(C2454,소속부서!$A$2:$B$20,2,FALSE), "")</f>
        <v/>
      </c>
    </row>
    <row r="2455" spans="3:4" x14ac:dyDescent="0.3">
      <c r="C2455" s="35">
        <f t="shared" si="39"/>
        <v>0</v>
      </c>
      <c r="D2455" s="30" t="str">
        <f>IFERROR(VLOOKUP(C2455,소속부서!$A$2:$B$20,2,FALSE), "")</f>
        <v/>
      </c>
    </row>
    <row r="2456" spans="3:4" x14ac:dyDescent="0.3">
      <c r="C2456" s="35">
        <f t="shared" si="39"/>
        <v>0</v>
      </c>
      <c r="D2456" s="30" t="str">
        <f>IFERROR(VLOOKUP(C2456,소속부서!$A$2:$B$20,2,FALSE), "")</f>
        <v/>
      </c>
    </row>
    <row r="2457" spans="3:4" x14ac:dyDescent="0.3">
      <c r="C2457" s="35">
        <f t="shared" si="39"/>
        <v>0</v>
      </c>
      <c r="D2457" s="30" t="str">
        <f>IFERROR(VLOOKUP(C2457,소속부서!$A$2:$B$20,2,FALSE), "")</f>
        <v/>
      </c>
    </row>
    <row r="2458" spans="3:4" x14ac:dyDescent="0.3">
      <c r="C2458" s="35">
        <f t="shared" si="39"/>
        <v>0</v>
      </c>
      <c r="D2458" s="30" t="str">
        <f>IFERROR(VLOOKUP(C2458,소속부서!$A$2:$B$20,2,FALSE), "")</f>
        <v/>
      </c>
    </row>
    <row r="2459" spans="3:4" x14ac:dyDescent="0.3">
      <c r="C2459" s="35">
        <f t="shared" si="39"/>
        <v>0</v>
      </c>
      <c r="D2459" s="30" t="str">
        <f>IFERROR(VLOOKUP(C2459,소속부서!$A$2:$B$20,2,FALSE), "")</f>
        <v/>
      </c>
    </row>
    <row r="2460" spans="3:4" x14ac:dyDescent="0.3">
      <c r="C2460" s="35">
        <f t="shared" si="39"/>
        <v>0</v>
      </c>
      <c r="D2460" s="30" t="str">
        <f>IFERROR(VLOOKUP(C2460,소속부서!$A$2:$B$20,2,FALSE), "")</f>
        <v/>
      </c>
    </row>
    <row r="2461" spans="3:4" x14ac:dyDescent="0.3">
      <c r="C2461" s="35">
        <f t="shared" si="39"/>
        <v>0</v>
      </c>
      <c r="D2461" s="30" t="str">
        <f>IFERROR(VLOOKUP(C2461,소속부서!$A$2:$B$20,2,FALSE), "")</f>
        <v/>
      </c>
    </row>
    <row r="2462" spans="3:4" x14ac:dyDescent="0.3">
      <c r="C2462" s="35">
        <f t="shared" si="39"/>
        <v>0</v>
      </c>
      <c r="D2462" s="30" t="str">
        <f>IFERROR(VLOOKUP(C2462,소속부서!$A$2:$B$20,2,FALSE), "")</f>
        <v/>
      </c>
    </row>
    <row r="2463" spans="3:4" x14ac:dyDescent="0.3">
      <c r="C2463" s="35">
        <f t="shared" si="39"/>
        <v>0</v>
      </c>
      <c r="D2463" s="30" t="str">
        <f>IFERROR(VLOOKUP(C2463,소속부서!$A$2:$B$20,2,FALSE), "")</f>
        <v/>
      </c>
    </row>
    <row r="2464" spans="3:4" x14ac:dyDescent="0.3">
      <c r="C2464" s="35">
        <f t="shared" si="39"/>
        <v>0</v>
      </c>
      <c r="D2464" s="30" t="str">
        <f>IFERROR(VLOOKUP(C2464,소속부서!$A$2:$B$20,2,FALSE), "")</f>
        <v/>
      </c>
    </row>
    <row r="2465" spans="3:4" x14ac:dyDescent="0.3">
      <c r="C2465" s="35">
        <f t="shared" si="39"/>
        <v>0</v>
      </c>
      <c r="D2465" s="30" t="str">
        <f>IFERROR(VLOOKUP(C2465,소속부서!$A$2:$B$20,2,FALSE), "")</f>
        <v/>
      </c>
    </row>
    <row r="2466" spans="3:4" x14ac:dyDescent="0.3">
      <c r="C2466" s="35">
        <f t="shared" si="39"/>
        <v>0</v>
      </c>
      <c r="D2466" s="30" t="str">
        <f>IFERROR(VLOOKUP(C2466,소속부서!$A$2:$B$20,2,FALSE), "")</f>
        <v/>
      </c>
    </row>
    <row r="2467" spans="3:4" x14ac:dyDescent="0.3">
      <c r="C2467" s="35">
        <f t="shared" si="39"/>
        <v>0</v>
      </c>
      <c r="D2467" s="30" t="str">
        <f>IFERROR(VLOOKUP(C2467,소속부서!$A$2:$B$20,2,FALSE), "")</f>
        <v/>
      </c>
    </row>
    <row r="2468" spans="3:4" x14ac:dyDescent="0.3">
      <c r="C2468" s="35">
        <f t="shared" si="39"/>
        <v>0</v>
      </c>
      <c r="D2468" s="30" t="str">
        <f>IFERROR(VLOOKUP(C2468,소속부서!$A$2:$B$20,2,FALSE), "")</f>
        <v/>
      </c>
    </row>
    <row r="2469" spans="3:4" x14ac:dyDescent="0.3">
      <c r="C2469" s="35">
        <f t="shared" si="39"/>
        <v>0</v>
      </c>
      <c r="D2469" s="30" t="str">
        <f>IFERROR(VLOOKUP(C2469,소속부서!$A$2:$B$20,2,FALSE), "")</f>
        <v/>
      </c>
    </row>
    <row r="2470" spans="3:4" x14ac:dyDescent="0.3">
      <c r="C2470" s="35">
        <f t="shared" si="39"/>
        <v>0</v>
      </c>
      <c r="D2470" s="30" t="str">
        <f>IFERROR(VLOOKUP(C2470,소속부서!$A$2:$B$20,2,FALSE), "")</f>
        <v/>
      </c>
    </row>
    <row r="2471" spans="3:4" x14ac:dyDescent="0.3">
      <c r="C2471" s="35">
        <f t="shared" si="39"/>
        <v>0</v>
      </c>
      <c r="D2471" s="30" t="str">
        <f>IFERROR(VLOOKUP(C2471,소속부서!$A$2:$B$20,2,FALSE), "")</f>
        <v/>
      </c>
    </row>
    <row r="2472" spans="3:4" x14ac:dyDescent="0.3">
      <c r="C2472" s="35">
        <f t="shared" si="39"/>
        <v>0</v>
      </c>
      <c r="D2472" s="30" t="str">
        <f>IFERROR(VLOOKUP(C2472,소속부서!$A$2:$B$20,2,FALSE), "")</f>
        <v/>
      </c>
    </row>
    <row r="2473" spans="3:4" x14ac:dyDescent="0.3">
      <c r="C2473" s="35">
        <f t="shared" si="39"/>
        <v>0</v>
      </c>
      <c r="D2473" s="30" t="str">
        <f>IFERROR(VLOOKUP(C2473,소속부서!$A$2:$B$20,2,FALSE), "")</f>
        <v/>
      </c>
    </row>
    <row r="2474" spans="3:4" x14ac:dyDescent="0.3">
      <c r="C2474" s="35">
        <f t="shared" si="39"/>
        <v>0</v>
      </c>
      <c r="D2474" s="30" t="str">
        <f>IFERROR(VLOOKUP(C2474,소속부서!$A$2:$B$20,2,FALSE), "")</f>
        <v/>
      </c>
    </row>
    <row r="2475" spans="3:4" x14ac:dyDescent="0.3">
      <c r="C2475" s="35">
        <f t="shared" si="39"/>
        <v>0</v>
      </c>
      <c r="D2475" s="30" t="str">
        <f>IFERROR(VLOOKUP(C2475,소속부서!$A$2:$B$20,2,FALSE), "")</f>
        <v/>
      </c>
    </row>
    <row r="2476" spans="3:4" x14ac:dyDescent="0.3">
      <c r="C2476" s="35">
        <f t="shared" si="39"/>
        <v>0</v>
      </c>
      <c r="D2476" s="30" t="str">
        <f>IFERROR(VLOOKUP(C2476,소속부서!$A$2:$B$20,2,FALSE), "")</f>
        <v/>
      </c>
    </row>
    <row r="2477" spans="3:4" x14ac:dyDescent="0.3">
      <c r="C2477" s="35">
        <f t="shared" si="39"/>
        <v>0</v>
      </c>
      <c r="D2477" s="30" t="str">
        <f>IFERROR(VLOOKUP(C2477,소속부서!$A$2:$B$20,2,FALSE), "")</f>
        <v/>
      </c>
    </row>
    <row r="2478" spans="3:4" x14ac:dyDescent="0.3">
      <c r="C2478" s="35">
        <f t="shared" si="39"/>
        <v>0</v>
      </c>
      <c r="D2478" s="30" t="str">
        <f>IFERROR(VLOOKUP(C2478,소속부서!$A$2:$B$20,2,FALSE), "")</f>
        <v/>
      </c>
    </row>
    <row r="2479" spans="3:4" x14ac:dyDescent="0.3">
      <c r="C2479" s="35">
        <f t="shared" si="39"/>
        <v>0</v>
      </c>
      <c r="D2479" s="30" t="str">
        <f>IFERROR(VLOOKUP(C2479,소속부서!$A$2:$B$20,2,FALSE), "")</f>
        <v/>
      </c>
    </row>
    <row r="2480" spans="3:4" x14ac:dyDescent="0.3">
      <c r="C2480" s="35">
        <f t="shared" si="39"/>
        <v>0</v>
      </c>
      <c r="D2480" s="30" t="str">
        <f>IFERROR(VLOOKUP(C2480,소속부서!$A$2:$B$20,2,FALSE), "")</f>
        <v/>
      </c>
    </row>
    <row r="2481" spans="3:4" x14ac:dyDescent="0.3">
      <c r="C2481" s="35">
        <f t="shared" si="39"/>
        <v>0</v>
      </c>
      <c r="D2481" s="30" t="str">
        <f>IFERROR(VLOOKUP(C2481,소속부서!$A$2:$B$20,2,FALSE), "")</f>
        <v/>
      </c>
    </row>
    <row r="2482" spans="3:4" x14ac:dyDescent="0.3">
      <c r="C2482" s="35">
        <f t="shared" si="39"/>
        <v>0</v>
      </c>
      <c r="D2482" s="30" t="str">
        <f>IFERROR(VLOOKUP(C2482,소속부서!$A$2:$B$20,2,FALSE), "")</f>
        <v/>
      </c>
    </row>
    <row r="2483" spans="3:4" x14ac:dyDescent="0.3">
      <c r="C2483" s="35">
        <f t="shared" si="39"/>
        <v>0</v>
      </c>
      <c r="D2483" s="30" t="str">
        <f>IFERROR(VLOOKUP(C2483,소속부서!$A$2:$B$20,2,FALSE), "")</f>
        <v/>
      </c>
    </row>
    <row r="2484" spans="3:4" x14ac:dyDescent="0.3">
      <c r="C2484" s="35">
        <f t="shared" si="39"/>
        <v>0</v>
      </c>
      <c r="D2484" s="30" t="str">
        <f>IFERROR(VLOOKUP(C2484,소속부서!$A$2:$B$20,2,FALSE), "")</f>
        <v/>
      </c>
    </row>
    <row r="2485" spans="3:4" x14ac:dyDescent="0.3">
      <c r="C2485" s="35">
        <f t="shared" si="39"/>
        <v>0</v>
      </c>
      <c r="D2485" s="30" t="str">
        <f>IFERROR(VLOOKUP(C2485,소속부서!$A$2:$B$20,2,FALSE), "")</f>
        <v/>
      </c>
    </row>
    <row r="2486" spans="3:4" x14ac:dyDescent="0.3">
      <c r="C2486" s="35">
        <f t="shared" si="39"/>
        <v>0</v>
      </c>
      <c r="D2486" s="30" t="str">
        <f>IFERROR(VLOOKUP(C2486,소속부서!$A$2:$B$20,2,FALSE), "")</f>
        <v/>
      </c>
    </row>
    <row r="2487" spans="3:4" x14ac:dyDescent="0.3">
      <c r="C2487" s="35">
        <f t="shared" si="39"/>
        <v>0</v>
      </c>
      <c r="D2487" s="30" t="str">
        <f>IFERROR(VLOOKUP(C2487,소속부서!$A$2:$B$20,2,FALSE), "")</f>
        <v/>
      </c>
    </row>
    <row r="2488" spans="3:4" x14ac:dyDescent="0.3">
      <c r="C2488" s="35">
        <f t="shared" si="39"/>
        <v>0</v>
      </c>
      <c r="D2488" s="30" t="str">
        <f>IFERROR(VLOOKUP(C2488,소속부서!$A$2:$B$20,2,FALSE), "")</f>
        <v/>
      </c>
    </row>
    <row r="2489" spans="3:4" x14ac:dyDescent="0.3">
      <c r="C2489" s="35">
        <f t="shared" si="39"/>
        <v>0</v>
      </c>
      <c r="D2489" s="30" t="str">
        <f>IFERROR(VLOOKUP(C2489,소속부서!$A$2:$B$20,2,FALSE), "")</f>
        <v/>
      </c>
    </row>
    <row r="2490" spans="3:4" x14ac:dyDescent="0.3">
      <c r="C2490" s="35">
        <f t="shared" si="39"/>
        <v>0</v>
      </c>
      <c r="D2490" s="30" t="str">
        <f>IFERROR(VLOOKUP(C2490,소속부서!$A$2:$B$20,2,FALSE), "")</f>
        <v/>
      </c>
    </row>
    <row r="2491" spans="3:4" x14ac:dyDescent="0.3">
      <c r="C2491" s="35">
        <f t="shared" si="39"/>
        <v>0</v>
      </c>
      <c r="D2491" s="30" t="str">
        <f>IFERROR(VLOOKUP(C2491,소속부서!$A$2:$B$20,2,FALSE), "")</f>
        <v/>
      </c>
    </row>
    <row r="2492" spans="3:4" x14ac:dyDescent="0.3">
      <c r="C2492" s="35">
        <f t="shared" si="39"/>
        <v>0</v>
      </c>
      <c r="D2492" s="30" t="str">
        <f>IFERROR(VLOOKUP(C2492,소속부서!$A$2:$B$20,2,FALSE), "")</f>
        <v/>
      </c>
    </row>
    <row r="2493" spans="3:4" x14ac:dyDescent="0.3">
      <c r="C2493" s="35">
        <f t="shared" si="39"/>
        <v>0</v>
      </c>
      <c r="D2493" s="30" t="str">
        <f>IFERROR(VLOOKUP(C2493,소속부서!$A$2:$B$20,2,FALSE), "")</f>
        <v/>
      </c>
    </row>
    <row r="2494" spans="3:4" x14ac:dyDescent="0.3">
      <c r="C2494" s="35">
        <f t="shared" si="39"/>
        <v>0</v>
      </c>
      <c r="D2494" s="30" t="str">
        <f>IFERROR(VLOOKUP(C2494,소속부서!$A$2:$B$20,2,FALSE), "")</f>
        <v/>
      </c>
    </row>
    <row r="2495" spans="3:4" x14ac:dyDescent="0.3">
      <c r="C2495" s="35">
        <f t="shared" si="39"/>
        <v>0</v>
      </c>
      <c r="D2495" s="30" t="str">
        <f>IFERROR(VLOOKUP(C2495,소속부서!$A$2:$B$20,2,FALSE), "")</f>
        <v/>
      </c>
    </row>
    <row r="2496" spans="3:4" x14ac:dyDescent="0.3">
      <c r="C2496" s="35">
        <f t="shared" si="39"/>
        <v>0</v>
      </c>
      <c r="D2496" s="30" t="str">
        <f>IFERROR(VLOOKUP(C2496,소속부서!$A$2:$B$20,2,FALSE), "")</f>
        <v/>
      </c>
    </row>
    <row r="2497" spans="3:4" x14ac:dyDescent="0.3">
      <c r="C2497" s="35">
        <f t="shared" si="39"/>
        <v>0</v>
      </c>
      <c r="D2497" s="30" t="str">
        <f>IFERROR(VLOOKUP(C2497,소속부서!$A$2:$B$20,2,FALSE), "")</f>
        <v/>
      </c>
    </row>
    <row r="2498" spans="3:4" x14ac:dyDescent="0.3">
      <c r="C2498" s="35">
        <f t="shared" si="39"/>
        <v>0</v>
      </c>
      <c r="D2498" s="30" t="str">
        <f>IFERROR(VLOOKUP(C2498,소속부서!$A$2:$B$20,2,FALSE), "")</f>
        <v/>
      </c>
    </row>
    <row r="2499" spans="3:4" x14ac:dyDescent="0.3">
      <c r="C2499" s="35">
        <f t="shared" si="39"/>
        <v>0</v>
      </c>
      <c r="D2499" s="30" t="str">
        <f>IFERROR(VLOOKUP(C2499,소속부서!$A$2:$B$20,2,FALSE), "")</f>
        <v/>
      </c>
    </row>
    <row r="2500" spans="3:4" x14ac:dyDescent="0.3">
      <c r="C2500" s="35">
        <f t="shared" ref="C2500:C2563" si="40">E2500</f>
        <v>0</v>
      </c>
      <c r="D2500" s="30" t="str">
        <f>IFERROR(VLOOKUP(C2500,소속부서!$A$2:$B$20,2,FALSE), "")</f>
        <v/>
      </c>
    </row>
    <row r="2501" spans="3:4" x14ac:dyDescent="0.3">
      <c r="C2501" s="35">
        <f t="shared" si="40"/>
        <v>0</v>
      </c>
      <c r="D2501" s="30" t="str">
        <f>IFERROR(VLOOKUP(C2501,소속부서!$A$2:$B$20,2,FALSE), "")</f>
        <v/>
      </c>
    </row>
    <row r="2502" spans="3:4" x14ac:dyDescent="0.3">
      <c r="C2502" s="35">
        <f t="shared" si="40"/>
        <v>0</v>
      </c>
      <c r="D2502" s="30" t="str">
        <f>IFERROR(VLOOKUP(C2502,소속부서!$A$2:$B$20,2,FALSE), "")</f>
        <v/>
      </c>
    </row>
    <row r="2503" spans="3:4" x14ac:dyDescent="0.3">
      <c r="C2503" s="35">
        <f t="shared" si="40"/>
        <v>0</v>
      </c>
      <c r="D2503" s="30" t="str">
        <f>IFERROR(VLOOKUP(C2503,소속부서!$A$2:$B$20,2,FALSE), "")</f>
        <v/>
      </c>
    </row>
    <row r="2504" spans="3:4" x14ac:dyDescent="0.3">
      <c r="C2504" s="35">
        <f t="shared" si="40"/>
        <v>0</v>
      </c>
      <c r="D2504" s="30" t="str">
        <f>IFERROR(VLOOKUP(C2504,소속부서!$A$2:$B$20,2,FALSE), "")</f>
        <v/>
      </c>
    </row>
    <row r="2505" spans="3:4" x14ac:dyDescent="0.3">
      <c r="C2505" s="35">
        <f t="shared" si="40"/>
        <v>0</v>
      </c>
      <c r="D2505" s="30" t="str">
        <f>IFERROR(VLOOKUP(C2505,소속부서!$A$2:$B$20,2,FALSE), "")</f>
        <v/>
      </c>
    </row>
    <row r="2506" spans="3:4" x14ac:dyDescent="0.3">
      <c r="C2506" s="35">
        <f t="shared" si="40"/>
        <v>0</v>
      </c>
      <c r="D2506" s="30" t="str">
        <f>IFERROR(VLOOKUP(C2506,소속부서!$A$2:$B$20,2,FALSE), "")</f>
        <v/>
      </c>
    </row>
    <row r="2507" spans="3:4" x14ac:dyDescent="0.3">
      <c r="C2507" s="35">
        <f t="shared" si="40"/>
        <v>0</v>
      </c>
      <c r="D2507" s="30" t="str">
        <f>IFERROR(VLOOKUP(C2507,소속부서!$A$2:$B$20,2,FALSE), "")</f>
        <v/>
      </c>
    </row>
    <row r="2508" spans="3:4" x14ac:dyDescent="0.3">
      <c r="C2508" s="35">
        <f t="shared" si="40"/>
        <v>0</v>
      </c>
      <c r="D2508" s="30" t="str">
        <f>IFERROR(VLOOKUP(C2508,소속부서!$A$2:$B$20,2,FALSE), "")</f>
        <v/>
      </c>
    </row>
    <row r="2509" spans="3:4" x14ac:dyDescent="0.3">
      <c r="C2509" s="35">
        <f t="shared" si="40"/>
        <v>0</v>
      </c>
      <c r="D2509" s="30" t="str">
        <f>IFERROR(VLOOKUP(C2509,소속부서!$A$2:$B$20,2,FALSE), "")</f>
        <v/>
      </c>
    </row>
    <row r="2510" spans="3:4" x14ac:dyDescent="0.3">
      <c r="C2510" s="35">
        <f t="shared" si="40"/>
        <v>0</v>
      </c>
      <c r="D2510" s="30" t="str">
        <f>IFERROR(VLOOKUP(C2510,소속부서!$A$2:$B$20,2,FALSE), "")</f>
        <v/>
      </c>
    </row>
    <row r="2511" spans="3:4" x14ac:dyDescent="0.3">
      <c r="C2511" s="35">
        <f t="shared" si="40"/>
        <v>0</v>
      </c>
      <c r="D2511" s="30" t="str">
        <f>IFERROR(VLOOKUP(C2511,소속부서!$A$2:$B$20,2,FALSE), "")</f>
        <v/>
      </c>
    </row>
    <row r="2512" spans="3:4" x14ac:dyDescent="0.3">
      <c r="C2512" s="35">
        <f t="shared" si="40"/>
        <v>0</v>
      </c>
      <c r="D2512" s="30" t="str">
        <f>IFERROR(VLOOKUP(C2512,소속부서!$A$2:$B$20,2,FALSE), "")</f>
        <v/>
      </c>
    </row>
    <row r="2513" spans="3:4" x14ac:dyDescent="0.3">
      <c r="C2513" s="35">
        <f t="shared" si="40"/>
        <v>0</v>
      </c>
      <c r="D2513" s="30" t="str">
        <f>IFERROR(VLOOKUP(C2513,소속부서!$A$2:$B$20,2,FALSE), "")</f>
        <v/>
      </c>
    </row>
    <row r="2514" spans="3:4" x14ac:dyDescent="0.3">
      <c r="C2514" s="35">
        <f t="shared" si="40"/>
        <v>0</v>
      </c>
      <c r="D2514" s="30" t="str">
        <f>IFERROR(VLOOKUP(C2514,소속부서!$A$2:$B$20,2,FALSE), "")</f>
        <v/>
      </c>
    </row>
    <row r="2515" spans="3:4" x14ac:dyDescent="0.3">
      <c r="C2515" s="35">
        <f t="shared" si="40"/>
        <v>0</v>
      </c>
      <c r="D2515" s="30" t="str">
        <f>IFERROR(VLOOKUP(C2515,소속부서!$A$2:$B$20,2,FALSE), "")</f>
        <v/>
      </c>
    </row>
    <row r="2516" spans="3:4" x14ac:dyDescent="0.3">
      <c r="C2516" s="35">
        <f t="shared" si="40"/>
        <v>0</v>
      </c>
      <c r="D2516" s="30" t="str">
        <f>IFERROR(VLOOKUP(C2516,소속부서!$A$2:$B$20,2,FALSE), "")</f>
        <v/>
      </c>
    </row>
    <row r="2517" spans="3:4" x14ac:dyDescent="0.3">
      <c r="C2517" s="35">
        <f t="shared" si="40"/>
        <v>0</v>
      </c>
      <c r="D2517" s="30" t="str">
        <f>IFERROR(VLOOKUP(C2517,소속부서!$A$2:$B$20,2,FALSE), "")</f>
        <v/>
      </c>
    </row>
    <row r="2518" spans="3:4" x14ac:dyDescent="0.3">
      <c r="C2518" s="35">
        <f t="shared" si="40"/>
        <v>0</v>
      </c>
      <c r="D2518" s="30" t="str">
        <f>IFERROR(VLOOKUP(C2518,소속부서!$A$2:$B$20,2,FALSE), "")</f>
        <v/>
      </c>
    </row>
    <row r="2519" spans="3:4" x14ac:dyDescent="0.3">
      <c r="C2519" s="35">
        <f t="shared" si="40"/>
        <v>0</v>
      </c>
      <c r="D2519" s="30" t="str">
        <f>IFERROR(VLOOKUP(C2519,소속부서!$A$2:$B$20,2,FALSE), "")</f>
        <v/>
      </c>
    </row>
    <row r="2520" spans="3:4" x14ac:dyDescent="0.3">
      <c r="C2520" s="35">
        <f t="shared" si="40"/>
        <v>0</v>
      </c>
      <c r="D2520" s="30" t="str">
        <f>IFERROR(VLOOKUP(C2520,소속부서!$A$2:$B$20,2,FALSE), "")</f>
        <v/>
      </c>
    </row>
    <row r="2521" spans="3:4" x14ac:dyDescent="0.3">
      <c r="C2521" s="35">
        <f t="shared" si="40"/>
        <v>0</v>
      </c>
      <c r="D2521" s="30" t="str">
        <f>IFERROR(VLOOKUP(C2521,소속부서!$A$2:$B$20,2,FALSE), "")</f>
        <v/>
      </c>
    </row>
    <row r="2522" spans="3:4" x14ac:dyDescent="0.3">
      <c r="C2522" s="35">
        <f t="shared" si="40"/>
        <v>0</v>
      </c>
      <c r="D2522" s="30" t="str">
        <f>IFERROR(VLOOKUP(C2522,소속부서!$A$2:$B$20,2,FALSE), "")</f>
        <v/>
      </c>
    </row>
    <row r="2523" spans="3:4" x14ac:dyDescent="0.3">
      <c r="C2523" s="35">
        <f t="shared" si="40"/>
        <v>0</v>
      </c>
      <c r="D2523" s="30" t="str">
        <f>IFERROR(VLOOKUP(C2523,소속부서!$A$2:$B$20,2,FALSE), "")</f>
        <v/>
      </c>
    </row>
    <row r="2524" spans="3:4" x14ac:dyDescent="0.3">
      <c r="C2524" s="35">
        <f t="shared" si="40"/>
        <v>0</v>
      </c>
      <c r="D2524" s="30" t="str">
        <f>IFERROR(VLOOKUP(C2524,소속부서!$A$2:$B$20,2,FALSE), "")</f>
        <v/>
      </c>
    </row>
    <row r="2525" spans="3:4" x14ac:dyDescent="0.3">
      <c r="C2525" s="35">
        <f t="shared" si="40"/>
        <v>0</v>
      </c>
      <c r="D2525" s="30" t="str">
        <f>IFERROR(VLOOKUP(C2525,소속부서!$A$2:$B$20,2,FALSE), "")</f>
        <v/>
      </c>
    </row>
    <row r="2526" spans="3:4" x14ac:dyDescent="0.3">
      <c r="C2526" s="35">
        <f t="shared" si="40"/>
        <v>0</v>
      </c>
      <c r="D2526" s="30" t="str">
        <f>IFERROR(VLOOKUP(C2526,소속부서!$A$2:$B$20,2,FALSE), "")</f>
        <v/>
      </c>
    </row>
    <row r="2527" spans="3:4" x14ac:dyDescent="0.3">
      <c r="C2527" s="35">
        <f t="shared" si="40"/>
        <v>0</v>
      </c>
      <c r="D2527" s="30" t="str">
        <f>IFERROR(VLOOKUP(C2527,소속부서!$A$2:$B$20,2,FALSE), "")</f>
        <v/>
      </c>
    </row>
    <row r="2528" spans="3:4" x14ac:dyDescent="0.3">
      <c r="C2528" s="35">
        <f t="shared" si="40"/>
        <v>0</v>
      </c>
      <c r="D2528" s="30" t="str">
        <f>IFERROR(VLOOKUP(C2528,소속부서!$A$2:$B$20,2,FALSE), "")</f>
        <v/>
      </c>
    </row>
    <row r="2529" spans="3:4" x14ac:dyDescent="0.3">
      <c r="C2529" s="35">
        <f t="shared" si="40"/>
        <v>0</v>
      </c>
      <c r="D2529" s="30" t="str">
        <f>IFERROR(VLOOKUP(C2529,소속부서!$A$2:$B$20,2,FALSE), "")</f>
        <v/>
      </c>
    </row>
    <row r="2530" spans="3:4" x14ac:dyDescent="0.3">
      <c r="C2530" s="35">
        <f t="shared" si="40"/>
        <v>0</v>
      </c>
      <c r="D2530" s="30" t="str">
        <f>IFERROR(VLOOKUP(C2530,소속부서!$A$2:$B$20,2,FALSE), "")</f>
        <v/>
      </c>
    </row>
    <row r="2531" spans="3:4" x14ac:dyDescent="0.3">
      <c r="C2531" s="35">
        <f t="shared" si="40"/>
        <v>0</v>
      </c>
      <c r="D2531" s="30" t="str">
        <f>IFERROR(VLOOKUP(C2531,소속부서!$A$2:$B$20,2,FALSE), "")</f>
        <v/>
      </c>
    </row>
    <row r="2532" spans="3:4" x14ac:dyDescent="0.3">
      <c r="C2532" s="35">
        <f t="shared" si="40"/>
        <v>0</v>
      </c>
      <c r="D2532" s="30" t="str">
        <f>IFERROR(VLOOKUP(C2532,소속부서!$A$2:$B$20,2,FALSE), "")</f>
        <v/>
      </c>
    </row>
    <row r="2533" spans="3:4" x14ac:dyDescent="0.3">
      <c r="C2533" s="35">
        <f t="shared" si="40"/>
        <v>0</v>
      </c>
      <c r="D2533" s="30" t="str">
        <f>IFERROR(VLOOKUP(C2533,소속부서!$A$2:$B$20,2,FALSE), "")</f>
        <v/>
      </c>
    </row>
    <row r="2534" spans="3:4" x14ac:dyDescent="0.3">
      <c r="C2534" s="35">
        <f t="shared" si="40"/>
        <v>0</v>
      </c>
      <c r="D2534" s="30" t="str">
        <f>IFERROR(VLOOKUP(C2534,소속부서!$A$2:$B$20,2,FALSE), "")</f>
        <v/>
      </c>
    </row>
    <row r="2535" spans="3:4" x14ac:dyDescent="0.3">
      <c r="C2535" s="35">
        <f t="shared" si="40"/>
        <v>0</v>
      </c>
      <c r="D2535" s="30" t="str">
        <f>IFERROR(VLOOKUP(C2535,소속부서!$A$2:$B$20,2,FALSE), "")</f>
        <v/>
      </c>
    </row>
    <row r="2536" spans="3:4" x14ac:dyDescent="0.3">
      <c r="C2536" s="35">
        <f t="shared" si="40"/>
        <v>0</v>
      </c>
      <c r="D2536" s="30" t="str">
        <f>IFERROR(VLOOKUP(C2536,소속부서!$A$2:$B$20,2,FALSE), "")</f>
        <v/>
      </c>
    </row>
    <row r="2537" spans="3:4" x14ac:dyDescent="0.3">
      <c r="C2537" s="35">
        <f t="shared" si="40"/>
        <v>0</v>
      </c>
      <c r="D2537" s="30" t="str">
        <f>IFERROR(VLOOKUP(C2537,소속부서!$A$2:$B$20,2,FALSE), "")</f>
        <v/>
      </c>
    </row>
    <row r="2538" spans="3:4" x14ac:dyDescent="0.3">
      <c r="C2538" s="35">
        <f t="shared" si="40"/>
        <v>0</v>
      </c>
      <c r="D2538" s="30" t="str">
        <f>IFERROR(VLOOKUP(C2538,소속부서!$A$2:$B$20,2,FALSE), "")</f>
        <v/>
      </c>
    </row>
    <row r="2539" spans="3:4" x14ac:dyDescent="0.3">
      <c r="C2539" s="35">
        <f t="shared" si="40"/>
        <v>0</v>
      </c>
      <c r="D2539" s="30" t="str">
        <f>IFERROR(VLOOKUP(C2539,소속부서!$A$2:$B$20,2,FALSE), "")</f>
        <v/>
      </c>
    </row>
    <row r="2540" spans="3:4" x14ac:dyDescent="0.3">
      <c r="C2540" s="35">
        <f t="shared" si="40"/>
        <v>0</v>
      </c>
      <c r="D2540" s="30" t="str">
        <f>IFERROR(VLOOKUP(C2540,소속부서!$A$2:$B$20,2,FALSE), "")</f>
        <v/>
      </c>
    </row>
    <row r="2541" spans="3:4" x14ac:dyDescent="0.3">
      <c r="C2541" s="35">
        <f t="shared" si="40"/>
        <v>0</v>
      </c>
      <c r="D2541" s="30" t="str">
        <f>IFERROR(VLOOKUP(C2541,소속부서!$A$2:$B$20,2,FALSE), "")</f>
        <v/>
      </c>
    </row>
    <row r="2542" spans="3:4" x14ac:dyDescent="0.3">
      <c r="C2542" s="35">
        <f t="shared" si="40"/>
        <v>0</v>
      </c>
      <c r="D2542" s="30" t="str">
        <f>IFERROR(VLOOKUP(C2542,소속부서!$A$2:$B$20,2,FALSE), "")</f>
        <v/>
      </c>
    </row>
    <row r="2543" spans="3:4" x14ac:dyDescent="0.3">
      <c r="C2543" s="35">
        <f t="shared" si="40"/>
        <v>0</v>
      </c>
      <c r="D2543" s="30" t="str">
        <f>IFERROR(VLOOKUP(C2543,소속부서!$A$2:$B$20,2,FALSE), "")</f>
        <v/>
      </c>
    </row>
    <row r="2544" spans="3:4" x14ac:dyDescent="0.3">
      <c r="C2544" s="35">
        <f t="shared" si="40"/>
        <v>0</v>
      </c>
      <c r="D2544" s="30" t="str">
        <f>IFERROR(VLOOKUP(C2544,소속부서!$A$2:$B$20,2,FALSE), "")</f>
        <v/>
      </c>
    </row>
    <row r="2545" spans="3:4" x14ac:dyDescent="0.3">
      <c r="C2545" s="35">
        <f t="shared" si="40"/>
        <v>0</v>
      </c>
      <c r="D2545" s="30" t="str">
        <f>IFERROR(VLOOKUP(C2545,소속부서!$A$2:$B$20,2,FALSE), "")</f>
        <v/>
      </c>
    </row>
    <row r="2546" spans="3:4" x14ac:dyDescent="0.3">
      <c r="C2546" s="35">
        <f t="shared" si="40"/>
        <v>0</v>
      </c>
      <c r="D2546" s="30" t="str">
        <f>IFERROR(VLOOKUP(C2546,소속부서!$A$2:$B$20,2,FALSE), "")</f>
        <v/>
      </c>
    </row>
    <row r="2547" spans="3:4" x14ac:dyDescent="0.3">
      <c r="C2547" s="35">
        <f t="shared" si="40"/>
        <v>0</v>
      </c>
      <c r="D2547" s="30" t="str">
        <f>IFERROR(VLOOKUP(C2547,소속부서!$A$2:$B$20,2,FALSE), "")</f>
        <v/>
      </c>
    </row>
    <row r="2548" spans="3:4" x14ac:dyDescent="0.3">
      <c r="C2548" s="35">
        <f t="shared" si="40"/>
        <v>0</v>
      </c>
      <c r="D2548" s="30" t="str">
        <f>IFERROR(VLOOKUP(C2548,소속부서!$A$2:$B$20,2,FALSE), "")</f>
        <v/>
      </c>
    </row>
    <row r="2549" spans="3:4" x14ac:dyDescent="0.3">
      <c r="C2549" s="35">
        <f t="shared" si="40"/>
        <v>0</v>
      </c>
      <c r="D2549" s="30" t="str">
        <f>IFERROR(VLOOKUP(C2549,소속부서!$A$2:$B$20,2,FALSE), "")</f>
        <v/>
      </c>
    </row>
    <row r="2550" spans="3:4" x14ac:dyDescent="0.3">
      <c r="C2550" s="35">
        <f t="shared" si="40"/>
        <v>0</v>
      </c>
      <c r="D2550" s="30" t="str">
        <f>IFERROR(VLOOKUP(C2550,소속부서!$A$2:$B$20,2,FALSE), "")</f>
        <v/>
      </c>
    </row>
    <row r="2551" spans="3:4" x14ac:dyDescent="0.3">
      <c r="C2551" s="35">
        <f t="shared" si="40"/>
        <v>0</v>
      </c>
      <c r="D2551" s="30" t="str">
        <f>IFERROR(VLOOKUP(C2551,소속부서!$A$2:$B$20,2,FALSE), "")</f>
        <v/>
      </c>
    </row>
    <row r="2552" spans="3:4" x14ac:dyDescent="0.3">
      <c r="C2552" s="35">
        <f t="shared" si="40"/>
        <v>0</v>
      </c>
      <c r="D2552" s="30" t="str">
        <f>IFERROR(VLOOKUP(C2552,소속부서!$A$2:$B$20,2,FALSE), "")</f>
        <v/>
      </c>
    </row>
    <row r="2553" spans="3:4" x14ac:dyDescent="0.3">
      <c r="C2553" s="35">
        <f t="shared" si="40"/>
        <v>0</v>
      </c>
      <c r="D2553" s="30" t="str">
        <f>IFERROR(VLOOKUP(C2553,소속부서!$A$2:$B$20,2,FALSE), "")</f>
        <v/>
      </c>
    </row>
    <row r="2554" spans="3:4" x14ac:dyDescent="0.3">
      <c r="C2554" s="35">
        <f t="shared" si="40"/>
        <v>0</v>
      </c>
      <c r="D2554" s="30" t="str">
        <f>IFERROR(VLOOKUP(C2554,소속부서!$A$2:$B$20,2,FALSE), "")</f>
        <v/>
      </c>
    </row>
    <row r="2555" spans="3:4" x14ac:dyDescent="0.3">
      <c r="C2555" s="35">
        <f t="shared" si="40"/>
        <v>0</v>
      </c>
      <c r="D2555" s="30" t="str">
        <f>IFERROR(VLOOKUP(C2555,소속부서!$A$2:$B$20,2,FALSE), "")</f>
        <v/>
      </c>
    </row>
    <row r="2556" spans="3:4" x14ac:dyDescent="0.3">
      <c r="C2556" s="35">
        <f t="shared" si="40"/>
        <v>0</v>
      </c>
      <c r="D2556" s="30" t="str">
        <f>IFERROR(VLOOKUP(C2556,소속부서!$A$2:$B$20,2,FALSE), "")</f>
        <v/>
      </c>
    </row>
    <row r="2557" spans="3:4" x14ac:dyDescent="0.3">
      <c r="C2557" s="35">
        <f t="shared" si="40"/>
        <v>0</v>
      </c>
      <c r="D2557" s="30" t="str">
        <f>IFERROR(VLOOKUP(C2557,소속부서!$A$2:$B$20,2,FALSE), "")</f>
        <v/>
      </c>
    </row>
    <row r="2558" spans="3:4" x14ac:dyDescent="0.3">
      <c r="C2558" s="35">
        <f t="shared" si="40"/>
        <v>0</v>
      </c>
      <c r="D2558" s="30" t="str">
        <f>IFERROR(VLOOKUP(C2558,소속부서!$A$2:$B$20,2,FALSE), "")</f>
        <v/>
      </c>
    </row>
    <row r="2559" spans="3:4" x14ac:dyDescent="0.3">
      <c r="C2559" s="35">
        <f t="shared" si="40"/>
        <v>0</v>
      </c>
      <c r="D2559" s="30" t="str">
        <f>IFERROR(VLOOKUP(C2559,소속부서!$A$2:$B$20,2,FALSE), "")</f>
        <v/>
      </c>
    </row>
    <row r="2560" spans="3:4" x14ac:dyDescent="0.3">
      <c r="C2560" s="35">
        <f t="shared" si="40"/>
        <v>0</v>
      </c>
      <c r="D2560" s="30" t="str">
        <f>IFERROR(VLOOKUP(C2560,소속부서!$A$2:$B$20,2,FALSE), "")</f>
        <v/>
      </c>
    </row>
    <row r="2561" spans="3:4" x14ac:dyDescent="0.3">
      <c r="C2561" s="35">
        <f t="shared" si="40"/>
        <v>0</v>
      </c>
      <c r="D2561" s="30" t="str">
        <f>IFERROR(VLOOKUP(C2561,소속부서!$A$2:$B$20,2,FALSE), "")</f>
        <v/>
      </c>
    </row>
    <row r="2562" spans="3:4" x14ac:dyDescent="0.3">
      <c r="C2562" s="35">
        <f t="shared" si="40"/>
        <v>0</v>
      </c>
      <c r="D2562" s="30" t="str">
        <f>IFERROR(VLOOKUP(C2562,소속부서!$A$2:$B$20,2,FALSE), "")</f>
        <v/>
      </c>
    </row>
    <row r="2563" spans="3:4" x14ac:dyDescent="0.3">
      <c r="C2563" s="35">
        <f t="shared" si="40"/>
        <v>0</v>
      </c>
      <c r="D2563" s="30" t="str">
        <f>IFERROR(VLOOKUP(C2563,소속부서!$A$2:$B$20,2,FALSE), "")</f>
        <v/>
      </c>
    </row>
    <row r="2564" spans="3:4" x14ac:dyDescent="0.3">
      <c r="C2564" s="35">
        <f t="shared" ref="C2564:C2627" si="41">E2564</f>
        <v>0</v>
      </c>
      <c r="D2564" s="30" t="str">
        <f>IFERROR(VLOOKUP(C2564,소속부서!$A$2:$B$20,2,FALSE), "")</f>
        <v/>
      </c>
    </row>
    <row r="2565" spans="3:4" x14ac:dyDescent="0.3">
      <c r="C2565" s="35">
        <f t="shared" si="41"/>
        <v>0</v>
      </c>
      <c r="D2565" s="30" t="str">
        <f>IFERROR(VLOOKUP(C2565,소속부서!$A$2:$B$20,2,FALSE), "")</f>
        <v/>
      </c>
    </row>
    <row r="2566" spans="3:4" x14ac:dyDescent="0.3">
      <c r="C2566" s="35">
        <f t="shared" si="41"/>
        <v>0</v>
      </c>
      <c r="D2566" s="30" t="str">
        <f>IFERROR(VLOOKUP(C2566,소속부서!$A$2:$B$20,2,FALSE), "")</f>
        <v/>
      </c>
    </row>
    <row r="2567" spans="3:4" x14ac:dyDescent="0.3">
      <c r="C2567" s="35">
        <f t="shared" si="41"/>
        <v>0</v>
      </c>
      <c r="D2567" s="30" t="str">
        <f>IFERROR(VLOOKUP(C2567,소속부서!$A$2:$B$20,2,FALSE), "")</f>
        <v/>
      </c>
    </row>
    <row r="2568" spans="3:4" x14ac:dyDescent="0.3">
      <c r="C2568" s="35">
        <f t="shared" si="41"/>
        <v>0</v>
      </c>
      <c r="D2568" s="30" t="str">
        <f>IFERROR(VLOOKUP(C2568,소속부서!$A$2:$B$20,2,FALSE), "")</f>
        <v/>
      </c>
    </row>
    <row r="2569" spans="3:4" x14ac:dyDescent="0.3">
      <c r="C2569" s="35">
        <f t="shared" si="41"/>
        <v>0</v>
      </c>
      <c r="D2569" s="30" t="str">
        <f>IFERROR(VLOOKUP(C2569,소속부서!$A$2:$B$20,2,FALSE), "")</f>
        <v/>
      </c>
    </row>
    <row r="2570" spans="3:4" x14ac:dyDescent="0.3">
      <c r="C2570" s="35">
        <f t="shared" si="41"/>
        <v>0</v>
      </c>
      <c r="D2570" s="30" t="str">
        <f>IFERROR(VLOOKUP(C2570,소속부서!$A$2:$B$20,2,FALSE), "")</f>
        <v/>
      </c>
    </row>
    <row r="2571" spans="3:4" x14ac:dyDescent="0.3">
      <c r="C2571" s="35">
        <f t="shared" si="41"/>
        <v>0</v>
      </c>
      <c r="D2571" s="30" t="str">
        <f>IFERROR(VLOOKUP(C2571,소속부서!$A$2:$B$20,2,FALSE), "")</f>
        <v/>
      </c>
    </row>
    <row r="2572" spans="3:4" x14ac:dyDescent="0.3">
      <c r="C2572" s="35">
        <f t="shared" si="41"/>
        <v>0</v>
      </c>
      <c r="D2572" s="30" t="str">
        <f>IFERROR(VLOOKUP(C2572,소속부서!$A$2:$B$20,2,FALSE), "")</f>
        <v/>
      </c>
    </row>
    <row r="2573" spans="3:4" x14ac:dyDescent="0.3">
      <c r="C2573" s="35">
        <f t="shared" si="41"/>
        <v>0</v>
      </c>
      <c r="D2573" s="30" t="str">
        <f>IFERROR(VLOOKUP(C2573,소속부서!$A$2:$B$20,2,FALSE), "")</f>
        <v/>
      </c>
    </row>
    <row r="2574" spans="3:4" x14ac:dyDescent="0.3">
      <c r="C2574" s="35">
        <f t="shared" si="41"/>
        <v>0</v>
      </c>
      <c r="D2574" s="30" t="str">
        <f>IFERROR(VLOOKUP(C2574,소속부서!$A$2:$B$20,2,FALSE), "")</f>
        <v/>
      </c>
    </row>
    <row r="2575" spans="3:4" x14ac:dyDescent="0.3">
      <c r="C2575" s="35">
        <f t="shared" si="41"/>
        <v>0</v>
      </c>
      <c r="D2575" s="30" t="str">
        <f>IFERROR(VLOOKUP(C2575,소속부서!$A$2:$B$20,2,FALSE), "")</f>
        <v/>
      </c>
    </row>
    <row r="2576" spans="3:4" x14ac:dyDescent="0.3">
      <c r="C2576" s="35">
        <f t="shared" si="41"/>
        <v>0</v>
      </c>
      <c r="D2576" s="30" t="str">
        <f>IFERROR(VLOOKUP(C2576,소속부서!$A$2:$B$20,2,FALSE), "")</f>
        <v/>
      </c>
    </row>
    <row r="2577" spans="3:4" x14ac:dyDescent="0.3">
      <c r="C2577" s="35">
        <f t="shared" si="41"/>
        <v>0</v>
      </c>
      <c r="D2577" s="30" t="str">
        <f>IFERROR(VLOOKUP(C2577,소속부서!$A$2:$B$20,2,FALSE), "")</f>
        <v/>
      </c>
    </row>
    <row r="2578" spans="3:4" x14ac:dyDescent="0.3">
      <c r="C2578" s="35">
        <f t="shared" si="41"/>
        <v>0</v>
      </c>
      <c r="D2578" s="30" t="str">
        <f>IFERROR(VLOOKUP(C2578,소속부서!$A$2:$B$20,2,FALSE), "")</f>
        <v/>
      </c>
    </row>
    <row r="2579" spans="3:4" x14ac:dyDescent="0.3">
      <c r="C2579" s="35">
        <f t="shared" si="41"/>
        <v>0</v>
      </c>
      <c r="D2579" s="30" t="str">
        <f>IFERROR(VLOOKUP(C2579,소속부서!$A$2:$B$20,2,FALSE), "")</f>
        <v/>
      </c>
    </row>
    <row r="2580" spans="3:4" x14ac:dyDescent="0.3">
      <c r="C2580" s="35">
        <f t="shared" si="41"/>
        <v>0</v>
      </c>
      <c r="D2580" s="30" t="str">
        <f>IFERROR(VLOOKUP(C2580,소속부서!$A$2:$B$20,2,FALSE), "")</f>
        <v/>
      </c>
    </row>
    <row r="2581" spans="3:4" x14ac:dyDescent="0.3">
      <c r="C2581" s="35">
        <f t="shared" si="41"/>
        <v>0</v>
      </c>
      <c r="D2581" s="30" t="str">
        <f>IFERROR(VLOOKUP(C2581,소속부서!$A$2:$B$20,2,FALSE), "")</f>
        <v/>
      </c>
    </row>
    <row r="2582" spans="3:4" x14ac:dyDescent="0.3">
      <c r="C2582" s="35">
        <f t="shared" si="41"/>
        <v>0</v>
      </c>
      <c r="D2582" s="30" t="str">
        <f>IFERROR(VLOOKUP(C2582,소속부서!$A$2:$B$20,2,FALSE), "")</f>
        <v/>
      </c>
    </row>
    <row r="2583" spans="3:4" x14ac:dyDescent="0.3">
      <c r="C2583" s="35">
        <f t="shared" si="41"/>
        <v>0</v>
      </c>
      <c r="D2583" s="30" t="str">
        <f>IFERROR(VLOOKUP(C2583,소속부서!$A$2:$B$20,2,FALSE), "")</f>
        <v/>
      </c>
    </row>
    <row r="2584" spans="3:4" x14ac:dyDescent="0.3">
      <c r="C2584" s="35">
        <f t="shared" si="41"/>
        <v>0</v>
      </c>
      <c r="D2584" s="30" t="str">
        <f>IFERROR(VLOOKUP(C2584,소속부서!$A$2:$B$20,2,FALSE), "")</f>
        <v/>
      </c>
    </row>
    <row r="2585" spans="3:4" x14ac:dyDescent="0.3">
      <c r="C2585" s="35">
        <f t="shared" si="41"/>
        <v>0</v>
      </c>
      <c r="D2585" s="30" t="str">
        <f>IFERROR(VLOOKUP(C2585,소속부서!$A$2:$B$20,2,FALSE), "")</f>
        <v/>
      </c>
    </row>
    <row r="2586" spans="3:4" x14ac:dyDescent="0.3">
      <c r="C2586" s="35">
        <f t="shared" si="41"/>
        <v>0</v>
      </c>
      <c r="D2586" s="30" t="str">
        <f>IFERROR(VLOOKUP(C2586,소속부서!$A$2:$B$20,2,FALSE), "")</f>
        <v/>
      </c>
    </row>
    <row r="2587" spans="3:4" x14ac:dyDescent="0.3">
      <c r="C2587" s="35">
        <f t="shared" si="41"/>
        <v>0</v>
      </c>
      <c r="D2587" s="30" t="str">
        <f>IFERROR(VLOOKUP(C2587,소속부서!$A$2:$B$20,2,FALSE), "")</f>
        <v/>
      </c>
    </row>
    <row r="2588" spans="3:4" x14ac:dyDescent="0.3">
      <c r="C2588" s="35">
        <f t="shared" si="41"/>
        <v>0</v>
      </c>
      <c r="D2588" s="30" t="str">
        <f>IFERROR(VLOOKUP(C2588,소속부서!$A$2:$B$20,2,FALSE), "")</f>
        <v/>
      </c>
    </row>
    <row r="2589" spans="3:4" x14ac:dyDescent="0.3">
      <c r="C2589" s="35">
        <f t="shared" si="41"/>
        <v>0</v>
      </c>
      <c r="D2589" s="30" t="str">
        <f>IFERROR(VLOOKUP(C2589,소속부서!$A$2:$B$20,2,FALSE), "")</f>
        <v/>
      </c>
    </row>
    <row r="2590" spans="3:4" x14ac:dyDescent="0.3">
      <c r="C2590" s="35">
        <f t="shared" si="41"/>
        <v>0</v>
      </c>
      <c r="D2590" s="30" t="str">
        <f>IFERROR(VLOOKUP(C2590,소속부서!$A$2:$B$20,2,FALSE), "")</f>
        <v/>
      </c>
    </row>
    <row r="2591" spans="3:4" x14ac:dyDescent="0.3">
      <c r="C2591" s="35">
        <f t="shared" si="41"/>
        <v>0</v>
      </c>
      <c r="D2591" s="30" t="str">
        <f>IFERROR(VLOOKUP(C2591,소속부서!$A$2:$B$20,2,FALSE), "")</f>
        <v/>
      </c>
    </row>
    <row r="2592" spans="3:4" x14ac:dyDescent="0.3">
      <c r="C2592" s="35">
        <f t="shared" si="41"/>
        <v>0</v>
      </c>
      <c r="D2592" s="30" t="str">
        <f>IFERROR(VLOOKUP(C2592,소속부서!$A$2:$B$20,2,FALSE), "")</f>
        <v/>
      </c>
    </row>
    <row r="2593" spans="3:4" x14ac:dyDescent="0.3">
      <c r="C2593" s="35">
        <f t="shared" si="41"/>
        <v>0</v>
      </c>
      <c r="D2593" s="30" t="str">
        <f>IFERROR(VLOOKUP(C2593,소속부서!$A$2:$B$20,2,FALSE), "")</f>
        <v/>
      </c>
    </row>
    <row r="2594" spans="3:4" x14ac:dyDescent="0.3">
      <c r="C2594" s="35">
        <f t="shared" si="41"/>
        <v>0</v>
      </c>
      <c r="D2594" s="30" t="str">
        <f>IFERROR(VLOOKUP(C2594,소속부서!$A$2:$B$20,2,FALSE), "")</f>
        <v/>
      </c>
    </row>
    <row r="2595" spans="3:4" x14ac:dyDescent="0.3">
      <c r="C2595" s="35">
        <f t="shared" si="41"/>
        <v>0</v>
      </c>
      <c r="D2595" s="30" t="str">
        <f>IFERROR(VLOOKUP(C2595,소속부서!$A$2:$B$20,2,FALSE), "")</f>
        <v/>
      </c>
    </row>
    <row r="2596" spans="3:4" x14ac:dyDescent="0.3">
      <c r="C2596" s="35">
        <f t="shared" si="41"/>
        <v>0</v>
      </c>
      <c r="D2596" s="30" t="str">
        <f>IFERROR(VLOOKUP(C2596,소속부서!$A$2:$B$20,2,FALSE), "")</f>
        <v/>
      </c>
    </row>
    <row r="2597" spans="3:4" x14ac:dyDescent="0.3">
      <c r="C2597" s="35">
        <f t="shared" si="41"/>
        <v>0</v>
      </c>
      <c r="D2597" s="30" t="str">
        <f>IFERROR(VLOOKUP(C2597,소속부서!$A$2:$B$20,2,FALSE), "")</f>
        <v/>
      </c>
    </row>
    <row r="2598" spans="3:4" x14ac:dyDescent="0.3">
      <c r="C2598" s="35">
        <f t="shared" si="41"/>
        <v>0</v>
      </c>
      <c r="D2598" s="30" t="str">
        <f>IFERROR(VLOOKUP(C2598,소속부서!$A$2:$B$20,2,FALSE), "")</f>
        <v/>
      </c>
    </row>
    <row r="2599" spans="3:4" x14ac:dyDescent="0.3">
      <c r="C2599" s="35">
        <f t="shared" si="41"/>
        <v>0</v>
      </c>
      <c r="D2599" s="30" t="str">
        <f>IFERROR(VLOOKUP(C2599,소속부서!$A$2:$B$20,2,FALSE), "")</f>
        <v/>
      </c>
    </row>
    <row r="2600" spans="3:4" x14ac:dyDescent="0.3">
      <c r="C2600" s="35">
        <f t="shared" si="41"/>
        <v>0</v>
      </c>
      <c r="D2600" s="30" t="str">
        <f>IFERROR(VLOOKUP(C2600,소속부서!$A$2:$B$20,2,FALSE), "")</f>
        <v/>
      </c>
    </row>
    <row r="2601" spans="3:4" x14ac:dyDescent="0.3">
      <c r="C2601" s="35">
        <f t="shared" si="41"/>
        <v>0</v>
      </c>
      <c r="D2601" s="30" t="str">
        <f>IFERROR(VLOOKUP(C2601,소속부서!$A$2:$B$20,2,FALSE), "")</f>
        <v/>
      </c>
    </row>
    <row r="2602" spans="3:4" x14ac:dyDescent="0.3">
      <c r="C2602" s="35">
        <f t="shared" si="41"/>
        <v>0</v>
      </c>
      <c r="D2602" s="30" t="str">
        <f>IFERROR(VLOOKUP(C2602,소속부서!$A$2:$B$20,2,FALSE), "")</f>
        <v/>
      </c>
    </row>
    <row r="2603" spans="3:4" x14ac:dyDescent="0.3">
      <c r="C2603" s="35">
        <f t="shared" si="41"/>
        <v>0</v>
      </c>
      <c r="D2603" s="30" t="str">
        <f>IFERROR(VLOOKUP(C2603,소속부서!$A$2:$B$20,2,FALSE), "")</f>
        <v/>
      </c>
    </row>
    <row r="2604" spans="3:4" x14ac:dyDescent="0.3">
      <c r="C2604" s="35">
        <f t="shared" si="41"/>
        <v>0</v>
      </c>
      <c r="D2604" s="30" t="str">
        <f>IFERROR(VLOOKUP(C2604,소속부서!$A$2:$B$20,2,FALSE), "")</f>
        <v/>
      </c>
    </row>
    <row r="2605" spans="3:4" x14ac:dyDescent="0.3">
      <c r="C2605" s="35">
        <f t="shared" si="41"/>
        <v>0</v>
      </c>
      <c r="D2605" s="30" t="str">
        <f>IFERROR(VLOOKUP(C2605,소속부서!$A$2:$B$20,2,FALSE), "")</f>
        <v/>
      </c>
    </row>
    <row r="2606" spans="3:4" x14ac:dyDescent="0.3">
      <c r="C2606" s="35">
        <f t="shared" si="41"/>
        <v>0</v>
      </c>
      <c r="D2606" s="30" t="str">
        <f>IFERROR(VLOOKUP(C2606,소속부서!$A$2:$B$20,2,FALSE), "")</f>
        <v/>
      </c>
    </row>
    <row r="2607" spans="3:4" x14ac:dyDescent="0.3">
      <c r="C2607" s="35">
        <f t="shared" si="41"/>
        <v>0</v>
      </c>
      <c r="D2607" s="30" t="str">
        <f>IFERROR(VLOOKUP(C2607,소속부서!$A$2:$B$20,2,FALSE), "")</f>
        <v/>
      </c>
    </row>
    <row r="2608" spans="3:4" x14ac:dyDescent="0.3">
      <c r="C2608" s="35">
        <f t="shared" si="41"/>
        <v>0</v>
      </c>
      <c r="D2608" s="30" t="str">
        <f>IFERROR(VLOOKUP(C2608,소속부서!$A$2:$B$20,2,FALSE), "")</f>
        <v/>
      </c>
    </row>
    <row r="2609" spans="3:4" x14ac:dyDescent="0.3">
      <c r="C2609" s="35">
        <f t="shared" si="41"/>
        <v>0</v>
      </c>
      <c r="D2609" s="30" t="str">
        <f>IFERROR(VLOOKUP(C2609,소속부서!$A$2:$B$20,2,FALSE), "")</f>
        <v/>
      </c>
    </row>
    <row r="2610" spans="3:4" x14ac:dyDescent="0.3">
      <c r="C2610" s="35">
        <f t="shared" si="41"/>
        <v>0</v>
      </c>
      <c r="D2610" s="30" t="str">
        <f>IFERROR(VLOOKUP(C2610,소속부서!$A$2:$B$20,2,FALSE), "")</f>
        <v/>
      </c>
    </row>
    <row r="2611" spans="3:4" x14ac:dyDescent="0.3">
      <c r="C2611" s="35">
        <f t="shared" si="41"/>
        <v>0</v>
      </c>
      <c r="D2611" s="30" t="str">
        <f>IFERROR(VLOOKUP(C2611,소속부서!$A$2:$B$20,2,FALSE), "")</f>
        <v/>
      </c>
    </row>
    <row r="2612" spans="3:4" x14ac:dyDescent="0.3">
      <c r="C2612" s="35">
        <f t="shared" si="41"/>
        <v>0</v>
      </c>
      <c r="D2612" s="30" t="str">
        <f>IFERROR(VLOOKUP(C2612,소속부서!$A$2:$B$20,2,FALSE), "")</f>
        <v/>
      </c>
    </row>
    <row r="2613" spans="3:4" x14ac:dyDescent="0.3">
      <c r="C2613" s="35">
        <f t="shared" si="41"/>
        <v>0</v>
      </c>
      <c r="D2613" s="30" t="str">
        <f>IFERROR(VLOOKUP(C2613,소속부서!$A$2:$B$20,2,FALSE), "")</f>
        <v/>
      </c>
    </row>
    <row r="2614" spans="3:4" x14ac:dyDescent="0.3">
      <c r="C2614" s="35">
        <f t="shared" si="41"/>
        <v>0</v>
      </c>
      <c r="D2614" s="30" t="str">
        <f>IFERROR(VLOOKUP(C2614,소속부서!$A$2:$B$20,2,FALSE), "")</f>
        <v/>
      </c>
    </row>
    <row r="2615" spans="3:4" x14ac:dyDescent="0.3">
      <c r="C2615" s="35">
        <f t="shared" si="41"/>
        <v>0</v>
      </c>
      <c r="D2615" s="30" t="str">
        <f>IFERROR(VLOOKUP(C2615,소속부서!$A$2:$B$20,2,FALSE), "")</f>
        <v/>
      </c>
    </row>
    <row r="2616" spans="3:4" x14ac:dyDescent="0.3">
      <c r="C2616" s="35">
        <f t="shared" si="41"/>
        <v>0</v>
      </c>
      <c r="D2616" s="30" t="str">
        <f>IFERROR(VLOOKUP(C2616,소속부서!$A$2:$B$20,2,FALSE), "")</f>
        <v/>
      </c>
    </row>
    <row r="2617" spans="3:4" x14ac:dyDescent="0.3">
      <c r="C2617" s="35">
        <f t="shared" si="41"/>
        <v>0</v>
      </c>
      <c r="D2617" s="30" t="str">
        <f>IFERROR(VLOOKUP(C2617,소속부서!$A$2:$B$20,2,FALSE), "")</f>
        <v/>
      </c>
    </row>
    <row r="2618" spans="3:4" x14ac:dyDescent="0.3">
      <c r="C2618" s="35">
        <f t="shared" si="41"/>
        <v>0</v>
      </c>
      <c r="D2618" s="30" t="str">
        <f>IFERROR(VLOOKUP(C2618,소속부서!$A$2:$B$20,2,FALSE), "")</f>
        <v/>
      </c>
    </row>
    <row r="2619" spans="3:4" x14ac:dyDescent="0.3">
      <c r="C2619" s="35">
        <f t="shared" si="41"/>
        <v>0</v>
      </c>
      <c r="D2619" s="30" t="str">
        <f>IFERROR(VLOOKUP(C2619,소속부서!$A$2:$B$20,2,FALSE), "")</f>
        <v/>
      </c>
    </row>
    <row r="2620" spans="3:4" x14ac:dyDescent="0.3">
      <c r="C2620" s="35">
        <f t="shared" si="41"/>
        <v>0</v>
      </c>
      <c r="D2620" s="30" t="str">
        <f>IFERROR(VLOOKUP(C2620,소속부서!$A$2:$B$20,2,FALSE), "")</f>
        <v/>
      </c>
    </row>
    <row r="2621" spans="3:4" x14ac:dyDescent="0.3">
      <c r="C2621" s="35">
        <f t="shared" si="41"/>
        <v>0</v>
      </c>
      <c r="D2621" s="30" t="str">
        <f>IFERROR(VLOOKUP(C2621,소속부서!$A$2:$B$20,2,FALSE), "")</f>
        <v/>
      </c>
    </row>
    <row r="2622" spans="3:4" x14ac:dyDescent="0.3">
      <c r="C2622" s="35">
        <f t="shared" si="41"/>
        <v>0</v>
      </c>
      <c r="D2622" s="30" t="str">
        <f>IFERROR(VLOOKUP(C2622,소속부서!$A$2:$B$20,2,FALSE), "")</f>
        <v/>
      </c>
    </row>
    <row r="2623" spans="3:4" x14ac:dyDescent="0.3">
      <c r="C2623" s="35">
        <f t="shared" si="41"/>
        <v>0</v>
      </c>
      <c r="D2623" s="30" t="str">
        <f>IFERROR(VLOOKUP(C2623,소속부서!$A$2:$B$20,2,FALSE), "")</f>
        <v/>
      </c>
    </row>
    <row r="2624" spans="3:4" x14ac:dyDescent="0.3">
      <c r="C2624" s="35">
        <f t="shared" si="41"/>
        <v>0</v>
      </c>
      <c r="D2624" s="30" t="str">
        <f>IFERROR(VLOOKUP(C2624,소속부서!$A$2:$B$20,2,FALSE), "")</f>
        <v/>
      </c>
    </row>
    <row r="2625" spans="3:4" x14ac:dyDescent="0.3">
      <c r="C2625" s="35">
        <f t="shared" si="41"/>
        <v>0</v>
      </c>
      <c r="D2625" s="30" t="str">
        <f>IFERROR(VLOOKUP(C2625,소속부서!$A$2:$B$20,2,FALSE), "")</f>
        <v/>
      </c>
    </row>
    <row r="2626" spans="3:4" x14ac:dyDescent="0.3">
      <c r="C2626" s="35">
        <f t="shared" si="41"/>
        <v>0</v>
      </c>
      <c r="D2626" s="30" t="str">
        <f>IFERROR(VLOOKUP(C2626,소속부서!$A$2:$B$20,2,FALSE), "")</f>
        <v/>
      </c>
    </row>
    <row r="2627" spans="3:4" x14ac:dyDescent="0.3">
      <c r="C2627" s="35">
        <f t="shared" si="41"/>
        <v>0</v>
      </c>
      <c r="D2627" s="30" t="str">
        <f>IFERROR(VLOOKUP(C2627,소속부서!$A$2:$B$20,2,FALSE), "")</f>
        <v/>
      </c>
    </row>
    <row r="2628" spans="3:4" x14ac:dyDescent="0.3">
      <c r="C2628" s="35">
        <f t="shared" ref="C2628:C2691" si="42">E2628</f>
        <v>0</v>
      </c>
      <c r="D2628" s="30" t="str">
        <f>IFERROR(VLOOKUP(C2628,소속부서!$A$2:$B$20,2,FALSE), "")</f>
        <v/>
      </c>
    </row>
    <row r="2629" spans="3:4" x14ac:dyDescent="0.3">
      <c r="C2629" s="35">
        <f t="shared" si="42"/>
        <v>0</v>
      </c>
      <c r="D2629" s="30" t="str">
        <f>IFERROR(VLOOKUP(C2629,소속부서!$A$2:$B$20,2,FALSE), "")</f>
        <v/>
      </c>
    </row>
    <row r="2630" spans="3:4" x14ac:dyDescent="0.3">
      <c r="C2630" s="35">
        <f t="shared" si="42"/>
        <v>0</v>
      </c>
      <c r="D2630" s="30" t="str">
        <f>IFERROR(VLOOKUP(C2630,소속부서!$A$2:$B$20,2,FALSE), "")</f>
        <v/>
      </c>
    </row>
    <row r="2631" spans="3:4" x14ac:dyDescent="0.3">
      <c r="C2631" s="35">
        <f t="shared" si="42"/>
        <v>0</v>
      </c>
      <c r="D2631" s="30" t="str">
        <f>IFERROR(VLOOKUP(C2631,소속부서!$A$2:$B$20,2,FALSE), "")</f>
        <v/>
      </c>
    </row>
    <row r="2632" spans="3:4" x14ac:dyDescent="0.3">
      <c r="C2632" s="35">
        <f t="shared" si="42"/>
        <v>0</v>
      </c>
      <c r="D2632" s="30" t="str">
        <f>IFERROR(VLOOKUP(C2632,소속부서!$A$2:$B$20,2,FALSE), "")</f>
        <v/>
      </c>
    </row>
    <row r="2633" spans="3:4" x14ac:dyDescent="0.3">
      <c r="C2633" s="35">
        <f t="shared" si="42"/>
        <v>0</v>
      </c>
      <c r="D2633" s="30" t="str">
        <f>IFERROR(VLOOKUP(C2633,소속부서!$A$2:$B$20,2,FALSE), "")</f>
        <v/>
      </c>
    </row>
    <row r="2634" spans="3:4" x14ac:dyDescent="0.3">
      <c r="C2634" s="35">
        <f t="shared" si="42"/>
        <v>0</v>
      </c>
      <c r="D2634" s="30" t="str">
        <f>IFERROR(VLOOKUP(C2634,소속부서!$A$2:$B$20,2,FALSE), "")</f>
        <v/>
      </c>
    </row>
    <row r="2635" spans="3:4" x14ac:dyDescent="0.3">
      <c r="C2635" s="35">
        <f t="shared" si="42"/>
        <v>0</v>
      </c>
      <c r="D2635" s="30" t="str">
        <f>IFERROR(VLOOKUP(C2635,소속부서!$A$2:$B$20,2,FALSE), "")</f>
        <v/>
      </c>
    </row>
    <row r="2636" spans="3:4" x14ac:dyDescent="0.3">
      <c r="C2636" s="35">
        <f t="shared" si="42"/>
        <v>0</v>
      </c>
      <c r="D2636" s="30" t="str">
        <f>IFERROR(VLOOKUP(C2636,소속부서!$A$2:$B$20,2,FALSE), "")</f>
        <v/>
      </c>
    </row>
    <row r="2637" spans="3:4" x14ac:dyDescent="0.3">
      <c r="C2637" s="35">
        <f t="shared" si="42"/>
        <v>0</v>
      </c>
      <c r="D2637" s="30" t="str">
        <f>IFERROR(VLOOKUP(C2637,소속부서!$A$2:$B$20,2,FALSE), "")</f>
        <v/>
      </c>
    </row>
    <row r="2638" spans="3:4" x14ac:dyDescent="0.3">
      <c r="C2638" s="35">
        <f t="shared" si="42"/>
        <v>0</v>
      </c>
      <c r="D2638" s="30" t="str">
        <f>IFERROR(VLOOKUP(C2638,소속부서!$A$2:$B$20,2,FALSE), "")</f>
        <v/>
      </c>
    </row>
    <row r="2639" spans="3:4" x14ac:dyDescent="0.3">
      <c r="C2639" s="35">
        <f t="shared" si="42"/>
        <v>0</v>
      </c>
      <c r="D2639" s="30" t="str">
        <f>IFERROR(VLOOKUP(C2639,소속부서!$A$2:$B$20,2,FALSE), "")</f>
        <v/>
      </c>
    </row>
    <row r="2640" spans="3:4" x14ac:dyDescent="0.3">
      <c r="C2640" s="35">
        <f t="shared" si="42"/>
        <v>0</v>
      </c>
      <c r="D2640" s="30" t="str">
        <f>IFERROR(VLOOKUP(C2640,소속부서!$A$2:$B$20,2,FALSE), "")</f>
        <v/>
      </c>
    </row>
    <row r="2641" spans="3:4" x14ac:dyDescent="0.3">
      <c r="C2641" s="35">
        <f t="shared" si="42"/>
        <v>0</v>
      </c>
      <c r="D2641" s="30" t="str">
        <f>IFERROR(VLOOKUP(C2641,소속부서!$A$2:$B$20,2,FALSE), "")</f>
        <v/>
      </c>
    </row>
    <row r="2642" spans="3:4" x14ac:dyDescent="0.3">
      <c r="C2642" s="35">
        <f t="shared" si="42"/>
        <v>0</v>
      </c>
      <c r="D2642" s="30" t="str">
        <f>IFERROR(VLOOKUP(C2642,소속부서!$A$2:$B$20,2,FALSE), "")</f>
        <v/>
      </c>
    </row>
    <row r="2643" spans="3:4" x14ac:dyDescent="0.3">
      <c r="C2643" s="35">
        <f t="shared" si="42"/>
        <v>0</v>
      </c>
      <c r="D2643" s="30" t="str">
        <f>IFERROR(VLOOKUP(C2643,소속부서!$A$2:$B$20,2,FALSE), "")</f>
        <v/>
      </c>
    </row>
    <row r="2644" spans="3:4" x14ac:dyDescent="0.3">
      <c r="C2644" s="35">
        <f t="shared" si="42"/>
        <v>0</v>
      </c>
      <c r="D2644" s="30" t="str">
        <f>IFERROR(VLOOKUP(C2644,소속부서!$A$2:$B$20,2,FALSE), "")</f>
        <v/>
      </c>
    </row>
    <row r="2645" spans="3:4" x14ac:dyDescent="0.3">
      <c r="C2645" s="35">
        <f t="shared" si="42"/>
        <v>0</v>
      </c>
      <c r="D2645" s="30" t="str">
        <f>IFERROR(VLOOKUP(C2645,소속부서!$A$2:$B$20,2,FALSE), "")</f>
        <v/>
      </c>
    </row>
    <row r="2646" spans="3:4" x14ac:dyDescent="0.3">
      <c r="C2646" s="35">
        <f t="shared" si="42"/>
        <v>0</v>
      </c>
      <c r="D2646" s="30" t="str">
        <f>IFERROR(VLOOKUP(C2646,소속부서!$A$2:$B$20,2,FALSE), "")</f>
        <v/>
      </c>
    </row>
    <row r="2647" spans="3:4" x14ac:dyDescent="0.3">
      <c r="C2647" s="35">
        <f t="shared" si="42"/>
        <v>0</v>
      </c>
      <c r="D2647" s="30" t="str">
        <f>IFERROR(VLOOKUP(C2647,소속부서!$A$2:$B$20,2,FALSE), "")</f>
        <v/>
      </c>
    </row>
    <row r="2648" spans="3:4" x14ac:dyDescent="0.3">
      <c r="C2648" s="35">
        <f t="shared" si="42"/>
        <v>0</v>
      </c>
      <c r="D2648" s="30" t="str">
        <f>IFERROR(VLOOKUP(C2648,소속부서!$A$2:$B$20,2,FALSE), "")</f>
        <v/>
      </c>
    </row>
    <row r="2649" spans="3:4" x14ac:dyDescent="0.3">
      <c r="C2649" s="35">
        <f t="shared" si="42"/>
        <v>0</v>
      </c>
      <c r="D2649" s="30" t="str">
        <f>IFERROR(VLOOKUP(C2649,소속부서!$A$2:$B$20,2,FALSE), "")</f>
        <v/>
      </c>
    </row>
    <row r="2650" spans="3:4" x14ac:dyDescent="0.3">
      <c r="C2650" s="35">
        <f t="shared" si="42"/>
        <v>0</v>
      </c>
      <c r="D2650" s="30" t="str">
        <f>IFERROR(VLOOKUP(C2650,소속부서!$A$2:$B$20,2,FALSE), "")</f>
        <v/>
      </c>
    </row>
    <row r="2651" spans="3:4" x14ac:dyDescent="0.3">
      <c r="C2651" s="35">
        <f t="shared" si="42"/>
        <v>0</v>
      </c>
      <c r="D2651" s="30" t="str">
        <f>IFERROR(VLOOKUP(C2651,소속부서!$A$2:$B$20,2,FALSE), "")</f>
        <v/>
      </c>
    </row>
    <row r="2652" spans="3:4" x14ac:dyDescent="0.3">
      <c r="C2652" s="35">
        <f t="shared" si="42"/>
        <v>0</v>
      </c>
      <c r="D2652" s="30" t="str">
        <f>IFERROR(VLOOKUP(C2652,소속부서!$A$2:$B$20,2,FALSE), "")</f>
        <v/>
      </c>
    </row>
    <row r="2653" spans="3:4" x14ac:dyDescent="0.3">
      <c r="C2653" s="35">
        <f t="shared" si="42"/>
        <v>0</v>
      </c>
      <c r="D2653" s="30" t="str">
        <f>IFERROR(VLOOKUP(C2653,소속부서!$A$2:$B$20,2,FALSE), "")</f>
        <v/>
      </c>
    </row>
    <row r="2654" spans="3:4" x14ac:dyDescent="0.3">
      <c r="C2654" s="35">
        <f t="shared" si="42"/>
        <v>0</v>
      </c>
      <c r="D2654" s="30" t="str">
        <f>IFERROR(VLOOKUP(C2654,소속부서!$A$2:$B$20,2,FALSE), "")</f>
        <v/>
      </c>
    </row>
    <row r="2655" spans="3:4" x14ac:dyDescent="0.3">
      <c r="C2655" s="35">
        <f t="shared" si="42"/>
        <v>0</v>
      </c>
      <c r="D2655" s="30" t="str">
        <f>IFERROR(VLOOKUP(C2655,소속부서!$A$2:$B$20,2,FALSE), "")</f>
        <v/>
      </c>
    </row>
    <row r="2656" spans="3:4" x14ac:dyDescent="0.3">
      <c r="C2656" s="35">
        <f t="shared" si="42"/>
        <v>0</v>
      </c>
      <c r="D2656" s="30" t="str">
        <f>IFERROR(VLOOKUP(C2656,소속부서!$A$2:$B$20,2,FALSE), "")</f>
        <v/>
      </c>
    </row>
    <row r="2657" spans="3:4" x14ac:dyDescent="0.3">
      <c r="C2657" s="35">
        <f t="shared" si="42"/>
        <v>0</v>
      </c>
      <c r="D2657" s="30" t="str">
        <f>IFERROR(VLOOKUP(C2657,소속부서!$A$2:$B$20,2,FALSE), "")</f>
        <v/>
      </c>
    </row>
    <row r="2658" spans="3:4" x14ac:dyDescent="0.3">
      <c r="C2658" s="35">
        <f t="shared" si="42"/>
        <v>0</v>
      </c>
      <c r="D2658" s="30" t="str">
        <f>IFERROR(VLOOKUP(C2658,소속부서!$A$2:$B$20,2,FALSE), "")</f>
        <v/>
      </c>
    </row>
    <row r="2659" spans="3:4" x14ac:dyDescent="0.3">
      <c r="C2659" s="35">
        <f t="shared" si="42"/>
        <v>0</v>
      </c>
      <c r="D2659" s="30" t="str">
        <f>IFERROR(VLOOKUP(C2659,소속부서!$A$2:$B$20,2,FALSE), "")</f>
        <v/>
      </c>
    </row>
    <row r="2660" spans="3:4" x14ac:dyDescent="0.3">
      <c r="C2660" s="35">
        <f t="shared" si="42"/>
        <v>0</v>
      </c>
      <c r="D2660" s="30" t="str">
        <f>IFERROR(VLOOKUP(C2660,소속부서!$A$2:$B$20,2,FALSE), "")</f>
        <v/>
      </c>
    </row>
    <row r="2661" spans="3:4" x14ac:dyDescent="0.3">
      <c r="C2661" s="35">
        <f t="shared" si="42"/>
        <v>0</v>
      </c>
      <c r="D2661" s="30" t="str">
        <f>IFERROR(VLOOKUP(C2661,소속부서!$A$2:$B$20,2,FALSE), "")</f>
        <v/>
      </c>
    </row>
    <row r="2662" spans="3:4" x14ac:dyDescent="0.3">
      <c r="C2662" s="35">
        <f t="shared" si="42"/>
        <v>0</v>
      </c>
      <c r="D2662" s="30" t="str">
        <f>IFERROR(VLOOKUP(C2662,소속부서!$A$2:$B$20,2,FALSE), "")</f>
        <v/>
      </c>
    </row>
    <row r="2663" spans="3:4" x14ac:dyDescent="0.3">
      <c r="C2663" s="35">
        <f t="shared" si="42"/>
        <v>0</v>
      </c>
      <c r="D2663" s="30" t="str">
        <f>IFERROR(VLOOKUP(C2663,소속부서!$A$2:$B$20,2,FALSE), "")</f>
        <v/>
      </c>
    </row>
    <row r="2664" spans="3:4" x14ac:dyDescent="0.3">
      <c r="C2664" s="35">
        <f t="shared" si="42"/>
        <v>0</v>
      </c>
      <c r="D2664" s="30" t="str">
        <f>IFERROR(VLOOKUP(C2664,소속부서!$A$2:$B$20,2,FALSE), "")</f>
        <v/>
      </c>
    </row>
    <row r="2665" spans="3:4" x14ac:dyDescent="0.3">
      <c r="C2665" s="35">
        <f t="shared" si="42"/>
        <v>0</v>
      </c>
      <c r="D2665" s="30" t="str">
        <f>IFERROR(VLOOKUP(C2665,소속부서!$A$2:$B$20,2,FALSE), "")</f>
        <v/>
      </c>
    </row>
    <row r="2666" spans="3:4" x14ac:dyDescent="0.3">
      <c r="C2666" s="35">
        <f t="shared" si="42"/>
        <v>0</v>
      </c>
      <c r="D2666" s="30" t="str">
        <f>IFERROR(VLOOKUP(C2666,소속부서!$A$2:$B$20,2,FALSE), "")</f>
        <v/>
      </c>
    </row>
    <row r="2667" spans="3:4" x14ac:dyDescent="0.3">
      <c r="C2667" s="35">
        <f t="shared" si="42"/>
        <v>0</v>
      </c>
      <c r="D2667" s="30" t="str">
        <f>IFERROR(VLOOKUP(C2667,소속부서!$A$2:$B$20,2,FALSE), "")</f>
        <v/>
      </c>
    </row>
    <row r="2668" spans="3:4" x14ac:dyDescent="0.3">
      <c r="C2668" s="35">
        <f t="shared" si="42"/>
        <v>0</v>
      </c>
      <c r="D2668" s="30" t="str">
        <f>IFERROR(VLOOKUP(C2668,소속부서!$A$2:$B$20,2,FALSE), "")</f>
        <v/>
      </c>
    </row>
    <row r="2669" spans="3:4" x14ac:dyDescent="0.3">
      <c r="C2669" s="35">
        <f t="shared" si="42"/>
        <v>0</v>
      </c>
      <c r="D2669" s="30" t="str">
        <f>IFERROR(VLOOKUP(C2669,소속부서!$A$2:$B$20,2,FALSE), "")</f>
        <v/>
      </c>
    </row>
    <row r="2670" spans="3:4" x14ac:dyDescent="0.3">
      <c r="C2670" s="35">
        <f t="shared" si="42"/>
        <v>0</v>
      </c>
      <c r="D2670" s="30" t="str">
        <f>IFERROR(VLOOKUP(C2670,소속부서!$A$2:$B$20,2,FALSE), "")</f>
        <v/>
      </c>
    </row>
    <row r="2671" spans="3:4" x14ac:dyDescent="0.3">
      <c r="C2671" s="35">
        <f t="shared" si="42"/>
        <v>0</v>
      </c>
      <c r="D2671" s="30" t="str">
        <f>IFERROR(VLOOKUP(C2671,소속부서!$A$2:$B$20,2,FALSE), "")</f>
        <v/>
      </c>
    </row>
    <row r="2672" spans="3:4" x14ac:dyDescent="0.3">
      <c r="C2672" s="35">
        <f t="shared" si="42"/>
        <v>0</v>
      </c>
      <c r="D2672" s="30" t="str">
        <f>IFERROR(VLOOKUP(C2672,소속부서!$A$2:$B$20,2,FALSE), "")</f>
        <v/>
      </c>
    </row>
    <row r="2673" spans="3:4" x14ac:dyDescent="0.3">
      <c r="C2673" s="35">
        <f t="shared" si="42"/>
        <v>0</v>
      </c>
      <c r="D2673" s="30" t="str">
        <f>IFERROR(VLOOKUP(C2673,소속부서!$A$2:$B$20,2,FALSE), "")</f>
        <v/>
      </c>
    </row>
    <row r="2674" spans="3:4" x14ac:dyDescent="0.3">
      <c r="C2674" s="35">
        <f t="shared" si="42"/>
        <v>0</v>
      </c>
      <c r="D2674" s="30" t="str">
        <f>IFERROR(VLOOKUP(C2674,소속부서!$A$2:$B$20,2,FALSE), "")</f>
        <v/>
      </c>
    </row>
    <row r="2675" spans="3:4" x14ac:dyDescent="0.3">
      <c r="C2675" s="35">
        <f t="shared" si="42"/>
        <v>0</v>
      </c>
      <c r="D2675" s="30" t="str">
        <f>IFERROR(VLOOKUP(C2675,소속부서!$A$2:$B$20,2,FALSE), "")</f>
        <v/>
      </c>
    </row>
    <row r="2676" spans="3:4" x14ac:dyDescent="0.3">
      <c r="C2676" s="35">
        <f t="shared" si="42"/>
        <v>0</v>
      </c>
      <c r="D2676" s="30" t="str">
        <f>IFERROR(VLOOKUP(C2676,소속부서!$A$2:$B$20,2,FALSE), "")</f>
        <v/>
      </c>
    </row>
    <row r="2677" spans="3:4" x14ac:dyDescent="0.3">
      <c r="C2677" s="35">
        <f t="shared" si="42"/>
        <v>0</v>
      </c>
      <c r="D2677" s="30" t="str">
        <f>IFERROR(VLOOKUP(C2677,소속부서!$A$2:$B$20,2,FALSE), "")</f>
        <v/>
      </c>
    </row>
    <row r="2678" spans="3:4" x14ac:dyDescent="0.3">
      <c r="C2678" s="35">
        <f t="shared" si="42"/>
        <v>0</v>
      </c>
      <c r="D2678" s="30" t="str">
        <f>IFERROR(VLOOKUP(C2678,소속부서!$A$2:$B$20,2,FALSE), "")</f>
        <v/>
      </c>
    </row>
    <row r="2679" spans="3:4" x14ac:dyDescent="0.3">
      <c r="C2679" s="35">
        <f t="shared" si="42"/>
        <v>0</v>
      </c>
      <c r="D2679" s="30" t="str">
        <f>IFERROR(VLOOKUP(C2679,소속부서!$A$2:$B$20,2,FALSE), "")</f>
        <v/>
      </c>
    </row>
    <row r="2680" spans="3:4" x14ac:dyDescent="0.3">
      <c r="C2680" s="35">
        <f t="shared" si="42"/>
        <v>0</v>
      </c>
      <c r="D2680" s="30" t="str">
        <f>IFERROR(VLOOKUP(C2680,소속부서!$A$2:$B$20,2,FALSE), "")</f>
        <v/>
      </c>
    </row>
    <row r="2681" spans="3:4" x14ac:dyDescent="0.3">
      <c r="C2681" s="35">
        <f t="shared" si="42"/>
        <v>0</v>
      </c>
      <c r="D2681" s="30" t="str">
        <f>IFERROR(VLOOKUP(C2681,소속부서!$A$2:$B$20,2,FALSE), "")</f>
        <v/>
      </c>
    </row>
    <row r="2682" spans="3:4" x14ac:dyDescent="0.3">
      <c r="C2682" s="35">
        <f t="shared" si="42"/>
        <v>0</v>
      </c>
      <c r="D2682" s="30" t="str">
        <f>IFERROR(VLOOKUP(C2682,소속부서!$A$2:$B$20,2,FALSE), "")</f>
        <v/>
      </c>
    </row>
    <row r="2683" spans="3:4" x14ac:dyDescent="0.3">
      <c r="C2683" s="35">
        <f t="shared" si="42"/>
        <v>0</v>
      </c>
      <c r="D2683" s="30" t="str">
        <f>IFERROR(VLOOKUP(C2683,소속부서!$A$2:$B$20,2,FALSE), "")</f>
        <v/>
      </c>
    </row>
    <row r="2684" spans="3:4" x14ac:dyDescent="0.3">
      <c r="C2684" s="35">
        <f t="shared" si="42"/>
        <v>0</v>
      </c>
      <c r="D2684" s="30" t="str">
        <f>IFERROR(VLOOKUP(C2684,소속부서!$A$2:$B$20,2,FALSE), "")</f>
        <v/>
      </c>
    </row>
    <row r="2685" spans="3:4" x14ac:dyDescent="0.3">
      <c r="C2685" s="35">
        <f t="shared" si="42"/>
        <v>0</v>
      </c>
      <c r="D2685" s="30" t="str">
        <f>IFERROR(VLOOKUP(C2685,소속부서!$A$2:$B$20,2,FALSE), "")</f>
        <v/>
      </c>
    </row>
    <row r="2686" spans="3:4" x14ac:dyDescent="0.3">
      <c r="C2686" s="35">
        <f t="shared" si="42"/>
        <v>0</v>
      </c>
      <c r="D2686" s="30" t="str">
        <f>IFERROR(VLOOKUP(C2686,소속부서!$A$2:$B$20,2,FALSE), "")</f>
        <v/>
      </c>
    </row>
    <row r="2687" spans="3:4" x14ac:dyDescent="0.3">
      <c r="C2687" s="35">
        <f t="shared" si="42"/>
        <v>0</v>
      </c>
      <c r="D2687" s="30" t="str">
        <f>IFERROR(VLOOKUP(C2687,소속부서!$A$2:$B$20,2,FALSE), "")</f>
        <v/>
      </c>
    </row>
    <row r="2688" spans="3:4" x14ac:dyDescent="0.3">
      <c r="C2688" s="35">
        <f t="shared" si="42"/>
        <v>0</v>
      </c>
      <c r="D2688" s="30" t="str">
        <f>IFERROR(VLOOKUP(C2688,소속부서!$A$2:$B$20,2,FALSE), "")</f>
        <v/>
      </c>
    </row>
    <row r="2689" spans="3:4" x14ac:dyDescent="0.3">
      <c r="C2689" s="35">
        <f t="shared" si="42"/>
        <v>0</v>
      </c>
      <c r="D2689" s="30" t="str">
        <f>IFERROR(VLOOKUP(C2689,소속부서!$A$2:$B$20,2,FALSE), "")</f>
        <v/>
      </c>
    </row>
    <row r="2690" spans="3:4" x14ac:dyDescent="0.3">
      <c r="C2690" s="35">
        <f t="shared" si="42"/>
        <v>0</v>
      </c>
      <c r="D2690" s="30" t="str">
        <f>IFERROR(VLOOKUP(C2690,소속부서!$A$2:$B$20,2,FALSE), "")</f>
        <v/>
      </c>
    </row>
    <row r="2691" spans="3:4" x14ac:dyDescent="0.3">
      <c r="C2691" s="35">
        <f t="shared" si="42"/>
        <v>0</v>
      </c>
      <c r="D2691" s="30" t="str">
        <f>IFERROR(VLOOKUP(C2691,소속부서!$A$2:$B$20,2,FALSE), "")</f>
        <v/>
      </c>
    </row>
    <row r="2692" spans="3:4" x14ac:dyDescent="0.3">
      <c r="C2692" s="35">
        <f t="shared" ref="C2692:C2755" si="43">E2692</f>
        <v>0</v>
      </c>
      <c r="D2692" s="30" t="str">
        <f>IFERROR(VLOOKUP(C2692,소속부서!$A$2:$B$20,2,FALSE), "")</f>
        <v/>
      </c>
    </row>
    <row r="2693" spans="3:4" x14ac:dyDescent="0.3">
      <c r="C2693" s="35">
        <f t="shared" si="43"/>
        <v>0</v>
      </c>
      <c r="D2693" s="30" t="str">
        <f>IFERROR(VLOOKUP(C2693,소속부서!$A$2:$B$20,2,FALSE), "")</f>
        <v/>
      </c>
    </row>
    <row r="2694" spans="3:4" x14ac:dyDescent="0.3">
      <c r="C2694" s="35">
        <f t="shared" si="43"/>
        <v>0</v>
      </c>
      <c r="D2694" s="30" t="str">
        <f>IFERROR(VLOOKUP(C2694,소속부서!$A$2:$B$20,2,FALSE), "")</f>
        <v/>
      </c>
    </row>
    <row r="2695" spans="3:4" x14ac:dyDescent="0.3">
      <c r="C2695" s="35">
        <f t="shared" si="43"/>
        <v>0</v>
      </c>
      <c r="D2695" s="30" t="str">
        <f>IFERROR(VLOOKUP(C2695,소속부서!$A$2:$B$20,2,FALSE), "")</f>
        <v/>
      </c>
    </row>
    <row r="2696" spans="3:4" x14ac:dyDescent="0.3">
      <c r="C2696" s="35">
        <f t="shared" si="43"/>
        <v>0</v>
      </c>
      <c r="D2696" s="30" t="str">
        <f>IFERROR(VLOOKUP(C2696,소속부서!$A$2:$B$20,2,FALSE), "")</f>
        <v/>
      </c>
    </row>
    <row r="2697" spans="3:4" x14ac:dyDescent="0.3">
      <c r="C2697" s="35">
        <f t="shared" si="43"/>
        <v>0</v>
      </c>
      <c r="D2697" s="30" t="str">
        <f>IFERROR(VLOOKUP(C2697,소속부서!$A$2:$B$20,2,FALSE), "")</f>
        <v/>
      </c>
    </row>
    <row r="2698" spans="3:4" x14ac:dyDescent="0.3">
      <c r="C2698" s="35">
        <f t="shared" si="43"/>
        <v>0</v>
      </c>
      <c r="D2698" s="30" t="str">
        <f>IFERROR(VLOOKUP(C2698,소속부서!$A$2:$B$20,2,FALSE), "")</f>
        <v/>
      </c>
    </row>
    <row r="2699" spans="3:4" x14ac:dyDescent="0.3">
      <c r="C2699" s="35">
        <f t="shared" si="43"/>
        <v>0</v>
      </c>
      <c r="D2699" s="30" t="str">
        <f>IFERROR(VLOOKUP(C2699,소속부서!$A$2:$B$20,2,FALSE), "")</f>
        <v/>
      </c>
    </row>
    <row r="2700" spans="3:4" x14ac:dyDescent="0.3">
      <c r="C2700" s="35">
        <f t="shared" si="43"/>
        <v>0</v>
      </c>
      <c r="D2700" s="30" t="str">
        <f>IFERROR(VLOOKUP(C2700,소속부서!$A$2:$B$20,2,FALSE), "")</f>
        <v/>
      </c>
    </row>
    <row r="2701" spans="3:4" x14ac:dyDescent="0.3">
      <c r="C2701" s="35">
        <f t="shared" si="43"/>
        <v>0</v>
      </c>
      <c r="D2701" s="30" t="str">
        <f>IFERROR(VLOOKUP(C2701,소속부서!$A$2:$B$20,2,FALSE), "")</f>
        <v/>
      </c>
    </row>
    <row r="2702" spans="3:4" x14ac:dyDescent="0.3">
      <c r="C2702" s="35">
        <f t="shared" si="43"/>
        <v>0</v>
      </c>
      <c r="D2702" s="30" t="str">
        <f>IFERROR(VLOOKUP(C2702,소속부서!$A$2:$B$20,2,FALSE), "")</f>
        <v/>
      </c>
    </row>
    <row r="2703" spans="3:4" x14ac:dyDescent="0.3">
      <c r="C2703" s="35">
        <f t="shared" si="43"/>
        <v>0</v>
      </c>
      <c r="D2703" s="30" t="str">
        <f>IFERROR(VLOOKUP(C2703,소속부서!$A$2:$B$20,2,FALSE), "")</f>
        <v/>
      </c>
    </row>
    <row r="2704" spans="3:4" x14ac:dyDescent="0.3">
      <c r="C2704" s="35">
        <f t="shared" si="43"/>
        <v>0</v>
      </c>
      <c r="D2704" s="30" t="str">
        <f>IFERROR(VLOOKUP(C2704,소속부서!$A$2:$B$20,2,FALSE), "")</f>
        <v/>
      </c>
    </row>
    <row r="2705" spans="3:4" x14ac:dyDescent="0.3">
      <c r="C2705" s="35">
        <f t="shared" si="43"/>
        <v>0</v>
      </c>
      <c r="D2705" s="30" t="str">
        <f>IFERROR(VLOOKUP(C2705,소속부서!$A$2:$B$20,2,FALSE), "")</f>
        <v/>
      </c>
    </row>
    <row r="2706" spans="3:4" x14ac:dyDescent="0.3">
      <c r="C2706" s="35">
        <f t="shared" si="43"/>
        <v>0</v>
      </c>
      <c r="D2706" s="30" t="str">
        <f>IFERROR(VLOOKUP(C2706,소속부서!$A$2:$B$20,2,FALSE), "")</f>
        <v/>
      </c>
    </row>
    <row r="2707" spans="3:4" x14ac:dyDescent="0.3">
      <c r="C2707" s="35">
        <f t="shared" si="43"/>
        <v>0</v>
      </c>
      <c r="D2707" s="30" t="str">
        <f>IFERROR(VLOOKUP(C2707,소속부서!$A$2:$B$20,2,FALSE), "")</f>
        <v/>
      </c>
    </row>
    <row r="2708" spans="3:4" x14ac:dyDescent="0.3">
      <c r="C2708" s="35">
        <f t="shared" si="43"/>
        <v>0</v>
      </c>
      <c r="D2708" s="30" t="str">
        <f>IFERROR(VLOOKUP(C2708,소속부서!$A$2:$B$20,2,FALSE), "")</f>
        <v/>
      </c>
    </row>
    <row r="2709" spans="3:4" x14ac:dyDescent="0.3">
      <c r="C2709" s="35">
        <f t="shared" si="43"/>
        <v>0</v>
      </c>
      <c r="D2709" s="30" t="str">
        <f>IFERROR(VLOOKUP(C2709,소속부서!$A$2:$B$20,2,FALSE), "")</f>
        <v/>
      </c>
    </row>
    <row r="2710" spans="3:4" x14ac:dyDescent="0.3">
      <c r="C2710" s="35">
        <f t="shared" si="43"/>
        <v>0</v>
      </c>
      <c r="D2710" s="30" t="str">
        <f>IFERROR(VLOOKUP(C2710,소속부서!$A$2:$B$20,2,FALSE), "")</f>
        <v/>
      </c>
    </row>
    <row r="2711" spans="3:4" x14ac:dyDescent="0.3">
      <c r="C2711" s="35">
        <f t="shared" si="43"/>
        <v>0</v>
      </c>
      <c r="D2711" s="30" t="str">
        <f>IFERROR(VLOOKUP(C2711,소속부서!$A$2:$B$20,2,FALSE), "")</f>
        <v/>
      </c>
    </row>
    <row r="2712" spans="3:4" x14ac:dyDescent="0.3">
      <c r="C2712" s="35">
        <f t="shared" si="43"/>
        <v>0</v>
      </c>
      <c r="D2712" s="30" t="str">
        <f>IFERROR(VLOOKUP(C2712,소속부서!$A$2:$B$20,2,FALSE), "")</f>
        <v/>
      </c>
    </row>
    <row r="2713" spans="3:4" x14ac:dyDescent="0.3">
      <c r="C2713" s="35">
        <f t="shared" si="43"/>
        <v>0</v>
      </c>
      <c r="D2713" s="30" t="str">
        <f>IFERROR(VLOOKUP(C2713,소속부서!$A$2:$B$20,2,FALSE), "")</f>
        <v/>
      </c>
    </row>
    <row r="2714" spans="3:4" x14ac:dyDescent="0.3">
      <c r="C2714" s="35">
        <f t="shared" si="43"/>
        <v>0</v>
      </c>
      <c r="D2714" s="30" t="str">
        <f>IFERROR(VLOOKUP(C2714,소속부서!$A$2:$B$20,2,FALSE), "")</f>
        <v/>
      </c>
    </row>
    <row r="2715" spans="3:4" x14ac:dyDescent="0.3">
      <c r="C2715" s="35">
        <f t="shared" si="43"/>
        <v>0</v>
      </c>
      <c r="D2715" s="30" t="str">
        <f>IFERROR(VLOOKUP(C2715,소속부서!$A$2:$B$20,2,FALSE), "")</f>
        <v/>
      </c>
    </row>
    <row r="2716" spans="3:4" x14ac:dyDescent="0.3">
      <c r="C2716" s="35">
        <f t="shared" si="43"/>
        <v>0</v>
      </c>
      <c r="D2716" s="30" t="str">
        <f>IFERROR(VLOOKUP(C2716,소속부서!$A$2:$B$20,2,FALSE), "")</f>
        <v/>
      </c>
    </row>
    <row r="2717" spans="3:4" x14ac:dyDescent="0.3">
      <c r="C2717" s="35">
        <f t="shared" si="43"/>
        <v>0</v>
      </c>
      <c r="D2717" s="30" t="str">
        <f>IFERROR(VLOOKUP(C2717,소속부서!$A$2:$B$20,2,FALSE), "")</f>
        <v/>
      </c>
    </row>
    <row r="2718" spans="3:4" x14ac:dyDescent="0.3">
      <c r="C2718" s="35">
        <f t="shared" si="43"/>
        <v>0</v>
      </c>
      <c r="D2718" s="30" t="str">
        <f>IFERROR(VLOOKUP(C2718,소속부서!$A$2:$B$20,2,FALSE), "")</f>
        <v/>
      </c>
    </row>
    <row r="2719" spans="3:4" x14ac:dyDescent="0.3">
      <c r="C2719" s="35">
        <f t="shared" si="43"/>
        <v>0</v>
      </c>
      <c r="D2719" s="30" t="str">
        <f>IFERROR(VLOOKUP(C2719,소속부서!$A$2:$B$20,2,FALSE), "")</f>
        <v/>
      </c>
    </row>
    <row r="2720" spans="3:4" x14ac:dyDescent="0.3">
      <c r="C2720" s="35">
        <f t="shared" si="43"/>
        <v>0</v>
      </c>
      <c r="D2720" s="30" t="str">
        <f>IFERROR(VLOOKUP(C2720,소속부서!$A$2:$B$20,2,FALSE), "")</f>
        <v/>
      </c>
    </row>
    <row r="2721" spans="3:4" x14ac:dyDescent="0.3">
      <c r="C2721" s="35">
        <f t="shared" si="43"/>
        <v>0</v>
      </c>
      <c r="D2721" s="30" t="str">
        <f>IFERROR(VLOOKUP(C2721,소속부서!$A$2:$B$20,2,FALSE), "")</f>
        <v/>
      </c>
    </row>
    <row r="2722" spans="3:4" x14ac:dyDescent="0.3">
      <c r="C2722" s="35">
        <f t="shared" si="43"/>
        <v>0</v>
      </c>
      <c r="D2722" s="30" t="str">
        <f>IFERROR(VLOOKUP(C2722,소속부서!$A$2:$B$20,2,FALSE), "")</f>
        <v/>
      </c>
    </row>
    <row r="2723" spans="3:4" x14ac:dyDescent="0.3">
      <c r="C2723" s="35">
        <f t="shared" si="43"/>
        <v>0</v>
      </c>
      <c r="D2723" s="30" t="str">
        <f>IFERROR(VLOOKUP(C2723,소속부서!$A$2:$B$20,2,FALSE), "")</f>
        <v/>
      </c>
    </row>
    <row r="2724" spans="3:4" x14ac:dyDescent="0.3">
      <c r="C2724" s="35">
        <f t="shared" si="43"/>
        <v>0</v>
      </c>
      <c r="D2724" s="30" t="str">
        <f>IFERROR(VLOOKUP(C2724,소속부서!$A$2:$B$20,2,FALSE), "")</f>
        <v/>
      </c>
    </row>
    <row r="2725" spans="3:4" x14ac:dyDescent="0.3">
      <c r="C2725" s="35">
        <f t="shared" si="43"/>
        <v>0</v>
      </c>
      <c r="D2725" s="30" t="str">
        <f>IFERROR(VLOOKUP(C2725,소속부서!$A$2:$B$20,2,FALSE), "")</f>
        <v/>
      </c>
    </row>
    <row r="2726" spans="3:4" x14ac:dyDescent="0.3">
      <c r="C2726" s="35">
        <f t="shared" si="43"/>
        <v>0</v>
      </c>
      <c r="D2726" s="30" t="str">
        <f>IFERROR(VLOOKUP(C2726,소속부서!$A$2:$B$20,2,FALSE), "")</f>
        <v/>
      </c>
    </row>
    <row r="2727" spans="3:4" x14ac:dyDescent="0.3">
      <c r="C2727" s="35">
        <f t="shared" si="43"/>
        <v>0</v>
      </c>
      <c r="D2727" s="30" t="str">
        <f>IFERROR(VLOOKUP(C2727,소속부서!$A$2:$B$20,2,FALSE), "")</f>
        <v/>
      </c>
    </row>
    <row r="2728" spans="3:4" x14ac:dyDescent="0.3">
      <c r="C2728" s="35">
        <f t="shared" si="43"/>
        <v>0</v>
      </c>
      <c r="D2728" s="30" t="str">
        <f>IFERROR(VLOOKUP(C2728,소속부서!$A$2:$B$20,2,FALSE), "")</f>
        <v/>
      </c>
    </row>
    <row r="2729" spans="3:4" x14ac:dyDescent="0.3">
      <c r="C2729" s="35">
        <f t="shared" si="43"/>
        <v>0</v>
      </c>
      <c r="D2729" s="30" t="str">
        <f>IFERROR(VLOOKUP(C2729,소속부서!$A$2:$B$20,2,FALSE), "")</f>
        <v/>
      </c>
    </row>
    <row r="2730" spans="3:4" x14ac:dyDescent="0.3">
      <c r="C2730" s="35">
        <f t="shared" si="43"/>
        <v>0</v>
      </c>
      <c r="D2730" s="30" t="str">
        <f>IFERROR(VLOOKUP(C2730,소속부서!$A$2:$B$20,2,FALSE), "")</f>
        <v/>
      </c>
    </row>
    <row r="2731" spans="3:4" x14ac:dyDescent="0.3">
      <c r="C2731" s="35">
        <f t="shared" si="43"/>
        <v>0</v>
      </c>
      <c r="D2731" s="30" t="str">
        <f>IFERROR(VLOOKUP(C2731,소속부서!$A$2:$B$20,2,FALSE), "")</f>
        <v/>
      </c>
    </row>
    <row r="2732" spans="3:4" x14ac:dyDescent="0.3">
      <c r="C2732" s="35">
        <f t="shared" si="43"/>
        <v>0</v>
      </c>
      <c r="D2732" s="30" t="str">
        <f>IFERROR(VLOOKUP(C2732,소속부서!$A$2:$B$20,2,FALSE), "")</f>
        <v/>
      </c>
    </row>
    <row r="2733" spans="3:4" x14ac:dyDescent="0.3">
      <c r="C2733" s="35">
        <f t="shared" si="43"/>
        <v>0</v>
      </c>
      <c r="D2733" s="30" t="str">
        <f>IFERROR(VLOOKUP(C2733,소속부서!$A$2:$B$20,2,FALSE), "")</f>
        <v/>
      </c>
    </row>
    <row r="2734" spans="3:4" x14ac:dyDescent="0.3">
      <c r="C2734" s="35">
        <f t="shared" si="43"/>
        <v>0</v>
      </c>
      <c r="D2734" s="30" t="str">
        <f>IFERROR(VLOOKUP(C2734,소속부서!$A$2:$B$20,2,FALSE), "")</f>
        <v/>
      </c>
    </row>
    <row r="2735" spans="3:4" x14ac:dyDescent="0.3">
      <c r="C2735" s="35">
        <f t="shared" si="43"/>
        <v>0</v>
      </c>
      <c r="D2735" s="30" t="str">
        <f>IFERROR(VLOOKUP(C2735,소속부서!$A$2:$B$20,2,FALSE), "")</f>
        <v/>
      </c>
    </row>
    <row r="2736" spans="3:4" x14ac:dyDescent="0.3">
      <c r="C2736" s="35">
        <f t="shared" si="43"/>
        <v>0</v>
      </c>
      <c r="D2736" s="30" t="str">
        <f>IFERROR(VLOOKUP(C2736,소속부서!$A$2:$B$20,2,FALSE), "")</f>
        <v/>
      </c>
    </row>
    <row r="2737" spans="3:4" x14ac:dyDescent="0.3">
      <c r="C2737" s="35">
        <f t="shared" si="43"/>
        <v>0</v>
      </c>
      <c r="D2737" s="30" t="str">
        <f>IFERROR(VLOOKUP(C2737,소속부서!$A$2:$B$20,2,FALSE), "")</f>
        <v/>
      </c>
    </row>
    <row r="2738" spans="3:4" x14ac:dyDescent="0.3">
      <c r="C2738" s="35">
        <f t="shared" si="43"/>
        <v>0</v>
      </c>
      <c r="D2738" s="30" t="str">
        <f>IFERROR(VLOOKUP(C2738,소속부서!$A$2:$B$20,2,FALSE), "")</f>
        <v/>
      </c>
    </row>
    <row r="2739" spans="3:4" x14ac:dyDescent="0.3">
      <c r="C2739" s="35">
        <f t="shared" si="43"/>
        <v>0</v>
      </c>
      <c r="D2739" s="30" t="str">
        <f>IFERROR(VLOOKUP(C2739,소속부서!$A$2:$B$20,2,FALSE), "")</f>
        <v/>
      </c>
    </row>
    <row r="2740" spans="3:4" x14ac:dyDescent="0.3">
      <c r="C2740" s="35">
        <f t="shared" si="43"/>
        <v>0</v>
      </c>
      <c r="D2740" s="30" t="str">
        <f>IFERROR(VLOOKUP(C2740,소속부서!$A$2:$B$20,2,FALSE), "")</f>
        <v/>
      </c>
    </row>
    <row r="2741" spans="3:4" x14ac:dyDescent="0.3">
      <c r="C2741" s="35">
        <f t="shared" si="43"/>
        <v>0</v>
      </c>
      <c r="D2741" s="30" t="str">
        <f>IFERROR(VLOOKUP(C2741,소속부서!$A$2:$B$20,2,FALSE), "")</f>
        <v/>
      </c>
    </row>
    <row r="2742" spans="3:4" x14ac:dyDescent="0.3">
      <c r="C2742" s="35">
        <f t="shared" si="43"/>
        <v>0</v>
      </c>
      <c r="D2742" s="30" t="str">
        <f>IFERROR(VLOOKUP(C2742,소속부서!$A$2:$B$20,2,FALSE), "")</f>
        <v/>
      </c>
    </row>
    <row r="2743" spans="3:4" x14ac:dyDescent="0.3">
      <c r="C2743" s="35">
        <f t="shared" si="43"/>
        <v>0</v>
      </c>
      <c r="D2743" s="30" t="str">
        <f>IFERROR(VLOOKUP(C2743,소속부서!$A$2:$B$20,2,FALSE), "")</f>
        <v/>
      </c>
    </row>
    <row r="2744" spans="3:4" x14ac:dyDescent="0.3">
      <c r="C2744" s="35">
        <f t="shared" si="43"/>
        <v>0</v>
      </c>
      <c r="D2744" s="30" t="str">
        <f>IFERROR(VLOOKUP(C2744,소속부서!$A$2:$B$20,2,FALSE), "")</f>
        <v/>
      </c>
    </row>
    <row r="2745" spans="3:4" x14ac:dyDescent="0.3">
      <c r="C2745" s="35">
        <f t="shared" si="43"/>
        <v>0</v>
      </c>
      <c r="D2745" s="30" t="str">
        <f>IFERROR(VLOOKUP(C2745,소속부서!$A$2:$B$20,2,FALSE), "")</f>
        <v/>
      </c>
    </row>
    <row r="2746" spans="3:4" x14ac:dyDescent="0.3">
      <c r="C2746" s="35">
        <f t="shared" si="43"/>
        <v>0</v>
      </c>
      <c r="D2746" s="30" t="str">
        <f>IFERROR(VLOOKUP(C2746,소속부서!$A$2:$B$20,2,FALSE), "")</f>
        <v/>
      </c>
    </row>
    <row r="2747" spans="3:4" x14ac:dyDescent="0.3">
      <c r="C2747" s="35">
        <f t="shared" si="43"/>
        <v>0</v>
      </c>
      <c r="D2747" s="30" t="str">
        <f>IFERROR(VLOOKUP(C2747,소속부서!$A$2:$B$20,2,FALSE), "")</f>
        <v/>
      </c>
    </row>
    <row r="2748" spans="3:4" x14ac:dyDescent="0.3">
      <c r="C2748" s="35">
        <f t="shared" si="43"/>
        <v>0</v>
      </c>
      <c r="D2748" s="30" t="str">
        <f>IFERROR(VLOOKUP(C2748,소속부서!$A$2:$B$20,2,FALSE), "")</f>
        <v/>
      </c>
    </row>
    <row r="2749" spans="3:4" x14ac:dyDescent="0.3">
      <c r="C2749" s="35">
        <f t="shared" si="43"/>
        <v>0</v>
      </c>
      <c r="D2749" s="30" t="str">
        <f>IFERROR(VLOOKUP(C2749,소속부서!$A$2:$B$20,2,FALSE), "")</f>
        <v/>
      </c>
    </row>
    <row r="2750" spans="3:4" x14ac:dyDescent="0.3">
      <c r="C2750" s="35">
        <f t="shared" si="43"/>
        <v>0</v>
      </c>
      <c r="D2750" s="30" t="str">
        <f>IFERROR(VLOOKUP(C2750,소속부서!$A$2:$B$20,2,FALSE), "")</f>
        <v/>
      </c>
    </row>
    <row r="2751" spans="3:4" x14ac:dyDescent="0.3">
      <c r="C2751" s="35">
        <f t="shared" si="43"/>
        <v>0</v>
      </c>
      <c r="D2751" s="30" t="str">
        <f>IFERROR(VLOOKUP(C2751,소속부서!$A$2:$B$20,2,FALSE), "")</f>
        <v/>
      </c>
    </row>
    <row r="2752" spans="3:4" x14ac:dyDescent="0.3">
      <c r="C2752" s="35">
        <f t="shared" si="43"/>
        <v>0</v>
      </c>
      <c r="D2752" s="30" t="str">
        <f>IFERROR(VLOOKUP(C2752,소속부서!$A$2:$B$20,2,FALSE), "")</f>
        <v/>
      </c>
    </row>
    <row r="2753" spans="3:4" x14ac:dyDescent="0.3">
      <c r="C2753" s="35">
        <f t="shared" si="43"/>
        <v>0</v>
      </c>
      <c r="D2753" s="30" t="str">
        <f>IFERROR(VLOOKUP(C2753,소속부서!$A$2:$B$20,2,FALSE), "")</f>
        <v/>
      </c>
    </row>
    <row r="2754" spans="3:4" x14ac:dyDescent="0.3">
      <c r="C2754" s="35">
        <f t="shared" si="43"/>
        <v>0</v>
      </c>
      <c r="D2754" s="30" t="str">
        <f>IFERROR(VLOOKUP(C2754,소속부서!$A$2:$B$20,2,FALSE), "")</f>
        <v/>
      </c>
    </row>
    <row r="2755" spans="3:4" x14ac:dyDescent="0.3">
      <c r="C2755" s="35">
        <f t="shared" si="43"/>
        <v>0</v>
      </c>
      <c r="D2755" s="30" t="str">
        <f>IFERROR(VLOOKUP(C2755,소속부서!$A$2:$B$20,2,FALSE), "")</f>
        <v/>
      </c>
    </row>
    <row r="2756" spans="3:4" x14ac:dyDescent="0.3">
      <c r="C2756" s="35">
        <f t="shared" ref="C2756:C2819" si="44">E2756</f>
        <v>0</v>
      </c>
      <c r="D2756" s="30" t="str">
        <f>IFERROR(VLOOKUP(C2756,소속부서!$A$2:$B$20,2,FALSE), "")</f>
        <v/>
      </c>
    </row>
    <row r="2757" spans="3:4" x14ac:dyDescent="0.3">
      <c r="C2757" s="35">
        <f t="shared" si="44"/>
        <v>0</v>
      </c>
      <c r="D2757" s="30" t="str">
        <f>IFERROR(VLOOKUP(C2757,소속부서!$A$2:$B$20,2,FALSE), "")</f>
        <v/>
      </c>
    </row>
    <row r="2758" spans="3:4" x14ac:dyDescent="0.3">
      <c r="C2758" s="35">
        <f t="shared" si="44"/>
        <v>0</v>
      </c>
      <c r="D2758" s="30" t="str">
        <f>IFERROR(VLOOKUP(C2758,소속부서!$A$2:$B$20,2,FALSE), "")</f>
        <v/>
      </c>
    </row>
    <row r="2759" spans="3:4" x14ac:dyDescent="0.3">
      <c r="C2759" s="35">
        <f t="shared" si="44"/>
        <v>0</v>
      </c>
      <c r="D2759" s="30" t="str">
        <f>IFERROR(VLOOKUP(C2759,소속부서!$A$2:$B$20,2,FALSE), "")</f>
        <v/>
      </c>
    </row>
    <row r="2760" spans="3:4" x14ac:dyDescent="0.3">
      <c r="C2760" s="35">
        <f t="shared" si="44"/>
        <v>0</v>
      </c>
      <c r="D2760" s="30" t="str">
        <f>IFERROR(VLOOKUP(C2760,소속부서!$A$2:$B$20,2,FALSE), "")</f>
        <v/>
      </c>
    </row>
    <row r="2761" spans="3:4" x14ac:dyDescent="0.3">
      <c r="C2761" s="35">
        <f t="shared" si="44"/>
        <v>0</v>
      </c>
      <c r="D2761" s="30" t="str">
        <f>IFERROR(VLOOKUP(C2761,소속부서!$A$2:$B$20,2,FALSE), "")</f>
        <v/>
      </c>
    </row>
    <row r="2762" spans="3:4" x14ac:dyDescent="0.3">
      <c r="C2762" s="35">
        <f t="shared" si="44"/>
        <v>0</v>
      </c>
      <c r="D2762" s="30" t="str">
        <f>IFERROR(VLOOKUP(C2762,소속부서!$A$2:$B$20,2,FALSE), "")</f>
        <v/>
      </c>
    </row>
    <row r="2763" spans="3:4" x14ac:dyDescent="0.3">
      <c r="C2763" s="35">
        <f t="shared" si="44"/>
        <v>0</v>
      </c>
      <c r="D2763" s="30" t="str">
        <f>IFERROR(VLOOKUP(C2763,소속부서!$A$2:$B$20,2,FALSE), "")</f>
        <v/>
      </c>
    </row>
    <row r="2764" spans="3:4" x14ac:dyDescent="0.3">
      <c r="C2764" s="35">
        <f t="shared" si="44"/>
        <v>0</v>
      </c>
      <c r="D2764" s="30" t="str">
        <f>IFERROR(VLOOKUP(C2764,소속부서!$A$2:$B$20,2,FALSE), "")</f>
        <v/>
      </c>
    </row>
    <row r="2765" spans="3:4" x14ac:dyDescent="0.3">
      <c r="C2765" s="35">
        <f t="shared" si="44"/>
        <v>0</v>
      </c>
      <c r="D2765" s="30" t="str">
        <f>IFERROR(VLOOKUP(C2765,소속부서!$A$2:$B$20,2,FALSE), "")</f>
        <v/>
      </c>
    </row>
    <row r="2766" spans="3:4" x14ac:dyDescent="0.3">
      <c r="C2766" s="35">
        <f t="shared" si="44"/>
        <v>0</v>
      </c>
      <c r="D2766" s="30" t="str">
        <f>IFERROR(VLOOKUP(C2766,소속부서!$A$2:$B$20,2,FALSE), "")</f>
        <v/>
      </c>
    </row>
    <row r="2767" spans="3:4" x14ac:dyDescent="0.3">
      <c r="C2767" s="35">
        <f t="shared" si="44"/>
        <v>0</v>
      </c>
      <c r="D2767" s="30" t="str">
        <f>IFERROR(VLOOKUP(C2767,소속부서!$A$2:$B$20,2,FALSE), "")</f>
        <v/>
      </c>
    </row>
    <row r="2768" spans="3:4" x14ac:dyDescent="0.3">
      <c r="C2768" s="35">
        <f t="shared" si="44"/>
        <v>0</v>
      </c>
      <c r="D2768" s="30" t="str">
        <f>IFERROR(VLOOKUP(C2768,소속부서!$A$2:$B$20,2,FALSE), "")</f>
        <v/>
      </c>
    </row>
    <row r="2769" spans="3:4" x14ac:dyDescent="0.3">
      <c r="C2769" s="35">
        <f t="shared" si="44"/>
        <v>0</v>
      </c>
      <c r="D2769" s="30" t="str">
        <f>IFERROR(VLOOKUP(C2769,소속부서!$A$2:$B$20,2,FALSE), "")</f>
        <v/>
      </c>
    </row>
    <row r="2770" spans="3:4" x14ac:dyDescent="0.3">
      <c r="C2770" s="35">
        <f t="shared" si="44"/>
        <v>0</v>
      </c>
      <c r="D2770" s="30" t="str">
        <f>IFERROR(VLOOKUP(C2770,소속부서!$A$2:$B$20,2,FALSE), "")</f>
        <v/>
      </c>
    </row>
    <row r="2771" spans="3:4" x14ac:dyDescent="0.3">
      <c r="C2771" s="35">
        <f t="shared" si="44"/>
        <v>0</v>
      </c>
      <c r="D2771" s="30" t="str">
        <f>IFERROR(VLOOKUP(C2771,소속부서!$A$2:$B$20,2,FALSE), "")</f>
        <v/>
      </c>
    </row>
    <row r="2772" spans="3:4" x14ac:dyDescent="0.3">
      <c r="C2772" s="35">
        <f t="shared" si="44"/>
        <v>0</v>
      </c>
      <c r="D2772" s="30" t="str">
        <f>IFERROR(VLOOKUP(C2772,소속부서!$A$2:$B$20,2,FALSE), "")</f>
        <v/>
      </c>
    </row>
    <row r="2773" spans="3:4" x14ac:dyDescent="0.3">
      <c r="C2773" s="35">
        <f t="shared" si="44"/>
        <v>0</v>
      </c>
      <c r="D2773" s="30" t="str">
        <f>IFERROR(VLOOKUP(C2773,소속부서!$A$2:$B$20,2,FALSE), "")</f>
        <v/>
      </c>
    </row>
    <row r="2774" spans="3:4" x14ac:dyDescent="0.3">
      <c r="C2774" s="35">
        <f t="shared" si="44"/>
        <v>0</v>
      </c>
      <c r="D2774" s="30" t="str">
        <f>IFERROR(VLOOKUP(C2774,소속부서!$A$2:$B$20,2,FALSE), "")</f>
        <v/>
      </c>
    </row>
    <row r="2775" spans="3:4" x14ac:dyDescent="0.3">
      <c r="C2775" s="35">
        <f t="shared" si="44"/>
        <v>0</v>
      </c>
      <c r="D2775" s="30" t="str">
        <f>IFERROR(VLOOKUP(C2775,소속부서!$A$2:$B$20,2,FALSE), "")</f>
        <v/>
      </c>
    </row>
    <row r="2776" spans="3:4" x14ac:dyDescent="0.3">
      <c r="C2776" s="35">
        <f t="shared" si="44"/>
        <v>0</v>
      </c>
      <c r="D2776" s="30" t="str">
        <f>IFERROR(VLOOKUP(C2776,소속부서!$A$2:$B$20,2,FALSE), "")</f>
        <v/>
      </c>
    </row>
    <row r="2777" spans="3:4" x14ac:dyDescent="0.3">
      <c r="C2777" s="35">
        <f t="shared" si="44"/>
        <v>0</v>
      </c>
      <c r="D2777" s="30" t="str">
        <f>IFERROR(VLOOKUP(C2777,소속부서!$A$2:$B$20,2,FALSE), "")</f>
        <v/>
      </c>
    </row>
    <row r="2778" spans="3:4" x14ac:dyDescent="0.3">
      <c r="C2778" s="35">
        <f t="shared" si="44"/>
        <v>0</v>
      </c>
      <c r="D2778" s="30" t="str">
        <f>IFERROR(VLOOKUP(C2778,소속부서!$A$2:$B$20,2,FALSE), "")</f>
        <v/>
      </c>
    </row>
    <row r="2779" spans="3:4" x14ac:dyDescent="0.3">
      <c r="C2779" s="35">
        <f t="shared" si="44"/>
        <v>0</v>
      </c>
      <c r="D2779" s="30" t="str">
        <f>IFERROR(VLOOKUP(C2779,소속부서!$A$2:$B$20,2,FALSE), "")</f>
        <v/>
      </c>
    </row>
    <row r="2780" spans="3:4" x14ac:dyDescent="0.3">
      <c r="C2780" s="35">
        <f t="shared" si="44"/>
        <v>0</v>
      </c>
      <c r="D2780" s="30" t="str">
        <f>IFERROR(VLOOKUP(C2780,소속부서!$A$2:$B$20,2,FALSE), "")</f>
        <v/>
      </c>
    </row>
    <row r="2781" spans="3:4" x14ac:dyDescent="0.3">
      <c r="C2781" s="35">
        <f t="shared" si="44"/>
        <v>0</v>
      </c>
      <c r="D2781" s="30" t="str">
        <f>IFERROR(VLOOKUP(C2781,소속부서!$A$2:$B$20,2,FALSE), "")</f>
        <v/>
      </c>
    </row>
    <row r="2782" spans="3:4" x14ac:dyDescent="0.3">
      <c r="C2782" s="35">
        <f t="shared" si="44"/>
        <v>0</v>
      </c>
      <c r="D2782" s="30" t="str">
        <f>IFERROR(VLOOKUP(C2782,소속부서!$A$2:$B$20,2,FALSE), "")</f>
        <v/>
      </c>
    </row>
    <row r="2783" spans="3:4" x14ac:dyDescent="0.3">
      <c r="C2783" s="35">
        <f t="shared" si="44"/>
        <v>0</v>
      </c>
      <c r="D2783" s="30" t="str">
        <f>IFERROR(VLOOKUP(C2783,소속부서!$A$2:$B$20,2,FALSE), "")</f>
        <v/>
      </c>
    </row>
    <row r="2784" spans="3:4" x14ac:dyDescent="0.3">
      <c r="C2784" s="35">
        <f t="shared" si="44"/>
        <v>0</v>
      </c>
      <c r="D2784" s="30" t="str">
        <f>IFERROR(VLOOKUP(C2784,소속부서!$A$2:$B$20,2,FALSE), "")</f>
        <v/>
      </c>
    </row>
    <row r="2785" spans="3:4" x14ac:dyDescent="0.3">
      <c r="C2785" s="35">
        <f t="shared" si="44"/>
        <v>0</v>
      </c>
      <c r="D2785" s="30" t="str">
        <f>IFERROR(VLOOKUP(C2785,소속부서!$A$2:$B$20,2,FALSE), "")</f>
        <v/>
      </c>
    </row>
    <row r="2786" spans="3:4" x14ac:dyDescent="0.3">
      <c r="C2786" s="35">
        <f t="shared" si="44"/>
        <v>0</v>
      </c>
      <c r="D2786" s="30" t="str">
        <f>IFERROR(VLOOKUP(C2786,소속부서!$A$2:$B$20,2,FALSE), "")</f>
        <v/>
      </c>
    </row>
    <row r="2787" spans="3:4" x14ac:dyDescent="0.3">
      <c r="C2787" s="35">
        <f t="shared" si="44"/>
        <v>0</v>
      </c>
      <c r="D2787" s="30" t="str">
        <f>IFERROR(VLOOKUP(C2787,소속부서!$A$2:$B$20,2,FALSE), "")</f>
        <v/>
      </c>
    </row>
    <row r="2788" spans="3:4" x14ac:dyDescent="0.3">
      <c r="C2788" s="35">
        <f t="shared" si="44"/>
        <v>0</v>
      </c>
      <c r="D2788" s="30" t="str">
        <f>IFERROR(VLOOKUP(C2788,소속부서!$A$2:$B$20,2,FALSE), "")</f>
        <v/>
      </c>
    </row>
    <row r="2789" spans="3:4" x14ac:dyDescent="0.3">
      <c r="C2789" s="35">
        <f t="shared" si="44"/>
        <v>0</v>
      </c>
      <c r="D2789" s="30" t="str">
        <f>IFERROR(VLOOKUP(C2789,소속부서!$A$2:$B$20,2,FALSE), "")</f>
        <v/>
      </c>
    </row>
    <row r="2790" spans="3:4" x14ac:dyDescent="0.3">
      <c r="C2790" s="35">
        <f t="shared" si="44"/>
        <v>0</v>
      </c>
      <c r="D2790" s="30" t="str">
        <f>IFERROR(VLOOKUP(C2790,소속부서!$A$2:$B$20,2,FALSE), "")</f>
        <v/>
      </c>
    </row>
    <row r="2791" spans="3:4" x14ac:dyDescent="0.3">
      <c r="C2791" s="35">
        <f t="shared" si="44"/>
        <v>0</v>
      </c>
      <c r="D2791" s="30" t="str">
        <f>IFERROR(VLOOKUP(C2791,소속부서!$A$2:$B$20,2,FALSE), "")</f>
        <v/>
      </c>
    </row>
    <row r="2792" spans="3:4" x14ac:dyDescent="0.3">
      <c r="C2792" s="35">
        <f t="shared" si="44"/>
        <v>0</v>
      </c>
      <c r="D2792" s="30" t="str">
        <f>IFERROR(VLOOKUP(C2792,소속부서!$A$2:$B$20,2,FALSE), "")</f>
        <v/>
      </c>
    </row>
    <row r="2793" spans="3:4" x14ac:dyDescent="0.3">
      <c r="C2793" s="35">
        <f t="shared" si="44"/>
        <v>0</v>
      </c>
      <c r="D2793" s="30" t="str">
        <f>IFERROR(VLOOKUP(C2793,소속부서!$A$2:$B$20,2,FALSE), "")</f>
        <v/>
      </c>
    </row>
    <row r="2794" spans="3:4" x14ac:dyDescent="0.3">
      <c r="C2794" s="35">
        <f t="shared" si="44"/>
        <v>0</v>
      </c>
      <c r="D2794" s="30" t="str">
        <f>IFERROR(VLOOKUP(C2794,소속부서!$A$2:$B$20,2,FALSE), "")</f>
        <v/>
      </c>
    </row>
    <row r="2795" spans="3:4" x14ac:dyDescent="0.3">
      <c r="C2795" s="35">
        <f t="shared" si="44"/>
        <v>0</v>
      </c>
      <c r="D2795" s="30" t="str">
        <f>IFERROR(VLOOKUP(C2795,소속부서!$A$2:$B$20,2,FALSE), "")</f>
        <v/>
      </c>
    </row>
    <row r="2796" spans="3:4" x14ac:dyDescent="0.3">
      <c r="C2796" s="35">
        <f t="shared" si="44"/>
        <v>0</v>
      </c>
      <c r="D2796" s="30" t="str">
        <f>IFERROR(VLOOKUP(C2796,소속부서!$A$2:$B$20,2,FALSE), "")</f>
        <v/>
      </c>
    </row>
    <row r="2797" spans="3:4" x14ac:dyDescent="0.3">
      <c r="C2797" s="35">
        <f t="shared" si="44"/>
        <v>0</v>
      </c>
      <c r="D2797" s="30" t="str">
        <f>IFERROR(VLOOKUP(C2797,소속부서!$A$2:$B$20,2,FALSE), "")</f>
        <v/>
      </c>
    </row>
    <row r="2798" spans="3:4" x14ac:dyDescent="0.3">
      <c r="C2798" s="35">
        <f t="shared" si="44"/>
        <v>0</v>
      </c>
      <c r="D2798" s="30" t="str">
        <f>IFERROR(VLOOKUP(C2798,소속부서!$A$2:$B$20,2,FALSE), "")</f>
        <v/>
      </c>
    </row>
    <row r="2799" spans="3:4" x14ac:dyDescent="0.3">
      <c r="C2799" s="35">
        <f t="shared" si="44"/>
        <v>0</v>
      </c>
      <c r="D2799" s="30" t="str">
        <f>IFERROR(VLOOKUP(C2799,소속부서!$A$2:$B$20,2,FALSE), "")</f>
        <v/>
      </c>
    </row>
    <row r="2800" spans="3:4" x14ac:dyDescent="0.3">
      <c r="C2800" s="35">
        <f t="shared" si="44"/>
        <v>0</v>
      </c>
      <c r="D2800" s="30" t="str">
        <f>IFERROR(VLOOKUP(C2800,소속부서!$A$2:$B$20,2,FALSE), "")</f>
        <v/>
      </c>
    </row>
    <row r="2801" spans="3:4" x14ac:dyDescent="0.3">
      <c r="C2801" s="35">
        <f t="shared" si="44"/>
        <v>0</v>
      </c>
      <c r="D2801" s="30" t="str">
        <f>IFERROR(VLOOKUP(C2801,소속부서!$A$2:$B$20,2,FALSE), "")</f>
        <v/>
      </c>
    </row>
    <row r="2802" spans="3:4" x14ac:dyDescent="0.3">
      <c r="C2802" s="35">
        <f t="shared" si="44"/>
        <v>0</v>
      </c>
      <c r="D2802" s="30" t="str">
        <f>IFERROR(VLOOKUP(C2802,소속부서!$A$2:$B$20,2,FALSE), "")</f>
        <v/>
      </c>
    </row>
    <row r="2803" spans="3:4" x14ac:dyDescent="0.3">
      <c r="C2803" s="35">
        <f t="shared" si="44"/>
        <v>0</v>
      </c>
      <c r="D2803" s="30" t="str">
        <f>IFERROR(VLOOKUP(C2803,소속부서!$A$2:$B$20,2,FALSE), "")</f>
        <v/>
      </c>
    </row>
    <row r="2804" spans="3:4" x14ac:dyDescent="0.3">
      <c r="C2804" s="35">
        <f t="shared" si="44"/>
        <v>0</v>
      </c>
      <c r="D2804" s="30" t="str">
        <f>IFERROR(VLOOKUP(C2804,소속부서!$A$2:$B$20,2,FALSE), "")</f>
        <v/>
      </c>
    </row>
    <row r="2805" spans="3:4" x14ac:dyDescent="0.3">
      <c r="C2805" s="35">
        <f t="shared" si="44"/>
        <v>0</v>
      </c>
      <c r="D2805" s="30" t="str">
        <f>IFERROR(VLOOKUP(C2805,소속부서!$A$2:$B$20,2,FALSE), "")</f>
        <v/>
      </c>
    </row>
    <row r="2806" spans="3:4" x14ac:dyDescent="0.3">
      <c r="C2806" s="35">
        <f t="shared" si="44"/>
        <v>0</v>
      </c>
      <c r="D2806" s="30" t="str">
        <f>IFERROR(VLOOKUP(C2806,소속부서!$A$2:$B$20,2,FALSE), "")</f>
        <v/>
      </c>
    </row>
    <row r="2807" spans="3:4" x14ac:dyDescent="0.3">
      <c r="C2807" s="35">
        <f t="shared" si="44"/>
        <v>0</v>
      </c>
      <c r="D2807" s="30" t="str">
        <f>IFERROR(VLOOKUP(C2807,소속부서!$A$2:$B$20,2,FALSE), "")</f>
        <v/>
      </c>
    </row>
    <row r="2808" spans="3:4" x14ac:dyDescent="0.3">
      <c r="C2808" s="35">
        <f t="shared" si="44"/>
        <v>0</v>
      </c>
      <c r="D2808" s="30" t="str">
        <f>IFERROR(VLOOKUP(C2808,소속부서!$A$2:$B$20,2,FALSE), "")</f>
        <v/>
      </c>
    </row>
    <row r="2809" spans="3:4" x14ac:dyDescent="0.3">
      <c r="C2809" s="35">
        <f t="shared" si="44"/>
        <v>0</v>
      </c>
      <c r="D2809" s="30" t="str">
        <f>IFERROR(VLOOKUP(C2809,소속부서!$A$2:$B$20,2,FALSE), "")</f>
        <v/>
      </c>
    </row>
    <row r="2810" spans="3:4" x14ac:dyDescent="0.3">
      <c r="C2810" s="35">
        <f t="shared" si="44"/>
        <v>0</v>
      </c>
      <c r="D2810" s="30" t="str">
        <f>IFERROR(VLOOKUP(C2810,소속부서!$A$2:$B$20,2,FALSE), "")</f>
        <v/>
      </c>
    </row>
    <row r="2811" spans="3:4" x14ac:dyDescent="0.3">
      <c r="C2811" s="35">
        <f t="shared" si="44"/>
        <v>0</v>
      </c>
      <c r="D2811" s="30" t="str">
        <f>IFERROR(VLOOKUP(C2811,소속부서!$A$2:$B$20,2,FALSE), "")</f>
        <v/>
      </c>
    </row>
    <row r="2812" spans="3:4" x14ac:dyDescent="0.3">
      <c r="C2812" s="35">
        <f t="shared" si="44"/>
        <v>0</v>
      </c>
      <c r="D2812" s="30" t="str">
        <f>IFERROR(VLOOKUP(C2812,소속부서!$A$2:$B$20,2,FALSE), "")</f>
        <v/>
      </c>
    </row>
    <row r="2813" spans="3:4" x14ac:dyDescent="0.3">
      <c r="C2813" s="35">
        <f t="shared" si="44"/>
        <v>0</v>
      </c>
      <c r="D2813" s="30" t="str">
        <f>IFERROR(VLOOKUP(C2813,소속부서!$A$2:$B$20,2,FALSE), "")</f>
        <v/>
      </c>
    </row>
    <row r="2814" spans="3:4" x14ac:dyDescent="0.3">
      <c r="C2814" s="35">
        <f t="shared" si="44"/>
        <v>0</v>
      </c>
      <c r="D2814" s="30" t="str">
        <f>IFERROR(VLOOKUP(C2814,소속부서!$A$2:$B$20,2,FALSE), "")</f>
        <v/>
      </c>
    </row>
    <row r="2815" spans="3:4" x14ac:dyDescent="0.3">
      <c r="C2815" s="35">
        <f t="shared" si="44"/>
        <v>0</v>
      </c>
      <c r="D2815" s="30" t="str">
        <f>IFERROR(VLOOKUP(C2815,소속부서!$A$2:$B$20,2,FALSE), "")</f>
        <v/>
      </c>
    </row>
    <row r="2816" spans="3:4" x14ac:dyDescent="0.3">
      <c r="C2816" s="35">
        <f t="shared" si="44"/>
        <v>0</v>
      </c>
      <c r="D2816" s="30" t="str">
        <f>IFERROR(VLOOKUP(C2816,소속부서!$A$2:$B$20,2,FALSE), "")</f>
        <v/>
      </c>
    </row>
    <row r="2817" spans="3:4" x14ac:dyDescent="0.3">
      <c r="C2817" s="35">
        <f t="shared" si="44"/>
        <v>0</v>
      </c>
      <c r="D2817" s="30" t="str">
        <f>IFERROR(VLOOKUP(C2817,소속부서!$A$2:$B$20,2,FALSE), "")</f>
        <v/>
      </c>
    </row>
    <row r="2818" spans="3:4" x14ac:dyDescent="0.3">
      <c r="C2818" s="35">
        <f t="shared" si="44"/>
        <v>0</v>
      </c>
      <c r="D2818" s="30" t="str">
        <f>IFERROR(VLOOKUP(C2818,소속부서!$A$2:$B$20,2,FALSE), "")</f>
        <v/>
      </c>
    </row>
    <row r="2819" spans="3:4" x14ac:dyDescent="0.3">
      <c r="C2819" s="35">
        <f t="shared" si="44"/>
        <v>0</v>
      </c>
      <c r="D2819" s="30" t="str">
        <f>IFERROR(VLOOKUP(C2819,소속부서!$A$2:$B$20,2,FALSE), "")</f>
        <v/>
      </c>
    </row>
    <row r="2820" spans="3:4" x14ac:dyDescent="0.3">
      <c r="C2820" s="35">
        <f t="shared" ref="C2820:C2883" si="45">E2820</f>
        <v>0</v>
      </c>
      <c r="D2820" s="30" t="str">
        <f>IFERROR(VLOOKUP(C2820,소속부서!$A$2:$B$20,2,FALSE), "")</f>
        <v/>
      </c>
    </row>
    <row r="2821" spans="3:4" x14ac:dyDescent="0.3">
      <c r="C2821" s="35">
        <f t="shared" si="45"/>
        <v>0</v>
      </c>
      <c r="D2821" s="30" t="str">
        <f>IFERROR(VLOOKUP(C2821,소속부서!$A$2:$B$20,2,FALSE), "")</f>
        <v/>
      </c>
    </row>
    <row r="2822" spans="3:4" x14ac:dyDescent="0.3">
      <c r="C2822" s="35">
        <f t="shared" si="45"/>
        <v>0</v>
      </c>
      <c r="D2822" s="30" t="str">
        <f>IFERROR(VLOOKUP(C2822,소속부서!$A$2:$B$20,2,FALSE), "")</f>
        <v/>
      </c>
    </row>
    <row r="2823" spans="3:4" x14ac:dyDescent="0.3">
      <c r="C2823" s="35">
        <f t="shared" si="45"/>
        <v>0</v>
      </c>
      <c r="D2823" s="30" t="str">
        <f>IFERROR(VLOOKUP(C2823,소속부서!$A$2:$B$20,2,FALSE), "")</f>
        <v/>
      </c>
    </row>
    <row r="2824" spans="3:4" x14ac:dyDescent="0.3">
      <c r="C2824" s="35">
        <f t="shared" si="45"/>
        <v>0</v>
      </c>
      <c r="D2824" s="30" t="str">
        <f>IFERROR(VLOOKUP(C2824,소속부서!$A$2:$B$20,2,FALSE), "")</f>
        <v/>
      </c>
    </row>
    <row r="2825" spans="3:4" x14ac:dyDescent="0.3">
      <c r="C2825" s="35">
        <f t="shared" si="45"/>
        <v>0</v>
      </c>
      <c r="D2825" s="30" t="str">
        <f>IFERROR(VLOOKUP(C2825,소속부서!$A$2:$B$20,2,FALSE), "")</f>
        <v/>
      </c>
    </row>
    <row r="2826" spans="3:4" x14ac:dyDescent="0.3">
      <c r="C2826" s="35">
        <f t="shared" si="45"/>
        <v>0</v>
      </c>
      <c r="D2826" s="30" t="str">
        <f>IFERROR(VLOOKUP(C2826,소속부서!$A$2:$B$20,2,FALSE), "")</f>
        <v/>
      </c>
    </row>
    <row r="2827" spans="3:4" x14ac:dyDescent="0.3">
      <c r="C2827" s="35">
        <f t="shared" si="45"/>
        <v>0</v>
      </c>
      <c r="D2827" s="30" t="str">
        <f>IFERROR(VLOOKUP(C2827,소속부서!$A$2:$B$20,2,FALSE), "")</f>
        <v/>
      </c>
    </row>
    <row r="2828" spans="3:4" x14ac:dyDescent="0.3">
      <c r="C2828" s="35">
        <f t="shared" si="45"/>
        <v>0</v>
      </c>
      <c r="D2828" s="30" t="str">
        <f>IFERROR(VLOOKUP(C2828,소속부서!$A$2:$B$20,2,FALSE), "")</f>
        <v/>
      </c>
    </row>
    <row r="2829" spans="3:4" x14ac:dyDescent="0.3">
      <c r="C2829" s="35">
        <f t="shared" si="45"/>
        <v>0</v>
      </c>
      <c r="D2829" s="30" t="str">
        <f>IFERROR(VLOOKUP(C2829,소속부서!$A$2:$B$20,2,FALSE), "")</f>
        <v/>
      </c>
    </row>
    <row r="2830" spans="3:4" x14ac:dyDescent="0.3">
      <c r="C2830" s="35">
        <f t="shared" si="45"/>
        <v>0</v>
      </c>
      <c r="D2830" s="30" t="str">
        <f>IFERROR(VLOOKUP(C2830,소속부서!$A$2:$B$20,2,FALSE), "")</f>
        <v/>
      </c>
    </row>
    <row r="2831" spans="3:4" x14ac:dyDescent="0.3">
      <c r="C2831" s="35">
        <f t="shared" si="45"/>
        <v>0</v>
      </c>
      <c r="D2831" s="30" t="str">
        <f>IFERROR(VLOOKUP(C2831,소속부서!$A$2:$B$20,2,FALSE), "")</f>
        <v/>
      </c>
    </row>
    <row r="2832" spans="3:4" x14ac:dyDescent="0.3">
      <c r="C2832" s="35">
        <f t="shared" si="45"/>
        <v>0</v>
      </c>
      <c r="D2832" s="30" t="str">
        <f>IFERROR(VLOOKUP(C2832,소속부서!$A$2:$B$20,2,FALSE), "")</f>
        <v/>
      </c>
    </row>
    <row r="2833" spans="3:4" x14ac:dyDescent="0.3">
      <c r="C2833" s="35">
        <f t="shared" si="45"/>
        <v>0</v>
      </c>
      <c r="D2833" s="30" t="str">
        <f>IFERROR(VLOOKUP(C2833,소속부서!$A$2:$B$20,2,FALSE), "")</f>
        <v/>
      </c>
    </row>
    <row r="2834" spans="3:4" x14ac:dyDescent="0.3">
      <c r="C2834" s="35">
        <f t="shared" si="45"/>
        <v>0</v>
      </c>
      <c r="D2834" s="30" t="str">
        <f>IFERROR(VLOOKUP(C2834,소속부서!$A$2:$B$20,2,FALSE), "")</f>
        <v/>
      </c>
    </row>
    <row r="2835" spans="3:4" x14ac:dyDescent="0.3">
      <c r="C2835" s="35">
        <f t="shared" si="45"/>
        <v>0</v>
      </c>
      <c r="D2835" s="30" t="str">
        <f>IFERROR(VLOOKUP(C2835,소속부서!$A$2:$B$20,2,FALSE), "")</f>
        <v/>
      </c>
    </row>
    <row r="2836" spans="3:4" x14ac:dyDescent="0.3">
      <c r="C2836" s="35">
        <f t="shared" si="45"/>
        <v>0</v>
      </c>
      <c r="D2836" s="30" t="str">
        <f>IFERROR(VLOOKUP(C2836,소속부서!$A$2:$B$20,2,FALSE), "")</f>
        <v/>
      </c>
    </row>
    <row r="2837" spans="3:4" x14ac:dyDescent="0.3">
      <c r="C2837" s="35">
        <f t="shared" si="45"/>
        <v>0</v>
      </c>
      <c r="D2837" s="30" t="str">
        <f>IFERROR(VLOOKUP(C2837,소속부서!$A$2:$B$20,2,FALSE), "")</f>
        <v/>
      </c>
    </row>
    <row r="2838" spans="3:4" x14ac:dyDescent="0.3">
      <c r="C2838" s="35">
        <f t="shared" si="45"/>
        <v>0</v>
      </c>
      <c r="D2838" s="30" t="str">
        <f>IFERROR(VLOOKUP(C2838,소속부서!$A$2:$B$20,2,FALSE), "")</f>
        <v/>
      </c>
    </row>
    <row r="2839" spans="3:4" x14ac:dyDescent="0.3">
      <c r="C2839" s="35">
        <f t="shared" si="45"/>
        <v>0</v>
      </c>
      <c r="D2839" s="30" t="str">
        <f>IFERROR(VLOOKUP(C2839,소속부서!$A$2:$B$20,2,FALSE), "")</f>
        <v/>
      </c>
    </row>
    <row r="2840" spans="3:4" x14ac:dyDescent="0.3">
      <c r="C2840" s="35">
        <f t="shared" si="45"/>
        <v>0</v>
      </c>
      <c r="D2840" s="30" t="str">
        <f>IFERROR(VLOOKUP(C2840,소속부서!$A$2:$B$20,2,FALSE), "")</f>
        <v/>
      </c>
    </row>
    <row r="2841" spans="3:4" x14ac:dyDescent="0.3">
      <c r="C2841" s="35">
        <f t="shared" si="45"/>
        <v>0</v>
      </c>
      <c r="D2841" s="30" t="str">
        <f>IFERROR(VLOOKUP(C2841,소속부서!$A$2:$B$20,2,FALSE), "")</f>
        <v/>
      </c>
    </row>
    <row r="2842" spans="3:4" x14ac:dyDescent="0.3">
      <c r="C2842" s="35">
        <f t="shared" si="45"/>
        <v>0</v>
      </c>
      <c r="D2842" s="30" t="str">
        <f>IFERROR(VLOOKUP(C2842,소속부서!$A$2:$B$20,2,FALSE), "")</f>
        <v/>
      </c>
    </row>
    <row r="2843" spans="3:4" x14ac:dyDescent="0.3">
      <c r="C2843" s="35">
        <f t="shared" si="45"/>
        <v>0</v>
      </c>
      <c r="D2843" s="30" t="str">
        <f>IFERROR(VLOOKUP(C2843,소속부서!$A$2:$B$20,2,FALSE), "")</f>
        <v/>
      </c>
    </row>
    <row r="2844" spans="3:4" x14ac:dyDescent="0.3">
      <c r="C2844" s="35">
        <f t="shared" si="45"/>
        <v>0</v>
      </c>
      <c r="D2844" s="30" t="str">
        <f>IFERROR(VLOOKUP(C2844,소속부서!$A$2:$B$20,2,FALSE), "")</f>
        <v/>
      </c>
    </row>
    <row r="2845" spans="3:4" x14ac:dyDescent="0.3">
      <c r="C2845" s="35">
        <f t="shared" si="45"/>
        <v>0</v>
      </c>
      <c r="D2845" s="30" t="str">
        <f>IFERROR(VLOOKUP(C2845,소속부서!$A$2:$B$20,2,FALSE), "")</f>
        <v/>
      </c>
    </row>
    <row r="2846" spans="3:4" x14ac:dyDescent="0.3">
      <c r="C2846" s="35">
        <f t="shared" si="45"/>
        <v>0</v>
      </c>
      <c r="D2846" s="30" t="str">
        <f>IFERROR(VLOOKUP(C2846,소속부서!$A$2:$B$20,2,FALSE), "")</f>
        <v/>
      </c>
    </row>
    <row r="2847" spans="3:4" x14ac:dyDescent="0.3">
      <c r="C2847" s="35">
        <f t="shared" si="45"/>
        <v>0</v>
      </c>
      <c r="D2847" s="30" t="str">
        <f>IFERROR(VLOOKUP(C2847,소속부서!$A$2:$B$20,2,FALSE), "")</f>
        <v/>
      </c>
    </row>
    <row r="2848" spans="3:4" x14ac:dyDescent="0.3">
      <c r="C2848" s="35">
        <f t="shared" si="45"/>
        <v>0</v>
      </c>
      <c r="D2848" s="30" t="str">
        <f>IFERROR(VLOOKUP(C2848,소속부서!$A$2:$B$20,2,FALSE), "")</f>
        <v/>
      </c>
    </row>
    <row r="2849" spans="3:4" x14ac:dyDescent="0.3">
      <c r="C2849" s="35">
        <f t="shared" si="45"/>
        <v>0</v>
      </c>
      <c r="D2849" s="30" t="str">
        <f>IFERROR(VLOOKUP(C2849,소속부서!$A$2:$B$20,2,FALSE), "")</f>
        <v/>
      </c>
    </row>
    <row r="2850" spans="3:4" x14ac:dyDescent="0.3">
      <c r="C2850" s="35">
        <f t="shared" si="45"/>
        <v>0</v>
      </c>
      <c r="D2850" s="30" t="str">
        <f>IFERROR(VLOOKUP(C2850,소속부서!$A$2:$B$20,2,FALSE), "")</f>
        <v/>
      </c>
    </row>
    <row r="2851" spans="3:4" x14ac:dyDescent="0.3">
      <c r="C2851" s="35">
        <f t="shared" si="45"/>
        <v>0</v>
      </c>
      <c r="D2851" s="30" t="str">
        <f>IFERROR(VLOOKUP(C2851,소속부서!$A$2:$B$20,2,FALSE), "")</f>
        <v/>
      </c>
    </row>
    <row r="2852" spans="3:4" x14ac:dyDescent="0.3">
      <c r="C2852" s="35">
        <f t="shared" si="45"/>
        <v>0</v>
      </c>
      <c r="D2852" s="30" t="str">
        <f>IFERROR(VLOOKUP(C2852,소속부서!$A$2:$B$20,2,FALSE), "")</f>
        <v/>
      </c>
    </row>
    <row r="2853" spans="3:4" x14ac:dyDescent="0.3">
      <c r="C2853" s="35">
        <f t="shared" si="45"/>
        <v>0</v>
      </c>
      <c r="D2853" s="30" t="str">
        <f>IFERROR(VLOOKUP(C2853,소속부서!$A$2:$B$20,2,FALSE), "")</f>
        <v/>
      </c>
    </row>
    <row r="2854" spans="3:4" x14ac:dyDescent="0.3">
      <c r="C2854" s="35">
        <f t="shared" si="45"/>
        <v>0</v>
      </c>
      <c r="D2854" s="30" t="str">
        <f>IFERROR(VLOOKUP(C2854,소속부서!$A$2:$B$20,2,FALSE), "")</f>
        <v/>
      </c>
    </row>
    <row r="2855" spans="3:4" x14ac:dyDescent="0.3">
      <c r="C2855" s="35">
        <f t="shared" si="45"/>
        <v>0</v>
      </c>
      <c r="D2855" s="30" t="str">
        <f>IFERROR(VLOOKUP(C2855,소속부서!$A$2:$B$20,2,FALSE), "")</f>
        <v/>
      </c>
    </row>
    <row r="2856" spans="3:4" x14ac:dyDescent="0.3">
      <c r="C2856" s="35">
        <f t="shared" si="45"/>
        <v>0</v>
      </c>
      <c r="D2856" s="30" t="str">
        <f>IFERROR(VLOOKUP(C2856,소속부서!$A$2:$B$20,2,FALSE), "")</f>
        <v/>
      </c>
    </row>
    <row r="2857" spans="3:4" x14ac:dyDescent="0.3">
      <c r="C2857" s="35">
        <f t="shared" si="45"/>
        <v>0</v>
      </c>
      <c r="D2857" s="30" t="str">
        <f>IFERROR(VLOOKUP(C2857,소속부서!$A$2:$B$20,2,FALSE), "")</f>
        <v/>
      </c>
    </row>
    <row r="2858" spans="3:4" x14ac:dyDescent="0.3">
      <c r="C2858" s="35">
        <f t="shared" si="45"/>
        <v>0</v>
      </c>
      <c r="D2858" s="30" t="str">
        <f>IFERROR(VLOOKUP(C2858,소속부서!$A$2:$B$20,2,FALSE), "")</f>
        <v/>
      </c>
    </row>
    <row r="2859" spans="3:4" x14ac:dyDescent="0.3">
      <c r="C2859" s="35">
        <f t="shared" si="45"/>
        <v>0</v>
      </c>
      <c r="D2859" s="30" t="str">
        <f>IFERROR(VLOOKUP(C2859,소속부서!$A$2:$B$20,2,FALSE), "")</f>
        <v/>
      </c>
    </row>
    <row r="2860" spans="3:4" x14ac:dyDescent="0.3">
      <c r="C2860" s="35">
        <f t="shared" si="45"/>
        <v>0</v>
      </c>
      <c r="D2860" s="30" t="str">
        <f>IFERROR(VLOOKUP(C2860,소속부서!$A$2:$B$20,2,FALSE), "")</f>
        <v/>
      </c>
    </row>
    <row r="2861" spans="3:4" x14ac:dyDescent="0.3">
      <c r="C2861" s="35">
        <f t="shared" si="45"/>
        <v>0</v>
      </c>
      <c r="D2861" s="30" t="str">
        <f>IFERROR(VLOOKUP(C2861,소속부서!$A$2:$B$20,2,FALSE), "")</f>
        <v/>
      </c>
    </row>
    <row r="2862" spans="3:4" x14ac:dyDescent="0.3">
      <c r="C2862" s="35">
        <f t="shared" si="45"/>
        <v>0</v>
      </c>
      <c r="D2862" s="30" t="str">
        <f>IFERROR(VLOOKUP(C2862,소속부서!$A$2:$B$20,2,FALSE), "")</f>
        <v/>
      </c>
    </row>
    <row r="2863" spans="3:4" x14ac:dyDescent="0.3">
      <c r="C2863" s="35">
        <f t="shared" si="45"/>
        <v>0</v>
      </c>
      <c r="D2863" s="30" t="str">
        <f>IFERROR(VLOOKUP(C2863,소속부서!$A$2:$B$20,2,FALSE), "")</f>
        <v/>
      </c>
    </row>
    <row r="2864" spans="3:4" x14ac:dyDescent="0.3">
      <c r="C2864" s="35">
        <f t="shared" si="45"/>
        <v>0</v>
      </c>
      <c r="D2864" s="30" t="str">
        <f>IFERROR(VLOOKUP(C2864,소속부서!$A$2:$B$20,2,FALSE), "")</f>
        <v/>
      </c>
    </row>
    <row r="2865" spans="3:4" x14ac:dyDescent="0.3">
      <c r="C2865" s="35">
        <f t="shared" si="45"/>
        <v>0</v>
      </c>
      <c r="D2865" s="30" t="str">
        <f>IFERROR(VLOOKUP(C2865,소속부서!$A$2:$B$20,2,FALSE), "")</f>
        <v/>
      </c>
    </row>
    <row r="2866" spans="3:4" x14ac:dyDescent="0.3">
      <c r="C2866" s="35">
        <f t="shared" si="45"/>
        <v>0</v>
      </c>
      <c r="D2866" s="30" t="str">
        <f>IFERROR(VLOOKUP(C2866,소속부서!$A$2:$B$20,2,FALSE), "")</f>
        <v/>
      </c>
    </row>
    <row r="2867" spans="3:4" x14ac:dyDescent="0.3">
      <c r="C2867" s="35">
        <f t="shared" si="45"/>
        <v>0</v>
      </c>
      <c r="D2867" s="30" t="str">
        <f>IFERROR(VLOOKUP(C2867,소속부서!$A$2:$B$20,2,FALSE), "")</f>
        <v/>
      </c>
    </row>
    <row r="2868" spans="3:4" x14ac:dyDescent="0.3">
      <c r="C2868" s="35">
        <f t="shared" si="45"/>
        <v>0</v>
      </c>
      <c r="D2868" s="30" t="str">
        <f>IFERROR(VLOOKUP(C2868,소속부서!$A$2:$B$20,2,FALSE), "")</f>
        <v/>
      </c>
    </row>
    <row r="2869" spans="3:4" x14ac:dyDescent="0.3">
      <c r="C2869" s="35">
        <f t="shared" si="45"/>
        <v>0</v>
      </c>
      <c r="D2869" s="30" t="str">
        <f>IFERROR(VLOOKUP(C2869,소속부서!$A$2:$B$20,2,FALSE), "")</f>
        <v/>
      </c>
    </row>
    <row r="2870" spans="3:4" x14ac:dyDescent="0.3">
      <c r="C2870" s="35">
        <f t="shared" si="45"/>
        <v>0</v>
      </c>
      <c r="D2870" s="30" t="str">
        <f>IFERROR(VLOOKUP(C2870,소속부서!$A$2:$B$20,2,FALSE), "")</f>
        <v/>
      </c>
    </row>
    <row r="2871" spans="3:4" x14ac:dyDescent="0.3">
      <c r="C2871" s="35">
        <f t="shared" si="45"/>
        <v>0</v>
      </c>
      <c r="D2871" s="30" t="str">
        <f>IFERROR(VLOOKUP(C2871,소속부서!$A$2:$B$20,2,FALSE), "")</f>
        <v/>
      </c>
    </row>
    <row r="2872" spans="3:4" x14ac:dyDescent="0.3">
      <c r="C2872" s="35">
        <f t="shared" si="45"/>
        <v>0</v>
      </c>
      <c r="D2872" s="30" t="str">
        <f>IFERROR(VLOOKUP(C2872,소속부서!$A$2:$B$20,2,FALSE), "")</f>
        <v/>
      </c>
    </row>
    <row r="2873" spans="3:4" x14ac:dyDescent="0.3">
      <c r="C2873" s="35">
        <f t="shared" si="45"/>
        <v>0</v>
      </c>
      <c r="D2873" s="30" t="str">
        <f>IFERROR(VLOOKUP(C2873,소속부서!$A$2:$B$20,2,FALSE), "")</f>
        <v/>
      </c>
    </row>
    <row r="2874" spans="3:4" x14ac:dyDescent="0.3">
      <c r="C2874" s="35">
        <f t="shared" si="45"/>
        <v>0</v>
      </c>
      <c r="D2874" s="30" t="str">
        <f>IFERROR(VLOOKUP(C2874,소속부서!$A$2:$B$20,2,FALSE), "")</f>
        <v/>
      </c>
    </row>
    <row r="2875" spans="3:4" x14ac:dyDescent="0.3">
      <c r="C2875" s="35">
        <f t="shared" si="45"/>
        <v>0</v>
      </c>
      <c r="D2875" s="30" t="str">
        <f>IFERROR(VLOOKUP(C2875,소속부서!$A$2:$B$20,2,FALSE), "")</f>
        <v/>
      </c>
    </row>
    <row r="2876" spans="3:4" x14ac:dyDescent="0.3">
      <c r="C2876" s="35">
        <f t="shared" si="45"/>
        <v>0</v>
      </c>
      <c r="D2876" s="30" t="str">
        <f>IFERROR(VLOOKUP(C2876,소속부서!$A$2:$B$20,2,FALSE), "")</f>
        <v/>
      </c>
    </row>
    <row r="2877" spans="3:4" x14ac:dyDescent="0.3">
      <c r="C2877" s="35">
        <f t="shared" si="45"/>
        <v>0</v>
      </c>
      <c r="D2877" s="30" t="str">
        <f>IFERROR(VLOOKUP(C2877,소속부서!$A$2:$B$20,2,FALSE), "")</f>
        <v/>
      </c>
    </row>
    <row r="2878" spans="3:4" x14ac:dyDescent="0.3">
      <c r="C2878" s="35">
        <f t="shared" si="45"/>
        <v>0</v>
      </c>
      <c r="D2878" s="30" t="str">
        <f>IFERROR(VLOOKUP(C2878,소속부서!$A$2:$B$20,2,FALSE), "")</f>
        <v/>
      </c>
    </row>
    <row r="2879" spans="3:4" x14ac:dyDescent="0.3">
      <c r="C2879" s="35">
        <f t="shared" si="45"/>
        <v>0</v>
      </c>
      <c r="D2879" s="30" t="str">
        <f>IFERROR(VLOOKUP(C2879,소속부서!$A$2:$B$20,2,FALSE), "")</f>
        <v/>
      </c>
    </row>
    <row r="2880" spans="3:4" x14ac:dyDescent="0.3">
      <c r="C2880" s="35">
        <f t="shared" si="45"/>
        <v>0</v>
      </c>
      <c r="D2880" s="30" t="str">
        <f>IFERROR(VLOOKUP(C2880,소속부서!$A$2:$B$20,2,FALSE), "")</f>
        <v/>
      </c>
    </row>
    <row r="2881" spans="3:4" x14ac:dyDescent="0.3">
      <c r="C2881" s="35">
        <f t="shared" si="45"/>
        <v>0</v>
      </c>
      <c r="D2881" s="30" t="str">
        <f>IFERROR(VLOOKUP(C2881,소속부서!$A$2:$B$20,2,FALSE), "")</f>
        <v/>
      </c>
    </row>
    <row r="2882" spans="3:4" x14ac:dyDescent="0.3">
      <c r="C2882" s="35">
        <f t="shared" si="45"/>
        <v>0</v>
      </c>
      <c r="D2882" s="30" t="str">
        <f>IFERROR(VLOOKUP(C2882,소속부서!$A$2:$B$20,2,FALSE), "")</f>
        <v/>
      </c>
    </row>
    <row r="2883" spans="3:4" x14ac:dyDescent="0.3">
      <c r="C2883" s="35">
        <f t="shared" si="45"/>
        <v>0</v>
      </c>
      <c r="D2883" s="30" t="str">
        <f>IFERROR(VLOOKUP(C2883,소속부서!$A$2:$B$20,2,FALSE), "")</f>
        <v/>
      </c>
    </row>
    <row r="2884" spans="3:4" x14ac:dyDescent="0.3">
      <c r="C2884" s="35">
        <f t="shared" ref="C2884:C2947" si="46">E2884</f>
        <v>0</v>
      </c>
      <c r="D2884" s="30" t="str">
        <f>IFERROR(VLOOKUP(C2884,소속부서!$A$2:$B$20,2,FALSE), "")</f>
        <v/>
      </c>
    </row>
    <row r="2885" spans="3:4" x14ac:dyDescent="0.3">
      <c r="C2885" s="35">
        <f t="shared" si="46"/>
        <v>0</v>
      </c>
      <c r="D2885" s="30" t="str">
        <f>IFERROR(VLOOKUP(C2885,소속부서!$A$2:$B$20,2,FALSE), "")</f>
        <v/>
      </c>
    </row>
    <row r="2886" spans="3:4" x14ac:dyDescent="0.3">
      <c r="C2886" s="35">
        <f t="shared" si="46"/>
        <v>0</v>
      </c>
      <c r="D2886" s="30" t="str">
        <f>IFERROR(VLOOKUP(C2886,소속부서!$A$2:$B$20,2,FALSE), "")</f>
        <v/>
      </c>
    </row>
    <row r="2887" spans="3:4" x14ac:dyDescent="0.3">
      <c r="C2887" s="35">
        <f t="shared" si="46"/>
        <v>0</v>
      </c>
      <c r="D2887" s="30" t="str">
        <f>IFERROR(VLOOKUP(C2887,소속부서!$A$2:$B$20,2,FALSE), "")</f>
        <v/>
      </c>
    </row>
    <row r="2888" spans="3:4" x14ac:dyDescent="0.3">
      <c r="C2888" s="35">
        <f t="shared" si="46"/>
        <v>0</v>
      </c>
      <c r="D2888" s="30" t="str">
        <f>IFERROR(VLOOKUP(C2888,소속부서!$A$2:$B$20,2,FALSE), "")</f>
        <v/>
      </c>
    </row>
    <row r="2889" spans="3:4" x14ac:dyDescent="0.3">
      <c r="C2889" s="35">
        <f t="shared" si="46"/>
        <v>0</v>
      </c>
      <c r="D2889" s="30" t="str">
        <f>IFERROR(VLOOKUP(C2889,소속부서!$A$2:$B$20,2,FALSE), "")</f>
        <v/>
      </c>
    </row>
    <row r="2890" spans="3:4" x14ac:dyDescent="0.3">
      <c r="C2890" s="35">
        <f t="shared" si="46"/>
        <v>0</v>
      </c>
      <c r="D2890" s="30" t="str">
        <f>IFERROR(VLOOKUP(C2890,소속부서!$A$2:$B$20,2,FALSE), "")</f>
        <v/>
      </c>
    </row>
    <row r="2891" spans="3:4" x14ac:dyDescent="0.3">
      <c r="C2891" s="35">
        <f t="shared" si="46"/>
        <v>0</v>
      </c>
      <c r="D2891" s="30" t="str">
        <f>IFERROR(VLOOKUP(C2891,소속부서!$A$2:$B$20,2,FALSE), "")</f>
        <v/>
      </c>
    </row>
    <row r="2892" spans="3:4" x14ac:dyDescent="0.3">
      <c r="C2892" s="35">
        <f t="shared" si="46"/>
        <v>0</v>
      </c>
      <c r="D2892" s="30" t="str">
        <f>IFERROR(VLOOKUP(C2892,소속부서!$A$2:$B$20,2,FALSE), "")</f>
        <v/>
      </c>
    </row>
    <row r="2893" spans="3:4" x14ac:dyDescent="0.3">
      <c r="C2893" s="35">
        <f t="shared" si="46"/>
        <v>0</v>
      </c>
      <c r="D2893" s="30" t="str">
        <f>IFERROR(VLOOKUP(C2893,소속부서!$A$2:$B$20,2,FALSE), "")</f>
        <v/>
      </c>
    </row>
    <row r="2894" spans="3:4" x14ac:dyDescent="0.3">
      <c r="C2894" s="35">
        <f t="shared" si="46"/>
        <v>0</v>
      </c>
      <c r="D2894" s="30" t="str">
        <f>IFERROR(VLOOKUP(C2894,소속부서!$A$2:$B$20,2,FALSE), "")</f>
        <v/>
      </c>
    </row>
    <row r="2895" spans="3:4" x14ac:dyDescent="0.3">
      <c r="C2895" s="35">
        <f t="shared" si="46"/>
        <v>0</v>
      </c>
      <c r="D2895" s="30" t="str">
        <f>IFERROR(VLOOKUP(C2895,소속부서!$A$2:$B$20,2,FALSE), "")</f>
        <v/>
      </c>
    </row>
    <row r="2896" spans="3:4" x14ac:dyDescent="0.3">
      <c r="C2896" s="35">
        <f t="shared" si="46"/>
        <v>0</v>
      </c>
      <c r="D2896" s="30" t="str">
        <f>IFERROR(VLOOKUP(C2896,소속부서!$A$2:$B$20,2,FALSE), "")</f>
        <v/>
      </c>
    </row>
    <row r="2897" spans="3:4" x14ac:dyDescent="0.3">
      <c r="C2897" s="35">
        <f t="shared" si="46"/>
        <v>0</v>
      </c>
      <c r="D2897" s="30" t="str">
        <f>IFERROR(VLOOKUP(C2897,소속부서!$A$2:$B$20,2,FALSE), "")</f>
        <v/>
      </c>
    </row>
    <row r="2898" spans="3:4" x14ac:dyDescent="0.3">
      <c r="C2898" s="35">
        <f t="shared" si="46"/>
        <v>0</v>
      </c>
      <c r="D2898" s="30" t="str">
        <f>IFERROR(VLOOKUP(C2898,소속부서!$A$2:$B$20,2,FALSE), "")</f>
        <v/>
      </c>
    </row>
    <row r="2899" spans="3:4" x14ac:dyDescent="0.3">
      <c r="C2899" s="35">
        <f t="shared" si="46"/>
        <v>0</v>
      </c>
      <c r="D2899" s="30" t="str">
        <f>IFERROR(VLOOKUP(C2899,소속부서!$A$2:$B$20,2,FALSE), "")</f>
        <v/>
      </c>
    </row>
    <row r="2900" spans="3:4" x14ac:dyDescent="0.3">
      <c r="C2900" s="35">
        <f t="shared" si="46"/>
        <v>0</v>
      </c>
      <c r="D2900" s="30" t="str">
        <f>IFERROR(VLOOKUP(C2900,소속부서!$A$2:$B$20,2,FALSE), "")</f>
        <v/>
      </c>
    </row>
    <row r="2901" spans="3:4" x14ac:dyDescent="0.3">
      <c r="C2901" s="35">
        <f t="shared" si="46"/>
        <v>0</v>
      </c>
      <c r="D2901" s="30" t="str">
        <f>IFERROR(VLOOKUP(C2901,소속부서!$A$2:$B$20,2,FALSE), "")</f>
        <v/>
      </c>
    </row>
    <row r="2902" spans="3:4" x14ac:dyDescent="0.3">
      <c r="C2902" s="35">
        <f t="shared" si="46"/>
        <v>0</v>
      </c>
      <c r="D2902" s="30" t="str">
        <f>IFERROR(VLOOKUP(C2902,소속부서!$A$2:$B$20,2,FALSE), "")</f>
        <v/>
      </c>
    </row>
    <row r="2903" spans="3:4" x14ac:dyDescent="0.3">
      <c r="C2903" s="35">
        <f t="shared" si="46"/>
        <v>0</v>
      </c>
      <c r="D2903" s="30" t="str">
        <f>IFERROR(VLOOKUP(C2903,소속부서!$A$2:$B$20,2,FALSE), "")</f>
        <v/>
      </c>
    </row>
    <row r="2904" spans="3:4" x14ac:dyDescent="0.3">
      <c r="C2904" s="35">
        <f t="shared" si="46"/>
        <v>0</v>
      </c>
      <c r="D2904" s="30" t="str">
        <f>IFERROR(VLOOKUP(C2904,소속부서!$A$2:$B$20,2,FALSE), "")</f>
        <v/>
      </c>
    </row>
    <row r="2905" spans="3:4" x14ac:dyDescent="0.3">
      <c r="C2905" s="35">
        <f t="shared" si="46"/>
        <v>0</v>
      </c>
      <c r="D2905" s="30" t="str">
        <f>IFERROR(VLOOKUP(C2905,소속부서!$A$2:$B$20,2,FALSE), "")</f>
        <v/>
      </c>
    </row>
    <row r="2906" spans="3:4" x14ac:dyDescent="0.3">
      <c r="C2906" s="35">
        <f t="shared" si="46"/>
        <v>0</v>
      </c>
      <c r="D2906" s="30" t="str">
        <f>IFERROR(VLOOKUP(C2906,소속부서!$A$2:$B$20,2,FALSE), "")</f>
        <v/>
      </c>
    </row>
    <row r="2907" spans="3:4" x14ac:dyDescent="0.3">
      <c r="C2907" s="35">
        <f t="shared" si="46"/>
        <v>0</v>
      </c>
      <c r="D2907" s="30" t="str">
        <f>IFERROR(VLOOKUP(C2907,소속부서!$A$2:$B$20,2,FALSE), "")</f>
        <v/>
      </c>
    </row>
    <row r="2908" spans="3:4" x14ac:dyDescent="0.3">
      <c r="C2908" s="35">
        <f t="shared" si="46"/>
        <v>0</v>
      </c>
      <c r="D2908" s="30" t="str">
        <f>IFERROR(VLOOKUP(C2908,소속부서!$A$2:$B$20,2,FALSE), "")</f>
        <v/>
      </c>
    </row>
    <row r="2909" spans="3:4" x14ac:dyDescent="0.3">
      <c r="C2909" s="35">
        <f t="shared" si="46"/>
        <v>0</v>
      </c>
      <c r="D2909" s="30" t="str">
        <f>IFERROR(VLOOKUP(C2909,소속부서!$A$2:$B$20,2,FALSE), "")</f>
        <v/>
      </c>
    </row>
    <row r="2910" spans="3:4" x14ac:dyDescent="0.3">
      <c r="C2910" s="35">
        <f t="shared" si="46"/>
        <v>0</v>
      </c>
      <c r="D2910" s="30" t="str">
        <f>IFERROR(VLOOKUP(C2910,소속부서!$A$2:$B$20,2,FALSE), "")</f>
        <v/>
      </c>
    </row>
    <row r="2911" spans="3:4" x14ac:dyDescent="0.3">
      <c r="C2911" s="35">
        <f t="shared" si="46"/>
        <v>0</v>
      </c>
      <c r="D2911" s="30" t="str">
        <f>IFERROR(VLOOKUP(C2911,소속부서!$A$2:$B$20,2,FALSE), "")</f>
        <v/>
      </c>
    </row>
    <row r="2912" spans="3:4" x14ac:dyDescent="0.3">
      <c r="C2912" s="35">
        <f t="shared" si="46"/>
        <v>0</v>
      </c>
      <c r="D2912" s="30" t="str">
        <f>IFERROR(VLOOKUP(C2912,소속부서!$A$2:$B$20,2,FALSE), "")</f>
        <v/>
      </c>
    </row>
    <row r="2913" spans="3:4" x14ac:dyDescent="0.3">
      <c r="C2913" s="35">
        <f t="shared" si="46"/>
        <v>0</v>
      </c>
      <c r="D2913" s="30" t="str">
        <f>IFERROR(VLOOKUP(C2913,소속부서!$A$2:$B$20,2,FALSE), "")</f>
        <v/>
      </c>
    </row>
    <row r="2914" spans="3:4" x14ac:dyDescent="0.3">
      <c r="C2914" s="35">
        <f t="shared" si="46"/>
        <v>0</v>
      </c>
      <c r="D2914" s="30" t="str">
        <f>IFERROR(VLOOKUP(C2914,소속부서!$A$2:$B$20,2,FALSE), "")</f>
        <v/>
      </c>
    </row>
    <row r="2915" spans="3:4" x14ac:dyDescent="0.3">
      <c r="C2915" s="35">
        <f t="shared" si="46"/>
        <v>0</v>
      </c>
      <c r="D2915" s="30" t="str">
        <f>IFERROR(VLOOKUP(C2915,소속부서!$A$2:$B$20,2,FALSE), "")</f>
        <v/>
      </c>
    </row>
    <row r="2916" spans="3:4" x14ac:dyDescent="0.3">
      <c r="C2916" s="35">
        <f t="shared" si="46"/>
        <v>0</v>
      </c>
      <c r="D2916" s="30" t="str">
        <f>IFERROR(VLOOKUP(C2916,소속부서!$A$2:$B$20,2,FALSE), "")</f>
        <v/>
      </c>
    </row>
    <row r="2917" spans="3:4" x14ac:dyDescent="0.3">
      <c r="C2917" s="35">
        <f t="shared" si="46"/>
        <v>0</v>
      </c>
      <c r="D2917" s="30" t="str">
        <f>IFERROR(VLOOKUP(C2917,소속부서!$A$2:$B$20,2,FALSE), "")</f>
        <v/>
      </c>
    </row>
    <row r="2918" spans="3:4" x14ac:dyDescent="0.3">
      <c r="C2918" s="35">
        <f t="shared" si="46"/>
        <v>0</v>
      </c>
      <c r="D2918" s="30" t="str">
        <f>IFERROR(VLOOKUP(C2918,소속부서!$A$2:$B$20,2,FALSE), "")</f>
        <v/>
      </c>
    </row>
    <row r="2919" spans="3:4" x14ac:dyDescent="0.3">
      <c r="C2919" s="35">
        <f t="shared" si="46"/>
        <v>0</v>
      </c>
      <c r="D2919" s="30" t="str">
        <f>IFERROR(VLOOKUP(C2919,소속부서!$A$2:$B$20,2,FALSE), "")</f>
        <v/>
      </c>
    </row>
    <row r="2920" spans="3:4" x14ac:dyDescent="0.3">
      <c r="C2920" s="35">
        <f t="shared" si="46"/>
        <v>0</v>
      </c>
      <c r="D2920" s="30" t="str">
        <f>IFERROR(VLOOKUP(C2920,소속부서!$A$2:$B$20,2,FALSE), "")</f>
        <v/>
      </c>
    </row>
    <row r="2921" spans="3:4" x14ac:dyDescent="0.3">
      <c r="C2921" s="35">
        <f t="shared" si="46"/>
        <v>0</v>
      </c>
      <c r="D2921" s="30" t="str">
        <f>IFERROR(VLOOKUP(C2921,소속부서!$A$2:$B$20,2,FALSE), "")</f>
        <v/>
      </c>
    </row>
    <row r="2922" spans="3:4" x14ac:dyDescent="0.3">
      <c r="C2922" s="35">
        <f t="shared" si="46"/>
        <v>0</v>
      </c>
      <c r="D2922" s="30" t="str">
        <f>IFERROR(VLOOKUP(C2922,소속부서!$A$2:$B$20,2,FALSE), "")</f>
        <v/>
      </c>
    </row>
    <row r="2923" spans="3:4" x14ac:dyDescent="0.3">
      <c r="C2923" s="35">
        <f t="shared" si="46"/>
        <v>0</v>
      </c>
      <c r="D2923" s="30" t="str">
        <f>IFERROR(VLOOKUP(C2923,소속부서!$A$2:$B$20,2,FALSE), "")</f>
        <v/>
      </c>
    </row>
    <row r="2924" spans="3:4" x14ac:dyDescent="0.3">
      <c r="C2924" s="35">
        <f t="shared" si="46"/>
        <v>0</v>
      </c>
      <c r="D2924" s="30" t="str">
        <f>IFERROR(VLOOKUP(C2924,소속부서!$A$2:$B$20,2,FALSE), "")</f>
        <v/>
      </c>
    </row>
    <row r="2925" spans="3:4" x14ac:dyDescent="0.3">
      <c r="C2925" s="35">
        <f t="shared" si="46"/>
        <v>0</v>
      </c>
      <c r="D2925" s="30" t="str">
        <f>IFERROR(VLOOKUP(C2925,소속부서!$A$2:$B$20,2,FALSE), "")</f>
        <v/>
      </c>
    </row>
    <row r="2926" spans="3:4" x14ac:dyDescent="0.3">
      <c r="C2926" s="35">
        <f t="shared" si="46"/>
        <v>0</v>
      </c>
      <c r="D2926" s="30" t="str">
        <f>IFERROR(VLOOKUP(C2926,소속부서!$A$2:$B$20,2,FALSE), "")</f>
        <v/>
      </c>
    </row>
    <row r="2927" spans="3:4" x14ac:dyDescent="0.3">
      <c r="C2927" s="35">
        <f t="shared" si="46"/>
        <v>0</v>
      </c>
      <c r="D2927" s="30" t="str">
        <f>IFERROR(VLOOKUP(C2927,소속부서!$A$2:$B$20,2,FALSE), "")</f>
        <v/>
      </c>
    </row>
    <row r="2928" spans="3:4" x14ac:dyDescent="0.3">
      <c r="C2928" s="35">
        <f t="shared" si="46"/>
        <v>0</v>
      </c>
      <c r="D2928" s="30" t="str">
        <f>IFERROR(VLOOKUP(C2928,소속부서!$A$2:$B$20,2,FALSE), "")</f>
        <v/>
      </c>
    </row>
    <row r="2929" spans="3:4" x14ac:dyDescent="0.3">
      <c r="C2929" s="35">
        <f t="shared" si="46"/>
        <v>0</v>
      </c>
      <c r="D2929" s="30" t="str">
        <f>IFERROR(VLOOKUP(C2929,소속부서!$A$2:$B$20,2,FALSE), "")</f>
        <v/>
      </c>
    </row>
    <row r="2930" spans="3:4" x14ac:dyDescent="0.3">
      <c r="C2930" s="35">
        <f t="shared" si="46"/>
        <v>0</v>
      </c>
      <c r="D2930" s="30" t="str">
        <f>IFERROR(VLOOKUP(C2930,소속부서!$A$2:$B$20,2,FALSE), "")</f>
        <v/>
      </c>
    </row>
    <row r="2931" spans="3:4" x14ac:dyDescent="0.3">
      <c r="C2931" s="35">
        <f t="shared" si="46"/>
        <v>0</v>
      </c>
      <c r="D2931" s="30" t="str">
        <f>IFERROR(VLOOKUP(C2931,소속부서!$A$2:$B$20,2,FALSE), "")</f>
        <v/>
      </c>
    </row>
    <row r="2932" spans="3:4" x14ac:dyDescent="0.3">
      <c r="C2932" s="35">
        <f t="shared" si="46"/>
        <v>0</v>
      </c>
      <c r="D2932" s="30" t="str">
        <f>IFERROR(VLOOKUP(C2932,소속부서!$A$2:$B$20,2,FALSE), "")</f>
        <v/>
      </c>
    </row>
    <row r="2933" spans="3:4" x14ac:dyDescent="0.3">
      <c r="C2933" s="35">
        <f t="shared" si="46"/>
        <v>0</v>
      </c>
      <c r="D2933" s="30" t="str">
        <f>IFERROR(VLOOKUP(C2933,소속부서!$A$2:$B$20,2,FALSE), "")</f>
        <v/>
      </c>
    </row>
    <row r="2934" spans="3:4" x14ac:dyDescent="0.3">
      <c r="C2934" s="35">
        <f t="shared" si="46"/>
        <v>0</v>
      </c>
      <c r="D2934" s="30" t="str">
        <f>IFERROR(VLOOKUP(C2934,소속부서!$A$2:$B$20,2,FALSE), "")</f>
        <v/>
      </c>
    </row>
    <row r="2935" spans="3:4" x14ac:dyDescent="0.3">
      <c r="C2935" s="35">
        <f t="shared" si="46"/>
        <v>0</v>
      </c>
      <c r="D2935" s="30" t="str">
        <f>IFERROR(VLOOKUP(C2935,소속부서!$A$2:$B$20,2,FALSE), "")</f>
        <v/>
      </c>
    </row>
    <row r="2936" spans="3:4" x14ac:dyDescent="0.3">
      <c r="C2936" s="35">
        <f t="shared" si="46"/>
        <v>0</v>
      </c>
      <c r="D2936" s="30" t="str">
        <f>IFERROR(VLOOKUP(C2936,소속부서!$A$2:$B$20,2,FALSE), "")</f>
        <v/>
      </c>
    </row>
    <row r="2937" spans="3:4" x14ac:dyDescent="0.3">
      <c r="C2937" s="35">
        <f t="shared" si="46"/>
        <v>0</v>
      </c>
      <c r="D2937" s="30" t="str">
        <f>IFERROR(VLOOKUP(C2937,소속부서!$A$2:$B$20,2,FALSE), "")</f>
        <v/>
      </c>
    </row>
    <row r="2938" spans="3:4" x14ac:dyDescent="0.3">
      <c r="C2938" s="35">
        <f t="shared" si="46"/>
        <v>0</v>
      </c>
      <c r="D2938" s="30" t="str">
        <f>IFERROR(VLOOKUP(C2938,소속부서!$A$2:$B$20,2,FALSE), "")</f>
        <v/>
      </c>
    </row>
    <row r="2939" spans="3:4" x14ac:dyDescent="0.3">
      <c r="C2939" s="35">
        <f t="shared" si="46"/>
        <v>0</v>
      </c>
      <c r="D2939" s="30" t="str">
        <f>IFERROR(VLOOKUP(C2939,소속부서!$A$2:$B$20,2,FALSE), "")</f>
        <v/>
      </c>
    </row>
    <row r="2940" spans="3:4" x14ac:dyDescent="0.3">
      <c r="C2940" s="35">
        <f t="shared" si="46"/>
        <v>0</v>
      </c>
      <c r="D2940" s="30" t="str">
        <f>IFERROR(VLOOKUP(C2940,소속부서!$A$2:$B$20,2,FALSE), "")</f>
        <v/>
      </c>
    </row>
    <row r="2941" spans="3:4" x14ac:dyDescent="0.3">
      <c r="C2941" s="35">
        <f t="shared" si="46"/>
        <v>0</v>
      </c>
      <c r="D2941" s="30" t="str">
        <f>IFERROR(VLOOKUP(C2941,소속부서!$A$2:$B$20,2,FALSE), "")</f>
        <v/>
      </c>
    </row>
    <row r="2942" spans="3:4" x14ac:dyDescent="0.3">
      <c r="C2942" s="35">
        <f t="shared" si="46"/>
        <v>0</v>
      </c>
      <c r="D2942" s="30" t="str">
        <f>IFERROR(VLOOKUP(C2942,소속부서!$A$2:$B$20,2,FALSE), "")</f>
        <v/>
      </c>
    </row>
    <row r="2943" spans="3:4" x14ac:dyDescent="0.3">
      <c r="C2943" s="35">
        <f t="shared" si="46"/>
        <v>0</v>
      </c>
      <c r="D2943" s="30" t="str">
        <f>IFERROR(VLOOKUP(C2943,소속부서!$A$2:$B$20,2,FALSE), "")</f>
        <v/>
      </c>
    </row>
    <row r="2944" spans="3:4" x14ac:dyDescent="0.3">
      <c r="C2944" s="35">
        <f t="shared" si="46"/>
        <v>0</v>
      </c>
      <c r="D2944" s="30" t="str">
        <f>IFERROR(VLOOKUP(C2944,소속부서!$A$2:$B$20,2,FALSE), "")</f>
        <v/>
      </c>
    </row>
    <row r="2945" spans="3:4" x14ac:dyDescent="0.3">
      <c r="C2945" s="35">
        <f t="shared" si="46"/>
        <v>0</v>
      </c>
      <c r="D2945" s="30" t="str">
        <f>IFERROR(VLOOKUP(C2945,소속부서!$A$2:$B$20,2,FALSE), "")</f>
        <v/>
      </c>
    </row>
    <row r="2946" spans="3:4" x14ac:dyDescent="0.3">
      <c r="C2946" s="35">
        <f t="shared" si="46"/>
        <v>0</v>
      </c>
      <c r="D2946" s="30" t="str">
        <f>IFERROR(VLOOKUP(C2946,소속부서!$A$2:$B$20,2,FALSE), "")</f>
        <v/>
      </c>
    </row>
    <row r="2947" spans="3:4" x14ac:dyDescent="0.3">
      <c r="C2947" s="35">
        <f t="shared" si="46"/>
        <v>0</v>
      </c>
      <c r="D2947" s="30" t="str">
        <f>IFERROR(VLOOKUP(C2947,소속부서!$A$2:$B$20,2,FALSE), "")</f>
        <v/>
      </c>
    </row>
    <row r="2948" spans="3:4" x14ac:dyDescent="0.3">
      <c r="C2948" s="35">
        <f t="shared" ref="C2948:C3011" si="47">E2948</f>
        <v>0</v>
      </c>
      <c r="D2948" s="30" t="str">
        <f>IFERROR(VLOOKUP(C2948,소속부서!$A$2:$B$20,2,FALSE), "")</f>
        <v/>
      </c>
    </row>
    <row r="2949" spans="3:4" x14ac:dyDescent="0.3">
      <c r="C2949" s="35">
        <f t="shared" si="47"/>
        <v>0</v>
      </c>
      <c r="D2949" s="30" t="str">
        <f>IFERROR(VLOOKUP(C2949,소속부서!$A$2:$B$20,2,FALSE), "")</f>
        <v/>
      </c>
    </row>
    <row r="2950" spans="3:4" x14ac:dyDescent="0.3">
      <c r="C2950" s="35">
        <f t="shared" si="47"/>
        <v>0</v>
      </c>
      <c r="D2950" s="30" t="str">
        <f>IFERROR(VLOOKUP(C2950,소속부서!$A$2:$B$20,2,FALSE), "")</f>
        <v/>
      </c>
    </row>
    <row r="2951" spans="3:4" x14ac:dyDescent="0.3">
      <c r="C2951" s="35">
        <f t="shared" si="47"/>
        <v>0</v>
      </c>
      <c r="D2951" s="30" t="str">
        <f>IFERROR(VLOOKUP(C2951,소속부서!$A$2:$B$20,2,FALSE), "")</f>
        <v/>
      </c>
    </row>
    <row r="2952" spans="3:4" x14ac:dyDescent="0.3">
      <c r="C2952" s="35">
        <f t="shared" si="47"/>
        <v>0</v>
      </c>
      <c r="D2952" s="30" t="str">
        <f>IFERROR(VLOOKUP(C2952,소속부서!$A$2:$B$20,2,FALSE), "")</f>
        <v/>
      </c>
    </row>
    <row r="2953" spans="3:4" x14ac:dyDescent="0.3">
      <c r="C2953" s="35">
        <f t="shared" si="47"/>
        <v>0</v>
      </c>
      <c r="D2953" s="30" t="str">
        <f>IFERROR(VLOOKUP(C2953,소속부서!$A$2:$B$20,2,FALSE), "")</f>
        <v/>
      </c>
    </row>
    <row r="2954" spans="3:4" x14ac:dyDescent="0.3">
      <c r="C2954" s="35">
        <f t="shared" si="47"/>
        <v>0</v>
      </c>
      <c r="D2954" s="30" t="str">
        <f>IFERROR(VLOOKUP(C2954,소속부서!$A$2:$B$20,2,FALSE), "")</f>
        <v/>
      </c>
    </row>
    <row r="2955" spans="3:4" x14ac:dyDescent="0.3">
      <c r="C2955" s="35">
        <f t="shared" si="47"/>
        <v>0</v>
      </c>
      <c r="D2955" s="30" t="str">
        <f>IFERROR(VLOOKUP(C2955,소속부서!$A$2:$B$20,2,FALSE), "")</f>
        <v/>
      </c>
    </row>
    <row r="2956" spans="3:4" x14ac:dyDescent="0.3">
      <c r="C2956" s="35">
        <f t="shared" si="47"/>
        <v>0</v>
      </c>
      <c r="D2956" s="30" t="str">
        <f>IFERROR(VLOOKUP(C2956,소속부서!$A$2:$B$20,2,FALSE), "")</f>
        <v/>
      </c>
    </row>
    <row r="2957" spans="3:4" x14ac:dyDescent="0.3">
      <c r="C2957" s="35">
        <f t="shared" si="47"/>
        <v>0</v>
      </c>
      <c r="D2957" s="30" t="str">
        <f>IFERROR(VLOOKUP(C2957,소속부서!$A$2:$B$20,2,FALSE), "")</f>
        <v/>
      </c>
    </row>
    <row r="2958" spans="3:4" x14ac:dyDescent="0.3">
      <c r="C2958" s="35">
        <f t="shared" si="47"/>
        <v>0</v>
      </c>
      <c r="D2958" s="30" t="str">
        <f>IFERROR(VLOOKUP(C2958,소속부서!$A$2:$B$20,2,FALSE), "")</f>
        <v/>
      </c>
    </row>
    <row r="2959" spans="3:4" x14ac:dyDescent="0.3">
      <c r="C2959" s="35">
        <f t="shared" si="47"/>
        <v>0</v>
      </c>
      <c r="D2959" s="30" t="str">
        <f>IFERROR(VLOOKUP(C2959,소속부서!$A$2:$B$20,2,FALSE), "")</f>
        <v/>
      </c>
    </row>
    <row r="2960" spans="3:4" x14ac:dyDescent="0.3">
      <c r="C2960" s="35">
        <f t="shared" si="47"/>
        <v>0</v>
      </c>
      <c r="D2960" s="30" t="str">
        <f>IFERROR(VLOOKUP(C2960,소속부서!$A$2:$B$20,2,FALSE), "")</f>
        <v/>
      </c>
    </row>
    <row r="2961" spans="3:4" x14ac:dyDescent="0.3">
      <c r="C2961" s="35">
        <f t="shared" si="47"/>
        <v>0</v>
      </c>
      <c r="D2961" s="30" t="str">
        <f>IFERROR(VLOOKUP(C2961,소속부서!$A$2:$B$20,2,FALSE), "")</f>
        <v/>
      </c>
    </row>
    <row r="2962" spans="3:4" x14ac:dyDescent="0.3">
      <c r="C2962" s="35">
        <f t="shared" si="47"/>
        <v>0</v>
      </c>
      <c r="D2962" s="30" t="str">
        <f>IFERROR(VLOOKUP(C2962,소속부서!$A$2:$B$20,2,FALSE), "")</f>
        <v/>
      </c>
    </row>
    <row r="2963" spans="3:4" x14ac:dyDescent="0.3">
      <c r="C2963" s="35">
        <f t="shared" si="47"/>
        <v>0</v>
      </c>
      <c r="D2963" s="30" t="str">
        <f>IFERROR(VLOOKUP(C2963,소속부서!$A$2:$B$20,2,FALSE), "")</f>
        <v/>
      </c>
    </row>
    <row r="2964" spans="3:4" x14ac:dyDescent="0.3">
      <c r="C2964" s="35">
        <f t="shared" si="47"/>
        <v>0</v>
      </c>
      <c r="D2964" s="30" t="str">
        <f>IFERROR(VLOOKUP(C2964,소속부서!$A$2:$B$20,2,FALSE), "")</f>
        <v/>
      </c>
    </row>
    <row r="2965" spans="3:4" x14ac:dyDescent="0.3">
      <c r="C2965" s="35">
        <f t="shared" si="47"/>
        <v>0</v>
      </c>
      <c r="D2965" s="30" t="str">
        <f>IFERROR(VLOOKUP(C2965,소속부서!$A$2:$B$20,2,FALSE), "")</f>
        <v/>
      </c>
    </row>
    <row r="2966" spans="3:4" x14ac:dyDescent="0.3">
      <c r="C2966" s="35">
        <f t="shared" si="47"/>
        <v>0</v>
      </c>
      <c r="D2966" s="30" t="str">
        <f>IFERROR(VLOOKUP(C2966,소속부서!$A$2:$B$20,2,FALSE), "")</f>
        <v/>
      </c>
    </row>
    <row r="2967" spans="3:4" x14ac:dyDescent="0.3">
      <c r="C2967" s="35">
        <f t="shared" si="47"/>
        <v>0</v>
      </c>
      <c r="D2967" s="30" t="str">
        <f>IFERROR(VLOOKUP(C2967,소속부서!$A$2:$B$20,2,FALSE), "")</f>
        <v/>
      </c>
    </row>
    <row r="2968" spans="3:4" x14ac:dyDescent="0.3">
      <c r="C2968" s="35">
        <f t="shared" si="47"/>
        <v>0</v>
      </c>
      <c r="D2968" s="30" t="str">
        <f>IFERROR(VLOOKUP(C2968,소속부서!$A$2:$B$20,2,FALSE), "")</f>
        <v/>
      </c>
    </row>
    <row r="2969" spans="3:4" x14ac:dyDescent="0.3">
      <c r="C2969" s="35">
        <f t="shared" si="47"/>
        <v>0</v>
      </c>
      <c r="D2969" s="30" t="str">
        <f>IFERROR(VLOOKUP(C2969,소속부서!$A$2:$B$20,2,FALSE), "")</f>
        <v/>
      </c>
    </row>
    <row r="2970" spans="3:4" x14ac:dyDescent="0.3">
      <c r="C2970" s="35">
        <f t="shared" si="47"/>
        <v>0</v>
      </c>
      <c r="D2970" s="30" t="str">
        <f>IFERROR(VLOOKUP(C2970,소속부서!$A$2:$B$20,2,FALSE), "")</f>
        <v/>
      </c>
    </row>
    <row r="2971" spans="3:4" x14ac:dyDescent="0.3">
      <c r="C2971" s="35">
        <f t="shared" si="47"/>
        <v>0</v>
      </c>
      <c r="D2971" s="30" t="str">
        <f>IFERROR(VLOOKUP(C2971,소속부서!$A$2:$B$20,2,FALSE), "")</f>
        <v/>
      </c>
    </row>
    <row r="2972" spans="3:4" x14ac:dyDescent="0.3">
      <c r="C2972" s="35">
        <f t="shared" si="47"/>
        <v>0</v>
      </c>
      <c r="D2972" s="30" t="str">
        <f>IFERROR(VLOOKUP(C2972,소속부서!$A$2:$B$20,2,FALSE), "")</f>
        <v/>
      </c>
    </row>
    <row r="2973" spans="3:4" x14ac:dyDescent="0.3">
      <c r="C2973" s="35">
        <f t="shared" si="47"/>
        <v>0</v>
      </c>
      <c r="D2973" s="30" t="str">
        <f>IFERROR(VLOOKUP(C2973,소속부서!$A$2:$B$20,2,FALSE), "")</f>
        <v/>
      </c>
    </row>
    <row r="2974" spans="3:4" x14ac:dyDescent="0.3">
      <c r="C2974" s="35">
        <f t="shared" si="47"/>
        <v>0</v>
      </c>
      <c r="D2974" s="30" t="str">
        <f>IFERROR(VLOOKUP(C2974,소속부서!$A$2:$B$20,2,FALSE), "")</f>
        <v/>
      </c>
    </row>
    <row r="2975" spans="3:4" x14ac:dyDescent="0.3">
      <c r="C2975" s="35">
        <f t="shared" si="47"/>
        <v>0</v>
      </c>
      <c r="D2975" s="30" t="str">
        <f>IFERROR(VLOOKUP(C2975,소속부서!$A$2:$B$20,2,FALSE), "")</f>
        <v/>
      </c>
    </row>
    <row r="2976" spans="3:4" x14ac:dyDescent="0.3">
      <c r="C2976" s="35">
        <f t="shared" si="47"/>
        <v>0</v>
      </c>
      <c r="D2976" s="30" t="str">
        <f>IFERROR(VLOOKUP(C2976,소속부서!$A$2:$B$20,2,FALSE), "")</f>
        <v/>
      </c>
    </row>
    <row r="2977" spans="3:4" x14ac:dyDescent="0.3">
      <c r="C2977" s="35">
        <f t="shared" si="47"/>
        <v>0</v>
      </c>
      <c r="D2977" s="30" t="str">
        <f>IFERROR(VLOOKUP(C2977,소속부서!$A$2:$B$20,2,FALSE), "")</f>
        <v/>
      </c>
    </row>
    <row r="2978" spans="3:4" x14ac:dyDescent="0.3">
      <c r="C2978" s="35">
        <f t="shared" si="47"/>
        <v>0</v>
      </c>
      <c r="D2978" s="30" t="str">
        <f>IFERROR(VLOOKUP(C2978,소속부서!$A$2:$B$20,2,FALSE), "")</f>
        <v/>
      </c>
    </row>
    <row r="2979" spans="3:4" x14ac:dyDescent="0.3">
      <c r="C2979" s="35">
        <f t="shared" si="47"/>
        <v>0</v>
      </c>
      <c r="D2979" s="30" t="str">
        <f>IFERROR(VLOOKUP(C2979,소속부서!$A$2:$B$20,2,FALSE), "")</f>
        <v/>
      </c>
    </row>
    <row r="2980" spans="3:4" x14ac:dyDescent="0.3">
      <c r="C2980" s="35">
        <f t="shared" si="47"/>
        <v>0</v>
      </c>
      <c r="D2980" s="30" t="str">
        <f>IFERROR(VLOOKUP(C2980,소속부서!$A$2:$B$20,2,FALSE), "")</f>
        <v/>
      </c>
    </row>
    <row r="2981" spans="3:4" x14ac:dyDescent="0.3">
      <c r="C2981" s="35">
        <f t="shared" si="47"/>
        <v>0</v>
      </c>
      <c r="D2981" s="30" t="str">
        <f>IFERROR(VLOOKUP(C2981,소속부서!$A$2:$B$20,2,FALSE), "")</f>
        <v/>
      </c>
    </row>
    <row r="2982" spans="3:4" x14ac:dyDescent="0.3">
      <c r="C2982" s="35">
        <f t="shared" si="47"/>
        <v>0</v>
      </c>
      <c r="D2982" s="30" t="str">
        <f>IFERROR(VLOOKUP(C2982,소속부서!$A$2:$B$20,2,FALSE), "")</f>
        <v/>
      </c>
    </row>
    <row r="2983" spans="3:4" x14ac:dyDescent="0.3">
      <c r="C2983" s="35">
        <f t="shared" si="47"/>
        <v>0</v>
      </c>
      <c r="D2983" s="30" t="str">
        <f>IFERROR(VLOOKUP(C2983,소속부서!$A$2:$B$20,2,FALSE), "")</f>
        <v/>
      </c>
    </row>
    <row r="2984" spans="3:4" x14ac:dyDescent="0.3">
      <c r="C2984" s="35">
        <f t="shared" si="47"/>
        <v>0</v>
      </c>
      <c r="D2984" s="30" t="str">
        <f>IFERROR(VLOOKUP(C2984,소속부서!$A$2:$B$20,2,FALSE), "")</f>
        <v/>
      </c>
    </row>
    <row r="2985" spans="3:4" x14ac:dyDescent="0.3">
      <c r="C2985" s="35">
        <f t="shared" si="47"/>
        <v>0</v>
      </c>
      <c r="D2985" s="30" t="str">
        <f>IFERROR(VLOOKUP(C2985,소속부서!$A$2:$B$20,2,FALSE), "")</f>
        <v/>
      </c>
    </row>
    <row r="2986" spans="3:4" x14ac:dyDescent="0.3">
      <c r="C2986" s="35">
        <f t="shared" si="47"/>
        <v>0</v>
      </c>
      <c r="D2986" s="30" t="str">
        <f>IFERROR(VLOOKUP(C2986,소속부서!$A$2:$B$20,2,FALSE), "")</f>
        <v/>
      </c>
    </row>
    <row r="2987" spans="3:4" x14ac:dyDescent="0.3">
      <c r="C2987" s="35">
        <f t="shared" si="47"/>
        <v>0</v>
      </c>
      <c r="D2987" s="30" t="str">
        <f>IFERROR(VLOOKUP(C2987,소속부서!$A$2:$B$20,2,FALSE), "")</f>
        <v/>
      </c>
    </row>
    <row r="2988" spans="3:4" x14ac:dyDescent="0.3">
      <c r="C2988" s="35">
        <f t="shared" si="47"/>
        <v>0</v>
      </c>
      <c r="D2988" s="30" t="str">
        <f>IFERROR(VLOOKUP(C2988,소속부서!$A$2:$B$20,2,FALSE), "")</f>
        <v/>
      </c>
    </row>
    <row r="2989" spans="3:4" x14ac:dyDescent="0.3">
      <c r="C2989" s="35">
        <f t="shared" si="47"/>
        <v>0</v>
      </c>
      <c r="D2989" s="30" t="str">
        <f>IFERROR(VLOOKUP(C2989,소속부서!$A$2:$B$20,2,FALSE), "")</f>
        <v/>
      </c>
    </row>
    <row r="2990" spans="3:4" x14ac:dyDescent="0.3">
      <c r="C2990" s="35">
        <f t="shared" si="47"/>
        <v>0</v>
      </c>
      <c r="D2990" s="30" t="str">
        <f>IFERROR(VLOOKUP(C2990,소속부서!$A$2:$B$20,2,FALSE), "")</f>
        <v/>
      </c>
    </row>
    <row r="2991" spans="3:4" x14ac:dyDescent="0.3">
      <c r="C2991" s="35">
        <f t="shared" si="47"/>
        <v>0</v>
      </c>
      <c r="D2991" s="30" t="str">
        <f>IFERROR(VLOOKUP(C2991,소속부서!$A$2:$B$20,2,FALSE), "")</f>
        <v/>
      </c>
    </row>
    <row r="2992" spans="3:4" x14ac:dyDescent="0.3">
      <c r="C2992" s="35">
        <f t="shared" si="47"/>
        <v>0</v>
      </c>
      <c r="D2992" s="30" t="str">
        <f>IFERROR(VLOOKUP(C2992,소속부서!$A$2:$B$20,2,FALSE), "")</f>
        <v/>
      </c>
    </row>
    <row r="2993" spans="3:4" x14ac:dyDescent="0.3">
      <c r="C2993" s="35">
        <f t="shared" si="47"/>
        <v>0</v>
      </c>
      <c r="D2993" s="30" t="str">
        <f>IFERROR(VLOOKUP(C2993,소속부서!$A$2:$B$20,2,FALSE), "")</f>
        <v/>
      </c>
    </row>
    <row r="2994" spans="3:4" x14ac:dyDescent="0.3">
      <c r="C2994" s="35">
        <f t="shared" si="47"/>
        <v>0</v>
      </c>
      <c r="D2994" s="30" t="str">
        <f>IFERROR(VLOOKUP(C2994,소속부서!$A$2:$B$20,2,FALSE), "")</f>
        <v/>
      </c>
    </row>
    <row r="2995" spans="3:4" x14ac:dyDescent="0.3">
      <c r="C2995" s="35">
        <f t="shared" si="47"/>
        <v>0</v>
      </c>
      <c r="D2995" s="30" t="str">
        <f>IFERROR(VLOOKUP(C2995,소속부서!$A$2:$B$20,2,FALSE), "")</f>
        <v/>
      </c>
    </row>
    <row r="2996" spans="3:4" x14ac:dyDescent="0.3">
      <c r="C2996" s="35">
        <f t="shared" si="47"/>
        <v>0</v>
      </c>
      <c r="D2996" s="30" t="str">
        <f>IFERROR(VLOOKUP(C2996,소속부서!$A$2:$B$20,2,FALSE), "")</f>
        <v/>
      </c>
    </row>
    <row r="2997" spans="3:4" x14ac:dyDescent="0.3">
      <c r="C2997" s="35">
        <f t="shared" si="47"/>
        <v>0</v>
      </c>
      <c r="D2997" s="30" t="str">
        <f>IFERROR(VLOOKUP(C2997,소속부서!$A$2:$B$20,2,FALSE), "")</f>
        <v/>
      </c>
    </row>
    <row r="2998" spans="3:4" x14ac:dyDescent="0.3">
      <c r="C2998" s="35">
        <f t="shared" si="47"/>
        <v>0</v>
      </c>
      <c r="D2998" s="30" t="str">
        <f>IFERROR(VLOOKUP(C2998,소속부서!$A$2:$B$20,2,FALSE), "")</f>
        <v/>
      </c>
    </row>
    <row r="2999" spans="3:4" x14ac:dyDescent="0.3">
      <c r="C2999" s="35">
        <f t="shared" si="47"/>
        <v>0</v>
      </c>
      <c r="D2999" s="30" t="str">
        <f>IFERROR(VLOOKUP(C2999,소속부서!$A$2:$B$20,2,FALSE), "")</f>
        <v/>
      </c>
    </row>
    <row r="3000" spans="3:4" x14ac:dyDescent="0.3">
      <c r="C3000" s="35">
        <f t="shared" si="47"/>
        <v>0</v>
      </c>
      <c r="D3000" s="30" t="str">
        <f>IFERROR(VLOOKUP(C3000,소속부서!$A$2:$B$20,2,FALSE), "")</f>
        <v/>
      </c>
    </row>
    <row r="3001" spans="3:4" x14ac:dyDescent="0.3">
      <c r="C3001" s="35">
        <f t="shared" si="47"/>
        <v>0</v>
      </c>
      <c r="D3001" s="30" t="str">
        <f>IFERROR(VLOOKUP(C3001,소속부서!$A$2:$B$20,2,FALSE), "")</f>
        <v/>
      </c>
    </row>
    <row r="3002" spans="3:4" x14ac:dyDescent="0.3">
      <c r="C3002" s="35">
        <f t="shared" si="47"/>
        <v>0</v>
      </c>
      <c r="D3002" s="30" t="str">
        <f>IFERROR(VLOOKUP(C3002,소속부서!$A$2:$B$20,2,FALSE), "")</f>
        <v/>
      </c>
    </row>
    <row r="3003" spans="3:4" x14ac:dyDescent="0.3">
      <c r="C3003" s="35">
        <f t="shared" si="47"/>
        <v>0</v>
      </c>
      <c r="D3003" s="30" t="str">
        <f>IFERROR(VLOOKUP(C3003,소속부서!$A$2:$B$20,2,FALSE), "")</f>
        <v/>
      </c>
    </row>
    <row r="3004" spans="3:4" x14ac:dyDescent="0.3">
      <c r="C3004" s="35">
        <f t="shared" si="47"/>
        <v>0</v>
      </c>
      <c r="D3004" s="30" t="str">
        <f>IFERROR(VLOOKUP(C3004,소속부서!$A$2:$B$20,2,FALSE), "")</f>
        <v/>
      </c>
    </row>
    <row r="3005" spans="3:4" x14ac:dyDescent="0.3">
      <c r="C3005" s="35">
        <f t="shared" si="47"/>
        <v>0</v>
      </c>
      <c r="D3005" s="30" t="str">
        <f>IFERROR(VLOOKUP(C3005,소속부서!$A$2:$B$20,2,FALSE), "")</f>
        <v/>
      </c>
    </row>
    <row r="3006" spans="3:4" x14ac:dyDescent="0.3">
      <c r="C3006" s="35">
        <f t="shared" si="47"/>
        <v>0</v>
      </c>
      <c r="D3006" s="30" t="str">
        <f>IFERROR(VLOOKUP(C3006,소속부서!$A$2:$B$20,2,FALSE), "")</f>
        <v/>
      </c>
    </row>
    <row r="3007" spans="3:4" x14ac:dyDescent="0.3">
      <c r="C3007" s="35">
        <f t="shared" si="47"/>
        <v>0</v>
      </c>
      <c r="D3007" s="30" t="str">
        <f>IFERROR(VLOOKUP(C3007,소속부서!$A$2:$B$20,2,FALSE), "")</f>
        <v/>
      </c>
    </row>
    <row r="3008" spans="3:4" x14ac:dyDescent="0.3">
      <c r="C3008" s="35">
        <f t="shared" si="47"/>
        <v>0</v>
      </c>
      <c r="D3008" s="30" t="str">
        <f>IFERROR(VLOOKUP(C3008,소속부서!$A$2:$B$20,2,FALSE), "")</f>
        <v/>
      </c>
    </row>
    <row r="3009" spans="3:4" x14ac:dyDescent="0.3">
      <c r="C3009" s="35">
        <f t="shared" si="47"/>
        <v>0</v>
      </c>
      <c r="D3009" s="30" t="str">
        <f>IFERROR(VLOOKUP(C3009,소속부서!$A$2:$B$20,2,FALSE), "")</f>
        <v/>
      </c>
    </row>
    <row r="3010" spans="3:4" x14ac:dyDescent="0.3">
      <c r="C3010" s="35">
        <f t="shared" si="47"/>
        <v>0</v>
      </c>
      <c r="D3010" s="30" t="str">
        <f>IFERROR(VLOOKUP(C3010,소속부서!$A$2:$B$20,2,FALSE), "")</f>
        <v/>
      </c>
    </row>
    <row r="3011" spans="3:4" x14ac:dyDescent="0.3">
      <c r="C3011" s="35">
        <f t="shared" si="47"/>
        <v>0</v>
      </c>
      <c r="D3011" s="30" t="str">
        <f>IFERROR(VLOOKUP(C3011,소속부서!$A$2:$B$20,2,FALSE), "")</f>
        <v/>
      </c>
    </row>
    <row r="3012" spans="3:4" x14ac:dyDescent="0.3">
      <c r="C3012" s="35">
        <f t="shared" ref="C3012:C3075" si="48">E3012</f>
        <v>0</v>
      </c>
      <c r="D3012" s="30" t="str">
        <f>IFERROR(VLOOKUP(C3012,소속부서!$A$2:$B$20,2,FALSE), "")</f>
        <v/>
      </c>
    </row>
    <row r="3013" spans="3:4" x14ac:dyDescent="0.3">
      <c r="C3013" s="35">
        <f t="shared" si="48"/>
        <v>0</v>
      </c>
      <c r="D3013" s="30" t="str">
        <f>IFERROR(VLOOKUP(C3013,소속부서!$A$2:$B$20,2,FALSE), "")</f>
        <v/>
      </c>
    </row>
    <row r="3014" spans="3:4" x14ac:dyDescent="0.3">
      <c r="C3014" s="35">
        <f t="shared" si="48"/>
        <v>0</v>
      </c>
      <c r="D3014" s="30" t="str">
        <f>IFERROR(VLOOKUP(C3014,소속부서!$A$2:$B$20,2,FALSE), "")</f>
        <v/>
      </c>
    </row>
    <row r="3015" spans="3:4" x14ac:dyDescent="0.3">
      <c r="C3015" s="35">
        <f t="shared" si="48"/>
        <v>0</v>
      </c>
      <c r="D3015" s="30" t="str">
        <f>IFERROR(VLOOKUP(C3015,소속부서!$A$2:$B$20,2,FALSE), "")</f>
        <v/>
      </c>
    </row>
    <row r="3016" spans="3:4" x14ac:dyDescent="0.3">
      <c r="C3016" s="35">
        <f t="shared" si="48"/>
        <v>0</v>
      </c>
      <c r="D3016" s="30" t="str">
        <f>IFERROR(VLOOKUP(C3016,소속부서!$A$2:$B$20,2,FALSE), "")</f>
        <v/>
      </c>
    </row>
    <row r="3017" spans="3:4" x14ac:dyDescent="0.3">
      <c r="C3017" s="35">
        <f t="shared" si="48"/>
        <v>0</v>
      </c>
      <c r="D3017" s="30" t="str">
        <f>IFERROR(VLOOKUP(C3017,소속부서!$A$2:$B$20,2,FALSE), "")</f>
        <v/>
      </c>
    </row>
    <row r="3018" spans="3:4" x14ac:dyDescent="0.3">
      <c r="C3018" s="35">
        <f t="shared" si="48"/>
        <v>0</v>
      </c>
      <c r="D3018" s="30" t="str">
        <f>IFERROR(VLOOKUP(C3018,소속부서!$A$2:$B$20,2,FALSE), "")</f>
        <v/>
      </c>
    </row>
    <row r="3019" spans="3:4" x14ac:dyDescent="0.3">
      <c r="C3019" s="35">
        <f t="shared" si="48"/>
        <v>0</v>
      </c>
      <c r="D3019" s="30" t="str">
        <f>IFERROR(VLOOKUP(C3019,소속부서!$A$2:$B$20,2,FALSE), "")</f>
        <v/>
      </c>
    </row>
    <row r="3020" spans="3:4" x14ac:dyDescent="0.3">
      <c r="C3020" s="35">
        <f t="shared" si="48"/>
        <v>0</v>
      </c>
      <c r="D3020" s="30" t="str">
        <f>IFERROR(VLOOKUP(C3020,소속부서!$A$2:$B$20,2,FALSE), "")</f>
        <v/>
      </c>
    </row>
    <row r="3021" spans="3:4" x14ac:dyDescent="0.3">
      <c r="C3021" s="35">
        <f t="shared" si="48"/>
        <v>0</v>
      </c>
      <c r="D3021" s="30" t="str">
        <f>IFERROR(VLOOKUP(C3021,소속부서!$A$2:$B$20,2,FALSE), "")</f>
        <v/>
      </c>
    </row>
    <row r="3022" spans="3:4" x14ac:dyDescent="0.3">
      <c r="C3022" s="35">
        <f t="shared" si="48"/>
        <v>0</v>
      </c>
      <c r="D3022" s="30" t="str">
        <f>IFERROR(VLOOKUP(C3022,소속부서!$A$2:$B$20,2,FALSE), "")</f>
        <v/>
      </c>
    </row>
    <row r="3023" spans="3:4" x14ac:dyDescent="0.3">
      <c r="C3023" s="35">
        <f t="shared" si="48"/>
        <v>0</v>
      </c>
      <c r="D3023" s="30" t="str">
        <f>IFERROR(VLOOKUP(C3023,소속부서!$A$2:$B$20,2,FALSE), "")</f>
        <v/>
      </c>
    </row>
    <row r="3024" spans="3:4" x14ac:dyDescent="0.3">
      <c r="C3024" s="35">
        <f t="shared" si="48"/>
        <v>0</v>
      </c>
      <c r="D3024" s="30" t="str">
        <f>IFERROR(VLOOKUP(C3024,소속부서!$A$2:$B$20,2,FALSE), "")</f>
        <v/>
      </c>
    </row>
    <row r="3025" spans="3:4" x14ac:dyDescent="0.3">
      <c r="C3025" s="35">
        <f t="shared" si="48"/>
        <v>0</v>
      </c>
      <c r="D3025" s="30" t="str">
        <f>IFERROR(VLOOKUP(C3025,소속부서!$A$2:$B$20,2,FALSE), "")</f>
        <v/>
      </c>
    </row>
    <row r="3026" spans="3:4" x14ac:dyDescent="0.3">
      <c r="C3026" s="35">
        <f t="shared" si="48"/>
        <v>0</v>
      </c>
      <c r="D3026" s="30" t="str">
        <f>IFERROR(VLOOKUP(C3026,소속부서!$A$2:$B$20,2,FALSE), "")</f>
        <v/>
      </c>
    </row>
    <row r="3027" spans="3:4" x14ac:dyDescent="0.3">
      <c r="C3027" s="35">
        <f t="shared" si="48"/>
        <v>0</v>
      </c>
      <c r="D3027" s="30" t="str">
        <f>IFERROR(VLOOKUP(C3027,소속부서!$A$2:$B$20,2,FALSE), "")</f>
        <v/>
      </c>
    </row>
    <row r="3028" spans="3:4" x14ac:dyDescent="0.3">
      <c r="C3028" s="35">
        <f t="shared" si="48"/>
        <v>0</v>
      </c>
      <c r="D3028" s="30" t="str">
        <f>IFERROR(VLOOKUP(C3028,소속부서!$A$2:$B$20,2,FALSE), "")</f>
        <v/>
      </c>
    </row>
    <row r="3029" spans="3:4" x14ac:dyDescent="0.3">
      <c r="C3029" s="35">
        <f t="shared" si="48"/>
        <v>0</v>
      </c>
      <c r="D3029" s="30" t="str">
        <f>IFERROR(VLOOKUP(C3029,소속부서!$A$2:$B$20,2,FALSE), "")</f>
        <v/>
      </c>
    </row>
    <row r="3030" spans="3:4" x14ac:dyDescent="0.3">
      <c r="C3030" s="35">
        <f t="shared" si="48"/>
        <v>0</v>
      </c>
      <c r="D3030" s="30" t="str">
        <f>IFERROR(VLOOKUP(C3030,소속부서!$A$2:$B$20,2,FALSE), "")</f>
        <v/>
      </c>
    </row>
    <row r="3031" spans="3:4" x14ac:dyDescent="0.3">
      <c r="C3031" s="35">
        <f t="shared" si="48"/>
        <v>0</v>
      </c>
      <c r="D3031" s="30" t="str">
        <f>IFERROR(VLOOKUP(C3031,소속부서!$A$2:$B$20,2,FALSE), "")</f>
        <v/>
      </c>
    </row>
    <row r="3032" spans="3:4" x14ac:dyDescent="0.3">
      <c r="C3032" s="35">
        <f t="shared" si="48"/>
        <v>0</v>
      </c>
      <c r="D3032" s="30" t="str">
        <f>IFERROR(VLOOKUP(C3032,소속부서!$A$2:$B$20,2,FALSE), "")</f>
        <v/>
      </c>
    </row>
    <row r="3033" spans="3:4" x14ac:dyDescent="0.3">
      <c r="C3033" s="35">
        <f t="shared" si="48"/>
        <v>0</v>
      </c>
      <c r="D3033" s="30" t="str">
        <f>IFERROR(VLOOKUP(C3033,소속부서!$A$2:$B$20,2,FALSE), "")</f>
        <v/>
      </c>
    </row>
    <row r="3034" spans="3:4" x14ac:dyDescent="0.3">
      <c r="C3034" s="35">
        <f t="shared" si="48"/>
        <v>0</v>
      </c>
      <c r="D3034" s="30" t="str">
        <f>IFERROR(VLOOKUP(C3034,소속부서!$A$2:$B$20,2,FALSE), "")</f>
        <v/>
      </c>
    </row>
    <row r="3035" spans="3:4" x14ac:dyDescent="0.3">
      <c r="C3035" s="35">
        <f t="shared" si="48"/>
        <v>0</v>
      </c>
      <c r="D3035" s="30" t="str">
        <f>IFERROR(VLOOKUP(C3035,소속부서!$A$2:$B$20,2,FALSE), "")</f>
        <v/>
      </c>
    </row>
    <row r="3036" spans="3:4" x14ac:dyDescent="0.3">
      <c r="C3036" s="35">
        <f t="shared" si="48"/>
        <v>0</v>
      </c>
      <c r="D3036" s="30" t="str">
        <f>IFERROR(VLOOKUP(C3036,소속부서!$A$2:$B$20,2,FALSE), "")</f>
        <v/>
      </c>
    </row>
    <row r="3037" spans="3:4" x14ac:dyDescent="0.3">
      <c r="C3037" s="35">
        <f t="shared" si="48"/>
        <v>0</v>
      </c>
      <c r="D3037" s="30" t="str">
        <f>IFERROR(VLOOKUP(C3037,소속부서!$A$2:$B$20,2,FALSE), "")</f>
        <v/>
      </c>
    </row>
    <row r="3038" spans="3:4" x14ac:dyDescent="0.3">
      <c r="C3038" s="35">
        <f t="shared" si="48"/>
        <v>0</v>
      </c>
      <c r="D3038" s="30" t="str">
        <f>IFERROR(VLOOKUP(C3038,소속부서!$A$2:$B$20,2,FALSE), "")</f>
        <v/>
      </c>
    </row>
    <row r="3039" spans="3:4" x14ac:dyDescent="0.3">
      <c r="C3039" s="35">
        <f t="shared" si="48"/>
        <v>0</v>
      </c>
      <c r="D3039" s="30" t="str">
        <f>IFERROR(VLOOKUP(C3039,소속부서!$A$2:$B$20,2,FALSE), "")</f>
        <v/>
      </c>
    </row>
    <row r="3040" spans="3:4" x14ac:dyDescent="0.3">
      <c r="C3040" s="35">
        <f t="shared" si="48"/>
        <v>0</v>
      </c>
      <c r="D3040" s="30" t="str">
        <f>IFERROR(VLOOKUP(C3040,소속부서!$A$2:$B$20,2,FALSE), "")</f>
        <v/>
      </c>
    </row>
    <row r="3041" spans="3:4" x14ac:dyDescent="0.3">
      <c r="C3041" s="35">
        <f t="shared" si="48"/>
        <v>0</v>
      </c>
      <c r="D3041" s="30" t="str">
        <f>IFERROR(VLOOKUP(C3041,소속부서!$A$2:$B$20,2,FALSE), "")</f>
        <v/>
      </c>
    </row>
    <row r="3042" spans="3:4" x14ac:dyDescent="0.3">
      <c r="C3042" s="35">
        <f t="shared" si="48"/>
        <v>0</v>
      </c>
      <c r="D3042" s="30" t="str">
        <f>IFERROR(VLOOKUP(C3042,소속부서!$A$2:$B$20,2,FALSE), "")</f>
        <v/>
      </c>
    </row>
    <row r="3043" spans="3:4" x14ac:dyDescent="0.3">
      <c r="C3043" s="35">
        <f t="shared" si="48"/>
        <v>0</v>
      </c>
      <c r="D3043" s="30" t="str">
        <f>IFERROR(VLOOKUP(C3043,소속부서!$A$2:$B$20,2,FALSE), "")</f>
        <v/>
      </c>
    </row>
    <row r="3044" spans="3:4" x14ac:dyDescent="0.3">
      <c r="C3044" s="35">
        <f t="shared" si="48"/>
        <v>0</v>
      </c>
      <c r="D3044" s="30" t="str">
        <f>IFERROR(VLOOKUP(C3044,소속부서!$A$2:$B$20,2,FALSE), "")</f>
        <v/>
      </c>
    </row>
    <row r="3045" spans="3:4" x14ac:dyDescent="0.3">
      <c r="C3045" s="35">
        <f t="shared" si="48"/>
        <v>0</v>
      </c>
      <c r="D3045" s="30" t="str">
        <f>IFERROR(VLOOKUP(C3045,소속부서!$A$2:$B$20,2,FALSE), "")</f>
        <v/>
      </c>
    </row>
    <row r="3046" spans="3:4" x14ac:dyDescent="0.3">
      <c r="C3046" s="35">
        <f t="shared" si="48"/>
        <v>0</v>
      </c>
      <c r="D3046" s="30" t="str">
        <f>IFERROR(VLOOKUP(C3046,소속부서!$A$2:$B$20,2,FALSE), "")</f>
        <v/>
      </c>
    </row>
    <row r="3047" spans="3:4" x14ac:dyDescent="0.3">
      <c r="C3047" s="35">
        <f t="shared" si="48"/>
        <v>0</v>
      </c>
      <c r="D3047" s="30" t="str">
        <f>IFERROR(VLOOKUP(C3047,소속부서!$A$2:$B$20,2,FALSE), "")</f>
        <v/>
      </c>
    </row>
    <row r="3048" spans="3:4" x14ac:dyDescent="0.3">
      <c r="C3048" s="35">
        <f t="shared" si="48"/>
        <v>0</v>
      </c>
      <c r="D3048" s="30" t="str">
        <f>IFERROR(VLOOKUP(C3048,소속부서!$A$2:$B$20,2,FALSE), "")</f>
        <v/>
      </c>
    </row>
    <row r="3049" spans="3:4" x14ac:dyDescent="0.3">
      <c r="C3049" s="35">
        <f t="shared" si="48"/>
        <v>0</v>
      </c>
      <c r="D3049" s="30" t="str">
        <f>IFERROR(VLOOKUP(C3049,소속부서!$A$2:$B$20,2,FALSE), "")</f>
        <v/>
      </c>
    </row>
    <row r="3050" spans="3:4" x14ac:dyDescent="0.3">
      <c r="C3050" s="35">
        <f t="shared" si="48"/>
        <v>0</v>
      </c>
      <c r="D3050" s="30" t="str">
        <f>IFERROR(VLOOKUP(C3050,소속부서!$A$2:$B$20,2,FALSE), "")</f>
        <v/>
      </c>
    </row>
    <row r="3051" spans="3:4" x14ac:dyDescent="0.3">
      <c r="C3051" s="35">
        <f t="shared" si="48"/>
        <v>0</v>
      </c>
      <c r="D3051" s="30" t="str">
        <f>IFERROR(VLOOKUP(C3051,소속부서!$A$2:$B$20,2,FALSE), "")</f>
        <v/>
      </c>
    </row>
    <row r="3052" spans="3:4" x14ac:dyDescent="0.3">
      <c r="C3052" s="35">
        <f t="shared" si="48"/>
        <v>0</v>
      </c>
      <c r="D3052" s="30" t="str">
        <f>IFERROR(VLOOKUP(C3052,소속부서!$A$2:$B$20,2,FALSE), "")</f>
        <v/>
      </c>
    </row>
    <row r="3053" spans="3:4" x14ac:dyDescent="0.3">
      <c r="C3053" s="35">
        <f t="shared" si="48"/>
        <v>0</v>
      </c>
      <c r="D3053" s="30" t="str">
        <f>IFERROR(VLOOKUP(C3053,소속부서!$A$2:$B$20,2,FALSE), "")</f>
        <v/>
      </c>
    </row>
    <row r="3054" spans="3:4" x14ac:dyDescent="0.3">
      <c r="C3054" s="35">
        <f t="shared" si="48"/>
        <v>0</v>
      </c>
      <c r="D3054" s="30" t="str">
        <f>IFERROR(VLOOKUP(C3054,소속부서!$A$2:$B$20,2,FALSE), "")</f>
        <v/>
      </c>
    </row>
    <row r="3055" spans="3:4" x14ac:dyDescent="0.3">
      <c r="C3055" s="35">
        <f t="shared" si="48"/>
        <v>0</v>
      </c>
      <c r="D3055" s="30" t="str">
        <f>IFERROR(VLOOKUP(C3055,소속부서!$A$2:$B$20,2,FALSE), "")</f>
        <v/>
      </c>
    </row>
    <row r="3056" spans="3:4" x14ac:dyDescent="0.3">
      <c r="C3056" s="35">
        <f t="shared" si="48"/>
        <v>0</v>
      </c>
      <c r="D3056" s="30" t="str">
        <f>IFERROR(VLOOKUP(C3056,소속부서!$A$2:$B$20,2,FALSE), "")</f>
        <v/>
      </c>
    </row>
    <row r="3057" spans="3:4" x14ac:dyDescent="0.3">
      <c r="C3057" s="35">
        <f t="shared" si="48"/>
        <v>0</v>
      </c>
      <c r="D3057" s="30" t="str">
        <f>IFERROR(VLOOKUP(C3057,소속부서!$A$2:$B$20,2,FALSE), "")</f>
        <v/>
      </c>
    </row>
    <row r="3058" spans="3:4" x14ac:dyDescent="0.3">
      <c r="C3058" s="35">
        <f t="shared" si="48"/>
        <v>0</v>
      </c>
      <c r="D3058" s="30" t="str">
        <f>IFERROR(VLOOKUP(C3058,소속부서!$A$2:$B$20,2,FALSE), "")</f>
        <v/>
      </c>
    </row>
    <row r="3059" spans="3:4" x14ac:dyDescent="0.3">
      <c r="C3059" s="35">
        <f t="shared" si="48"/>
        <v>0</v>
      </c>
      <c r="D3059" s="30" t="str">
        <f>IFERROR(VLOOKUP(C3059,소속부서!$A$2:$B$20,2,FALSE), "")</f>
        <v/>
      </c>
    </row>
    <row r="3060" spans="3:4" x14ac:dyDescent="0.3">
      <c r="C3060" s="35">
        <f t="shared" si="48"/>
        <v>0</v>
      </c>
      <c r="D3060" s="30" t="str">
        <f>IFERROR(VLOOKUP(C3060,소속부서!$A$2:$B$20,2,FALSE), "")</f>
        <v/>
      </c>
    </row>
    <row r="3061" spans="3:4" x14ac:dyDescent="0.3">
      <c r="C3061" s="35">
        <f t="shared" si="48"/>
        <v>0</v>
      </c>
      <c r="D3061" s="30" t="str">
        <f>IFERROR(VLOOKUP(C3061,소속부서!$A$2:$B$20,2,FALSE), "")</f>
        <v/>
      </c>
    </row>
    <row r="3062" spans="3:4" x14ac:dyDescent="0.3">
      <c r="C3062" s="35">
        <f t="shared" si="48"/>
        <v>0</v>
      </c>
      <c r="D3062" s="30" t="str">
        <f>IFERROR(VLOOKUP(C3062,소속부서!$A$2:$B$20,2,FALSE), "")</f>
        <v/>
      </c>
    </row>
    <row r="3063" spans="3:4" x14ac:dyDescent="0.3">
      <c r="C3063" s="35">
        <f t="shared" si="48"/>
        <v>0</v>
      </c>
      <c r="D3063" s="30" t="str">
        <f>IFERROR(VLOOKUP(C3063,소속부서!$A$2:$B$20,2,FALSE), "")</f>
        <v/>
      </c>
    </row>
    <row r="3064" spans="3:4" x14ac:dyDescent="0.3">
      <c r="C3064" s="35">
        <f t="shared" si="48"/>
        <v>0</v>
      </c>
      <c r="D3064" s="30" t="str">
        <f>IFERROR(VLOOKUP(C3064,소속부서!$A$2:$B$20,2,FALSE), "")</f>
        <v/>
      </c>
    </row>
    <row r="3065" spans="3:4" x14ac:dyDescent="0.3">
      <c r="C3065" s="35">
        <f t="shared" si="48"/>
        <v>0</v>
      </c>
      <c r="D3065" s="30" t="str">
        <f>IFERROR(VLOOKUP(C3065,소속부서!$A$2:$B$20,2,FALSE), "")</f>
        <v/>
      </c>
    </row>
    <row r="3066" spans="3:4" x14ac:dyDescent="0.3">
      <c r="C3066" s="35">
        <f t="shared" si="48"/>
        <v>0</v>
      </c>
      <c r="D3066" s="30" t="str">
        <f>IFERROR(VLOOKUP(C3066,소속부서!$A$2:$B$20,2,FALSE), "")</f>
        <v/>
      </c>
    </row>
    <row r="3067" spans="3:4" x14ac:dyDescent="0.3">
      <c r="C3067" s="35">
        <f t="shared" si="48"/>
        <v>0</v>
      </c>
      <c r="D3067" s="30" t="str">
        <f>IFERROR(VLOOKUP(C3067,소속부서!$A$2:$B$20,2,FALSE), "")</f>
        <v/>
      </c>
    </row>
    <row r="3068" spans="3:4" x14ac:dyDescent="0.3">
      <c r="C3068" s="35">
        <f t="shared" si="48"/>
        <v>0</v>
      </c>
      <c r="D3068" s="30" t="str">
        <f>IFERROR(VLOOKUP(C3068,소속부서!$A$2:$B$20,2,FALSE), "")</f>
        <v/>
      </c>
    </row>
    <row r="3069" spans="3:4" x14ac:dyDescent="0.3">
      <c r="C3069" s="35">
        <f t="shared" si="48"/>
        <v>0</v>
      </c>
      <c r="D3069" s="30" t="str">
        <f>IFERROR(VLOOKUP(C3069,소속부서!$A$2:$B$20,2,FALSE), "")</f>
        <v/>
      </c>
    </row>
    <row r="3070" spans="3:4" x14ac:dyDescent="0.3">
      <c r="C3070" s="35">
        <f t="shared" si="48"/>
        <v>0</v>
      </c>
      <c r="D3070" s="30" t="str">
        <f>IFERROR(VLOOKUP(C3070,소속부서!$A$2:$B$20,2,FALSE), "")</f>
        <v/>
      </c>
    </row>
    <row r="3071" spans="3:4" x14ac:dyDescent="0.3">
      <c r="C3071" s="35">
        <f t="shared" si="48"/>
        <v>0</v>
      </c>
      <c r="D3071" s="30" t="str">
        <f>IFERROR(VLOOKUP(C3071,소속부서!$A$2:$B$20,2,FALSE), "")</f>
        <v/>
      </c>
    </row>
    <row r="3072" spans="3:4" x14ac:dyDescent="0.3">
      <c r="C3072" s="35">
        <f t="shared" si="48"/>
        <v>0</v>
      </c>
      <c r="D3072" s="30" t="str">
        <f>IFERROR(VLOOKUP(C3072,소속부서!$A$2:$B$20,2,FALSE), "")</f>
        <v/>
      </c>
    </row>
    <row r="3073" spans="3:4" x14ac:dyDescent="0.3">
      <c r="C3073" s="35">
        <f t="shared" si="48"/>
        <v>0</v>
      </c>
      <c r="D3073" s="30" t="str">
        <f>IFERROR(VLOOKUP(C3073,소속부서!$A$2:$B$20,2,FALSE), "")</f>
        <v/>
      </c>
    </row>
    <row r="3074" spans="3:4" x14ac:dyDescent="0.3">
      <c r="C3074" s="35">
        <f t="shared" si="48"/>
        <v>0</v>
      </c>
      <c r="D3074" s="30" t="str">
        <f>IFERROR(VLOOKUP(C3074,소속부서!$A$2:$B$20,2,FALSE), "")</f>
        <v/>
      </c>
    </row>
    <row r="3075" spans="3:4" x14ac:dyDescent="0.3">
      <c r="C3075" s="35">
        <f t="shared" si="48"/>
        <v>0</v>
      </c>
      <c r="D3075" s="30" t="str">
        <f>IFERROR(VLOOKUP(C3075,소속부서!$A$2:$B$20,2,FALSE), "")</f>
        <v/>
      </c>
    </row>
    <row r="3076" spans="3:4" x14ac:dyDescent="0.3">
      <c r="C3076" s="35">
        <f t="shared" ref="C3076:C3139" si="49">E3076</f>
        <v>0</v>
      </c>
      <c r="D3076" s="30" t="str">
        <f>IFERROR(VLOOKUP(C3076,소속부서!$A$2:$B$20,2,FALSE), "")</f>
        <v/>
      </c>
    </row>
    <row r="3077" spans="3:4" x14ac:dyDescent="0.3">
      <c r="C3077" s="35">
        <f t="shared" si="49"/>
        <v>0</v>
      </c>
      <c r="D3077" s="30" t="str">
        <f>IFERROR(VLOOKUP(C3077,소속부서!$A$2:$B$20,2,FALSE), "")</f>
        <v/>
      </c>
    </row>
    <row r="3078" spans="3:4" x14ac:dyDescent="0.3">
      <c r="C3078" s="35">
        <f t="shared" si="49"/>
        <v>0</v>
      </c>
      <c r="D3078" s="30" t="str">
        <f>IFERROR(VLOOKUP(C3078,소속부서!$A$2:$B$20,2,FALSE), "")</f>
        <v/>
      </c>
    </row>
    <row r="3079" spans="3:4" x14ac:dyDescent="0.3">
      <c r="C3079" s="35">
        <f t="shared" si="49"/>
        <v>0</v>
      </c>
      <c r="D3079" s="30" t="str">
        <f>IFERROR(VLOOKUP(C3079,소속부서!$A$2:$B$20,2,FALSE), "")</f>
        <v/>
      </c>
    </row>
    <row r="3080" spans="3:4" x14ac:dyDescent="0.3">
      <c r="C3080" s="35">
        <f t="shared" si="49"/>
        <v>0</v>
      </c>
      <c r="D3080" s="30" t="str">
        <f>IFERROR(VLOOKUP(C3080,소속부서!$A$2:$B$20,2,FALSE), "")</f>
        <v/>
      </c>
    </row>
    <row r="3081" spans="3:4" x14ac:dyDescent="0.3">
      <c r="C3081" s="35">
        <f t="shared" si="49"/>
        <v>0</v>
      </c>
      <c r="D3081" s="30" t="str">
        <f>IFERROR(VLOOKUP(C3081,소속부서!$A$2:$B$20,2,FALSE), "")</f>
        <v/>
      </c>
    </row>
    <row r="3082" spans="3:4" x14ac:dyDescent="0.3">
      <c r="C3082" s="35">
        <f t="shared" si="49"/>
        <v>0</v>
      </c>
      <c r="D3082" s="30" t="str">
        <f>IFERROR(VLOOKUP(C3082,소속부서!$A$2:$B$20,2,FALSE), "")</f>
        <v/>
      </c>
    </row>
    <row r="3083" spans="3:4" x14ac:dyDescent="0.3">
      <c r="C3083" s="35">
        <f t="shared" si="49"/>
        <v>0</v>
      </c>
      <c r="D3083" s="30" t="str">
        <f>IFERROR(VLOOKUP(C3083,소속부서!$A$2:$B$20,2,FALSE), "")</f>
        <v/>
      </c>
    </row>
    <row r="3084" spans="3:4" x14ac:dyDescent="0.3">
      <c r="C3084" s="35">
        <f t="shared" si="49"/>
        <v>0</v>
      </c>
      <c r="D3084" s="30" t="str">
        <f>IFERROR(VLOOKUP(C3084,소속부서!$A$2:$B$20,2,FALSE), "")</f>
        <v/>
      </c>
    </row>
    <row r="3085" spans="3:4" x14ac:dyDescent="0.3">
      <c r="C3085" s="35">
        <f t="shared" si="49"/>
        <v>0</v>
      </c>
      <c r="D3085" s="30" t="str">
        <f>IFERROR(VLOOKUP(C3085,소속부서!$A$2:$B$20,2,FALSE), "")</f>
        <v/>
      </c>
    </row>
    <row r="3086" spans="3:4" x14ac:dyDescent="0.3">
      <c r="C3086" s="35">
        <f t="shared" si="49"/>
        <v>0</v>
      </c>
      <c r="D3086" s="30" t="str">
        <f>IFERROR(VLOOKUP(C3086,소속부서!$A$2:$B$20,2,FALSE), "")</f>
        <v/>
      </c>
    </row>
    <row r="3087" spans="3:4" x14ac:dyDescent="0.3">
      <c r="C3087" s="35">
        <f t="shared" si="49"/>
        <v>0</v>
      </c>
      <c r="D3087" s="30" t="str">
        <f>IFERROR(VLOOKUP(C3087,소속부서!$A$2:$B$20,2,FALSE), "")</f>
        <v/>
      </c>
    </row>
    <row r="3088" spans="3:4" x14ac:dyDescent="0.3">
      <c r="C3088" s="35">
        <f t="shared" si="49"/>
        <v>0</v>
      </c>
      <c r="D3088" s="30" t="str">
        <f>IFERROR(VLOOKUP(C3088,소속부서!$A$2:$B$20,2,FALSE), "")</f>
        <v/>
      </c>
    </row>
    <row r="3089" spans="3:4" x14ac:dyDescent="0.3">
      <c r="C3089" s="35">
        <f t="shared" si="49"/>
        <v>0</v>
      </c>
      <c r="D3089" s="30" t="str">
        <f>IFERROR(VLOOKUP(C3089,소속부서!$A$2:$B$20,2,FALSE), "")</f>
        <v/>
      </c>
    </row>
    <row r="3090" spans="3:4" x14ac:dyDescent="0.3">
      <c r="C3090" s="35">
        <f t="shared" si="49"/>
        <v>0</v>
      </c>
      <c r="D3090" s="30" t="str">
        <f>IFERROR(VLOOKUP(C3090,소속부서!$A$2:$B$20,2,FALSE), "")</f>
        <v/>
      </c>
    </row>
    <row r="3091" spans="3:4" x14ac:dyDescent="0.3">
      <c r="C3091" s="35">
        <f t="shared" si="49"/>
        <v>0</v>
      </c>
      <c r="D3091" s="30" t="str">
        <f>IFERROR(VLOOKUP(C3091,소속부서!$A$2:$B$20,2,FALSE), "")</f>
        <v/>
      </c>
    </row>
    <row r="3092" spans="3:4" x14ac:dyDescent="0.3">
      <c r="C3092" s="35">
        <f t="shared" si="49"/>
        <v>0</v>
      </c>
      <c r="D3092" s="30" t="str">
        <f>IFERROR(VLOOKUP(C3092,소속부서!$A$2:$B$20,2,FALSE), "")</f>
        <v/>
      </c>
    </row>
    <row r="3093" spans="3:4" x14ac:dyDescent="0.3">
      <c r="C3093" s="35">
        <f t="shared" si="49"/>
        <v>0</v>
      </c>
      <c r="D3093" s="30" t="str">
        <f>IFERROR(VLOOKUP(C3093,소속부서!$A$2:$B$20,2,FALSE), "")</f>
        <v/>
      </c>
    </row>
    <row r="3094" spans="3:4" x14ac:dyDescent="0.3">
      <c r="C3094" s="35">
        <f t="shared" si="49"/>
        <v>0</v>
      </c>
      <c r="D3094" s="30" t="str">
        <f>IFERROR(VLOOKUP(C3094,소속부서!$A$2:$B$20,2,FALSE), "")</f>
        <v/>
      </c>
    </row>
    <row r="3095" spans="3:4" x14ac:dyDescent="0.3">
      <c r="C3095" s="35">
        <f t="shared" si="49"/>
        <v>0</v>
      </c>
      <c r="D3095" s="30" t="str">
        <f>IFERROR(VLOOKUP(C3095,소속부서!$A$2:$B$20,2,FALSE), "")</f>
        <v/>
      </c>
    </row>
    <row r="3096" spans="3:4" x14ac:dyDescent="0.3">
      <c r="C3096" s="35">
        <f t="shared" si="49"/>
        <v>0</v>
      </c>
      <c r="D3096" s="30" t="str">
        <f>IFERROR(VLOOKUP(C3096,소속부서!$A$2:$B$20,2,FALSE), "")</f>
        <v/>
      </c>
    </row>
    <row r="3097" spans="3:4" x14ac:dyDescent="0.3">
      <c r="C3097" s="35">
        <f t="shared" si="49"/>
        <v>0</v>
      </c>
      <c r="D3097" s="30" t="str">
        <f>IFERROR(VLOOKUP(C3097,소속부서!$A$2:$B$20,2,FALSE), "")</f>
        <v/>
      </c>
    </row>
    <row r="3098" spans="3:4" x14ac:dyDescent="0.3">
      <c r="C3098" s="35">
        <f t="shared" si="49"/>
        <v>0</v>
      </c>
      <c r="D3098" s="30" t="str">
        <f>IFERROR(VLOOKUP(C3098,소속부서!$A$2:$B$20,2,FALSE), "")</f>
        <v/>
      </c>
    </row>
    <row r="3099" spans="3:4" x14ac:dyDescent="0.3">
      <c r="C3099" s="35">
        <f t="shared" si="49"/>
        <v>0</v>
      </c>
      <c r="D3099" s="30" t="str">
        <f>IFERROR(VLOOKUP(C3099,소속부서!$A$2:$B$20,2,FALSE), "")</f>
        <v/>
      </c>
    </row>
    <row r="3100" spans="3:4" x14ac:dyDescent="0.3">
      <c r="C3100" s="35">
        <f t="shared" si="49"/>
        <v>0</v>
      </c>
      <c r="D3100" s="30" t="str">
        <f>IFERROR(VLOOKUP(C3100,소속부서!$A$2:$B$20,2,FALSE), "")</f>
        <v/>
      </c>
    </row>
    <row r="3101" spans="3:4" x14ac:dyDescent="0.3">
      <c r="C3101" s="35">
        <f t="shared" si="49"/>
        <v>0</v>
      </c>
      <c r="D3101" s="30" t="str">
        <f>IFERROR(VLOOKUP(C3101,소속부서!$A$2:$B$20,2,FALSE), "")</f>
        <v/>
      </c>
    </row>
    <row r="3102" spans="3:4" x14ac:dyDescent="0.3">
      <c r="C3102" s="35">
        <f t="shared" si="49"/>
        <v>0</v>
      </c>
      <c r="D3102" s="30" t="str">
        <f>IFERROR(VLOOKUP(C3102,소속부서!$A$2:$B$20,2,FALSE), "")</f>
        <v/>
      </c>
    </row>
    <row r="3103" spans="3:4" x14ac:dyDescent="0.3">
      <c r="C3103" s="35">
        <f t="shared" si="49"/>
        <v>0</v>
      </c>
      <c r="D3103" s="30" t="str">
        <f>IFERROR(VLOOKUP(C3103,소속부서!$A$2:$B$20,2,FALSE), "")</f>
        <v/>
      </c>
    </row>
    <row r="3104" spans="3:4" x14ac:dyDescent="0.3">
      <c r="C3104" s="35">
        <f t="shared" si="49"/>
        <v>0</v>
      </c>
      <c r="D3104" s="30" t="str">
        <f>IFERROR(VLOOKUP(C3104,소속부서!$A$2:$B$20,2,FALSE), "")</f>
        <v/>
      </c>
    </row>
    <row r="3105" spans="3:4" x14ac:dyDescent="0.3">
      <c r="C3105" s="35">
        <f t="shared" si="49"/>
        <v>0</v>
      </c>
      <c r="D3105" s="30" t="str">
        <f>IFERROR(VLOOKUP(C3105,소속부서!$A$2:$B$20,2,FALSE), "")</f>
        <v/>
      </c>
    </row>
    <row r="3106" spans="3:4" x14ac:dyDescent="0.3">
      <c r="C3106" s="35">
        <f t="shared" si="49"/>
        <v>0</v>
      </c>
      <c r="D3106" s="30" t="str">
        <f>IFERROR(VLOOKUP(C3106,소속부서!$A$2:$B$20,2,FALSE), "")</f>
        <v/>
      </c>
    </row>
    <row r="3107" spans="3:4" x14ac:dyDescent="0.3">
      <c r="C3107" s="35">
        <f t="shared" si="49"/>
        <v>0</v>
      </c>
      <c r="D3107" s="30" t="str">
        <f>IFERROR(VLOOKUP(C3107,소속부서!$A$2:$B$20,2,FALSE), "")</f>
        <v/>
      </c>
    </row>
    <row r="3108" spans="3:4" x14ac:dyDescent="0.3">
      <c r="C3108" s="35">
        <f t="shared" si="49"/>
        <v>0</v>
      </c>
      <c r="D3108" s="30" t="str">
        <f>IFERROR(VLOOKUP(C3108,소속부서!$A$2:$B$20,2,FALSE), "")</f>
        <v/>
      </c>
    </row>
    <row r="3109" spans="3:4" x14ac:dyDescent="0.3">
      <c r="C3109" s="35">
        <f t="shared" si="49"/>
        <v>0</v>
      </c>
      <c r="D3109" s="30" t="str">
        <f>IFERROR(VLOOKUP(C3109,소속부서!$A$2:$B$20,2,FALSE), "")</f>
        <v/>
      </c>
    </row>
    <row r="3110" spans="3:4" x14ac:dyDescent="0.3">
      <c r="C3110" s="35">
        <f t="shared" si="49"/>
        <v>0</v>
      </c>
      <c r="D3110" s="30" t="str">
        <f>IFERROR(VLOOKUP(C3110,소속부서!$A$2:$B$20,2,FALSE), "")</f>
        <v/>
      </c>
    </row>
    <row r="3111" spans="3:4" x14ac:dyDescent="0.3">
      <c r="C3111" s="35">
        <f t="shared" si="49"/>
        <v>0</v>
      </c>
      <c r="D3111" s="30" t="str">
        <f>IFERROR(VLOOKUP(C3111,소속부서!$A$2:$B$20,2,FALSE), "")</f>
        <v/>
      </c>
    </row>
    <row r="3112" spans="3:4" x14ac:dyDescent="0.3">
      <c r="C3112" s="35">
        <f t="shared" si="49"/>
        <v>0</v>
      </c>
      <c r="D3112" s="30" t="str">
        <f>IFERROR(VLOOKUP(C3112,소속부서!$A$2:$B$20,2,FALSE), "")</f>
        <v/>
      </c>
    </row>
    <row r="3113" spans="3:4" x14ac:dyDescent="0.3">
      <c r="C3113" s="35">
        <f t="shared" si="49"/>
        <v>0</v>
      </c>
      <c r="D3113" s="30" t="str">
        <f>IFERROR(VLOOKUP(C3113,소속부서!$A$2:$B$20,2,FALSE), "")</f>
        <v/>
      </c>
    </row>
    <row r="3114" spans="3:4" x14ac:dyDescent="0.3">
      <c r="C3114" s="35">
        <f t="shared" si="49"/>
        <v>0</v>
      </c>
      <c r="D3114" s="30" t="str">
        <f>IFERROR(VLOOKUP(C3114,소속부서!$A$2:$B$20,2,FALSE), "")</f>
        <v/>
      </c>
    </row>
    <row r="3115" spans="3:4" x14ac:dyDescent="0.3">
      <c r="C3115" s="35">
        <f t="shared" si="49"/>
        <v>0</v>
      </c>
      <c r="D3115" s="30" t="str">
        <f>IFERROR(VLOOKUP(C3115,소속부서!$A$2:$B$20,2,FALSE), "")</f>
        <v/>
      </c>
    </row>
    <row r="3116" spans="3:4" x14ac:dyDescent="0.3">
      <c r="C3116" s="35">
        <f t="shared" si="49"/>
        <v>0</v>
      </c>
      <c r="D3116" s="30" t="str">
        <f>IFERROR(VLOOKUP(C3116,소속부서!$A$2:$B$20,2,FALSE), "")</f>
        <v/>
      </c>
    </row>
    <row r="3117" spans="3:4" x14ac:dyDescent="0.3">
      <c r="C3117" s="35">
        <f t="shared" si="49"/>
        <v>0</v>
      </c>
      <c r="D3117" s="30" t="str">
        <f>IFERROR(VLOOKUP(C3117,소속부서!$A$2:$B$20,2,FALSE), "")</f>
        <v/>
      </c>
    </row>
    <row r="3118" spans="3:4" x14ac:dyDescent="0.3">
      <c r="C3118" s="35">
        <f t="shared" si="49"/>
        <v>0</v>
      </c>
      <c r="D3118" s="30" t="str">
        <f>IFERROR(VLOOKUP(C3118,소속부서!$A$2:$B$20,2,FALSE), "")</f>
        <v/>
      </c>
    </row>
    <row r="3119" spans="3:4" x14ac:dyDescent="0.3">
      <c r="C3119" s="35">
        <f t="shared" si="49"/>
        <v>0</v>
      </c>
      <c r="D3119" s="30" t="str">
        <f>IFERROR(VLOOKUP(C3119,소속부서!$A$2:$B$20,2,FALSE), "")</f>
        <v/>
      </c>
    </row>
    <row r="3120" spans="3:4" x14ac:dyDescent="0.3">
      <c r="C3120" s="35">
        <f t="shared" si="49"/>
        <v>0</v>
      </c>
      <c r="D3120" s="30" t="str">
        <f>IFERROR(VLOOKUP(C3120,소속부서!$A$2:$B$20,2,FALSE), "")</f>
        <v/>
      </c>
    </row>
    <row r="3121" spans="3:4" x14ac:dyDescent="0.3">
      <c r="C3121" s="35">
        <f t="shared" si="49"/>
        <v>0</v>
      </c>
      <c r="D3121" s="30" t="str">
        <f>IFERROR(VLOOKUP(C3121,소속부서!$A$2:$B$20,2,FALSE), "")</f>
        <v/>
      </c>
    </row>
    <row r="3122" spans="3:4" x14ac:dyDescent="0.3">
      <c r="C3122" s="35">
        <f t="shared" si="49"/>
        <v>0</v>
      </c>
      <c r="D3122" s="30" t="str">
        <f>IFERROR(VLOOKUP(C3122,소속부서!$A$2:$B$20,2,FALSE), "")</f>
        <v/>
      </c>
    </row>
    <row r="3123" spans="3:4" x14ac:dyDescent="0.3">
      <c r="C3123" s="35">
        <f t="shared" si="49"/>
        <v>0</v>
      </c>
      <c r="D3123" s="30" t="str">
        <f>IFERROR(VLOOKUP(C3123,소속부서!$A$2:$B$20,2,FALSE), "")</f>
        <v/>
      </c>
    </row>
    <row r="3124" spans="3:4" x14ac:dyDescent="0.3">
      <c r="C3124" s="35">
        <f t="shared" si="49"/>
        <v>0</v>
      </c>
      <c r="D3124" s="30" t="str">
        <f>IFERROR(VLOOKUP(C3124,소속부서!$A$2:$B$20,2,FALSE), "")</f>
        <v/>
      </c>
    </row>
    <row r="3125" spans="3:4" x14ac:dyDescent="0.3">
      <c r="C3125" s="35">
        <f t="shared" si="49"/>
        <v>0</v>
      </c>
      <c r="D3125" s="30" t="str">
        <f>IFERROR(VLOOKUP(C3125,소속부서!$A$2:$B$20,2,FALSE), "")</f>
        <v/>
      </c>
    </row>
    <row r="3126" spans="3:4" x14ac:dyDescent="0.3">
      <c r="C3126" s="35">
        <f t="shared" si="49"/>
        <v>0</v>
      </c>
      <c r="D3126" s="30" t="str">
        <f>IFERROR(VLOOKUP(C3126,소속부서!$A$2:$B$20,2,FALSE), "")</f>
        <v/>
      </c>
    </row>
    <row r="3127" spans="3:4" x14ac:dyDescent="0.3">
      <c r="C3127" s="35">
        <f t="shared" si="49"/>
        <v>0</v>
      </c>
      <c r="D3127" s="30" t="str">
        <f>IFERROR(VLOOKUP(C3127,소속부서!$A$2:$B$20,2,FALSE), "")</f>
        <v/>
      </c>
    </row>
    <row r="3128" spans="3:4" x14ac:dyDescent="0.3">
      <c r="C3128" s="35">
        <f t="shared" si="49"/>
        <v>0</v>
      </c>
      <c r="D3128" s="30" t="str">
        <f>IFERROR(VLOOKUP(C3128,소속부서!$A$2:$B$20,2,FALSE), "")</f>
        <v/>
      </c>
    </row>
    <row r="3129" spans="3:4" x14ac:dyDescent="0.3">
      <c r="C3129" s="35">
        <f t="shared" si="49"/>
        <v>0</v>
      </c>
      <c r="D3129" s="30" t="str">
        <f>IFERROR(VLOOKUP(C3129,소속부서!$A$2:$B$20,2,FALSE), "")</f>
        <v/>
      </c>
    </row>
    <row r="3130" spans="3:4" x14ac:dyDescent="0.3">
      <c r="C3130" s="35">
        <f t="shared" si="49"/>
        <v>0</v>
      </c>
      <c r="D3130" s="30" t="str">
        <f>IFERROR(VLOOKUP(C3130,소속부서!$A$2:$B$20,2,FALSE), "")</f>
        <v/>
      </c>
    </row>
    <row r="3131" spans="3:4" x14ac:dyDescent="0.3">
      <c r="C3131" s="35">
        <f t="shared" si="49"/>
        <v>0</v>
      </c>
      <c r="D3131" s="30" t="str">
        <f>IFERROR(VLOOKUP(C3131,소속부서!$A$2:$B$20,2,FALSE), "")</f>
        <v/>
      </c>
    </row>
    <row r="3132" spans="3:4" x14ac:dyDescent="0.3">
      <c r="C3132" s="35">
        <f t="shared" si="49"/>
        <v>0</v>
      </c>
      <c r="D3132" s="30" t="str">
        <f>IFERROR(VLOOKUP(C3132,소속부서!$A$2:$B$20,2,FALSE), "")</f>
        <v/>
      </c>
    </row>
    <row r="3133" spans="3:4" x14ac:dyDescent="0.3">
      <c r="C3133" s="35">
        <f t="shared" si="49"/>
        <v>0</v>
      </c>
      <c r="D3133" s="30" t="str">
        <f>IFERROR(VLOOKUP(C3133,소속부서!$A$2:$B$20,2,FALSE), "")</f>
        <v/>
      </c>
    </row>
    <row r="3134" spans="3:4" x14ac:dyDescent="0.3">
      <c r="C3134" s="35">
        <f t="shared" si="49"/>
        <v>0</v>
      </c>
      <c r="D3134" s="30" t="str">
        <f>IFERROR(VLOOKUP(C3134,소속부서!$A$2:$B$20,2,FALSE), "")</f>
        <v/>
      </c>
    </row>
    <row r="3135" spans="3:4" x14ac:dyDescent="0.3">
      <c r="C3135" s="35">
        <f t="shared" si="49"/>
        <v>0</v>
      </c>
      <c r="D3135" s="30" t="str">
        <f>IFERROR(VLOOKUP(C3135,소속부서!$A$2:$B$20,2,FALSE), "")</f>
        <v/>
      </c>
    </row>
    <row r="3136" spans="3:4" x14ac:dyDescent="0.3">
      <c r="C3136" s="35">
        <f t="shared" si="49"/>
        <v>0</v>
      </c>
      <c r="D3136" s="30" t="str">
        <f>IFERROR(VLOOKUP(C3136,소속부서!$A$2:$B$20,2,FALSE), "")</f>
        <v/>
      </c>
    </row>
    <row r="3137" spans="3:4" x14ac:dyDescent="0.3">
      <c r="C3137" s="35">
        <f t="shared" si="49"/>
        <v>0</v>
      </c>
      <c r="D3137" s="30" t="str">
        <f>IFERROR(VLOOKUP(C3137,소속부서!$A$2:$B$20,2,FALSE), "")</f>
        <v/>
      </c>
    </row>
    <row r="3138" spans="3:4" x14ac:dyDescent="0.3">
      <c r="C3138" s="35">
        <f t="shared" si="49"/>
        <v>0</v>
      </c>
      <c r="D3138" s="30" t="str">
        <f>IFERROR(VLOOKUP(C3138,소속부서!$A$2:$B$20,2,FALSE), "")</f>
        <v/>
      </c>
    </row>
    <row r="3139" spans="3:4" x14ac:dyDescent="0.3">
      <c r="C3139" s="35">
        <f t="shared" si="49"/>
        <v>0</v>
      </c>
      <c r="D3139" s="30" t="str">
        <f>IFERROR(VLOOKUP(C3139,소속부서!$A$2:$B$20,2,FALSE), "")</f>
        <v/>
      </c>
    </row>
    <row r="3140" spans="3:4" x14ac:dyDescent="0.3">
      <c r="C3140" s="35">
        <f t="shared" ref="C3140:C3203" si="50">E3140</f>
        <v>0</v>
      </c>
      <c r="D3140" s="30" t="str">
        <f>IFERROR(VLOOKUP(C3140,소속부서!$A$2:$B$20,2,FALSE), "")</f>
        <v/>
      </c>
    </row>
    <row r="3141" spans="3:4" x14ac:dyDescent="0.3">
      <c r="C3141" s="35">
        <f t="shared" si="50"/>
        <v>0</v>
      </c>
      <c r="D3141" s="30" t="str">
        <f>IFERROR(VLOOKUP(C3141,소속부서!$A$2:$B$20,2,FALSE), "")</f>
        <v/>
      </c>
    </row>
    <row r="3142" spans="3:4" x14ac:dyDescent="0.3">
      <c r="C3142" s="35">
        <f t="shared" si="50"/>
        <v>0</v>
      </c>
      <c r="D3142" s="30" t="str">
        <f>IFERROR(VLOOKUP(C3142,소속부서!$A$2:$B$20,2,FALSE), "")</f>
        <v/>
      </c>
    </row>
    <row r="3143" spans="3:4" x14ac:dyDescent="0.3">
      <c r="C3143" s="35">
        <f t="shared" si="50"/>
        <v>0</v>
      </c>
      <c r="D3143" s="30" t="str">
        <f>IFERROR(VLOOKUP(C3143,소속부서!$A$2:$B$20,2,FALSE), "")</f>
        <v/>
      </c>
    </row>
    <row r="3144" spans="3:4" x14ac:dyDescent="0.3">
      <c r="C3144" s="35">
        <f t="shared" si="50"/>
        <v>0</v>
      </c>
      <c r="D3144" s="30" t="str">
        <f>IFERROR(VLOOKUP(C3144,소속부서!$A$2:$B$20,2,FALSE), "")</f>
        <v/>
      </c>
    </row>
    <row r="3145" spans="3:4" x14ac:dyDescent="0.3">
      <c r="C3145" s="35">
        <f t="shared" si="50"/>
        <v>0</v>
      </c>
      <c r="D3145" s="30" t="str">
        <f>IFERROR(VLOOKUP(C3145,소속부서!$A$2:$B$20,2,FALSE), "")</f>
        <v/>
      </c>
    </row>
    <row r="3146" spans="3:4" x14ac:dyDescent="0.3">
      <c r="C3146" s="35">
        <f t="shared" si="50"/>
        <v>0</v>
      </c>
      <c r="D3146" s="30" t="str">
        <f>IFERROR(VLOOKUP(C3146,소속부서!$A$2:$B$20,2,FALSE), "")</f>
        <v/>
      </c>
    </row>
    <row r="3147" spans="3:4" x14ac:dyDescent="0.3">
      <c r="C3147" s="35">
        <f t="shared" si="50"/>
        <v>0</v>
      </c>
      <c r="D3147" s="30" t="str">
        <f>IFERROR(VLOOKUP(C3147,소속부서!$A$2:$B$20,2,FALSE), "")</f>
        <v/>
      </c>
    </row>
    <row r="3148" spans="3:4" x14ac:dyDescent="0.3">
      <c r="C3148" s="35">
        <f t="shared" si="50"/>
        <v>0</v>
      </c>
      <c r="D3148" s="30" t="str">
        <f>IFERROR(VLOOKUP(C3148,소속부서!$A$2:$B$20,2,FALSE), "")</f>
        <v/>
      </c>
    </row>
    <row r="3149" spans="3:4" x14ac:dyDescent="0.3">
      <c r="C3149" s="35">
        <f t="shared" si="50"/>
        <v>0</v>
      </c>
      <c r="D3149" s="30" t="str">
        <f>IFERROR(VLOOKUP(C3149,소속부서!$A$2:$B$20,2,FALSE), "")</f>
        <v/>
      </c>
    </row>
    <row r="3150" spans="3:4" x14ac:dyDescent="0.3">
      <c r="C3150" s="35">
        <f t="shared" si="50"/>
        <v>0</v>
      </c>
      <c r="D3150" s="30" t="str">
        <f>IFERROR(VLOOKUP(C3150,소속부서!$A$2:$B$20,2,FALSE), "")</f>
        <v/>
      </c>
    </row>
    <row r="3151" spans="3:4" x14ac:dyDescent="0.3">
      <c r="C3151" s="35">
        <f t="shared" si="50"/>
        <v>0</v>
      </c>
      <c r="D3151" s="30" t="str">
        <f>IFERROR(VLOOKUP(C3151,소속부서!$A$2:$B$20,2,FALSE), "")</f>
        <v/>
      </c>
    </row>
    <row r="3152" spans="3:4" x14ac:dyDescent="0.3">
      <c r="C3152" s="35">
        <f t="shared" si="50"/>
        <v>0</v>
      </c>
      <c r="D3152" s="30" t="str">
        <f>IFERROR(VLOOKUP(C3152,소속부서!$A$2:$B$20,2,FALSE), "")</f>
        <v/>
      </c>
    </row>
    <row r="3153" spans="3:4" x14ac:dyDescent="0.3">
      <c r="C3153" s="35">
        <f t="shared" si="50"/>
        <v>0</v>
      </c>
      <c r="D3153" s="30" t="str">
        <f>IFERROR(VLOOKUP(C3153,소속부서!$A$2:$B$20,2,FALSE), "")</f>
        <v/>
      </c>
    </row>
    <row r="3154" spans="3:4" x14ac:dyDescent="0.3">
      <c r="C3154" s="35">
        <f t="shared" si="50"/>
        <v>0</v>
      </c>
      <c r="D3154" s="30" t="str">
        <f>IFERROR(VLOOKUP(C3154,소속부서!$A$2:$B$20,2,FALSE), "")</f>
        <v/>
      </c>
    </row>
    <row r="3155" spans="3:4" x14ac:dyDescent="0.3">
      <c r="C3155" s="35">
        <f t="shared" si="50"/>
        <v>0</v>
      </c>
      <c r="D3155" s="30" t="str">
        <f>IFERROR(VLOOKUP(C3155,소속부서!$A$2:$B$20,2,FALSE), "")</f>
        <v/>
      </c>
    </row>
    <row r="3156" spans="3:4" x14ac:dyDescent="0.3">
      <c r="C3156" s="35">
        <f t="shared" si="50"/>
        <v>0</v>
      </c>
      <c r="D3156" s="30" t="str">
        <f>IFERROR(VLOOKUP(C3156,소속부서!$A$2:$B$20,2,FALSE), "")</f>
        <v/>
      </c>
    </row>
    <row r="3157" spans="3:4" x14ac:dyDescent="0.3">
      <c r="C3157" s="35">
        <f t="shared" si="50"/>
        <v>0</v>
      </c>
      <c r="D3157" s="30" t="str">
        <f>IFERROR(VLOOKUP(C3157,소속부서!$A$2:$B$20,2,FALSE), "")</f>
        <v/>
      </c>
    </row>
    <row r="3158" spans="3:4" x14ac:dyDescent="0.3">
      <c r="C3158" s="35">
        <f t="shared" si="50"/>
        <v>0</v>
      </c>
      <c r="D3158" s="30" t="str">
        <f>IFERROR(VLOOKUP(C3158,소속부서!$A$2:$B$20,2,FALSE), "")</f>
        <v/>
      </c>
    </row>
    <row r="3159" spans="3:4" x14ac:dyDescent="0.3">
      <c r="C3159" s="35">
        <f t="shared" si="50"/>
        <v>0</v>
      </c>
      <c r="D3159" s="30" t="str">
        <f>IFERROR(VLOOKUP(C3159,소속부서!$A$2:$B$20,2,FALSE), "")</f>
        <v/>
      </c>
    </row>
    <row r="3160" spans="3:4" x14ac:dyDescent="0.3">
      <c r="C3160" s="35">
        <f t="shared" si="50"/>
        <v>0</v>
      </c>
      <c r="D3160" s="30" t="str">
        <f>IFERROR(VLOOKUP(C3160,소속부서!$A$2:$B$20,2,FALSE), "")</f>
        <v/>
      </c>
    </row>
    <row r="3161" spans="3:4" x14ac:dyDescent="0.3">
      <c r="C3161" s="35">
        <f t="shared" si="50"/>
        <v>0</v>
      </c>
      <c r="D3161" s="30" t="str">
        <f>IFERROR(VLOOKUP(C3161,소속부서!$A$2:$B$20,2,FALSE), "")</f>
        <v/>
      </c>
    </row>
    <row r="3162" spans="3:4" x14ac:dyDescent="0.3">
      <c r="C3162" s="35">
        <f t="shared" si="50"/>
        <v>0</v>
      </c>
      <c r="D3162" s="30" t="str">
        <f>IFERROR(VLOOKUP(C3162,소속부서!$A$2:$B$20,2,FALSE), "")</f>
        <v/>
      </c>
    </row>
    <row r="3163" spans="3:4" x14ac:dyDescent="0.3">
      <c r="C3163" s="35">
        <f t="shared" si="50"/>
        <v>0</v>
      </c>
      <c r="D3163" s="30" t="str">
        <f>IFERROR(VLOOKUP(C3163,소속부서!$A$2:$B$20,2,FALSE), "")</f>
        <v/>
      </c>
    </row>
    <row r="3164" spans="3:4" x14ac:dyDescent="0.3">
      <c r="C3164" s="35">
        <f t="shared" si="50"/>
        <v>0</v>
      </c>
      <c r="D3164" s="30" t="str">
        <f>IFERROR(VLOOKUP(C3164,소속부서!$A$2:$B$20,2,FALSE), "")</f>
        <v/>
      </c>
    </row>
    <row r="3165" spans="3:4" x14ac:dyDescent="0.3">
      <c r="C3165" s="35">
        <f t="shared" si="50"/>
        <v>0</v>
      </c>
      <c r="D3165" s="30" t="str">
        <f>IFERROR(VLOOKUP(C3165,소속부서!$A$2:$B$20,2,FALSE), "")</f>
        <v/>
      </c>
    </row>
    <row r="3166" spans="3:4" x14ac:dyDescent="0.3">
      <c r="C3166" s="35">
        <f t="shared" si="50"/>
        <v>0</v>
      </c>
      <c r="D3166" s="30" t="str">
        <f>IFERROR(VLOOKUP(C3166,소속부서!$A$2:$B$20,2,FALSE), "")</f>
        <v/>
      </c>
    </row>
    <row r="3167" spans="3:4" x14ac:dyDescent="0.3">
      <c r="C3167" s="35">
        <f t="shared" si="50"/>
        <v>0</v>
      </c>
      <c r="D3167" s="30" t="str">
        <f>IFERROR(VLOOKUP(C3167,소속부서!$A$2:$B$20,2,FALSE), "")</f>
        <v/>
      </c>
    </row>
    <row r="3168" spans="3:4" x14ac:dyDescent="0.3">
      <c r="C3168" s="35">
        <f t="shared" si="50"/>
        <v>0</v>
      </c>
      <c r="D3168" s="30" t="str">
        <f>IFERROR(VLOOKUP(C3168,소속부서!$A$2:$B$20,2,FALSE), "")</f>
        <v/>
      </c>
    </row>
    <row r="3169" spans="3:4" x14ac:dyDescent="0.3">
      <c r="C3169" s="35">
        <f t="shared" si="50"/>
        <v>0</v>
      </c>
      <c r="D3169" s="30" t="str">
        <f>IFERROR(VLOOKUP(C3169,소속부서!$A$2:$B$20,2,FALSE), "")</f>
        <v/>
      </c>
    </row>
    <row r="3170" spans="3:4" x14ac:dyDescent="0.3">
      <c r="C3170" s="35">
        <f t="shared" si="50"/>
        <v>0</v>
      </c>
      <c r="D3170" s="30" t="str">
        <f>IFERROR(VLOOKUP(C3170,소속부서!$A$2:$B$20,2,FALSE), "")</f>
        <v/>
      </c>
    </row>
    <row r="3171" spans="3:4" x14ac:dyDescent="0.3">
      <c r="C3171" s="35">
        <f t="shared" si="50"/>
        <v>0</v>
      </c>
      <c r="D3171" s="30" t="str">
        <f>IFERROR(VLOOKUP(C3171,소속부서!$A$2:$B$20,2,FALSE), "")</f>
        <v/>
      </c>
    </row>
    <row r="3172" spans="3:4" x14ac:dyDescent="0.3">
      <c r="C3172" s="35">
        <f t="shared" si="50"/>
        <v>0</v>
      </c>
      <c r="D3172" s="30" t="str">
        <f>IFERROR(VLOOKUP(C3172,소속부서!$A$2:$B$20,2,FALSE), "")</f>
        <v/>
      </c>
    </row>
    <row r="3173" spans="3:4" x14ac:dyDescent="0.3">
      <c r="C3173" s="35">
        <f t="shared" si="50"/>
        <v>0</v>
      </c>
      <c r="D3173" s="30" t="str">
        <f>IFERROR(VLOOKUP(C3173,소속부서!$A$2:$B$20,2,FALSE), "")</f>
        <v/>
      </c>
    </row>
    <row r="3174" spans="3:4" x14ac:dyDescent="0.3">
      <c r="C3174" s="35">
        <f t="shared" si="50"/>
        <v>0</v>
      </c>
      <c r="D3174" s="30" t="str">
        <f>IFERROR(VLOOKUP(C3174,소속부서!$A$2:$B$20,2,FALSE), "")</f>
        <v/>
      </c>
    </row>
    <row r="3175" spans="3:4" x14ac:dyDescent="0.3">
      <c r="C3175" s="35">
        <f t="shared" si="50"/>
        <v>0</v>
      </c>
      <c r="D3175" s="30" t="str">
        <f>IFERROR(VLOOKUP(C3175,소속부서!$A$2:$B$20,2,FALSE), "")</f>
        <v/>
      </c>
    </row>
    <row r="3176" spans="3:4" x14ac:dyDescent="0.3">
      <c r="C3176" s="35">
        <f t="shared" si="50"/>
        <v>0</v>
      </c>
      <c r="D3176" s="30" t="str">
        <f>IFERROR(VLOOKUP(C3176,소속부서!$A$2:$B$20,2,FALSE), "")</f>
        <v/>
      </c>
    </row>
    <row r="3177" spans="3:4" x14ac:dyDescent="0.3">
      <c r="C3177" s="35">
        <f t="shared" si="50"/>
        <v>0</v>
      </c>
      <c r="D3177" s="30" t="str">
        <f>IFERROR(VLOOKUP(C3177,소속부서!$A$2:$B$20,2,FALSE), "")</f>
        <v/>
      </c>
    </row>
    <row r="3178" spans="3:4" x14ac:dyDescent="0.3">
      <c r="C3178" s="35">
        <f t="shared" si="50"/>
        <v>0</v>
      </c>
      <c r="D3178" s="30" t="str">
        <f>IFERROR(VLOOKUP(C3178,소속부서!$A$2:$B$20,2,FALSE), "")</f>
        <v/>
      </c>
    </row>
    <row r="3179" spans="3:4" x14ac:dyDescent="0.3">
      <c r="C3179" s="35">
        <f t="shared" si="50"/>
        <v>0</v>
      </c>
      <c r="D3179" s="30" t="str">
        <f>IFERROR(VLOOKUP(C3179,소속부서!$A$2:$B$20,2,FALSE), "")</f>
        <v/>
      </c>
    </row>
    <row r="3180" spans="3:4" x14ac:dyDescent="0.3">
      <c r="C3180" s="35">
        <f t="shared" si="50"/>
        <v>0</v>
      </c>
      <c r="D3180" s="30" t="str">
        <f>IFERROR(VLOOKUP(C3180,소속부서!$A$2:$B$20,2,FALSE), "")</f>
        <v/>
      </c>
    </row>
    <row r="3181" spans="3:4" x14ac:dyDescent="0.3">
      <c r="C3181" s="35">
        <f t="shared" si="50"/>
        <v>0</v>
      </c>
      <c r="D3181" s="30" t="str">
        <f>IFERROR(VLOOKUP(C3181,소속부서!$A$2:$B$20,2,FALSE), "")</f>
        <v/>
      </c>
    </row>
    <row r="3182" spans="3:4" x14ac:dyDescent="0.3">
      <c r="C3182" s="35">
        <f t="shared" si="50"/>
        <v>0</v>
      </c>
      <c r="D3182" s="30" t="str">
        <f>IFERROR(VLOOKUP(C3182,소속부서!$A$2:$B$20,2,FALSE), "")</f>
        <v/>
      </c>
    </row>
    <row r="3183" spans="3:4" x14ac:dyDescent="0.3">
      <c r="C3183" s="35">
        <f t="shared" si="50"/>
        <v>0</v>
      </c>
      <c r="D3183" s="30" t="str">
        <f>IFERROR(VLOOKUP(C3183,소속부서!$A$2:$B$20,2,FALSE), "")</f>
        <v/>
      </c>
    </row>
    <row r="3184" spans="3:4" x14ac:dyDescent="0.3">
      <c r="C3184" s="35">
        <f t="shared" si="50"/>
        <v>0</v>
      </c>
      <c r="D3184" s="30" t="str">
        <f>IFERROR(VLOOKUP(C3184,소속부서!$A$2:$B$20,2,FALSE), "")</f>
        <v/>
      </c>
    </row>
    <row r="3185" spans="3:4" x14ac:dyDescent="0.3">
      <c r="C3185" s="35">
        <f t="shared" si="50"/>
        <v>0</v>
      </c>
      <c r="D3185" s="30" t="str">
        <f>IFERROR(VLOOKUP(C3185,소속부서!$A$2:$B$20,2,FALSE), "")</f>
        <v/>
      </c>
    </row>
    <row r="3186" spans="3:4" x14ac:dyDescent="0.3">
      <c r="C3186" s="35">
        <f t="shared" si="50"/>
        <v>0</v>
      </c>
      <c r="D3186" s="30" t="str">
        <f>IFERROR(VLOOKUP(C3186,소속부서!$A$2:$B$20,2,FALSE), "")</f>
        <v/>
      </c>
    </row>
    <row r="3187" spans="3:4" x14ac:dyDescent="0.3">
      <c r="C3187" s="35">
        <f t="shared" si="50"/>
        <v>0</v>
      </c>
      <c r="D3187" s="30" t="str">
        <f>IFERROR(VLOOKUP(C3187,소속부서!$A$2:$B$20,2,FALSE), "")</f>
        <v/>
      </c>
    </row>
    <row r="3188" spans="3:4" x14ac:dyDescent="0.3">
      <c r="C3188" s="35">
        <f t="shared" si="50"/>
        <v>0</v>
      </c>
      <c r="D3188" s="30" t="str">
        <f>IFERROR(VLOOKUP(C3188,소속부서!$A$2:$B$20,2,FALSE), "")</f>
        <v/>
      </c>
    </row>
    <row r="3189" spans="3:4" x14ac:dyDescent="0.3">
      <c r="C3189" s="35">
        <f t="shared" si="50"/>
        <v>0</v>
      </c>
      <c r="D3189" s="30" t="str">
        <f>IFERROR(VLOOKUP(C3189,소속부서!$A$2:$B$20,2,FALSE), "")</f>
        <v/>
      </c>
    </row>
    <row r="3190" spans="3:4" x14ac:dyDescent="0.3">
      <c r="C3190" s="35">
        <f t="shared" si="50"/>
        <v>0</v>
      </c>
      <c r="D3190" s="30" t="str">
        <f>IFERROR(VLOOKUP(C3190,소속부서!$A$2:$B$20,2,FALSE), "")</f>
        <v/>
      </c>
    </row>
    <row r="3191" spans="3:4" x14ac:dyDescent="0.3">
      <c r="C3191" s="35">
        <f t="shared" si="50"/>
        <v>0</v>
      </c>
      <c r="D3191" s="30" t="str">
        <f>IFERROR(VLOOKUP(C3191,소속부서!$A$2:$B$20,2,FALSE), "")</f>
        <v/>
      </c>
    </row>
    <row r="3192" spans="3:4" x14ac:dyDescent="0.3">
      <c r="C3192" s="35">
        <f t="shared" si="50"/>
        <v>0</v>
      </c>
      <c r="D3192" s="30" t="str">
        <f>IFERROR(VLOOKUP(C3192,소속부서!$A$2:$B$20,2,FALSE), "")</f>
        <v/>
      </c>
    </row>
    <row r="3193" spans="3:4" x14ac:dyDescent="0.3">
      <c r="C3193" s="35">
        <f t="shared" si="50"/>
        <v>0</v>
      </c>
      <c r="D3193" s="30" t="str">
        <f>IFERROR(VLOOKUP(C3193,소속부서!$A$2:$B$20,2,FALSE), "")</f>
        <v/>
      </c>
    </row>
    <row r="3194" spans="3:4" x14ac:dyDescent="0.3">
      <c r="C3194" s="35">
        <f t="shared" si="50"/>
        <v>0</v>
      </c>
      <c r="D3194" s="30" t="str">
        <f>IFERROR(VLOOKUP(C3194,소속부서!$A$2:$B$20,2,FALSE), "")</f>
        <v/>
      </c>
    </row>
    <row r="3195" spans="3:4" x14ac:dyDescent="0.3">
      <c r="C3195" s="35">
        <f t="shared" si="50"/>
        <v>0</v>
      </c>
      <c r="D3195" s="30" t="str">
        <f>IFERROR(VLOOKUP(C3195,소속부서!$A$2:$B$20,2,FALSE), "")</f>
        <v/>
      </c>
    </row>
    <row r="3196" spans="3:4" x14ac:dyDescent="0.3">
      <c r="C3196" s="35">
        <f t="shared" si="50"/>
        <v>0</v>
      </c>
      <c r="D3196" s="30" t="str">
        <f>IFERROR(VLOOKUP(C3196,소속부서!$A$2:$B$20,2,FALSE), "")</f>
        <v/>
      </c>
    </row>
    <row r="3197" spans="3:4" x14ac:dyDescent="0.3">
      <c r="C3197" s="35">
        <f t="shared" si="50"/>
        <v>0</v>
      </c>
      <c r="D3197" s="30" t="str">
        <f>IFERROR(VLOOKUP(C3197,소속부서!$A$2:$B$20,2,FALSE), "")</f>
        <v/>
      </c>
    </row>
    <row r="3198" spans="3:4" x14ac:dyDescent="0.3">
      <c r="C3198" s="35">
        <f t="shared" si="50"/>
        <v>0</v>
      </c>
      <c r="D3198" s="30" t="str">
        <f>IFERROR(VLOOKUP(C3198,소속부서!$A$2:$B$20,2,FALSE), "")</f>
        <v/>
      </c>
    </row>
    <row r="3199" spans="3:4" x14ac:dyDescent="0.3">
      <c r="C3199" s="35">
        <f t="shared" si="50"/>
        <v>0</v>
      </c>
      <c r="D3199" s="30" t="str">
        <f>IFERROR(VLOOKUP(C3199,소속부서!$A$2:$B$20,2,FALSE), "")</f>
        <v/>
      </c>
    </row>
    <row r="3200" spans="3:4" x14ac:dyDescent="0.3">
      <c r="C3200" s="35">
        <f t="shared" si="50"/>
        <v>0</v>
      </c>
      <c r="D3200" s="30" t="str">
        <f>IFERROR(VLOOKUP(C3200,소속부서!$A$2:$B$20,2,FALSE), "")</f>
        <v/>
      </c>
    </row>
    <row r="3201" spans="3:4" x14ac:dyDescent="0.3">
      <c r="C3201" s="35">
        <f t="shared" si="50"/>
        <v>0</v>
      </c>
      <c r="D3201" s="30" t="str">
        <f>IFERROR(VLOOKUP(C3201,소속부서!$A$2:$B$20,2,FALSE), "")</f>
        <v/>
      </c>
    </row>
    <row r="3202" spans="3:4" x14ac:dyDescent="0.3">
      <c r="C3202" s="35">
        <f t="shared" si="50"/>
        <v>0</v>
      </c>
      <c r="D3202" s="30" t="str">
        <f>IFERROR(VLOOKUP(C3202,소속부서!$A$2:$B$20,2,FALSE), "")</f>
        <v/>
      </c>
    </row>
    <row r="3203" spans="3:4" x14ac:dyDescent="0.3">
      <c r="C3203" s="35">
        <f t="shared" si="50"/>
        <v>0</v>
      </c>
      <c r="D3203" s="30" t="str">
        <f>IFERROR(VLOOKUP(C3203,소속부서!$A$2:$B$20,2,FALSE), "")</f>
        <v/>
      </c>
    </row>
    <row r="3204" spans="3:4" x14ac:dyDescent="0.3">
      <c r="C3204" s="35">
        <f t="shared" ref="C3204:C3267" si="51">E3204</f>
        <v>0</v>
      </c>
      <c r="D3204" s="30" t="str">
        <f>IFERROR(VLOOKUP(C3204,소속부서!$A$2:$B$20,2,FALSE), "")</f>
        <v/>
      </c>
    </row>
    <row r="3205" spans="3:4" x14ac:dyDescent="0.3">
      <c r="C3205" s="35">
        <f t="shared" si="51"/>
        <v>0</v>
      </c>
      <c r="D3205" s="30" t="str">
        <f>IFERROR(VLOOKUP(C3205,소속부서!$A$2:$B$20,2,FALSE), "")</f>
        <v/>
      </c>
    </row>
    <row r="3206" spans="3:4" x14ac:dyDescent="0.3">
      <c r="C3206" s="35">
        <f t="shared" si="51"/>
        <v>0</v>
      </c>
      <c r="D3206" s="30" t="str">
        <f>IFERROR(VLOOKUP(C3206,소속부서!$A$2:$B$20,2,FALSE), "")</f>
        <v/>
      </c>
    </row>
    <row r="3207" spans="3:4" x14ac:dyDescent="0.3">
      <c r="C3207" s="35">
        <f t="shared" si="51"/>
        <v>0</v>
      </c>
      <c r="D3207" s="30" t="str">
        <f>IFERROR(VLOOKUP(C3207,소속부서!$A$2:$B$20,2,FALSE), "")</f>
        <v/>
      </c>
    </row>
    <row r="3208" spans="3:4" x14ac:dyDescent="0.3">
      <c r="C3208" s="35">
        <f t="shared" si="51"/>
        <v>0</v>
      </c>
      <c r="D3208" s="30" t="str">
        <f>IFERROR(VLOOKUP(C3208,소속부서!$A$2:$B$20,2,FALSE), "")</f>
        <v/>
      </c>
    </row>
    <row r="3209" spans="3:4" x14ac:dyDescent="0.3">
      <c r="C3209" s="35">
        <f t="shared" si="51"/>
        <v>0</v>
      </c>
      <c r="D3209" s="30" t="str">
        <f>IFERROR(VLOOKUP(C3209,소속부서!$A$2:$B$20,2,FALSE), "")</f>
        <v/>
      </c>
    </row>
    <row r="3210" spans="3:4" x14ac:dyDescent="0.3">
      <c r="C3210" s="35">
        <f t="shared" si="51"/>
        <v>0</v>
      </c>
      <c r="D3210" s="30" t="str">
        <f>IFERROR(VLOOKUP(C3210,소속부서!$A$2:$B$20,2,FALSE), "")</f>
        <v/>
      </c>
    </row>
    <row r="3211" spans="3:4" x14ac:dyDescent="0.3">
      <c r="C3211" s="35">
        <f t="shared" si="51"/>
        <v>0</v>
      </c>
      <c r="D3211" s="30" t="str">
        <f>IFERROR(VLOOKUP(C3211,소속부서!$A$2:$B$20,2,FALSE), "")</f>
        <v/>
      </c>
    </row>
    <row r="3212" spans="3:4" x14ac:dyDescent="0.3">
      <c r="C3212" s="35">
        <f t="shared" si="51"/>
        <v>0</v>
      </c>
      <c r="D3212" s="30" t="str">
        <f>IFERROR(VLOOKUP(C3212,소속부서!$A$2:$B$20,2,FALSE), "")</f>
        <v/>
      </c>
    </row>
    <row r="3213" spans="3:4" x14ac:dyDescent="0.3">
      <c r="C3213" s="35">
        <f t="shared" si="51"/>
        <v>0</v>
      </c>
      <c r="D3213" s="30" t="str">
        <f>IFERROR(VLOOKUP(C3213,소속부서!$A$2:$B$20,2,FALSE), "")</f>
        <v/>
      </c>
    </row>
    <row r="3214" spans="3:4" x14ac:dyDescent="0.3">
      <c r="C3214" s="35">
        <f t="shared" si="51"/>
        <v>0</v>
      </c>
      <c r="D3214" s="30" t="str">
        <f>IFERROR(VLOOKUP(C3214,소속부서!$A$2:$B$20,2,FALSE), "")</f>
        <v/>
      </c>
    </row>
    <row r="3215" spans="3:4" x14ac:dyDescent="0.3">
      <c r="C3215" s="35">
        <f t="shared" si="51"/>
        <v>0</v>
      </c>
      <c r="D3215" s="30" t="str">
        <f>IFERROR(VLOOKUP(C3215,소속부서!$A$2:$B$20,2,FALSE), "")</f>
        <v/>
      </c>
    </row>
    <row r="3216" spans="3:4" x14ac:dyDescent="0.3">
      <c r="C3216" s="35">
        <f t="shared" si="51"/>
        <v>0</v>
      </c>
      <c r="D3216" s="30" t="str">
        <f>IFERROR(VLOOKUP(C3216,소속부서!$A$2:$B$20,2,FALSE), "")</f>
        <v/>
      </c>
    </row>
    <row r="3217" spans="3:4" x14ac:dyDescent="0.3">
      <c r="C3217" s="35">
        <f t="shared" si="51"/>
        <v>0</v>
      </c>
      <c r="D3217" s="30" t="str">
        <f>IFERROR(VLOOKUP(C3217,소속부서!$A$2:$B$20,2,FALSE), "")</f>
        <v/>
      </c>
    </row>
    <row r="3218" spans="3:4" x14ac:dyDescent="0.3">
      <c r="C3218" s="35">
        <f t="shared" si="51"/>
        <v>0</v>
      </c>
      <c r="D3218" s="30" t="str">
        <f>IFERROR(VLOOKUP(C3218,소속부서!$A$2:$B$20,2,FALSE), "")</f>
        <v/>
      </c>
    </row>
    <row r="3219" spans="3:4" x14ac:dyDescent="0.3">
      <c r="C3219" s="35">
        <f t="shared" si="51"/>
        <v>0</v>
      </c>
      <c r="D3219" s="30" t="str">
        <f>IFERROR(VLOOKUP(C3219,소속부서!$A$2:$B$20,2,FALSE), "")</f>
        <v/>
      </c>
    </row>
    <row r="3220" spans="3:4" x14ac:dyDescent="0.3">
      <c r="C3220" s="35">
        <f t="shared" si="51"/>
        <v>0</v>
      </c>
      <c r="D3220" s="30" t="str">
        <f>IFERROR(VLOOKUP(C3220,소속부서!$A$2:$B$20,2,FALSE), "")</f>
        <v/>
      </c>
    </row>
    <row r="3221" spans="3:4" x14ac:dyDescent="0.3">
      <c r="C3221" s="35">
        <f t="shared" si="51"/>
        <v>0</v>
      </c>
      <c r="D3221" s="30" t="str">
        <f>IFERROR(VLOOKUP(C3221,소속부서!$A$2:$B$20,2,FALSE), "")</f>
        <v/>
      </c>
    </row>
    <row r="3222" spans="3:4" x14ac:dyDescent="0.3">
      <c r="C3222" s="35">
        <f t="shared" si="51"/>
        <v>0</v>
      </c>
      <c r="D3222" s="30" t="str">
        <f>IFERROR(VLOOKUP(C3222,소속부서!$A$2:$B$20,2,FALSE), "")</f>
        <v/>
      </c>
    </row>
    <row r="3223" spans="3:4" x14ac:dyDescent="0.3">
      <c r="C3223" s="35">
        <f t="shared" si="51"/>
        <v>0</v>
      </c>
      <c r="D3223" s="30" t="str">
        <f>IFERROR(VLOOKUP(C3223,소속부서!$A$2:$B$20,2,FALSE), "")</f>
        <v/>
      </c>
    </row>
    <row r="3224" spans="3:4" x14ac:dyDescent="0.3">
      <c r="C3224" s="35">
        <f t="shared" si="51"/>
        <v>0</v>
      </c>
      <c r="D3224" s="30" t="str">
        <f>IFERROR(VLOOKUP(C3224,소속부서!$A$2:$B$20,2,FALSE), "")</f>
        <v/>
      </c>
    </row>
    <row r="3225" spans="3:4" x14ac:dyDescent="0.3">
      <c r="C3225" s="35">
        <f t="shared" si="51"/>
        <v>0</v>
      </c>
      <c r="D3225" s="30" t="str">
        <f>IFERROR(VLOOKUP(C3225,소속부서!$A$2:$B$20,2,FALSE), "")</f>
        <v/>
      </c>
    </row>
    <row r="3226" spans="3:4" x14ac:dyDescent="0.3">
      <c r="C3226" s="35">
        <f t="shared" si="51"/>
        <v>0</v>
      </c>
      <c r="D3226" s="30" t="str">
        <f>IFERROR(VLOOKUP(C3226,소속부서!$A$2:$B$20,2,FALSE), "")</f>
        <v/>
      </c>
    </row>
    <row r="3227" spans="3:4" x14ac:dyDescent="0.3">
      <c r="C3227" s="35">
        <f t="shared" si="51"/>
        <v>0</v>
      </c>
      <c r="D3227" s="30" t="str">
        <f>IFERROR(VLOOKUP(C3227,소속부서!$A$2:$B$20,2,FALSE), "")</f>
        <v/>
      </c>
    </row>
    <row r="3228" spans="3:4" x14ac:dyDescent="0.3">
      <c r="C3228" s="35">
        <f t="shared" si="51"/>
        <v>0</v>
      </c>
      <c r="D3228" s="30" t="str">
        <f>IFERROR(VLOOKUP(C3228,소속부서!$A$2:$B$20,2,FALSE), "")</f>
        <v/>
      </c>
    </row>
    <row r="3229" spans="3:4" x14ac:dyDescent="0.3">
      <c r="C3229" s="35">
        <f t="shared" si="51"/>
        <v>0</v>
      </c>
      <c r="D3229" s="30" t="str">
        <f>IFERROR(VLOOKUP(C3229,소속부서!$A$2:$B$20,2,FALSE), "")</f>
        <v/>
      </c>
    </row>
    <row r="3230" spans="3:4" x14ac:dyDescent="0.3">
      <c r="C3230" s="35">
        <f t="shared" si="51"/>
        <v>0</v>
      </c>
      <c r="D3230" s="30" t="str">
        <f>IFERROR(VLOOKUP(C3230,소속부서!$A$2:$B$20,2,FALSE), "")</f>
        <v/>
      </c>
    </row>
    <row r="3231" spans="3:4" x14ac:dyDescent="0.3">
      <c r="C3231" s="35">
        <f t="shared" si="51"/>
        <v>0</v>
      </c>
      <c r="D3231" s="30" t="str">
        <f>IFERROR(VLOOKUP(C3231,소속부서!$A$2:$B$20,2,FALSE), "")</f>
        <v/>
      </c>
    </row>
    <row r="3232" spans="3:4" x14ac:dyDescent="0.3">
      <c r="C3232" s="35">
        <f t="shared" si="51"/>
        <v>0</v>
      </c>
      <c r="D3232" s="30" t="str">
        <f>IFERROR(VLOOKUP(C3232,소속부서!$A$2:$B$20,2,FALSE), "")</f>
        <v/>
      </c>
    </row>
    <row r="3233" spans="3:4" x14ac:dyDescent="0.3">
      <c r="C3233" s="35">
        <f t="shared" si="51"/>
        <v>0</v>
      </c>
      <c r="D3233" s="30" t="str">
        <f>IFERROR(VLOOKUP(C3233,소속부서!$A$2:$B$20,2,FALSE), "")</f>
        <v/>
      </c>
    </row>
    <row r="3234" spans="3:4" x14ac:dyDescent="0.3">
      <c r="C3234" s="35">
        <f t="shared" si="51"/>
        <v>0</v>
      </c>
      <c r="D3234" s="30" t="str">
        <f>IFERROR(VLOOKUP(C3234,소속부서!$A$2:$B$20,2,FALSE), "")</f>
        <v/>
      </c>
    </row>
    <row r="3235" spans="3:4" x14ac:dyDescent="0.3">
      <c r="C3235" s="35">
        <f t="shared" si="51"/>
        <v>0</v>
      </c>
      <c r="D3235" s="30" t="str">
        <f>IFERROR(VLOOKUP(C3235,소속부서!$A$2:$B$20,2,FALSE), "")</f>
        <v/>
      </c>
    </row>
    <row r="3236" spans="3:4" x14ac:dyDescent="0.3">
      <c r="C3236" s="35">
        <f t="shared" si="51"/>
        <v>0</v>
      </c>
      <c r="D3236" s="30" t="str">
        <f>IFERROR(VLOOKUP(C3236,소속부서!$A$2:$B$20,2,FALSE), "")</f>
        <v/>
      </c>
    </row>
    <row r="3237" spans="3:4" x14ac:dyDescent="0.3">
      <c r="C3237" s="35">
        <f t="shared" si="51"/>
        <v>0</v>
      </c>
      <c r="D3237" s="30" t="str">
        <f>IFERROR(VLOOKUP(C3237,소속부서!$A$2:$B$20,2,FALSE), "")</f>
        <v/>
      </c>
    </row>
    <row r="3238" spans="3:4" x14ac:dyDescent="0.3">
      <c r="C3238" s="35">
        <f t="shared" si="51"/>
        <v>0</v>
      </c>
      <c r="D3238" s="30" t="str">
        <f>IFERROR(VLOOKUP(C3238,소속부서!$A$2:$B$20,2,FALSE), "")</f>
        <v/>
      </c>
    </row>
    <row r="3239" spans="3:4" x14ac:dyDescent="0.3">
      <c r="C3239" s="35">
        <f t="shared" si="51"/>
        <v>0</v>
      </c>
      <c r="D3239" s="30" t="str">
        <f>IFERROR(VLOOKUP(C3239,소속부서!$A$2:$B$20,2,FALSE), "")</f>
        <v/>
      </c>
    </row>
    <row r="3240" spans="3:4" x14ac:dyDescent="0.3">
      <c r="C3240" s="35">
        <f t="shared" si="51"/>
        <v>0</v>
      </c>
      <c r="D3240" s="30" t="str">
        <f>IFERROR(VLOOKUP(C3240,소속부서!$A$2:$B$20,2,FALSE), "")</f>
        <v/>
      </c>
    </row>
    <row r="3241" spans="3:4" x14ac:dyDescent="0.3">
      <c r="C3241" s="35">
        <f t="shared" si="51"/>
        <v>0</v>
      </c>
      <c r="D3241" s="30" t="str">
        <f>IFERROR(VLOOKUP(C3241,소속부서!$A$2:$B$20,2,FALSE), "")</f>
        <v/>
      </c>
    </row>
    <row r="3242" spans="3:4" x14ac:dyDescent="0.3">
      <c r="C3242" s="35">
        <f t="shared" si="51"/>
        <v>0</v>
      </c>
      <c r="D3242" s="30" t="str">
        <f>IFERROR(VLOOKUP(C3242,소속부서!$A$2:$B$20,2,FALSE), "")</f>
        <v/>
      </c>
    </row>
    <row r="3243" spans="3:4" x14ac:dyDescent="0.3">
      <c r="C3243" s="35">
        <f t="shared" si="51"/>
        <v>0</v>
      </c>
      <c r="D3243" s="30" t="str">
        <f>IFERROR(VLOOKUP(C3243,소속부서!$A$2:$B$20,2,FALSE), "")</f>
        <v/>
      </c>
    </row>
    <row r="3244" spans="3:4" x14ac:dyDescent="0.3">
      <c r="C3244" s="35">
        <f t="shared" si="51"/>
        <v>0</v>
      </c>
      <c r="D3244" s="30" t="str">
        <f>IFERROR(VLOOKUP(C3244,소속부서!$A$2:$B$20,2,FALSE), "")</f>
        <v/>
      </c>
    </row>
    <row r="3245" spans="3:4" x14ac:dyDescent="0.3">
      <c r="C3245" s="35">
        <f t="shared" si="51"/>
        <v>0</v>
      </c>
      <c r="D3245" s="30" t="str">
        <f>IFERROR(VLOOKUP(C3245,소속부서!$A$2:$B$20,2,FALSE), "")</f>
        <v/>
      </c>
    </row>
    <row r="3246" spans="3:4" x14ac:dyDescent="0.3">
      <c r="C3246" s="35">
        <f t="shared" si="51"/>
        <v>0</v>
      </c>
      <c r="D3246" s="30" t="str">
        <f>IFERROR(VLOOKUP(C3246,소속부서!$A$2:$B$20,2,FALSE), "")</f>
        <v/>
      </c>
    </row>
    <row r="3247" spans="3:4" x14ac:dyDescent="0.3">
      <c r="C3247" s="35">
        <f t="shared" si="51"/>
        <v>0</v>
      </c>
      <c r="D3247" s="30" t="str">
        <f>IFERROR(VLOOKUP(C3247,소속부서!$A$2:$B$20,2,FALSE), "")</f>
        <v/>
      </c>
    </row>
    <row r="3248" spans="3:4" x14ac:dyDescent="0.3">
      <c r="C3248" s="35">
        <f t="shared" si="51"/>
        <v>0</v>
      </c>
      <c r="D3248" s="30" t="str">
        <f>IFERROR(VLOOKUP(C3248,소속부서!$A$2:$B$20,2,FALSE), "")</f>
        <v/>
      </c>
    </row>
    <row r="3249" spans="3:4" x14ac:dyDescent="0.3">
      <c r="C3249" s="35">
        <f t="shared" si="51"/>
        <v>0</v>
      </c>
      <c r="D3249" s="30" t="str">
        <f>IFERROR(VLOOKUP(C3249,소속부서!$A$2:$B$20,2,FALSE), "")</f>
        <v/>
      </c>
    </row>
    <row r="3250" spans="3:4" x14ac:dyDescent="0.3">
      <c r="C3250" s="35">
        <f t="shared" si="51"/>
        <v>0</v>
      </c>
      <c r="D3250" s="30" t="str">
        <f>IFERROR(VLOOKUP(C3250,소속부서!$A$2:$B$20,2,FALSE), "")</f>
        <v/>
      </c>
    </row>
    <row r="3251" spans="3:4" x14ac:dyDescent="0.3">
      <c r="C3251" s="35">
        <f t="shared" si="51"/>
        <v>0</v>
      </c>
      <c r="D3251" s="30" t="str">
        <f>IFERROR(VLOOKUP(C3251,소속부서!$A$2:$B$20,2,FALSE), "")</f>
        <v/>
      </c>
    </row>
    <row r="3252" spans="3:4" x14ac:dyDescent="0.3">
      <c r="C3252" s="35">
        <f t="shared" si="51"/>
        <v>0</v>
      </c>
      <c r="D3252" s="30" t="str">
        <f>IFERROR(VLOOKUP(C3252,소속부서!$A$2:$B$20,2,FALSE), "")</f>
        <v/>
      </c>
    </row>
    <row r="3253" spans="3:4" x14ac:dyDescent="0.3">
      <c r="C3253" s="35">
        <f t="shared" si="51"/>
        <v>0</v>
      </c>
      <c r="D3253" s="30" t="str">
        <f>IFERROR(VLOOKUP(C3253,소속부서!$A$2:$B$20,2,FALSE), "")</f>
        <v/>
      </c>
    </row>
    <row r="3254" spans="3:4" x14ac:dyDescent="0.3">
      <c r="C3254" s="35">
        <f t="shared" si="51"/>
        <v>0</v>
      </c>
      <c r="D3254" s="30" t="str">
        <f>IFERROR(VLOOKUP(C3254,소속부서!$A$2:$B$20,2,FALSE), "")</f>
        <v/>
      </c>
    </row>
    <row r="3255" spans="3:4" x14ac:dyDescent="0.3">
      <c r="C3255" s="35">
        <f t="shared" si="51"/>
        <v>0</v>
      </c>
      <c r="D3255" s="30" t="str">
        <f>IFERROR(VLOOKUP(C3255,소속부서!$A$2:$B$20,2,FALSE), "")</f>
        <v/>
      </c>
    </row>
    <row r="3256" spans="3:4" x14ac:dyDescent="0.3">
      <c r="C3256" s="35">
        <f t="shared" si="51"/>
        <v>0</v>
      </c>
      <c r="D3256" s="30" t="str">
        <f>IFERROR(VLOOKUP(C3256,소속부서!$A$2:$B$20,2,FALSE), "")</f>
        <v/>
      </c>
    </row>
    <row r="3257" spans="3:4" x14ac:dyDescent="0.3">
      <c r="C3257" s="35">
        <f t="shared" si="51"/>
        <v>0</v>
      </c>
      <c r="D3257" s="30" t="str">
        <f>IFERROR(VLOOKUP(C3257,소속부서!$A$2:$B$20,2,FALSE), "")</f>
        <v/>
      </c>
    </row>
    <row r="3258" spans="3:4" x14ac:dyDescent="0.3">
      <c r="C3258" s="35">
        <f t="shared" si="51"/>
        <v>0</v>
      </c>
      <c r="D3258" s="30" t="str">
        <f>IFERROR(VLOOKUP(C3258,소속부서!$A$2:$B$20,2,FALSE), "")</f>
        <v/>
      </c>
    </row>
    <row r="3259" spans="3:4" x14ac:dyDescent="0.3">
      <c r="C3259" s="35">
        <f t="shared" si="51"/>
        <v>0</v>
      </c>
      <c r="D3259" s="30" t="str">
        <f>IFERROR(VLOOKUP(C3259,소속부서!$A$2:$B$20,2,FALSE), "")</f>
        <v/>
      </c>
    </row>
    <row r="3260" spans="3:4" x14ac:dyDescent="0.3">
      <c r="C3260" s="35">
        <f t="shared" si="51"/>
        <v>0</v>
      </c>
      <c r="D3260" s="30" t="str">
        <f>IFERROR(VLOOKUP(C3260,소속부서!$A$2:$B$20,2,FALSE), "")</f>
        <v/>
      </c>
    </row>
    <row r="3261" spans="3:4" x14ac:dyDescent="0.3">
      <c r="C3261" s="35">
        <f t="shared" si="51"/>
        <v>0</v>
      </c>
      <c r="D3261" s="30" t="str">
        <f>IFERROR(VLOOKUP(C3261,소속부서!$A$2:$B$20,2,FALSE), "")</f>
        <v/>
      </c>
    </row>
    <row r="3262" spans="3:4" x14ac:dyDescent="0.3">
      <c r="C3262" s="35">
        <f t="shared" si="51"/>
        <v>0</v>
      </c>
      <c r="D3262" s="30" t="str">
        <f>IFERROR(VLOOKUP(C3262,소속부서!$A$2:$B$20,2,FALSE), "")</f>
        <v/>
      </c>
    </row>
    <row r="3263" spans="3:4" x14ac:dyDescent="0.3">
      <c r="C3263" s="35">
        <f t="shared" si="51"/>
        <v>0</v>
      </c>
      <c r="D3263" s="30" t="str">
        <f>IFERROR(VLOOKUP(C3263,소속부서!$A$2:$B$20,2,FALSE), "")</f>
        <v/>
      </c>
    </row>
    <row r="3264" spans="3:4" x14ac:dyDescent="0.3">
      <c r="C3264" s="35">
        <f t="shared" si="51"/>
        <v>0</v>
      </c>
      <c r="D3264" s="30" t="str">
        <f>IFERROR(VLOOKUP(C3264,소속부서!$A$2:$B$20,2,FALSE), "")</f>
        <v/>
      </c>
    </row>
    <row r="3265" spans="3:4" x14ac:dyDescent="0.3">
      <c r="C3265" s="35">
        <f t="shared" si="51"/>
        <v>0</v>
      </c>
      <c r="D3265" s="30" t="str">
        <f>IFERROR(VLOOKUP(C3265,소속부서!$A$2:$B$20,2,FALSE), "")</f>
        <v/>
      </c>
    </row>
    <row r="3266" spans="3:4" x14ac:dyDescent="0.3">
      <c r="C3266" s="35">
        <f t="shared" si="51"/>
        <v>0</v>
      </c>
      <c r="D3266" s="30" t="str">
        <f>IFERROR(VLOOKUP(C3266,소속부서!$A$2:$B$20,2,FALSE), "")</f>
        <v/>
      </c>
    </row>
    <row r="3267" spans="3:4" x14ac:dyDescent="0.3">
      <c r="C3267" s="35">
        <f t="shared" si="51"/>
        <v>0</v>
      </c>
      <c r="D3267" s="30" t="str">
        <f>IFERROR(VLOOKUP(C3267,소속부서!$A$2:$B$20,2,FALSE), "")</f>
        <v/>
      </c>
    </row>
    <row r="3268" spans="3:4" x14ac:dyDescent="0.3">
      <c r="C3268" s="35">
        <f t="shared" ref="C3268:C3331" si="52">E3268</f>
        <v>0</v>
      </c>
      <c r="D3268" s="30" t="str">
        <f>IFERROR(VLOOKUP(C3268,소속부서!$A$2:$B$20,2,FALSE), "")</f>
        <v/>
      </c>
    </row>
    <row r="3269" spans="3:4" x14ac:dyDescent="0.3">
      <c r="C3269" s="35">
        <f t="shared" si="52"/>
        <v>0</v>
      </c>
      <c r="D3269" s="30" t="str">
        <f>IFERROR(VLOOKUP(C3269,소속부서!$A$2:$B$20,2,FALSE), "")</f>
        <v/>
      </c>
    </row>
    <row r="3270" spans="3:4" x14ac:dyDescent="0.3">
      <c r="C3270" s="35">
        <f t="shared" si="52"/>
        <v>0</v>
      </c>
      <c r="D3270" s="30" t="str">
        <f>IFERROR(VLOOKUP(C3270,소속부서!$A$2:$B$20,2,FALSE), "")</f>
        <v/>
      </c>
    </row>
    <row r="3271" spans="3:4" x14ac:dyDescent="0.3">
      <c r="C3271" s="35">
        <f t="shared" si="52"/>
        <v>0</v>
      </c>
      <c r="D3271" s="30" t="str">
        <f>IFERROR(VLOOKUP(C3271,소속부서!$A$2:$B$20,2,FALSE), "")</f>
        <v/>
      </c>
    </row>
    <row r="3272" spans="3:4" x14ac:dyDescent="0.3">
      <c r="C3272" s="35">
        <f t="shared" si="52"/>
        <v>0</v>
      </c>
      <c r="D3272" s="30" t="str">
        <f>IFERROR(VLOOKUP(C3272,소속부서!$A$2:$B$20,2,FALSE), "")</f>
        <v/>
      </c>
    </row>
    <row r="3273" spans="3:4" x14ac:dyDescent="0.3">
      <c r="C3273" s="35">
        <f t="shared" si="52"/>
        <v>0</v>
      </c>
      <c r="D3273" s="30" t="str">
        <f>IFERROR(VLOOKUP(C3273,소속부서!$A$2:$B$20,2,FALSE), "")</f>
        <v/>
      </c>
    </row>
    <row r="3274" spans="3:4" x14ac:dyDescent="0.3">
      <c r="C3274" s="35">
        <f t="shared" si="52"/>
        <v>0</v>
      </c>
      <c r="D3274" s="30" t="str">
        <f>IFERROR(VLOOKUP(C3274,소속부서!$A$2:$B$20,2,FALSE), "")</f>
        <v/>
      </c>
    </row>
    <row r="3275" spans="3:4" x14ac:dyDescent="0.3">
      <c r="C3275" s="35">
        <f t="shared" si="52"/>
        <v>0</v>
      </c>
      <c r="D3275" s="30" t="str">
        <f>IFERROR(VLOOKUP(C3275,소속부서!$A$2:$B$20,2,FALSE), "")</f>
        <v/>
      </c>
    </row>
    <row r="3276" spans="3:4" x14ac:dyDescent="0.3">
      <c r="C3276" s="35">
        <f t="shared" si="52"/>
        <v>0</v>
      </c>
      <c r="D3276" s="30" t="str">
        <f>IFERROR(VLOOKUP(C3276,소속부서!$A$2:$B$20,2,FALSE), "")</f>
        <v/>
      </c>
    </row>
    <row r="3277" spans="3:4" x14ac:dyDescent="0.3">
      <c r="C3277" s="35">
        <f t="shared" si="52"/>
        <v>0</v>
      </c>
      <c r="D3277" s="30" t="str">
        <f>IFERROR(VLOOKUP(C3277,소속부서!$A$2:$B$20,2,FALSE), "")</f>
        <v/>
      </c>
    </row>
    <row r="3278" spans="3:4" x14ac:dyDescent="0.3">
      <c r="C3278" s="35">
        <f t="shared" si="52"/>
        <v>0</v>
      </c>
      <c r="D3278" s="30" t="str">
        <f>IFERROR(VLOOKUP(C3278,소속부서!$A$2:$B$20,2,FALSE), "")</f>
        <v/>
      </c>
    </row>
    <row r="3279" spans="3:4" x14ac:dyDescent="0.3">
      <c r="C3279" s="35">
        <f t="shared" si="52"/>
        <v>0</v>
      </c>
      <c r="D3279" s="30" t="str">
        <f>IFERROR(VLOOKUP(C3279,소속부서!$A$2:$B$20,2,FALSE), "")</f>
        <v/>
      </c>
    </row>
    <row r="3280" spans="3:4" x14ac:dyDescent="0.3">
      <c r="C3280" s="35">
        <f t="shared" si="52"/>
        <v>0</v>
      </c>
      <c r="D3280" s="30" t="str">
        <f>IFERROR(VLOOKUP(C3280,소속부서!$A$2:$B$20,2,FALSE), "")</f>
        <v/>
      </c>
    </row>
    <row r="3281" spans="3:4" x14ac:dyDescent="0.3">
      <c r="C3281" s="35">
        <f t="shared" si="52"/>
        <v>0</v>
      </c>
      <c r="D3281" s="30" t="str">
        <f>IFERROR(VLOOKUP(C3281,소속부서!$A$2:$B$20,2,FALSE), "")</f>
        <v/>
      </c>
    </row>
    <row r="3282" spans="3:4" x14ac:dyDescent="0.3">
      <c r="C3282" s="35">
        <f t="shared" si="52"/>
        <v>0</v>
      </c>
      <c r="D3282" s="30" t="str">
        <f>IFERROR(VLOOKUP(C3282,소속부서!$A$2:$B$20,2,FALSE), "")</f>
        <v/>
      </c>
    </row>
    <row r="3283" spans="3:4" x14ac:dyDescent="0.3">
      <c r="C3283" s="35">
        <f t="shared" si="52"/>
        <v>0</v>
      </c>
      <c r="D3283" s="30" t="str">
        <f>IFERROR(VLOOKUP(C3283,소속부서!$A$2:$B$20,2,FALSE), "")</f>
        <v/>
      </c>
    </row>
    <row r="3284" spans="3:4" x14ac:dyDescent="0.3">
      <c r="C3284" s="35">
        <f t="shared" si="52"/>
        <v>0</v>
      </c>
      <c r="D3284" s="30" t="str">
        <f>IFERROR(VLOOKUP(C3284,소속부서!$A$2:$B$20,2,FALSE), "")</f>
        <v/>
      </c>
    </row>
    <row r="3285" spans="3:4" x14ac:dyDescent="0.3">
      <c r="C3285" s="35">
        <f t="shared" si="52"/>
        <v>0</v>
      </c>
      <c r="D3285" s="30" t="str">
        <f>IFERROR(VLOOKUP(C3285,소속부서!$A$2:$B$20,2,FALSE), "")</f>
        <v/>
      </c>
    </row>
    <row r="3286" spans="3:4" x14ac:dyDescent="0.3">
      <c r="C3286" s="35">
        <f t="shared" si="52"/>
        <v>0</v>
      </c>
      <c r="D3286" s="30" t="str">
        <f>IFERROR(VLOOKUP(C3286,소속부서!$A$2:$B$20,2,FALSE), "")</f>
        <v/>
      </c>
    </row>
    <row r="3287" spans="3:4" x14ac:dyDescent="0.3">
      <c r="C3287" s="35">
        <f t="shared" si="52"/>
        <v>0</v>
      </c>
      <c r="D3287" s="30" t="str">
        <f>IFERROR(VLOOKUP(C3287,소속부서!$A$2:$B$20,2,FALSE), "")</f>
        <v/>
      </c>
    </row>
    <row r="3288" spans="3:4" x14ac:dyDescent="0.3">
      <c r="C3288" s="35">
        <f t="shared" si="52"/>
        <v>0</v>
      </c>
      <c r="D3288" s="30" t="str">
        <f>IFERROR(VLOOKUP(C3288,소속부서!$A$2:$B$20,2,FALSE), "")</f>
        <v/>
      </c>
    </row>
    <row r="3289" spans="3:4" x14ac:dyDescent="0.3">
      <c r="C3289" s="35">
        <f t="shared" si="52"/>
        <v>0</v>
      </c>
      <c r="D3289" s="30" t="str">
        <f>IFERROR(VLOOKUP(C3289,소속부서!$A$2:$B$20,2,FALSE), "")</f>
        <v/>
      </c>
    </row>
    <row r="3290" spans="3:4" x14ac:dyDescent="0.3">
      <c r="C3290" s="35">
        <f t="shared" si="52"/>
        <v>0</v>
      </c>
      <c r="D3290" s="30" t="str">
        <f>IFERROR(VLOOKUP(C3290,소속부서!$A$2:$B$20,2,FALSE), "")</f>
        <v/>
      </c>
    </row>
    <row r="3291" spans="3:4" x14ac:dyDescent="0.3">
      <c r="C3291" s="35">
        <f t="shared" si="52"/>
        <v>0</v>
      </c>
      <c r="D3291" s="30" t="str">
        <f>IFERROR(VLOOKUP(C3291,소속부서!$A$2:$B$20,2,FALSE), "")</f>
        <v/>
      </c>
    </row>
    <row r="3292" spans="3:4" x14ac:dyDescent="0.3">
      <c r="C3292" s="35">
        <f t="shared" si="52"/>
        <v>0</v>
      </c>
      <c r="D3292" s="30" t="str">
        <f>IFERROR(VLOOKUP(C3292,소속부서!$A$2:$B$20,2,FALSE), "")</f>
        <v/>
      </c>
    </row>
    <row r="3293" spans="3:4" x14ac:dyDescent="0.3">
      <c r="C3293" s="35">
        <f t="shared" si="52"/>
        <v>0</v>
      </c>
      <c r="D3293" s="30" t="str">
        <f>IFERROR(VLOOKUP(C3293,소속부서!$A$2:$B$20,2,FALSE), "")</f>
        <v/>
      </c>
    </row>
    <row r="3294" spans="3:4" x14ac:dyDescent="0.3">
      <c r="C3294" s="35">
        <f t="shared" si="52"/>
        <v>0</v>
      </c>
      <c r="D3294" s="30" t="str">
        <f>IFERROR(VLOOKUP(C3294,소속부서!$A$2:$B$20,2,FALSE), "")</f>
        <v/>
      </c>
    </row>
    <row r="3295" spans="3:4" x14ac:dyDescent="0.3">
      <c r="C3295" s="35">
        <f t="shared" si="52"/>
        <v>0</v>
      </c>
      <c r="D3295" s="30" t="str">
        <f>IFERROR(VLOOKUP(C3295,소속부서!$A$2:$B$20,2,FALSE), "")</f>
        <v/>
      </c>
    </row>
    <row r="3296" spans="3:4" x14ac:dyDescent="0.3">
      <c r="C3296" s="35">
        <f t="shared" si="52"/>
        <v>0</v>
      </c>
      <c r="D3296" s="30" t="str">
        <f>IFERROR(VLOOKUP(C3296,소속부서!$A$2:$B$20,2,FALSE), "")</f>
        <v/>
      </c>
    </row>
    <row r="3297" spans="3:4" x14ac:dyDescent="0.3">
      <c r="C3297" s="35">
        <f t="shared" si="52"/>
        <v>0</v>
      </c>
      <c r="D3297" s="30" t="str">
        <f>IFERROR(VLOOKUP(C3297,소속부서!$A$2:$B$20,2,FALSE), "")</f>
        <v/>
      </c>
    </row>
    <row r="3298" spans="3:4" x14ac:dyDescent="0.3">
      <c r="C3298" s="35">
        <f t="shared" si="52"/>
        <v>0</v>
      </c>
      <c r="D3298" s="30" t="str">
        <f>IFERROR(VLOOKUP(C3298,소속부서!$A$2:$B$20,2,FALSE), "")</f>
        <v/>
      </c>
    </row>
    <row r="3299" spans="3:4" x14ac:dyDescent="0.3">
      <c r="C3299" s="35">
        <f t="shared" si="52"/>
        <v>0</v>
      </c>
      <c r="D3299" s="30" t="str">
        <f>IFERROR(VLOOKUP(C3299,소속부서!$A$2:$B$20,2,FALSE), "")</f>
        <v/>
      </c>
    </row>
    <row r="3300" spans="3:4" x14ac:dyDescent="0.3">
      <c r="C3300" s="35">
        <f t="shared" si="52"/>
        <v>0</v>
      </c>
      <c r="D3300" s="30" t="str">
        <f>IFERROR(VLOOKUP(C3300,소속부서!$A$2:$B$20,2,FALSE), "")</f>
        <v/>
      </c>
    </row>
    <row r="3301" spans="3:4" x14ac:dyDescent="0.3">
      <c r="C3301" s="35">
        <f t="shared" si="52"/>
        <v>0</v>
      </c>
      <c r="D3301" s="30" t="str">
        <f>IFERROR(VLOOKUP(C3301,소속부서!$A$2:$B$20,2,FALSE), "")</f>
        <v/>
      </c>
    </row>
    <row r="3302" spans="3:4" x14ac:dyDescent="0.3">
      <c r="C3302" s="35">
        <f t="shared" si="52"/>
        <v>0</v>
      </c>
      <c r="D3302" s="30" t="str">
        <f>IFERROR(VLOOKUP(C3302,소속부서!$A$2:$B$20,2,FALSE), "")</f>
        <v/>
      </c>
    </row>
    <row r="3303" spans="3:4" x14ac:dyDescent="0.3">
      <c r="C3303" s="35">
        <f t="shared" si="52"/>
        <v>0</v>
      </c>
      <c r="D3303" s="30" t="str">
        <f>IFERROR(VLOOKUP(C3303,소속부서!$A$2:$B$20,2,FALSE), "")</f>
        <v/>
      </c>
    </row>
    <row r="3304" spans="3:4" x14ac:dyDescent="0.3">
      <c r="C3304" s="35">
        <f t="shared" si="52"/>
        <v>0</v>
      </c>
      <c r="D3304" s="30" t="str">
        <f>IFERROR(VLOOKUP(C3304,소속부서!$A$2:$B$20,2,FALSE), "")</f>
        <v/>
      </c>
    </row>
    <row r="3305" spans="3:4" x14ac:dyDescent="0.3">
      <c r="C3305" s="35">
        <f t="shared" si="52"/>
        <v>0</v>
      </c>
      <c r="D3305" s="30" t="str">
        <f>IFERROR(VLOOKUP(C3305,소속부서!$A$2:$B$20,2,FALSE), "")</f>
        <v/>
      </c>
    </row>
    <row r="3306" spans="3:4" x14ac:dyDescent="0.3">
      <c r="C3306" s="35">
        <f t="shared" si="52"/>
        <v>0</v>
      </c>
      <c r="D3306" s="30" t="str">
        <f>IFERROR(VLOOKUP(C3306,소속부서!$A$2:$B$20,2,FALSE), "")</f>
        <v/>
      </c>
    </row>
    <row r="3307" spans="3:4" x14ac:dyDescent="0.3">
      <c r="C3307" s="35">
        <f t="shared" si="52"/>
        <v>0</v>
      </c>
      <c r="D3307" s="30" t="str">
        <f>IFERROR(VLOOKUP(C3307,소속부서!$A$2:$B$20,2,FALSE), "")</f>
        <v/>
      </c>
    </row>
    <row r="3308" spans="3:4" x14ac:dyDescent="0.3">
      <c r="C3308" s="35">
        <f t="shared" si="52"/>
        <v>0</v>
      </c>
      <c r="D3308" s="30" t="str">
        <f>IFERROR(VLOOKUP(C3308,소속부서!$A$2:$B$20,2,FALSE), "")</f>
        <v/>
      </c>
    </row>
    <row r="3309" spans="3:4" x14ac:dyDescent="0.3">
      <c r="C3309" s="35">
        <f t="shared" si="52"/>
        <v>0</v>
      </c>
      <c r="D3309" s="30" t="str">
        <f>IFERROR(VLOOKUP(C3309,소속부서!$A$2:$B$20,2,FALSE), "")</f>
        <v/>
      </c>
    </row>
    <row r="3310" spans="3:4" x14ac:dyDescent="0.3">
      <c r="C3310" s="35">
        <f t="shared" si="52"/>
        <v>0</v>
      </c>
      <c r="D3310" s="30" t="str">
        <f>IFERROR(VLOOKUP(C3310,소속부서!$A$2:$B$20,2,FALSE), "")</f>
        <v/>
      </c>
    </row>
    <row r="3311" spans="3:4" x14ac:dyDescent="0.3">
      <c r="C3311" s="35">
        <f t="shared" si="52"/>
        <v>0</v>
      </c>
      <c r="D3311" s="30" t="str">
        <f>IFERROR(VLOOKUP(C3311,소속부서!$A$2:$B$20,2,FALSE), "")</f>
        <v/>
      </c>
    </row>
    <row r="3312" spans="3:4" x14ac:dyDescent="0.3">
      <c r="C3312" s="35">
        <f t="shared" si="52"/>
        <v>0</v>
      </c>
      <c r="D3312" s="30" t="str">
        <f>IFERROR(VLOOKUP(C3312,소속부서!$A$2:$B$20,2,FALSE), "")</f>
        <v/>
      </c>
    </row>
    <row r="3313" spans="3:4" x14ac:dyDescent="0.3">
      <c r="C3313" s="35">
        <f t="shared" si="52"/>
        <v>0</v>
      </c>
      <c r="D3313" s="30" t="str">
        <f>IFERROR(VLOOKUP(C3313,소속부서!$A$2:$B$20,2,FALSE), "")</f>
        <v/>
      </c>
    </row>
    <row r="3314" spans="3:4" x14ac:dyDescent="0.3">
      <c r="C3314" s="35">
        <f t="shared" si="52"/>
        <v>0</v>
      </c>
      <c r="D3314" s="30" t="str">
        <f>IFERROR(VLOOKUP(C3314,소속부서!$A$2:$B$20,2,FALSE), "")</f>
        <v/>
      </c>
    </row>
    <row r="3315" spans="3:4" x14ac:dyDescent="0.3">
      <c r="C3315" s="35">
        <f t="shared" si="52"/>
        <v>0</v>
      </c>
      <c r="D3315" s="30" t="str">
        <f>IFERROR(VLOOKUP(C3315,소속부서!$A$2:$B$20,2,FALSE), "")</f>
        <v/>
      </c>
    </row>
    <row r="3316" spans="3:4" x14ac:dyDescent="0.3">
      <c r="C3316" s="35">
        <f t="shared" si="52"/>
        <v>0</v>
      </c>
      <c r="D3316" s="30" t="str">
        <f>IFERROR(VLOOKUP(C3316,소속부서!$A$2:$B$20,2,FALSE), "")</f>
        <v/>
      </c>
    </row>
    <row r="3317" spans="3:4" x14ac:dyDescent="0.3">
      <c r="C3317" s="35">
        <f t="shared" si="52"/>
        <v>0</v>
      </c>
      <c r="D3317" s="30" t="str">
        <f>IFERROR(VLOOKUP(C3317,소속부서!$A$2:$B$20,2,FALSE), "")</f>
        <v/>
      </c>
    </row>
    <row r="3318" spans="3:4" x14ac:dyDescent="0.3">
      <c r="C3318" s="35">
        <f t="shared" si="52"/>
        <v>0</v>
      </c>
      <c r="D3318" s="30" t="str">
        <f>IFERROR(VLOOKUP(C3318,소속부서!$A$2:$B$20,2,FALSE), "")</f>
        <v/>
      </c>
    </row>
    <row r="3319" spans="3:4" x14ac:dyDescent="0.3">
      <c r="C3319" s="35">
        <f t="shared" si="52"/>
        <v>0</v>
      </c>
      <c r="D3319" s="30" t="str">
        <f>IFERROR(VLOOKUP(C3319,소속부서!$A$2:$B$20,2,FALSE), "")</f>
        <v/>
      </c>
    </row>
    <row r="3320" spans="3:4" x14ac:dyDescent="0.3">
      <c r="C3320" s="35">
        <f t="shared" si="52"/>
        <v>0</v>
      </c>
      <c r="D3320" s="30" t="str">
        <f>IFERROR(VLOOKUP(C3320,소속부서!$A$2:$B$20,2,FALSE), "")</f>
        <v/>
      </c>
    </row>
    <row r="3321" spans="3:4" x14ac:dyDescent="0.3">
      <c r="C3321" s="35">
        <f t="shared" si="52"/>
        <v>0</v>
      </c>
      <c r="D3321" s="30" t="str">
        <f>IFERROR(VLOOKUP(C3321,소속부서!$A$2:$B$20,2,FALSE), "")</f>
        <v/>
      </c>
    </row>
    <row r="3322" spans="3:4" x14ac:dyDescent="0.3">
      <c r="C3322" s="35">
        <f t="shared" si="52"/>
        <v>0</v>
      </c>
      <c r="D3322" s="30" t="str">
        <f>IFERROR(VLOOKUP(C3322,소속부서!$A$2:$B$20,2,FALSE), "")</f>
        <v/>
      </c>
    </row>
    <row r="3323" spans="3:4" x14ac:dyDescent="0.3">
      <c r="C3323" s="35">
        <f t="shared" si="52"/>
        <v>0</v>
      </c>
      <c r="D3323" s="30" t="str">
        <f>IFERROR(VLOOKUP(C3323,소속부서!$A$2:$B$20,2,FALSE), "")</f>
        <v/>
      </c>
    </row>
    <row r="3324" spans="3:4" x14ac:dyDescent="0.3">
      <c r="C3324" s="35">
        <f t="shared" si="52"/>
        <v>0</v>
      </c>
      <c r="D3324" s="30" t="str">
        <f>IFERROR(VLOOKUP(C3324,소속부서!$A$2:$B$20,2,FALSE), "")</f>
        <v/>
      </c>
    </row>
    <row r="3325" spans="3:4" x14ac:dyDescent="0.3">
      <c r="C3325" s="35">
        <f t="shared" si="52"/>
        <v>0</v>
      </c>
      <c r="D3325" s="30" t="str">
        <f>IFERROR(VLOOKUP(C3325,소속부서!$A$2:$B$20,2,FALSE), "")</f>
        <v/>
      </c>
    </row>
    <row r="3326" spans="3:4" x14ac:dyDescent="0.3">
      <c r="C3326" s="35">
        <f t="shared" si="52"/>
        <v>0</v>
      </c>
      <c r="D3326" s="30" t="str">
        <f>IFERROR(VLOOKUP(C3326,소속부서!$A$2:$B$20,2,FALSE), "")</f>
        <v/>
      </c>
    </row>
    <row r="3327" spans="3:4" x14ac:dyDescent="0.3">
      <c r="C3327" s="35">
        <f t="shared" si="52"/>
        <v>0</v>
      </c>
      <c r="D3327" s="30" t="str">
        <f>IFERROR(VLOOKUP(C3327,소속부서!$A$2:$B$20,2,FALSE), "")</f>
        <v/>
      </c>
    </row>
    <row r="3328" spans="3:4" x14ac:dyDescent="0.3">
      <c r="C3328" s="35">
        <f t="shared" si="52"/>
        <v>0</v>
      </c>
      <c r="D3328" s="30" t="str">
        <f>IFERROR(VLOOKUP(C3328,소속부서!$A$2:$B$20,2,FALSE), "")</f>
        <v/>
      </c>
    </row>
    <row r="3329" spans="3:4" x14ac:dyDescent="0.3">
      <c r="C3329" s="35">
        <f t="shared" si="52"/>
        <v>0</v>
      </c>
      <c r="D3329" s="30" t="str">
        <f>IFERROR(VLOOKUP(C3329,소속부서!$A$2:$B$20,2,FALSE), "")</f>
        <v/>
      </c>
    </row>
    <row r="3330" spans="3:4" x14ac:dyDescent="0.3">
      <c r="C3330" s="35">
        <f t="shared" si="52"/>
        <v>0</v>
      </c>
      <c r="D3330" s="30" t="str">
        <f>IFERROR(VLOOKUP(C3330,소속부서!$A$2:$B$20,2,FALSE), "")</f>
        <v/>
      </c>
    </row>
    <row r="3331" spans="3:4" x14ac:dyDescent="0.3">
      <c r="C3331" s="35">
        <f t="shared" si="52"/>
        <v>0</v>
      </c>
      <c r="D3331" s="30" t="str">
        <f>IFERROR(VLOOKUP(C3331,소속부서!$A$2:$B$20,2,FALSE), "")</f>
        <v/>
      </c>
    </row>
    <row r="3332" spans="3:4" x14ac:dyDescent="0.3">
      <c r="C3332" s="35">
        <f t="shared" ref="C3332:C3395" si="53">E3332</f>
        <v>0</v>
      </c>
      <c r="D3332" s="30" t="str">
        <f>IFERROR(VLOOKUP(C3332,소속부서!$A$2:$B$20,2,FALSE), "")</f>
        <v/>
      </c>
    </row>
    <row r="3333" spans="3:4" x14ac:dyDescent="0.3">
      <c r="C3333" s="35">
        <f t="shared" si="53"/>
        <v>0</v>
      </c>
      <c r="D3333" s="30" t="str">
        <f>IFERROR(VLOOKUP(C3333,소속부서!$A$2:$B$20,2,FALSE), "")</f>
        <v/>
      </c>
    </row>
    <row r="3334" spans="3:4" x14ac:dyDescent="0.3">
      <c r="C3334" s="35">
        <f t="shared" si="53"/>
        <v>0</v>
      </c>
      <c r="D3334" s="30" t="str">
        <f>IFERROR(VLOOKUP(C3334,소속부서!$A$2:$B$20,2,FALSE), "")</f>
        <v/>
      </c>
    </row>
    <row r="3335" spans="3:4" x14ac:dyDescent="0.3">
      <c r="C3335" s="35">
        <f t="shared" si="53"/>
        <v>0</v>
      </c>
      <c r="D3335" s="30" t="str">
        <f>IFERROR(VLOOKUP(C3335,소속부서!$A$2:$B$20,2,FALSE), "")</f>
        <v/>
      </c>
    </row>
    <row r="3336" spans="3:4" x14ac:dyDescent="0.3">
      <c r="C3336" s="35">
        <f t="shared" si="53"/>
        <v>0</v>
      </c>
      <c r="D3336" s="30" t="str">
        <f>IFERROR(VLOOKUP(C3336,소속부서!$A$2:$B$20,2,FALSE), "")</f>
        <v/>
      </c>
    </row>
    <row r="3337" spans="3:4" x14ac:dyDescent="0.3">
      <c r="C3337" s="35">
        <f t="shared" si="53"/>
        <v>0</v>
      </c>
      <c r="D3337" s="30" t="str">
        <f>IFERROR(VLOOKUP(C3337,소속부서!$A$2:$B$20,2,FALSE), "")</f>
        <v/>
      </c>
    </row>
    <row r="3338" spans="3:4" x14ac:dyDescent="0.3">
      <c r="C3338" s="35">
        <f t="shared" si="53"/>
        <v>0</v>
      </c>
      <c r="D3338" s="30" t="str">
        <f>IFERROR(VLOOKUP(C3338,소속부서!$A$2:$B$20,2,FALSE), "")</f>
        <v/>
      </c>
    </row>
    <row r="3339" spans="3:4" x14ac:dyDescent="0.3">
      <c r="C3339" s="35">
        <f t="shared" si="53"/>
        <v>0</v>
      </c>
      <c r="D3339" s="30" t="str">
        <f>IFERROR(VLOOKUP(C3339,소속부서!$A$2:$B$20,2,FALSE), "")</f>
        <v/>
      </c>
    </row>
    <row r="3340" spans="3:4" x14ac:dyDescent="0.3">
      <c r="C3340" s="35">
        <f t="shared" si="53"/>
        <v>0</v>
      </c>
      <c r="D3340" s="30" t="str">
        <f>IFERROR(VLOOKUP(C3340,소속부서!$A$2:$B$20,2,FALSE), "")</f>
        <v/>
      </c>
    </row>
    <row r="3341" spans="3:4" x14ac:dyDescent="0.3">
      <c r="C3341" s="35">
        <f t="shared" si="53"/>
        <v>0</v>
      </c>
      <c r="D3341" s="30" t="str">
        <f>IFERROR(VLOOKUP(C3341,소속부서!$A$2:$B$20,2,FALSE), "")</f>
        <v/>
      </c>
    </row>
    <row r="3342" spans="3:4" x14ac:dyDescent="0.3">
      <c r="C3342" s="35">
        <f t="shared" si="53"/>
        <v>0</v>
      </c>
      <c r="D3342" s="30" t="str">
        <f>IFERROR(VLOOKUP(C3342,소속부서!$A$2:$B$20,2,FALSE), "")</f>
        <v/>
      </c>
    </row>
    <row r="3343" spans="3:4" x14ac:dyDescent="0.3">
      <c r="C3343" s="35">
        <f t="shared" si="53"/>
        <v>0</v>
      </c>
      <c r="D3343" s="30" t="str">
        <f>IFERROR(VLOOKUP(C3343,소속부서!$A$2:$B$20,2,FALSE), "")</f>
        <v/>
      </c>
    </row>
    <row r="3344" spans="3:4" x14ac:dyDescent="0.3">
      <c r="C3344" s="35">
        <f t="shared" si="53"/>
        <v>0</v>
      </c>
      <c r="D3344" s="30" t="str">
        <f>IFERROR(VLOOKUP(C3344,소속부서!$A$2:$B$20,2,FALSE), "")</f>
        <v/>
      </c>
    </row>
    <row r="3345" spans="3:4" x14ac:dyDescent="0.3">
      <c r="C3345" s="35">
        <f t="shared" si="53"/>
        <v>0</v>
      </c>
      <c r="D3345" s="30" t="str">
        <f>IFERROR(VLOOKUP(C3345,소속부서!$A$2:$B$20,2,FALSE), "")</f>
        <v/>
      </c>
    </row>
    <row r="3346" spans="3:4" x14ac:dyDescent="0.3">
      <c r="C3346" s="35">
        <f t="shared" si="53"/>
        <v>0</v>
      </c>
      <c r="D3346" s="30" t="str">
        <f>IFERROR(VLOOKUP(C3346,소속부서!$A$2:$B$20,2,FALSE), "")</f>
        <v/>
      </c>
    </row>
    <row r="3347" spans="3:4" x14ac:dyDescent="0.3">
      <c r="C3347" s="35">
        <f t="shared" si="53"/>
        <v>0</v>
      </c>
      <c r="D3347" s="30" t="str">
        <f>IFERROR(VLOOKUP(C3347,소속부서!$A$2:$B$20,2,FALSE), "")</f>
        <v/>
      </c>
    </row>
    <row r="3348" spans="3:4" x14ac:dyDescent="0.3">
      <c r="C3348" s="35">
        <f t="shared" si="53"/>
        <v>0</v>
      </c>
      <c r="D3348" s="30" t="str">
        <f>IFERROR(VLOOKUP(C3348,소속부서!$A$2:$B$20,2,FALSE), "")</f>
        <v/>
      </c>
    </row>
    <row r="3349" spans="3:4" x14ac:dyDescent="0.3">
      <c r="C3349" s="35">
        <f t="shared" si="53"/>
        <v>0</v>
      </c>
      <c r="D3349" s="30" t="str">
        <f>IFERROR(VLOOKUP(C3349,소속부서!$A$2:$B$20,2,FALSE), "")</f>
        <v/>
      </c>
    </row>
    <row r="3350" spans="3:4" x14ac:dyDescent="0.3">
      <c r="C3350" s="35">
        <f t="shared" si="53"/>
        <v>0</v>
      </c>
      <c r="D3350" s="30" t="str">
        <f>IFERROR(VLOOKUP(C3350,소속부서!$A$2:$B$20,2,FALSE), "")</f>
        <v/>
      </c>
    </row>
    <row r="3351" spans="3:4" x14ac:dyDescent="0.3">
      <c r="C3351" s="35">
        <f t="shared" si="53"/>
        <v>0</v>
      </c>
      <c r="D3351" s="30" t="str">
        <f>IFERROR(VLOOKUP(C3351,소속부서!$A$2:$B$20,2,FALSE), "")</f>
        <v/>
      </c>
    </row>
    <row r="3352" spans="3:4" x14ac:dyDescent="0.3">
      <c r="C3352" s="35">
        <f t="shared" si="53"/>
        <v>0</v>
      </c>
      <c r="D3352" s="30" t="str">
        <f>IFERROR(VLOOKUP(C3352,소속부서!$A$2:$B$20,2,FALSE), "")</f>
        <v/>
      </c>
    </row>
    <row r="3353" spans="3:4" x14ac:dyDescent="0.3">
      <c r="C3353" s="35">
        <f t="shared" si="53"/>
        <v>0</v>
      </c>
      <c r="D3353" s="30" t="str">
        <f>IFERROR(VLOOKUP(C3353,소속부서!$A$2:$B$20,2,FALSE), "")</f>
        <v/>
      </c>
    </row>
    <row r="3354" spans="3:4" x14ac:dyDescent="0.3">
      <c r="C3354" s="35">
        <f t="shared" si="53"/>
        <v>0</v>
      </c>
      <c r="D3354" s="30" t="str">
        <f>IFERROR(VLOOKUP(C3354,소속부서!$A$2:$B$20,2,FALSE), "")</f>
        <v/>
      </c>
    </row>
    <row r="3355" spans="3:4" x14ac:dyDescent="0.3">
      <c r="C3355" s="35">
        <f t="shared" si="53"/>
        <v>0</v>
      </c>
      <c r="D3355" s="30" t="str">
        <f>IFERROR(VLOOKUP(C3355,소속부서!$A$2:$B$20,2,FALSE), "")</f>
        <v/>
      </c>
    </row>
    <row r="3356" spans="3:4" x14ac:dyDescent="0.3">
      <c r="C3356" s="35">
        <f t="shared" si="53"/>
        <v>0</v>
      </c>
      <c r="D3356" s="30" t="str">
        <f>IFERROR(VLOOKUP(C3356,소속부서!$A$2:$B$20,2,FALSE), "")</f>
        <v/>
      </c>
    </row>
    <row r="3357" spans="3:4" x14ac:dyDescent="0.3">
      <c r="C3357" s="35">
        <f t="shared" si="53"/>
        <v>0</v>
      </c>
      <c r="D3357" s="30" t="str">
        <f>IFERROR(VLOOKUP(C3357,소속부서!$A$2:$B$20,2,FALSE), "")</f>
        <v/>
      </c>
    </row>
    <row r="3358" spans="3:4" x14ac:dyDescent="0.3">
      <c r="C3358" s="35">
        <f t="shared" si="53"/>
        <v>0</v>
      </c>
      <c r="D3358" s="30" t="str">
        <f>IFERROR(VLOOKUP(C3358,소속부서!$A$2:$B$20,2,FALSE), "")</f>
        <v/>
      </c>
    </row>
    <row r="3359" spans="3:4" x14ac:dyDescent="0.3">
      <c r="C3359" s="35">
        <f t="shared" si="53"/>
        <v>0</v>
      </c>
      <c r="D3359" s="30" t="str">
        <f>IFERROR(VLOOKUP(C3359,소속부서!$A$2:$B$20,2,FALSE), "")</f>
        <v/>
      </c>
    </row>
    <row r="3360" spans="3:4" x14ac:dyDescent="0.3">
      <c r="C3360" s="35">
        <f t="shared" si="53"/>
        <v>0</v>
      </c>
      <c r="D3360" s="30" t="str">
        <f>IFERROR(VLOOKUP(C3360,소속부서!$A$2:$B$20,2,FALSE), "")</f>
        <v/>
      </c>
    </row>
    <row r="3361" spans="3:4" x14ac:dyDescent="0.3">
      <c r="C3361" s="35">
        <f t="shared" si="53"/>
        <v>0</v>
      </c>
      <c r="D3361" s="30" t="str">
        <f>IFERROR(VLOOKUP(C3361,소속부서!$A$2:$B$20,2,FALSE), "")</f>
        <v/>
      </c>
    </row>
    <row r="3362" spans="3:4" x14ac:dyDescent="0.3">
      <c r="C3362" s="35">
        <f t="shared" si="53"/>
        <v>0</v>
      </c>
      <c r="D3362" s="30" t="str">
        <f>IFERROR(VLOOKUP(C3362,소속부서!$A$2:$B$20,2,FALSE), "")</f>
        <v/>
      </c>
    </row>
    <row r="3363" spans="3:4" x14ac:dyDescent="0.3">
      <c r="C3363" s="35">
        <f t="shared" si="53"/>
        <v>0</v>
      </c>
      <c r="D3363" s="30" t="str">
        <f>IFERROR(VLOOKUP(C3363,소속부서!$A$2:$B$20,2,FALSE), "")</f>
        <v/>
      </c>
    </row>
    <row r="3364" spans="3:4" x14ac:dyDescent="0.3">
      <c r="C3364" s="35">
        <f t="shared" si="53"/>
        <v>0</v>
      </c>
      <c r="D3364" s="30" t="str">
        <f>IFERROR(VLOOKUP(C3364,소속부서!$A$2:$B$20,2,FALSE), "")</f>
        <v/>
      </c>
    </row>
    <row r="3365" spans="3:4" x14ac:dyDescent="0.3">
      <c r="C3365" s="35">
        <f t="shared" si="53"/>
        <v>0</v>
      </c>
      <c r="D3365" s="30" t="str">
        <f>IFERROR(VLOOKUP(C3365,소속부서!$A$2:$B$20,2,FALSE), "")</f>
        <v/>
      </c>
    </row>
    <row r="3366" spans="3:4" x14ac:dyDescent="0.3">
      <c r="C3366" s="35">
        <f t="shared" si="53"/>
        <v>0</v>
      </c>
      <c r="D3366" s="30" t="str">
        <f>IFERROR(VLOOKUP(C3366,소속부서!$A$2:$B$20,2,FALSE), "")</f>
        <v/>
      </c>
    </row>
    <row r="3367" spans="3:4" x14ac:dyDescent="0.3">
      <c r="C3367" s="35">
        <f t="shared" si="53"/>
        <v>0</v>
      </c>
      <c r="D3367" s="30" t="str">
        <f>IFERROR(VLOOKUP(C3367,소속부서!$A$2:$B$20,2,FALSE), "")</f>
        <v/>
      </c>
    </row>
    <row r="3368" spans="3:4" x14ac:dyDescent="0.3">
      <c r="C3368" s="35">
        <f t="shared" si="53"/>
        <v>0</v>
      </c>
      <c r="D3368" s="30" t="str">
        <f>IFERROR(VLOOKUP(C3368,소속부서!$A$2:$B$20,2,FALSE), "")</f>
        <v/>
      </c>
    </row>
    <row r="3369" spans="3:4" x14ac:dyDescent="0.3">
      <c r="C3369" s="35">
        <f t="shared" si="53"/>
        <v>0</v>
      </c>
      <c r="D3369" s="30" t="str">
        <f>IFERROR(VLOOKUP(C3369,소속부서!$A$2:$B$20,2,FALSE), "")</f>
        <v/>
      </c>
    </row>
    <row r="3370" spans="3:4" x14ac:dyDescent="0.3">
      <c r="C3370" s="35">
        <f t="shared" si="53"/>
        <v>0</v>
      </c>
      <c r="D3370" s="30" t="str">
        <f>IFERROR(VLOOKUP(C3370,소속부서!$A$2:$B$20,2,FALSE), "")</f>
        <v/>
      </c>
    </row>
    <row r="3371" spans="3:4" x14ac:dyDescent="0.3">
      <c r="C3371" s="35">
        <f t="shared" si="53"/>
        <v>0</v>
      </c>
      <c r="D3371" s="30" t="str">
        <f>IFERROR(VLOOKUP(C3371,소속부서!$A$2:$B$20,2,FALSE), "")</f>
        <v/>
      </c>
    </row>
    <row r="3372" spans="3:4" x14ac:dyDescent="0.3">
      <c r="C3372" s="35">
        <f t="shared" si="53"/>
        <v>0</v>
      </c>
      <c r="D3372" s="30" t="str">
        <f>IFERROR(VLOOKUP(C3372,소속부서!$A$2:$B$20,2,FALSE), "")</f>
        <v/>
      </c>
    </row>
    <row r="3373" spans="3:4" x14ac:dyDescent="0.3">
      <c r="C3373" s="35">
        <f t="shared" si="53"/>
        <v>0</v>
      </c>
      <c r="D3373" s="30" t="str">
        <f>IFERROR(VLOOKUP(C3373,소속부서!$A$2:$B$20,2,FALSE), "")</f>
        <v/>
      </c>
    </row>
    <row r="3374" spans="3:4" x14ac:dyDescent="0.3">
      <c r="C3374" s="35">
        <f t="shared" si="53"/>
        <v>0</v>
      </c>
      <c r="D3374" s="30" t="str">
        <f>IFERROR(VLOOKUP(C3374,소속부서!$A$2:$B$20,2,FALSE), "")</f>
        <v/>
      </c>
    </row>
    <row r="3375" spans="3:4" x14ac:dyDescent="0.3">
      <c r="C3375" s="35">
        <f t="shared" si="53"/>
        <v>0</v>
      </c>
      <c r="D3375" s="30" t="str">
        <f>IFERROR(VLOOKUP(C3375,소속부서!$A$2:$B$20,2,FALSE), "")</f>
        <v/>
      </c>
    </row>
    <row r="3376" spans="3:4" x14ac:dyDescent="0.3">
      <c r="C3376" s="35">
        <f t="shared" si="53"/>
        <v>0</v>
      </c>
      <c r="D3376" s="30" t="str">
        <f>IFERROR(VLOOKUP(C3376,소속부서!$A$2:$B$20,2,FALSE), "")</f>
        <v/>
      </c>
    </row>
    <row r="3377" spans="3:4" x14ac:dyDescent="0.3">
      <c r="C3377" s="35">
        <f t="shared" si="53"/>
        <v>0</v>
      </c>
      <c r="D3377" s="30" t="str">
        <f>IFERROR(VLOOKUP(C3377,소속부서!$A$2:$B$20,2,FALSE), "")</f>
        <v/>
      </c>
    </row>
    <row r="3378" spans="3:4" x14ac:dyDescent="0.3">
      <c r="C3378" s="35">
        <f t="shared" si="53"/>
        <v>0</v>
      </c>
      <c r="D3378" s="30" t="str">
        <f>IFERROR(VLOOKUP(C3378,소속부서!$A$2:$B$20,2,FALSE), "")</f>
        <v/>
      </c>
    </row>
    <row r="3379" spans="3:4" x14ac:dyDescent="0.3">
      <c r="C3379" s="35">
        <f t="shared" si="53"/>
        <v>0</v>
      </c>
      <c r="D3379" s="30" t="str">
        <f>IFERROR(VLOOKUP(C3379,소속부서!$A$2:$B$20,2,FALSE), "")</f>
        <v/>
      </c>
    </row>
    <row r="3380" spans="3:4" x14ac:dyDescent="0.3">
      <c r="C3380" s="35">
        <f t="shared" si="53"/>
        <v>0</v>
      </c>
      <c r="D3380" s="30" t="str">
        <f>IFERROR(VLOOKUP(C3380,소속부서!$A$2:$B$20,2,FALSE), "")</f>
        <v/>
      </c>
    </row>
    <row r="3381" spans="3:4" x14ac:dyDescent="0.3">
      <c r="C3381" s="35">
        <f t="shared" si="53"/>
        <v>0</v>
      </c>
      <c r="D3381" s="30" t="str">
        <f>IFERROR(VLOOKUP(C3381,소속부서!$A$2:$B$20,2,FALSE), "")</f>
        <v/>
      </c>
    </row>
    <row r="3382" spans="3:4" x14ac:dyDescent="0.3">
      <c r="C3382" s="35">
        <f t="shared" si="53"/>
        <v>0</v>
      </c>
      <c r="D3382" s="30" t="str">
        <f>IFERROR(VLOOKUP(C3382,소속부서!$A$2:$B$20,2,FALSE), "")</f>
        <v/>
      </c>
    </row>
    <row r="3383" spans="3:4" x14ac:dyDescent="0.3">
      <c r="C3383" s="35">
        <f t="shared" si="53"/>
        <v>0</v>
      </c>
      <c r="D3383" s="30" t="str">
        <f>IFERROR(VLOOKUP(C3383,소속부서!$A$2:$B$20,2,FALSE), "")</f>
        <v/>
      </c>
    </row>
    <row r="3384" spans="3:4" x14ac:dyDescent="0.3">
      <c r="C3384" s="35">
        <f t="shared" si="53"/>
        <v>0</v>
      </c>
      <c r="D3384" s="30" t="str">
        <f>IFERROR(VLOOKUP(C3384,소속부서!$A$2:$B$20,2,FALSE), "")</f>
        <v/>
      </c>
    </row>
    <row r="3385" spans="3:4" x14ac:dyDescent="0.3">
      <c r="C3385" s="35">
        <f t="shared" si="53"/>
        <v>0</v>
      </c>
      <c r="D3385" s="30" t="str">
        <f>IFERROR(VLOOKUP(C3385,소속부서!$A$2:$B$20,2,FALSE), "")</f>
        <v/>
      </c>
    </row>
    <row r="3386" spans="3:4" x14ac:dyDescent="0.3">
      <c r="C3386" s="35">
        <f t="shared" si="53"/>
        <v>0</v>
      </c>
      <c r="D3386" s="30" t="str">
        <f>IFERROR(VLOOKUP(C3386,소속부서!$A$2:$B$20,2,FALSE), "")</f>
        <v/>
      </c>
    </row>
    <row r="3387" spans="3:4" x14ac:dyDescent="0.3">
      <c r="C3387" s="35">
        <f t="shared" si="53"/>
        <v>0</v>
      </c>
      <c r="D3387" s="30" t="str">
        <f>IFERROR(VLOOKUP(C3387,소속부서!$A$2:$B$20,2,FALSE), "")</f>
        <v/>
      </c>
    </row>
    <row r="3388" spans="3:4" x14ac:dyDescent="0.3">
      <c r="C3388" s="35">
        <f t="shared" si="53"/>
        <v>0</v>
      </c>
      <c r="D3388" s="30" t="str">
        <f>IFERROR(VLOOKUP(C3388,소속부서!$A$2:$B$20,2,FALSE), "")</f>
        <v/>
      </c>
    </row>
    <row r="3389" spans="3:4" x14ac:dyDescent="0.3">
      <c r="C3389" s="35">
        <f t="shared" si="53"/>
        <v>0</v>
      </c>
      <c r="D3389" s="30" t="str">
        <f>IFERROR(VLOOKUP(C3389,소속부서!$A$2:$B$20,2,FALSE), "")</f>
        <v/>
      </c>
    </row>
    <row r="3390" spans="3:4" x14ac:dyDescent="0.3">
      <c r="C3390" s="35">
        <f t="shared" si="53"/>
        <v>0</v>
      </c>
      <c r="D3390" s="30" t="str">
        <f>IFERROR(VLOOKUP(C3390,소속부서!$A$2:$B$20,2,FALSE), "")</f>
        <v/>
      </c>
    </row>
    <row r="3391" spans="3:4" x14ac:dyDescent="0.3">
      <c r="C3391" s="35">
        <f t="shared" si="53"/>
        <v>0</v>
      </c>
      <c r="D3391" s="30" t="str">
        <f>IFERROR(VLOOKUP(C3391,소속부서!$A$2:$B$20,2,FALSE), "")</f>
        <v/>
      </c>
    </row>
    <row r="3392" spans="3:4" x14ac:dyDescent="0.3">
      <c r="C3392" s="35">
        <f t="shared" si="53"/>
        <v>0</v>
      </c>
      <c r="D3392" s="30" t="str">
        <f>IFERROR(VLOOKUP(C3392,소속부서!$A$2:$B$20,2,FALSE), "")</f>
        <v/>
      </c>
    </row>
    <row r="3393" spans="3:4" x14ac:dyDescent="0.3">
      <c r="C3393" s="35">
        <f t="shared" si="53"/>
        <v>0</v>
      </c>
      <c r="D3393" s="30" t="str">
        <f>IFERROR(VLOOKUP(C3393,소속부서!$A$2:$B$20,2,FALSE), "")</f>
        <v/>
      </c>
    </row>
    <row r="3394" spans="3:4" x14ac:dyDescent="0.3">
      <c r="C3394" s="35">
        <f t="shared" si="53"/>
        <v>0</v>
      </c>
      <c r="D3394" s="30" t="str">
        <f>IFERROR(VLOOKUP(C3394,소속부서!$A$2:$B$20,2,FALSE), "")</f>
        <v/>
      </c>
    </row>
    <row r="3395" spans="3:4" x14ac:dyDescent="0.3">
      <c r="C3395" s="35">
        <f t="shared" si="53"/>
        <v>0</v>
      </c>
      <c r="D3395" s="30" t="str">
        <f>IFERROR(VLOOKUP(C3395,소속부서!$A$2:$B$20,2,FALSE), "")</f>
        <v/>
      </c>
    </row>
    <row r="3396" spans="3:4" x14ac:dyDescent="0.3">
      <c r="C3396" s="35">
        <f t="shared" ref="C3396:C3459" si="54">E3396</f>
        <v>0</v>
      </c>
      <c r="D3396" s="30" t="str">
        <f>IFERROR(VLOOKUP(C3396,소속부서!$A$2:$B$20,2,FALSE), "")</f>
        <v/>
      </c>
    </row>
    <row r="3397" spans="3:4" x14ac:dyDescent="0.3">
      <c r="C3397" s="35">
        <f t="shared" si="54"/>
        <v>0</v>
      </c>
      <c r="D3397" s="30" t="str">
        <f>IFERROR(VLOOKUP(C3397,소속부서!$A$2:$B$20,2,FALSE), "")</f>
        <v/>
      </c>
    </row>
    <row r="3398" spans="3:4" x14ac:dyDescent="0.3">
      <c r="C3398" s="35">
        <f t="shared" si="54"/>
        <v>0</v>
      </c>
      <c r="D3398" s="30" t="str">
        <f>IFERROR(VLOOKUP(C3398,소속부서!$A$2:$B$20,2,FALSE), "")</f>
        <v/>
      </c>
    </row>
    <row r="3399" spans="3:4" x14ac:dyDescent="0.3">
      <c r="C3399" s="35">
        <f t="shared" si="54"/>
        <v>0</v>
      </c>
      <c r="D3399" s="30" t="str">
        <f>IFERROR(VLOOKUP(C3399,소속부서!$A$2:$B$20,2,FALSE), "")</f>
        <v/>
      </c>
    </row>
    <row r="3400" spans="3:4" x14ac:dyDescent="0.3">
      <c r="C3400" s="35">
        <f t="shared" si="54"/>
        <v>0</v>
      </c>
      <c r="D3400" s="30" t="str">
        <f>IFERROR(VLOOKUP(C3400,소속부서!$A$2:$B$20,2,FALSE), "")</f>
        <v/>
      </c>
    </row>
    <row r="3401" spans="3:4" x14ac:dyDescent="0.3">
      <c r="C3401" s="35">
        <f t="shared" si="54"/>
        <v>0</v>
      </c>
      <c r="D3401" s="30" t="str">
        <f>IFERROR(VLOOKUP(C3401,소속부서!$A$2:$B$20,2,FALSE), "")</f>
        <v/>
      </c>
    </row>
    <row r="3402" spans="3:4" x14ac:dyDescent="0.3">
      <c r="C3402" s="35">
        <f t="shared" si="54"/>
        <v>0</v>
      </c>
      <c r="D3402" s="30" t="str">
        <f>IFERROR(VLOOKUP(C3402,소속부서!$A$2:$B$20,2,FALSE), "")</f>
        <v/>
      </c>
    </row>
    <row r="3403" spans="3:4" x14ac:dyDescent="0.3">
      <c r="C3403" s="35">
        <f t="shared" si="54"/>
        <v>0</v>
      </c>
      <c r="D3403" s="30" t="str">
        <f>IFERROR(VLOOKUP(C3403,소속부서!$A$2:$B$20,2,FALSE), "")</f>
        <v/>
      </c>
    </row>
    <row r="3404" spans="3:4" x14ac:dyDescent="0.3">
      <c r="C3404" s="35">
        <f t="shared" si="54"/>
        <v>0</v>
      </c>
      <c r="D3404" s="30" t="str">
        <f>IFERROR(VLOOKUP(C3404,소속부서!$A$2:$B$20,2,FALSE), "")</f>
        <v/>
      </c>
    </row>
    <row r="3405" spans="3:4" x14ac:dyDescent="0.3">
      <c r="C3405" s="35">
        <f t="shared" si="54"/>
        <v>0</v>
      </c>
      <c r="D3405" s="30" t="str">
        <f>IFERROR(VLOOKUP(C3405,소속부서!$A$2:$B$20,2,FALSE), "")</f>
        <v/>
      </c>
    </row>
    <row r="3406" spans="3:4" x14ac:dyDescent="0.3">
      <c r="C3406" s="35">
        <f t="shared" si="54"/>
        <v>0</v>
      </c>
      <c r="D3406" s="30" t="str">
        <f>IFERROR(VLOOKUP(C3406,소속부서!$A$2:$B$20,2,FALSE), "")</f>
        <v/>
      </c>
    </row>
    <row r="3407" spans="3:4" x14ac:dyDescent="0.3">
      <c r="C3407" s="35">
        <f t="shared" si="54"/>
        <v>0</v>
      </c>
      <c r="D3407" s="30" t="str">
        <f>IFERROR(VLOOKUP(C3407,소속부서!$A$2:$B$20,2,FALSE), "")</f>
        <v/>
      </c>
    </row>
    <row r="3408" spans="3:4" x14ac:dyDescent="0.3">
      <c r="C3408" s="35">
        <f t="shared" si="54"/>
        <v>0</v>
      </c>
      <c r="D3408" s="30" t="str">
        <f>IFERROR(VLOOKUP(C3408,소속부서!$A$2:$B$20,2,FALSE), "")</f>
        <v/>
      </c>
    </row>
    <row r="3409" spans="3:4" x14ac:dyDescent="0.3">
      <c r="C3409" s="35">
        <f t="shared" si="54"/>
        <v>0</v>
      </c>
      <c r="D3409" s="30" t="str">
        <f>IFERROR(VLOOKUP(C3409,소속부서!$A$2:$B$20,2,FALSE), "")</f>
        <v/>
      </c>
    </row>
    <row r="3410" spans="3:4" x14ac:dyDescent="0.3">
      <c r="C3410" s="35">
        <f t="shared" si="54"/>
        <v>0</v>
      </c>
      <c r="D3410" s="30" t="str">
        <f>IFERROR(VLOOKUP(C3410,소속부서!$A$2:$B$20,2,FALSE), "")</f>
        <v/>
      </c>
    </row>
    <row r="3411" spans="3:4" x14ac:dyDescent="0.3">
      <c r="C3411" s="35">
        <f t="shared" si="54"/>
        <v>0</v>
      </c>
      <c r="D3411" s="30" t="str">
        <f>IFERROR(VLOOKUP(C3411,소속부서!$A$2:$B$20,2,FALSE), "")</f>
        <v/>
      </c>
    </row>
    <row r="3412" spans="3:4" x14ac:dyDescent="0.3">
      <c r="C3412" s="35">
        <f t="shared" si="54"/>
        <v>0</v>
      </c>
      <c r="D3412" s="30" t="str">
        <f>IFERROR(VLOOKUP(C3412,소속부서!$A$2:$B$20,2,FALSE), "")</f>
        <v/>
      </c>
    </row>
    <row r="3413" spans="3:4" x14ac:dyDescent="0.3">
      <c r="C3413" s="35">
        <f t="shared" si="54"/>
        <v>0</v>
      </c>
      <c r="D3413" s="30" t="str">
        <f>IFERROR(VLOOKUP(C3413,소속부서!$A$2:$B$20,2,FALSE), "")</f>
        <v/>
      </c>
    </row>
    <row r="3414" spans="3:4" x14ac:dyDescent="0.3">
      <c r="C3414" s="35">
        <f t="shared" si="54"/>
        <v>0</v>
      </c>
      <c r="D3414" s="30" t="str">
        <f>IFERROR(VLOOKUP(C3414,소속부서!$A$2:$B$20,2,FALSE), "")</f>
        <v/>
      </c>
    </row>
    <row r="3415" spans="3:4" x14ac:dyDescent="0.3">
      <c r="C3415" s="35">
        <f t="shared" si="54"/>
        <v>0</v>
      </c>
      <c r="D3415" s="30" t="str">
        <f>IFERROR(VLOOKUP(C3415,소속부서!$A$2:$B$20,2,FALSE), "")</f>
        <v/>
      </c>
    </row>
    <row r="3416" spans="3:4" x14ac:dyDescent="0.3">
      <c r="C3416" s="35">
        <f t="shared" si="54"/>
        <v>0</v>
      </c>
      <c r="D3416" s="30" t="str">
        <f>IFERROR(VLOOKUP(C3416,소속부서!$A$2:$B$20,2,FALSE), "")</f>
        <v/>
      </c>
    </row>
    <row r="3417" spans="3:4" x14ac:dyDescent="0.3">
      <c r="C3417" s="35">
        <f t="shared" si="54"/>
        <v>0</v>
      </c>
      <c r="D3417" s="30" t="str">
        <f>IFERROR(VLOOKUP(C3417,소속부서!$A$2:$B$20,2,FALSE), "")</f>
        <v/>
      </c>
    </row>
    <row r="3418" spans="3:4" x14ac:dyDescent="0.3">
      <c r="C3418" s="35">
        <f t="shared" si="54"/>
        <v>0</v>
      </c>
      <c r="D3418" s="30" t="str">
        <f>IFERROR(VLOOKUP(C3418,소속부서!$A$2:$B$20,2,FALSE), "")</f>
        <v/>
      </c>
    </row>
    <row r="3419" spans="3:4" x14ac:dyDescent="0.3">
      <c r="C3419" s="35">
        <f t="shared" si="54"/>
        <v>0</v>
      </c>
      <c r="D3419" s="30" t="str">
        <f>IFERROR(VLOOKUP(C3419,소속부서!$A$2:$B$20,2,FALSE), "")</f>
        <v/>
      </c>
    </row>
    <row r="3420" spans="3:4" x14ac:dyDescent="0.3">
      <c r="C3420" s="35">
        <f t="shared" si="54"/>
        <v>0</v>
      </c>
      <c r="D3420" s="30" t="str">
        <f>IFERROR(VLOOKUP(C3420,소속부서!$A$2:$B$20,2,FALSE), "")</f>
        <v/>
      </c>
    </row>
    <row r="3421" spans="3:4" x14ac:dyDescent="0.3">
      <c r="C3421" s="35">
        <f t="shared" si="54"/>
        <v>0</v>
      </c>
      <c r="D3421" s="30" t="str">
        <f>IFERROR(VLOOKUP(C3421,소속부서!$A$2:$B$20,2,FALSE), "")</f>
        <v/>
      </c>
    </row>
    <row r="3422" spans="3:4" x14ac:dyDescent="0.3">
      <c r="C3422" s="35">
        <f t="shared" si="54"/>
        <v>0</v>
      </c>
      <c r="D3422" s="30" t="str">
        <f>IFERROR(VLOOKUP(C3422,소속부서!$A$2:$B$20,2,FALSE), "")</f>
        <v/>
      </c>
    </row>
    <row r="3423" spans="3:4" x14ac:dyDescent="0.3">
      <c r="C3423" s="35">
        <f t="shared" si="54"/>
        <v>0</v>
      </c>
      <c r="D3423" s="30" t="str">
        <f>IFERROR(VLOOKUP(C3423,소속부서!$A$2:$B$20,2,FALSE), "")</f>
        <v/>
      </c>
    </row>
    <row r="3424" spans="3:4" x14ac:dyDescent="0.3">
      <c r="C3424" s="35">
        <f t="shared" si="54"/>
        <v>0</v>
      </c>
      <c r="D3424" s="30" t="str">
        <f>IFERROR(VLOOKUP(C3424,소속부서!$A$2:$B$20,2,FALSE), "")</f>
        <v/>
      </c>
    </row>
    <row r="3425" spans="3:4" x14ac:dyDescent="0.3">
      <c r="C3425" s="35">
        <f t="shared" si="54"/>
        <v>0</v>
      </c>
      <c r="D3425" s="30" t="str">
        <f>IFERROR(VLOOKUP(C3425,소속부서!$A$2:$B$20,2,FALSE), "")</f>
        <v/>
      </c>
    </row>
    <row r="3426" spans="3:4" x14ac:dyDescent="0.3">
      <c r="C3426" s="35">
        <f t="shared" si="54"/>
        <v>0</v>
      </c>
      <c r="D3426" s="30" t="str">
        <f>IFERROR(VLOOKUP(C3426,소속부서!$A$2:$B$20,2,FALSE), "")</f>
        <v/>
      </c>
    </row>
    <row r="3427" spans="3:4" x14ac:dyDescent="0.3">
      <c r="C3427" s="35">
        <f t="shared" si="54"/>
        <v>0</v>
      </c>
      <c r="D3427" s="30" t="str">
        <f>IFERROR(VLOOKUP(C3427,소속부서!$A$2:$B$20,2,FALSE), "")</f>
        <v/>
      </c>
    </row>
    <row r="3428" spans="3:4" x14ac:dyDescent="0.3">
      <c r="C3428" s="35">
        <f t="shared" si="54"/>
        <v>0</v>
      </c>
      <c r="D3428" s="30" t="str">
        <f>IFERROR(VLOOKUP(C3428,소속부서!$A$2:$B$20,2,FALSE), "")</f>
        <v/>
      </c>
    </row>
    <row r="3429" spans="3:4" x14ac:dyDescent="0.3">
      <c r="C3429" s="35">
        <f t="shared" si="54"/>
        <v>0</v>
      </c>
      <c r="D3429" s="30" t="str">
        <f>IFERROR(VLOOKUP(C3429,소속부서!$A$2:$B$20,2,FALSE), "")</f>
        <v/>
      </c>
    </row>
    <row r="3430" spans="3:4" x14ac:dyDescent="0.3">
      <c r="C3430" s="35">
        <f t="shared" si="54"/>
        <v>0</v>
      </c>
      <c r="D3430" s="30" t="str">
        <f>IFERROR(VLOOKUP(C3430,소속부서!$A$2:$B$20,2,FALSE), "")</f>
        <v/>
      </c>
    </row>
    <row r="3431" spans="3:4" x14ac:dyDescent="0.3">
      <c r="C3431" s="35">
        <f t="shared" si="54"/>
        <v>0</v>
      </c>
      <c r="D3431" s="30" t="str">
        <f>IFERROR(VLOOKUP(C3431,소속부서!$A$2:$B$20,2,FALSE), "")</f>
        <v/>
      </c>
    </row>
    <row r="3432" spans="3:4" x14ac:dyDescent="0.3">
      <c r="C3432" s="35">
        <f t="shared" si="54"/>
        <v>0</v>
      </c>
      <c r="D3432" s="30" t="str">
        <f>IFERROR(VLOOKUP(C3432,소속부서!$A$2:$B$20,2,FALSE), "")</f>
        <v/>
      </c>
    </row>
    <row r="3433" spans="3:4" x14ac:dyDescent="0.3">
      <c r="C3433" s="35">
        <f t="shared" si="54"/>
        <v>0</v>
      </c>
      <c r="D3433" s="30" t="str">
        <f>IFERROR(VLOOKUP(C3433,소속부서!$A$2:$B$20,2,FALSE), "")</f>
        <v/>
      </c>
    </row>
    <row r="3434" spans="3:4" x14ac:dyDescent="0.3">
      <c r="C3434" s="35">
        <f t="shared" si="54"/>
        <v>0</v>
      </c>
      <c r="D3434" s="30" t="str">
        <f>IFERROR(VLOOKUP(C3434,소속부서!$A$2:$B$20,2,FALSE), "")</f>
        <v/>
      </c>
    </row>
    <row r="3435" spans="3:4" x14ac:dyDescent="0.3">
      <c r="C3435" s="35">
        <f t="shared" si="54"/>
        <v>0</v>
      </c>
      <c r="D3435" s="30" t="str">
        <f>IFERROR(VLOOKUP(C3435,소속부서!$A$2:$B$20,2,FALSE), "")</f>
        <v/>
      </c>
    </row>
    <row r="3436" spans="3:4" x14ac:dyDescent="0.3">
      <c r="C3436" s="35">
        <f t="shared" si="54"/>
        <v>0</v>
      </c>
      <c r="D3436" s="30" t="str">
        <f>IFERROR(VLOOKUP(C3436,소속부서!$A$2:$B$20,2,FALSE), "")</f>
        <v/>
      </c>
    </row>
    <row r="3437" spans="3:4" x14ac:dyDescent="0.3">
      <c r="C3437" s="35">
        <f t="shared" si="54"/>
        <v>0</v>
      </c>
      <c r="D3437" s="30" t="str">
        <f>IFERROR(VLOOKUP(C3437,소속부서!$A$2:$B$20,2,FALSE), "")</f>
        <v/>
      </c>
    </row>
    <row r="3438" spans="3:4" x14ac:dyDescent="0.3">
      <c r="C3438" s="35">
        <f t="shared" si="54"/>
        <v>0</v>
      </c>
      <c r="D3438" s="30" t="str">
        <f>IFERROR(VLOOKUP(C3438,소속부서!$A$2:$B$20,2,FALSE), "")</f>
        <v/>
      </c>
    </row>
    <row r="3439" spans="3:4" x14ac:dyDescent="0.3">
      <c r="C3439" s="35">
        <f t="shared" si="54"/>
        <v>0</v>
      </c>
      <c r="D3439" s="30" t="str">
        <f>IFERROR(VLOOKUP(C3439,소속부서!$A$2:$B$20,2,FALSE), "")</f>
        <v/>
      </c>
    </row>
    <row r="3440" spans="3:4" x14ac:dyDescent="0.3">
      <c r="C3440" s="35">
        <f t="shared" si="54"/>
        <v>0</v>
      </c>
      <c r="D3440" s="30" t="str">
        <f>IFERROR(VLOOKUP(C3440,소속부서!$A$2:$B$20,2,FALSE), "")</f>
        <v/>
      </c>
    </row>
    <row r="3441" spans="3:4" x14ac:dyDescent="0.3">
      <c r="C3441" s="35">
        <f t="shared" si="54"/>
        <v>0</v>
      </c>
      <c r="D3441" s="30" t="str">
        <f>IFERROR(VLOOKUP(C3441,소속부서!$A$2:$B$20,2,FALSE), "")</f>
        <v/>
      </c>
    </row>
    <row r="3442" spans="3:4" x14ac:dyDescent="0.3">
      <c r="C3442" s="35">
        <f t="shared" si="54"/>
        <v>0</v>
      </c>
      <c r="D3442" s="30" t="str">
        <f>IFERROR(VLOOKUP(C3442,소속부서!$A$2:$B$20,2,FALSE), "")</f>
        <v/>
      </c>
    </row>
    <row r="3443" spans="3:4" x14ac:dyDescent="0.3">
      <c r="C3443" s="35">
        <f t="shared" si="54"/>
        <v>0</v>
      </c>
      <c r="D3443" s="30" t="str">
        <f>IFERROR(VLOOKUP(C3443,소속부서!$A$2:$B$20,2,FALSE), "")</f>
        <v/>
      </c>
    </row>
    <row r="3444" spans="3:4" x14ac:dyDescent="0.3">
      <c r="C3444" s="35">
        <f t="shared" si="54"/>
        <v>0</v>
      </c>
      <c r="D3444" s="30" t="str">
        <f>IFERROR(VLOOKUP(C3444,소속부서!$A$2:$B$20,2,FALSE), "")</f>
        <v/>
      </c>
    </row>
    <row r="3445" spans="3:4" x14ac:dyDescent="0.3">
      <c r="C3445" s="35">
        <f t="shared" si="54"/>
        <v>0</v>
      </c>
      <c r="D3445" s="30" t="str">
        <f>IFERROR(VLOOKUP(C3445,소속부서!$A$2:$B$20,2,FALSE), "")</f>
        <v/>
      </c>
    </row>
    <row r="3446" spans="3:4" x14ac:dyDescent="0.3">
      <c r="C3446" s="35">
        <f t="shared" si="54"/>
        <v>0</v>
      </c>
      <c r="D3446" s="30" t="str">
        <f>IFERROR(VLOOKUP(C3446,소속부서!$A$2:$B$20,2,FALSE), "")</f>
        <v/>
      </c>
    </row>
    <row r="3447" spans="3:4" x14ac:dyDescent="0.3">
      <c r="C3447" s="35">
        <f t="shared" si="54"/>
        <v>0</v>
      </c>
      <c r="D3447" s="30" t="str">
        <f>IFERROR(VLOOKUP(C3447,소속부서!$A$2:$B$20,2,FALSE), "")</f>
        <v/>
      </c>
    </row>
    <row r="3448" spans="3:4" x14ac:dyDescent="0.3">
      <c r="C3448" s="35">
        <f t="shared" si="54"/>
        <v>0</v>
      </c>
      <c r="D3448" s="30" t="str">
        <f>IFERROR(VLOOKUP(C3448,소속부서!$A$2:$B$20,2,FALSE), "")</f>
        <v/>
      </c>
    </row>
    <row r="3449" spans="3:4" x14ac:dyDescent="0.3">
      <c r="C3449" s="35">
        <f t="shared" si="54"/>
        <v>0</v>
      </c>
      <c r="D3449" s="30" t="str">
        <f>IFERROR(VLOOKUP(C3449,소속부서!$A$2:$B$20,2,FALSE), "")</f>
        <v/>
      </c>
    </row>
    <row r="3450" spans="3:4" x14ac:dyDescent="0.3">
      <c r="C3450" s="35">
        <f t="shared" si="54"/>
        <v>0</v>
      </c>
      <c r="D3450" s="30" t="str">
        <f>IFERROR(VLOOKUP(C3450,소속부서!$A$2:$B$20,2,FALSE), "")</f>
        <v/>
      </c>
    </row>
    <row r="3451" spans="3:4" x14ac:dyDescent="0.3">
      <c r="C3451" s="35">
        <f t="shared" si="54"/>
        <v>0</v>
      </c>
      <c r="D3451" s="30" t="str">
        <f>IFERROR(VLOOKUP(C3451,소속부서!$A$2:$B$20,2,FALSE), "")</f>
        <v/>
      </c>
    </row>
    <row r="3452" spans="3:4" x14ac:dyDescent="0.3">
      <c r="C3452" s="35">
        <f t="shared" si="54"/>
        <v>0</v>
      </c>
      <c r="D3452" s="30" t="str">
        <f>IFERROR(VLOOKUP(C3452,소속부서!$A$2:$B$20,2,FALSE), "")</f>
        <v/>
      </c>
    </row>
    <row r="3453" spans="3:4" x14ac:dyDescent="0.3">
      <c r="C3453" s="35">
        <f t="shared" si="54"/>
        <v>0</v>
      </c>
      <c r="D3453" s="30" t="str">
        <f>IFERROR(VLOOKUP(C3453,소속부서!$A$2:$B$20,2,FALSE), "")</f>
        <v/>
      </c>
    </row>
    <row r="3454" spans="3:4" x14ac:dyDescent="0.3">
      <c r="C3454" s="35">
        <f t="shared" si="54"/>
        <v>0</v>
      </c>
      <c r="D3454" s="30" t="str">
        <f>IFERROR(VLOOKUP(C3454,소속부서!$A$2:$B$20,2,FALSE), "")</f>
        <v/>
      </c>
    </row>
    <row r="3455" spans="3:4" x14ac:dyDescent="0.3">
      <c r="C3455" s="35">
        <f t="shared" si="54"/>
        <v>0</v>
      </c>
      <c r="D3455" s="30" t="str">
        <f>IFERROR(VLOOKUP(C3455,소속부서!$A$2:$B$20,2,FALSE), "")</f>
        <v/>
      </c>
    </row>
    <row r="3456" spans="3:4" x14ac:dyDescent="0.3">
      <c r="C3456" s="35">
        <f t="shared" si="54"/>
        <v>0</v>
      </c>
      <c r="D3456" s="30" t="str">
        <f>IFERROR(VLOOKUP(C3456,소속부서!$A$2:$B$20,2,FALSE), "")</f>
        <v/>
      </c>
    </row>
    <row r="3457" spans="3:4" x14ac:dyDescent="0.3">
      <c r="C3457" s="35">
        <f t="shared" si="54"/>
        <v>0</v>
      </c>
      <c r="D3457" s="30" t="str">
        <f>IFERROR(VLOOKUP(C3457,소속부서!$A$2:$B$20,2,FALSE), "")</f>
        <v/>
      </c>
    </row>
    <row r="3458" spans="3:4" x14ac:dyDescent="0.3">
      <c r="C3458" s="35">
        <f t="shared" si="54"/>
        <v>0</v>
      </c>
      <c r="D3458" s="30" t="str">
        <f>IFERROR(VLOOKUP(C3458,소속부서!$A$2:$B$20,2,FALSE), "")</f>
        <v/>
      </c>
    </row>
    <row r="3459" spans="3:4" x14ac:dyDescent="0.3">
      <c r="C3459" s="35">
        <f t="shared" si="54"/>
        <v>0</v>
      </c>
      <c r="D3459" s="30" t="str">
        <f>IFERROR(VLOOKUP(C3459,소속부서!$A$2:$B$20,2,FALSE), "")</f>
        <v/>
      </c>
    </row>
    <row r="3460" spans="3:4" x14ac:dyDescent="0.3">
      <c r="C3460" s="35">
        <f t="shared" ref="C3460:C3523" si="55">E3460</f>
        <v>0</v>
      </c>
      <c r="D3460" s="30" t="str">
        <f>IFERROR(VLOOKUP(C3460,소속부서!$A$2:$B$20,2,FALSE), "")</f>
        <v/>
      </c>
    </row>
    <row r="3461" spans="3:4" x14ac:dyDescent="0.3">
      <c r="C3461" s="35">
        <f t="shared" si="55"/>
        <v>0</v>
      </c>
      <c r="D3461" s="30" t="str">
        <f>IFERROR(VLOOKUP(C3461,소속부서!$A$2:$B$20,2,FALSE), "")</f>
        <v/>
      </c>
    </row>
    <row r="3462" spans="3:4" x14ac:dyDescent="0.3">
      <c r="C3462" s="35">
        <f t="shared" si="55"/>
        <v>0</v>
      </c>
      <c r="D3462" s="30" t="str">
        <f>IFERROR(VLOOKUP(C3462,소속부서!$A$2:$B$20,2,FALSE), "")</f>
        <v/>
      </c>
    </row>
    <row r="3463" spans="3:4" x14ac:dyDescent="0.3">
      <c r="C3463" s="35">
        <f t="shared" si="55"/>
        <v>0</v>
      </c>
      <c r="D3463" s="30" t="str">
        <f>IFERROR(VLOOKUP(C3463,소속부서!$A$2:$B$20,2,FALSE), "")</f>
        <v/>
      </c>
    </row>
    <row r="3464" spans="3:4" x14ac:dyDescent="0.3">
      <c r="C3464" s="35">
        <f t="shared" si="55"/>
        <v>0</v>
      </c>
      <c r="D3464" s="30" t="str">
        <f>IFERROR(VLOOKUP(C3464,소속부서!$A$2:$B$20,2,FALSE), "")</f>
        <v/>
      </c>
    </row>
    <row r="3465" spans="3:4" x14ac:dyDescent="0.3">
      <c r="C3465" s="35">
        <f t="shared" si="55"/>
        <v>0</v>
      </c>
      <c r="D3465" s="30" t="str">
        <f>IFERROR(VLOOKUP(C3465,소속부서!$A$2:$B$20,2,FALSE), "")</f>
        <v/>
      </c>
    </row>
    <row r="3466" spans="3:4" x14ac:dyDescent="0.3">
      <c r="C3466" s="35">
        <f t="shared" si="55"/>
        <v>0</v>
      </c>
      <c r="D3466" s="30" t="str">
        <f>IFERROR(VLOOKUP(C3466,소속부서!$A$2:$B$20,2,FALSE), "")</f>
        <v/>
      </c>
    </row>
    <row r="3467" spans="3:4" x14ac:dyDescent="0.3">
      <c r="C3467" s="35">
        <f t="shared" si="55"/>
        <v>0</v>
      </c>
      <c r="D3467" s="30" t="str">
        <f>IFERROR(VLOOKUP(C3467,소속부서!$A$2:$B$20,2,FALSE), "")</f>
        <v/>
      </c>
    </row>
    <row r="3468" spans="3:4" x14ac:dyDescent="0.3">
      <c r="C3468" s="35">
        <f t="shared" si="55"/>
        <v>0</v>
      </c>
      <c r="D3468" s="30" t="str">
        <f>IFERROR(VLOOKUP(C3468,소속부서!$A$2:$B$20,2,FALSE), "")</f>
        <v/>
      </c>
    </row>
    <row r="3469" spans="3:4" x14ac:dyDescent="0.3">
      <c r="C3469" s="35">
        <f t="shared" si="55"/>
        <v>0</v>
      </c>
      <c r="D3469" s="30" t="str">
        <f>IFERROR(VLOOKUP(C3469,소속부서!$A$2:$B$20,2,FALSE), "")</f>
        <v/>
      </c>
    </row>
    <row r="3470" spans="3:4" x14ac:dyDescent="0.3">
      <c r="C3470" s="35">
        <f t="shared" si="55"/>
        <v>0</v>
      </c>
      <c r="D3470" s="30" t="str">
        <f>IFERROR(VLOOKUP(C3470,소속부서!$A$2:$B$20,2,FALSE), "")</f>
        <v/>
      </c>
    </row>
    <row r="3471" spans="3:4" x14ac:dyDescent="0.3">
      <c r="C3471" s="35">
        <f t="shared" si="55"/>
        <v>0</v>
      </c>
      <c r="D3471" s="30" t="str">
        <f>IFERROR(VLOOKUP(C3471,소속부서!$A$2:$B$20,2,FALSE), "")</f>
        <v/>
      </c>
    </row>
    <row r="3472" spans="3:4" x14ac:dyDescent="0.3">
      <c r="C3472" s="35">
        <f t="shared" si="55"/>
        <v>0</v>
      </c>
      <c r="D3472" s="30" t="str">
        <f>IFERROR(VLOOKUP(C3472,소속부서!$A$2:$B$20,2,FALSE), "")</f>
        <v/>
      </c>
    </row>
    <row r="3473" spans="3:4" x14ac:dyDescent="0.3">
      <c r="C3473" s="35">
        <f t="shared" si="55"/>
        <v>0</v>
      </c>
      <c r="D3473" s="30" t="str">
        <f>IFERROR(VLOOKUP(C3473,소속부서!$A$2:$B$20,2,FALSE), "")</f>
        <v/>
      </c>
    </row>
    <row r="3474" spans="3:4" x14ac:dyDescent="0.3">
      <c r="C3474" s="35">
        <f t="shared" si="55"/>
        <v>0</v>
      </c>
      <c r="D3474" s="30" t="str">
        <f>IFERROR(VLOOKUP(C3474,소속부서!$A$2:$B$20,2,FALSE), "")</f>
        <v/>
      </c>
    </row>
    <row r="3475" spans="3:4" x14ac:dyDescent="0.3">
      <c r="C3475" s="35">
        <f t="shared" si="55"/>
        <v>0</v>
      </c>
      <c r="D3475" s="30" t="str">
        <f>IFERROR(VLOOKUP(C3475,소속부서!$A$2:$B$20,2,FALSE), "")</f>
        <v/>
      </c>
    </row>
    <row r="3476" spans="3:4" x14ac:dyDescent="0.3">
      <c r="C3476" s="35">
        <f t="shared" si="55"/>
        <v>0</v>
      </c>
      <c r="D3476" s="30" t="str">
        <f>IFERROR(VLOOKUP(C3476,소속부서!$A$2:$B$20,2,FALSE), "")</f>
        <v/>
      </c>
    </row>
    <row r="3477" spans="3:4" x14ac:dyDescent="0.3">
      <c r="C3477" s="35">
        <f t="shared" si="55"/>
        <v>0</v>
      </c>
      <c r="D3477" s="30" t="str">
        <f>IFERROR(VLOOKUP(C3477,소속부서!$A$2:$B$20,2,FALSE), "")</f>
        <v/>
      </c>
    </row>
    <row r="3478" spans="3:4" x14ac:dyDescent="0.3">
      <c r="C3478" s="35">
        <f t="shared" si="55"/>
        <v>0</v>
      </c>
      <c r="D3478" s="30" t="str">
        <f>IFERROR(VLOOKUP(C3478,소속부서!$A$2:$B$20,2,FALSE), "")</f>
        <v/>
      </c>
    </row>
    <row r="3479" spans="3:4" x14ac:dyDescent="0.3">
      <c r="C3479" s="35">
        <f t="shared" si="55"/>
        <v>0</v>
      </c>
      <c r="D3479" s="30" t="str">
        <f>IFERROR(VLOOKUP(C3479,소속부서!$A$2:$B$20,2,FALSE), "")</f>
        <v/>
      </c>
    </row>
    <row r="3480" spans="3:4" x14ac:dyDescent="0.3">
      <c r="C3480" s="35">
        <f t="shared" si="55"/>
        <v>0</v>
      </c>
      <c r="D3480" s="30" t="str">
        <f>IFERROR(VLOOKUP(C3480,소속부서!$A$2:$B$20,2,FALSE), "")</f>
        <v/>
      </c>
    </row>
    <row r="3481" spans="3:4" x14ac:dyDescent="0.3">
      <c r="C3481" s="35">
        <f t="shared" si="55"/>
        <v>0</v>
      </c>
      <c r="D3481" s="30" t="str">
        <f>IFERROR(VLOOKUP(C3481,소속부서!$A$2:$B$20,2,FALSE), "")</f>
        <v/>
      </c>
    </row>
    <row r="3482" spans="3:4" x14ac:dyDescent="0.3">
      <c r="C3482" s="35">
        <f t="shared" si="55"/>
        <v>0</v>
      </c>
      <c r="D3482" s="30" t="str">
        <f>IFERROR(VLOOKUP(C3482,소속부서!$A$2:$B$20,2,FALSE), "")</f>
        <v/>
      </c>
    </row>
    <row r="3483" spans="3:4" x14ac:dyDescent="0.3">
      <c r="C3483" s="35">
        <f t="shared" si="55"/>
        <v>0</v>
      </c>
      <c r="D3483" s="30" t="str">
        <f>IFERROR(VLOOKUP(C3483,소속부서!$A$2:$B$20,2,FALSE), "")</f>
        <v/>
      </c>
    </row>
    <row r="3484" spans="3:4" x14ac:dyDescent="0.3">
      <c r="C3484" s="35">
        <f t="shared" si="55"/>
        <v>0</v>
      </c>
      <c r="D3484" s="30" t="str">
        <f>IFERROR(VLOOKUP(C3484,소속부서!$A$2:$B$20,2,FALSE), "")</f>
        <v/>
      </c>
    </row>
    <row r="3485" spans="3:4" x14ac:dyDescent="0.3">
      <c r="C3485" s="35">
        <f t="shared" si="55"/>
        <v>0</v>
      </c>
      <c r="D3485" s="30" t="str">
        <f>IFERROR(VLOOKUP(C3485,소속부서!$A$2:$B$20,2,FALSE), "")</f>
        <v/>
      </c>
    </row>
    <row r="3486" spans="3:4" x14ac:dyDescent="0.3">
      <c r="C3486" s="35">
        <f t="shared" si="55"/>
        <v>0</v>
      </c>
      <c r="D3486" s="30" t="str">
        <f>IFERROR(VLOOKUP(C3486,소속부서!$A$2:$B$20,2,FALSE), "")</f>
        <v/>
      </c>
    </row>
    <row r="3487" spans="3:4" x14ac:dyDescent="0.3">
      <c r="C3487" s="35">
        <f t="shared" si="55"/>
        <v>0</v>
      </c>
      <c r="D3487" s="30" t="str">
        <f>IFERROR(VLOOKUP(C3487,소속부서!$A$2:$B$20,2,FALSE), "")</f>
        <v/>
      </c>
    </row>
    <row r="3488" spans="3:4" x14ac:dyDescent="0.3">
      <c r="C3488" s="35">
        <f t="shared" si="55"/>
        <v>0</v>
      </c>
      <c r="D3488" s="30" t="str">
        <f>IFERROR(VLOOKUP(C3488,소속부서!$A$2:$B$20,2,FALSE), "")</f>
        <v/>
      </c>
    </row>
    <row r="3489" spans="3:4" x14ac:dyDescent="0.3">
      <c r="C3489" s="35">
        <f t="shared" si="55"/>
        <v>0</v>
      </c>
      <c r="D3489" s="30" t="str">
        <f>IFERROR(VLOOKUP(C3489,소속부서!$A$2:$B$20,2,FALSE), "")</f>
        <v/>
      </c>
    </row>
    <row r="3490" spans="3:4" x14ac:dyDescent="0.3">
      <c r="C3490" s="35">
        <f t="shared" si="55"/>
        <v>0</v>
      </c>
      <c r="D3490" s="30" t="str">
        <f>IFERROR(VLOOKUP(C3490,소속부서!$A$2:$B$20,2,FALSE), "")</f>
        <v/>
      </c>
    </row>
    <row r="3491" spans="3:4" x14ac:dyDescent="0.3">
      <c r="C3491" s="35">
        <f t="shared" si="55"/>
        <v>0</v>
      </c>
      <c r="D3491" s="30" t="str">
        <f>IFERROR(VLOOKUP(C3491,소속부서!$A$2:$B$20,2,FALSE), "")</f>
        <v/>
      </c>
    </row>
    <row r="3492" spans="3:4" x14ac:dyDescent="0.3">
      <c r="C3492" s="35">
        <f t="shared" si="55"/>
        <v>0</v>
      </c>
      <c r="D3492" s="30" t="str">
        <f>IFERROR(VLOOKUP(C3492,소속부서!$A$2:$B$20,2,FALSE), "")</f>
        <v/>
      </c>
    </row>
    <row r="3493" spans="3:4" x14ac:dyDescent="0.3">
      <c r="C3493" s="35">
        <f t="shared" si="55"/>
        <v>0</v>
      </c>
      <c r="D3493" s="30" t="str">
        <f>IFERROR(VLOOKUP(C3493,소속부서!$A$2:$B$20,2,FALSE), "")</f>
        <v/>
      </c>
    </row>
    <row r="3494" spans="3:4" x14ac:dyDescent="0.3">
      <c r="C3494" s="35">
        <f t="shared" si="55"/>
        <v>0</v>
      </c>
      <c r="D3494" s="30" t="str">
        <f>IFERROR(VLOOKUP(C3494,소속부서!$A$2:$B$20,2,FALSE), "")</f>
        <v/>
      </c>
    </row>
    <row r="3495" spans="3:4" x14ac:dyDescent="0.3">
      <c r="C3495" s="35">
        <f t="shared" si="55"/>
        <v>0</v>
      </c>
      <c r="D3495" s="30" t="str">
        <f>IFERROR(VLOOKUP(C3495,소속부서!$A$2:$B$20,2,FALSE), "")</f>
        <v/>
      </c>
    </row>
    <row r="3496" spans="3:4" x14ac:dyDescent="0.3">
      <c r="C3496" s="35">
        <f t="shared" si="55"/>
        <v>0</v>
      </c>
      <c r="D3496" s="30" t="str">
        <f>IFERROR(VLOOKUP(C3496,소속부서!$A$2:$B$20,2,FALSE), "")</f>
        <v/>
      </c>
    </row>
    <row r="3497" spans="3:4" x14ac:dyDescent="0.3">
      <c r="C3497" s="35">
        <f t="shared" si="55"/>
        <v>0</v>
      </c>
      <c r="D3497" s="30" t="str">
        <f>IFERROR(VLOOKUP(C3497,소속부서!$A$2:$B$20,2,FALSE), "")</f>
        <v/>
      </c>
    </row>
    <row r="3498" spans="3:4" x14ac:dyDescent="0.3">
      <c r="C3498" s="35">
        <f t="shared" si="55"/>
        <v>0</v>
      </c>
      <c r="D3498" s="30" t="str">
        <f>IFERROR(VLOOKUP(C3498,소속부서!$A$2:$B$20,2,FALSE), "")</f>
        <v/>
      </c>
    </row>
    <row r="3499" spans="3:4" x14ac:dyDescent="0.3">
      <c r="C3499" s="35">
        <f t="shared" si="55"/>
        <v>0</v>
      </c>
      <c r="D3499" s="30" t="str">
        <f>IFERROR(VLOOKUP(C3499,소속부서!$A$2:$B$20,2,FALSE), "")</f>
        <v/>
      </c>
    </row>
    <row r="3500" spans="3:4" x14ac:dyDescent="0.3">
      <c r="C3500" s="35">
        <f t="shared" si="55"/>
        <v>0</v>
      </c>
      <c r="D3500" s="30" t="str">
        <f>IFERROR(VLOOKUP(C3500,소속부서!$A$2:$B$20,2,FALSE), "")</f>
        <v/>
      </c>
    </row>
    <row r="3501" spans="3:4" x14ac:dyDescent="0.3">
      <c r="C3501" s="35">
        <f t="shared" si="55"/>
        <v>0</v>
      </c>
      <c r="D3501" s="30" t="str">
        <f>IFERROR(VLOOKUP(C3501,소속부서!$A$2:$B$20,2,FALSE), "")</f>
        <v/>
      </c>
    </row>
    <row r="3502" spans="3:4" x14ac:dyDescent="0.3">
      <c r="C3502" s="35">
        <f t="shared" si="55"/>
        <v>0</v>
      </c>
      <c r="D3502" s="30" t="str">
        <f>IFERROR(VLOOKUP(C3502,소속부서!$A$2:$B$20,2,FALSE), "")</f>
        <v/>
      </c>
    </row>
    <row r="3503" spans="3:4" x14ac:dyDescent="0.3">
      <c r="C3503" s="35">
        <f t="shared" si="55"/>
        <v>0</v>
      </c>
      <c r="D3503" s="30" t="str">
        <f>IFERROR(VLOOKUP(C3503,소속부서!$A$2:$B$20,2,FALSE), "")</f>
        <v/>
      </c>
    </row>
    <row r="3504" spans="3:4" x14ac:dyDescent="0.3">
      <c r="C3504" s="35">
        <f t="shared" si="55"/>
        <v>0</v>
      </c>
      <c r="D3504" s="30" t="str">
        <f>IFERROR(VLOOKUP(C3504,소속부서!$A$2:$B$20,2,FALSE), "")</f>
        <v/>
      </c>
    </row>
    <row r="3505" spans="3:4" x14ac:dyDescent="0.3">
      <c r="C3505" s="35">
        <f t="shared" si="55"/>
        <v>0</v>
      </c>
      <c r="D3505" s="30" t="str">
        <f>IFERROR(VLOOKUP(C3505,소속부서!$A$2:$B$20,2,FALSE), "")</f>
        <v/>
      </c>
    </row>
    <row r="3506" spans="3:4" x14ac:dyDescent="0.3">
      <c r="C3506" s="35">
        <f t="shared" si="55"/>
        <v>0</v>
      </c>
      <c r="D3506" s="30" t="str">
        <f>IFERROR(VLOOKUP(C3506,소속부서!$A$2:$B$20,2,FALSE), "")</f>
        <v/>
      </c>
    </row>
    <row r="3507" spans="3:4" x14ac:dyDescent="0.3">
      <c r="C3507" s="35">
        <f t="shared" si="55"/>
        <v>0</v>
      </c>
      <c r="D3507" s="30" t="str">
        <f>IFERROR(VLOOKUP(C3507,소속부서!$A$2:$B$20,2,FALSE), "")</f>
        <v/>
      </c>
    </row>
    <row r="3508" spans="3:4" x14ac:dyDescent="0.3">
      <c r="C3508" s="35">
        <f t="shared" si="55"/>
        <v>0</v>
      </c>
      <c r="D3508" s="30" t="str">
        <f>IFERROR(VLOOKUP(C3508,소속부서!$A$2:$B$20,2,FALSE), "")</f>
        <v/>
      </c>
    </row>
    <row r="3509" spans="3:4" x14ac:dyDescent="0.3">
      <c r="C3509" s="35">
        <f t="shared" si="55"/>
        <v>0</v>
      </c>
      <c r="D3509" s="30" t="str">
        <f>IFERROR(VLOOKUP(C3509,소속부서!$A$2:$B$20,2,FALSE), "")</f>
        <v/>
      </c>
    </row>
    <row r="3510" spans="3:4" x14ac:dyDescent="0.3">
      <c r="C3510" s="35">
        <f t="shared" si="55"/>
        <v>0</v>
      </c>
      <c r="D3510" s="30" t="str">
        <f>IFERROR(VLOOKUP(C3510,소속부서!$A$2:$B$20,2,FALSE), "")</f>
        <v/>
      </c>
    </row>
    <row r="3511" spans="3:4" x14ac:dyDescent="0.3">
      <c r="C3511" s="35">
        <f t="shared" si="55"/>
        <v>0</v>
      </c>
      <c r="D3511" s="30" t="str">
        <f>IFERROR(VLOOKUP(C3511,소속부서!$A$2:$B$20,2,FALSE), "")</f>
        <v/>
      </c>
    </row>
    <row r="3512" spans="3:4" x14ac:dyDescent="0.3">
      <c r="C3512" s="35">
        <f t="shared" si="55"/>
        <v>0</v>
      </c>
      <c r="D3512" s="30" t="str">
        <f>IFERROR(VLOOKUP(C3512,소속부서!$A$2:$B$20,2,FALSE), "")</f>
        <v/>
      </c>
    </row>
    <row r="3513" spans="3:4" x14ac:dyDescent="0.3">
      <c r="C3513" s="35">
        <f t="shared" si="55"/>
        <v>0</v>
      </c>
      <c r="D3513" s="30" t="str">
        <f>IFERROR(VLOOKUP(C3513,소속부서!$A$2:$B$20,2,FALSE), "")</f>
        <v/>
      </c>
    </row>
    <row r="3514" spans="3:4" x14ac:dyDescent="0.3">
      <c r="C3514" s="35">
        <f t="shared" si="55"/>
        <v>0</v>
      </c>
      <c r="D3514" s="30" t="str">
        <f>IFERROR(VLOOKUP(C3514,소속부서!$A$2:$B$20,2,FALSE), "")</f>
        <v/>
      </c>
    </row>
    <row r="3515" spans="3:4" x14ac:dyDescent="0.3">
      <c r="C3515" s="35">
        <f t="shared" si="55"/>
        <v>0</v>
      </c>
      <c r="D3515" s="30" t="str">
        <f>IFERROR(VLOOKUP(C3515,소속부서!$A$2:$B$20,2,FALSE), "")</f>
        <v/>
      </c>
    </row>
    <row r="3516" spans="3:4" x14ac:dyDescent="0.3">
      <c r="C3516" s="35">
        <f t="shared" si="55"/>
        <v>0</v>
      </c>
      <c r="D3516" s="30" t="str">
        <f>IFERROR(VLOOKUP(C3516,소속부서!$A$2:$B$20,2,FALSE), "")</f>
        <v/>
      </c>
    </row>
    <row r="3517" spans="3:4" x14ac:dyDescent="0.3">
      <c r="C3517" s="35">
        <f t="shared" si="55"/>
        <v>0</v>
      </c>
      <c r="D3517" s="30" t="str">
        <f>IFERROR(VLOOKUP(C3517,소속부서!$A$2:$B$20,2,FALSE), "")</f>
        <v/>
      </c>
    </row>
    <row r="3518" spans="3:4" x14ac:dyDescent="0.3">
      <c r="C3518" s="35">
        <f t="shared" si="55"/>
        <v>0</v>
      </c>
      <c r="D3518" s="30" t="str">
        <f>IFERROR(VLOOKUP(C3518,소속부서!$A$2:$B$20,2,FALSE), "")</f>
        <v/>
      </c>
    </row>
    <row r="3519" spans="3:4" x14ac:dyDescent="0.3">
      <c r="C3519" s="35">
        <f t="shared" si="55"/>
        <v>0</v>
      </c>
      <c r="D3519" s="30" t="str">
        <f>IFERROR(VLOOKUP(C3519,소속부서!$A$2:$B$20,2,FALSE), "")</f>
        <v/>
      </c>
    </row>
    <row r="3520" spans="3:4" x14ac:dyDescent="0.3">
      <c r="C3520" s="35">
        <f t="shared" si="55"/>
        <v>0</v>
      </c>
      <c r="D3520" s="30" t="str">
        <f>IFERROR(VLOOKUP(C3520,소속부서!$A$2:$B$20,2,FALSE), "")</f>
        <v/>
      </c>
    </row>
    <row r="3521" spans="3:4" x14ac:dyDescent="0.3">
      <c r="C3521" s="35">
        <f t="shared" si="55"/>
        <v>0</v>
      </c>
      <c r="D3521" s="30" t="str">
        <f>IFERROR(VLOOKUP(C3521,소속부서!$A$2:$B$20,2,FALSE), "")</f>
        <v/>
      </c>
    </row>
    <row r="3522" spans="3:4" x14ac:dyDescent="0.3">
      <c r="C3522" s="35">
        <f t="shared" si="55"/>
        <v>0</v>
      </c>
      <c r="D3522" s="30" t="str">
        <f>IFERROR(VLOOKUP(C3522,소속부서!$A$2:$B$20,2,FALSE), "")</f>
        <v/>
      </c>
    </row>
    <row r="3523" spans="3:4" x14ac:dyDescent="0.3">
      <c r="C3523" s="35">
        <f t="shared" si="55"/>
        <v>0</v>
      </c>
      <c r="D3523" s="30" t="str">
        <f>IFERROR(VLOOKUP(C3523,소속부서!$A$2:$B$20,2,FALSE), "")</f>
        <v/>
      </c>
    </row>
    <row r="3524" spans="3:4" x14ac:dyDescent="0.3">
      <c r="C3524" s="35">
        <f t="shared" ref="C3524:C3587" si="56">E3524</f>
        <v>0</v>
      </c>
      <c r="D3524" s="30" t="str">
        <f>IFERROR(VLOOKUP(C3524,소속부서!$A$2:$B$20,2,FALSE), "")</f>
        <v/>
      </c>
    </row>
    <row r="3525" spans="3:4" x14ac:dyDescent="0.3">
      <c r="C3525" s="35">
        <f t="shared" si="56"/>
        <v>0</v>
      </c>
      <c r="D3525" s="30" t="str">
        <f>IFERROR(VLOOKUP(C3525,소속부서!$A$2:$B$20,2,FALSE), "")</f>
        <v/>
      </c>
    </row>
    <row r="3526" spans="3:4" x14ac:dyDescent="0.3">
      <c r="C3526" s="35">
        <f t="shared" si="56"/>
        <v>0</v>
      </c>
      <c r="D3526" s="30" t="str">
        <f>IFERROR(VLOOKUP(C3526,소속부서!$A$2:$B$20,2,FALSE), "")</f>
        <v/>
      </c>
    </row>
    <row r="3527" spans="3:4" x14ac:dyDescent="0.3">
      <c r="C3527" s="35">
        <f t="shared" si="56"/>
        <v>0</v>
      </c>
      <c r="D3527" s="30" t="str">
        <f>IFERROR(VLOOKUP(C3527,소속부서!$A$2:$B$20,2,FALSE), "")</f>
        <v/>
      </c>
    </row>
    <row r="3528" spans="3:4" x14ac:dyDescent="0.3">
      <c r="C3528" s="35">
        <f t="shared" si="56"/>
        <v>0</v>
      </c>
      <c r="D3528" s="30" t="str">
        <f>IFERROR(VLOOKUP(C3528,소속부서!$A$2:$B$20,2,FALSE), "")</f>
        <v/>
      </c>
    </row>
    <row r="3529" spans="3:4" x14ac:dyDescent="0.3">
      <c r="C3529" s="35">
        <f t="shared" si="56"/>
        <v>0</v>
      </c>
      <c r="D3529" s="30" t="str">
        <f>IFERROR(VLOOKUP(C3529,소속부서!$A$2:$B$20,2,FALSE), "")</f>
        <v/>
      </c>
    </row>
    <row r="3530" spans="3:4" x14ac:dyDescent="0.3">
      <c r="C3530" s="35">
        <f t="shared" si="56"/>
        <v>0</v>
      </c>
      <c r="D3530" s="30" t="str">
        <f>IFERROR(VLOOKUP(C3530,소속부서!$A$2:$B$20,2,FALSE), "")</f>
        <v/>
      </c>
    </row>
    <row r="3531" spans="3:4" x14ac:dyDescent="0.3">
      <c r="C3531" s="35">
        <f t="shared" si="56"/>
        <v>0</v>
      </c>
      <c r="D3531" s="30" t="str">
        <f>IFERROR(VLOOKUP(C3531,소속부서!$A$2:$B$20,2,FALSE), "")</f>
        <v/>
      </c>
    </row>
    <row r="3532" spans="3:4" x14ac:dyDescent="0.3">
      <c r="C3532" s="35">
        <f t="shared" si="56"/>
        <v>0</v>
      </c>
      <c r="D3532" s="30" t="str">
        <f>IFERROR(VLOOKUP(C3532,소속부서!$A$2:$B$20,2,FALSE), "")</f>
        <v/>
      </c>
    </row>
    <row r="3533" spans="3:4" x14ac:dyDescent="0.3">
      <c r="C3533" s="35">
        <f t="shared" si="56"/>
        <v>0</v>
      </c>
      <c r="D3533" s="30" t="str">
        <f>IFERROR(VLOOKUP(C3533,소속부서!$A$2:$B$20,2,FALSE), "")</f>
        <v/>
      </c>
    </row>
    <row r="3534" spans="3:4" x14ac:dyDescent="0.3">
      <c r="C3534" s="35">
        <f t="shared" si="56"/>
        <v>0</v>
      </c>
      <c r="D3534" s="30" t="str">
        <f>IFERROR(VLOOKUP(C3534,소속부서!$A$2:$B$20,2,FALSE), "")</f>
        <v/>
      </c>
    </row>
    <row r="3535" spans="3:4" x14ac:dyDescent="0.3">
      <c r="C3535" s="35">
        <f t="shared" si="56"/>
        <v>0</v>
      </c>
      <c r="D3535" s="30" t="str">
        <f>IFERROR(VLOOKUP(C3535,소속부서!$A$2:$B$20,2,FALSE), "")</f>
        <v/>
      </c>
    </row>
    <row r="3536" spans="3:4" x14ac:dyDescent="0.3">
      <c r="C3536" s="35">
        <f t="shared" si="56"/>
        <v>0</v>
      </c>
      <c r="D3536" s="30" t="str">
        <f>IFERROR(VLOOKUP(C3536,소속부서!$A$2:$B$20,2,FALSE), "")</f>
        <v/>
      </c>
    </row>
    <row r="3537" spans="3:4" x14ac:dyDescent="0.3">
      <c r="C3537" s="35">
        <f t="shared" si="56"/>
        <v>0</v>
      </c>
      <c r="D3537" s="30" t="str">
        <f>IFERROR(VLOOKUP(C3537,소속부서!$A$2:$B$20,2,FALSE), "")</f>
        <v/>
      </c>
    </row>
    <row r="3538" spans="3:4" x14ac:dyDescent="0.3">
      <c r="C3538" s="35">
        <f t="shared" si="56"/>
        <v>0</v>
      </c>
      <c r="D3538" s="30" t="str">
        <f>IFERROR(VLOOKUP(C3538,소속부서!$A$2:$B$20,2,FALSE), "")</f>
        <v/>
      </c>
    </row>
    <row r="3539" spans="3:4" x14ac:dyDescent="0.3">
      <c r="C3539" s="35">
        <f t="shared" si="56"/>
        <v>0</v>
      </c>
      <c r="D3539" s="30" t="str">
        <f>IFERROR(VLOOKUP(C3539,소속부서!$A$2:$B$20,2,FALSE), "")</f>
        <v/>
      </c>
    </row>
    <row r="3540" spans="3:4" x14ac:dyDescent="0.3">
      <c r="C3540" s="35">
        <f t="shared" si="56"/>
        <v>0</v>
      </c>
      <c r="D3540" s="30" t="str">
        <f>IFERROR(VLOOKUP(C3540,소속부서!$A$2:$B$20,2,FALSE), "")</f>
        <v/>
      </c>
    </row>
    <row r="3541" spans="3:4" x14ac:dyDescent="0.3">
      <c r="C3541" s="35">
        <f t="shared" si="56"/>
        <v>0</v>
      </c>
      <c r="D3541" s="30" t="str">
        <f>IFERROR(VLOOKUP(C3541,소속부서!$A$2:$B$20,2,FALSE), "")</f>
        <v/>
      </c>
    </row>
    <row r="3542" spans="3:4" x14ac:dyDescent="0.3">
      <c r="C3542" s="35">
        <f t="shared" si="56"/>
        <v>0</v>
      </c>
      <c r="D3542" s="30" t="str">
        <f>IFERROR(VLOOKUP(C3542,소속부서!$A$2:$B$20,2,FALSE), "")</f>
        <v/>
      </c>
    </row>
    <row r="3543" spans="3:4" x14ac:dyDescent="0.3">
      <c r="C3543" s="35">
        <f t="shared" si="56"/>
        <v>0</v>
      </c>
      <c r="D3543" s="30" t="str">
        <f>IFERROR(VLOOKUP(C3543,소속부서!$A$2:$B$20,2,FALSE), "")</f>
        <v/>
      </c>
    </row>
    <row r="3544" spans="3:4" x14ac:dyDescent="0.3">
      <c r="C3544" s="35">
        <f t="shared" si="56"/>
        <v>0</v>
      </c>
      <c r="D3544" s="30" t="str">
        <f>IFERROR(VLOOKUP(C3544,소속부서!$A$2:$B$20,2,FALSE), "")</f>
        <v/>
      </c>
    </row>
    <row r="3545" spans="3:4" x14ac:dyDescent="0.3">
      <c r="C3545" s="35">
        <f t="shared" si="56"/>
        <v>0</v>
      </c>
      <c r="D3545" s="30" t="str">
        <f>IFERROR(VLOOKUP(C3545,소속부서!$A$2:$B$20,2,FALSE), "")</f>
        <v/>
      </c>
    </row>
    <row r="3546" spans="3:4" x14ac:dyDescent="0.3">
      <c r="C3546" s="35">
        <f t="shared" si="56"/>
        <v>0</v>
      </c>
      <c r="D3546" s="30" t="str">
        <f>IFERROR(VLOOKUP(C3546,소속부서!$A$2:$B$20,2,FALSE), "")</f>
        <v/>
      </c>
    </row>
    <row r="3547" spans="3:4" x14ac:dyDescent="0.3">
      <c r="C3547" s="35">
        <f t="shared" si="56"/>
        <v>0</v>
      </c>
      <c r="D3547" s="30" t="str">
        <f>IFERROR(VLOOKUP(C3547,소속부서!$A$2:$B$20,2,FALSE), "")</f>
        <v/>
      </c>
    </row>
    <row r="3548" spans="3:4" x14ac:dyDescent="0.3">
      <c r="C3548" s="35">
        <f t="shared" si="56"/>
        <v>0</v>
      </c>
      <c r="D3548" s="30" t="str">
        <f>IFERROR(VLOOKUP(C3548,소속부서!$A$2:$B$20,2,FALSE), "")</f>
        <v/>
      </c>
    </row>
    <row r="3549" spans="3:4" x14ac:dyDescent="0.3">
      <c r="C3549" s="35">
        <f t="shared" si="56"/>
        <v>0</v>
      </c>
      <c r="D3549" s="30" t="str">
        <f>IFERROR(VLOOKUP(C3549,소속부서!$A$2:$B$20,2,FALSE), "")</f>
        <v/>
      </c>
    </row>
    <row r="3550" spans="3:4" x14ac:dyDescent="0.3">
      <c r="C3550" s="35">
        <f t="shared" si="56"/>
        <v>0</v>
      </c>
      <c r="D3550" s="30" t="str">
        <f>IFERROR(VLOOKUP(C3550,소속부서!$A$2:$B$20,2,FALSE), "")</f>
        <v/>
      </c>
    </row>
    <row r="3551" spans="3:4" x14ac:dyDescent="0.3">
      <c r="C3551" s="35">
        <f t="shared" si="56"/>
        <v>0</v>
      </c>
      <c r="D3551" s="30" t="str">
        <f>IFERROR(VLOOKUP(C3551,소속부서!$A$2:$B$20,2,FALSE), "")</f>
        <v/>
      </c>
    </row>
    <row r="3552" spans="3:4" x14ac:dyDescent="0.3">
      <c r="C3552" s="35">
        <f t="shared" si="56"/>
        <v>0</v>
      </c>
      <c r="D3552" s="30" t="str">
        <f>IFERROR(VLOOKUP(C3552,소속부서!$A$2:$B$20,2,FALSE), "")</f>
        <v/>
      </c>
    </row>
    <row r="3553" spans="3:4" x14ac:dyDescent="0.3">
      <c r="C3553" s="35">
        <f t="shared" si="56"/>
        <v>0</v>
      </c>
      <c r="D3553" s="30" t="str">
        <f>IFERROR(VLOOKUP(C3553,소속부서!$A$2:$B$20,2,FALSE), "")</f>
        <v/>
      </c>
    </row>
    <row r="3554" spans="3:4" x14ac:dyDescent="0.3">
      <c r="C3554" s="35">
        <f t="shared" si="56"/>
        <v>0</v>
      </c>
      <c r="D3554" s="30" t="str">
        <f>IFERROR(VLOOKUP(C3554,소속부서!$A$2:$B$20,2,FALSE), "")</f>
        <v/>
      </c>
    </row>
    <row r="3555" spans="3:4" x14ac:dyDescent="0.3">
      <c r="C3555" s="35">
        <f t="shared" si="56"/>
        <v>0</v>
      </c>
      <c r="D3555" s="30" t="str">
        <f>IFERROR(VLOOKUP(C3555,소속부서!$A$2:$B$20,2,FALSE), "")</f>
        <v/>
      </c>
    </row>
    <row r="3556" spans="3:4" x14ac:dyDescent="0.3">
      <c r="C3556" s="35">
        <f t="shared" si="56"/>
        <v>0</v>
      </c>
      <c r="D3556" s="30" t="str">
        <f>IFERROR(VLOOKUP(C3556,소속부서!$A$2:$B$20,2,FALSE), "")</f>
        <v/>
      </c>
    </row>
    <row r="3557" spans="3:4" x14ac:dyDescent="0.3">
      <c r="C3557" s="35">
        <f t="shared" si="56"/>
        <v>0</v>
      </c>
      <c r="D3557" s="30" t="str">
        <f>IFERROR(VLOOKUP(C3557,소속부서!$A$2:$B$20,2,FALSE), "")</f>
        <v/>
      </c>
    </row>
    <row r="3558" spans="3:4" x14ac:dyDescent="0.3">
      <c r="C3558" s="35">
        <f t="shared" si="56"/>
        <v>0</v>
      </c>
      <c r="D3558" s="30" t="str">
        <f>IFERROR(VLOOKUP(C3558,소속부서!$A$2:$B$20,2,FALSE), "")</f>
        <v/>
      </c>
    </row>
    <row r="3559" spans="3:4" x14ac:dyDescent="0.3">
      <c r="C3559" s="35">
        <f t="shared" si="56"/>
        <v>0</v>
      </c>
      <c r="D3559" s="30" t="str">
        <f>IFERROR(VLOOKUP(C3559,소속부서!$A$2:$B$20,2,FALSE), "")</f>
        <v/>
      </c>
    </row>
    <row r="3560" spans="3:4" x14ac:dyDescent="0.3">
      <c r="C3560" s="35">
        <f t="shared" si="56"/>
        <v>0</v>
      </c>
      <c r="D3560" s="30" t="str">
        <f>IFERROR(VLOOKUP(C3560,소속부서!$A$2:$B$20,2,FALSE), "")</f>
        <v/>
      </c>
    </row>
    <row r="3561" spans="3:4" x14ac:dyDescent="0.3">
      <c r="C3561" s="35">
        <f t="shared" si="56"/>
        <v>0</v>
      </c>
      <c r="D3561" s="30" t="str">
        <f>IFERROR(VLOOKUP(C3561,소속부서!$A$2:$B$20,2,FALSE), "")</f>
        <v/>
      </c>
    </row>
    <row r="3562" spans="3:4" x14ac:dyDescent="0.3">
      <c r="C3562" s="35">
        <f t="shared" si="56"/>
        <v>0</v>
      </c>
      <c r="D3562" s="30" t="str">
        <f>IFERROR(VLOOKUP(C3562,소속부서!$A$2:$B$20,2,FALSE), "")</f>
        <v/>
      </c>
    </row>
    <row r="3563" spans="3:4" x14ac:dyDescent="0.3">
      <c r="C3563" s="35">
        <f t="shared" si="56"/>
        <v>0</v>
      </c>
      <c r="D3563" s="30" t="str">
        <f>IFERROR(VLOOKUP(C3563,소속부서!$A$2:$B$20,2,FALSE), "")</f>
        <v/>
      </c>
    </row>
    <row r="3564" spans="3:4" x14ac:dyDescent="0.3">
      <c r="C3564" s="35">
        <f t="shared" si="56"/>
        <v>0</v>
      </c>
      <c r="D3564" s="30" t="str">
        <f>IFERROR(VLOOKUP(C3564,소속부서!$A$2:$B$20,2,FALSE), "")</f>
        <v/>
      </c>
    </row>
    <row r="3565" spans="3:4" x14ac:dyDescent="0.3">
      <c r="C3565" s="35">
        <f t="shared" si="56"/>
        <v>0</v>
      </c>
      <c r="D3565" s="30" t="str">
        <f>IFERROR(VLOOKUP(C3565,소속부서!$A$2:$B$20,2,FALSE), "")</f>
        <v/>
      </c>
    </row>
    <row r="3566" spans="3:4" x14ac:dyDescent="0.3">
      <c r="C3566" s="35">
        <f t="shared" si="56"/>
        <v>0</v>
      </c>
      <c r="D3566" s="30" t="str">
        <f>IFERROR(VLOOKUP(C3566,소속부서!$A$2:$B$20,2,FALSE), "")</f>
        <v/>
      </c>
    </row>
    <row r="3567" spans="3:4" x14ac:dyDescent="0.3">
      <c r="C3567" s="35">
        <f t="shared" si="56"/>
        <v>0</v>
      </c>
      <c r="D3567" s="30" t="str">
        <f>IFERROR(VLOOKUP(C3567,소속부서!$A$2:$B$20,2,FALSE), "")</f>
        <v/>
      </c>
    </row>
    <row r="3568" spans="3:4" x14ac:dyDescent="0.3">
      <c r="C3568" s="35">
        <f t="shared" si="56"/>
        <v>0</v>
      </c>
      <c r="D3568" s="30" t="str">
        <f>IFERROR(VLOOKUP(C3568,소속부서!$A$2:$B$20,2,FALSE), "")</f>
        <v/>
      </c>
    </row>
    <row r="3569" spans="3:4" x14ac:dyDescent="0.3">
      <c r="C3569" s="35">
        <f t="shared" si="56"/>
        <v>0</v>
      </c>
      <c r="D3569" s="30" t="str">
        <f>IFERROR(VLOOKUP(C3569,소속부서!$A$2:$B$20,2,FALSE), "")</f>
        <v/>
      </c>
    </row>
    <row r="3570" spans="3:4" x14ac:dyDescent="0.3">
      <c r="C3570" s="35">
        <f t="shared" si="56"/>
        <v>0</v>
      </c>
      <c r="D3570" s="30" t="str">
        <f>IFERROR(VLOOKUP(C3570,소속부서!$A$2:$B$20,2,FALSE), "")</f>
        <v/>
      </c>
    </row>
    <row r="3571" spans="3:4" x14ac:dyDescent="0.3">
      <c r="C3571" s="35">
        <f t="shared" si="56"/>
        <v>0</v>
      </c>
      <c r="D3571" s="30" t="str">
        <f>IFERROR(VLOOKUP(C3571,소속부서!$A$2:$B$20,2,FALSE), "")</f>
        <v/>
      </c>
    </row>
    <row r="3572" spans="3:4" x14ac:dyDescent="0.3">
      <c r="C3572" s="35">
        <f t="shared" si="56"/>
        <v>0</v>
      </c>
      <c r="D3572" s="30" t="str">
        <f>IFERROR(VLOOKUP(C3572,소속부서!$A$2:$B$20,2,FALSE), "")</f>
        <v/>
      </c>
    </row>
    <row r="3573" spans="3:4" x14ac:dyDescent="0.3">
      <c r="C3573" s="35">
        <f t="shared" si="56"/>
        <v>0</v>
      </c>
      <c r="D3573" s="30" t="str">
        <f>IFERROR(VLOOKUP(C3573,소속부서!$A$2:$B$20,2,FALSE), "")</f>
        <v/>
      </c>
    </row>
    <row r="3574" spans="3:4" x14ac:dyDescent="0.3">
      <c r="C3574" s="35">
        <f t="shared" si="56"/>
        <v>0</v>
      </c>
      <c r="D3574" s="30" t="str">
        <f>IFERROR(VLOOKUP(C3574,소속부서!$A$2:$B$20,2,FALSE), "")</f>
        <v/>
      </c>
    </row>
    <row r="3575" spans="3:4" x14ac:dyDescent="0.3">
      <c r="C3575" s="35">
        <f t="shared" si="56"/>
        <v>0</v>
      </c>
      <c r="D3575" s="30" t="str">
        <f>IFERROR(VLOOKUP(C3575,소속부서!$A$2:$B$20,2,FALSE), "")</f>
        <v/>
      </c>
    </row>
    <row r="3576" spans="3:4" x14ac:dyDescent="0.3">
      <c r="C3576" s="35">
        <f t="shared" si="56"/>
        <v>0</v>
      </c>
      <c r="D3576" s="30" t="str">
        <f>IFERROR(VLOOKUP(C3576,소속부서!$A$2:$B$20,2,FALSE), "")</f>
        <v/>
      </c>
    </row>
    <row r="3577" spans="3:4" x14ac:dyDescent="0.3">
      <c r="C3577" s="35">
        <f t="shared" si="56"/>
        <v>0</v>
      </c>
      <c r="D3577" s="30" t="str">
        <f>IFERROR(VLOOKUP(C3577,소속부서!$A$2:$B$20,2,FALSE), "")</f>
        <v/>
      </c>
    </row>
    <row r="3578" spans="3:4" x14ac:dyDescent="0.3">
      <c r="C3578" s="35">
        <f t="shared" si="56"/>
        <v>0</v>
      </c>
      <c r="D3578" s="30" t="str">
        <f>IFERROR(VLOOKUP(C3578,소속부서!$A$2:$B$20,2,FALSE), "")</f>
        <v/>
      </c>
    </row>
    <row r="3579" spans="3:4" x14ac:dyDescent="0.3">
      <c r="C3579" s="35">
        <f t="shared" si="56"/>
        <v>0</v>
      </c>
      <c r="D3579" s="30" t="str">
        <f>IFERROR(VLOOKUP(C3579,소속부서!$A$2:$B$20,2,FALSE), "")</f>
        <v/>
      </c>
    </row>
    <row r="3580" spans="3:4" x14ac:dyDescent="0.3">
      <c r="C3580" s="35">
        <f t="shared" si="56"/>
        <v>0</v>
      </c>
      <c r="D3580" s="30" t="str">
        <f>IFERROR(VLOOKUP(C3580,소속부서!$A$2:$B$20,2,FALSE), "")</f>
        <v/>
      </c>
    </row>
    <row r="3581" spans="3:4" x14ac:dyDescent="0.3">
      <c r="C3581" s="35">
        <f t="shared" si="56"/>
        <v>0</v>
      </c>
      <c r="D3581" s="30" t="str">
        <f>IFERROR(VLOOKUP(C3581,소속부서!$A$2:$B$20,2,FALSE), "")</f>
        <v/>
      </c>
    </row>
    <row r="3582" spans="3:4" x14ac:dyDescent="0.3">
      <c r="C3582" s="35">
        <f t="shared" si="56"/>
        <v>0</v>
      </c>
      <c r="D3582" s="30" t="str">
        <f>IFERROR(VLOOKUP(C3582,소속부서!$A$2:$B$20,2,FALSE), "")</f>
        <v/>
      </c>
    </row>
    <row r="3583" spans="3:4" x14ac:dyDescent="0.3">
      <c r="C3583" s="35">
        <f t="shared" si="56"/>
        <v>0</v>
      </c>
      <c r="D3583" s="30" t="str">
        <f>IFERROR(VLOOKUP(C3583,소속부서!$A$2:$B$20,2,FALSE), "")</f>
        <v/>
      </c>
    </row>
    <row r="3584" spans="3:4" x14ac:dyDescent="0.3">
      <c r="C3584" s="35">
        <f t="shared" si="56"/>
        <v>0</v>
      </c>
      <c r="D3584" s="30" t="str">
        <f>IFERROR(VLOOKUP(C3584,소속부서!$A$2:$B$20,2,FALSE), "")</f>
        <v/>
      </c>
    </row>
    <row r="3585" spans="3:4" x14ac:dyDescent="0.3">
      <c r="C3585" s="35">
        <f t="shared" si="56"/>
        <v>0</v>
      </c>
      <c r="D3585" s="30" t="str">
        <f>IFERROR(VLOOKUP(C3585,소속부서!$A$2:$B$20,2,FALSE), "")</f>
        <v/>
      </c>
    </row>
    <row r="3586" spans="3:4" x14ac:dyDescent="0.3">
      <c r="C3586" s="35">
        <f t="shared" si="56"/>
        <v>0</v>
      </c>
      <c r="D3586" s="30" t="str">
        <f>IFERROR(VLOOKUP(C3586,소속부서!$A$2:$B$20,2,FALSE), "")</f>
        <v/>
      </c>
    </row>
    <row r="3587" spans="3:4" x14ac:dyDescent="0.3">
      <c r="C3587" s="35">
        <f t="shared" si="56"/>
        <v>0</v>
      </c>
      <c r="D3587" s="30" t="str">
        <f>IFERROR(VLOOKUP(C3587,소속부서!$A$2:$B$20,2,FALSE), "")</f>
        <v/>
      </c>
    </row>
    <row r="3588" spans="3:4" x14ac:dyDescent="0.3">
      <c r="C3588" s="35">
        <f t="shared" ref="C3588:C3651" si="57">E3588</f>
        <v>0</v>
      </c>
      <c r="D3588" s="30" t="str">
        <f>IFERROR(VLOOKUP(C3588,소속부서!$A$2:$B$20,2,FALSE), "")</f>
        <v/>
      </c>
    </row>
    <row r="3589" spans="3:4" x14ac:dyDescent="0.3">
      <c r="C3589" s="35">
        <f t="shared" si="57"/>
        <v>0</v>
      </c>
      <c r="D3589" s="30" t="str">
        <f>IFERROR(VLOOKUP(C3589,소속부서!$A$2:$B$20,2,FALSE), "")</f>
        <v/>
      </c>
    </row>
    <row r="3590" spans="3:4" x14ac:dyDescent="0.3">
      <c r="C3590" s="35">
        <f t="shared" si="57"/>
        <v>0</v>
      </c>
      <c r="D3590" s="30" t="str">
        <f>IFERROR(VLOOKUP(C3590,소속부서!$A$2:$B$20,2,FALSE), "")</f>
        <v/>
      </c>
    </row>
    <row r="3591" spans="3:4" x14ac:dyDescent="0.3">
      <c r="C3591" s="35">
        <f t="shared" si="57"/>
        <v>0</v>
      </c>
      <c r="D3591" s="30" t="str">
        <f>IFERROR(VLOOKUP(C3591,소속부서!$A$2:$B$20,2,FALSE), "")</f>
        <v/>
      </c>
    </row>
    <row r="3592" spans="3:4" x14ac:dyDescent="0.3">
      <c r="C3592" s="35">
        <f t="shared" si="57"/>
        <v>0</v>
      </c>
      <c r="D3592" s="30" t="str">
        <f>IFERROR(VLOOKUP(C3592,소속부서!$A$2:$B$20,2,FALSE), "")</f>
        <v/>
      </c>
    </row>
    <row r="3593" spans="3:4" x14ac:dyDescent="0.3">
      <c r="C3593" s="35">
        <f t="shared" si="57"/>
        <v>0</v>
      </c>
      <c r="D3593" s="30" t="str">
        <f>IFERROR(VLOOKUP(C3593,소속부서!$A$2:$B$20,2,FALSE), "")</f>
        <v/>
      </c>
    </row>
    <row r="3594" spans="3:4" x14ac:dyDescent="0.3">
      <c r="C3594" s="35">
        <f t="shared" si="57"/>
        <v>0</v>
      </c>
      <c r="D3594" s="30" t="str">
        <f>IFERROR(VLOOKUP(C3594,소속부서!$A$2:$B$20,2,FALSE), "")</f>
        <v/>
      </c>
    </row>
    <row r="3595" spans="3:4" x14ac:dyDescent="0.3">
      <c r="C3595" s="35">
        <f t="shared" si="57"/>
        <v>0</v>
      </c>
      <c r="D3595" s="30" t="str">
        <f>IFERROR(VLOOKUP(C3595,소속부서!$A$2:$B$20,2,FALSE), "")</f>
        <v/>
      </c>
    </row>
    <row r="3596" spans="3:4" x14ac:dyDescent="0.3">
      <c r="C3596" s="35">
        <f t="shared" si="57"/>
        <v>0</v>
      </c>
      <c r="D3596" s="30" t="str">
        <f>IFERROR(VLOOKUP(C3596,소속부서!$A$2:$B$20,2,FALSE), "")</f>
        <v/>
      </c>
    </row>
    <row r="3597" spans="3:4" x14ac:dyDescent="0.3">
      <c r="C3597" s="35">
        <f t="shared" si="57"/>
        <v>0</v>
      </c>
      <c r="D3597" s="30" t="str">
        <f>IFERROR(VLOOKUP(C3597,소속부서!$A$2:$B$20,2,FALSE), "")</f>
        <v/>
      </c>
    </row>
    <row r="3598" spans="3:4" x14ac:dyDescent="0.3">
      <c r="C3598" s="35">
        <f t="shared" si="57"/>
        <v>0</v>
      </c>
      <c r="D3598" s="30" t="str">
        <f>IFERROR(VLOOKUP(C3598,소속부서!$A$2:$B$20,2,FALSE), "")</f>
        <v/>
      </c>
    </row>
    <row r="3599" spans="3:4" x14ac:dyDescent="0.3">
      <c r="C3599" s="35">
        <f t="shared" si="57"/>
        <v>0</v>
      </c>
      <c r="D3599" s="30" t="str">
        <f>IFERROR(VLOOKUP(C3599,소속부서!$A$2:$B$20,2,FALSE), "")</f>
        <v/>
      </c>
    </row>
    <row r="3600" spans="3:4" x14ac:dyDescent="0.3">
      <c r="C3600" s="35">
        <f t="shared" si="57"/>
        <v>0</v>
      </c>
      <c r="D3600" s="30" t="str">
        <f>IFERROR(VLOOKUP(C3600,소속부서!$A$2:$B$20,2,FALSE), "")</f>
        <v/>
      </c>
    </row>
    <row r="3601" spans="3:4" x14ac:dyDescent="0.3">
      <c r="C3601" s="35">
        <f t="shared" si="57"/>
        <v>0</v>
      </c>
      <c r="D3601" s="30" t="str">
        <f>IFERROR(VLOOKUP(C3601,소속부서!$A$2:$B$20,2,FALSE), "")</f>
        <v/>
      </c>
    </row>
    <row r="3602" spans="3:4" x14ac:dyDescent="0.3">
      <c r="C3602" s="35">
        <f t="shared" si="57"/>
        <v>0</v>
      </c>
      <c r="D3602" s="30" t="str">
        <f>IFERROR(VLOOKUP(C3602,소속부서!$A$2:$B$20,2,FALSE), "")</f>
        <v/>
      </c>
    </row>
    <row r="3603" spans="3:4" x14ac:dyDescent="0.3">
      <c r="C3603" s="35">
        <f t="shared" si="57"/>
        <v>0</v>
      </c>
      <c r="D3603" s="30" t="str">
        <f>IFERROR(VLOOKUP(C3603,소속부서!$A$2:$B$20,2,FALSE), "")</f>
        <v/>
      </c>
    </row>
    <row r="3604" spans="3:4" x14ac:dyDescent="0.3">
      <c r="C3604" s="35">
        <f t="shared" si="57"/>
        <v>0</v>
      </c>
      <c r="D3604" s="30" t="str">
        <f>IFERROR(VLOOKUP(C3604,소속부서!$A$2:$B$20,2,FALSE), "")</f>
        <v/>
      </c>
    </row>
    <row r="3605" spans="3:4" x14ac:dyDescent="0.3">
      <c r="C3605" s="35">
        <f t="shared" si="57"/>
        <v>0</v>
      </c>
      <c r="D3605" s="30" t="str">
        <f>IFERROR(VLOOKUP(C3605,소속부서!$A$2:$B$20,2,FALSE), "")</f>
        <v/>
      </c>
    </row>
    <row r="3606" spans="3:4" x14ac:dyDescent="0.3">
      <c r="C3606" s="35">
        <f t="shared" si="57"/>
        <v>0</v>
      </c>
      <c r="D3606" s="30" t="str">
        <f>IFERROR(VLOOKUP(C3606,소속부서!$A$2:$B$20,2,FALSE), "")</f>
        <v/>
      </c>
    </row>
    <row r="3607" spans="3:4" x14ac:dyDescent="0.3">
      <c r="C3607" s="35">
        <f t="shared" si="57"/>
        <v>0</v>
      </c>
      <c r="D3607" s="30" t="str">
        <f>IFERROR(VLOOKUP(C3607,소속부서!$A$2:$B$20,2,FALSE), "")</f>
        <v/>
      </c>
    </row>
    <row r="3608" spans="3:4" x14ac:dyDescent="0.3">
      <c r="C3608" s="35">
        <f t="shared" si="57"/>
        <v>0</v>
      </c>
      <c r="D3608" s="30" t="str">
        <f>IFERROR(VLOOKUP(C3608,소속부서!$A$2:$B$20,2,FALSE), "")</f>
        <v/>
      </c>
    </row>
    <row r="3609" spans="3:4" x14ac:dyDescent="0.3">
      <c r="C3609" s="35">
        <f t="shared" si="57"/>
        <v>0</v>
      </c>
      <c r="D3609" s="30" t="str">
        <f>IFERROR(VLOOKUP(C3609,소속부서!$A$2:$B$20,2,FALSE), "")</f>
        <v/>
      </c>
    </row>
    <row r="3610" spans="3:4" x14ac:dyDescent="0.3">
      <c r="C3610" s="35">
        <f t="shared" si="57"/>
        <v>0</v>
      </c>
      <c r="D3610" s="30" t="str">
        <f>IFERROR(VLOOKUP(C3610,소속부서!$A$2:$B$20,2,FALSE), "")</f>
        <v/>
      </c>
    </row>
    <row r="3611" spans="3:4" x14ac:dyDescent="0.3">
      <c r="C3611" s="35">
        <f t="shared" si="57"/>
        <v>0</v>
      </c>
      <c r="D3611" s="30" t="str">
        <f>IFERROR(VLOOKUP(C3611,소속부서!$A$2:$B$20,2,FALSE), "")</f>
        <v/>
      </c>
    </row>
    <row r="3612" spans="3:4" x14ac:dyDescent="0.3">
      <c r="C3612" s="35">
        <f t="shared" si="57"/>
        <v>0</v>
      </c>
      <c r="D3612" s="30" t="str">
        <f>IFERROR(VLOOKUP(C3612,소속부서!$A$2:$B$20,2,FALSE), "")</f>
        <v/>
      </c>
    </row>
    <row r="3613" spans="3:4" x14ac:dyDescent="0.3">
      <c r="C3613" s="35">
        <f t="shared" si="57"/>
        <v>0</v>
      </c>
      <c r="D3613" s="30" t="str">
        <f>IFERROR(VLOOKUP(C3613,소속부서!$A$2:$B$20,2,FALSE), "")</f>
        <v/>
      </c>
    </row>
    <row r="3614" spans="3:4" x14ac:dyDescent="0.3">
      <c r="C3614" s="35">
        <f t="shared" si="57"/>
        <v>0</v>
      </c>
      <c r="D3614" s="30" t="str">
        <f>IFERROR(VLOOKUP(C3614,소속부서!$A$2:$B$20,2,FALSE), "")</f>
        <v/>
      </c>
    </row>
    <row r="3615" spans="3:4" x14ac:dyDescent="0.3">
      <c r="C3615" s="35">
        <f t="shared" si="57"/>
        <v>0</v>
      </c>
      <c r="D3615" s="30" t="str">
        <f>IFERROR(VLOOKUP(C3615,소속부서!$A$2:$B$20,2,FALSE), "")</f>
        <v/>
      </c>
    </row>
    <row r="3616" spans="3:4" x14ac:dyDescent="0.3">
      <c r="C3616" s="35">
        <f t="shared" si="57"/>
        <v>0</v>
      </c>
      <c r="D3616" s="30" t="str">
        <f>IFERROR(VLOOKUP(C3616,소속부서!$A$2:$B$20,2,FALSE), "")</f>
        <v/>
      </c>
    </row>
    <row r="3617" spans="3:4" x14ac:dyDescent="0.3">
      <c r="C3617" s="35">
        <f t="shared" si="57"/>
        <v>0</v>
      </c>
      <c r="D3617" s="30" t="str">
        <f>IFERROR(VLOOKUP(C3617,소속부서!$A$2:$B$20,2,FALSE), "")</f>
        <v/>
      </c>
    </row>
    <row r="3618" spans="3:4" x14ac:dyDescent="0.3">
      <c r="C3618" s="35">
        <f t="shared" si="57"/>
        <v>0</v>
      </c>
      <c r="D3618" s="30" t="str">
        <f>IFERROR(VLOOKUP(C3618,소속부서!$A$2:$B$20,2,FALSE), "")</f>
        <v/>
      </c>
    </row>
    <row r="3619" spans="3:4" x14ac:dyDescent="0.3">
      <c r="C3619" s="35">
        <f t="shared" si="57"/>
        <v>0</v>
      </c>
      <c r="D3619" s="30" t="str">
        <f>IFERROR(VLOOKUP(C3619,소속부서!$A$2:$B$20,2,FALSE), "")</f>
        <v/>
      </c>
    </row>
    <row r="3620" spans="3:4" x14ac:dyDescent="0.3">
      <c r="C3620" s="35">
        <f t="shared" si="57"/>
        <v>0</v>
      </c>
      <c r="D3620" s="30" t="str">
        <f>IFERROR(VLOOKUP(C3620,소속부서!$A$2:$B$20,2,FALSE), "")</f>
        <v/>
      </c>
    </row>
    <row r="3621" spans="3:4" x14ac:dyDescent="0.3">
      <c r="C3621" s="35">
        <f t="shared" si="57"/>
        <v>0</v>
      </c>
      <c r="D3621" s="30" t="str">
        <f>IFERROR(VLOOKUP(C3621,소속부서!$A$2:$B$20,2,FALSE), "")</f>
        <v/>
      </c>
    </row>
    <row r="3622" spans="3:4" x14ac:dyDescent="0.3">
      <c r="C3622" s="35">
        <f t="shared" si="57"/>
        <v>0</v>
      </c>
      <c r="D3622" s="30" t="str">
        <f>IFERROR(VLOOKUP(C3622,소속부서!$A$2:$B$20,2,FALSE), "")</f>
        <v/>
      </c>
    </row>
    <row r="3623" spans="3:4" x14ac:dyDescent="0.3">
      <c r="C3623" s="35">
        <f t="shared" si="57"/>
        <v>0</v>
      </c>
      <c r="D3623" s="30" t="str">
        <f>IFERROR(VLOOKUP(C3623,소속부서!$A$2:$B$20,2,FALSE), "")</f>
        <v/>
      </c>
    </row>
    <row r="3624" spans="3:4" x14ac:dyDescent="0.3">
      <c r="C3624" s="35">
        <f t="shared" si="57"/>
        <v>0</v>
      </c>
      <c r="D3624" s="30" t="str">
        <f>IFERROR(VLOOKUP(C3624,소속부서!$A$2:$B$20,2,FALSE), "")</f>
        <v/>
      </c>
    </row>
    <row r="3625" spans="3:4" x14ac:dyDescent="0.3">
      <c r="C3625" s="35">
        <f t="shared" si="57"/>
        <v>0</v>
      </c>
      <c r="D3625" s="30" t="str">
        <f>IFERROR(VLOOKUP(C3625,소속부서!$A$2:$B$20,2,FALSE), "")</f>
        <v/>
      </c>
    </row>
    <row r="3626" spans="3:4" x14ac:dyDescent="0.3">
      <c r="C3626" s="35">
        <f t="shared" si="57"/>
        <v>0</v>
      </c>
      <c r="D3626" s="30" t="str">
        <f>IFERROR(VLOOKUP(C3626,소속부서!$A$2:$B$20,2,FALSE), "")</f>
        <v/>
      </c>
    </row>
    <row r="3627" spans="3:4" x14ac:dyDescent="0.3">
      <c r="C3627" s="35">
        <f t="shared" si="57"/>
        <v>0</v>
      </c>
      <c r="D3627" s="30" t="str">
        <f>IFERROR(VLOOKUP(C3627,소속부서!$A$2:$B$20,2,FALSE), "")</f>
        <v/>
      </c>
    </row>
    <row r="3628" spans="3:4" x14ac:dyDescent="0.3">
      <c r="C3628" s="35">
        <f t="shared" si="57"/>
        <v>0</v>
      </c>
      <c r="D3628" s="30" t="str">
        <f>IFERROR(VLOOKUP(C3628,소속부서!$A$2:$B$20,2,FALSE), "")</f>
        <v/>
      </c>
    </row>
    <row r="3629" spans="3:4" x14ac:dyDescent="0.3">
      <c r="C3629" s="35">
        <f t="shared" si="57"/>
        <v>0</v>
      </c>
      <c r="D3629" s="30" t="str">
        <f>IFERROR(VLOOKUP(C3629,소속부서!$A$2:$B$20,2,FALSE), "")</f>
        <v/>
      </c>
    </row>
    <row r="3630" spans="3:4" x14ac:dyDescent="0.3">
      <c r="C3630" s="35">
        <f t="shared" si="57"/>
        <v>0</v>
      </c>
      <c r="D3630" s="30" t="str">
        <f>IFERROR(VLOOKUP(C3630,소속부서!$A$2:$B$20,2,FALSE), "")</f>
        <v/>
      </c>
    </row>
    <row r="3631" spans="3:4" x14ac:dyDescent="0.3">
      <c r="C3631" s="35">
        <f t="shared" si="57"/>
        <v>0</v>
      </c>
      <c r="D3631" s="30" t="str">
        <f>IFERROR(VLOOKUP(C3631,소속부서!$A$2:$B$20,2,FALSE), "")</f>
        <v/>
      </c>
    </row>
    <row r="3632" spans="3:4" x14ac:dyDescent="0.3">
      <c r="C3632" s="35">
        <f t="shared" si="57"/>
        <v>0</v>
      </c>
      <c r="D3632" s="30" t="str">
        <f>IFERROR(VLOOKUP(C3632,소속부서!$A$2:$B$20,2,FALSE), "")</f>
        <v/>
      </c>
    </row>
    <row r="3633" spans="3:4" x14ac:dyDescent="0.3">
      <c r="C3633" s="35">
        <f t="shared" si="57"/>
        <v>0</v>
      </c>
      <c r="D3633" s="30" t="str">
        <f>IFERROR(VLOOKUP(C3633,소속부서!$A$2:$B$20,2,FALSE), "")</f>
        <v/>
      </c>
    </row>
    <row r="3634" spans="3:4" x14ac:dyDescent="0.3">
      <c r="C3634" s="35">
        <f t="shared" si="57"/>
        <v>0</v>
      </c>
      <c r="D3634" s="30" t="str">
        <f>IFERROR(VLOOKUP(C3634,소속부서!$A$2:$B$20,2,FALSE), "")</f>
        <v/>
      </c>
    </row>
    <row r="3635" spans="3:4" x14ac:dyDescent="0.3">
      <c r="C3635" s="35">
        <f t="shared" si="57"/>
        <v>0</v>
      </c>
      <c r="D3635" s="30" t="str">
        <f>IFERROR(VLOOKUP(C3635,소속부서!$A$2:$B$20,2,FALSE), "")</f>
        <v/>
      </c>
    </row>
    <row r="3636" spans="3:4" x14ac:dyDescent="0.3">
      <c r="C3636" s="35">
        <f t="shared" si="57"/>
        <v>0</v>
      </c>
      <c r="D3636" s="30" t="str">
        <f>IFERROR(VLOOKUP(C3636,소속부서!$A$2:$B$20,2,FALSE), "")</f>
        <v/>
      </c>
    </row>
    <row r="3637" spans="3:4" x14ac:dyDescent="0.3">
      <c r="C3637" s="35">
        <f t="shared" si="57"/>
        <v>0</v>
      </c>
      <c r="D3637" s="30" t="str">
        <f>IFERROR(VLOOKUP(C3637,소속부서!$A$2:$B$20,2,FALSE), "")</f>
        <v/>
      </c>
    </row>
    <row r="3638" spans="3:4" x14ac:dyDescent="0.3">
      <c r="C3638" s="35">
        <f t="shared" si="57"/>
        <v>0</v>
      </c>
      <c r="D3638" s="30" t="str">
        <f>IFERROR(VLOOKUP(C3638,소속부서!$A$2:$B$20,2,FALSE), "")</f>
        <v/>
      </c>
    </row>
    <row r="3639" spans="3:4" x14ac:dyDescent="0.3">
      <c r="C3639" s="35">
        <f t="shared" si="57"/>
        <v>0</v>
      </c>
      <c r="D3639" s="30" t="str">
        <f>IFERROR(VLOOKUP(C3639,소속부서!$A$2:$B$20,2,FALSE), "")</f>
        <v/>
      </c>
    </row>
    <row r="3640" spans="3:4" x14ac:dyDescent="0.3">
      <c r="C3640" s="35">
        <f t="shared" si="57"/>
        <v>0</v>
      </c>
      <c r="D3640" s="30" t="str">
        <f>IFERROR(VLOOKUP(C3640,소속부서!$A$2:$B$20,2,FALSE), "")</f>
        <v/>
      </c>
    </row>
    <row r="3641" spans="3:4" x14ac:dyDescent="0.3">
      <c r="C3641" s="35">
        <f t="shared" si="57"/>
        <v>0</v>
      </c>
      <c r="D3641" s="30" t="str">
        <f>IFERROR(VLOOKUP(C3641,소속부서!$A$2:$B$20,2,FALSE), "")</f>
        <v/>
      </c>
    </row>
    <row r="3642" spans="3:4" x14ac:dyDescent="0.3">
      <c r="C3642" s="35">
        <f t="shared" si="57"/>
        <v>0</v>
      </c>
      <c r="D3642" s="30" t="str">
        <f>IFERROR(VLOOKUP(C3642,소속부서!$A$2:$B$20,2,FALSE), "")</f>
        <v/>
      </c>
    </row>
    <row r="3643" spans="3:4" x14ac:dyDescent="0.3">
      <c r="C3643" s="35">
        <f t="shared" si="57"/>
        <v>0</v>
      </c>
      <c r="D3643" s="30" t="str">
        <f>IFERROR(VLOOKUP(C3643,소속부서!$A$2:$B$20,2,FALSE), "")</f>
        <v/>
      </c>
    </row>
    <row r="3644" spans="3:4" x14ac:dyDescent="0.3">
      <c r="C3644" s="35">
        <f t="shared" si="57"/>
        <v>0</v>
      </c>
      <c r="D3644" s="30" t="str">
        <f>IFERROR(VLOOKUP(C3644,소속부서!$A$2:$B$20,2,FALSE), "")</f>
        <v/>
      </c>
    </row>
    <row r="3645" spans="3:4" x14ac:dyDescent="0.3">
      <c r="C3645" s="35">
        <f t="shared" si="57"/>
        <v>0</v>
      </c>
      <c r="D3645" s="30" t="str">
        <f>IFERROR(VLOOKUP(C3645,소속부서!$A$2:$B$20,2,FALSE), "")</f>
        <v/>
      </c>
    </row>
    <row r="3646" spans="3:4" x14ac:dyDescent="0.3">
      <c r="C3646" s="35">
        <f t="shared" si="57"/>
        <v>0</v>
      </c>
      <c r="D3646" s="30" t="str">
        <f>IFERROR(VLOOKUP(C3646,소속부서!$A$2:$B$20,2,FALSE), "")</f>
        <v/>
      </c>
    </row>
    <row r="3647" spans="3:4" x14ac:dyDescent="0.3">
      <c r="C3647" s="35">
        <f t="shared" si="57"/>
        <v>0</v>
      </c>
      <c r="D3647" s="30" t="str">
        <f>IFERROR(VLOOKUP(C3647,소속부서!$A$2:$B$20,2,FALSE), "")</f>
        <v/>
      </c>
    </row>
    <row r="3648" spans="3:4" x14ac:dyDescent="0.3">
      <c r="C3648" s="35">
        <f t="shared" si="57"/>
        <v>0</v>
      </c>
      <c r="D3648" s="30" t="str">
        <f>IFERROR(VLOOKUP(C3648,소속부서!$A$2:$B$20,2,FALSE), "")</f>
        <v/>
      </c>
    </row>
    <row r="3649" spans="3:4" x14ac:dyDescent="0.3">
      <c r="C3649" s="35">
        <f t="shared" si="57"/>
        <v>0</v>
      </c>
      <c r="D3649" s="30" t="str">
        <f>IFERROR(VLOOKUP(C3649,소속부서!$A$2:$B$20,2,FALSE), "")</f>
        <v/>
      </c>
    </row>
    <row r="3650" spans="3:4" x14ac:dyDescent="0.3">
      <c r="C3650" s="35">
        <f t="shared" si="57"/>
        <v>0</v>
      </c>
      <c r="D3650" s="30" t="str">
        <f>IFERROR(VLOOKUP(C3650,소속부서!$A$2:$B$20,2,FALSE), "")</f>
        <v/>
      </c>
    </row>
    <row r="3651" spans="3:4" x14ac:dyDescent="0.3">
      <c r="C3651" s="35">
        <f t="shared" si="57"/>
        <v>0</v>
      </c>
      <c r="D3651" s="30" t="str">
        <f>IFERROR(VLOOKUP(C3651,소속부서!$A$2:$B$20,2,FALSE), "")</f>
        <v/>
      </c>
    </row>
    <row r="3652" spans="3:4" x14ac:dyDescent="0.3">
      <c r="C3652" s="35">
        <f t="shared" ref="C3652:C3715" si="58">E3652</f>
        <v>0</v>
      </c>
      <c r="D3652" s="30" t="str">
        <f>IFERROR(VLOOKUP(C3652,소속부서!$A$2:$B$20,2,FALSE), "")</f>
        <v/>
      </c>
    </row>
    <row r="3653" spans="3:4" x14ac:dyDescent="0.3">
      <c r="C3653" s="35">
        <f t="shared" si="58"/>
        <v>0</v>
      </c>
      <c r="D3653" s="30" t="str">
        <f>IFERROR(VLOOKUP(C3653,소속부서!$A$2:$B$20,2,FALSE), "")</f>
        <v/>
      </c>
    </row>
    <row r="3654" spans="3:4" x14ac:dyDescent="0.3">
      <c r="C3654" s="35">
        <f t="shared" si="58"/>
        <v>0</v>
      </c>
      <c r="D3654" s="30" t="str">
        <f>IFERROR(VLOOKUP(C3654,소속부서!$A$2:$B$20,2,FALSE), "")</f>
        <v/>
      </c>
    </row>
    <row r="3655" spans="3:4" x14ac:dyDescent="0.3">
      <c r="C3655" s="35">
        <f t="shared" si="58"/>
        <v>0</v>
      </c>
      <c r="D3655" s="30" t="str">
        <f>IFERROR(VLOOKUP(C3655,소속부서!$A$2:$B$20,2,FALSE), "")</f>
        <v/>
      </c>
    </row>
    <row r="3656" spans="3:4" x14ac:dyDescent="0.3">
      <c r="C3656" s="35">
        <f t="shared" si="58"/>
        <v>0</v>
      </c>
      <c r="D3656" s="30" t="str">
        <f>IFERROR(VLOOKUP(C3656,소속부서!$A$2:$B$20,2,FALSE), "")</f>
        <v/>
      </c>
    </row>
    <row r="3657" spans="3:4" x14ac:dyDescent="0.3">
      <c r="C3657" s="35">
        <f t="shared" si="58"/>
        <v>0</v>
      </c>
      <c r="D3657" s="30" t="str">
        <f>IFERROR(VLOOKUP(C3657,소속부서!$A$2:$B$20,2,FALSE), "")</f>
        <v/>
      </c>
    </row>
    <row r="3658" spans="3:4" x14ac:dyDescent="0.3">
      <c r="C3658" s="35">
        <f t="shared" si="58"/>
        <v>0</v>
      </c>
      <c r="D3658" s="30" t="str">
        <f>IFERROR(VLOOKUP(C3658,소속부서!$A$2:$B$20,2,FALSE), "")</f>
        <v/>
      </c>
    </row>
    <row r="3659" spans="3:4" x14ac:dyDescent="0.3">
      <c r="C3659" s="35">
        <f t="shared" si="58"/>
        <v>0</v>
      </c>
      <c r="D3659" s="30" t="str">
        <f>IFERROR(VLOOKUP(C3659,소속부서!$A$2:$B$20,2,FALSE), "")</f>
        <v/>
      </c>
    </row>
    <row r="3660" spans="3:4" x14ac:dyDescent="0.3">
      <c r="C3660" s="35">
        <f t="shared" si="58"/>
        <v>0</v>
      </c>
      <c r="D3660" s="30" t="str">
        <f>IFERROR(VLOOKUP(C3660,소속부서!$A$2:$B$20,2,FALSE), "")</f>
        <v/>
      </c>
    </row>
    <row r="3661" spans="3:4" x14ac:dyDescent="0.3">
      <c r="C3661" s="35">
        <f t="shared" si="58"/>
        <v>0</v>
      </c>
      <c r="D3661" s="30" t="str">
        <f>IFERROR(VLOOKUP(C3661,소속부서!$A$2:$B$20,2,FALSE), "")</f>
        <v/>
      </c>
    </row>
    <row r="3662" spans="3:4" x14ac:dyDescent="0.3">
      <c r="C3662" s="35">
        <f t="shared" si="58"/>
        <v>0</v>
      </c>
      <c r="D3662" s="30" t="str">
        <f>IFERROR(VLOOKUP(C3662,소속부서!$A$2:$B$20,2,FALSE), "")</f>
        <v/>
      </c>
    </row>
    <row r="3663" spans="3:4" x14ac:dyDescent="0.3">
      <c r="C3663" s="35">
        <f t="shared" si="58"/>
        <v>0</v>
      </c>
      <c r="D3663" s="30" t="str">
        <f>IFERROR(VLOOKUP(C3663,소속부서!$A$2:$B$20,2,FALSE), "")</f>
        <v/>
      </c>
    </row>
    <row r="3664" spans="3:4" x14ac:dyDescent="0.3">
      <c r="C3664" s="35">
        <f t="shared" si="58"/>
        <v>0</v>
      </c>
      <c r="D3664" s="30" t="str">
        <f>IFERROR(VLOOKUP(C3664,소속부서!$A$2:$B$20,2,FALSE), "")</f>
        <v/>
      </c>
    </row>
    <row r="3665" spans="3:4" x14ac:dyDescent="0.3">
      <c r="C3665" s="35">
        <f t="shared" si="58"/>
        <v>0</v>
      </c>
      <c r="D3665" s="30" t="str">
        <f>IFERROR(VLOOKUP(C3665,소속부서!$A$2:$B$20,2,FALSE), "")</f>
        <v/>
      </c>
    </row>
    <row r="3666" spans="3:4" x14ac:dyDescent="0.3">
      <c r="C3666" s="35">
        <f t="shared" si="58"/>
        <v>0</v>
      </c>
      <c r="D3666" s="30" t="str">
        <f>IFERROR(VLOOKUP(C3666,소속부서!$A$2:$B$20,2,FALSE), "")</f>
        <v/>
      </c>
    </row>
    <row r="3667" spans="3:4" x14ac:dyDescent="0.3">
      <c r="C3667" s="35">
        <f t="shared" si="58"/>
        <v>0</v>
      </c>
      <c r="D3667" s="30" t="str">
        <f>IFERROR(VLOOKUP(C3667,소속부서!$A$2:$B$20,2,FALSE), "")</f>
        <v/>
      </c>
    </row>
    <row r="3668" spans="3:4" x14ac:dyDescent="0.3">
      <c r="C3668" s="35">
        <f t="shared" si="58"/>
        <v>0</v>
      </c>
      <c r="D3668" s="30" t="str">
        <f>IFERROR(VLOOKUP(C3668,소속부서!$A$2:$B$20,2,FALSE), "")</f>
        <v/>
      </c>
    </row>
    <row r="3669" spans="3:4" x14ac:dyDescent="0.3">
      <c r="C3669" s="35">
        <f t="shared" si="58"/>
        <v>0</v>
      </c>
      <c r="D3669" s="30" t="str">
        <f>IFERROR(VLOOKUP(C3669,소속부서!$A$2:$B$20,2,FALSE), "")</f>
        <v/>
      </c>
    </row>
    <row r="3670" spans="3:4" x14ac:dyDescent="0.3">
      <c r="C3670" s="35">
        <f t="shared" si="58"/>
        <v>0</v>
      </c>
      <c r="D3670" s="30" t="str">
        <f>IFERROR(VLOOKUP(C3670,소속부서!$A$2:$B$20,2,FALSE), "")</f>
        <v/>
      </c>
    </row>
    <row r="3671" spans="3:4" x14ac:dyDescent="0.3">
      <c r="C3671" s="35">
        <f t="shared" si="58"/>
        <v>0</v>
      </c>
      <c r="D3671" s="30" t="str">
        <f>IFERROR(VLOOKUP(C3671,소속부서!$A$2:$B$20,2,FALSE), "")</f>
        <v/>
      </c>
    </row>
    <row r="3672" spans="3:4" x14ac:dyDescent="0.3">
      <c r="C3672" s="35">
        <f t="shared" si="58"/>
        <v>0</v>
      </c>
      <c r="D3672" s="30" t="str">
        <f>IFERROR(VLOOKUP(C3672,소속부서!$A$2:$B$20,2,FALSE), "")</f>
        <v/>
      </c>
    </row>
    <row r="3673" spans="3:4" x14ac:dyDescent="0.3">
      <c r="C3673" s="35">
        <f t="shared" si="58"/>
        <v>0</v>
      </c>
      <c r="D3673" s="30" t="str">
        <f>IFERROR(VLOOKUP(C3673,소속부서!$A$2:$B$20,2,FALSE), "")</f>
        <v/>
      </c>
    </row>
    <row r="3674" spans="3:4" x14ac:dyDescent="0.3">
      <c r="C3674" s="35">
        <f t="shared" si="58"/>
        <v>0</v>
      </c>
      <c r="D3674" s="30" t="str">
        <f>IFERROR(VLOOKUP(C3674,소속부서!$A$2:$B$20,2,FALSE), "")</f>
        <v/>
      </c>
    </row>
    <row r="3675" spans="3:4" x14ac:dyDescent="0.3">
      <c r="C3675" s="35">
        <f t="shared" si="58"/>
        <v>0</v>
      </c>
      <c r="D3675" s="30" t="str">
        <f>IFERROR(VLOOKUP(C3675,소속부서!$A$2:$B$20,2,FALSE), "")</f>
        <v/>
      </c>
    </row>
    <row r="3676" spans="3:4" x14ac:dyDescent="0.3">
      <c r="C3676" s="35">
        <f t="shared" si="58"/>
        <v>0</v>
      </c>
      <c r="D3676" s="30" t="str">
        <f>IFERROR(VLOOKUP(C3676,소속부서!$A$2:$B$20,2,FALSE), "")</f>
        <v/>
      </c>
    </row>
    <row r="3677" spans="3:4" x14ac:dyDescent="0.3">
      <c r="C3677" s="35">
        <f t="shared" si="58"/>
        <v>0</v>
      </c>
      <c r="D3677" s="30" t="str">
        <f>IFERROR(VLOOKUP(C3677,소속부서!$A$2:$B$20,2,FALSE), "")</f>
        <v/>
      </c>
    </row>
    <row r="3678" spans="3:4" x14ac:dyDescent="0.3">
      <c r="C3678" s="35">
        <f t="shared" si="58"/>
        <v>0</v>
      </c>
      <c r="D3678" s="30" t="str">
        <f>IFERROR(VLOOKUP(C3678,소속부서!$A$2:$B$20,2,FALSE), "")</f>
        <v/>
      </c>
    </row>
    <row r="3679" spans="3:4" x14ac:dyDescent="0.3">
      <c r="C3679" s="35">
        <f t="shared" si="58"/>
        <v>0</v>
      </c>
      <c r="D3679" s="30" t="str">
        <f>IFERROR(VLOOKUP(C3679,소속부서!$A$2:$B$20,2,FALSE), "")</f>
        <v/>
      </c>
    </row>
    <row r="3680" spans="3:4" x14ac:dyDescent="0.3">
      <c r="C3680" s="35">
        <f t="shared" si="58"/>
        <v>0</v>
      </c>
      <c r="D3680" s="30" t="str">
        <f>IFERROR(VLOOKUP(C3680,소속부서!$A$2:$B$20,2,FALSE), "")</f>
        <v/>
      </c>
    </row>
    <row r="3681" spans="3:4" x14ac:dyDescent="0.3">
      <c r="C3681" s="35">
        <f t="shared" si="58"/>
        <v>0</v>
      </c>
      <c r="D3681" s="30" t="str">
        <f>IFERROR(VLOOKUP(C3681,소속부서!$A$2:$B$20,2,FALSE), "")</f>
        <v/>
      </c>
    </row>
    <row r="3682" spans="3:4" x14ac:dyDescent="0.3">
      <c r="C3682" s="35">
        <f t="shared" si="58"/>
        <v>0</v>
      </c>
      <c r="D3682" s="30" t="str">
        <f>IFERROR(VLOOKUP(C3682,소속부서!$A$2:$B$20,2,FALSE), "")</f>
        <v/>
      </c>
    </row>
    <row r="3683" spans="3:4" x14ac:dyDescent="0.3">
      <c r="C3683" s="35">
        <f t="shared" si="58"/>
        <v>0</v>
      </c>
      <c r="D3683" s="30" t="str">
        <f>IFERROR(VLOOKUP(C3683,소속부서!$A$2:$B$20,2,FALSE), "")</f>
        <v/>
      </c>
    </row>
    <row r="3684" spans="3:4" x14ac:dyDescent="0.3">
      <c r="C3684" s="35">
        <f t="shared" si="58"/>
        <v>0</v>
      </c>
      <c r="D3684" s="30" t="str">
        <f>IFERROR(VLOOKUP(C3684,소속부서!$A$2:$B$20,2,FALSE), "")</f>
        <v/>
      </c>
    </row>
    <row r="3685" spans="3:4" x14ac:dyDescent="0.3">
      <c r="C3685" s="35">
        <f t="shared" si="58"/>
        <v>0</v>
      </c>
      <c r="D3685" s="30" t="str">
        <f>IFERROR(VLOOKUP(C3685,소속부서!$A$2:$B$20,2,FALSE), "")</f>
        <v/>
      </c>
    </row>
    <row r="3686" spans="3:4" x14ac:dyDescent="0.3">
      <c r="C3686" s="35">
        <f t="shared" si="58"/>
        <v>0</v>
      </c>
      <c r="D3686" s="30" t="str">
        <f>IFERROR(VLOOKUP(C3686,소속부서!$A$2:$B$20,2,FALSE), "")</f>
        <v/>
      </c>
    </row>
    <row r="3687" spans="3:4" x14ac:dyDescent="0.3">
      <c r="C3687" s="35">
        <f t="shared" si="58"/>
        <v>0</v>
      </c>
      <c r="D3687" s="30" t="str">
        <f>IFERROR(VLOOKUP(C3687,소속부서!$A$2:$B$20,2,FALSE), "")</f>
        <v/>
      </c>
    </row>
    <row r="3688" spans="3:4" x14ac:dyDescent="0.3">
      <c r="C3688" s="35">
        <f t="shared" si="58"/>
        <v>0</v>
      </c>
      <c r="D3688" s="30" t="str">
        <f>IFERROR(VLOOKUP(C3688,소속부서!$A$2:$B$20,2,FALSE), "")</f>
        <v/>
      </c>
    </row>
    <row r="3689" spans="3:4" x14ac:dyDescent="0.3">
      <c r="C3689" s="35">
        <f t="shared" si="58"/>
        <v>0</v>
      </c>
      <c r="D3689" s="30" t="str">
        <f>IFERROR(VLOOKUP(C3689,소속부서!$A$2:$B$20,2,FALSE), "")</f>
        <v/>
      </c>
    </row>
    <row r="3690" spans="3:4" x14ac:dyDescent="0.3">
      <c r="C3690" s="35">
        <f t="shared" si="58"/>
        <v>0</v>
      </c>
      <c r="D3690" s="30" t="str">
        <f>IFERROR(VLOOKUP(C3690,소속부서!$A$2:$B$20,2,FALSE), "")</f>
        <v/>
      </c>
    </row>
    <row r="3691" spans="3:4" x14ac:dyDescent="0.3">
      <c r="C3691" s="35">
        <f t="shared" si="58"/>
        <v>0</v>
      </c>
      <c r="D3691" s="30" t="str">
        <f>IFERROR(VLOOKUP(C3691,소속부서!$A$2:$B$20,2,FALSE), "")</f>
        <v/>
      </c>
    </row>
    <row r="3692" spans="3:4" x14ac:dyDescent="0.3">
      <c r="C3692" s="35">
        <f t="shared" si="58"/>
        <v>0</v>
      </c>
      <c r="D3692" s="30" t="str">
        <f>IFERROR(VLOOKUP(C3692,소속부서!$A$2:$B$20,2,FALSE), "")</f>
        <v/>
      </c>
    </row>
    <row r="3693" spans="3:4" x14ac:dyDescent="0.3">
      <c r="C3693" s="35">
        <f t="shared" si="58"/>
        <v>0</v>
      </c>
      <c r="D3693" s="30" t="str">
        <f>IFERROR(VLOOKUP(C3693,소속부서!$A$2:$B$20,2,FALSE), "")</f>
        <v/>
      </c>
    </row>
    <row r="3694" spans="3:4" x14ac:dyDescent="0.3">
      <c r="C3694" s="35">
        <f t="shared" si="58"/>
        <v>0</v>
      </c>
      <c r="D3694" s="30" t="str">
        <f>IFERROR(VLOOKUP(C3694,소속부서!$A$2:$B$20,2,FALSE), "")</f>
        <v/>
      </c>
    </row>
    <row r="3695" spans="3:4" x14ac:dyDescent="0.3">
      <c r="C3695" s="35">
        <f t="shared" si="58"/>
        <v>0</v>
      </c>
      <c r="D3695" s="30" t="str">
        <f>IFERROR(VLOOKUP(C3695,소속부서!$A$2:$B$20,2,FALSE), "")</f>
        <v/>
      </c>
    </row>
    <row r="3696" spans="3:4" x14ac:dyDescent="0.3">
      <c r="C3696" s="35">
        <f t="shared" si="58"/>
        <v>0</v>
      </c>
      <c r="D3696" s="30" t="str">
        <f>IFERROR(VLOOKUP(C3696,소속부서!$A$2:$B$20,2,FALSE), "")</f>
        <v/>
      </c>
    </row>
    <row r="3697" spans="3:4" x14ac:dyDescent="0.3">
      <c r="C3697" s="35">
        <f t="shared" si="58"/>
        <v>0</v>
      </c>
      <c r="D3697" s="30" t="str">
        <f>IFERROR(VLOOKUP(C3697,소속부서!$A$2:$B$20,2,FALSE), "")</f>
        <v/>
      </c>
    </row>
    <row r="3698" spans="3:4" x14ac:dyDescent="0.3">
      <c r="C3698" s="35">
        <f t="shared" si="58"/>
        <v>0</v>
      </c>
      <c r="D3698" s="30" t="str">
        <f>IFERROR(VLOOKUP(C3698,소속부서!$A$2:$B$20,2,FALSE), "")</f>
        <v/>
      </c>
    </row>
    <row r="3699" spans="3:4" x14ac:dyDescent="0.3">
      <c r="C3699" s="35">
        <f t="shared" si="58"/>
        <v>0</v>
      </c>
      <c r="D3699" s="30" t="str">
        <f>IFERROR(VLOOKUP(C3699,소속부서!$A$2:$B$20,2,FALSE), "")</f>
        <v/>
      </c>
    </row>
    <row r="3700" spans="3:4" x14ac:dyDescent="0.3">
      <c r="C3700" s="35">
        <f t="shared" si="58"/>
        <v>0</v>
      </c>
      <c r="D3700" s="30" t="str">
        <f>IFERROR(VLOOKUP(C3700,소속부서!$A$2:$B$20,2,FALSE), "")</f>
        <v/>
      </c>
    </row>
    <row r="3701" spans="3:4" x14ac:dyDescent="0.3">
      <c r="C3701" s="35">
        <f t="shared" si="58"/>
        <v>0</v>
      </c>
      <c r="D3701" s="30" t="str">
        <f>IFERROR(VLOOKUP(C3701,소속부서!$A$2:$B$20,2,FALSE), "")</f>
        <v/>
      </c>
    </row>
    <row r="3702" spans="3:4" x14ac:dyDescent="0.3">
      <c r="C3702" s="35">
        <f t="shared" si="58"/>
        <v>0</v>
      </c>
      <c r="D3702" s="30" t="str">
        <f>IFERROR(VLOOKUP(C3702,소속부서!$A$2:$B$20,2,FALSE), "")</f>
        <v/>
      </c>
    </row>
    <row r="3703" spans="3:4" x14ac:dyDescent="0.3">
      <c r="C3703" s="35">
        <f t="shared" si="58"/>
        <v>0</v>
      </c>
      <c r="D3703" s="30" t="str">
        <f>IFERROR(VLOOKUP(C3703,소속부서!$A$2:$B$20,2,FALSE), "")</f>
        <v/>
      </c>
    </row>
    <row r="3704" spans="3:4" x14ac:dyDescent="0.3">
      <c r="C3704" s="35">
        <f t="shared" si="58"/>
        <v>0</v>
      </c>
      <c r="D3704" s="30" t="str">
        <f>IFERROR(VLOOKUP(C3704,소속부서!$A$2:$B$20,2,FALSE), "")</f>
        <v/>
      </c>
    </row>
    <row r="3705" spans="3:4" x14ac:dyDescent="0.3">
      <c r="C3705" s="35">
        <f t="shared" si="58"/>
        <v>0</v>
      </c>
      <c r="D3705" s="30" t="str">
        <f>IFERROR(VLOOKUP(C3705,소속부서!$A$2:$B$20,2,FALSE), "")</f>
        <v/>
      </c>
    </row>
    <row r="3706" spans="3:4" x14ac:dyDescent="0.3">
      <c r="C3706" s="35">
        <f t="shared" si="58"/>
        <v>0</v>
      </c>
      <c r="D3706" s="30" t="str">
        <f>IFERROR(VLOOKUP(C3706,소속부서!$A$2:$B$20,2,FALSE), "")</f>
        <v/>
      </c>
    </row>
    <row r="3707" spans="3:4" x14ac:dyDescent="0.3">
      <c r="C3707" s="35">
        <f t="shared" si="58"/>
        <v>0</v>
      </c>
      <c r="D3707" s="30" t="str">
        <f>IFERROR(VLOOKUP(C3707,소속부서!$A$2:$B$20,2,FALSE), "")</f>
        <v/>
      </c>
    </row>
    <row r="3708" spans="3:4" x14ac:dyDescent="0.3">
      <c r="C3708" s="35">
        <f t="shared" si="58"/>
        <v>0</v>
      </c>
      <c r="D3708" s="30" t="str">
        <f>IFERROR(VLOOKUP(C3708,소속부서!$A$2:$B$20,2,FALSE), "")</f>
        <v/>
      </c>
    </row>
    <row r="3709" spans="3:4" x14ac:dyDescent="0.3">
      <c r="C3709" s="35">
        <f t="shared" si="58"/>
        <v>0</v>
      </c>
      <c r="D3709" s="30" t="str">
        <f>IFERROR(VLOOKUP(C3709,소속부서!$A$2:$B$20,2,FALSE), "")</f>
        <v/>
      </c>
    </row>
    <row r="3710" spans="3:4" x14ac:dyDescent="0.3">
      <c r="C3710" s="35">
        <f t="shared" si="58"/>
        <v>0</v>
      </c>
      <c r="D3710" s="30" t="str">
        <f>IFERROR(VLOOKUP(C3710,소속부서!$A$2:$B$20,2,FALSE), "")</f>
        <v/>
      </c>
    </row>
    <row r="3711" spans="3:4" x14ac:dyDescent="0.3">
      <c r="C3711" s="35">
        <f t="shared" si="58"/>
        <v>0</v>
      </c>
      <c r="D3711" s="30" t="str">
        <f>IFERROR(VLOOKUP(C3711,소속부서!$A$2:$B$20,2,FALSE), "")</f>
        <v/>
      </c>
    </row>
    <row r="3712" spans="3:4" x14ac:dyDescent="0.3">
      <c r="C3712" s="35">
        <f t="shared" si="58"/>
        <v>0</v>
      </c>
      <c r="D3712" s="30" t="str">
        <f>IFERROR(VLOOKUP(C3712,소속부서!$A$2:$B$20,2,FALSE), "")</f>
        <v/>
      </c>
    </row>
    <row r="3713" spans="3:4" x14ac:dyDescent="0.3">
      <c r="C3713" s="35">
        <f t="shared" si="58"/>
        <v>0</v>
      </c>
      <c r="D3713" s="30" t="str">
        <f>IFERROR(VLOOKUP(C3713,소속부서!$A$2:$B$20,2,FALSE), "")</f>
        <v/>
      </c>
    </row>
    <row r="3714" spans="3:4" x14ac:dyDescent="0.3">
      <c r="C3714" s="35">
        <f t="shared" si="58"/>
        <v>0</v>
      </c>
      <c r="D3714" s="30" t="str">
        <f>IFERROR(VLOOKUP(C3714,소속부서!$A$2:$B$20,2,FALSE), "")</f>
        <v/>
      </c>
    </row>
    <row r="3715" spans="3:4" x14ac:dyDescent="0.3">
      <c r="C3715" s="35">
        <f t="shared" si="58"/>
        <v>0</v>
      </c>
      <c r="D3715" s="30" t="str">
        <f>IFERROR(VLOOKUP(C3715,소속부서!$A$2:$B$20,2,FALSE), "")</f>
        <v/>
      </c>
    </row>
    <row r="3716" spans="3:4" x14ac:dyDescent="0.3">
      <c r="C3716" s="35">
        <f t="shared" ref="C3716:C3779" si="59">E3716</f>
        <v>0</v>
      </c>
      <c r="D3716" s="30" t="str">
        <f>IFERROR(VLOOKUP(C3716,소속부서!$A$2:$B$20,2,FALSE), "")</f>
        <v/>
      </c>
    </row>
    <row r="3717" spans="3:4" x14ac:dyDescent="0.3">
      <c r="C3717" s="35">
        <f t="shared" si="59"/>
        <v>0</v>
      </c>
      <c r="D3717" s="30" t="str">
        <f>IFERROR(VLOOKUP(C3717,소속부서!$A$2:$B$20,2,FALSE), "")</f>
        <v/>
      </c>
    </row>
    <row r="3718" spans="3:4" x14ac:dyDescent="0.3">
      <c r="C3718" s="35">
        <f t="shared" si="59"/>
        <v>0</v>
      </c>
      <c r="D3718" s="30" t="str">
        <f>IFERROR(VLOOKUP(C3718,소속부서!$A$2:$B$20,2,FALSE), "")</f>
        <v/>
      </c>
    </row>
    <row r="3719" spans="3:4" x14ac:dyDescent="0.3">
      <c r="C3719" s="35">
        <f t="shared" si="59"/>
        <v>0</v>
      </c>
      <c r="D3719" s="30" t="str">
        <f>IFERROR(VLOOKUP(C3719,소속부서!$A$2:$B$20,2,FALSE), "")</f>
        <v/>
      </c>
    </row>
    <row r="3720" spans="3:4" x14ac:dyDescent="0.3">
      <c r="C3720" s="35">
        <f t="shared" si="59"/>
        <v>0</v>
      </c>
      <c r="D3720" s="30" t="str">
        <f>IFERROR(VLOOKUP(C3720,소속부서!$A$2:$B$20,2,FALSE), "")</f>
        <v/>
      </c>
    </row>
    <row r="3721" spans="3:4" x14ac:dyDescent="0.3">
      <c r="C3721" s="35">
        <f t="shared" si="59"/>
        <v>0</v>
      </c>
      <c r="D3721" s="30" t="str">
        <f>IFERROR(VLOOKUP(C3721,소속부서!$A$2:$B$20,2,FALSE), "")</f>
        <v/>
      </c>
    </row>
    <row r="3722" spans="3:4" x14ac:dyDescent="0.3">
      <c r="C3722" s="35">
        <f t="shared" si="59"/>
        <v>0</v>
      </c>
      <c r="D3722" s="30" t="str">
        <f>IFERROR(VLOOKUP(C3722,소속부서!$A$2:$B$20,2,FALSE), "")</f>
        <v/>
      </c>
    </row>
    <row r="3723" spans="3:4" x14ac:dyDescent="0.3">
      <c r="C3723" s="35">
        <f t="shared" si="59"/>
        <v>0</v>
      </c>
      <c r="D3723" s="30" t="str">
        <f>IFERROR(VLOOKUP(C3723,소속부서!$A$2:$B$20,2,FALSE), "")</f>
        <v/>
      </c>
    </row>
    <row r="3724" spans="3:4" x14ac:dyDescent="0.3">
      <c r="C3724" s="35">
        <f t="shared" si="59"/>
        <v>0</v>
      </c>
      <c r="D3724" s="30" t="str">
        <f>IFERROR(VLOOKUP(C3724,소속부서!$A$2:$B$20,2,FALSE), "")</f>
        <v/>
      </c>
    </row>
    <row r="3725" spans="3:4" x14ac:dyDescent="0.3">
      <c r="C3725" s="35">
        <f t="shared" si="59"/>
        <v>0</v>
      </c>
      <c r="D3725" s="30" t="str">
        <f>IFERROR(VLOOKUP(C3725,소속부서!$A$2:$B$20,2,FALSE), "")</f>
        <v/>
      </c>
    </row>
    <row r="3726" spans="3:4" x14ac:dyDescent="0.3">
      <c r="C3726" s="35">
        <f t="shared" si="59"/>
        <v>0</v>
      </c>
      <c r="D3726" s="30" t="str">
        <f>IFERROR(VLOOKUP(C3726,소속부서!$A$2:$B$20,2,FALSE), "")</f>
        <v/>
      </c>
    </row>
    <row r="3727" spans="3:4" x14ac:dyDescent="0.3">
      <c r="C3727" s="35">
        <f t="shared" si="59"/>
        <v>0</v>
      </c>
      <c r="D3727" s="30" t="str">
        <f>IFERROR(VLOOKUP(C3727,소속부서!$A$2:$B$20,2,FALSE), "")</f>
        <v/>
      </c>
    </row>
    <row r="3728" spans="3:4" x14ac:dyDescent="0.3">
      <c r="C3728" s="35">
        <f t="shared" si="59"/>
        <v>0</v>
      </c>
      <c r="D3728" s="30" t="str">
        <f>IFERROR(VLOOKUP(C3728,소속부서!$A$2:$B$20,2,FALSE), "")</f>
        <v/>
      </c>
    </row>
    <row r="3729" spans="3:4" x14ac:dyDescent="0.3">
      <c r="C3729" s="35">
        <f t="shared" si="59"/>
        <v>0</v>
      </c>
      <c r="D3729" s="30" t="str">
        <f>IFERROR(VLOOKUP(C3729,소속부서!$A$2:$B$20,2,FALSE), "")</f>
        <v/>
      </c>
    </row>
    <row r="3730" spans="3:4" x14ac:dyDescent="0.3">
      <c r="C3730" s="35">
        <f t="shared" si="59"/>
        <v>0</v>
      </c>
      <c r="D3730" s="30" t="str">
        <f>IFERROR(VLOOKUP(C3730,소속부서!$A$2:$B$20,2,FALSE), "")</f>
        <v/>
      </c>
    </row>
    <row r="3731" spans="3:4" x14ac:dyDescent="0.3">
      <c r="C3731" s="35">
        <f t="shared" si="59"/>
        <v>0</v>
      </c>
      <c r="D3731" s="30" t="str">
        <f>IFERROR(VLOOKUP(C3731,소속부서!$A$2:$B$20,2,FALSE), "")</f>
        <v/>
      </c>
    </row>
    <row r="3732" spans="3:4" x14ac:dyDescent="0.3">
      <c r="C3732" s="35">
        <f t="shared" si="59"/>
        <v>0</v>
      </c>
      <c r="D3732" s="30" t="str">
        <f>IFERROR(VLOOKUP(C3732,소속부서!$A$2:$B$20,2,FALSE), "")</f>
        <v/>
      </c>
    </row>
    <row r="3733" spans="3:4" x14ac:dyDescent="0.3">
      <c r="C3733" s="35">
        <f t="shared" si="59"/>
        <v>0</v>
      </c>
      <c r="D3733" s="30" t="str">
        <f>IFERROR(VLOOKUP(C3733,소속부서!$A$2:$B$20,2,FALSE), "")</f>
        <v/>
      </c>
    </row>
    <row r="3734" spans="3:4" x14ac:dyDescent="0.3">
      <c r="C3734" s="35">
        <f t="shared" si="59"/>
        <v>0</v>
      </c>
      <c r="D3734" s="30" t="str">
        <f>IFERROR(VLOOKUP(C3734,소속부서!$A$2:$B$20,2,FALSE), "")</f>
        <v/>
      </c>
    </row>
    <row r="3735" spans="3:4" x14ac:dyDescent="0.3">
      <c r="C3735" s="35">
        <f t="shared" si="59"/>
        <v>0</v>
      </c>
      <c r="D3735" s="30" t="str">
        <f>IFERROR(VLOOKUP(C3735,소속부서!$A$2:$B$20,2,FALSE), "")</f>
        <v/>
      </c>
    </row>
    <row r="3736" spans="3:4" x14ac:dyDescent="0.3">
      <c r="C3736" s="35">
        <f t="shared" si="59"/>
        <v>0</v>
      </c>
      <c r="D3736" s="30" t="str">
        <f>IFERROR(VLOOKUP(C3736,소속부서!$A$2:$B$20,2,FALSE), "")</f>
        <v/>
      </c>
    </row>
    <row r="3737" spans="3:4" x14ac:dyDescent="0.3">
      <c r="C3737" s="35">
        <f t="shared" si="59"/>
        <v>0</v>
      </c>
      <c r="D3737" s="30" t="str">
        <f>IFERROR(VLOOKUP(C3737,소속부서!$A$2:$B$20,2,FALSE), "")</f>
        <v/>
      </c>
    </row>
    <row r="3738" spans="3:4" x14ac:dyDescent="0.3">
      <c r="C3738" s="35">
        <f t="shared" si="59"/>
        <v>0</v>
      </c>
      <c r="D3738" s="30" t="str">
        <f>IFERROR(VLOOKUP(C3738,소속부서!$A$2:$B$20,2,FALSE), "")</f>
        <v/>
      </c>
    </row>
    <row r="3739" spans="3:4" x14ac:dyDescent="0.3">
      <c r="C3739" s="35">
        <f t="shared" si="59"/>
        <v>0</v>
      </c>
      <c r="D3739" s="30" t="str">
        <f>IFERROR(VLOOKUP(C3739,소속부서!$A$2:$B$20,2,FALSE), "")</f>
        <v/>
      </c>
    </row>
    <row r="3740" spans="3:4" x14ac:dyDescent="0.3">
      <c r="C3740" s="35">
        <f t="shared" si="59"/>
        <v>0</v>
      </c>
      <c r="D3740" s="30" t="str">
        <f>IFERROR(VLOOKUP(C3740,소속부서!$A$2:$B$20,2,FALSE), "")</f>
        <v/>
      </c>
    </row>
    <row r="3741" spans="3:4" x14ac:dyDescent="0.3">
      <c r="C3741" s="35">
        <f t="shared" si="59"/>
        <v>0</v>
      </c>
      <c r="D3741" s="30" t="str">
        <f>IFERROR(VLOOKUP(C3741,소속부서!$A$2:$B$20,2,FALSE), "")</f>
        <v/>
      </c>
    </row>
    <row r="3742" spans="3:4" x14ac:dyDescent="0.3">
      <c r="C3742" s="35">
        <f t="shared" si="59"/>
        <v>0</v>
      </c>
      <c r="D3742" s="30" t="str">
        <f>IFERROR(VLOOKUP(C3742,소속부서!$A$2:$B$20,2,FALSE), "")</f>
        <v/>
      </c>
    </row>
    <row r="3743" spans="3:4" x14ac:dyDescent="0.3">
      <c r="C3743" s="35">
        <f t="shared" si="59"/>
        <v>0</v>
      </c>
      <c r="D3743" s="30" t="str">
        <f>IFERROR(VLOOKUP(C3743,소속부서!$A$2:$B$20,2,FALSE), "")</f>
        <v/>
      </c>
    </row>
    <row r="3744" spans="3:4" x14ac:dyDescent="0.3">
      <c r="C3744" s="35">
        <f t="shared" si="59"/>
        <v>0</v>
      </c>
      <c r="D3744" s="30" t="str">
        <f>IFERROR(VLOOKUP(C3744,소속부서!$A$2:$B$20,2,FALSE), "")</f>
        <v/>
      </c>
    </row>
    <row r="3745" spans="3:4" x14ac:dyDescent="0.3">
      <c r="C3745" s="35">
        <f t="shared" si="59"/>
        <v>0</v>
      </c>
      <c r="D3745" s="30" t="str">
        <f>IFERROR(VLOOKUP(C3745,소속부서!$A$2:$B$20,2,FALSE), "")</f>
        <v/>
      </c>
    </row>
    <row r="3746" spans="3:4" x14ac:dyDescent="0.3">
      <c r="C3746" s="35">
        <f t="shared" si="59"/>
        <v>0</v>
      </c>
      <c r="D3746" s="30" t="str">
        <f>IFERROR(VLOOKUP(C3746,소속부서!$A$2:$B$20,2,FALSE), "")</f>
        <v/>
      </c>
    </row>
    <row r="3747" spans="3:4" x14ac:dyDescent="0.3">
      <c r="C3747" s="35">
        <f t="shared" si="59"/>
        <v>0</v>
      </c>
      <c r="D3747" s="30" t="str">
        <f>IFERROR(VLOOKUP(C3747,소속부서!$A$2:$B$20,2,FALSE), "")</f>
        <v/>
      </c>
    </row>
    <row r="3748" spans="3:4" x14ac:dyDescent="0.3">
      <c r="C3748" s="35">
        <f t="shared" si="59"/>
        <v>0</v>
      </c>
      <c r="D3748" s="30" t="str">
        <f>IFERROR(VLOOKUP(C3748,소속부서!$A$2:$B$20,2,FALSE), "")</f>
        <v/>
      </c>
    </row>
    <row r="3749" spans="3:4" x14ac:dyDescent="0.3">
      <c r="C3749" s="35">
        <f t="shared" si="59"/>
        <v>0</v>
      </c>
      <c r="D3749" s="30" t="str">
        <f>IFERROR(VLOOKUP(C3749,소속부서!$A$2:$B$20,2,FALSE), "")</f>
        <v/>
      </c>
    </row>
    <row r="3750" spans="3:4" x14ac:dyDescent="0.3">
      <c r="C3750" s="35">
        <f t="shared" si="59"/>
        <v>0</v>
      </c>
      <c r="D3750" s="30" t="str">
        <f>IFERROR(VLOOKUP(C3750,소속부서!$A$2:$B$20,2,FALSE), "")</f>
        <v/>
      </c>
    </row>
    <row r="3751" spans="3:4" x14ac:dyDescent="0.3">
      <c r="C3751" s="35">
        <f t="shared" si="59"/>
        <v>0</v>
      </c>
      <c r="D3751" s="30" t="str">
        <f>IFERROR(VLOOKUP(C3751,소속부서!$A$2:$B$20,2,FALSE), "")</f>
        <v/>
      </c>
    </row>
    <row r="3752" spans="3:4" x14ac:dyDescent="0.3">
      <c r="C3752" s="35">
        <f t="shared" si="59"/>
        <v>0</v>
      </c>
      <c r="D3752" s="30" t="str">
        <f>IFERROR(VLOOKUP(C3752,소속부서!$A$2:$B$20,2,FALSE), "")</f>
        <v/>
      </c>
    </row>
    <row r="3753" spans="3:4" x14ac:dyDescent="0.3">
      <c r="C3753" s="35">
        <f t="shared" si="59"/>
        <v>0</v>
      </c>
      <c r="D3753" s="30" t="str">
        <f>IFERROR(VLOOKUP(C3753,소속부서!$A$2:$B$20,2,FALSE), "")</f>
        <v/>
      </c>
    </row>
    <row r="3754" spans="3:4" x14ac:dyDescent="0.3">
      <c r="C3754" s="35">
        <f t="shared" si="59"/>
        <v>0</v>
      </c>
      <c r="D3754" s="30" t="str">
        <f>IFERROR(VLOOKUP(C3754,소속부서!$A$2:$B$20,2,FALSE), "")</f>
        <v/>
      </c>
    </row>
    <row r="3755" spans="3:4" x14ac:dyDescent="0.3">
      <c r="C3755" s="35">
        <f t="shared" si="59"/>
        <v>0</v>
      </c>
      <c r="D3755" s="30" t="str">
        <f>IFERROR(VLOOKUP(C3755,소속부서!$A$2:$B$20,2,FALSE), "")</f>
        <v/>
      </c>
    </row>
    <row r="3756" spans="3:4" x14ac:dyDescent="0.3">
      <c r="C3756" s="35">
        <f t="shared" si="59"/>
        <v>0</v>
      </c>
      <c r="D3756" s="30" t="str">
        <f>IFERROR(VLOOKUP(C3756,소속부서!$A$2:$B$20,2,FALSE), "")</f>
        <v/>
      </c>
    </row>
    <row r="3757" spans="3:4" x14ac:dyDescent="0.3">
      <c r="C3757" s="35">
        <f t="shared" si="59"/>
        <v>0</v>
      </c>
      <c r="D3757" s="30" t="str">
        <f>IFERROR(VLOOKUP(C3757,소속부서!$A$2:$B$20,2,FALSE), "")</f>
        <v/>
      </c>
    </row>
    <row r="3758" spans="3:4" x14ac:dyDescent="0.3">
      <c r="C3758" s="35">
        <f t="shared" si="59"/>
        <v>0</v>
      </c>
      <c r="D3758" s="30" t="str">
        <f>IFERROR(VLOOKUP(C3758,소속부서!$A$2:$B$20,2,FALSE), "")</f>
        <v/>
      </c>
    </row>
    <row r="3759" spans="3:4" x14ac:dyDescent="0.3">
      <c r="C3759" s="35">
        <f t="shared" si="59"/>
        <v>0</v>
      </c>
      <c r="D3759" s="30" t="str">
        <f>IFERROR(VLOOKUP(C3759,소속부서!$A$2:$B$20,2,FALSE), "")</f>
        <v/>
      </c>
    </row>
    <row r="3760" spans="3:4" x14ac:dyDescent="0.3">
      <c r="C3760" s="35">
        <f t="shared" si="59"/>
        <v>0</v>
      </c>
      <c r="D3760" s="30" t="str">
        <f>IFERROR(VLOOKUP(C3760,소속부서!$A$2:$B$20,2,FALSE), "")</f>
        <v/>
      </c>
    </row>
    <row r="3761" spans="3:4" x14ac:dyDescent="0.3">
      <c r="C3761" s="35">
        <f t="shared" si="59"/>
        <v>0</v>
      </c>
      <c r="D3761" s="30" t="str">
        <f>IFERROR(VLOOKUP(C3761,소속부서!$A$2:$B$20,2,FALSE), "")</f>
        <v/>
      </c>
    </row>
    <row r="3762" spans="3:4" x14ac:dyDescent="0.3">
      <c r="C3762" s="35">
        <f t="shared" si="59"/>
        <v>0</v>
      </c>
      <c r="D3762" s="30" t="str">
        <f>IFERROR(VLOOKUP(C3762,소속부서!$A$2:$B$20,2,FALSE), "")</f>
        <v/>
      </c>
    </row>
    <row r="3763" spans="3:4" x14ac:dyDescent="0.3">
      <c r="C3763" s="35">
        <f t="shared" si="59"/>
        <v>0</v>
      </c>
      <c r="D3763" s="30" t="str">
        <f>IFERROR(VLOOKUP(C3763,소속부서!$A$2:$B$20,2,FALSE), "")</f>
        <v/>
      </c>
    </row>
    <row r="3764" spans="3:4" x14ac:dyDescent="0.3">
      <c r="C3764" s="35">
        <f t="shared" si="59"/>
        <v>0</v>
      </c>
      <c r="D3764" s="30" t="str">
        <f>IFERROR(VLOOKUP(C3764,소속부서!$A$2:$B$20,2,FALSE), "")</f>
        <v/>
      </c>
    </row>
    <row r="3765" spans="3:4" x14ac:dyDescent="0.3">
      <c r="C3765" s="35">
        <f t="shared" si="59"/>
        <v>0</v>
      </c>
      <c r="D3765" s="30" t="str">
        <f>IFERROR(VLOOKUP(C3765,소속부서!$A$2:$B$20,2,FALSE), "")</f>
        <v/>
      </c>
    </row>
    <row r="3766" spans="3:4" x14ac:dyDescent="0.3">
      <c r="C3766" s="35">
        <f t="shared" si="59"/>
        <v>0</v>
      </c>
      <c r="D3766" s="30" t="str">
        <f>IFERROR(VLOOKUP(C3766,소속부서!$A$2:$B$20,2,FALSE), "")</f>
        <v/>
      </c>
    </row>
    <row r="3767" spans="3:4" x14ac:dyDescent="0.3">
      <c r="C3767" s="35">
        <f t="shared" si="59"/>
        <v>0</v>
      </c>
      <c r="D3767" s="30" t="str">
        <f>IFERROR(VLOOKUP(C3767,소속부서!$A$2:$B$20,2,FALSE), "")</f>
        <v/>
      </c>
    </row>
    <row r="3768" spans="3:4" x14ac:dyDescent="0.3">
      <c r="C3768" s="35">
        <f t="shared" si="59"/>
        <v>0</v>
      </c>
      <c r="D3768" s="30" t="str">
        <f>IFERROR(VLOOKUP(C3768,소속부서!$A$2:$B$20,2,FALSE), "")</f>
        <v/>
      </c>
    </row>
    <row r="3769" spans="3:4" x14ac:dyDescent="0.3">
      <c r="C3769" s="35">
        <f t="shared" si="59"/>
        <v>0</v>
      </c>
      <c r="D3769" s="30" t="str">
        <f>IFERROR(VLOOKUP(C3769,소속부서!$A$2:$B$20,2,FALSE), "")</f>
        <v/>
      </c>
    </row>
    <row r="3770" spans="3:4" x14ac:dyDescent="0.3">
      <c r="C3770" s="35">
        <f t="shared" si="59"/>
        <v>0</v>
      </c>
      <c r="D3770" s="30" t="str">
        <f>IFERROR(VLOOKUP(C3770,소속부서!$A$2:$B$20,2,FALSE), "")</f>
        <v/>
      </c>
    </row>
    <row r="3771" spans="3:4" x14ac:dyDescent="0.3">
      <c r="C3771" s="35">
        <f t="shared" si="59"/>
        <v>0</v>
      </c>
      <c r="D3771" s="30" t="str">
        <f>IFERROR(VLOOKUP(C3771,소속부서!$A$2:$B$20,2,FALSE), "")</f>
        <v/>
      </c>
    </row>
    <row r="3772" spans="3:4" x14ac:dyDescent="0.3">
      <c r="C3772" s="35">
        <f t="shared" si="59"/>
        <v>0</v>
      </c>
      <c r="D3772" s="30" t="str">
        <f>IFERROR(VLOOKUP(C3772,소속부서!$A$2:$B$20,2,FALSE), "")</f>
        <v/>
      </c>
    </row>
    <row r="3773" spans="3:4" x14ac:dyDescent="0.3">
      <c r="C3773" s="35">
        <f t="shared" si="59"/>
        <v>0</v>
      </c>
      <c r="D3773" s="30" t="str">
        <f>IFERROR(VLOOKUP(C3773,소속부서!$A$2:$B$20,2,FALSE), "")</f>
        <v/>
      </c>
    </row>
    <row r="3774" spans="3:4" x14ac:dyDescent="0.3">
      <c r="C3774" s="35">
        <f t="shared" si="59"/>
        <v>0</v>
      </c>
      <c r="D3774" s="30" t="str">
        <f>IFERROR(VLOOKUP(C3774,소속부서!$A$2:$B$20,2,FALSE), "")</f>
        <v/>
      </c>
    </row>
    <row r="3775" spans="3:4" x14ac:dyDescent="0.3">
      <c r="C3775" s="35">
        <f t="shared" si="59"/>
        <v>0</v>
      </c>
      <c r="D3775" s="30" t="str">
        <f>IFERROR(VLOOKUP(C3775,소속부서!$A$2:$B$20,2,FALSE), "")</f>
        <v/>
      </c>
    </row>
    <row r="3776" spans="3:4" x14ac:dyDescent="0.3">
      <c r="C3776" s="35">
        <f t="shared" si="59"/>
        <v>0</v>
      </c>
      <c r="D3776" s="30" t="str">
        <f>IFERROR(VLOOKUP(C3776,소속부서!$A$2:$B$20,2,FALSE), "")</f>
        <v/>
      </c>
    </row>
    <row r="3777" spans="3:4" x14ac:dyDescent="0.3">
      <c r="C3777" s="35">
        <f t="shared" si="59"/>
        <v>0</v>
      </c>
      <c r="D3777" s="30" t="str">
        <f>IFERROR(VLOOKUP(C3777,소속부서!$A$2:$B$20,2,FALSE), "")</f>
        <v/>
      </c>
    </row>
    <row r="3778" spans="3:4" x14ac:dyDescent="0.3">
      <c r="C3778" s="35">
        <f t="shared" si="59"/>
        <v>0</v>
      </c>
      <c r="D3778" s="30" t="str">
        <f>IFERROR(VLOOKUP(C3778,소속부서!$A$2:$B$20,2,FALSE), "")</f>
        <v/>
      </c>
    </row>
    <row r="3779" spans="3:4" x14ac:dyDescent="0.3">
      <c r="C3779" s="35">
        <f t="shared" si="59"/>
        <v>0</v>
      </c>
      <c r="D3779" s="30" t="str">
        <f>IFERROR(VLOOKUP(C3779,소속부서!$A$2:$B$20,2,FALSE), "")</f>
        <v/>
      </c>
    </row>
    <row r="3780" spans="3:4" x14ac:dyDescent="0.3">
      <c r="C3780" s="35">
        <f t="shared" ref="C3780:C3843" si="60">E3780</f>
        <v>0</v>
      </c>
      <c r="D3780" s="30" t="str">
        <f>IFERROR(VLOOKUP(C3780,소속부서!$A$2:$B$20,2,FALSE), "")</f>
        <v/>
      </c>
    </row>
    <row r="3781" spans="3:4" x14ac:dyDescent="0.3">
      <c r="C3781" s="35">
        <f t="shared" si="60"/>
        <v>0</v>
      </c>
      <c r="D3781" s="30" t="str">
        <f>IFERROR(VLOOKUP(C3781,소속부서!$A$2:$B$20,2,FALSE), "")</f>
        <v/>
      </c>
    </row>
    <row r="3782" spans="3:4" x14ac:dyDescent="0.3">
      <c r="C3782" s="35">
        <f t="shared" si="60"/>
        <v>0</v>
      </c>
      <c r="D3782" s="30" t="str">
        <f>IFERROR(VLOOKUP(C3782,소속부서!$A$2:$B$20,2,FALSE), "")</f>
        <v/>
      </c>
    </row>
    <row r="3783" spans="3:4" x14ac:dyDescent="0.3">
      <c r="C3783" s="35">
        <f t="shared" si="60"/>
        <v>0</v>
      </c>
      <c r="D3783" s="30" t="str">
        <f>IFERROR(VLOOKUP(C3783,소속부서!$A$2:$B$20,2,FALSE), "")</f>
        <v/>
      </c>
    </row>
    <row r="3784" spans="3:4" x14ac:dyDescent="0.3">
      <c r="C3784" s="35">
        <f t="shared" si="60"/>
        <v>0</v>
      </c>
      <c r="D3784" s="30" t="str">
        <f>IFERROR(VLOOKUP(C3784,소속부서!$A$2:$B$20,2,FALSE), "")</f>
        <v/>
      </c>
    </row>
    <row r="3785" spans="3:4" x14ac:dyDescent="0.3">
      <c r="C3785" s="35">
        <f t="shared" si="60"/>
        <v>0</v>
      </c>
      <c r="D3785" s="30" t="str">
        <f>IFERROR(VLOOKUP(C3785,소속부서!$A$2:$B$20,2,FALSE), "")</f>
        <v/>
      </c>
    </row>
    <row r="3786" spans="3:4" x14ac:dyDescent="0.3">
      <c r="C3786" s="35">
        <f t="shared" si="60"/>
        <v>0</v>
      </c>
      <c r="D3786" s="30" t="str">
        <f>IFERROR(VLOOKUP(C3786,소속부서!$A$2:$B$20,2,FALSE), "")</f>
        <v/>
      </c>
    </row>
    <row r="3787" spans="3:4" x14ac:dyDescent="0.3">
      <c r="C3787" s="35">
        <f t="shared" si="60"/>
        <v>0</v>
      </c>
      <c r="D3787" s="30" t="str">
        <f>IFERROR(VLOOKUP(C3787,소속부서!$A$2:$B$20,2,FALSE), "")</f>
        <v/>
      </c>
    </row>
    <row r="3788" spans="3:4" x14ac:dyDescent="0.3">
      <c r="C3788" s="35">
        <f t="shared" si="60"/>
        <v>0</v>
      </c>
      <c r="D3788" s="30" t="str">
        <f>IFERROR(VLOOKUP(C3788,소속부서!$A$2:$B$20,2,FALSE), "")</f>
        <v/>
      </c>
    </row>
    <row r="3789" spans="3:4" x14ac:dyDescent="0.3">
      <c r="C3789" s="35">
        <f t="shared" si="60"/>
        <v>0</v>
      </c>
      <c r="D3789" s="30" t="str">
        <f>IFERROR(VLOOKUP(C3789,소속부서!$A$2:$B$20,2,FALSE), "")</f>
        <v/>
      </c>
    </row>
    <row r="3790" spans="3:4" x14ac:dyDescent="0.3">
      <c r="C3790" s="35">
        <f t="shared" si="60"/>
        <v>0</v>
      </c>
      <c r="D3790" s="30" t="str">
        <f>IFERROR(VLOOKUP(C3790,소속부서!$A$2:$B$20,2,FALSE), "")</f>
        <v/>
      </c>
    </row>
    <row r="3791" spans="3:4" x14ac:dyDescent="0.3">
      <c r="C3791" s="35">
        <f t="shared" si="60"/>
        <v>0</v>
      </c>
      <c r="D3791" s="30" t="str">
        <f>IFERROR(VLOOKUP(C3791,소속부서!$A$2:$B$20,2,FALSE), "")</f>
        <v/>
      </c>
    </row>
    <row r="3792" spans="3:4" x14ac:dyDescent="0.3">
      <c r="C3792" s="35">
        <f t="shared" si="60"/>
        <v>0</v>
      </c>
      <c r="D3792" s="30" t="str">
        <f>IFERROR(VLOOKUP(C3792,소속부서!$A$2:$B$20,2,FALSE), "")</f>
        <v/>
      </c>
    </row>
    <row r="3793" spans="3:4" x14ac:dyDescent="0.3">
      <c r="C3793" s="35">
        <f t="shared" si="60"/>
        <v>0</v>
      </c>
      <c r="D3793" s="30" t="str">
        <f>IFERROR(VLOOKUP(C3793,소속부서!$A$2:$B$20,2,FALSE), "")</f>
        <v/>
      </c>
    </row>
    <row r="3794" spans="3:4" x14ac:dyDescent="0.3">
      <c r="C3794" s="35">
        <f t="shared" si="60"/>
        <v>0</v>
      </c>
      <c r="D3794" s="30" t="str">
        <f>IFERROR(VLOOKUP(C3794,소속부서!$A$2:$B$20,2,FALSE), "")</f>
        <v/>
      </c>
    </row>
    <row r="3795" spans="3:4" x14ac:dyDescent="0.3">
      <c r="C3795" s="35">
        <f t="shared" si="60"/>
        <v>0</v>
      </c>
      <c r="D3795" s="30" t="str">
        <f>IFERROR(VLOOKUP(C3795,소속부서!$A$2:$B$20,2,FALSE), "")</f>
        <v/>
      </c>
    </row>
    <row r="3796" spans="3:4" x14ac:dyDescent="0.3">
      <c r="C3796" s="35">
        <f t="shared" si="60"/>
        <v>0</v>
      </c>
      <c r="D3796" s="30" t="str">
        <f>IFERROR(VLOOKUP(C3796,소속부서!$A$2:$B$20,2,FALSE), "")</f>
        <v/>
      </c>
    </row>
    <row r="3797" spans="3:4" x14ac:dyDescent="0.3">
      <c r="C3797" s="35">
        <f t="shared" si="60"/>
        <v>0</v>
      </c>
      <c r="D3797" s="30" t="str">
        <f>IFERROR(VLOOKUP(C3797,소속부서!$A$2:$B$20,2,FALSE), "")</f>
        <v/>
      </c>
    </row>
    <row r="3798" spans="3:4" x14ac:dyDescent="0.3">
      <c r="C3798" s="35">
        <f t="shared" si="60"/>
        <v>0</v>
      </c>
      <c r="D3798" s="30" t="str">
        <f>IFERROR(VLOOKUP(C3798,소속부서!$A$2:$B$20,2,FALSE), "")</f>
        <v/>
      </c>
    </row>
    <row r="3799" spans="3:4" x14ac:dyDescent="0.3">
      <c r="C3799" s="35">
        <f t="shared" si="60"/>
        <v>0</v>
      </c>
      <c r="D3799" s="30" t="str">
        <f>IFERROR(VLOOKUP(C3799,소속부서!$A$2:$B$20,2,FALSE), "")</f>
        <v/>
      </c>
    </row>
    <row r="3800" spans="3:4" x14ac:dyDescent="0.3">
      <c r="C3800" s="35">
        <f t="shared" si="60"/>
        <v>0</v>
      </c>
      <c r="D3800" s="30" t="str">
        <f>IFERROR(VLOOKUP(C3800,소속부서!$A$2:$B$20,2,FALSE), "")</f>
        <v/>
      </c>
    </row>
    <row r="3801" spans="3:4" x14ac:dyDescent="0.3">
      <c r="C3801" s="35">
        <f t="shared" si="60"/>
        <v>0</v>
      </c>
      <c r="D3801" s="30" t="str">
        <f>IFERROR(VLOOKUP(C3801,소속부서!$A$2:$B$20,2,FALSE), "")</f>
        <v/>
      </c>
    </row>
    <row r="3802" spans="3:4" x14ac:dyDescent="0.3">
      <c r="C3802" s="35">
        <f t="shared" si="60"/>
        <v>0</v>
      </c>
      <c r="D3802" s="30" t="str">
        <f>IFERROR(VLOOKUP(C3802,소속부서!$A$2:$B$20,2,FALSE), "")</f>
        <v/>
      </c>
    </row>
    <row r="3803" spans="3:4" x14ac:dyDescent="0.3">
      <c r="C3803" s="35">
        <f t="shared" si="60"/>
        <v>0</v>
      </c>
      <c r="D3803" s="30" t="str">
        <f>IFERROR(VLOOKUP(C3803,소속부서!$A$2:$B$20,2,FALSE), "")</f>
        <v/>
      </c>
    </row>
    <row r="3804" spans="3:4" x14ac:dyDescent="0.3">
      <c r="C3804" s="35">
        <f t="shared" si="60"/>
        <v>0</v>
      </c>
      <c r="D3804" s="30" t="str">
        <f>IFERROR(VLOOKUP(C3804,소속부서!$A$2:$B$20,2,FALSE), "")</f>
        <v/>
      </c>
    </row>
    <row r="3805" spans="3:4" x14ac:dyDescent="0.3">
      <c r="C3805" s="35">
        <f t="shared" si="60"/>
        <v>0</v>
      </c>
      <c r="D3805" s="30" t="str">
        <f>IFERROR(VLOOKUP(C3805,소속부서!$A$2:$B$20,2,FALSE), "")</f>
        <v/>
      </c>
    </row>
    <row r="3806" spans="3:4" x14ac:dyDescent="0.3">
      <c r="C3806" s="35">
        <f t="shared" si="60"/>
        <v>0</v>
      </c>
      <c r="D3806" s="30" t="str">
        <f>IFERROR(VLOOKUP(C3806,소속부서!$A$2:$B$20,2,FALSE), "")</f>
        <v/>
      </c>
    </row>
    <row r="3807" spans="3:4" x14ac:dyDescent="0.3">
      <c r="C3807" s="35">
        <f t="shared" si="60"/>
        <v>0</v>
      </c>
      <c r="D3807" s="30" t="str">
        <f>IFERROR(VLOOKUP(C3807,소속부서!$A$2:$B$20,2,FALSE), "")</f>
        <v/>
      </c>
    </row>
    <row r="3808" spans="3:4" x14ac:dyDescent="0.3">
      <c r="C3808" s="35">
        <f t="shared" si="60"/>
        <v>0</v>
      </c>
      <c r="D3808" s="30" t="str">
        <f>IFERROR(VLOOKUP(C3808,소속부서!$A$2:$B$20,2,FALSE), "")</f>
        <v/>
      </c>
    </row>
    <row r="3809" spans="3:4" x14ac:dyDescent="0.3">
      <c r="C3809" s="35">
        <f t="shared" si="60"/>
        <v>0</v>
      </c>
      <c r="D3809" s="30" t="str">
        <f>IFERROR(VLOOKUP(C3809,소속부서!$A$2:$B$20,2,FALSE), "")</f>
        <v/>
      </c>
    </row>
    <row r="3810" spans="3:4" x14ac:dyDescent="0.3">
      <c r="C3810" s="35">
        <f t="shared" si="60"/>
        <v>0</v>
      </c>
      <c r="D3810" s="30" t="str">
        <f>IFERROR(VLOOKUP(C3810,소속부서!$A$2:$B$20,2,FALSE), "")</f>
        <v/>
      </c>
    </row>
    <row r="3811" spans="3:4" x14ac:dyDescent="0.3">
      <c r="C3811" s="35">
        <f t="shared" si="60"/>
        <v>0</v>
      </c>
      <c r="D3811" s="30" t="str">
        <f>IFERROR(VLOOKUP(C3811,소속부서!$A$2:$B$20,2,FALSE), "")</f>
        <v/>
      </c>
    </row>
    <row r="3812" spans="3:4" x14ac:dyDescent="0.3">
      <c r="C3812" s="35">
        <f t="shared" si="60"/>
        <v>0</v>
      </c>
      <c r="D3812" s="30" t="str">
        <f>IFERROR(VLOOKUP(C3812,소속부서!$A$2:$B$20,2,FALSE), "")</f>
        <v/>
      </c>
    </row>
    <row r="3813" spans="3:4" x14ac:dyDescent="0.3">
      <c r="C3813" s="35">
        <f t="shared" si="60"/>
        <v>0</v>
      </c>
      <c r="D3813" s="30" t="str">
        <f>IFERROR(VLOOKUP(C3813,소속부서!$A$2:$B$20,2,FALSE), "")</f>
        <v/>
      </c>
    </row>
    <row r="3814" spans="3:4" x14ac:dyDescent="0.3">
      <c r="C3814" s="35">
        <f t="shared" si="60"/>
        <v>0</v>
      </c>
      <c r="D3814" s="30" t="str">
        <f>IFERROR(VLOOKUP(C3814,소속부서!$A$2:$B$20,2,FALSE), "")</f>
        <v/>
      </c>
    </row>
    <row r="3815" spans="3:4" x14ac:dyDescent="0.3">
      <c r="C3815" s="35">
        <f t="shared" si="60"/>
        <v>0</v>
      </c>
      <c r="D3815" s="30" t="str">
        <f>IFERROR(VLOOKUP(C3815,소속부서!$A$2:$B$20,2,FALSE), "")</f>
        <v/>
      </c>
    </row>
    <row r="3816" spans="3:4" x14ac:dyDescent="0.3">
      <c r="C3816" s="35">
        <f t="shared" si="60"/>
        <v>0</v>
      </c>
      <c r="D3816" s="30" t="str">
        <f>IFERROR(VLOOKUP(C3816,소속부서!$A$2:$B$20,2,FALSE), "")</f>
        <v/>
      </c>
    </row>
    <row r="3817" spans="3:4" x14ac:dyDescent="0.3">
      <c r="C3817" s="35">
        <f t="shared" si="60"/>
        <v>0</v>
      </c>
      <c r="D3817" s="30" t="str">
        <f>IFERROR(VLOOKUP(C3817,소속부서!$A$2:$B$20,2,FALSE), "")</f>
        <v/>
      </c>
    </row>
    <row r="3818" spans="3:4" x14ac:dyDescent="0.3">
      <c r="C3818" s="35">
        <f t="shared" si="60"/>
        <v>0</v>
      </c>
      <c r="D3818" s="30" t="str">
        <f>IFERROR(VLOOKUP(C3818,소속부서!$A$2:$B$20,2,FALSE), "")</f>
        <v/>
      </c>
    </row>
    <row r="3819" spans="3:4" x14ac:dyDescent="0.3">
      <c r="C3819" s="35">
        <f t="shared" si="60"/>
        <v>0</v>
      </c>
      <c r="D3819" s="30" t="str">
        <f>IFERROR(VLOOKUP(C3819,소속부서!$A$2:$B$20,2,FALSE), "")</f>
        <v/>
      </c>
    </row>
    <row r="3820" spans="3:4" x14ac:dyDescent="0.3">
      <c r="C3820" s="35">
        <f t="shared" si="60"/>
        <v>0</v>
      </c>
      <c r="D3820" s="30" t="str">
        <f>IFERROR(VLOOKUP(C3820,소속부서!$A$2:$B$20,2,FALSE), "")</f>
        <v/>
      </c>
    </row>
    <row r="3821" spans="3:4" x14ac:dyDescent="0.3">
      <c r="C3821" s="35">
        <f t="shared" si="60"/>
        <v>0</v>
      </c>
      <c r="D3821" s="30" t="str">
        <f>IFERROR(VLOOKUP(C3821,소속부서!$A$2:$B$20,2,FALSE), "")</f>
        <v/>
      </c>
    </row>
    <row r="3822" spans="3:4" x14ac:dyDescent="0.3">
      <c r="C3822" s="35">
        <f t="shared" si="60"/>
        <v>0</v>
      </c>
      <c r="D3822" s="30" t="str">
        <f>IFERROR(VLOOKUP(C3822,소속부서!$A$2:$B$20,2,FALSE), "")</f>
        <v/>
      </c>
    </row>
    <row r="3823" spans="3:4" x14ac:dyDescent="0.3">
      <c r="C3823" s="35">
        <f t="shared" si="60"/>
        <v>0</v>
      </c>
      <c r="D3823" s="30" t="str">
        <f>IFERROR(VLOOKUP(C3823,소속부서!$A$2:$B$20,2,FALSE), "")</f>
        <v/>
      </c>
    </row>
    <row r="3824" spans="3:4" x14ac:dyDescent="0.3">
      <c r="C3824" s="35">
        <f t="shared" si="60"/>
        <v>0</v>
      </c>
      <c r="D3824" s="30" t="str">
        <f>IFERROR(VLOOKUP(C3824,소속부서!$A$2:$B$20,2,FALSE), "")</f>
        <v/>
      </c>
    </row>
    <row r="3825" spans="3:4" x14ac:dyDescent="0.3">
      <c r="C3825" s="35">
        <f t="shared" si="60"/>
        <v>0</v>
      </c>
      <c r="D3825" s="30" t="str">
        <f>IFERROR(VLOOKUP(C3825,소속부서!$A$2:$B$20,2,FALSE), "")</f>
        <v/>
      </c>
    </row>
    <row r="3826" spans="3:4" x14ac:dyDescent="0.3">
      <c r="C3826" s="35">
        <f t="shared" si="60"/>
        <v>0</v>
      </c>
      <c r="D3826" s="30" t="str">
        <f>IFERROR(VLOOKUP(C3826,소속부서!$A$2:$B$20,2,FALSE), "")</f>
        <v/>
      </c>
    </row>
    <row r="3827" spans="3:4" x14ac:dyDescent="0.3">
      <c r="C3827" s="35">
        <f t="shared" si="60"/>
        <v>0</v>
      </c>
      <c r="D3827" s="30" t="str">
        <f>IFERROR(VLOOKUP(C3827,소속부서!$A$2:$B$20,2,FALSE), "")</f>
        <v/>
      </c>
    </row>
    <row r="3828" spans="3:4" x14ac:dyDescent="0.3">
      <c r="C3828" s="35">
        <f t="shared" si="60"/>
        <v>0</v>
      </c>
      <c r="D3828" s="30" t="str">
        <f>IFERROR(VLOOKUP(C3828,소속부서!$A$2:$B$20,2,FALSE), "")</f>
        <v/>
      </c>
    </row>
    <row r="3829" spans="3:4" x14ac:dyDescent="0.3">
      <c r="C3829" s="35">
        <f t="shared" si="60"/>
        <v>0</v>
      </c>
      <c r="D3829" s="30" t="str">
        <f>IFERROR(VLOOKUP(C3829,소속부서!$A$2:$B$20,2,FALSE), "")</f>
        <v/>
      </c>
    </row>
    <row r="3830" spans="3:4" x14ac:dyDescent="0.3">
      <c r="C3830" s="35">
        <f t="shared" si="60"/>
        <v>0</v>
      </c>
      <c r="D3830" s="30" t="str">
        <f>IFERROR(VLOOKUP(C3830,소속부서!$A$2:$B$20,2,FALSE), "")</f>
        <v/>
      </c>
    </row>
    <row r="3831" spans="3:4" x14ac:dyDescent="0.3">
      <c r="C3831" s="35">
        <f t="shared" si="60"/>
        <v>0</v>
      </c>
      <c r="D3831" s="30" t="str">
        <f>IFERROR(VLOOKUP(C3831,소속부서!$A$2:$B$20,2,FALSE), "")</f>
        <v/>
      </c>
    </row>
    <row r="3832" spans="3:4" x14ac:dyDescent="0.3">
      <c r="C3832" s="35">
        <f t="shared" si="60"/>
        <v>0</v>
      </c>
      <c r="D3832" s="30" t="str">
        <f>IFERROR(VLOOKUP(C3832,소속부서!$A$2:$B$20,2,FALSE), "")</f>
        <v/>
      </c>
    </row>
    <row r="3833" spans="3:4" x14ac:dyDescent="0.3">
      <c r="C3833" s="35">
        <f t="shared" si="60"/>
        <v>0</v>
      </c>
      <c r="D3833" s="30" t="str">
        <f>IFERROR(VLOOKUP(C3833,소속부서!$A$2:$B$20,2,FALSE), "")</f>
        <v/>
      </c>
    </row>
    <row r="3834" spans="3:4" x14ac:dyDescent="0.3">
      <c r="C3834" s="35">
        <f t="shared" si="60"/>
        <v>0</v>
      </c>
      <c r="D3834" s="30" t="str">
        <f>IFERROR(VLOOKUP(C3834,소속부서!$A$2:$B$20,2,FALSE), "")</f>
        <v/>
      </c>
    </row>
    <row r="3835" spans="3:4" x14ac:dyDescent="0.3">
      <c r="C3835" s="35">
        <f t="shared" si="60"/>
        <v>0</v>
      </c>
      <c r="D3835" s="30" t="str">
        <f>IFERROR(VLOOKUP(C3835,소속부서!$A$2:$B$20,2,FALSE), "")</f>
        <v/>
      </c>
    </row>
    <row r="3836" spans="3:4" x14ac:dyDescent="0.3">
      <c r="C3836" s="35">
        <f t="shared" si="60"/>
        <v>0</v>
      </c>
      <c r="D3836" s="30" t="str">
        <f>IFERROR(VLOOKUP(C3836,소속부서!$A$2:$B$20,2,FALSE), "")</f>
        <v/>
      </c>
    </row>
    <row r="3837" spans="3:4" x14ac:dyDescent="0.3">
      <c r="C3837" s="35">
        <f t="shared" si="60"/>
        <v>0</v>
      </c>
      <c r="D3837" s="30" t="str">
        <f>IFERROR(VLOOKUP(C3837,소속부서!$A$2:$B$20,2,FALSE), "")</f>
        <v/>
      </c>
    </row>
    <row r="3838" spans="3:4" x14ac:dyDescent="0.3">
      <c r="C3838" s="35">
        <f t="shared" si="60"/>
        <v>0</v>
      </c>
      <c r="D3838" s="30" t="str">
        <f>IFERROR(VLOOKUP(C3838,소속부서!$A$2:$B$20,2,FALSE), "")</f>
        <v/>
      </c>
    </row>
    <row r="3839" spans="3:4" x14ac:dyDescent="0.3">
      <c r="C3839" s="35">
        <f t="shared" si="60"/>
        <v>0</v>
      </c>
      <c r="D3839" s="30" t="str">
        <f>IFERROR(VLOOKUP(C3839,소속부서!$A$2:$B$20,2,FALSE), "")</f>
        <v/>
      </c>
    </row>
    <row r="3840" spans="3:4" x14ac:dyDescent="0.3">
      <c r="C3840" s="35">
        <f t="shared" si="60"/>
        <v>0</v>
      </c>
      <c r="D3840" s="30" t="str">
        <f>IFERROR(VLOOKUP(C3840,소속부서!$A$2:$B$20,2,FALSE), "")</f>
        <v/>
      </c>
    </row>
    <row r="3841" spans="3:4" x14ac:dyDescent="0.3">
      <c r="C3841" s="35">
        <f t="shared" si="60"/>
        <v>0</v>
      </c>
      <c r="D3841" s="30" t="str">
        <f>IFERROR(VLOOKUP(C3841,소속부서!$A$2:$B$20,2,FALSE), "")</f>
        <v/>
      </c>
    </row>
    <row r="3842" spans="3:4" x14ac:dyDescent="0.3">
      <c r="C3842" s="35">
        <f t="shared" si="60"/>
        <v>0</v>
      </c>
      <c r="D3842" s="30" t="str">
        <f>IFERROR(VLOOKUP(C3842,소속부서!$A$2:$B$20,2,FALSE), "")</f>
        <v/>
      </c>
    </row>
    <row r="3843" spans="3:4" x14ac:dyDescent="0.3">
      <c r="C3843" s="35">
        <f t="shared" si="60"/>
        <v>0</v>
      </c>
      <c r="D3843" s="30" t="str">
        <f>IFERROR(VLOOKUP(C3843,소속부서!$A$2:$B$20,2,FALSE), "")</f>
        <v/>
      </c>
    </row>
    <row r="3844" spans="3:4" x14ac:dyDescent="0.3">
      <c r="C3844" s="35">
        <f t="shared" ref="C3844:C3907" si="61">E3844</f>
        <v>0</v>
      </c>
      <c r="D3844" s="30" t="str">
        <f>IFERROR(VLOOKUP(C3844,소속부서!$A$2:$B$20,2,FALSE), "")</f>
        <v/>
      </c>
    </row>
    <row r="3845" spans="3:4" x14ac:dyDescent="0.3">
      <c r="C3845" s="35">
        <f t="shared" si="61"/>
        <v>0</v>
      </c>
      <c r="D3845" s="30" t="str">
        <f>IFERROR(VLOOKUP(C3845,소속부서!$A$2:$B$20,2,FALSE), "")</f>
        <v/>
      </c>
    </row>
    <row r="3846" spans="3:4" x14ac:dyDescent="0.3">
      <c r="C3846" s="35">
        <f t="shared" si="61"/>
        <v>0</v>
      </c>
      <c r="D3846" s="30" t="str">
        <f>IFERROR(VLOOKUP(C3846,소속부서!$A$2:$B$20,2,FALSE), "")</f>
        <v/>
      </c>
    </row>
    <row r="3847" spans="3:4" x14ac:dyDescent="0.3">
      <c r="C3847" s="35">
        <f t="shared" si="61"/>
        <v>0</v>
      </c>
      <c r="D3847" s="30" t="str">
        <f>IFERROR(VLOOKUP(C3847,소속부서!$A$2:$B$20,2,FALSE), "")</f>
        <v/>
      </c>
    </row>
    <row r="3848" spans="3:4" x14ac:dyDescent="0.3">
      <c r="C3848" s="35">
        <f t="shared" si="61"/>
        <v>0</v>
      </c>
      <c r="D3848" s="30" t="str">
        <f>IFERROR(VLOOKUP(C3848,소속부서!$A$2:$B$20,2,FALSE), "")</f>
        <v/>
      </c>
    </row>
    <row r="3849" spans="3:4" x14ac:dyDescent="0.3">
      <c r="C3849" s="35">
        <f t="shared" si="61"/>
        <v>0</v>
      </c>
      <c r="D3849" s="30" t="str">
        <f>IFERROR(VLOOKUP(C3849,소속부서!$A$2:$B$20,2,FALSE), "")</f>
        <v/>
      </c>
    </row>
    <row r="3850" spans="3:4" x14ac:dyDescent="0.3">
      <c r="C3850" s="35">
        <f t="shared" si="61"/>
        <v>0</v>
      </c>
      <c r="D3850" s="30" t="str">
        <f>IFERROR(VLOOKUP(C3850,소속부서!$A$2:$B$20,2,FALSE), "")</f>
        <v/>
      </c>
    </row>
    <row r="3851" spans="3:4" x14ac:dyDescent="0.3">
      <c r="C3851" s="35">
        <f t="shared" si="61"/>
        <v>0</v>
      </c>
      <c r="D3851" s="30" t="str">
        <f>IFERROR(VLOOKUP(C3851,소속부서!$A$2:$B$20,2,FALSE), "")</f>
        <v/>
      </c>
    </row>
    <row r="3852" spans="3:4" x14ac:dyDescent="0.3">
      <c r="C3852" s="35">
        <f t="shared" si="61"/>
        <v>0</v>
      </c>
      <c r="D3852" s="30" t="str">
        <f>IFERROR(VLOOKUP(C3852,소속부서!$A$2:$B$20,2,FALSE), "")</f>
        <v/>
      </c>
    </row>
    <row r="3853" spans="3:4" x14ac:dyDescent="0.3">
      <c r="C3853" s="35">
        <f t="shared" si="61"/>
        <v>0</v>
      </c>
      <c r="D3853" s="30" t="str">
        <f>IFERROR(VLOOKUP(C3853,소속부서!$A$2:$B$20,2,FALSE), "")</f>
        <v/>
      </c>
    </row>
    <row r="3854" spans="3:4" x14ac:dyDescent="0.3">
      <c r="C3854" s="35">
        <f t="shared" si="61"/>
        <v>0</v>
      </c>
      <c r="D3854" s="30" t="str">
        <f>IFERROR(VLOOKUP(C3854,소속부서!$A$2:$B$20,2,FALSE), "")</f>
        <v/>
      </c>
    </row>
    <row r="3855" spans="3:4" x14ac:dyDescent="0.3">
      <c r="C3855" s="35">
        <f t="shared" si="61"/>
        <v>0</v>
      </c>
      <c r="D3855" s="30" t="str">
        <f>IFERROR(VLOOKUP(C3855,소속부서!$A$2:$B$20,2,FALSE), "")</f>
        <v/>
      </c>
    </row>
    <row r="3856" spans="3:4" x14ac:dyDescent="0.3">
      <c r="C3856" s="35">
        <f t="shared" si="61"/>
        <v>0</v>
      </c>
      <c r="D3856" s="30" t="str">
        <f>IFERROR(VLOOKUP(C3856,소속부서!$A$2:$B$20,2,FALSE), "")</f>
        <v/>
      </c>
    </row>
    <row r="3857" spans="3:4" x14ac:dyDescent="0.3">
      <c r="C3857" s="35">
        <f t="shared" si="61"/>
        <v>0</v>
      </c>
      <c r="D3857" s="30" t="str">
        <f>IFERROR(VLOOKUP(C3857,소속부서!$A$2:$B$20,2,FALSE), "")</f>
        <v/>
      </c>
    </row>
    <row r="3858" spans="3:4" x14ac:dyDescent="0.3">
      <c r="C3858" s="35">
        <f t="shared" si="61"/>
        <v>0</v>
      </c>
      <c r="D3858" s="30" t="str">
        <f>IFERROR(VLOOKUP(C3858,소속부서!$A$2:$B$20,2,FALSE), "")</f>
        <v/>
      </c>
    </row>
    <row r="3859" spans="3:4" x14ac:dyDescent="0.3">
      <c r="C3859" s="35">
        <f t="shared" si="61"/>
        <v>0</v>
      </c>
      <c r="D3859" s="30" t="str">
        <f>IFERROR(VLOOKUP(C3859,소속부서!$A$2:$B$20,2,FALSE), "")</f>
        <v/>
      </c>
    </row>
    <row r="3860" spans="3:4" x14ac:dyDescent="0.3">
      <c r="C3860" s="35">
        <f t="shared" si="61"/>
        <v>0</v>
      </c>
      <c r="D3860" s="30" t="str">
        <f>IFERROR(VLOOKUP(C3860,소속부서!$A$2:$B$20,2,FALSE), "")</f>
        <v/>
      </c>
    </row>
    <row r="3861" spans="3:4" x14ac:dyDescent="0.3">
      <c r="C3861" s="35">
        <f t="shared" si="61"/>
        <v>0</v>
      </c>
      <c r="D3861" s="30" t="str">
        <f>IFERROR(VLOOKUP(C3861,소속부서!$A$2:$B$20,2,FALSE), "")</f>
        <v/>
      </c>
    </row>
    <row r="3862" spans="3:4" x14ac:dyDescent="0.3">
      <c r="C3862" s="35">
        <f t="shared" si="61"/>
        <v>0</v>
      </c>
      <c r="D3862" s="30" t="str">
        <f>IFERROR(VLOOKUP(C3862,소속부서!$A$2:$B$20,2,FALSE), "")</f>
        <v/>
      </c>
    </row>
    <row r="3863" spans="3:4" x14ac:dyDescent="0.3">
      <c r="C3863" s="35">
        <f t="shared" si="61"/>
        <v>0</v>
      </c>
      <c r="D3863" s="30" t="str">
        <f>IFERROR(VLOOKUP(C3863,소속부서!$A$2:$B$20,2,FALSE), "")</f>
        <v/>
      </c>
    </row>
    <row r="3864" spans="3:4" x14ac:dyDescent="0.3">
      <c r="C3864" s="35">
        <f t="shared" si="61"/>
        <v>0</v>
      </c>
      <c r="D3864" s="30" t="str">
        <f>IFERROR(VLOOKUP(C3864,소속부서!$A$2:$B$20,2,FALSE), "")</f>
        <v/>
      </c>
    </row>
    <row r="3865" spans="3:4" x14ac:dyDescent="0.3">
      <c r="C3865" s="35">
        <f t="shared" si="61"/>
        <v>0</v>
      </c>
      <c r="D3865" s="30" t="str">
        <f>IFERROR(VLOOKUP(C3865,소속부서!$A$2:$B$20,2,FALSE), "")</f>
        <v/>
      </c>
    </row>
    <row r="3866" spans="3:4" x14ac:dyDescent="0.3">
      <c r="C3866" s="35">
        <f t="shared" si="61"/>
        <v>0</v>
      </c>
      <c r="D3866" s="30" t="str">
        <f>IFERROR(VLOOKUP(C3866,소속부서!$A$2:$B$20,2,FALSE), "")</f>
        <v/>
      </c>
    </row>
    <row r="3867" spans="3:4" x14ac:dyDescent="0.3">
      <c r="C3867" s="35">
        <f t="shared" si="61"/>
        <v>0</v>
      </c>
      <c r="D3867" s="30" t="str">
        <f>IFERROR(VLOOKUP(C3867,소속부서!$A$2:$B$20,2,FALSE), "")</f>
        <v/>
      </c>
    </row>
    <row r="3868" spans="3:4" x14ac:dyDescent="0.3">
      <c r="C3868" s="35">
        <f t="shared" si="61"/>
        <v>0</v>
      </c>
      <c r="D3868" s="30" t="str">
        <f>IFERROR(VLOOKUP(C3868,소속부서!$A$2:$B$20,2,FALSE), "")</f>
        <v/>
      </c>
    </row>
    <row r="3869" spans="3:4" x14ac:dyDescent="0.3">
      <c r="C3869" s="35">
        <f t="shared" si="61"/>
        <v>0</v>
      </c>
      <c r="D3869" s="30" t="str">
        <f>IFERROR(VLOOKUP(C3869,소속부서!$A$2:$B$20,2,FALSE), "")</f>
        <v/>
      </c>
    </row>
    <row r="3870" spans="3:4" x14ac:dyDescent="0.3">
      <c r="C3870" s="35">
        <f t="shared" si="61"/>
        <v>0</v>
      </c>
      <c r="D3870" s="30" t="str">
        <f>IFERROR(VLOOKUP(C3870,소속부서!$A$2:$B$20,2,FALSE), "")</f>
        <v/>
      </c>
    </row>
    <row r="3871" spans="3:4" x14ac:dyDescent="0.3">
      <c r="C3871" s="35">
        <f t="shared" si="61"/>
        <v>0</v>
      </c>
      <c r="D3871" s="30" t="str">
        <f>IFERROR(VLOOKUP(C3871,소속부서!$A$2:$B$20,2,FALSE), "")</f>
        <v/>
      </c>
    </row>
    <row r="3872" spans="3:4" x14ac:dyDescent="0.3">
      <c r="C3872" s="35">
        <f t="shared" si="61"/>
        <v>0</v>
      </c>
      <c r="D3872" s="30" t="str">
        <f>IFERROR(VLOOKUP(C3872,소속부서!$A$2:$B$20,2,FALSE), "")</f>
        <v/>
      </c>
    </row>
    <row r="3873" spans="3:4" x14ac:dyDescent="0.3">
      <c r="C3873" s="35">
        <f t="shared" si="61"/>
        <v>0</v>
      </c>
      <c r="D3873" s="30" t="str">
        <f>IFERROR(VLOOKUP(C3873,소속부서!$A$2:$B$20,2,FALSE), "")</f>
        <v/>
      </c>
    </row>
    <row r="3874" spans="3:4" x14ac:dyDescent="0.3">
      <c r="C3874" s="35">
        <f t="shared" si="61"/>
        <v>0</v>
      </c>
      <c r="D3874" s="30" t="str">
        <f>IFERROR(VLOOKUP(C3874,소속부서!$A$2:$B$20,2,FALSE), "")</f>
        <v/>
      </c>
    </row>
    <row r="3875" spans="3:4" x14ac:dyDescent="0.3">
      <c r="C3875" s="35">
        <f t="shared" si="61"/>
        <v>0</v>
      </c>
      <c r="D3875" s="30" t="str">
        <f>IFERROR(VLOOKUP(C3875,소속부서!$A$2:$B$20,2,FALSE), "")</f>
        <v/>
      </c>
    </row>
    <row r="3876" spans="3:4" x14ac:dyDescent="0.3">
      <c r="C3876" s="35">
        <f t="shared" si="61"/>
        <v>0</v>
      </c>
      <c r="D3876" s="30" t="str">
        <f>IFERROR(VLOOKUP(C3876,소속부서!$A$2:$B$20,2,FALSE), "")</f>
        <v/>
      </c>
    </row>
    <row r="3877" spans="3:4" x14ac:dyDescent="0.3">
      <c r="C3877" s="35">
        <f t="shared" si="61"/>
        <v>0</v>
      </c>
      <c r="D3877" s="30" t="str">
        <f>IFERROR(VLOOKUP(C3877,소속부서!$A$2:$B$20,2,FALSE), "")</f>
        <v/>
      </c>
    </row>
    <row r="3878" spans="3:4" x14ac:dyDescent="0.3">
      <c r="C3878" s="35">
        <f t="shared" si="61"/>
        <v>0</v>
      </c>
      <c r="D3878" s="30" t="str">
        <f>IFERROR(VLOOKUP(C3878,소속부서!$A$2:$B$20,2,FALSE), "")</f>
        <v/>
      </c>
    </row>
    <row r="3879" spans="3:4" x14ac:dyDescent="0.3">
      <c r="C3879" s="35">
        <f t="shared" si="61"/>
        <v>0</v>
      </c>
      <c r="D3879" s="30" t="str">
        <f>IFERROR(VLOOKUP(C3879,소속부서!$A$2:$B$20,2,FALSE), "")</f>
        <v/>
      </c>
    </row>
    <row r="3880" spans="3:4" x14ac:dyDescent="0.3">
      <c r="C3880" s="35">
        <f t="shared" si="61"/>
        <v>0</v>
      </c>
      <c r="D3880" s="30" t="str">
        <f>IFERROR(VLOOKUP(C3880,소속부서!$A$2:$B$20,2,FALSE), "")</f>
        <v/>
      </c>
    </row>
    <row r="3881" spans="3:4" x14ac:dyDescent="0.3">
      <c r="C3881" s="35">
        <f t="shared" si="61"/>
        <v>0</v>
      </c>
      <c r="D3881" s="30" t="str">
        <f>IFERROR(VLOOKUP(C3881,소속부서!$A$2:$B$20,2,FALSE), "")</f>
        <v/>
      </c>
    </row>
    <row r="3882" spans="3:4" x14ac:dyDescent="0.3">
      <c r="C3882" s="35">
        <f t="shared" si="61"/>
        <v>0</v>
      </c>
      <c r="D3882" s="30" t="str">
        <f>IFERROR(VLOOKUP(C3882,소속부서!$A$2:$B$20,2,FALSE), "")</f>
        <v/>
      </c>
    </row>
    <row r="3883" spans="3:4" x14ac:dyDescent="0.3">
      <c r="C3883" s="35">
        <f t="shared" si="61"/>
        <v>0</v>
      </c>
      <c r="D3883" s="30" t="str">
        <f>IFERROR(VLOOKUP(C3883,소속부서!$A$2:$B$20,2,FALSE), "")</f>
        <v/>
      </c>
    </row>
    <row r="3884" spans="3:4" x14ac:dyDescent="0.3">
      <c r="C3884" s="35">
        <f t="shared" si="61"/>
        <v>0</v>
      </c>
      <c r="D3884" s="30" t="str">
        <f>IFERROR(VLOOKUP(C3884,소속부서!$A$2:$B$20,2,FALSE), "")</f>
        <v/>
      </c>
    </row>
    <row r="3885" spans="3:4" x14ac:dyDescent="0.3">
      <c r="C3885" s="35">
        <f t="shared" si="61"/>
        <v>0</v>
      </c>
      <c r="D3885" s="30" t="str">
        <f>IFERROR(VLOOKUP(C3885,소속부서!$A$2:$B$20,2,FALSE), "")</f>
        <v/>
      </c>
    </row>
    <row r="3886" spans="3:4" x14ac:dyDescent="0.3">
      <c r="C3886" s="35">
        <f t="shared" si="61"/>
        <v>0</v>
      </c>
      <c r="D3886" s="30" t="str">
        <f>IFERROR(VLOOKUP(C3886,소속부서!$A$2:$B$20,2,FALSE), "")</f>
        <v/>
      </c>
    </row>
    <row r="3887" spans="3:4" x14ac:dyDescent="0.3">
      <c r="C3887" s="35">
        <f t="shared" si="61"/>
        <v>0</v>
      </c>
      <c r="D3887" s="30" t="str">
        <f>IFERROR(VLOOKUP(C3887,소속부서!$A$2:$B$20,2,FALSE), "")</f>
        <v/>
      </c>
    </row>
    <row r="3888" spans="3:4" x14ac:dyDescent="0.3">
      <c r="C3888" s="35">
        <f t="shared" si="61"/>
        <v>0</v>
      </c>
      <c r="D3888" s="30" t="str">
        <f>IFERROR(VLOOKUP(C3888,소속부서!$A$2:$B$20,2,FALSE), "")</f>
        <v/>
      </c>
    </row>
    <row r="3889" spans="3:4" x14ac:dyDescent="0.3">
      <c r="C3889" s="35">
        <f t="shared" si="61"/>
        <v>0</v>
      </c>
      <c r="D3889" s="30" t="str">
        <f>IFERROR(VLOOKUP(C3889,소속부서!$A$2:$B$20,2,FALSE), "")</f>
        <v/>
      </c>
    </row>
    <row r="3890" spans="3:4" x14ac:dyDescent="0.3">
      <c r="C3890" s="35">
        <f t="shared" si="61"/>
        <v>0</v>
      </c>
      <c r="D3890" s="30" t="str">
        <f>IFERROR(VLOOKUP(C3890,소속부서!$A$2:$B$20,2,FALSE), "")</f>
        <v/>
      </c>
    </row>
    <row r="3891" spans="3:4" x14ac:dyDescent="0.3">
      <c r="C3891" s="35">
        <f t="shared" si="61"/>
        <v>0</v>
      </c>
      <c r="D3891" s="30" t="str">
        <f>IFERROR(VLOOKUP(C3891,소속부서!$A$2:$B$20,2,FALSE), "")</f>
        <v/>
      </c>
    </row>
    <row r="3892" spans="3:4" x14ac:dyDescent="0.3">
      <c r="C3892" s="35">
        <f t="shared" si="61"/>
        <v>0</v>
      </c>
      <c r="D3892" s="30" t="str">
        <f>IFERROR(VLOOKUP(C3892,소속부서!$A$2:$B$20,2,FALSE), "")</f>
        <v/>
      </c>
    </row>
    <row r="3893" spans="3:4" x14ac:dyDescent="0.3">
      <c r="C3893" s="35">
        <f t="shared" si="61"/>
        <v>0</v>
      </c>
      <c r="D3893" s="30" t="str">
        <f>IFERROR(VLOOKUP(C3893,소속부서!$A$2:$B$20,2,FALSE), "")</f>
        <v/>
      </c>
    </row>
    <row r="3894" spans="3:4" x14ac:dyDescent="0.3">
      <c r="C3894" s="35">
        <f t="shared" si="61"/>
        <v>0</v>
      </c>
      <c r="D3894" s="30" t="str">
        <f>IFERROR(VLOOKUP(C3894,소속부서!$A$2:$B$20,2,FALSE), "")</f>
        <v/>
      </c>
    </row>
    <row r="3895" spans="3:4" x14ac:dyDescent="0.3">
      <c r="C3895" s="35">
        <f t="shared" si="61"/>
        <v>0</v>
      </c>
      <c r="D3895" s="30" t="str">
        <f>IFERROR(VLOOKUP(C3895,소속부서!$A$2:$B$20,2,FALSE), "")</f>
        <v/>
      </c>
    </row>
    <row r="3896" spans="3:4" x14ac:dyDescent="0.3">
      <c r="C3896" s="35">
        <f t="shared" si="61"/>
        <v>0</v>
      </c>
      <c r="D3896" s="30" t="str">
        <f>IFERROR(VLOOKUP(C3896,소속부서!$A$2:$B$20,2,FALSE), "")</f>
        <v/>
      </c>
    </row>
    <row r="3897" spans="3:4" x14ac:dyDescent="0.3">
      <c r="C3897" s="35">
        <f t="shared" si="61"/>
        <v>0</v>
      </c>
      <c r="D3897" s="30" t="str">
        <f>IFERROR(VLOOKUP(C3897,소속부서!$A$2:$B$20,2,FALSE), "")</f>
        <v/>
      </c>
    </row>
    <row r="3898" spans="3:4" x14ac:dyDescent="0.3">
      <c r="C3898" s="35">
        <f t="shared" si="61"/>
        <v>0</v>
      </c>
      <c r="D3898" s="30" t="str">
        <f>IFERROR(VLOOKUP(C3898,소속부서!$A$2:$B$20,2,FALSE), "")</f>
        <v/>
      </c>
    </row>
    <row r="3899" spans="3:4" x14ac:dyDescent="0.3">
      <c r="C3899" s="35">
        <f t="shared" si="61"/>
        <v>0</v>
      </c>
      <c r="D3899" s="30" t="str">
        <f>IFERROR(VLOOKUP(C3899,소속부서!$A$2:$B$20,2,FALSE), "")</f>
        <v/>
      </c>
    </row>
    <row r="3900" spans="3:4" x14ac:dyDescent="0.3">
      <c r="C3900" s="35">
        <f t="shared" si="61"/>
        <v>0</v>
      </c>
      <c r="D3900" s="30" t="str">
        <f>IFERROR(VLOOKUP(C3900,소속부서!$A$2:$B$20,2,FALSE), "")</f>
        <v/>
      </c>
    </row>
    <row r="3901" spans="3:4" x14ac:dyDescent="0.3">
      <c r="C3901" s="35">
        <f t="shared" si="61"/>
        <v>0</v>
      </c>
      <c r="D3901" s="30" t="str">
        <f>IFERROR(VLOOKUP(C3901,소속부서!$A$2:$B$20,2,FALSE), "")</f>
        <v/>
      </c>
    </row>
    <row r="3902" spans="3:4" x14ac:dyDescent="0.3">
      <c r="C3902" s="35">
        <f t="shared" si="61"/>
        <v>0</v>
      </c>
      <c r="D3902" s="30" t="str">
        <f>IFERROR(VLOOKUP(C3902,소속부서!$A$2:$B$20,2,FALSE), "")</f>
        <v/>
      </c>
    </row>
    <row r="3903" spans="3:4" x14ac:dyDescent="0.3">
      <c r="C3903" s="35">
        <f t="shared" si="61"/>
        <v>0</v>
      </c>
      <c r="D3903" s="30" t="str">
        <f>IFERROR(VLOOKUP(C3903,소속부서!$A$2:$B$20,2,FALSE), "")</f>
        <v/>
      </c>
    </row>
    <row r="3904" spans="3:4" x14ac:dyDescent="0.3">
      <c r="C3904" s="35">
        <f t="shared" si="61"/>
        <v>0</v>
      </c>
      <c r="D3904" s="30" t="str">
        <f>IFERROR(VLOOKUP(C3904,소속부서!$A$2:$B$20,2,FALSE), "")</f>
        <v/>
      </c>
    </row>
    <row r="3905" spans="3:4" x14ac:dyDescent="0.3">
      <c r="C3905" s="35">
        <f t="shared" si="61"/>
        <v>0</v>
      </c>
      <c r="D3905" s="30" t="str">
        <f>IFERROR(VLOOKUP(C3905,소속부서!$A$2:$B$20,2,FALSE), "")</f>
        <v/>
      </c>
    </row>
    <row r="3906" spans="3:4" x14ac:dyDescent="0.3">
      <c r="C3906" s="35">
        <f t="shared" si="61"/>
        <v>0</v>
      </c>
      <c r="D3906" s="30" t="str">
        <f>IFERROR(VLOOKUP(C3906,소속부서!$A$2:$B$20,2,FALSE), "")</f>
        <v/>
      </c>
    </row>
    <row r="3907" spans="3:4" x14ac:dyDescent="0.3">
      <c r="C3907" s="35">
        <f t="shared" si="61"/>
        <v>0</v>
      </c>
      <c r="D3907" s="30" t="str">
        <f>IFERROR(VLOOKUP(C3907,소속부서!$A$2:$B$20,2,FALSE), "")</f>
        <v/>
      </c>
    </row>
    <row r="3908" spans="3:4" x14ac:dyDescent="0.3">
      <c r="C3908" s="35">
        <f t="shared" ref="C3908:C3971" si="62">E3908</f>
        <v>0</v>
      </c>
      <c r="D3908" s="30" t="str">
        <f>IFERROR(VLOOKUP(C3908,소속부서!$A$2:$B$20,2,FALSE), "")</f>
        <v/>
      </c>
    </row>
    <row r="3909" spans="3:4" x14ac:dyDescent="0.3">
      <c r="C3909" s="35">
        <f t="shared" si="62"/>
        <v>0</v>
      </c>
      <c r="D3909" s="30" t="str">
        <f>IFERROR(VLOOKUP(C3909,소속부서!$A$2:$B$20,2,FALSE), "")</f>
        <v/>
      </c>
    </row>
    <row r="3910" spans="3:4" x14ac:dyDescent="0.3">
      <c r="C3910" s="35">
        <f t="shared" si="62"/>
        <v>0</v>
      </c>
      <c r="D3910" s="30" t="str">
        <f>IFERROR(VLOOKUP(C3910,소속부서!$A$2:$B$20,2,FALSE), "")</f>
        <v/>
      </c>
    </row>
    <row r="3911" spans="3:4" x14ac:dyDescent="0.3">
      <c r="C3911" s="35">
        <f t="shared" si="62"/>
        <v>0</v>
      </c>
      <c r="D3911" s="30" t="str">
        <f>IFERROR(VLOOKUP(C3911,소속부서!$A$2:$B$20,2,FALSE), "")</f>
        <v/>
      </c>
    </row>
    <row r="3912" spans="3:4" x14ac:dyDescent="0.3">
      <c r="C3912" s="35">
        <f t="shared" si="62"/>
        <v>0</v>
      </c>
      <c r="D3912" s="30" t="str">
        <f>IFERROR(VLOOKUP(C3912,소속부서!$A$2:$B$20,2,FALSE), "")</f>
        <v/>
      </c>
    </row>
    <row r="3913" spans="3:4" x14ac:dyDescent="0.3">
      <c r="C3913" s="35">
        <f t="shared" si="62"/>
        <v>0</v>
      </c>
      <c r="D3913" s="30" t="str">
        <f>IFERROR(VLOOKUP(C3913,소속부서!$A$2:$B$20,2,FALSE), "")</f>
        <v/>
      </c>
    </row>
    <row r="3914" spans="3:4" x14ac:dyDescent="0.3">
      <c r="C3914" s="35">
        <f t="shared" si="62"/>
        <v>0</v>
      </c>
      <c r="D3914" s="30" t="str">
        <f>IFERROR(VLOOKUP(C3914,소속부서!$A$2:$B$20,2,FALSE), "")</f>
        <v/>
      </c>
    </row>
    <row r="3915" spans="3:4" x14ac:dyDescent="0.3">
      <c r="C3915" s="35">
        <f t="shared" si="62"/>
        <v>0</v>
      </c>
      <c r="D3915" s="30" t="str">
        <f>IFERROR(VLOOKUP(C3915,소속부서!$A$2:$B$20,2,FALSE), "")</f>
        <v/>
      </c>
    </row>
    <row r="3916" spans="3:4" x14ac:dyDescent="0.3">
      <c r="C3916" s="35">
        <f t="shared" si="62"/>
        <v>0</v>
      </c>
      <c r="D3916" s="30" t="str">
        <f>IFERROR(VLOOKUP(C3916,소속부서!$A$2:$B$20,2,FALSE), "")</f>
        <v/>
      </c>
    </row>
    <row r="3917" spans="3:4" x14ac:dyDescent="0.3">
      <c r="C3917" s="35">
        <f t="shared" si="62"/>
        <v>0</v>
      </c>
      <c r="D3917" s="30" t="str">
        <f>IFERROR(VLOOKUP(C3917,소속부서!$A$2:$B$20,2,FALSE), "")</f>
        <v/>
      </c>
    </row>
    <row r="3918" spans="3:4" x14ac:dyDescent="0.3">
      <c r="C3918" s="35">
        <f t="shared" si="62"/>
        <v>0</v>
      </c>
      <c r="D3918" s="30" t="str">
        <f>IFERROR(VLOOKUP(C3918,소속부서!$A$2:$B$20,2,FALSE), "")</f>
        <v/>
      </c>
    </row>
    <row r="3919" spans="3:4" x14ac:dyDescent="0.3">
      <c r="C3919" s="35">
        <f t="shared" si="62"/>
        <v>0</v>
      </c>
      <c r="D3919" s="30" t="str">
        <f>IFERROR(VLOOKUP(C3919,소속부서!$A$2:$B$20,2,FALSE), "")</f>
        <v/>
      </c>
    </row>
    <row r="3920" spans="3:4" x14ac:dyDescent="0.3">
      <c r="C3920" s="35">
        <f t="shared" si="62"/>
        <v>0</v>
      </c>
      <c r="D3920" s="30" t="str">
        <f>IFERROR(VLOOKUP(C3920,소속부서!$A$2:$B$20,2,FALSE), "")</f>
        <v/>
      </c>
    </row>
    <row r="3921" spans="3:4" x14ac:dyDescent="0.3">
      <c r="C3921" s="35">
        <f t="shared" si="62"/>
        <v>0</v>
      </c>
      <c r="D3921" s="30" t="str">
        <f>IFERROR(VLOOKUP(C3921,소속부서!$A$2:$B$20,2,FALSE), "")</f>
        <v/>
      </c>
    </row>
    <row r="3922" spans="3:4" x14ac:dyDescent="0.3">
      <c r="C3922" s="35">
        <f t="shared" si="62"/>
        <v>0</v>
      </c>
      <c r="D3922" s="30" t="str">
        <f>IFERROR(VLOOKUP(C3922,소속부서!$A$2:$B$20,2,FALSE), "")</f>
        <v/>
      </c>
    </row>
    <row r="3923" spans="3:4" x14ac:dyDescent="0.3">
      <c r="C3923" s="35">
        <f t="shared" si="62"/>
        <v>0</v>
      </c>
      <c r="D3923" s="30" t="str">
        <f>IFERROR(VLOOKUP(C3923,소속부서!$A$2:$B$20,2,FALSE), "")</f>
        <v/>
      </c>
    </row>
    <row r="3924" spans="3:4" x14ac:dyDescent="0.3">
      <c r="C3924" s="35">
        <f t="shared" si="62"/>
        <v>0</v>
      </c>
      <c r="D3924" s="30" t="str">
        <f>IFERROR(VLOOKUP(C3924,소속부서!$A$2:$B$20,2,FALSE), "")</f>
        <v/>
      </c>
    </row>
    <row r="3925" spans="3:4" x14ac:dyDescent="0.3">
      <c r="C3925" s="35">
        <f t="shared" si="62"/>
        <v>0</v>
      </c>
      <c r="D3925" s="30" t="str">
        <f>IFERROR(VLOOKUP(C3925,소속부서!$A$2:$B$20,2,FALSE), "")</f>
        <v/>
      </c>
    </row>
    <row r="3926" spans="3:4" x14ac:dyDescent="0.3">
      <c r="C3926" s="35">
        <f t="shared" si="62"/>
        <v>0</v>
      </c>
      <c r="D3926" s="30" t="str">
        <f>IFERROR(VLOOKUP(C3926,소속부서!$A$2:$B$20,2,FALSE), "")</f>
        <v/>
      </c>
    </row>
    <row r="3927" spans="3:4" x14ac:dyDescent="0.3">
      <c r="C3927" s="35">
        <f t="shared" si="62"/>
        <v>0</v>
      </c>
      <c r="D3927" s="30" t="str">
        <f>IFERROR(VLOOKUP(C3927,소속부서!$A$2:$B$20,2,FALSE), "")</f>
        <v/>
      </c>
    </row>
    <row r="3928" spans="3:4" x14ac:dyDescent="0.3">
      <c r="C3928" s="35">
        <f t="shared" si="62"/>
        <v>0</v>
      </c>
      <c r="D3928" s="30" t="str">
        <f>IFERROR(VLOOKUP(C3928,소속부서!$A$2:$B$20,2,FALSE), "")</f>
        <v/>
      </c>
    </row>
    <row r="3929" spans="3:4" x14ac:dyDescent="0.3">
      <c r="C3929" s="35">
        <f t="shared" si="62"/>
        <v>0</v>
      </c>
      <c r="D3929" s="30" t="str">
        <f>IFERROR(VLOOKUP(C3929,소속부서!$A$2:$B$20,2,FALSE), "")</f>
        <v/>
      </c>
    </row>
    <row r="3930" spans="3:4" x14ac:dyDescent="0.3">
      <c r="C3930" s="35">
        <f t="shared" si="62"/>
        <v>0</v>
      </c>
      <c r="D3930" s="30" t="str">
        <f>IFERROR(VLOOKUP(C3930,소속부서!$A$2:$B$20,2,FALSE), "")</f>
        <v/>
      </c>
    </row>
    <row r="3931" spans="3:4" x14ac:dyDescent="0.3">
      <c r="C3931" s="35">
        <f t="shared" si="62"/>
        <v>0</v>
      </c>
      <c r="D3931" s="30" t="str">
        <f>IFERROR(VLOOKUP(C3931,소속부서!$A$2:$B$20,2,FALSE), "")</f>
        <v/>
      </c>
    </row>
    <row r="3932" spans="3:4" x14ac:dyDescent="0.3">
      <c r="C3932" s="35">
        <f t="shared" si="62"/>
        <v>0</v>
      </c>
      <c r="D3932" s="30" t="str">
        <f>IFERROR(VLOOKUP(C3932,소속부서!$A$2:$B$20,2,FALSE), "")</f>
        <v/>
      </c>
    </row>
    <row r="3933" spans="3:4" x14ac:dyDescent="0.3">
      <c r="C3933" s="35">
        <f t="shared" si="62"/>
        <v>0</v>
      </c>
      <c r="D3933" s="30" t="str">
        <f>IFERROR(VLOOKUP(C3933,소속부서!$A$2:$B$20,2,FALSE), "")</f>
        <v/>
      </c>
    </row>
    <row r="3934" spans="3:4" x14ac:dyDescent="0.3">
      <c r="C3934" s="35">
        <f t="shared" si="62"/>
        <v>0</v>
      </c>
      <c r="D3934" s="30" t="str">
        <f>IFERROR(VLOOKUP(C3934,소속부서!$A$2:$B$20,2,FALSE), "")</f>
        <v/>
      </c>
    </row>
    <row r="3935" spans="3:4" x14ac:dyDescent="0.3">
      <c r="C3935" s="35">
        <f t="shared" si="62"/>
        <v>0</v>
      </c>
      <c r="D3935" s="30" t="str">
        <f>IFERROR(VLOOKUP(C3935,소속부서!$A$2:$B$20,2,FALSE), "")</f>
        <v/>
      </c>
    </row>
    <row r="3936" spans="3:4" x14ac:dyDescent="0.3">
      <c r="C3936" s="35">
        <f t="shared" si="62"/>
        <v>0</v>
      </c>
      <c r="D3936" s="30" t="str">
        <f>IFERROR(VLOOKUP(C3936,소속부서!$A$2:$B$20,2,FALSE), "")</f>
        <v/>
      </c>
    </row>
    <row r="3937" spans="3:4" x14ac:dyDescent="0.3">
      <c r="C3937" s="35">
        <f t="shared" si="62"/>
        <v>0</v>
      </c>
      <c r="D3937" s="30" t="str">
        <f>IFERROR(VLOOKUP(C3937,소속부서!$A$2:$B$20,2,FALSE), "")</f>
        <v/>
      </c>
    </row>
    <row r="3938" spans="3:4" x14ac:dyDescent="0.3">
      <c r="C3938" s="35">
        <f t="shared" si="62"/>
        <v>0</v>
      </c>
      <c r="D3938" s="30" t="str">
        <f>IFERROR(VLOOKUP(C3938,소속부서!$A$2:$B$20,2,FALSE), "")</f>
        <v/>
      </c>
    </row>
    <row r="3939" spans="3:4" x14ac:dyDescent="0.3">
      <c r="C3939" s="35">
        <f t="shared" si="62"/>
        <v>0</v>
      </c>
      <c r="D3939" s="30" t="str">
        <f>IFERROR(VLOOKUP(C3939,소속부서!$A$2:$B$20,2,FALSE), "")</f>
        <v/>
      </c>
    </row>
    <row r="3940" spans="3:4" x14ac:dyDescent="0.3">
      <c r="C3940" s="35">
        <f t="shared" si="62"/>
        <v>0</v>
      </c>
      <c r="D3940" s="30" t="str">
        <f>IFERROR(VLOOKUP(C3940,소속부서!$A$2:$B$20,2,FALSE), "")</f>
        <v/>
      </c>
    </row>
    <row r="3941" spans="3:4" x14ac:dyDescent="0.3">
      <c r="C3941" s="35">
        <f t="shared" si="62"/>
        <v>0</v>
      </c>
      <c r="D3941" s="30" t="str">
        <f>IFERROR(VLOOKUP(C3941,소속부서!$A$2:$B$20,2,FALSE), "")</f>
        <v/>
      </c>
    </row>
    <row r="3942" spans="3:4" x14ac:dyDescent="0.3">
      <c r="C3942" s="35">
        <f t="shared" si="62"/>
        <v>0</v>
      </c>
      <c r="D3942" s="30" t="str">
        <f>IFERROR(VLOOKUP(C3942,소속부서!$A$2:$B$20,2,FALSE), "")</f>
        <v/>
      </c>
    </row>
    <row r="3943" spans="3:4" x14ac:dyDescent="0.3">
      <c r="C3943" s="35">
        <f t="shared" si="62"/>
        <v>0</v>
      </c>
      <c r="D3943" s="30" t="str">
        <f>IFERROR(VLOOKUP(C3943,소속부서!$A$2:$B$20,2,FALSE), "")</f>
        <v/>
      </c>
    </row>
    <row r="3944" spans="3:4" x14ac:dyDescent="0.3">
      <c r="C3944" s="35">
        <f t="shared" si="62"/>
        <v>0</v>
      </c>
      <c r="D3944" s="30" t="str">
        <f>IFERROR(VLOOKUP(C3944,소속부서!$A$2:$B$20,2,FALSE), "")</f>
        <v/>
      </c>
    </row>
    <row r="3945" spans="3:4" x14ac:dyDescent="0.3">
      <c r="C3945" s="35">
        <f t="shared" si="62"/>
        <v>0</v>
      </c>
      <c r="D3945" s="30" t="str">
        <f>IFERROR(VLOOKUP(C3945,소속부서!$A$2:$B$20,2,FALSE), "")</f>
        <v/>
      </c>
    </row>
    <row r="3946" spans="3:4" x14ac:dyDescent="0.3">
      <c r="C3946" s="35">
        <f t="shared" si="62"/>
        <v>0</v>
      </c>
      <c r="D3946" s="30" t="str">
        <f>IFERROR(VLOOKUP(C3946,소속부서!$A$2:$B$20,2,FALSE), "")</f>
        <v/>
      </c>
    </row>
    <row r="3947" spans="3:4" x14ac:dyDescent="0.3">
      <c r="C3947" s="35">
        <f t="shared" si="62"/>
        <v>0</v>
      </c>
      <c r="D3947" s="30" t="str">
        <f>IFERROR(VLOOKUP(C3947,소속부서!$A$2:$B$20,2,FALSE), "")</f>
        <v/>
      </c>
    </row>
    <row r="3948" spans="3:4" x14ac:dyDescent="0.3">
      <c r="C3948" s="35">
        <f t="shared" si="62"/>
        <v>0</v>
      </c>
      <c r="D3948" s="30" t="str">
        <f>IFERROR(VLOOKUP(C3948,소속부서!$A$2:$B$20,2,FALSE), "")</f>
        <v/>
      </c>
    </row>
    <row r="3949" spans="3:4" x14ac:dyDescent="0.3">
      <c r="C3949" s="35">
        <f t="shared" si="62"/>
        <v>0</v>
      </c>
      <c r="D3949" s="30" t="str">
        <f>IFERROR(VLOOKUP(C3949,소속부서!$A$2:$B$20,2,FALSE), "")</f>
        <v/>
      </c>
    </row>
    <row r="3950" spans="3:4" x14ac:dyDescent="0.3">
      <c r="C3950" s="35">
        <f t="shared" si="62"/>
        <v>0</v>
      </c>
      <c r="D3950" s="30" t="str">
        <f>IFERROR(VLOOKUP(C3950,소속부서!$A$2:$B$20,2,FALSE), "")</f>
        <v/>
      </c>
    </row>
    <row r="3951" spans="3:4" x14ac:dyDescent="0.3">
      <c r="C3951" s="35">
        <f t="shared" si="62"/>
        <v>0</v>
      </c>
      <c r="D3951" s="30" t="str">
        <f>IFERROR(VLOOKUP(C3951,소속부서!$A$2:$B$20,2,FALSE), "")</f>
        <v/>
      </c>
    </row>
    <row r="3952" spans="3:4" x14ac:dyDescent="0.3">
      <c r="C3952" s="35">
        <f t="shared" si="62"/>
        <v>0</v>
      </c>
      <c r="D3952" s="30" t="str">
        <f>IFERROR(VLOOKUP(C3952,소속부서!$A$2:$B$20,2,FALSE), "")</f>
        <v/>
      </c>
    </row>
    <row r="3953" spans="3:4" x14ac:dyDescent="0.3">
      <c r="C3953" s="35">
        <f t="shared" si="62"/>
        <v>0</v>
      </c>
      <c r="D3953" s="30" t="str">
        <f>IFERROR(VLOOKUP(C3953,소속부서!$A$2:$B$20,2,FALSE), "")</f>
        <v/>
      </c>
    </row>
    <row r="3954" spans="3:4" x14ac:dyDescent="0.3">
      <c r="C3954" s="35">
        <f t="shared" si="62"/>
        <v>0</v>
      </c>
      <c r="D3954" s="30" t="str">
        <f>IFERROR(VLOOKUP(C3954,소속부서!$A$2:$B$20,2,FALSE), "")</f>
        <v/>
      </c>
    </row>
    <row r="3955" spans="3:4" x14ac:dyDescent="0.3">
      <c r="C3955" s="35">
        <f t="shared" si="62"/>
        <v>0</v>
      </c>
      <c r="D3955" s="30" t="str">
        <f>IFERROR(VLOOKUP(C3955,소속부서!$A$2:$B$20,2,FALSE), "")</f>
        <v/>
      </c>
    </row>
    <row r="3956" spans="3:4" x14ac:dyDescent="0.3">
      <c r="C3956" s="35">
        <f t="shared" si="62"/>
        <v>0</v>
      </c>
      <c r="D3956" s="30" t="str">
        <f>IFERROR(VLOOKUP(C3956,소속부서!$A$2:$B$20,2,FALSE), "")</f>
        <v/>
      </c>
    </row>
    <row r="3957" spans="3:4" x14ac:dyDescent="0.3">
      <c r="C3957" s="35">
        <f t="shared" si="62"/>
        <v>0</v>
      </c>
      <c r="D3957" s="30" t="str">
        <f>IFERROR(VLOOKUP(C3957,소속부서!$A$2:$B$20,2,FALSE), "")</f>
        <v/>
      </c>
    </row>
    <row r="3958" spans="3:4" x14ac:dyDescent="0.3">
      <c r="C3958" s="35">
        <f t="shared" si="62"/>
        <v>0</v>
      </c>
      <c r="D3958" s="30" t="str">
        <f>IFERROR(VLOOKUP(C3958,소속부서!$A$2:$B$20,2,FALSE), "")</f>
        <v/>
      </c>
    </row>
    <row r="3959" spans="3:4" x14ac:dyDescent="0.3">
      <c r="C3959" s="35">
        <f t="shared" si="62"/>
        <v>0</v>
      </c>
      <c r="D3959" s="30" t="str">
        <f>IFERROR(VLOOKUP(C3959,소속부서!$A$2:$B$20,2,FALSE), "")</f>
        <v/>
      </c>
    </row>
    <row r="3960" spans="3:4" x14ac:dyDescent="0.3">
      <c r="C3960" s="35">
        <f t="shared" si="62"/>
        <v>0</v>
      </c>
      <c r="D3960" s="30" t="str">
        <f>IFERROR(VLOOKUP(C3960,소속부서!$A$2:$B$20,2,FALSE), "")</f>
        <v/>
      </c>
    </row>
    <row r="3961" spans="3:4" x14ac:dyDescent="0.3">
      <c r="C3961" s="35">
        <f t="shared" si="62"/>
        <v>0</v>
      </c>
      <c r="D3961" s="30" t="str">
        <f>IFERROR(VLOOKUP(C3961,소속부서!$A$2:$B$20,2,FALSE), "")</f>
        <v/>
      </c>
    </row>
    <row r="3962" spans="3:4" x14ac:dyDescent="0.3">
      <c r="C3962" s="35">
        <f t="shared" si="62"/>
        <v>0</v>
      </c>
      <c r="D3962" s="30" t="str">
        <f>IFERROR(VLOOKUP(C3962,소속부서!$A$2:$B$20,2,FALSE), "")</f>
        <v/>
      </c>
    </row>
    <row r="3963" spans="3:4" x14ac:dyDescent="0.3">
      <c r="C3963" s="35">
        <f t="shared" si="62"/>
        <v>0</v>
      </c>
      <c r="D3963" s="30" t="str">
        <f>IFERROR(VLOOKUP(C3963,소속부서!$A$2:$B$20,2,FALSE), "")</f>
        <v/>
      </c>
    </row>
    <row r="3964" spans="3:4" x14ac:dyDescent="0.3">
      <c r="C3964" s="35">
        <f t="shared" si="62"/>
        <v>0</v>
      </c>
      <c r="D3964" s="30" t="str">
        <f>IFERROR(VLOOKUP(C3964,소속부서!$A$2:$B$20,2,FALSE), "")</f>
        <v/>
      </c>
    </row>
    <row r="3965" spans="3:4" x14ac:dyDescent="0.3">
      <c r="C3965" s="35">
        <f t="shared" si="62"/>
        <v>0</v>
      </c>
      <c r="D3965" s="30" t="str">
        <f>IFERROR(VLOOKUP(C3965,소속부서!$A$2:$B$20,2,FALSE), "")</f>
        <v/>
      </c>
    </row>
    <row r="3966" spans="3:4" x14ac:dyDescent="0.3">
      <c r="C3966" s="35">
        <f t="shared" si="62"/>
        <v>0</v>
      </c>
      <c r="D3966" s="30" t="str">
        <f>IFERROR(VLOOKUP(C3966,소속부서!$A$2:$B$20,2,FALSE), "")</f>
        <v/>
      </c>
    </row>
    <row r="3967" spans="3:4" x14ac:dyDescent="0.3">
      <c r="C3967" s="35">
        <f t="shared" si="62"/>
        <v>0</v>
      </c>
      <c r="D3967" s="30" t="str">
        <f>IFERROR(VLOOKUP(C3967,소속부서!$A$2:$B$20,2,FALSE), "")</f>
        <v/>
      </c>
    </row>
    <row r="3968" spans="3:4" x14ac:dyDescent="0.3">
      <c r="C3968" s="35">
        <f t="shared" si="62"/>
        <v>0</v>
      </c>
      <c r="D3968" s="30" t="str">
        <f>IFERROR(VLOOKUP(C3968,소속부서!$A$2:$B$20,2,FALSE), "")</f>
        <v/>
      </c>
    </row>
    <row r="3969" spans="3:4" x14ac:dyDescent="0.3">
      <c r="C3969" s="35">
        <f t="shared" si="62"/>
        <v>0</v>
      </c>
      <c r="D3969" s="30" t="str">
        <f>IFERROR(VLOOKUP(C3969,소속부서!$A$2:$B$20,2,FALSE), "")</f>
        <v/>
      </c>
    </row>
    <row r="3970" spans="3:4" x14ac:dyDescent="0.3">
      <c r="C3970" s="35">
        <f t="shared" si="62"/>
        <v>0</v>
      </c>
      <c r="D3970" s="30" t="str">
        <f>IFERROR(VLOOKUP(C3970,소속부서!$A$2:$B$20,2,FALSE), "")</f>
        <v/>
      </c>
    </row>
    <row r="3971" spans="3:4" x14ac:dyDescent="0.3">
      <c r="C3971" s="35">
        <f t="shared" si="62"/>
        <v>0</v>
      </c>
      <c r="D3971" s="30" t="str">
        <f>IFERROR(VLOOKUP(C3971,소속부서!$A$2:$B$20,2,FALSE), "")</f>
        <v/>
      </c>
    </row>
    <row r="3972" spans="3:4" x14ac:dyDescent="0.3">
      <c r="C3972" s="35">
        <f t="shared" ref="C3972:C4035" si="63">E3972</f>
        <v>0</v>
      </c>
      <c r="D3972" s="30" t="str">
        <f>IFERROR(VLOOKUP(C3972,소속부서!$A$2:$B$20,2,FALSE), "")</f>
        <v/>
      </c>
    </row>
    <row r="3973" spans="3:4" x14ac:dyDescent="0.3">
      <c r="C3973" s="35">
        <f t="shared" si="63"/>
        <v>0</v>
      </c>
      <c r="D3973" s="30" t="str">
        <f>IFERROR(VLOOKUP(C3973,소속부서!$A$2:$B$20,2,FALSE), "")</f>
        <v/>
      </c>
    </row>
    <row r="3974" spans="3:4" x14ac:dyDescent="0.3">
      <c r="C3974" s="35">
        <f t="shared" si="63"/>
        <v>0</v>
      </c>
      <c r="D3974" s="30" t="str">
        <f>IFERROR(VLOOKUP(C3974,소속부서!$A$2:$B$20,2,FALSE), "")</f>
        <v/>
      </c>
    </row>
    <row r="3975" spans="3:4" x14ac:dyDescent="0.3">
      <c r="C3975" s="35">
        <f t="shared" si="63"/>
        <v>0</v>
      </c>
      <c r="D3975" s="30" t="str">
        <f>IFERROR(VLOOKUP(C3975,소속부서!$A$2:$B$20,2,FALSE), "")</f>
        <v/>
      </c>
    </row>
    <row r="3976" spans="3:4" x14ac:dyDescent="0.3">
      <c r="C3976" s="35">
        <f t="shared" si="63"/>
        <v>0</v>
      </c>
      <c r="D3976" s="30" t="str">
        <f>IFERROR(VLOOKUP(C3976,소속부서!$A$2:$B$20,2,FALSE), "")</f>
        <v/>
      </c>
    </row>
    <row r="3977" spans="3:4" x14ac:dyDescent="0.3">
      <c r="C3977" s="35">
        <f t="shared" si="63"/>
        <v>0</v>
      </c>
      <c r="D3977" s="30" t="str">
        <f>IFERROR(VLOOKUP(C3977,소속부서!$A$2:$B$20,2,FALSE), "")</f>
        <v/>
      </c>
    </row>
    <row r="3978" spans="3:4" x14ac:dyDescent="0.3">
      <c r="C3978" s="35">
        <f t="shared" si="63"/>
        <v>0</v>
      </c>
      <c r="D3978" s="30" t="str">
        <f>IFERROR(VLOOKUP(C3978,소속부서!$A$2:$B$20,2,FALSE), "")</f>
        <v/>
      </c>
    </row>
    <row r="3979" spans="3:4" x14ac:dyDescent="0.3">
      <c r="C3979" s="35">
        <f t="shared" si="63"/>
        <v>0</v>
      </c>
      <c r="D3979" s="30" t="str">
        <f>IFERROR(VLOOKUP(C3979,소속부서!$A$2:$B$20,2,FALSE), "")</f>
        <v/>
      </c>
    </row>
    <row r="3980" spans="3:4" x14ac:dyDescent="0.3">
      <c r="C3980" s="35">
        <f t="shared" si="63"/>
        <v>0</v>
      </c>
      <c r="D3980" s="30" t="str">
        <f>IFERROR(VLOOKUP(C3980,소속부서!$A$2:$B$20,2,FALSE), "")</f>
        <v/>
      </c>
    </row>
    <row r="3981" spans="3:4" x14ac:dyDescent="0.3">
      <c r="C3981" s="35">
        <f t="shared" si="63"/>
        <v>0</v>
      </c>
      <c r="D3981" s="30" t="str">
        <f>IFERROR(VLOOKUP(C3981,소속부서!$A$2:$B$20,2,FALSE), "")</f>
        <v/>
      </c>
    </row>
    <row r="3982" spans="3:4" x14ac:dyDescent="0.3">
      <c r="C3982" s="35">
        <f t="shared" si="63"/>
        <v>0</v>
      </c>
      <c r="D3982" s="30" t="str">
        <f>IFERROR(VLOOKUP(C3982,소속부서!$A$2:$B$20,2,FALSE), "")</f>
        <v/>
      </c>
    </row>
    <row r="3983" spans="3:4" x14ac:dyDescent="0.3">
      <c r="C3983" s="35">
        <f t="shared" si="63"/>
        <v>0</v>
      </c>
      <c r="D3983" s="30" t="str">
        <f>IFERROR(VLOOKUP(C3983,소속부서!$A$2:$B$20,2,FALSE), "")</f>
        <v/>
      </c>
    </row>
    <row r="3984" spans="3:4" x14ac:dyDescent="0.3">
      <c r="C3984" s="35">
        <f t="shared" si="63"/>
        <v>0</v>
      </c>
      <c r="D3984" s="30" t="str">
        <f>IFERROR(VLOOKUP(C3984,소속부서!$A$2:$B$20,2,FALSE), "")</f>
        <v/>
      </c>
    </row>
    <row r="3985" spans="3:4" x14ac:dyDescent="0.3">
      <c r="C3985" s="35">
        <f t="shared" si="63"/>
        <v>0</v>
      </c>
      <c r="D3985" s="30" t="str">
        <f>IFERROR(VLOOKUP(C3985,소속부서!$A$2:$B$20,2,FALSE), "")</f>
        <v/>
      </c>
    </row>
    <row r="3986" spans="3:4" x14ac:dyDescent="0.3">
      <c r="C3986" s="35">
        <f t="shared" si="63"/>
        <v>0</v>
      </c>
      <c r="D3986" s="30" t="str">
        <f>IFERROR(VLOOKUP(C3986,소속부서!$A$2:$B$20,2,FALSE), "")</f>
        <v/>
      </c>
    </row>
    <row r="3987" spans="3:4" x14ac:dyDescent="0.3">
      <c r="C3987" s="35">
        <f t="shared" si="63"/>
        <v>0</v>
      </c>
      <c r="D3987" s="30" t="str">
        <f>IFERROR(VLOOKUP(C3987,소속부서!$A$2:$B$20,2,FALSE), "")</f>
        <v/>
      </c>
    </row>
    <row r="3988" spans="3:4" x14ac:dyDescent="0.3">
      <c r="C3988" s="35">
        <f t="shared" si="63"/>
        <v>0</v>
      </c>
      <c r="D3988" s="30" t="str">
        <f>IFERROR(VLOOKUP(C3988,소속부서!$A$2:$B$20,2,FALSE), "")</f>
        <v/>
      </c>
    </row>
    <row r="3989" spans="3:4" x14ac:dyDescent="0.3">
      <c r="C3989" s="35">
        <f t="shared" si="63"/>
        <v>0</v>
      </c>
      <c r="D3989" s="30" t="str">
        <f>IFERROR(VLOOKUP(C3989,소속부서!$A$2:$B$20,2,FALSE), "")</f>
        <v/>
      </c>
    </row>
    <row r="3990" spans="3:4" x14ac:dyDescent="0.3">
      <c r="C3990" s="35">
        <f t="shared" si="63"/>
        <v>0</v>
      </c>
      <c r="D3990" s="30" t="str">
        <f>IFERROR(VLOOKUP(C3990,소속부서!$A$2:$B$20,2,FALSE), "")</f>
        <v/>
      </c>
    </row>
    <row r="3991" spans="3:4" x14ac:dyDescent="0.3">
      <c r="C3991" s="35">
        <f t="shared" si="63"/>
        <v>0</v>
      </c>
      <c r="D3991" s="30" t="str">
        <f>IFERROR(VLOOKUP(C3991,소속부서!$A$2:$B$20,2,FALSE), "")</f>
        <v/>
      </c>
    </row>
    <row r="3992" spans="3:4" x14ac:dyDescent="0.3">
      <c r="C3992" s="35">
        <f t="shared" si="63"/>
        <v>0</v>
      </c>
      <c r="D3992" s="30" t="str">
        <f>IFERROR(VLOOKUP(C3992,소속부서!$A$2:$B$20,2,FALSE), "")</f>
        <v/>
      </c>
    </row>
    <row r="3993" spans="3:4" x14ac:dyDescent="0.3">
      <c r="C3993" s="35">
        <f t="shared" si="63"/>
        <v>0</v>
      </c>
      <c r="D3993" s="30" t="str">
        <f>IFERROR(VLOOKUP(C3993,소속부서!$A$2:$B$20,2,FALSE), "")</f>
        <v/>
      </c>
    </row>
    <row r="3994" spans="3:4" x14ac:dyDescent="0.3">
      <c r="C3994" s="35">
        <f t="shared" si="63"/>
        <v>0</v>
      </c>
      <c r="D3994" s="30" t="str">
        <f>IFERROR(VLOOKUP(C3994,소속부서!$A$2:$B$20,2,FALSE), "")</f>
        <v/>
      </c>
    </row>
    <row r="3995" spans="3:4" x14ac:dyDescent="0.3">
      <c r="C3995" s="35">
        <f t="shared" si="63"/>
        <v>0</v>
      </c>
      <c r="D3995" s="30" t="str">
        <f>IFERROR(VLOOKUP(C3995,소속부서!$A$2:$B$20,2,FALSE), "")</f>
        <v/>
      </c>
    </row>
    <row r="3996" spans="3:4" x14ac:dyDescent="0.3">
      <c r="C3996" s="35">
        <f t="shared" si="63"/>
        <v>0</v>
      </c>
      <c r="D3996" s="30" t="str">
        <f>IFERROR(VLOOKUP(C3996,소속부서!$A$2:$B$20,2,FALSE), "")</f>
        <v/>
      </c>
    </row>
    <row r="3997" spans="3:4" x14ac:dyDescent="0.3">
      <c r="C3997" s="35">
        <f t="shared" si="63"/>
        <v>0</v>
      </c>
      <c r="D3997" s="30" t="str">
        <f>IFERROR(VLOOKUP(C3997,소속부서!$A$2:$B$20,2,FALSE), "")</f>
        <v/>
      </c>
    </row>
    <row r="3998" spans="3:4" x14ac:dyDescent="0.3">
      <c r="C3998" s="35">
        <f t="shared" si="63"/>
        <v>0</v>
      </c>
      <c r="D3998" s="30" t="str">
        <f>IFERROR(VLOOKUP(C3998,소속부서!$A$2:$B$20,2,FALSE), "")</f>
        <v/>
      </c>
    </row>
    <row r="3999" spans="3:4" x14ac:dyDescent="0.3">
      <c r="C3999" s="35">
        <f t="shared" si="63"/>
        <v>0</v>
      </c>
      <c r="D3999" s="30" t="str">
        <f>IFERROR(VLOOKUP(C3999,소속부서!$A$2:$B$20,2,FALSE), "")</f>
        <v/>
      </c>
    </row>
    <row r="4000" spans="3:4" x14ac:dyDescent="0.3">
      <c r="C4000" s="35">
        <f t="shared" si="63"/>
        <v>0</v>
      </c>
      <c r="D4000" s="30" t="str">
        <f>IFERROR(VLOOKUP(C4000,소속부서!$A$2:$B$20,2,FALSE), "")</f>
        <v/>
      </c>
    </row>
    <row r="4001" spans="3:4" x14ac:dyDescent="0.3">
      <c r="C4001" s="35">
        <f t="shared" si="63"/>
        <v>0</v>
      </c>
      <c r="D4001" s="30" t="str">
        <f>IFERROR(VLOOKUP(C4001,소속부서!$A$2:$B$20,2,FALSE), "")</f>
        <v/>
      </c>
    </row>
    <row r="4002" spans="3:4" x14ac:dyDescent="0.3">
      <c r="C4002" s="35">
        <f t="shared" si="63"/>
        <v>0</v>
      </c>
      <c r="D4002" s="30" t="str">
        <f>IFERROR(VLOOKUP(C4002,소속부서!$A$2:$B$20,2,FALSE), "")</f>
        <v/>
      </c>
    </row>
    <row r="4003" spans="3:4" x14ac:dyDescent="0.3">
      <c r="C4003" s="35">
        <f t="shared" si="63"/>
        <v>0</v>
      </c>
      <c r="D4003" s="30" t="str">
        <f>IFERROR(VLOOKUP(C4003,소속부서!$A$2:$B$20,2,FALSE), "")</f>
        <v/>
      </c>
    </row>
    <row r="4004" spans="3:4" x14ac:dyDescent="0.3">
      <c r="C4004" s="35">
        <f t="shared" si="63"/>
        <v>0</v>
      </c>
      <c r="D4004" s="30" t="str">
        <f>IFERROR(VLOOKUP(C4004,소속부서!$A$2:$B$20,2,FALSE), "")</f>
        <v/>
      </c>
    </row>
    <row r="4005" spans="3:4" x14ac:dyDescent="0.3">
      <c r="C4005" s="35">
        <f t="shared" si="63"/>
        <v>0</v>
      </c>
      <c r="D4005" s="30" t="str">
        <f>IFERROR(VLOOKUP(C4005,소속부서!$A$2:$B$20,2,FALSE), "")</f>
        <v/>
      </c>
    </row>
    <row r="4006" spans="3:4" x14ac:dyDescent="0.3">
      <c r="C4006" s="35">
        <f t="shared" si="63"/>
        <v>0</v>
      </c>
      <c r="D4006" s="30" t="str">
        <f>IFERROR(VLOOKUP(C4006,소속부서!$A$2:$B$20,2,FALSE), "")</f>
        <v/>
      </c>
    </row>
    <row r="4007" spans="3:4" x14ac:dyDescent="0.3">
      <c r="C4007" s="35">
        <f t="shared" si="63"/>
        <v>0</v>
      </c>
      <c r="D4007" s="30" t="str">
        <f>IFERROR(VLOOKUP(C4007,소속부서!$A$2:$B$20,2,FALSE), "")</f>
        <v/>
      </c>
    </row>
    <row r="4008" spans="3:4" x14ac:dyDescent="0.3">
      <c r="C4008" s="35">
        <f t="shared" si="63"/>
        <v>0</v>
      </c>
      <c r="D4008" s="30" t="str">
        <f>IFERROR(VLOOKUP(C4008,소속부서!$A$2:$B$20,2,FALSE), "")</f>
        <v/>
      </c>
    </row>
    <row r="4009" spans="3:4" x14ac:dyDescent="0.3">
      <c r="C4009" s="35">
        <f t="shared" si="63"/>
        <v>0</v>
      </c>
      <c r="D4009" s="30" t="str">
        <f>IFERROR(VLOOKUP(C4009,소속부서!$A$2:$B$20,2,FALSE), "")</f>
        <v/>
      </c>
    </row>
    <row r="4010" spans="3:4" x14ac:dyDescent="0.3">
      <c r="C4010" s="35">
        <f t="shared" si="63"/>
        <v>0</v>
      </c>
      <c r="D4010" s="30" t="str">
        <f>IFERROR(VLOOKUP(C4010,소속부서!$A$2:$B$20,2,FALSE), "")</f>
        <v/>
      </c>
    </row>
    <row r="4011" spans="3:4" x14ac:dyDescent="0.3">
      <c r="C4011" s="35">
        <f t="shared" si="63"/>
        <v>0</v>
      </c>
      <c r="D4011" s="30" t="str">
        <f>IFERROR(VLOOKUP(C4011,소속부서!$A$2:$B$20,2,FALSE), "")</f>
        <v/>
      </c>
    </row>
    <row r="4012" spans="3:4" x14ac:dyDescent="0.3">
      <c r="C4012" s="35">
        <f t="shared" si="63"/>
        <v>0</v>
      </c>
      <c r="D4012" s="30" t="str">
        <f>IFERROR(VLOOKUP(C4012,소속부서!$A$2:$B$20,2,FALSE), "")</f>
        <v/>
      </c>
    </row>
    <row r="4013" spans="3:4" x14ac:dyDescent="0.3">
      <c r="C4013" s="35">
        <f t="shared" si="63"/>
        <v>0</v>
      </c>
      <c r="D4013" s="30" t="str">
        <f>IFERROR(VLOOKUP(C4013,소속부서!$A$2:$B$20,2,FALSE), "")</f>
        <v/>
      </c>
    </row>
    <row r="4014" spans="3:4" x14ac:dyDescent="0.3">
      <c r="C4014" s="35">
        <f t="shared" si="63"/>
        <v>0</v>
      </c>
      <c r="D4014" s="30" t="str">
        <f>IFERROR(VLOOKUP(C4014,소속부서!$A$2:$B$20,2,FALSE), "")</f>
        <v/>
      </c>
    </row>
    <row r="4015" spans="3:4" x14ac:dyDescent="0.3">
      <c r="C4015" s="35">
        <f t="shared" si="63"/>
        <v>0</v>
      </c>
      <c r="D4015" s="30" t="str">
        <f>IFERROR(VLOOKUP(C4015,소속부서!$A$2:$B$20,2,FALSE), "")</f>
        <v/>
      </c>
    </row>
    <row r="4016" spans="3:4" x14ac:dyDescent="0.3">
      <c r="C4016" s="35">
        <f t="shared" si="63"/>
        <v>0</v>
      </c>
      <c r="D4016" s="30" t="str">
        <f>IFERROR(VLOOKUP(C4016,소속부서!$A$2:$B$20,2,FALSE), "")</f>
        <v/>
      </c>
    </row>
    <row r="4017" spans="3:4" x14ac:dyDescent="0.3">
      <c r="C4017" s="35">
        <f t="shared" si="63"/>
        <v>0</v>
      </c>
      <c r="D4017" s="30" t="str">
        <f>IFERROR(VLOOKUP(C4017,소속부서!$A$2:$B$20,2,FALSE), "")</f>
        <v/>
      </c>
    </row>
    <row r="4018" spans="3:4" x14ac:dyDescent="0.3">
      <c r="C4018" s="35">
        <f t="shared" si="63"/>
        <v>0</v>
      </c>
      <c r="D4018" s="30" t="str">
        <f>IFERROR(VLOOKUP(C4018,소속부서!$A$2:$B$20,2,FALSE), "")</f>
        <v/>
      </c>
    </row>
    <row r="4019" spans="3:4" x14ac:dyDescent="0.3">
      <c r="C4019" s="35">
        <f t="shared" si="63"/>
        <v>0</v>
      </c>
      <c r="D4019" s="30" t="str">
        <f>IFERROR(VLOOKUP(C4019,소속부서!$A$2:$B$20,2,FALSE), "")</f>
        <v/>
      </c>
    </row>
    <row r="4020" spans="3:4" x14ac:dyDescent="0.3">
      <c r="C4020" s="35">
        <f t="shared" si="63"/>
        <v>0</v>
      </c>
      <c r="D4020" s="30" t="str">
        <f>IFERROR(VLOOKUP(C4020,소속부서!$A$2:$B$20,2,FALSE), "")</f>
        <v/>
      </c>
    </row>
    <row r="4021" spans="3:4" x14ac:dyDescent="0.3">
      <c r="C4021" s="35">
        <f t="shared" si="63"/>
        <v>0</v>
      </c>
      <c r="D4021" s="30" t="str">
        <f>IFERROR(VLOOKUP(C4021,소속부서!$A$2:$B$20,2,FALSE), "")</f>
        <v/>
      </c>
    </row>
    <row r="4022" spans="3:4" x14ac:dyDescent="0.3">
      <c r="C4022" s="35">
        <f t="shared" si="63"/>
        <v>0</v>
      </c>
      <c r="D4022" s="30" t="str">
        <f>IFERROR(VLOOKUP(C4022,소속부서!$A$2:$B$20,2,FALSE), "")</f>
        <v/>
      </c>
    </row>
    <row r="4023" spans="3:4" x14ac:dyDescent="0.3">
      <c r="C4023" s="35">
        <f t="shared" si="63"/>
        <v>0</v>
      </c>
      <c r="D4023" s="30" t="str">
        <f>IFERROR(VLOOKUP(C4023,소속부서!$A$2:$B$20,2,FALSE), "")</f>
        <v/>
      </c>
    </row>
    <row r="4024" spans="3:4" x14ac:dyDescent="0.3">
      <c r="C4024" s="35">
        <f t="shared" si="63"/>
        <v>0</v>
      </c>
      <c r="D4024" s="30" t="str">
        <f>IFERROR(VLOOKUP(C4024,소속부서!$A$2:$B$20,2,FALSE), "")</f>
        <v/>
      </c>
    </row>
    <row r="4025" spans="3:4" x14ac:dyDescent="0.3">
      <c r="C4025" s="35">
        <f t="shared" si="63"/>
        <v>0</v>
      </c>
      <c r="D4025" s="30" t="str">
        <f>IFERROR(VLOOKUP(C4025,소속부서!$A$2:$B$20,2,FALSE), "")</f>
        <v/>
      </c>
    </row>
    <row r="4026" spans="3:4" x14ac:dyDescent="0.3">
      <c r="C4026" s="35">
        <f t="shared" si="63"/>
        <v>0</v>
      </c>
      <c r="D4026" s="30" t="str">
        <f>IFERROR(VLOOKUP(C4026,소속부서!$A$2:$B$20,2,FALSE), "")</f>
        <v/>
      </c>
    </row>
    <row r="4027" spans="3:4" x14ac:dyDescent="0.3">
      <c r="C4027" s="35">
        <f t="shared" si="63"/>
        <v>0</v>
      </c>
      <c r="D4027" s="30" t="str">
        <f>IFERROR(VLOOKUP(C4027,소속부서!$A$2:$B$20,2,FALSE), "")</f>
        <v/>
      </c>
    </row>
    <row r="4028" spans="3:4" x14ac:dyDescent="0.3">
      <c r="C4028" s="35">
        <f t="shared" si="63"/>
        <v>0</v>
      </c>
      <c r="D4028" s="30" t="str">
        <f>IFERROR(VLOOKUP(C4028,소속부서!$A$2:$B$20,2,FALSE), "")</f>
        <v/>
      </c>
    </row>
    <row r="4029" spans="3:4" x14ac:dyDescent="0.3">
      <c r="C4029" s="35">
        <f t="shared" si="63"/>
        <v>0</v>
      </c>
      <c r="D4029" s="30" t="str">
        <f>IFERROR(VLOOKUP(C4029,소속부서!$A$2:$B$20,2,FALSE), "")</f>
        <v/>
      </c>
    </row>
    <row r="4030" spans="3:4" x14ac:dyDescent="0.3">
      <c r="C4030" s="35">
        <f t="shared" si="63"/>
        <v>0</v>
      </c>
      <c r="D4030" s="30" t="str">
        <f>IFERROR(VLOOKUP(C4030,소속부서!$A$2:$B$20,2,FALSE), "")</f>
        <v/>
      </c>
    </row>
    <row r="4031" spans="3:4" x14ac:dyDescent="0.3">
      <c r="C4031" s="35">
        <f t="shared" si="63"/>
        <v>0</v>
      </c>
      <c r="D4031" s="30" t="str">
        <f>IFERROR(VLOOKUP(C4031,소속부서!$A$2:$B$20,2,FALSE), "")</f>
        <v/>
      </c>
    </row>
    <row r="4032" spans="3:4" x14ac:dyDescent="0.3">
      <c r="C4032" s="35">
        <f t="shared" si="63"/>
        <v>0</v>
      </c>
      <c r="D4032" s="30" t="str">
        <f>IFERROR(VLOOKUP(C4032,소속부서!$A$2:$B$20,2,FALSE), "")</f>
        <v/>
      </c>
    </row>
    <row r="4033" spans="3:4" x14ac:dyDescent="0.3">
      <c r="C4033" s="35">
        <f t="shared" si="63"/>
        <v>0</v>
      </c>
      <c r="D4033" s="30" t="str">
        <f>IFERROR(VLOOKUP(C4033,소속부서!$A$2:$B$20,2,FALSE), "")</f>
        <v/>
      </c>
    </row>
    <row r="4034" spans="3:4" x14ac:dyDescent="0.3">
      <c r="C4034" s="35">
        <f t="shared" si="63"/>
        <v>0</v>
      </c>
      <c r="D4034" s="30" t="str">
        <f>IFERROR(VLOOKUP(C4034,소속부서!$A$2:$B$20,2,FALSE), "")</f>
        <v/>
      </c>
    </row>
    <row r="4035" spans="3:4" x14ac:dyDescent="0.3">
      <c r="C4035" s="35">
        <f t="shared" si="63"/>
        <v>0</v>
      </c>
      <c r="D4035" s="30" t="str">
        <f>IFERROR(VLOOKUP(C4035,소속부서!$A$2:$B$20,2,FALSE), "")</f>
        <v/>
      </c>
    </row>
    <row r="4036" spans="3:4" x14ac:dyDescent="0.3">
      <c r="C4036" s="35">
        <f t="shared" ref="C4036:C4099" si="64">E4036</f>
        <v>0</v>
      </c>
      <c r="D4036" s="30" t="str">
        <f>IFERROR(VLOOKUP(C4036,소속부서!$A$2:$B$20,2,FALSE), "")</f>
        <v/>
      </c>
    </row>
    <row r="4037" spans="3:4" x14ac:dyDescent="0.3">
      <c r="C4037" s="35">
        <f t="shared" si="64"/>
        <v>0</v>
      </c>
      <c r="D4037" s="30" t="str">
        <f>IFERROR(VLOOKUP(C4037,소속부서!$A$2:$B$20,2,FALSE), "")</f>
        <v/>
      </c>
    </row>
    <row r="4038" spans="3:4" x14ac:dyDescent="0.3">
      <c r="C4038" s="35">
        <f t="shared" si="64"/>
        <v>0</v>
      </c>
      <c r="D4038" s="30" t="str">
        <f>IFERROR(VLOOKUP(C4038,소속부서!$A$2:$B$20,2,FALSE), "")</f>
        <v/>
      </c>
    </row>
    <row r="4039" spans="3:4" x14ac:dyDescent="0.3">
      <c r="C4039" s="35">
        <f t="shared" si="64"/>
        <v>0</v>
      </c>
      <c r="D4039" s="30" t="str">
        <f>IFERROR(VLOOKUP(C4039,소속부서!$A$2:$B$20,2,FALSE), "")</f>
        <v/>
      </c>
    </row>
    <row r="4040" spans="3:4" x14ac:dyDescent="0.3">
      <c r="C4040" s="35">
        <f t="shared" si="64"/>
        <v>0</v>
      </c>
      <c r="D4040" s="30" t="str">
        <f>IFERROR(VLOOKUP(C4040,소속부서!$A$2:$B$20,2,FALSE), "")</f>
        <v/>
      </c>
    </row>
    <row r="4041" spans="3:4" x14ac:dyDescent="0.3">
      <c r="C4041" s="35">
        <f t="shared" si="64"/>
        <v>0</v>
      </c>
      <c r="D4041" s="30" t="str">
        <f>IFERROR(VLOOKUP(C4041,소속부서!$A$2:$B$20,2,FALSE), "")</f>
        <v/>
      </c>
    </row>
    <row r="4042" spans="3:4" x14ac:dyDescent="0.3">
      <c r="C4042" s="35">
        <f t="shared" si="64"/>
        <v>0</v>
      </c>
      <c r="D4042" s="30" t="str">
        <f>IFERROR(VLOOKUP(C4042,소속부서!$A$2:$B$20,2,FALSE), "")</f>
        <v/>
      </c>
    </row>
    <row r="4043" spans="3:4" x14ac:dyDescent="0.3">
      <c r="C4043" s="35">
        <f t="shared" si="64"/>
        <v>0</v>
      </c>
      <c r="D4043" s="30" t="str">
        <f>IFERROR(VLOOKUP(C4043,소속부서!$A$2:$B$20,2,FALSE), "")</f>
        <v/>
      </c>
    </row>
    <row r="4044" spans="3:4" x14ac:dyDescent="0.3">
      <c r="C4044" s="35">
        <f t="shared" si="64"/>
        <v>0</v>
      </c>
      <c r="D4044" s="30" t="str">
        <f>IFERROR(VLOOKUP(C4044,소속부서!$A$2:$B$20,2,FALSE), "")</f>
        <v/>
      </c>
    </row>
    <row r="4045" spans="3:4" x14ac:dyDescent="0.3">
      <c r="C4045" s="35">
        <f t="shared" si="64"/>
        <v>0</v>
      </c>
      <c r="D4045" s="30" t="str">
        <f>IFERROR(VLOOKUP(C4045,소속부서!$A$2:$B$20,2,FALSE), "")</f>
        <v/>
      </c>
    </row>
    <row r="4046" spans="3:4" x14ac:dyDescent="0.3">
      <c r="C4046" s="35">
        <f t="shared" si="64"/>
        <v>0</v>
      </c>
      <c r="D4046" s="30" t="str">
        <f>IFERROR(VLOOKUP(C4046,소속부서!$A$2:$B$20,2,FALSE), "")</f>
        <v/>
      </c>
    </row>
    <row r="4047" spans="3:4" x14ac:dyDescent="0.3">
      <c r="C4047" s="35">
        <f t="shared" si="64"/>
        <v>0</v>
      </c>
      <c r="D4047" s="30" t="str">
        <f>IFERROR(VLOOKUP(C4047,소속부서!$A$2:$B$20,2,FALSE), "")</f>
        <v/>
      </c>
    </row>
    <row r="4048" spans="3:4" x14ac:dyDescent="0.3">
      <c r="C4048" s="35">
        <f t="shared" si="64"/>
        <v>0</v>
      </c>
      <c r="D4048" s="30" t="str">
        <f>IFERROR(VLOOKUP(C4048,소속부서!$A$2:$B$20,2,FALSE), "")</f>
        <v/>
      </c>
    </row>
    <row r="4049" spans="3:4" x14ac:dyDescent="0.3">
      <c r="C4049" s="35">
        <f t="shared" si="64"/>
        <v>0</v>
      </c>
      <c r="D4049" s="30" t="str">
        <f>IFERROR(VLOOKUP(C4049,소속부서!$A$2:$B$20,2,FALSE), "")</f>
        <v/>
      </c>
    </row>
    <row r="4050" spans="3:4" x14ac:dyDescent="0.3">
      <c r="C4050" s="35">
        <f t="shared" si="64"/>
        <v>0</v>
      </c>
      <c r="D4050" s="30" t="str">
        <f>IFERROR(VLOOKUP(C4050,소속부서!$A$2:$B$20,2,FALSE), "")</f>
        <v/>
      </c>
    </row>
    <row r="4051" spans="3:4" x14ac:dyDescent="0.3">
      <c r="C4051" s="35">
        <f t="shared" si="64"/>
        <v>0</v>
      </c>
      <c r="D4051" s="30" t="str">
        <f>IFERROR(VLOOKUP(C4051,소속부서!$A$2:$B$20,2,FALSE), "")</f>
        <v/>
      </c>
    </row>
    <row r="4052" spans="3:4" x14ac:dyDescent="0.3">
      <c r="C4052" s="35">
        <f t="shared" si="64"/>
        <v>0</v>
      </c>
      <c r="D4052" s="30" t="str">
        <f>IFERROR(VLOOKUP(C4052,소속부서!$A$2:$B$20,2,FALSE), "")</f>
        <v/>
      </c>
    </row>
    <row r="4053" spans="3:4" x14ac:dyDescent="0.3">
      <c r="C4053" s="35">
        <f t="shared" si="64"/>
        <v>0</v>
      </c>
      <c r="D4053" s="30" t="str">
        <f>IFERROR(VLOOKUP(C4053,소속부서!$A$2:$B$20,2,FALSE), "")</f>
        <v/>
      </c>
    </row>
    <row r="4054" spans="3:4" x14ac:dyDescent="0.3">
      <c r="C4054" s="35">
        <f t="shared" si="64"/>
        <v>0</v>
      </c>
      <c r="D4054" s="30" t="str">
        <f>IFERROR(VLOOKUP(C4054,소속부서!$A$2:$B$20,2,FALSE), "")</f>
        <v/>
      </c>
    </row>
    <row r="4055" spans="3:4" x14ac:dyDescent="0.3">
      <c r="C4055" s="35">
        <f t="shared" si="64"/>
        <v>0</v>
      </c>
      <c r="D4055" s="30" t="str">
        <f>IFERROR(VLOOKUP(C4055,소속부서!$A$2:$B$20,2,FALSE), "")</f>
        <v/>
      </c>
    </row>
    <row r="4056" spans="3:4" x14ac:dyDescent="0.3">
      <c r="C4056" s="35">
        <f t="shared" si="64"/>
        <v>0</v>
      </c>
      <c r="D4056" s="30" t="str">
        <f>IFERROR(VLOOKUP(C4056,소속부서!$A$2:$B$20,2,FALSE), "")</f>
        <v/>
      </c>
    </row>
    <row r="4057" spans="3:4" x14ac:dyDescent="0.3">
      <c r="C4057" s="35">
        <f t="shared" si="64"/>
        <v>0</v>
      </c>
      <c r="D4057" s="30" t="str">
        <f>IFERROR(VLOOKUP(C4057,소속부서!$A$2:$B$20,2,FALSE), "")</f>
        <v/>
      </c>
    </row>
    <row r="4058" spans="3:4" x14ac:dyDescent="0.3">
      <c r="C4058" s="35">
        <f t="shared" si="64"/>
        <v>0</v>
      </c>
      <c r="D4058" s="30" t="str">
        <f>IFERROR(VLOOKUP(C4058,소속부서!$A$2:$B$20,2,FALSE), "")</f>
        <v/>
      </c>
    </row>
    <row r="4059" spans="3:4" x14ac:dyDescent="0.3">
      <c r="C4059" s="35">
        <f t="shared" si="64"/>
        <v>0</v>
      </c>
      <c r="D4059" s="30" t="str">
        <f>IFERROR(VLOOKUP(C4059,소속부서!$A$2:$B$20,2,FALSE), "")</f>
        <v/>
      </c>
    </row>
    <row r="4060" spans="3:4" x14ac:dyDescent="0.3">
      <c r="C4060" s="35">
        <f t="shared" si="64"/>
        <v>0</v>
      </c>
      <c r="D4060" s="30" t="str">
        <f>IFERROR(VLOOKUP(C4060,소속부서!$A$2:$B$20,2,FALSE), "")</f>
        <v/>
      </c>
    </row>
    <row r="4061" spans="3:4" x14ac:dyDescent="0.3">
      <c r="C4061" s="35">
        <f t="shared" si="64"/>
        <v>0</v>
      </c>
      <c r="D4061" s="30" t="str">
        <f>IFERROR(VLOOKUP(C4061,소속부서!$A$2:$B$20,2,FALSE), "")</f>
        <v/>
      </c>
    </row>
    <row r="4062" spans="3:4" x14ac:dyDescent="0.3">
      <c r="C4062" s="35">
        <f t="shared" si="64"/>
        <v>0</v>
      </c>
      <c r="D4062" s="30" t="str">
        <f>IFERROR(VLOOKUP(C4062,소속부서!$A$2:$B$20,2,FALSE), "")</f>
        <v/>
      </c>
    </row>
    <row r="4063" spans="3:4" x14ac:dyDescent="0.3">
      <c r="C4063" s="35">
        <f t="shared" si="64"/>
        <v>0</v>
      </c>
      <c r="D4063" s="30" t="str">
        <f>IFERROR(VLOOKUP(C4063,소속부서!$A$2:$B$20,2,FALSE), "")</f>
        <v/>
      </c>
    </row>
    <row r="4064" spans="3:4" x14ac:dyDescent="0.3">
      <c r="C4064" s="35">
        <f t="shared" si="64"/>
        <v>0</v>
      </c>
      <c r="D4064" s="30" t="str">
        <f>IFERROR(VLOOKUP(C4064,소속부서!$A$2:$B$20,2,FALSE), "")</f>
        <v/>
      </c>
    </row>
    <row r="4065" spans="3:4" x14ac:dyDescent="0.3">
      <c r="C4065" s="35">
        <f t="shared" si="64"/>
        <v>0</v>
      </c>
      <c r="D4065" s="30" t="str">
        <f>IFERROR(VLOOKUP(C4065,소속부서!$A$2:$B$20,2,FALSE), "")</f>
        <v/>
      </c>
    </row>
    <row r="4066" spans="3:4" x14ac:dyDescent="0.3">
      <c r="C4066" s="35">
        <f t="shared" si="64"/>
        <v>0</v>
      </c>
      <c r="D4066" s="30" t="str">
        <f>IFERROR(VLOOKUP(C4066,소속부서!$A$2:$B$20,2,FALSE), "")</f>
        <v/>
      </c>
    </row>
    <row r="4067" spans="3:4" x14ac:dyDescent="0.3">
      <c r="C4067" s="35">
        <f t="shared" si="64"/>
        <v>0</v>
      </c>
      <c r="D4067" s="30" t="str">
        <f>IFERROR(VLOOKUP(C4067,소속부서!$A$2:$B$20,2,FALSE), "")</f>
        <v/>
      </c>
    </row>
    <row r="4068" spans="3:4" x14ac:dyDescent="0.3">
      <c r="C4068" s="35">
        <f t="shared" si="64"/>
        <v>0</v>
      </c>
      <c r="D4068" s="30" t="str">
        <f>IFERROR(VLOOKUP(C4068,소속부서!$A$2:$B$20,2,FALSE), "")</f>
        <v/>
      </c>
    </row>
    <row r="4069" spans="3:4" x14ac:dyDescent="0.3">
      <c r="C4069" s="35">
        <f t="shared" si="64"/>
        <v>0</v>
      </c>
      <c r="D4069" s="30" t="str">
        <f>IFERROR(VLOOKUP(C4069,소속부서!$A$2:$B$20,2,FALSE), "")</f>
        <v/>
      </c>
    </row>
    <row r="4070" spans="3:4" x14ac:dyDescent="0.3">
      <c r="C4070" s="35">
        <f t="shared" si="64"/>
        <v>0</v>
      </c>
      <c r="D4070" s="30" t="str">
        <f>IFERROR(VLOOKUP(C4070,소속부서!$A$2:$B$20,2,FALSE), "")</f>
        <v/>
      </c>
    </row>
    <row r="4071" spans="3:4" x14ac:dyDescent="0.3">
      <c r="C4071" s="35">
        <f t="shared" si="64"/>
        <v>0</v>
      </c>
      <c r="D4071" s="30" t="str">
        <f>IFERROR(VLOOKUP(C4071,소속부서!$A$2:$B$20,2,FALSE), "")</f>
        <v/>
      </c>
    </row>
    <row r="4072" spans="3:4" x14ac:dyDescent="0.3">
      <c r="C4072" s="35">
        <f t="shared" si="64"/>
        <v>0</v>
      </c>
      <c r="D4072" s="30" t="str">
        <f>IFERROR(VLOOKUP(C4072,소속부서!$A$2:$B$20,2,FALSE), "")</f>
        <v/>
      </c>
    </row>
    <row r="4073" spans="3:4" x14ac:dyDescent="0.3">
      <c r="C4073" s="35">
        <f t="shared" si="64"/>
        <v>0</v>
      </c>
      <c r="D4073" s="30" t="str">
        <f>IFERROR(VLOOKUP(C4073,소속부서!$A$2:$B$20,2,FALSE), "")</f>
        <v/>
      </c>
    </row>
    <row r="4074" spans="3:4" x14ac:dyDescent="0.3">
      <c r="C4074" s="35">
        <f t="shared" si="64"/>
        <v>0</v>
      </c>
      <c r="D4074" s="30" t="str">
        <f>IFERROR(VLOOKUP(C4074,소속부서!$A$2:$B$20,2,FALSE), "")</f>
        <v/>
      </c>
    </row>
    <row r="4075" spans="3:4" x14ac:dyDescent="0.3">
      <c r="C4075" s="35">
        <f t="shared" si="64"/>
        <v>0</v>
      </c>
      <c r="D4075" s="30" t="str">
        <f>IFERROR(VLOOKUP(C4075,소속부서!$A$2:$B$20,2,FALSE), "")</f>
        <v/>
      </c>
    </row>
    <row r="4076" spans="3:4" x14ac:dyDescent="0.3">
      <c r="C4076" s="35">
        <f t="shared" si="64"/>
        <v>0</v>
      </c>
      <c r="D4076" s="30" t="str">
        <f>IFERROR(VLOOKUP(C4076,소속부서!$A$2:$B$20,2,FALSE), "")</f>
        <v/>
      </c>
    </row>
    <row r="4077" spans="3:4" x14ac:dyDescent="0.3">
      <c r="C4077" s="35">
        <f t="shared" si="64"/>
        <v>0</v>
      </c>
      <c r="D4077" s="30" t="str">
        <f>IFERROR(VLOOKUP(C4077,소속부서!$A$2:$B$20,2,FALSE), "")</f>
        <v/>
      </c>
    </row>
    <row r="4078" spans="3:4" x14ac:dyDescent="0.3">
      <c r="C4078" s="35">
        <f t="shared" si="64"/>
        <v>0</v>
      </c>
      <c r="D4078" s="30" t="str">
        <f>IFERROR(VLOOKUP(C4078,소속부서!$A$2:$B$20,2,FALSE), "")</f>
        <v/>
      </c>
    </row>
    <row r="4079" spans="3:4" x14ac:dyDescent="0.3">
      <c r="C4079" s="35">
        <f t="shared" si="64"/>
        <v>0</v>
      </c>
      <c r="D4079" s="30" t="str">
        <f>IFERROR(VLOOKUP(C4079,소속부서!$A$2:$B$20,2,FALSE), "")</f>
        <v/>
      </c>
    </row>
    <row r="4080" spans="3:4" x14ac:dyDescent="0.3">
      <c r="C4080" s="35">
        <f t="shared" si="64"/>
        <v>0</v>
      </c>
      <c r="D4080" s="30" t="str">
        <f>IFERROR(VLOOKUP(C4080,소속부서!$A$2:$B$20,2,FALSE), "")</f>
        <v/>
      </c>
    </row>
    <row r="4081" spans="3:4" x14ac:dyDescent="0.3">
      <c r="C4081" s="35">
        <f t="shared" si="64"/>
        <v>0</v>
      </c>
      <c r="D4081" s="30" t="str">
        <f>IFERROR(VLOOKUP(C4081,소속부서!$A$2:$B$20,2,FALSE), "")</f>
        <v/>
      </c>
    </row>
    <row r="4082" spans="3:4" x14ac:dyDescent="0.3">
      <c r="C4082" s="35">
        <f t="shared" si="64"/>
        <v>0</v>
      </c>
      <c r="D4082" s="30" t="str">
        <f>IFERROR(VLOOKUP(C4082,소속부서!$A$2:$B$20,2,FALSE), "")</f>
        <v/>
      </c>
    </row>
    <row r="4083" spans="3:4" x14ac:dyDescent="0.3">
      <c r="C4083" s="35">
        <f t="shared" si="64"/>
        <v>0</v>
      </c>
      <c r="D4083" s="30" t="str">
        <f>IFERROR(VLOOKUP(C4083,소속부서!$A$2:$B$20,2,FALSE), "")</f>
        <v/>
      </c>
    </row>
    <row r="4084" spans="3:4" x14ac:dyDescent="0.3">
      <c r="C4084" s="35">
        <f t="shared" si="64"/>
        <v>0</v>
      </c>
      <c r="D4084" s="30" t="str">
        <f>IFERROR(VLOOKUP(C4084,소속부서!$A$2:$B$20,2,FALSE), "")</f>
        <v/>
      </c>
    </row>
    <row r="4085" spans="3:4" x14ac:dyDescent="0.3">
      <c r="C4085" s="35">
        <f t="shared" si="64"/>
        <v>0</v>
      </c>
      <c r="D4085" s="30" t="str">
        <f>IFERROR(VLOOKUP(C4085,소속부서!$A$2:$B$20,2,FALSE), "")</f>
        <v/>
      </c>
    </row>
    <row r="4086" spans="3:4" x14ac:dyDescent="0.3">
      <c r="C4086" s="35">
        <f t="shared" si="64"/>
        <v>0</v>
      </c>
      <c r="D4086" s="30" t="str">
        <f>IFERROR(VLOOKUP(C4086,소속부서!$A$2:$B$20,2,FALSE), "")</f>
        <v/>
      </c>
    </row>
    <row r="4087" spans="3:4" x14ac:dyDescent="0.3">
      <c r="C4087" s="35">
        <f t="shared" si="64"/>
        <v>0</v>
      </c>
      <c r="D4087" s="30" t="str">
        <f>IFERROR(VLOOKUP(C4087,소속부서!$A$2:$B$20,2,FALSE), "")</f>
        <v/>
      </c>
    </row>
    <row r="4088" spans="3:4" x14ac:dyDescent="0.3">
      <c r="C4088" s="35">
        <f t="shared" si="64"/>
        <v>0</v>
      </c>
      <c r="D4088" s="30" t="str">
        <f>IFERROR(VLOOKUP(C4088,소속부서!$A$2:$B$20,2,FALSE), "")</f>
        <v/>
      </c>
    </row>
    <row r="4089" spans="3:4" x14ac:dyDescent="0.3">
      <c r="C4089" s="35">
        <f t="shared" si="64"/>
        <v>0</v>
      </c>
      <c r="D4089" s="30" t="str">
        <f>IFERROR(VLOOKUP(C4089,소속부서!$A$2:$B$20,2,FALSE), "")</f>
        <v/>
      </c>
    </row>
    <row r="4090" spans="3:4" x14ac:dyDescent="0.3">
      <c r="C4090" s="35">
        <f t="shared" si="64"/>
        <v>0</v>
      </c>
      <c r="D4090" s="30" t="str">
        <f>IFERROR(VLOOKUP(C4090,소속부서!$A$2:$B$20,2,FALSE), "")</f>
        <v/>
      </c>
    </row>
    <row r="4091" spans="3:4" x14ac:dyDescent="0.3">
      <c r="C4091" s="35">
        <f t="shared" si="64"/>
        <v>0</v>
      </c>
      <c r="D4091" s="30" t="str">
        <f>IFERROR(VLOOKUP(C4091,소속부서!$A$2:$B$20,2,FALSE), "")</f>
        <v/>
      </c>
    </row>
    <row r="4092" spans="3:4" x14ac:dyDescent="0.3">
      <c r="C4092" s="35">
        <f t="shared" si="64"/>
        <v>0</v>
      </c>
      <c r="D4092" s="30" t="str">
        <f>IFERROR(VLOOKUP(C4092,소속부서!$A$2:$B$20,2,FALSE), "")</f>
        <v/>
      </c>
    </row>
    <row r="4093" spans="3:4" x14ac:dyDescent="0.3">
      <c r="C4093" s="35">
        <f t="shared" si="64"/>
        <v>0</v>
      </c>
      <c r="D4093" s="30" t="str">
        <f>IFERROR(VLOOKUP(C4093,소속부서!$A$2:$B$20,2,FALSE), "")</f>
        <v/>
      </c>
    </row>
    <row r="4094" spans="3:4" x14ac:dyDescent="0.3">
      <c r="C4094" s="35">
        <f t="shared" si="64"/>
        <v>0</v>
      </c>
      <c r="D4094" s="30" t="str">
        <f>IFERROR(VLOOKUP(C4094,소속부서!$A$2:$B$20,2,FALSE), "")</f>
        <v/>
      </c>
    </row>
    <row r="4095" spans="3:4" x14ac:dyDescent="0.3">
      <c r="C4095" s="35">
        <f t="shared" si="64"/>
        <v>0</v>
      </c>
      <c r="D4095" s="30" t="str">
        <f>IFERROR(VLOOKUP(C4095,소속부서!$A$2:$B$20,2,FALSE), "")</f>
        <v/>
      </c>
    </row>
    <row r="4096" spans="3:4" x14ac:dyDescent="0.3">
      <c r="C4096" s="35">
        <f t="shared" si="64"/>
        <v>0</v>
      </c>
      <c r="D4096" s="30" t="str">
        <f>IFERROR(VLOOKUP(C4096,소속부서!$A$2:$B$20,2,FALSE), "")</f>
        <v/>
      </c>
    </row>
    <row r="4097" spans="3:4" x14ac:dyDescent="0.3">
      <c r="C4097" s="35">
        <f t="shared" si="64"/>
        <v>0</v>
      </c>
      <c r="D4097" s="30" t="str">
        <f>IFERROR(VLOOKUP(C4097,소속부서!$A$2:$B$20,2,FALSE), "")</f>
        <v/>
      </c>
    </row>
    <row r="4098" spans="3:4" x14ac:dyDescent="0.3">
      <c r="C4098" s="35">
        <f t="shared" si="64"/>
        <v>0</v>
      </c>
      <c r="D4098" s="30" t="str">
        <f>IFERROR(VLOOKUP(C4098,소속부서!$A$2:$B$20,2,FALSE), "")</f>
        <v/>
      </c>
    </row>
    <row r="4099" spans="3:4" x14ac:dyDescent="0.3">
      <c r="C4099" s="35">
        <f t="shared" si="64"/>
        <v>0</v>
      </c>
      <c r="D4099" s="30" t="str">
        <f>IFERROR(VLOOKUP(C4099,소속부서!$A$2:$B$20,2,FALSE), "")</f>
        <v/>
      </c>
    </row>
    <row r="4100" spans="3:4" x14ac:dyDescent="0.3">
      <c r="C4100" s="35">
        <f t="shared" ref="C4100:C4163" si="65">E4100</f>
        <v>0</v>
      </c>
      <c r="D4100" s="30" t="str">
        <f>IFERROR(VLOOKUP(C4100,소속부서!$A$2:$B$20,2,FALSE), "")</f>
        <v/>
      </c>
    </row>
    <row r="4101" spans="3:4" x14ac:dyDescent="0.3">
      <c r="C4101" s="35">
        <f t="shared" si="65"/>
        <v>0</v>
      </c>
      <c r="D4101" s="30" t="str">
        <f>IFERROR(VLOOKUP(C4101,소속부서!$A$2:$B$20,2,FALSE), "")</f>
        <v/>
      </c>
    </row>
    <row r="4102" spans="3:4" x14ac:dyDescent="0.3">
      <c r="C4102" s="35">
        <f t="shared" si="65"/>
        <v>0</v>
      </c>
      <c r="D4102" s="30" t="str">
        <f>IFERROR(VLOOKUP(C4102,소속부서!$A$2:$B$20,2,FALSE), "")</f>
        <v/>
      </c>
    </row>
    <row r="4103" spans="3:4" x14ac:dyDescent="0.3">
      <c r="C4103" s="35">
        <f t="shared" si="65"/>
        <v>0</v>
      </c>
      <c r="D4103" s="30" t="str">
        <f>IFERROR(VLOOKUP(C4103,소속부서!$A$2:$B$20,2,FALSE), "")</f>
        <v/>
      </c>
    </row>
    <row r="4104" spans="3:4" x14ac:dyDescent="0.3">
      <c r="C4104" s="35">
        <f t="shared" si="65"/>
        <v>0</v>
      </c>
      <c r="D4104" s="30" t="str">
        <f>IFERROR(VLOOKUP(C4104,소속부서!$A$2:$B$20,2,FALSE), "")</f>
        <v/>
      </c>
    </row>
    <row r="4105" spans="3:4" x14ac:dyDescent="0.3">
      <c r="C4105" s="35">
        <f t="shared" si="65"/>
        <v>0</v>
      </c>
      <c r="D4105" s="30" t="str">
        <f>IFERROR(VLOOKUP(C4105,소속부서!$A$2:$B$20,2,FALSE), "")</f>
        <v/>
      </c>
    </row>
    <row r="4106" spans="3:4" x14ac:dyDescent="0.3">
      <c r="C4106" s="35">
        <f t="shared" si="65"/>
        <v>0</v>
      </c>
      <c r="D4106" s="30" t="str">
        <f>IFERROR(VLOOKUP(C4106,소속부서!$A$2:$B$20,2,FALSE), "")</f>
        <v/>
      </c>
    </row>
    <row r="4107" spans="3:4" x14ac:dyDescent="0.3">
      <c r="C4107" s="35">
        <f t="shared" si="65"/>
        <v>0</v>
      </c>
      <c r="D4107" s="30" t="str">
        <f>IFERROR(VLOOKUP(C4107,소속부서!$A$2:$B$20,2,FALSE), "")</f>
        <v/>
      </c>
    </row>
    <row r="4108" spans="3:4" x14ac:dyDescent="0.3">
      <c r="C4108" s="35">
        <f t="shared" si="65"/>
        <v>0</v>
      </c>
      <c r="D4108" s="30" t="str">
        <f>IFERROR(VLOOKUP(C4108,소속부서!$A$2:$B$20,2,FALSE), "")</f>
        <v/>
      </c>
    </row>
    <row r="4109" spans="3:4" x14ac:dyDescent="0.3">
      <c r="C4109" s="35">
        <f t="shared" si="65"/>
        <v>0</v>
      </c>
      <c r="D4109" s="30" t="str">
        <f>IFERROR(VLOOKUP(C4109,소속부서!$A$2:$B$20,2,FALSE), "")</f>
        <v/>
      </c>
    </row>
    <row r="4110" spans="3:4" x14ac:dyDescent="0.3">
      <c r="C4110" s="35">
        <f t="shared" si="65"/>
        <v>0</v>
      </c>
      <c r="D4110" s="30" t="str">
        <f>IFERROR(VLOOKUP(C4110,소속부서!$A$2:$B$20,2,FALSE), "")</f>
        <v/>
      </c>
    </row>
    <row r="4111" spans="3:4" x14ac:dyDescent="0.3">
      <c r="C4111" s="35">
        <f t="shared" si="65"/>
        <v>0</v>
      </c>
      <c r="D4111" s="30" t="str">
        <f>IFERROR(VLOOKUP(C4111,소속부서!$A$2:$B$20,2,FALSE), "")</f>
        <v/>
      </c>
    </row>
    <row r="4112" spans="3:4" x14ac:dyDescent="0.3">
      <c r="C4112" s="35">
        <f t="shared" si="65"/>
        <v>0</v>
      </c>
      <c r="D4112" s="30" t="str">
        <f>IFERROR(VLOOKUP(C4112,소속부서!$A$2:$B$20,2,FALSE), "")</f>
        <v/>
      </c>
    </row>
    <row r="4113" spans="3:4" x14ac:dyDescent="0.3">
      <c r="C4113" s="35">
        <f t="shared" si="65"/>
        <v>0</v>
      </c>
      <c r="D4113" s="30" t="str">
        <f>IFERROR(VLOOKUP(C4113,소속부서!$A$2:$B$20,2,FALSE), "")</f>
        <v/>
      </c>
    </row>
    <row r="4114" spans="3:4" x14ac:dyDescent="0.3">
      <c r="C4114" s="35">
        <f t="shared" si="65"/>
        <v>0</v>
      </c>
      <c r="D4114" s="30" t="str">
        <f>IFERROR(VLOOKUP(C4114,소속부서!$A$2:$B$20,2,FALSE), "")</f>
        <v/>
      </c>
    </row>
    <row r="4115" spans="3:4" x14ac:dyDescent="0.3">
      <c r="C4115" s="35">
        <f t="shared" si="65"/>
        <v>0</v>
      </c>
      <c r="D4115" s="30" t="str">
        <f>IFERROR(VLOOKUP(C4115,소속부서!$A$2:$B$20,2,FALSE), "")</f>
        <v/>
      </c>
    </row>
    <row r="4116" spans="3:4" x14ac:dyDescent="0.3">
      <c r="C4116" s="35">
        <f t="shared" si="65"/>
        <v>0</v>
      </c>
      <c r="D4116" s="30" t="str">
        <f>IFERROR(VLOOKUP(C4116,소속부서!$A$2:$B$20,2,FALSE), "")</f>
        <v/>
      </c>
    </row>
    <row r="4117" spans="3:4" x14ac:dyDescent="0.3">
      <c r="C4117" s="35">
        <f t="shared" si="65"/>
        <v>0</v>
      </c>
      <c r="D4117" s="30" t="str">
        <f>IFERROR(VLOOKUP(C4117,소속부서!$A$2:$B$20,2,FALSE), "")</f>
        <v/>
      </c>
    </row>
    <row r="4118" spans="3:4" x14ac:dyDescent="0.3">
      <c r="C4118" s="35">
        <f t="shared" si="65"/>
        <v>0</v>
      </c>
      <c r="D4118" s="30" t="str">
        <f>IFERROR(VLOOKUP(C4118,소속부서!$A$2:$B$20,2,FALSE), "")</f>
        <v/>
      </c>
    </row>
    <row r="4119" spans="3:4" x14ac:dyDescent="0.3">
      <c r="C4119" s="35">
        <f t="shared" si="65"/>
        <v>0</v>
      </c>
      <c r="D4119" s="30" t="str">
        <f>IFERROR(VLOOKUP(C4119,소속부서!$A$2:$B$20,2,FALSE), "")</f>
        <v/>
      </c>
    </row>
    <row r="4120" spans="3:4" x14ac:dyDescent="0.3">
      <c r="C4120" s="35">
        <f t="shared" si="65"/>
        <v>0</v>
      </c>
      <c r="D4120" s="30" t="str">
        <f>IFERROR(VLOOKUP(C4120,소속부서!$A$2:$B$20,2,FALSE), "")</f>
        <v/>
      </c>
    </row>
    <row r="4121" spans="3:4" x14ac:dyDescent="0.3">
      <c r="C4121" s="35">
        <f t="shared" si="65"/>
        <v>0</v>
      </c>
      <c r="D4121" s="30" t="str">
        <f>IFERROR(VLOOKUP(C4121,소속부서!$A$2:$B$20,2,FALSE), "")</f>
        <v/>
      </c>
    </row>
    <row r="4122" spans="3:4" x14ac:dyDescent="0.3">
      <c r="C4122" s="35">
        <f t="shared" si="65"/>
        <v>0</v>
      </c>
      <c r="D4122" s="30" t="str">
        <f>IFERROR(VLOOKUP(C4122,소속부서!$A$2:$B$20,2,FALSE), "")</f>
        <v/>
      </c>
    </row>
    <row r="4123" spans="3:4" x14ac:dyDescent="0.3">
      <c r="C4123" s="35">
        <f t="shared" si="65"/>
        <v>0</v>
      </c>
      <c r="D4123" s="30" t="str">
        <f>IFERROR(VLOOKUP(C4123,소속부서!$A$2:$B$20,2,FALSE), "")</f>
        <v/>
      </c>
    </row>
    <row r="4124" spans="3:4" x14ac:dyDescent="0.3">
      <c r="C4124" s="35">
        <f t="shared" si="65"/>
        <v>0</v>
      </c>
      <c r="D4124" s="30" t="str">
        <f>IFERROR(VLOOKUP(C4124,소속부서!$A$2:$B$20,2,FALSE), "")</f>
        <v/>
      </c>
    </row>
    <row r="4125" spans="3:4" x14ac:dyDescent="0.3">
      <c r="C4125" s="35">
        <f t="shared" si="65"/>
        <v>0</v>
      </c>
      <c r="D4125" s="30" t="str">
        <f>IFERROR(VLOOKUP(C4125,소속부서!$A$2:$B$20,2,FALSE), "")</f>
        <v/>
      </c>
    </row>
    <row r="4126" spans="3:4" x14ac:dyDescent="0.3">
      <c r="C4126" s="35">
        <f t="shared" si="65"/>
        <v>0</v>
      </c>
      <c r="D4126" s="30" t="str">
        <f>IFERROR(VLOOKUP(C4126,소속부서!$A$2:$B$20,2,FALSE), "")</f>
        <v/>
      </c>
    </row>
    <row r="4127" spans="3:4" x14ac:dyDescent="0.3">
      <c r="C4127" s="35">
        <f t="shared" si="65"/>
        <v>0</v>
      </c>
      <c r="D4127" s="30" t="str">
        <f>IFERROR(VLOOKUP(C4127,소속부서!$A$2:$B$20,2,FALSE), "")</f>
        <v/>
      </c>
    </row>
    <row r="4128" spans="3:4" x14ac:dyDescent="0.3">
      <c r="C4128" s="35">
        <f t="shared" si="65"/>
        <v>0</v>
      </c>
      <c r="D4128" s="30" t="str">
        <f>IFERROR(VLOOKUP(C4128,소속부서!$A$2:$B$20,2,FALSE), "")</f>
        <v/>
      </c>
    </row>
    <row r="4129" spans="3:4" x14ac:dyDescent="0.3">
      <c r="C4129" s="35">
        <f t="shared" si="65"/>
        <v>0</v>
      </c>
      <c r="D4129" s="30" t="str">
        <f>IFERROR(VLOOKUP(C4129,소속부서!$A$2:$B$20,2,FALSE), "")</f>
        <v/>
      </c>
    </row>
    <row r="4130" spans="3:4" x14ac:dyDescent="0.3">
      <c r="C4130" s="35">
        <f t="shared" si="65"/>
        <v>0</v>
      </c>
      <c r="D4130" s="30" t="str">
        <f>IFERROR(VLOOKUP(C4130,소속부서!$A$2:$B$20,2,FALSE), "")</f>
        <v/>
      </c>
    </row>
    <row r="4131" spans="3:4" x14ac:dyDescent="0.3">
      <c r="C4131" s="35">
        <f t="shared" si="65"/>
        <v>0</v>
      </c>
      <c r="D4131" s="30" t="str">
        <f>IFERROR(VLOOKUP(C4131,소속부서!$A$2:$B$20,2,FALSE), "")</f>
        <v/>
      </c>
    </row>
    <row r="4132" spans="3:4" x14ac:dyDescent="0.3">
      <c r="C4132" s="35">
        <f t="shared" si="65"/>
        <v>0</v>
      </c>
      <c r="D4132" s="30" t="str">
        <f>IFERROR(VLOOKUP(C4132,소속부서!$A$2:$B$20,2,FALSE), "")</f>
        <v/>
      </c>
    </row>
    <row r="4133" spans="3:4" x14ac:dyDescent="0.3">
      <c r="C4133" s="35">
        <f t="shared" si="65"/>
        <v>0</v>
      </c>
      <c r="D4133" s="30" t="str">
        <f>IFERROR(VLOOKUP(C4133,소속부서!$A$2:$B$20,2,FALSE), "")</f>
        <v/>
      </c>
    </row>
    <row r="4134" spans="3:4" x14ac:dyDescent="0.3">
      <c r="C4134" s="35">
        <f t="shared" si="65"/>
        <v>0</v>
      </c>
      <c r="D4134" s="30" t="str">
        <f>IFERROR(VLOOKUP(C4134,소속부서!$A$2:$B$20,2,FALSE), "")</f>
        <v/>
      </c>
    </row>
    <row r="4135" spans="3:4" x14ac:dyDescent="0.3">
      <c r="C4135" s="35">
        <f t="shared" si="65"/>
        <v>0</v>
      </c>
      <c r="D4135" s="30" t="str">
        <f>IFERROR(VLOOKUP(C4135,소속부서!$A$2:$B$20,2,FALSE), "")</f>
        <v/>
      </c>
    </row>
    <row r="4136" spans="3:4" x14ac:dyDescent="0.3">
      <c r="C4136" s="35">
        <f t="shared" si="65"/>
        <v>0</v>
      </c>
      <c r="D4136" s="30" t="str">
        <f>IFERROR(VLOOKUP(C4136,소속부서!$A$2:$B$20,2,FALSE), "")</f>
        <v/>
      </c>
    </row>
    <row r="4137" spans="3:4" x14ac:dyDescent="0.3">
      <c r="C4137" s="35">
        <f t="shared" si="65"/>
        <v>0</v>
      </c>
      <c r="D4137" s="30" t="str">
        <f>IFERROR(VLOOKUP(C4137,소속부서!$A$2:$B$20,2,FALSE), "")</f>
        <v/>
      </c>
    </row>
    <row r="4138" spans="3:4" x14ac:dyDescent="0.3">
      <c r="C4138" s="35">
        <f t="shared" si="65"/>
        <v>0</v>
      </c>
      <c r="D4138" s="30" t="str">
        <f>IFERROR(VLOOKUP(C4138,소속부서!$A$2:$B$20,2,FALSE), "")</f>
        <v/>
      </c>
    </row>
    <row r="4139" spans="3:4" x14ac:dyDescent="0.3">
      <c r="C4139" s="35">
        <f t="shared" si="65"/>
        <v>0</v>
      </c>
      <c r="D4139" s="30" t="str">
        <f>IFERROR(VLOOKUP(C4139,소속부서!$A$2:$B$20,2,FALSE), "")</f>
        <v/>
      </c>
    </row>
    <row r="4140" spans="3:4" x14ac:dyDescent="0.3">
      <c r="C4140" s="35">
        <f t="shared" si="65"/>
        <v>0</v>
      </c>
      <c r="D4140" s="30" t="str">
        <f>IFERROR(VLOOKUP(C4140,소속부서!$A$2:$B$20,2,FALSE), "")</f>
        <v/>
      </c>
    </row>
    <row r="4141" spans="3:4" x14ac:dyDescent="0.3">
      <c r="C4141" s="35">
        <f t="shared" si="65"/>
        <v>0</v>
      </c>
      <c r="D4141" s="30" t="str">
        <f>IFERROR(VLOOKUP(C4141,소속부서!$A$2:$B$20,2,FALSE), "")</f>
        <v/>
      </c>
    </row>
    <row r="4142" spans="3:4" x14ac:dyDescent="0.3">
      <c r="C4142" s="35">
        <f t="shared" si="65"/>
        <v>0</v>
      </c>
      <c r="D4142" s="30" t="str">
        <f>IFERROR(VLOOKUP(C4142,소속부서!$A$2:$B$20,2,FALSE), "")</f>
        <v/>
      </c>
    </row>
    <row r="4143" spans="3:4" x14ac:dyDescent="0.3">
      <c r="C4143" s="35">
        <f t="shared" si="65"/>
        <v>0</v>
      </c>
      <c r="D4143" s="30" t="str">
        <f>IFERROR(VLOOKUP(C4143,소속부서!$A$2:$B$20,2,FALSE), "")</f>
        <v/>
      </c>
    </row>
    <row r="4144" spans="3:4" x14ac:dyDescent="0.3">
      <c r="C4144" s="35">
        <f t="shared" si="65"/>
        <v>0</v>
      </c>
      <c r="D4144" s="30" t="str">
        <f>IFERROR(VLOOKUP(C4144,소속부서!$A$2:$B$20,2,FALSE), "")</f>
        <v/>
      </c>
    </row>
    <row r="4145" spans="3:4" x14ac:dyDescent="0.3">
      <c r="C4145" s="35">
        <f t="shared" si="65"/>
        <v>0</v>
      </c>
      <c r="D4145" s="30" t="str">
        <f>IFERROR(VLOOKUP(C4145,소속부서!$A$2:$B$20,2,FALSE), "")</f>
        <v/>
      </c>
    </row>
    <row r="4146" spans="3:4" x14ac:dyDescent="0.3">
      <c r="C4146" s="35">
        <f t="shared" si="65"/>
        <v>0</v>
      </c>
      <c r="D4146" s="30" t="str">
        <f>IFERROR(VLOOKUP(C4146,소속부서!$A$2:$B$20,2,FALSE), "")</f>
        <v/>
      </c>
    </row>
    <row r="4147" spans="3:4" x14ac:dyDescent="0.3">
      <c r="C4147" s="35">
        <f t="shared" si="65"/>
        <v>0</v>
      </c>
      <c r="D4147" s="30" t="str">
        <f>IFERROR(VLOOKUP(C4147,소속부서!$A$2:$B$20,2,FALSE), "")</f>
        <v/>
      </c>
    </row>
    <row r="4148" spans="3:4" x14ac:dyDescent="0.3">
      <c r="C4148" s="35">
        <f t="shared" si="65"/>
        <v>0</v>
      </c>
      <c r="D4148" s="30" t="str">
        <f>IFERROR(VLOOKUP(C4148,소속부서!$A$2:$B$20,2,FALSE), "")</f>
        <v/>
      </c>
    </row>
    <row r="4149" spans="3:4" x14ac:dyDescent="0.3">
      <c r="C4149" s="35">
        <f t="shared" si="65"/>
        <v>0</v>
      </c>
      <c r="D4149" s="30" t="str">
        <f>IFERROR(VLOOKUP(C4149,소속부서!$A$2:$B$20,2,FALSE), "")</f>
        <v/>
      </c>
    </row>
    <row r="4150" spans="3:4" x14ac:dyDescent="0.3">
      <c r="C4150" s="35">
        <f t="shared" si="65"/>
        <v>0</v>
      </c>
      <c r="D4150" s="30" t="str">
        <f>IFERROR(VLOOKUP(C4150,소속부서!$A$2:$B$20,2,FALSE), "")</f>
        <v/>
      </c>
    </row>
    <row r="4151" spans="3:4" x14ac:dyDescent="0.3">
      <c r="C4151" s="35">
        <f t="shared" si="65"/>
        <v>0</v>
      </c>
      <c r="D4151" s="30" t="str">
        <f>IFERROR(VLOOKUP(C4151,소속부서!$A$2:$B$20,2,FALSE), "")</f>
        <v/>
      </c>
    </row>
    <row r="4152" spans="3:4" x14ac:dyDescent="0.3">
      <c r="C4152" s="35">
        <f t="shared" si="65"/>
        <v>0</v>
      </c>
      <c r="D4152" s="30" t="str">
        <f>IFERROR(VLOOKUP(C4152,소속부서!$A$2:$B$20,2,FALSE), "")</f>
        <v/>
      </c>
    </row>
    <row r="4153" spans="3:4" x14ac:dyDescent="0.3">
      <c r="C4153" s="35">
        <f t="shared" si="65"/>
        <v>0</v>
      </c>
      <c r="D4153" s="30" t="str">
        <f>IFERROR(VLOOKUP(C4153,소속부서!$A$2:$B$20,2,FALSE), "")</f>
        <v/>
      </c>
    </row>
    <row r="4154" spans="3:4" x14ac:dyDescent="0.3">
      <c r="C4154" s="35">
        <f t="shared" si="65"/>
        <v>0</v>
      </c>
      <c r="D4154" s="30" t="str">
        <f>IFERROR(VLOOKUP(C4154,소속부서!$A$2:$B$20,2,FALSE), "")</f>
        <v/>
      </c>
    </row>
    <row r="4155" spans="3:4" x14ac:dyDescent="0.3">
      <c r="C4155" s="35">
        <f t="shared" si="65"/>
        <v>0</v>
      </c>
      <c r="D4155" s="30" t="str">
        <f>IFERROR(VLOOKUP(C4155,소속부서!$A$2:$B$20,2,FALSE), "")</f>
        <v/>
      </c>
    </row>
    <row r="4156" spans="3:4" x14ac:dyDescent="0.3">
      <c r="C4156" s="35">
        <f t="shared" si="65"/>
        <v>0</v>
      </c>
      <c r="D4156" s="30" t="str">
        <f>IFERROR(VLOOKUP(C4156,소속부서!$A$2:$B$20,2,FALSE), "")</f>
        <v/>
      </c>
    </row>
    <row r="4157" spans="3:4" x14ac:dyDescent="0.3">
      <c r="C4157" s="35">
        <f t="shared" si="65"/>
        <v>0</v>
      </c>
      <c r="D4157" s="30" t="str">
        <f>IFERROR(VLOOKUP(C4157,소속부서!$A$2:$B$20,2,FALSE), "")</f>
        <v/>
      </c>
    </row>
    <row r="4158" spans="3:4" x14ac:dyDescent="0.3">
      <c r="C4158" s="35">
        <f t="shared" si="65"/>
        <v>0</v>
      </c>
      <c r="D4158" s="30" t="str">
        <f>IFERROR(VLOOKUP(C4158,소속부서!$A$2:$B$20,2,FALSE), "")</f>
        <v/>
      </c>
    </row>
    <row r="4159" spans="3:4" x14ac:dyDescent="0.3">
      <c r="C4159" s="35">
        <f t="shared" si="65"/>
        <v>0</v>
      </c>
      <c r="D4159" s="30" t="str">
        <f>IFERROR(VLOOKUP(C4159,소속부서!$A$2:$B$20,2,FALSE), "")</f>
        <v/>
      </c>
    </row>
    <row r="4160" spans="3:4" x14ac:dyDescent="0.3">
      <c r="C4160" s="35">
        <f t="shared" si="65"/>
        <v>0</v>
      </c>
      <c r="D4160" s="30" t="str">
        <f>IFERROR(VLOOKUP(C4160,소속부서!$A$2:$B$20,2,FALSE), "")</f>
        <v/>
      </c>
    </row>
    <row r="4161" spans="3:4" x14ac:dyDescent="0.3">
      <c r="C4161" s="35">
        <f t="shared" si="65"/>
        <v>0</v>
      </c>
      <c r="D4161" s="30" t="str">
        <f>IFERROR(VLOOKUP(C4161,소속부서!$A$2:$B$20,2,FALSE), "")</f>
        <v/>
      </c>
    </row>
    <row r="4162" spans="3:4" x14ac:dyDescent="0.3">
      <c r="C4162" s="35">
        <f t="shared" si="65"/>
        <v>0</v>
      </c>
      <c r="D4162" s="30" t="str">
        <f>IFERROR(VLOOKUP(C4162,소속부서!$A$2:$B$20,2,FALSE), "")</f>
        <v/>
      </c>
    </row>
    <row r="4163" spans="3:4" x14ac:dyDescent="0.3">
      <c r="C4163" s="35">
        <f t="shared" si="65"/>
        <v>0</v>
      </c>
      <c r="D4163" s="30" t="str">
        <f>IFERROR(VLOOKUP(C4163,소속부서!$A$2:$B$20,2,FALSE), "")</f>
        <v/>
      </c>
    </row>
    <row r="4164" spans="3:4" x14ac:dyDescent="0.3">
      <c r="C4164" s="35">
        <f t="shared" ref="C4164:C4227" si="66">E4164</f>
        <v>0</v>
      </c>
      <c r="D4164" s="30" t="str">
        <f>IFERROR(VLOOKUP(C4164,소속부서!$A$2:$B$20,2,FALSE), "")</f>
        <v/>
      </c>
    </row>
    <row r="4165" spans="3:4" x14ac:dyDescent="0.3">
      <c r="C4165" s="35">
        <f t="shared" si="66"/>
        <v>0</v>
      </c>
      <c r="D4165" s="30" t="str">
        <f>IFERROR(VLOOKUP(C4165,소속부서!$A$2:$B$20,2,FALSE), "")</f>
        <v/>
      </c>
    </row>
    <row r="4166" spans="3:4" x14ac:dyDescent="0.3">
      <c r="C4166" s="35">
        <f t="shared" si="66"/>
        <v>0</v>
      </c>
      <c r="D4166" s="30" t="str">
        <f>IFERROR(VLOOKUP(C4166,소속부서!$A$2:$B$20,2,FALSE), "")</f>
        <v/>
      </c>
    </row>
    <row r="4167" spans="3:4" x14ac:dyDescent="0.3">
      <c r="C4167" s="35">
        <f t="shared" si="66"/>
        <v>0</v>
      </c>
      <c r="D4167" s="30" t="str">
        <f>IFERROR(VLOOKUP(C4167,소속부서!$A$2:$B$20,2,FALSE), "")</f>
        <v/>
      </c>
    </row>
    <row r="4168" spans="3:4" x14ac:dyDescent="0.3">
      <c r="C4168" s="35">
        <f t="shared" si="66"/>
        <v>0</v>
      </c>
      <c r="D4168" s="30" t="str">
        <f>IFERROR(VLOOKUP(C4168,소속부서!$A$2:$B$20,2,FALSE), "")</f>
        <v/>
      </c>
    </row>
    <row r="4169" spans="3:4" x14ac:dyDescent="0.3">
      <c r="C4169" s="35">
        <f t="shared" si="66"/>
        <v>0</v>
      </c>
      <c r="D4169" s="30" t="str">
        <f>IFERROR(VLOOKUP(C4169,소속부서!$A$2:$B$20,2,FALSE), "")</f>
        <v/>
      </c>
    </row>
    <row r="4170" spans="3:4" x14ac:dyDescent="0.3">
      <c r="C4170" s="35">
        <f t="shared" si="66"/>
        <v>0</v>
      </c>
      <c r="D4170" s="30" t="str">
        <f>IFERROR(VLOOKUP(C4170,소속부서!$A$2:$B$20,2,FALSE), "")</f>
        <v/>
      </c>
    </row>
    <row r="4171" spans="3:4" x14ac:dyDescent="0.3">
      <c r="C4171" s="35">
        <f t="shared" si="66"/>
        <v>0</v>
      </c>
      <c r="D4171" s="30" t="str">
        <f>IFERROR(VLOOKUP(C4171,소속부서!$A$2:$B$20,2,FALSE), "")</f>
        <v/>
      </c>
    </row>
    <row r="4172" spans="3:4" x14ac:dyDescent="0.3">
      <c r="C4172" s="35">
        <f t="shared" si="66"/>
        <v>0</v>
      </c>
      <c r="D4172" s="30" t="str">
        <f>IFERROR(VLOOKUP(C4172,소속부서!$A$2:$B$20,2,FALSE), "")</f>
        <v/>
      </c>
    </row>
    <row r="4173" spans="3:4" x14ac:dyDescent="0.3">
      <c r="C4173" s="35">
        <f t="shared" si="66"/>
        <v>0</v>
      </c>
      <c r="D4173" s="30" t="str">
        <f>IFERROR(VLOOKUP(C4173,소속부서!$A$2:$B$20,2,FALSE), "")</f>
        <v/>
      </c>
    </row>
    <row r="4174" spans="3:4" x14ac:dyDescent="0.3">
      <c r="C4174" s="35">
        <f t="shared" si="66"/>
        <v>0</v>
      </c>
      <c r="D4174" s="30" t="str">
        <f>IFERROR(VLOOKUP(C4174,소속부서!$A$2:$B$20,2,FALSE), "")</f>
        <v/>
      </c>
    </row>
    <row r="4175" spans="3:4" x14ac:dyDescent="0.3">
      <c r="C4175" s="35">
        <f t="shared" si="66"/>
        <v>0</v>
      </c>
      <c r="D4175" s="30" t="str">
        <f>IFERROR(VLOOKUP(C4175,소속부서!$A$2:$B$20,2,FALSE), "")</f>
        <v/>
      </c>
    </row>
    <row r="4176" spans="3:4" x14ac:dyDescent="0.3">
      <c r="C4176" s="35">
        <f t="shared" si="66"/>
        <v>0</v>
      </c>
      <c r="D4176" s="30" t="str">
        <f>IFERROR(VLOOKUP(C4176,소속부서!$A$2:$B$20,2,FALSE), "")</f>
        <v/>
      </c>
    </row>
    <row r="4177" spans="3:4" x14ac:dyDescent="0.3">
      <c r="C4177" s="35">
        <f t="shared" si="66"/>
        <v>0</v>
      </c>
      <c r="D4177" s="30" t="str">
        <f>IFERROR(VLOOKUP(C4177,소속부서!$A$2:$B$20,2,FALSE), "")</f>
        <v/>
      </c>
    </row>
    <row r="4178" spans="3:4" x14ac:dyDescent="0.3">
      <c r="C4178" s="35">
        <f t="shared" si="66"/>
        <v>0</v>
      </c>
      <c r="D4178" s="30" t="str">
        <f>IFERROR(VLOOKUP(C4178,소속부서!$A$2:$B$20,2,FALSE), "")</f>
        <v/>
      </c>
    </row>
    <row r="4179" spans="3:4" x14ac:dyDescent="0.3">
      <c r="C4179" s="35">
        <f t="shared" si="66"/>
        <v>0</v>
      </c>
      <c r="D4179" s="30" t="str">
        <f>IFERROR(VLOOKUP(C4179,소속부서!$A$2:$B$20,2,FALSE), "")</f>
        <v/>
      </c>
    </row>
    <row r="4180" spans="3:4" x14ac:dyDescent="0.3">
      <c r="C4180" s="35">
        <f t="shared" si="66"/>
        <v>0</v>
      </c>
      <c r="D4180" s="30" t="str">
        <f>IFERROR(VLOOKUP(C4180,소속부서!$A$2:$B$20,2,FALSE), "")</f>
        <v/>
      </c>
    </row>
    <row r="4181" spans="3:4" x14ac:dyDescent="0.3">
      <c r="C4181" s="35">
        <f t="shared" si="66"/>
        <v>0</v>
      </c>
      <c r="D4181" s="30" t="str">
        <f>IFERROR(VLOOKUP(C4181,소속부서!$A$2:$B$20,2,FALSE), "")</f>
        <v/>
      </c>
    </row>
    <row r="4182" spans="3:4" x14ac:dyDescent="0.3">
      <c r="C4182" s="35">
        <f t="shared" si="66"/>
        <v>0</v>
      </c>
      <c r="D4182" s="30" t="str">
        <f>IFERROR(VLOOKUP(C4182,소속부서!$A$2:$B$20,2,FALSE), "")</f>
        <v/>
      </c>
    </row>
    <row r="4183" spans="3:4" x14ac:dyDescent="0.3">
      <c r="C4183" s="35">
        <f t="shared" si="66"/>
        <v>0</v>
      </c>
      <c r="D4183" s="30" t="str">
        <f>IFERROR(VLOOKUP(C4183,소속부서!$A$2:$B$20,2,FALSE), "")</f>
        <v/>
      </c>
    </row>
    <row r="4184" spans="3:4" x14ac:dyDescent="0.3">
      <c r="C4184" s="35">
        <f t="shared" si="66"/>
        <v>0</v>
      </c>
      <c r="D4184" s="30" t="str">
        <f>IFERROR(VLOOKUP(C4184,소속부서!$A$2:$B$20,2,FALSE), "")</f>
        <v/>
      </c>
    </row>
    <row r="4185" spans="3:4" x14ac:dyDescent="0.3">
      <c r="C4185" s="35">
        <f t="shared" si="66"/>
        <v>0</v>
      </c>
      <c r="D4185" s="30" t="str">
        <f>IFERROR(VLOOKUP(C4185,소속부서!$A$2:$B$20,2,FALSE), "")</f>
        <v/>
      </c>
    </row>
    <row r="4186" spans="3:4" x14ac:dyDescent="0.3">
      <c r="C4186" s="35">
        <f t="shared" si="66"/>
        <v>0</v>
      </c>
      <c r="D4186" s="30" t="str">
        <f>IFERROR(VLOOKUP(C4186,소속부서!$A$2:$B$20,2,FALSE), "")</f>
        <v/>
      </c>
    </row>
    <row r="4187" spans="3:4" x14ac:dyDescent="0.3">
      <c r="C4187" s="35">
        <f t="shared" si="66"/>
        <v>0</v>
      </c>
      <c r="D4187" s="30" t="str">
        <f>IFERROR(VLOOKUP(C4187,소속부서!$A$2:$B$20,2,FALSE), "")</f>
        <v/>
      </c>
    </row>
    <row r="4188" spans="3:4" x14ac:dyDescent="0.3">
      <c r="C4188" s="35">
        <f t="shared" si="66"/>
        <v>0</v>
      </c>
      <c r="D4188" s="30" t="str">
        <f>IFERROR(VLOOKUP(C4188,소속부서!$A$2:$B$20,2,FALSE), "")</f>
        <v/>
      </c>
    </row>
    <row r="4189" spans="3:4" x14ac:dyDescent="0.3">
      <c r="C4189" s="35">
        <f t="shared" si="66"/>
        <v>0</v>
      </c>
      <c r="D4189" s="30" t="str">
        <f>IFERROR(VLOOKUP(C4189,소속부서!$A$2:$B$20,2,FALSE), "")</f>
        <v/>
      </c>
    </row>
    <row r="4190" spans="3:4" x14ac:dyDescent="0.3">
      <c r="C4190" s="35">
        <f t="shared" si="66"/>
        <v>0</v>
      </c>
      <c r="D4190" s="30" t="str">
        <f>IFERROR(VLOOKUP(C4190,소속부서!$A$2:$B$20,2,FALSE), "")</f>
        <v/>
      </c>
    </row>
    <row r="4191" spans="3:4" x14ac:dyDescent="0.3">
      <c r="C4191" s="35">
        <f t="shared" si="66"/>
        <v>0</v>
      </c>
      <c r="D4191" s="30" t="str">
        <f>IFERROR(VLOOKUP(C4191,소속부서!$A$2:$B$20,2,FALSE), "")</f>
        <v/>
      </c>
    </row>
    <row r="4192" spans="3:4" x14ac:dyDescent="0.3">
      <c r="C4192" s="35">
        <f t="shared" si="66"/>
        <v>0</v>
      </c>
      <c r="D4192" s="30" t="str">
        <f>IFERROR(VLOOKUP(C4192,소속부서!$A$2:$B$20,2,FALSE), "")</f>
        <v/>
      </c>
    </row>
    <row r="4193" spans="3:4" x14ac:dyDescent="0.3">
      <c r="C4193" s="35">
        <f t="shared" si="66"/>
        <v>0</v>
      </c>
      <c r="D4193" s="30" t="str">
        <f>IFERROR(VLOOKUP(C4193,소속부서!$A$2:$B$20,2,FALSE), "")</f>
        <v/>
      </c>
    </row>
    <row r="4194" spans="3:4" x14ac:dyDescent="0.3">
      <c r="C4194" s="35">
        <f t="shared" si="66"/>
        <v>0</v>
      </c>
      <c r="D4194" s="30" t="str">
        <f>IFERROR(VLOOKUP(C4194,소속부서!$A$2:$B$20,2,FALSE), "")</f>
        <v/>
      </c>
    </row>
    <row r="4195" spans="3:4" x14ac:dyDescent="0.3">
      <c r="C4195" s="35">
        <f t="shared" si="66"/>
        <v>0</v>
      </c>
      <c r="D4195" s="30" t="str">
        <f>IFERROR(VLOOKUP(C4195,소속부서!$A$2:$B$20,2,FALSE), "")</f>
        <v/>
      </c>
    </row>
    <row r="4196" spans="3:4" x14ac:dyDescent="0.3">
      <c r="C4196" s="35">
        <f t="shared" si="66"/>
        <v>0</v>
      </c>
      <c r="D4196" s="30" t="str">
        <f>IFERROR(VLOOKUP(C4196,소속부서!$A$2:$B$20,2,FALSE), "")</f>
        <v/>
      </c>
    </row>
    <row r="4197" spans="3:4" x14ac:dyDescent="0.3">
      <c r="C4197" s="35">
        <f t="shared" si="66"/>
        <v>0</v>
      </c>
      <c r="D4197" s="30" t="str">
        <f>IFERROR(VLOOKUP(C4197,소속부서!$A$2:$B$20,2,FALSE), "")</f>
        <v/>
      </c>
    </row>
    <row r="4198" spans="3:4" x14ac:dyDescent="0.3">
      <c r="C4198" s="35">
        <f t="shared" si="66"/>
        <v>0</v>
      </c>
      <c r="D4198" s="30" t="str">
        <f>IFERROR(VLOOKUP(C4198,소속부서!$A$2:$B$20,2,FALSE), "")</f>
        <v/>
      </c>
    </row>
    <row r="4199" spans="3:4" x14ac:dyDescent="0.3">
      <c r="C4199" s="35">
        <f t="shared" si="66"/>
        <v>0</v>
      </c>
      <c r="D4199" s="30" t="str">
        <f>IFERROR(VLOOKUP(C4199,소속부서!$A$2:$B$20,2,FALSE), "")</f>
        <v/>
      </c>
    </row>
    <row r="4200" spans="3:4" x14ac:dyDescent="0.3">
      <c r="C4200" s="35">
        <f t="shared" si="66"/>
        <v>0</v>
      </c>
      <c r="D4200" s="30" t="str">
        <f>IFERROR(VLOOKUP(C4200,소속부서!$A$2:$B$20,2,FALSE), "")</f>
        <v/>
      </c>
    </row>
    <row r="4201" spans="3:4" x14ac:dyDescent="0.3">
      <c r="C4201" s="35">
        <f t="shared" si="66"/>
        <v>0</v>
      </c>
      <c r="D4201" s="30" t="str">
        <f>IFERROR(VLOOKUP(C4201,소속부서!$A$2:$B$20,2,FALSE), "")</f>
        <v/>
      </c>
    </row>
    <row r="4202" spans="3:4" x14ac:dyDescent="0.3">
      <c r="C4202" s="35">
        <f t="shared" si="66"/>
        <v>0</v>
      </c>
      <c r="D4202" s="30" t="str">
        <f>IFERROR(VLOOKUP(C4202,소속부서!$A$2:$B$20,2,FALSE), "")</f>
        <v/>
      </c>
    </row>
    <row r="4203" spans="3:4" x14ac:dyDescent="0.3">
      <c r="C4203" s="35">
        <f t="shared" si="66"/>
        <v>0</v>
      </c>
      <c r="D4203" s="30" t="str">
        <f>IFERROR(VLOOKUP(C4203,소속부서!$A$2:$B$20,2,FALSE), "")</f>
        <v/>
      </c>
    </row>
    <row r="4204" spans="3:4" x14ac:dyDescent="0.3">
      <c r="C4204" s="35">
        <f t="shared" si="66"/>
        <v>0</v>
      </c>
      <c r="D4204" s="30" t="str">
        <f>IFERROR(VLOOKUP(C4204,소속부서!$A$2:$B$20,2,FALSE), "")</f>
        <v/>
      </c>
    </row>
    <row r="4205" spans="3:4" x14ac:dyDescent="0.3">
      <c r="C4205" s="35">
        <f t="shared" si="66"/>
        <v>0</v>
      </c>
      <c r="D4205" s="30" t="str">
        <f>IFERROR(VLOOKUP(C4205,소속부서!$A$2:$B$20,2,FALSE), "")</f>
        <v/>
      </c>
    </row>
    <row r="4206" spans="3:4" x14ac:dyDescent="0.3">
      <c r="C4206" s="35">
        <f t="shared" si="66"/>
        <v>0</v>
      </c>
      <c r="D4206" s="30" t="str">
        <f>IFERROR(VLOOKUP(C4206,소속부서!$A$2:$B$20,2,FALSE), "")</f>
        <v/>
      </c>
    </row>
    <row r="4207" spans="3:4" x14ac:dyDescent="0.3">
      <c r="C4207" s="35">
        <f t="shared" si="66"/>
        <v>0</v>
      </c>
      <c r="D4207" s="30" t="str">
        <f>IFERROR(VLOOKUP(C4207,소속부서!$A$2:$B$20,2,FALSE), "")</f>
        <v/>
      </c>
    </row>
    <row r="4208" spans="3:4" x14ac:dyDescent="0.3">
      <c r="C4208" s="35">
        <f t="shared" si="66"/>
        <v>0</v>
      </c>
      <c r="D4208" s="30" t="str">
        <f>IFERROR(VLOOKUP(C4208,소속부서!$A$2:$B$20,2,FALSE), "")</f>
        <v/>
      </c>
    </row>
    <row r="4209" spans="3:4" x14ac:dyDescent="0.3">
      <c r="C4209" s="35">
        <f t="shared" si="66"/>
        <v>0</v>
      </c>
      <c r="D4209" s="30" t="str">
        <f>IFERROR(VLOOKUP(C4209,소속부서!$A$2:$B$20,2,FALSE), "")</f>
        <v/>
      </c>
    </row>
    <row r="4210" spans="3:4" x14ac:dyDescent="0.3">
      <c r="C4210" s="35">
        <f t="shared" si="66"/>
        <v>0</v>
      </c>
      <c r="D4210" s="30" t="str">
        <f>IFERROR(VLOOKUP(C4210,소속부서!$A$2:$B$20,2,FALSE), "")</f>
        <v/>
      </c>
    </row>
    <row r="4211" spans="3:4" x14ac:dyDescent="0.3">
      <c r="C4211" s="35">
        <f t="shared" si="66"/>
        <v>0</v>
      </c>
      <c r="D4211" s="30" t="str">
        <f>IFERROR(VLOOKUP(C4211,소속부서!$A$2:$B$20,2,FALSE), "")</f>
        <v/>
      </c>
    </row>
    <row r="4212" spans="3:4" x14ac:dyDescent="0.3">
      <c r="C4212" s="35">
        <f t="shared" si="66"/>
        <v>0</v>
      </c>
      <c r="D4212" s="30" t="str">
        <f>IFERROR(VLOOKUP(C4212,소속부서!$A$2:$B$20,2,FALSE), "")</f>
        <v/>
      </c>
    </row>
    <row r="4213" spans="3:4" x14ac:dyDescent="0.3">
      <c r="C4213" s="35">
        <f t="shared" si="66"/>
        <v>0</v>
      </c>
      <c r="D4213" s="30" t="str">
        <f>IFERROR(VLOOKUP(C4213,소속부서!$A$2:$B$20,2,FALSE), "")</f>
        <v/>
      </c>
    </row>
    <row r="4214" spans="3:4" x14ac:dyDescent="0.3">
      <c r="C4214" s="35">
        <f t="shared" si="66"/>
        <v>0</v>
      </c>
      <c r="D4214" s="30" t="str">
        <f>IFERROR(VLOOKUP(C4214,소속부서!$A$2:$B$20,2,FALSE), "")</f>
        <v/>
      </c>
    </row>
    <row r="4215" spans="3:4" x14ac:dyDescent="0.3">
      <c r="C4215" s="35">
        <f t="shared" si="66"/>
        <v>0</v>
      </c>
      <c r="D4215" s="30" t="str">
        <f>IFERROR(VLOOKUP(C4215,소속부서!$A$2:$B$20,2,FALSE), "")</f>
        <v/>
      </c>
    </row>
    <row r="4216" spans="3:4" x14ac:dyDescent="0.3">
      <c r="C4216" s="35">
        <f t="shared" si="66"/>
        <v>0</v>
      </c>
      <c r="D4216" s="30" t="str">
        <f>IFERROR(VLOOKUP(C4216,소속부서!$A$2:$B$20,2,FALSE), "")</f>
        <v/>
      </c>
    </row>
    <row r="4217" spans="3:4" x14ac:dyDescent="0.3">
      <c r="C4217" s="35">
        <f t="shared" si="66"/>
        <v>0</v>
      </c>
      <c r="D4217" s="30" t="str">
        <f>IFERROR(VLOOKUP(C4217,소속부서!$A$2:$B$20,2,FALSE), "")</f>
        <v/>
      </c>
    </row>
    <row r="4218" spans="3:4" x14ac:dyDescent="0.3">
      <c r="C4218" s="35">
        <f t="shared" si="66"/>
        <v>0</v>
      </c>
      <c r="D4218" s="30" t="str">
        <f>IFERROR(VLOOKUP(C4218,소속부서!$A$2:$B$20,2,FALSE), "")</f>
        <v/>
      </c>
    </row>
    <row r="4219" spans="3:4" x14ac:dyDescent="0.3">
      <c r="C4219" s="35">
        <f t="shared" si="66"/>
        <v>0</v>
      </c>
      <c r="D4219" s="30" t="str">
        <f>IFERROR(VLOOKUP(C4219,소속부서!$A$2:$B$20,2,FALSE), "")</f>
        <v/>
      </c>
    </row>
    <row r="4220" spans="3:4" x14ac:dyDescent="0.3">
      <c r="C4220" s="35">
        <f t="shared" si="66"/>
        <v>0</v>
      </c>
      <c r="D4220" s="30" t="str">
        <f>IFERROR(VLOOKUP(C4220,소속부서!$A$2:$B$20,2,FALSE), "")</f>
        <v/>
      </c>
    </row>
    <row r="4221" spans="3:4" x14ac:dyDescent="0.3">
      <c r="C4221" s="35">
        <f t="shared" si="66"/>
        <v>0</v>
      </c>
      <c r="D4221" s="30" t="str">
        <f>IFERROR(VLOOKUP(C4221,소속부서!$A$2:$B$20,2,FALSE), "")</f>
        <v/>
      </c>
    </row>
    <row r="4222" spans="3:4" x14ac:dyDescent="0.3">
      <c r="C4222" s="35">
        <f t="shared" si="66"/>
        <v>0</v>
      </c>
      <c r="D4222" s="30" t="str">
        <f>IFERROR(VLOOKUP(C4222,소속부서!$A$2:$B$20,2,FALSE), "")</f>
        <v/>
      </c>
    </row>
    <row r="4223" spans="3:4" x14ac:dyDescent="0.3">
      <c r="C4223" s="35">
        <f t="shared" si="66"/>
        <v>0</v>
      </c>
      <c r="D4223" s="30" t="str">
        <f>IFERROR(VLOOKUP(C4223,소속부서!$A$2:$B$20,2,FALSE), "")</f>
        <v/>
      </c>
    </row>
    <row r="4224" spans="3:4" x14ac:dyDescent="0.3">
      <c r="C4224" s="35">
        <f t="shared" si="66"/>
        <v>0</v>
      </c>
      <c r="D4224" s="30" t="str">
        <f>IFERROR(VLOOKUP(C4224,소속부서!$A$2:$B$20,2,FALSE), "")</f>
        <v/>
      </c>
    </row>
    <row r="4225" spans="3:4" x14ac:dyDescent="0.3">
      <c r="C4225" s="35">
        <f t="shared" si="66"/>
        <v>0</v>
      </c>
      <c r="D4225" s="30" t="str">
        <f>IFERROR(VLOOKUP(C4225,소속부서!$A$2:$B$20,2,FALSE), "")</f>
        <v/>
      </c>
    </row>
    <row r="4226" spans="3:4" x14ac:dyDescent="0.3">
      <c r="C4226" s="35">
        <f t="shared" si="66"/>
        <v>0</v>
      </c>
      <c r="D4226" s="30" t="str">
        <f>IFERROR(VLOOKUP(C4226,소속부서!$A$2:$B$20,2,FALSE), "")</f>
        <v/>
      </c>
    </row>
    <row r="4227" spans="3:4" x14ac:dyDescent="0.3">
      <c r="C4227" s="35">
        <f t="shared" si="66"/>
        <v>0</v>
      </c>
      <c r="D4227" s="30" t="str">
        <f>IFERROR(VLOOKUP(C4227,소속부서!$A$2:$B$20,2,FALSE), "")</f>
        <v/>
      </c>
    </row>
    <row r="4228" spans="3:4" x14ac:dyDescent="0.3">
      <c r="C4228" s="35">
        <f t="shared" ref="C4228:C4291" si="67">E4228</f>
        <v>0</v>
      </c>
      <c r="D4228" s="30" t="str">
        <f>IFERROR(VLOOKUP(C4228,소속부서!$A$2:$B$20,2,FALSE), "")</f>
        <v/>
      </c>
    </row>
    <row r="4229" spans="3:4" x14ac:dyDescent="0.3">
      <c r="C4229" s="35">
        <f t="shared" si="67"/>
        <v>0</v>
      </c>
      <c r="D4229" s="30" t="str">
        <f>IFERROR(VLOOKUP(C4229,소속부서!$A$2:$B$20,2,FALSE), "")</f>
        <v/>
      </c>
    </row>
    <row r="4230" spans="3:4" x14ac:dyDescent="0.3">
      <c r="C4230" s="35">
        <f t="shared" si="67"/>
        <v>0</v>
      </c>
      <c r="D4230" s="30" t="str">
        <f>IFERROR(VLOOKUP(C4230,소속부서!$A$2:$B$20,2,FALSE), "")</f>
        <v/>
      </c>
    </row>
    <row r="4231" spans="3:4" x14ac:dyDescent="0.3">
      <c r="C4231" s="35">
        <f t="shared" si="67"/>
        <v>0</v>
      </c>
      <c r="D4231" s="30" t="str">
        <f>IFERROR(VLOOKUP(C4231,소속부서!$A$2:$B$20,2,FALSE), "")</f>
        <v/>
      </c>
    </row>
    <row r="4232" spans="3:4" x14ac:dyDescent="0.3">
      <c r="C4232" s="35">
        <f t="shared" si="67"/>
        <v>0</v>
      </c>
      <c r="D4232" s="30" t="str">
        <f>IFERROR(VLOOKUP(C4232,소속부서!$A$2:$B$20,2,FALSE), "")</f>
        <v/>
      </c>
    </row>
    <row r="4233" spans="3:4" x14ac:dyDescent="0.3">
      <c r="C4233" s="35">
        <f t="shared" si="67"/>
        <v>0</v>
      </c>
      <c r="D4233" s="30" t="str">
        <f>IFERROR(VLOOKUP(C4233,소속부서!$A$2:$B$20,2,FALSE), "")</f>
        <v/>
      </c>
    </row>
    <row r="4234" spans="3:4" x14ac:dyDescent="0.3">
      <c r="C4234" s="35">
        <f t="shared" si="67"/>
        <v>0</v>
      </c>
      <c r="D4234" s="30" t="str">
        <f>IFERROR(VLOOKUP(C4234,소속부서!$A$2:$B$20,2,FALSE), "")</f>
        <v/>
      </c>
    </row>
    <row r="4235" spans="3:4" x14ac:dyDescent="0.3">
      <c r="C4235" s="35">
        <f t="shared" si="67"/>
        <v>0</v>
      </c>
      <c r="D4235" s="30" t="str">
        <f>IFERROR(VLOOKUP(C4235,소속부서!$A$2:$B$20,2,FALSE), "")</f>
        <v/>
      </c>
    </row>
    <row r="4236" spans="3:4" x14ac:dyDescent="0.3">
      <c r="C4236" s="35">
        <f t="shared" si="67"/>
        <v>0</v>
      </c>
      <c r="D4236" s="30" t="str">
        <f>IFERROR(VLOOKUP(C4236,소속부서!$A$2:$B$20,2,FALSE), "")</f>
        <v/>
      </c>
    </row>
    <row r="4237" spans="3:4" x14ac:dyDescent="0.3">
      <c r="C4237" s="35">
        <f t="shared" si="67"/>
        <v>0</v>
      </c>
      <c r="D4237" s="30" t="str">
        <f>IFERROR(VLOOKUP(C4237,소속부서!$A$2:$B$20,2,FALSE), "")</f>
        <v/>
      </c>
    </row>
    <row r="4238" spans="3:4" x14ac:dyDescent="0.3">
      <c r="C4238" s="35">
        <f t="shared" si="67"/>
        <v>0</v>
      </c>
      <c r="D4238" s="30" t="str">
        <f>IFERROR(VLOOKUP(C4238,소속부서!$A$2:$B$20,2,FALSE), "")</f>
        <v/>
      </c>
    </row>
    <row r="4239" spans="3:4" x14ac:dyDescent="0.3">
      <c r="C4239" s="35">
        <f t="shared" si="67"/>
        <v>0</v>
      </c>
      <c r="D4239" s="30" t="str">
        <f>IFERROR(VLOOKUP(C4239,소속부서!$A$2:$B$20,2,FALSE), "")</f>
        <v/>
      </c>
    </row>
    <row r="4240" spans="3:4" x14ac:dyDescent="0.3">
      <c r="C4240" s="35">
        <f t="shared" si="67"/>
        <v>0</v>
      </c>
      <c r="D4240" s="30" t="str">
        <f>IFERROR(VLOOKUP(C4240,소속부서!$A$2:$B$20,2,FALSE), "")</f>
        <v/>
      </c>
    </row>
    <row r="4241" spans="3:4" x14ac:dyDescent="0.3">
      <c r="C4241" s="35">
        <f t="shared" si="67"/>
        <v>0</v>
      </c>
      <c r="D4241" s="30" t="str">
        <f>IFERROR(VLOOKUP(C4241,소속부서!$A$2:$B$20,2,FALSE), "")</f>
        <v/>
      </c>
    </row>
    <row r="4242" spans="3:4" x14ac:dyDescent="0.3">
      <c r="C4242" s="35">
        <f t="shared" si="67"/>
        <v>0</v>
      </c>
      <c r="D4242" s="30" t="str">
        <f>IFERROR(VLOOKUP(C4242,소속부서!$A$2:$B$20,2,FALSE), "")</f>
        <v/>
      </c>
    </row>
    <row r="4243" spans="3:4" x14ac:dyDescent="0.3">
      <c r="C4243" s="35">
        <f t="shared" si="67"/>
        <v>0</v>
      </c>
      <c r="D4243" s="30" t="str">
        <f>IFERROR(VLOOKUP(C4243,소속부서!$A$2:$B$20,2,FALSE), "")</f>
        <v/>
      </c>
    </row>
    <row r="4244" spans="3:4" x14ac:dyDescent="0.3">
      <c r="C4244" s="35">
        <f t="shared" si="67"/>
        <v>0</v>
      </c>
      <c r="D4244" s="30" t="str">
        <f>IFERROR(VLOOKUP(C4244,소속부서!$A$2:$B$20,2,FALSE), "")</f>
        <v/>
      </c>
    </row>
    <row r="4245" spans="3:4" x14ac:dyDescent="0.3">
      <c r="C4245" s="35">
        <f t="shared" si="67"/>
        <v>0</v>
      </c>
      <c r="D4245" s="30" t="str">
        <f>IFERROR(VLOOKUP(C4245,소속부서!$A$2:$B$20,2,FALSE), "")</f>
        <v/>
      </c>
    </row>
    <row r="4246" spans="3:4" x14ac:dyDescent="0.3">
      <c r="C4246" s="35">
        <f t="shared" si="67"/>
        <v>0</v>
      </c>
      <c r="D4246" s="30" t="str">
        <f>IFERROR(VLOOKUP(C4246,소속부서!$A$2:$B$20,2,FALSE), "")</f>
        <v/>
      </c>
    </row>
    <row r="4247" spans="3:4" x14ac:dyDescent="0.3">
      <c r="C4247" s="35">
        <f t="shared" si="67"/>
        <v>0</v>
      </c>
      <c r="D4247" s="30" t="str">
        <f>IFERROR(VLOOKUP(C4247,소속부서!$A$2:$B$20,2,FALSE), "")</f>
        <v/>
      </c>
    </row>
    <row r="4248" spans="3:4" x14ac:dyDescent="0.3">
      <c r="C4248" s="35">
        <f t="shared" si="67"/>
        <v>0</v>
      </c>
      <c r="D4248" s="30" t="str">
        <f>IFERROR(VLOOKUP(C4248,소속부서!$A$2:$B$20,2,FALSE), "")</f>
        <v/>
      </c>
    </row>
    <row r="4249" spans="3:4" x14ac:dyDescent="0.3">
      <c r="C4249" s="35">
        <f t="shared" si="67"/>
        <v>0</v>
      </c>
      <c r="D4249" s="30" t="str">
        <f>IFERROR(VLOOKUP(C4249,소속부서!$A$2:$B$20,2,FALSE), "")</f>
        <v/>
      </c>
    </row>
    <row r="4250" spans="3:4" x14ac:dyDescent="0.3">
      <c r="C4250" s="35">
        <f t="shared" si="67"/>
        <v>0</v>
      </c>
      <c r="D4250" s="30" t="str">
        <f>IFERROR(VLOOKUP(C4250,소속부서!$A$2:$B$20,2,FALSE), "")</f>
        <v/>
      </c>
    </row>
    <row r="4251" spans="3:4" x14ac:dyDescent="0.3">
      <c r="C4251" s="35">
        <f t="shared" si="67"/>
        <v>0</v>
      </c>
      <c r="D4251" s="30" t="str">
        <f>IFERROR(VLOOKUP(C4251,소속부서!$A$2:$B$20,2,FALSE), "")</f>
        <v/>
      </c>
    </row>
    <row r="4252" spans="3:4" x14ac:dyDescent="0.3">
      <c r="C4252" s="35">
        <f t="shared" si="67"/>
        <v>0</v>
      </c>
      <c r="D4252" s="30" t="str">
        <f>IFERROR(VLOOKUP(C4252,소속부서!$A$2:$B$20,2,FALSE), "")</f>
        <v/>
      </c>
    </row>
    <row r="4253" spans="3:4" x14ac:dyDescent="0.3">
      <c r="C4253" s="35">
        <f t="shared" si="67"/>
        <v>0</v>
      </c>
      <c r="D4253" s="30" t="str">
        <f>IFERROR(VLOOKUP(C4253,소속부서!$A$2:$B$20,2,FALSE), "")</f>
        <v/>
      </c>
    </row>
    <row r="4254" spans="3:4" x14ac:dyDescent="0.3">
      <c r="C4254" s="35">
        <f t="shared" si="67"/>
        <v>0</v>
      </c>
      <c r="D4254" s="30" t="str">
        <f>IFERROR(VLOOKUP(C4254,소속부서!$A$2:$B$20,2,FALSE), "")</f>
        <v/>
      </c>
    </row>
    <row r="4255" spans="3:4" x14ac:dyDescent="0.3">
      <c r="C4255" s="35">
        <f t="shared" si="67"/>
        <v>0</v>
      </c>
      <c r="D4255" s="30" t="str">
        <f>IFERROR(VLOOKUP(C4255,소속부서!$A$2:$B$20,2,FALSE), "")</f>
        <v/>
      </c>
    </row>
    <row r="4256" spans="3:4" x14ac:dyDescent="0.3">
      <c r="C4256" s="35">
        <f t="shared" si="67"/>
        <v>0</v>
      </c>
      <c r="D4256" s="30" t="str">
        <f>IFERROR(VLOOKUP(C4256,소속부서!$A$2:$B$20,2,FALSE), "")</f>
        <v/>
      </c>
    </row>
    <row r="4257" spans="3:4" x14ac:dyDescent="0.3">
      <c r="C4257" s="35">
        <f t="shared" si="67"/>
        <v>0</v>
      </c>
      <c r="D4257" s="30" t="str">
        <f>IFERROR(VLOOKUP(C4257,소속부서!$A$2:$B$20,2,FALSE), "")</f>
        <v/>
      </c>
    </row>
    <row r="4258" spans="3:4" x14ac:dyDescent="0.3">
      <c r="C4258" s="35">
        <f t="shared" si="67"/>
        <v>0</v>
      </c>
      <c r="D4258" s="30" t="str">
        <f>IFERROR(VLOOKUP(C4258,소속부서!$A$2:$B$20,2,FALSE), "")</f>
        <v/>
      </c>
    </row>
    <row r="4259" spans="3:4" x14ac:dyDescent="0.3">
      <c r="C4259" s="35">
        <f t="shared" si="67"/>
        <v>0</v>
      </c>
      <c r="D4259" s="30" t="str">
        <f>IFERROR(VLOOKUP(C4259,소속부서!$A$2:$B$20,2,FALSE), "")</f>
        <v/>
      </c>
    </row>
    <row r="4260" spans="3:4" x14ac:dyDescent="0.3">
      <c r="C4260" s="35">
        <f t="shared" si="67"/>
        <v>0</v>
      </c>
      <c r="D4260" s="30" t="str">
        <f>IFERROR(VLOOKUP(C4260,소속부서!$A$2:$B$20,2,FALSE), "")</f>
        <v/>
      </c>
    </row>
    <row r="4261" spans="3:4" x14ac:dyDescent="0.3">
      <c r="C4261" s="35">
        <f t="shared" si="67"/>
        <v>0</v>
      </c>
      <c r="D4261" s="30" t="str">
        <f>IFERROR(VLOOKUP(C4261,소속부서!$A$2:$B$20,2,FALSE), "")</f>
        <v/>
      </c>
    </row>
    <row r="4262" spans="3:4" x14ac:dyDescent="0.3">
      <c r="C4262" s="35">
        <f t="shared" si="67"/>
        <v>0</v>
      </c>
      <c r="D4262" s="30" t="str">
        <f>IFERROR(VLOOKUP(C4262,소속부서!$A$2:$B$20,2,FALSE), "")</f>
        <v/>
      </c>
    </row>
    <row r="4263" spans="3:4" x14ac:dyDescent="0.3">
      <c r="C4263" s="35">
        <f t="shared" si="67"/>
        <v>0</v>
      </c>
      <c r="D4263" s="30" t="str">
        <f>IFERROR(VLOOKUP(C4263,소속부서!$A$2:$B$20,2,FALSE), "")</f>
        <v/>
      </c>
    </row>
    <row r="4264" spans="3:4" x14ac:dyDescent="0.3">
      <c r="C4264" s="35">
        <f t="shared" si="67"/>
        <v>0</v>
      </c>
      <c r="D4264" s="30" t="str">
        <f>IFERROR(VLOOKUP(C4264,소속부서!$A$2:$B$20,2,FALSE), "")</f>
        <v/>
      </c>
    </row>
    <row r="4265" spans="3:4" x14ac:dyDescent="0.3">
      <c r="C4265" s="35">
        <f t="shared" si="67"/>
        <v>0</v>
      </c>
      <c r="D4265" s="30" t="str">
        <f>IFERROR(VLOOKUP(C4265,소속부서!$A$2:$B$20,2,FALSE), "")</f>
        <v/>
      </c>
    </row>
    <row r="4266" spans="3:4" x14ac:dyDescent="0.3">
      <c r="C4266" s="35">
        <f t="shared" si="67"/>
        <v>0</v>
      </c>
      <c r="D4266" s="30" t="str">
        <f>IFERROR(VLOOKUP(C4266,소속부서!$A$2:$B$20,2,FALSE), "")</f>
        <v/>
      </c>
    </row>
    <row r="4267" spans="3:4" x14ac:dyDescent="0.3">
      <c r="C4267" s="35">
        <f t="shared" si="67"/>
        <v>0</v>
      </c>
      <c r="D4267" s="30" t="str">
        <f>IFERROR(VLOOKUP(C4267,소속부서!$A$2:$B$20,2,FALSE), "")</f>
        <v/>
      </c>
    </row>
    <row r="4268" spans="3:4" x14ac:dyDescent="0.3">
      <c r="C4268" s="35">
        <f t="shared" si="67"/>
        <v>0</v>
      </c>
      <c r="D4268" s="30" t="str">
        <f>IFERROR(VLOOKUP(C4268,소속부서!$A$2:$B$20,2,FALSE), "")</f>
        <v/>
      </c>
    </row>
    <row r="4269" spans="3:4" x14ac:dyDescent="0.3">
      <c r="C4269" s="35">
        <f t="shared" si="67"/>
        <v>0</v>
      </c>
      <c r="D4269" s="30" t="str">
        <f>IFERROR(VLOOKUP(C4269,소속부서!$A$2:$B$20,2,FALSE), "")</f>
        <v/>
      </c>
    </row>
    <row r="4270" spans="3:4" x14ac:dyDescent="0.3">
      <c r="C4270" s="35">
        <f t="shared" si="67"/>
        <v>0</v>
      </c>
      <c r="D4270" s="30" t="str">
        <f>IFERROR(VLOOKUP(C4270,소속부서!$A$2:$B$20,2,FALSE), "")</f>
        <v/>
      </c>
    </row>
    <row r="4271" spans="3:4" x14ac:dyDescent="0.3">
      <c r="C4271" s="35">
        <f t="shared" si="67"/>
        <v>0</v>
      </c>
      <c r="D4271" s="30" t="str">
        <f>IFERROR(VLOOKUP(C4271,소속부서!$A$2:$B$20,2,FALSE), "")</f>
        <v/>
      </c>
    </row>
    <row r="4272" spans="3:4" x14ac:dyDescent="0.3">
      <c r="C4272" s="35">
        <f t="shared" si="67"/>
        <v>0</v>
      </c>
      <c r="D4272" s="30" t="str">
        <f>IFERROR(VLOOKUP(C4272,소속부서!$A$2:$B$20,2,FALSE), "")</f>
        <v/>
      </c>
    </row>
    <row r="4273" spans="3:4" x14ac:dyDescent="0.3">
      <c r="C4273" s="35">
        <f t="shared" si="67"/>
        <v>0</v>
      </c>
      <c r="D4273" s="30" t="str">
        <f>IFERROR(VLOOKUP(C4273,소속부서!$A$2:$B$20,2,FALSE), "")</f>
        <v/>
      </c>
    </row>
    <row r="4274" spans="3:4" x14ac:dyDescent="0.3">
      <c r="C4274" s="35">
        <f t="shared" si="67"/>
        <v>0</v>
      </c>
      <c r="D4274" s="30" t="str">
        <f>IFERROR(VLOOKUP(C4274,소속부서!$A$2:$B$20,2,FALSE), "")</f>
        <v/>
      </c>
    </row>
    <row r="4275" spans="3:4" x14ac:dyDescent="0.3">
      <c r="C4275" s="35">
        <f t="shared" si="67"/>
        <v>0</v>
      </c>
      <c r="D4275" s="30" t="str">
        <f>IFERROR(VLOOKUP(C4275,소속부서!$A$2:$B$20,2,FALSE), "")</f>
        <v/>
      </c>
    </row>
    <row r="4276" spans="3:4" x14ac:dyDescent="0.3">
      <c r="C4276" s="35">
        <f t="shared" si="67"/>
        <v>0</v>
      </c>
      <c r="D4276" s="30" t="str">
        <f>IFERROR(VLOOKUP(C4276,소속부서!$A$2:$B$20,2,FALSE), "")</f>
        <v/>
      </c>
    </row>
    <row r="4277" spans="3:4" x14ac:dyDescent="0.3">
      <c r="C4277" s="35">
        <f t="shared" si="67"/>
        <v>0</v>
      </c>
      <c r="D4277" s="30" t="str">
        <f>IFERROR(VLOOKUP(C4277,소속부서!$A$2:$B$20,2,FALSE), "")</f>
        <v/>
      </c>
    </row>
    <row r="4278" spans="3:4" x14ac:dyDescent="0.3">
      <c r="C4278" s="35">
        <f t="shared" si="67"/>
        <v>0</v>
      </c>
      <c r="D4278" s="30" t="str">
        <f>IFERROR(VLOOKUP(C4278,소속부서!$A$2:$B$20,2,FALSE), "")</f>
        <v/>
      </c>
    </row>
    <row r="4279" spans="3:4" x14ac:dyDescent="0.3">
      <c r="C4279" s="35">
        <f t="shared" si="67"/>
        <v>0</v>
      </c>
      <c r="D4279" s="30" t="str">
        <f>IFERROR(VLOOKUP(C4279,소속부서!$A$2:$B$20,2,FALSE), "")</f>
        <v/>
      </c>
    </row>
    <row r="4280" spans="3:4" x14ac:dyDescent="0.3">
      <c r="C4280" s="35">
        <f t="shared" si="67"/>
        <v>0</v>
      </c>
      <c r="D4280" s="30" t="str">
        <f>IFERROR(VLOOKUP(C4280,소속부서!$A$2:$B$20,2,FALSE), "")</f>
        <v/>
      </c>
    </row>
    <row r="4281" spans="3:4" x14ac:dyDescent="0.3">
      <c r="C4281" s="35">
        <f t="shared" si="67"/>
        <v>0</v>
      </c>
      <c r="D4281" s="30" t="str">
        <f>IFERROR(VLOOKUP(C4281,소속부서!$A$2:$B$20,2,FALSE), "")</f>
        <v/>
      </c>
    </row>
    <row r="4282" spans="3:4" x14ac:dyDescent="0.3">
      <c r="C4282" s="35">
        <f t="shared" si="67"/>
        <v>0</v>
      </c>
      <c r="D4282" s="30" t="str">
        <f>IFERROR(VLOOKUP(C4282,소속부서!$A$2:$B$20,2,FALSE), "")</f>
        <v/>
      </c>
    </row>
    <row r="4283" spans="3:4" x14ac:dyDescent="0.3">
      <c r="C4283" s="35">
        <f t="shared" si="67"/>
        <v>0</v>
      </c>
      <c r="D4283" s="30" t="str">
        <f>IFERROR(VLOOKUP(C4283,소속부서!$A$2:$B$20,2,FALSE), "")</f>
        <v/>
      </c>
    </row>
    <row r="4284" spans="3:4" x14ac:dyDescent="0.3">
      <c r="C4284" s="35">
        <f t="shared" si="67"/>
        <v>0</v>
      </c>
      <c r="D4284" s="30" t="str">
        <f>IFERROR(VLOOKUP(C4284,소속부서!$A$2:$B$20,2,FALSE), "")</f>
        <v/>
      </c>
    </row>
    <row r="4285" spans="3:4" x14ac:dyDescent="0.3">
      <c r="C4285" s="35">
        <f t="shared" si="67"/>
        <v>0</v>
      </c>
      <c r="D4285" s="30" t="str">
        <f>IFERROR(VLOOKUP(C4285,소속부서!$A$2:$B$20,2,FALSE), "")</f>
        <v/>
      </c>
    </row>
    <row r="4286" spans="3:4" x14ac:dyDescent="0.3">
      <c r="C4286" s="35">
        <f t="shared" si="67"/>
        <v>0</v>
      </c>
      <c r="D4286" s="30" t="str">
        <f>IFERROR(VLOOKUP(C4286,소속부서!$A$2:$B$20,2,FALSE), "")</f>
        <v/>
      </c>
    </row>
    <row r="4287" spans="3:4" x14ac:dyDescent="0.3">
      <c r="C4287" s="35">
        <f t="shared" si="67"/>
        <v>0</v>
      </c>
      <c r="D4287" s="30" t="str">
        <f>IFERROR(VLOOKUP(C4287,소속부서!$A$2:$B$20,2,FALSE), "")</f>
        <v/>
      </c>
    </row>
    <row r="4288" spans="3:4" x14ac:dyDescent="0.3">
      <c r="C4288" s="35">
        <f t="shared" si="67"/>
        <v>0</v>
      </c>
      <c r="D4288" s="30" t="str">
        <f>IFERROR(VLOOKUP(C4288,소속부서!$A$2:$B$20,2,FALSE), "")</f>
        <v/>
      </c>
    </row>
    <row r="4289" spans="3:4" x14ac:dyDescent="0.3">
      <c r="C4289" s="35">
        <f t="shared" si="67"/>
        <v>0</v>
      </c>
      <c r="D4289" s="30" t="str">
        <f>IFERROR(VLOOKUP(C4289,소속부서!$A$2:$B$20,2,FALSE), "")</f>
        <v/>
      </c>
    </row>
    <row r="4290" spans="3:4" x14ac:dyDescent="0.3">
      <c r="C4290" s="35">
        <f t="shared" si="67"/>
        <v>0</v>
      </c>
      <c r="D4290" s="30" t="str">
        <f>IFERROR(VLOOKUP(C4290,소속부서!$A$2:$B$20,2,FALSE), "")</f>
        <v/>
      </c>
    </row>
    <row r="4291" spans="3:4" x14ac:dyDescent="0.3">
      <c r="C4291" s="35">
        <f t="shared" si="67"/>
        <v>0</v>
      </c>
      <c r="D4291" s="30" t="str">
        <f>IFERROR(VLOOKUP(C4291,소속부서!$A$2:$B$20,2,FALSE), "")</f>
        <v/>
      </c>
    </row>
    <row r="4292" spans="3:4" x14ac:dyDescent="0.3">
      <c r="C4292" s="35">
        <f t="shared" ref="C4292:C4355" si="68">E4292</f>
        <v>0</v>
      </c>
      <c r="D4292" s="30" t="str">
        <f>IFERROR(VLOOKUP(C4292,소속부서!$A$2:$B$20,2,FALSE), "")</f>
        <v/>
      </c>
    </row>
    <row r="4293" spans="3:4" x14ac:dyDescent="0.3">
      <c r="C4293" s="35">
        <f t="shared" si="68"/>
        <v>0</v>
      </c>
      <c r="D4293" s="30" t="str">
        <f>IFERROR(VLOOKUP(C4293,소속부서!$A$2:$B$20,2,FALSE), "")</f>
        <v/>
      </c>
    </row>
    <row r="4294" spans="3:4" x14ac:dyDescent="0.3">
      <c r="C4294" s="35">
        <f t="shared" si="68"/>
        <v>0</v>
      </c>
      <c r="D4294" s="30" t="str">
        <f>IFERROR(VLOOKUP(C4294,소속부서!$A$2:$B$20,2,FALSE), "")</f>
        <v/>
      </c>
    </row>
    <row r="4295" spans="3:4" x14ac:dyDescent="0.3">
      <c r="C4295" s="35">
        <f t="shared" si="68"/>
        <v>0</v>
      </c>
      <c r="D4295" s="30" t="str">
        <f>IFERROR(VLOOKUP(C4295,소속부서!$A$2:$B$20,2,FALSE), "")</f>
        <v/>
      </c>
    </row>
    <row r="4296" spans="3:4" x14ac:dyDescent="0.3">
      <c r="C4296" s="35">
        <f t="shared" si="68"/>
        <v>0</v>
      </c>
      <c r="D4296" s="30" t="str">
        <f>IFERROR(VLOOKUP(C4296,소속부서!$A$2:$B$20,2,FALSE), "")</f>
        <v/>
      </c>
    </row>
    <row r="4297" spans="3:4" x14ac:dyDescent="0.3">
      <c r="C4297" s="35">
        <f t="shared" si="68"/>
        <v>0</v>
      </c>
      <c r="D4297" s="30" t="str">
        <f>IFERROR(VLOOKUP(C4297,소속부서!$A$2:$B$20,2,FALSE), "")</f>
        <v/>
      </c>
    </row>
    <row r="4298" spans="3:4" x14ac:dyDescent="0.3">
      <c r="C4298" s="35">
        <f t="shared" si="68"/>
        <v>0</v>
      </c>
      <c r="D4298" s="30" t="str">
        <f>IFERROR(VLOOKUP(C4298,소속부서!$A$2:$B$20,2,FALSE), "")</f>
        <v/>
      </c>
    </row>
    <row r="4299" spans="3:4" x14ac:dyDescent="0.3">
      <c r="C4299" s="35">
        <f t="shared" si="68"/>
        <v>0</v>
      </c>
      <c r="D4299" s="30" t="str">
        <f>IFERROR(VLOOKUP(C4299,소속부서!$A$2:$B$20,2,FALSE), "")</f>
        <v/>
      </c>
    </row>
    <row r="4300" spans="3:4" x14ac:dyDescent="0.3">
      <c r="C4300" s="35">
        <f t="shared" si="68"/>
        <v>0</v>
      </c>
      <c r="D4300" s="30" t="str">
        <f>IFERROR(VLOOKUP(C4300,소속부서!$A$2:$B$20,2,FALSE), "")</f>
        <v/>
      </c>
    </row>
    <row r="4301" spans="3:4" x14ac:dyDescent="0.3">
      <c r="C4301" s="35">
        <f t="shared" si="68"/>
        <v>0</v>
      </c>
      <c r="D4301" s="30" t="str">
        <f>IFERROR(VLOOKUP(C4301,소속부서!$A$2:$B$20,2,FALSE), "")</f>
        <v/>
      </c>
    </row>
    <row r="4302" spans="3:4" x14ac:dyDescent="0.3">
      <c r="C4302" s="35">
        <f t="shared" si="68"/>
        <v>0</v>
      </c>
      <c r="D4302" s="30" t="str">
        <f>IFERROR(VLOOKUP(C4302,소속부서!$A$2:$B$20,2,FALSE), "")</f>
        <v/>
      </c>
    </row>
    <row r="4303" spans="3:4" x14ac:dyDescent="0.3">
      <c r="C4303" s="35">
        <f t="shared" si="68"/>
        <v>0</v>
      </c>
      <c r="D4303" s="30" t="str">
        <f>IFERROR(VLOOKUP(C4303,소속부서!$A$2:$B$20,2,FALSE), "")</f>
        <v/>
      </c>
    </row>
    <row r="4304" spans="3:4" x14ac:dyDescent="0.3">
      <c r="C4304" s="35">
        <f t="shared" si="68"/>
        <v>0</v>
      </c>
      <c r="D4304" s="30" t="str">
        <f>IFERROR(VLOOKUP(C4304,소속부서!$A$2:$B$20,2,FALSE), "")</f>
        <v/>
      </c>
    </row>
    <row r="4305" spans="3:4" x14ac:dyDescent="0.3">
      <c r="C4305" s="35">
        <f t="shared" si="68"/>
        <v>0</v>
      </c>
      <c r="D4305" s="30" t="str">
        <f>IFERROR(VLOOKUP(C4305,소속부서!$A$2:$B$20,2,FALSE), "")</f>
        <v/>
      </c>
    </row>
    <row r="4306" spans="3:4" x14ac:dyDescent="0.3">
      <c r="C4306" s="35">
        <f t="shared" si="68"/>
        <v>0</v>
      </c>
      <c r="D4306" s="30" t="str">
        <f>IFERROR(VLOOKUP(C4306,소속부서!$A$2:$B$20,2,FALSE), "")</f>
        <v/>
      </c>
    </row>
    <row r="4307" spans="3:4" x14ac:dyDescent="0.3">
      <c r="C4307" s="35">
        <f t="shared" si="68"/>
        <v>0</v>
      </c>
      <c r="D4307" s="30" t="str">
        <f>IFERROR(VLOOKUP(C4307,소속부서!$A$2:$B$20,2,FALSE), "")</f>
        <v/>
      </c>
    </row>
    <row r="4308" spans="3:4" x14ac:dyDescent="0.3">
      <c r="C4308" s="35">
        <f t="shared" si="68"/>
        <v>0</v>
      </c>
      <c r="D4308" s="30" t="str">
        <f>IFERROR(VLOOKUP(C4308,소속부서!$A$2:$B$20,2,FALSE), "")</f>
        <v/>
      </c>
    </row>
    <row r="4309" spans="3:4" x14ac:dyDescent="0.3">
      <c r="C4309" s="35">
        <f t="shared" si="68"/>
        <v>0</v>
      </c>
      <c r="D4309" s="30" t="str">
        <f>IFERROR(VLOOKUP(C4309,소속부서!$A$2:$B$20,2,FALSE), "")</f>
        <v/>
      </c>
    </row>
    <row r="4310" spans="3:4" x14ac:dyDescent="0.3">
      <c r="C4310" s="35">
        <f t="shared" si="68"/>
        <v>0</v>
      </c>
      <c r="D4310" s="30" t="str">
        <f>IFERROR(VLOOKUP(C4310,소속부서!$A$2:$B$20,2,FALSE), "")</f>
        <v/>
      </c>
    </row>
    <row r="4311" spans="3:4" x14ac:dyDescent="0.3">
      <c r="C4311" s="35">
        <f t="shared" si="68"/>
        <v>0</v>
      </c>
      <c r="D4311" s="30" t="str">
        <f>IFERROR(VLOOKUP(C4311,소속부서!$A$2:$B$20,2,FALSE), "")</f>
        <v/>
      </c>
    </row>
    <row r="4312" spans="3:4" x14ac:dyDescent="0.3">
      <c r="C4312" s="35">
        <f t="shared" si="68"/>
        <v>0</v>
      </c>
      <c r="D4312" s="30" t="str">
        <f>IFERROR(VLOOKUP(C4312,소속부서!$A$2:$B$20,2,FALSE), "")</f>
        <v/>
      </c>
    </row>
    <row r="4313" spans="3:4" x14ac:dyDescent="0.3">
      <c r="C4313" s="35">
        <f t="shared" si="68"/>
        <v>0</v>
      </c>
      <c r="D4313" s="30" t="str">
        <f>IFERROR(VLOOKUP(C4313,소속부서!$A$2:$B$20,2,FALSE), "")</f>
        <v/>
      </c>
    </row>
    <row r="4314" spans="3:4" x14ac:dyDescent="0.3">
      <c r="C4314" s="35">
        <f t="shared" si="68"/>
        <v>0</v>
      </c>
      <c r="D4314" s="30" t="str">
        <f>IFERROR(VLOOKUP(C4314,소속부서!$A$2:$B$20,2,FALSE), "")</f>
        <v/>
      </c>
    </row>
    <row r="4315" spans="3:4" x14ac:dyDescent="0.3">
      <c r="C4315" s="35">
        <f t="shared" si="68"/>
        <v>0</v>
      </c>
      <c r="D4315" s="30" t="str">
        <f>IFERROR(VLOOKUP(C4315,소속부서!$A$2:$B$20,2,FALSE), "")</f>
        <v/>
      </c>
    </row>
    <row r="4316" spans="3:4" x14ac:dyDescent="0.3">
      <c r="C4316" s="35">
        <f t="shared" si="68"/>
        <v>0</v>
      </c>
      <c r="D4316" s="30" t="str">
        <f>IFERROR(VLOOKUP(C4316,소속부서!$A$2:$B$20,2,FALSE), "")</f>
        <v/>
      </c>
    </row>
    <row r="4317" spans="3:4" x14ac:dyDescent="0.3">
      <c r="C4317" s="35">
        <f t="shared" si="68"/>
        <v>0</v>
      </c>
      <c r="D4317" s="30" t="str">
        <f>IFERROR(VLOOKUP(C4317,소속부서!$A$2:$B$20,2,FALSE), "")</f>
        <v/>
      </c>
    </row>
    <row r="4318" spans="3:4" x14ac:dyDescent="0.3">
      <c r="C4318" s="35">
        <f t="shared" si="68"/>
        <v>0</v>
      </c>
      <c r="D4318" s="30" t="str">
        <f>IFERROR(VLOOKUP(C4318,소속부서!$A$2:$B$20,2,FALSE), "")</f>
        <v/>
      </c>
    </row>
    <row r="4319" spans="3:4" x14ac:dyDescent="0.3">
      <c r="C4319" s="35">
        <f t="shared" si="68"/>
        <v>0</v>
      </c>
      <c r="D4319" s="30" t="str">
        <f>IFERROR(VLOOKUP(C4319,소속부서!$A$2:$B$20,2,FALSE), "")</f>
        <v/>
      </c>
    </row>
    <row r="4320" spans="3:4" x14ac:dyDescent="0.3">
      <c r="C4320" s="35">
        <f t="shared" si="68"/>
        <v>0</v>
      </c>
      <c r="D4320" s="30" t="str">
        <f>IFERROR(VLOOKUP(C4320,소속부서!$A$2:$B$20,2,FALSE), "")</f>
        <v/>
      </c>
    </row>
    <row r="4321" spans="3:4" x14ac:dyDescent="0.3">
      <c r="C4321" s="35">
        <f t="shared" si="68"/>
        <v>0</v>
      </c>
      <c r="D4321" s="30" t="str">
        <f>IFERROR(VLOOKUP(C4321,소속부서!$A$2:$B$20,2,FALSE), "")</f>
        <v/>
      </c>
    </row>
    <row r="4322" spans="3:4" x14ac:dyDescent="0.3">
      <c r="C4322" s="35">
        <f t="shared" si="68"/>
        <v>0</v>
      </c>
      <c r="D4322" s="30" t="str">
        <f>IFERROR(VLOOKUP(C4322,소속부서!$A$2:$B$20,2,FALSE), "")</f>
        <v/>
      </c>
    </row>
    <row r="4323" spans="3:4" x14ac:dyDescent="0.3">
      <c r="C4323" s="35">
        <f t="shared" si="68"/>
        <v>0</v>
      </c>
      <c r="D4323" s="30" t="str">
        <f>IFERROR(VLOOKUP(C4323,소속부서!$A$2:$B$20,2,FALSE), "")</f>
        <v/>
      </c>
    </row>
    <row r="4324" spans="3:4" x14ac:dyDescent="0.3">
      <c r="C4324" s="35">
        <f t="shared" si="68"/>
        <v>0</v>
      </c>
      <c r="D4324" s="30" t="str">
        <f>IFERROR(VLOOKUP(C4324,소속부서!$A$2:$B$20,2,FALSE), "")</f>
        <v/>
      </c>
    </row>
    <row r="4325" spans="3:4" x14ac:dyDescent="0.3">
      <c r="C4325" s="35">
        <f t="shared" si="68"/>
        <v>0</v>
      </c>
      <c r="D4325" s="30" t="str">
        <f>IFERROR(VLOOKUP(C4325,소속부서!$A$2:$B$20,2,FALSE), "")</f>
        <v/>
      </c>
    </row>
    <row r="4326" spans="3:4" x14ac:dyDescent="0.3">
      <c r="C4326" s="35">
        <f t="shared" si="68"/>
        <v>0</v>
      </c>
      <c r="D4326" s="30" t="str">
        <f>IFERROR(VLOOKUP(C4326,소속부서!$A$2:$B$20,2,FALSE), "")</f>
        <v/>
      </c>
    </row>
    <row r="4327" spans="3:4" x14ac:dyDescent="0.3">
      <c r="C4327" s="35">
        <f t="shared" si="68"/>
        <v>0</v>
      </c>
      <c r="D4327" s="30" t="str">
        <f>IFERROR(VLOOKUP(C4327,소속부서!$A$2:$B$20,2,FALSE), "")</f>
        <v/>
      </c>
    </row>
    <row r="4328" spans="3:4" x14ac:dyDescent="0.3">
      <c r="C4328" s="35">
        <f t="shared" si="68"/>
        <v>0</v>
      </c>
      <c r="D4328" s="30" t="str">
        <f>IFERROR(VLOOKUP(C4328,소속부서!$A$2:$B$20,2,FALSE), "")</f>
        <v/>
      </c>
    </row>
    <row r="4329" spans="3:4" x14ac:dyDescent="0.3">
      <c r="C4329" s="35">
        <f t="shared" si="68"/>
        <v>0</v>
      </c>
      <c r="D4329" s="30" t="str">
        <f>IFERROR(VLOOKUP(C4329,소속부서!$A$2:$B$20,2,FALSE), "")</f>
        <v/>
      </c>
    </row>
    <row r="4330" spans="3:4" x14ac:dyDescent="0.3">
      <c r="C4330" s="35">
        <f t="shared" si="68"/>
        <v>0</v>
      </c>
      <c r="D4330" s="30" t="str">
        <f>IFERROR(VLOOKUP(C4330,소속부서!$A$2:$B$20,2,FALSE), "")</f>
        <v/>
      </c>
    </row>
    <row r="4331" spans="3:4" x14ac:dyDescent="0.3">
      <c r="C4331" s="35">
        <f t="shared" si="68"/>
        <v>0</v>
      </c>
      <c r="D4331" s="30" t="str">
        <f>IFERROR(VLOOKUP(C4331,소속부서!$A$2:$B$20,2,FALSE), "")</f>
        <v/>
      </c>
    </row>
    <row r="4332" spans="3:4" x14ac:dyDescent="0.3">
      <c r="C4332" s="35">
        <f t="shared" si="68"/>
        <v>0</v>
      </c>
      <c r="D4332" s="30" t="str">
        <f>IFERROR(VLOOKUP(C4332,소속부서!$A$2:$B$20,2,FALSE), "")</f>
        <v/>
      </c>
    </row>
    <row r="4333" spans="3:4" x14ac:dyDescent="0.3">
      <c r="C4333" s="35">
        <f t="shared" si="68"/>
        <v>0</v>
      </c>
      <c r="D4333" s="30" t="str">
        <f>IFERROR(VLOOKUP(C4333,소속부서!$A$2:$B$20,2,FALSE), "")</f>
        <v/>
      </c>
    </row>
    <row r="4334" spans="3:4" x14ac:dyDescent="0.3">
      <c r="C4334" s="35">
        <f t="shared" si="68"/>
        <v>0</v>
      </c>
      <c r="D4334" s="30" t="str">
        <f>IFERROR(VLOOKUP(C4334,소속부서!$A$2:$B$20,2,FALSE), "")</f>
        <v/>
      </c>
    </row>
    <row r="4335" spans="3:4" x14ac:dyDescent="0.3">
      <c r="C4335" s="35">
        <f t="shared" si="68"/>
        <v>0</v>
      </c>
      <c r="D4335" s="30" t="str">
        <f>IFERROR(VLOOKUP(C4335,소속부서!$A$2:$B$20,2,FALSE), "")</f>
        <v/>
      </c>
    </row>
    <row r="4336" spans="3:4" x14ac:dyDescent="0.3">
      <c r="C4336" s="35">
        <f t="shared" si="68"/>
        <v>0</v>
      </c>
      <c r="D4336" s="30" t="str">
        <f>IFERROR(VLOOKUP(C4336,소속부서!$A$2:$B$20,2,FALSE), "")</f>
        <v/>
      </c>
    </row>
    <row r="4337" spans="3:4" x14ac:dyDescent="0.3">
      <c r="C4337" s="35">
        <f t="shared" si="68"/>
        <v>0</v>
      </c>
      <c r="D4337" s="30" t="str">
        <f>IFERROR(VLOOKUP(C4337,소속부서!$A$2:$B$20,2,FALSE), "")</f>
        <v/>
      </c>
    </row>
    <row r="4338" spans="3:4" x14ac:dyDescent="0.3">
      <c r="C4338" s="35">
        <f t="shared" si="68"/>
        <v>0</v>
      </c>
      <c r="D4338" s="30" t="str">
        <f>IFERROR(VLOOKUP(C4338,소속부서!$A$2:$B$20,2,FALSE), "")</f>
        <v/>
      </c>
    </row>
    <row r="4339" spans="3:4" x14ac:dyDescent="0.3">
      <c r="C4339" s="35">
        <f t="shared" si="68"/>
        <v>0</v>
      </c>
      <c r="D4339" s="30" t="str">
        <f>IFERROR(VLOOKUP(C4339,소속부서!$A$2:$B$20,2,FALSE), "")</f>
        <v/>
      </c>
    </row>
    <row r="4340" spans="3:4" x14ac:dyDescent="0.3">
      <c r="C4340" s="35">
        <f t="shared" si="68"/>
        <v>0</v>
      </c>
      <c r="D4340" s="30" t="str">
        <f>IFERROR(VLOOKUP(C4340,소속부서!$A$2:$B$20,2,FALSE), "")</f>
        <v/>
      </c>
    </row>
    <row r="4341" spans="3:4" x14ac:dyDescent="0.3">
      <c r="C4341" s="35">
        <f t="shared" si="68"/>
        <v>0</v>
      </c>
      <c r="D4341" s="30" t="str">
        <f>IFERROR(VLOOKUP(C4341,소속부서!$A$2:$B$20,2,FALSE), "")</f>
        <v/>
      </c>
    </row>
    <row r="4342" spans="3:4" x14ac:dyDescent="0.3">
      <c r="C4342" s="35">
        <f t="shared" si="68"/>
        <v>0</v>
      </c>
      <c r="D4342" s="30" t="str">
        <f>IFERROR(VLOOKUP(C4342,소속부서!$A$2:$B$20,2,FALSE), "")</f>
        <v/>
      </c>
    </row>
    <row r="4343" spans="3:4" x14ac:dyDescent="0.3">
      <c r="C4343" s="35">
        <f t="shared" si="68"/>
        <v>0</v>
      </c>
      <c r="D4343" s="30" t="str">
        <f>IFERROR(VLOOKUP(C4343,소속부서!$A$2:$B$20,2,FALSE), "")</f>
        <v/>
      </c>
    </row>
    <row r="4344" spans="3:4" x14ac:dyDescent="0.3">
      <c r="C4344" s="35">
        <f t="shared" si="68"/>
        <v>0</v>
      </c>
      <c r="D4344" s="30" t="str">
        <f>IFERROR(VLOOKUP(C4344,소속부서!$A$2:$B$20,2,FALSE), "")</f>
        <v/>
      </c>
    </row>
    <row r="4345" spans="3:4" x14ac:dyDescent="0.3">
      <c r="C4345" s="35">
        <f t="shared" si="68"/>
        <v>0</v>
      </c>
      <c r="D4345" s="30" t="str">
        <f>IFERROR(VLOOKUP(C4345,소속부서!$A$2:$B$20,2,FALSE), "")</f>
        <v/>
      </c>
    </row>
    <row r="4346" spans="3:4" x14ac:dyDescent="0.3">
      <c r="C4346" s="35">
        <f t="shared" si="68"/>
        <v>0</v>
      </c>
      <c r="D4346" s="30" t="str">
        <f>IFERROR(VLOOKUP(C4346,소속부서!$A$2:$B$20,2,FALSE), "")</f>
        <v/>
      </c>
    </row>
    <row r="4347" spans="3:4" x14ac:dyDescent="0.3">
      <c r="C4347" s="35">
        <f t="shared" si="68"/>
        <v>0</v>
      </c>
      <c r="D4347" s="30" t="str">
        <f>IFERROR(VLOOKUP(C4347,소속부서!$A$2:$B$20,2,FALSE), "")</f>
        <v/>
      </c>
    </row>
    <row r="4348" spans="3:4" x14ac:dyDescent="0.3">
      <c r="C4348" s="35">
        <f t="shared" si="68"/>
        <v>0</v>
      </c>
      <c r="D4348" s="30" t="str">
        <f>IFERROR(VLOOKUP(C4348,소속부서!$A$2:$B$20,2,FALSE), "")</f>
        <v/>
      </c>
    </row>
    <row r="4349" spans="3:4" x14ac:dyDescent="0.3">
      <c r="C4349" s="35">
        <f t="shared" si="68"/>
        <v>0</v>
      </c>
      <c r="D4349" s="30" t="str">
        <f>IFERROR(VLOOKUP(C4349,소속부서!$A$2:$B$20,2,FALSE), "")</f>
        <v/>
      </c>
    </row>
    <row r="4350" spans="3:4" x14ac:dyDescent="0.3">
      <c r="C4350" s="35">
        <f t="shared" si="68"/>
        <v>0</v>
      </c>
      <c r="D4350" s="30" t="str">
        <f>IFERROR(VLOOKUP(C4350,소속부서!$A$2:$B$20,2,FALSE), "")</f>
        <v/>
      </c>
    </row>
    <row r="4351" spans="3:4" x14ac:dyDescent="0.3">
      <c r="C4351" s="35">
        <f t="shared" si="68"/>
        <v>0</v>
      </c>
      <c r="D4351" s="30" t="str">
        <f>IFERROR(VLOOKUP(C4351,소속부서!$A$2:$B$20,2,FALSE), "")</f>
        <v/>
      </c>
    </row>
    <row r="4352" spans="3:4" x14ac:dyDescent="0.3">
      <c r="C4352" s="35">
        <f t="shared" si="68"/>
        <v>0</v>
      </c>
      <c r="D4352" s="30" t="str">
        <f>IFERROR(VLOOKUP(C4352,소속부서!$A$2:$B$20,2,FALSE), "")</f>
        <v/>
      </c>
    </row>
    <row r="4353" spans="3:4" x14ac:dyDescent="0.3">
      <c r="C4353" s="35">
        <f t="shared" si="68"/>
        <v>0</v>
      </c>
      <c r="D4353" s="30" t="str">
        <f>IFERROR(VLOOKUP(C4353,소속부서!$A$2:$B$20,2,FALSE), "")</f>
        <v/>
      </c>
    </row>
    <row r="4354" spans="3:4" x14ac:dyDescent="0.3">
      <c r="C4354" s="35">
        <f t="shared" si="68"/>
        <v>0</v>
      </c>
      <c r="D4354" s="30" t="str">
        <f>IFERROR(VLOOKUP(C4354,소속부서!$A$2:$B$20,2,FALSE), "")</f>
        <v/>
      </c>
    </row>
    <row r="4355" spans="3:4" x14ac:dyDescent="0.3">
      <c r="C4355" s="35">
        <f t="shared" si="68"/>
        <v>0</v>
      </c>
      <c r="D4355" s="30" t="str">
        <f>IFERROR(VLOOKUP(C4355,소속부서!$A$2:$B$20,2,FALSE), "")</f>
        <v/>
      </c>
    </row>
    <row r="4356" spans="3:4" x14ac:dyDescent="0.3">
      <c r="C4356" s="35">
        <f t="shared" ref="C4356:C4419" si="69">E4356</f>
        <v>0</v>
      </c>
      <c r="D4356" s="30" t="str">
        <f>IFERROR(VLOOKUP(C4356,소속부서!$A$2:$B$20,2,FALSE), "")</f>
        <v/>
      </c>
    </row>
    <row r="4357" spans="3:4" x14ac:dyDescent="0.3">
      <c r="C4357" s="35">
        <f t="shared" si="69"/>
        <v>0</v>
      </c>
      <c r="D4357" s="30" t="str">
        <f>IFERROR(VLOOKUP(C4357,소속부서!$A$2:$B$20,2,FALSE), "")</f>
        <v/>
      </c>
    </row>
    <row r="4358" spans="3:4" x14ac:dyDescent="0.3">
      <c r="C4358" s="35">
        <f t="shared" si="69"/>
        <v>0</v>
      </c>
      <c r="D4358" s="30" t="str">
        <f>IFERROR(VLOOKUP(C4358,소속부서!$A$2:$B$20,2,FALSE), "")</f>
        <v/>
      </c>
    </row>
    <row r="4359" spans="3:4" x14ac:dyDescent="0.3">
      <c r="C4359" s="35">
        <f t="shared" si="69"/>
        <v>0</v>
      </c>
      <c r="D4359" s="30" t="str">
        <f>IFERROR(VLOOKUP(C4359,소속부서!$A$2:$B$20,2,FALSE), "")</f>
        <v/>
      </c>
    </row>
    <row r="4360" spans="3:4" x14ac:dyDescent="0.3">
      <c r="C4360" s="35">
        <f t="shared" si="69"/>
        <v>0</v>
      </c>
      <c r="D4360" s="30" t="str">
        <f>IFERROR(VLOOKUP(C4360,소속부서!$A$2:$B$20,2,FALSE), "")</f>
        <v/>
      </c>
    </row>
    <row r="4361" spans="3:4" x14ac:dyDescent="0.3">
      <c r="C4361" s="35">
        <f t="shared" si="69"/>
        <v>0</v>
      </c>
      <c r="D4361" s="30" t="str">
        <f>IFERROR(VLOOKUP(C4361,소속부서!$A$2:$B$20,2,FALSE), "")</f>
        <v/>
      </c>
    </row>
    <row r="4362" spans="3:4" x14ac:dyDescent="0.3">
      <c r="C4362" s="35">
        <f t="shared" si="69"/>
        <v>0</v>
      </c>
      <c r="D4362" s="30" t="str">
        <f>IFERROR(VLOOKUP(C4362,소속부서!$A$2:$B$20,2,FALSE), "")</f>
        <v/>
      </c>
    </row>
    <row r="4363" spans="3:4" x14ac:dyDescent="0.3">
      <c r="C4363" s="35">
        <f t="shared" si="69"/>
        <v>0</v>
      </c>
      <c r="D4363" s="30" t="str">
        <f>IFERROR(VLOOKUP(C4363,소속부서!$A$2:$B$20,2,FALSE), "")</f>
        <v/>
      </c>
    </row>
    <row r="4364" spans="3:4" x14ac:dyDescent="0.3">
      <c r="C4364" s="35">
        <f t="shared" si="69"/>
        <v>0</v>
      </c>
      <c r="D4364" s="30" t="str">
        <f>IFERROR(VLOOKUP(C4364,소속부서!$A$2:$B$20,2,FALSE), "")</f>
        <v/>
      </c>
    </row>
    <row r="4365" spans="3:4" x14ac:dyDescent="0.3">
      <c r="C4365" s="35">
        <f t="shared" si="69"/>
        <v>0</v>
      </c>
      <c r="D4365" s="30" t="str">
        <f>IFERROR(VLOOKUP(C4365,소속부서!$A$2:$B$20,2,FALSE), "")</f>
        <v/>
      </c>
    </row>
    <row r="4366" spans="3:4" x14ac:dyDescent="0.3">
      <c r="C4366" s="35">
        <f t="shared" si="69"/>
        <v>0</v>
      </c>
      <c r="D4366" s="30" t="str">
        <f>IFERROR(VLOOKUP(C4366,소속부서!$A$2:$B$20,2,FALSE), "")</f>
        <v/>
      </c>
    </row>
    <row r="4367" spans="3:4" x14ac:dyDescent="0.3">
      <c r="C4367" s="35">
        <f t="shared" si="69"/>
        <v>0</v>
      </c>
      <c r="D4367" s="30" t="str">
        <f>IFERROR(VLOOKUP(C4367,소속부서!$A$2:$B$20,2,FALSE), "")</f>
        <v/>
      </c>
    </row>
    <row r="4368" spans="3:4" x14ac:dyDescent="0.3">
      <c r="C4368" s="35">
        <f t="shared" si="69"/>
        <v>0</v>
      </c>
      <c r="D4368" s="30" t="str">
        <f>IFERROR(VLOOKUP(C4368,소속부서!$A$2:$B$20,2,FALSE), "")</f>
        <v/>
      </c>
    </row>
    <row r="4369" spans="3:4" x14ac:dyDescent="0.3">
      <c r="C4369" s="35">
        <f t="shared" si="69"/>
        <v>0</v>
      </c>
      <c r="D4369" s="30" t="str">
        <f>IFERROR(VLOOKUP(C4369,소속부서!$A$2:$B$20,2,FALSE), "")</f>
        <v/>
      </c>
    </row>
    <row r="4370" spans="3:4" x14ac:dyDescent="0.3">
      <c r="C4370" s="35">
        <f t="shared" si="69"/>
        <v>0</v>
      </c>
      <c r="D4370" s="30" t="str">
        <f>IFERROR(VLOOKUP(C4370,소속부서!$A$2:$B$20,2,FALSE), "")</f>
        <v/>
      </c>
    </row>
    <row r="4371" spans="3:4" x14ac:dyDescent="0.3">
      <c r="C4371" s="35">
        <f t="shared" si="69"/>
        <v>0</v>
      </c>
      <c r="D4371" s="30" t="str">
        <f>IFERROR(VLOOKUP(C4371,소속부서!$A$2:$B$20,2,FALSE), "")</f>
        <v/>
      </c>
    </row>
    <row r="4372" spans="3:4" x14ac:dyDescent="0.3">
      <c r="C4372" s="35">
        <f t="shared" si="69"/>
        <v>0</v>
      </c>
      <c r="D4372" s="30" t="str">
        <f>IFERROR(VLOOKUP(C4372,소속부서!$A$2:$B$20,2,FALSE), "")</f>
        <v/>
      </c>
    </row>
    <row r="4373" spans="3:4" x14ac:dyDescent="0.3">
      <c r="C4373" s="35">
        <f t="shared" si="69"/>
        <v>0</v>
      </c>
      <c r="D4373" s="30" t="str">
        <f>IFERROR(VLOOKUP(C4373,소속부서!$A$2:$B$20,2,FALSE), "")</f>
        <v/>
      </c>
    </row>
    <row r="4374" spans="3:4" x14ac:dyDescent="0.3">
      <c r="C4374" s="35">
        <f t="shared" si="69"/>
        <v>0</v>
      </c>
      <c r="D4374" s="30" t="str">
        <f>IFERROR(VLOOKUP(C4374,소속부서!$A$2:$B$20,2,FALSE), "")</f>
        <v/>
      </c>
    </row>
    <row r="4375" spans="3:4" x14ac:dyDescent="0.3">
      <c r="C4375" s="35">
        <f t="shared" si="69"/>
        <v>0</v>
      </c>
      <c r="D4375" s="30" t="str">
        <f>IFERROR(VLOOKUP(C4375,소속부서!$A$2:$B$20,2,FALSE), "")</f>
        <v/>
      </c>
    </row>
    <row r="4376" spans="3:4" x14ac:dyDescent="0.3">
      <c r="C4376" s="35">
        <f t="shared" si="69"/>
        <v>0</v>
      </c>
      <c r="D4376" s="30" t="str">
        <f>IFERROR(VLOOKUP(C4376,소속부서!$A$2:$B$20,2,FALSE), "")</f>
        <v/>
      </c>
    </row>
    <row r="4377" spans="3:4" x14ac:dyDescent="0.3">
      <c r="C4377" s="35">
        <f t="shared" si="69"/>
        <v>0</v>
      </c>
      <c r="D4377" s="30" t="str">
        <f>IFERROR(VLOOKUP(C4377,소속부서!$A$2:$B$20,2,FALSE), "")</f>
        <v/>
      </c>
    </row>
    <row r="4378" spans="3:4" x14ac:dyDescent="0.3">
      <c r="C4378" s="35">
        <f t="shared" si="69"/>
        <v>0</v>
      </c>
      <c r="D4378" s="30" t="str">
        <f>IFERROR(VLOOKUP(C4378,소속부서!$A$2:$B$20,2,FALSE), "")</f>
        <v/>
      </c>
    </row>
    <row r="4379" spans="3:4" x14ac:dyDescent="0.3">
      <c r="C4379" s="35">
        <f t="shared" si="69"/>
        <v>0</v>
      </c>
      <c r="D4379" s="30" t="str">
        <f>IFERROR(VLOOKUP(C4379,소속부서!$A$2:$B$20,2,FALSE), "")</f>
        <v/>
      </c>
    </row>
    <row r="4380" spans="3:4" x14ac:dyDescent="0.3">
      <c r="C4380" s="35">
        <f t="shared" si="69"/>
        <v>0</v>
      </c>
      <c r="D4380" s="30" t="str">
        <f>IFERROR(VLOOKUP(C4380,소속부서!$A$2:$B$20,2,FALSE), "")</f>
        <v/>
      </c>
    </row>
    <row r="4381" spans="3:4" x14ac:dyDescent="0.3">
      <c r="C4381" s="35">
        <f t="shared" si="69"/>
        <v>0</v>
      </c>
      <c r="D4381" s="30" t="str">
        <f>IFERROR(VLOOKUP(C4381,소속부서!$A$2:$B$20,2,FALSE), "")</f>
        <v/>
      </c>
    </row>
    <row r="4382" spans="3:4" x14ac:dyDescent="0.3">
      <c r="C4382" s="35">
        <f t="shared" si="69"/>
        <v>0</v>
      </c>
      <c r="D4382" s="30" t="str">
        <f>IFERROR(VLOOKUP(C4382,소속부서!$A$2:$B$20,2,FALSE), "")</f>
        <v/>
      </c>
    </row>
    <row r="4383" spans="3:4" x14ac:dyDescent="0.3">
      <c r="C4383" s="35">
        <f t="shared" si="69"/>
        <v>0</v>
      </c>
      <c r="D4383" s="30" t="str">
        <f>IFERROR(VLOOKUP(C4383,소속부서!$A$2:$B$20,2,FALSE), "")</f>
        <v/>
      </c>
    </row>
    <row r="4384" spans="3:4" x14ac:dyDescent="0.3">
      <c r="C4384" s="35">
        <f t="shared" si="69"/>
        <v>0</v>
      </c>
      <c r="D4384" s="30" t="str">
        <f>IFERROR(VLOOKUP(C4384,소속부서!$A$2:$B$20,2,FALSE), "")</f>
        <v/>
      </c>
    </row>
    <row r="4385" spans="3:4" x14ac:dyDescent="0.3">
      <c r="C4385" s="35">
        <f t="shared" si="69"/>
        <v>0</v>
      </c>
      <c r="D4385" s="30" t="str">
        <f>IFERROR(VLOOKUP(C4385,소속부서!$A$2:$B$20,2,FALSE), "")</f>
        <v/>
      </c>
    </row>
    <row r="4386" spans="3:4" x14ac:dyDescent="0.3">
      <c r="C4386" s="35">
        <f t="shared" si="69"/>
        <v>0</v>
      </c>
      <c r="D4386" s="30" t="str">
        <f>IFERROR(VLOOKUP(C4386,소속부서!$A$2:$B$20,2,FALSE), "")</f>
        <v/>
      </c>
    </row>
    <row r="4387" spans="3:4" x14ac:dyDescent="0.3">
      <c r="C4387" s="35">
        <f t="shared" si="69"/>
        <v>0</v>
      </c>
      <c r="D4387" s="30" t="str">
        <f>IFERROR(VLOOKUP(C4387,소속부서!$A$2:$B$20,2,FALSE), "")</f>
        <v/>
      </c>
    </row>
    <row r="4388" spans="3:4" x14ac:dyDescent="0.3">
      <c r="C4388" s="35">
        <f t="shared" si="69"/>
        <v>0</v>
      </c>
      <c r="D4388" s="30" t="str">
        <f>IFERROR(VLOOKUP(C4388,소속부서!$A$2:$B$20,2,FALSE), "")</f>
        <v/>
      </c>
    </row>
    <row r="4389" spans="3:4" x14ac:dyDescent="0.3">
      <c r="C4389" s="35">
        <f t="shared" si="69"/>
        <v>0</v>
      </c>
      <c r="D4389" s="30" t="str">
        <f>IFERROR(VLOOKUP(C4389,소속부서!$A$2:$B$20,2,FALSE), "")</f>
        <v/>
      </c>
    </row>
    <row r="4390" spans="3:4" x14ac:dyDescent="0.3">
      <c r="C4390" s="35">
        <f t="shared" si="69"/>
        <v>0</v>
      </c>
      <c r="D4390" s="30" t="str">
        <f>IFERROR(VLOOKUP(C4390,소속부서!$A$2:$B$20,2,FALSE), "")</f>
        <v/>
      </c>
    </row>
    <row r="4391" spans="3:4" x14ac:dyDescent="0.3">
      <c r="C4391" s="35">
        <f t="shared" si="69"/>
        <v>0</v>
      </c>
      <c r="D4391" s="30" t="str">
        <f>IFERROR(VLOOKUP(C4391,소속부서!$A$2:$B$20,2,FALSE), "")</f>
        <v/>
      </c>
    </row>
    <row r="4392" spans="3:4" x14ac:dyDescent="0.3">
      <c r="C4392" s="35">
        <f t="shared" si="69"/>
        <v>0</v>
      </c>
      <c r="D4392" s="30" t="str">
        <f>IFERROR(VLOOKUP(C4392,소속부서!$A$2:$B$20,2,FALSE), "")</f>
        <v/>
      </c>
    </row>
    <row r="4393" spans="3:4" x14ac:dyDescent="0.3">
      <c r="C4393" s="35">
        <f t="shared" si="69"/>
        <v>0</v>
      </c>
      <c r="D4393" s="30" t="str">
        <f>IFERROR(VLOOKUP(C4393,소속부서!$A$2:$B$20,2,FALSE), "")</f>
        <v/>
      </c>
    </row>
    <row r="4394" spans="3:4" x14ac:dyDescent="0.3">
      <c r="C4394" s="35">
        <f t="shared" si="69"/>
        <v>0</v>
      </c>
      <c r="D4394" s="30" t="str">
        <f>IFERROR(VLOOKUP(C4394,소속부서!$A$2:$B$20,2,FALSE), "")</f>
        <v/>
      </c>
    </row>
    <row r="4395" spans="3:4" x14ac:dyDescent="0.3">
      <c r="C4395" s="35">
        <f t="shared" si="69"/>
        <v>0</v>
      </c>
      <c r="D4395" s="30" t="str">
        <f>IFERROR(VLOOKUP(C4395,소속부서!$A$2:$B$20,2,FALSE), "")</f>
        <v/>
      </c>
    </row>
    <row r="4396" spans="3:4" x14ac:dyDescent="0.3">
      <c r="C4396" s="35">
        <f t="shared" si="69"/>
        <v>0</v>
      </c>
      <c r="D4396" s="30" t="str">
        <f>IFERROR(VLOOKUP(C4396,소속부서!$A$2:$B$20,2,FALSE), "")</f>
        <v/>
      </c>
    </row>
    <row r="4397" spans="3:4" x14ac:dyDescent="0.3">
      <c r="C4397" s="35">
        <f t="shared" si="69"/>
        <v>0</v>
      </c>
      <c r="D4397" s="30" t="str">
        <f>IFERROR(VLOOKUP(C4397,소속부서!$A$2:$B$20,2,FALSE), "")</f>
        <v/>
      </c>
    </row>
    <row r="4398" spans="3:4" x14ac:dyDescent="0.3">
      <c r="C4398" s="35">
        <f t="shared" si="69"/>
        <v>0</v>
      </c>
      <c r="D4398" s="30" t="str">
        <f>IFERROR(VLOOKUP(C4398,소속부서!$A$2:$B$20,2,FALSE), "")</f>
        <v/>
      </c>
    </row>
    <row r="4399" spans="3:4" x14ac:dyDescent="0.3">
      <c r="C4399" s="35">
        <f t="shared" si="69"/>
        <v>0</v>
      </c>
      <c r="D4399" s="30" t="str">
        <f>IFERROR(VLOOKUP(C4399,소속부서!$A$2:$B$20,2,FALSE), "")</f>
        <v/>
      </c>
    </row>
    <row r="4400" spans="3:4" x14ac:dyDescent="0.3">
      <c r="C4400" s="35">
        <f t="shared" si="69"/>
        <v>0</v>
      </c>
      <c r="D4400" s="30" t="str">
        <f>IFERROR(VLOOKUP(C4400,소속부서!$A$2:$B$20,2,FALSE), "")</f>
        <v/>
      </c>
    </row>
    <row r="4401" spans="3:4" x14ac:dyDescent="0.3">
      <c r="C4401" s="35">
        <f t="shared" si="69"/>
        <v>0</v>
      </c>
      <c r="D4401" s="30" t="str">
        <f>IFERROR(VLOOKUP(C4401,소속부서!$A$2:$B$20,2,FALSE), "")</f>
        <v/>
      </c>
    </row>
    <row r="4402" spans="3:4" x14ac:dyDescent="0.3">
      <c r="C4402" s="35">
        <f t="shared" si="69"/>
        <v>0</v>
      </c>
      <c r="D4402" s="30" t="str">
        <f>IFERROR(VLOOKUP(C4402,소속부서!$A$2:$B$20,2,FALSE), "")</f>
        <v/>
      </c>
    </row>
    <row r="4403" spans="3:4" x14ac:dyDescent="0.3">
      <c r="C4403" s="35">
        <f t="shared" si="69"/>
        <v>0</v>
      </c>
      <c r="D4403" s="30" t="str">
        <f>IFERROR(VLOOKUP(C4403,소속부서!$A$2:$B$20,2,FALSE), "")</f>
        <v/>
      </c>
    </row>
    <row r="4404" spans="3:4" x14ac:dyDescent="0.3">
      <c r="C4404" s="35">
        <f t="shared" si="69"/>
        <v>0</v>
      </c>
      <c r="D4404" s="30" t="str">
        <f>IFERROR(VLOOKUP(C4404,소속부서!$A$2:$B$20,2,FALSE), "")</f>
        <v/>
      </c>
    </row>
    <row r="4405" spans="3:4" x14ac:dyDescent="0.3">
      <c r="C4405" s="35">
        <f t="shared" si="69"/>
        <v>0</v>
      </c>
      <c r="D4405" s="30" t="str">
        <f>IFERROR(VLOOKUP(C4405,소속부서!$A$2:$B$20,2,FALSE), "")</f>
        <v/>
      </c>
    </row>
    <row r="4406" spans="3:4" x14ac:dyDescent="0.3">
      <c r="C4406" s="35">
        <f t="shared" si="69"/>
        <v>0</v>
      </c>
      <c r="D4406" s="30" t="str">
        <f>IFERROR(VLOOKUP(C4406,소속부서!$A$2:$B$20,2,FALSE), "")</f>
        <v/>
      </c>
    </row>
    <row r="4407" spans="3:4" x14ac:dyDescent="0.3">
      <c r="C4407" s="35">
        <f t="shared" si="69"/>
        <v>0</v>
      </c>
      <c r="D4407" s="30" t="str">
        <f>IFERROR(VLOOKUP(C4407,소속부서!$A$2:$B$20,2,FALSE), "")</f>
        <v/>
      </c>
    </row>
    <row r="4408" spans="3:4" x14ac:dyDescent="0.3">
      <c r="C4408" s="35">
        <f t="shared" si="69"/>
        <v>0</v>
      </c>
      <c r="D4408" s="30" t="str">
        <f>IFERROR(VLOOKUP(C4408,소속부서!$A$2:$B$20,2,FALSE), "")</f>
        <v/>
      </c>
    </row>
    <row r="4409" spans="3:4" x14ac:dyDescent="0.3">
      <c r="C4409" s="35">
        <f t="shared" si="69"/>
        <v>0</v>
      </c>
      <c r="D4409" s="30" t="str">
        <f>IFERROR(VLOOKUP(C4409,소속부서!$A$2:$B$20,2,FALSE), "")</f>
        <v/>
      </c>
    </row>
    <row r="4410" spans="3:4" x14ac:dyDescent="0.3">
      <c r="C4410" s="35">
        <f t="shared" si="69"/>
        <v>0</v>
      </c>
      <c r="D4410" s="30" t="str">
        <f>IFERROR(VLOOKUP(C4410,소속부서!$A$2:$B$20,2,FALSE), "")</f>
        <v/>
      </c>
    </row>
    <row r="4411" spans="3:4" x14ac:dyDescent="0.3">
      <c r="C4411" s="35">
        <f t="shared" si="69"/>
        <v>0</v>
      </c>
      <c r="D4411" s="30" t="str">
        <f>IFERROR(VLOOKUP(C4411,소속부서!$A$2:$B$20,2,FALSE), "")</f>
        <v/>
      </c>
    </row>
    <row r="4412" spans="3:4" x14ac:dyDescent="0.3">
      <c r="C4412" s="35">
        <f t="shared" si="69"/>
        <v>0</v>
      </c>
      <c r="D4412" s="30" t="str">
        <f>IFERROR(VLOOKUP(C4412,소속부서!$A$2:$B$20,2,FALSE), "")</f>
        <v/>
      </c>
    </row>
    <row r="4413" spans="3:4" x14ac:dyDescent="0.3">
      <c r="C4413" s="35">
        <f t="shared" si="69"/>
        <v>0</v>
      </c>
      <c r="D4413" s="30" t="str">
        <f>IFERROR(VLOOKUP(C4413,소속부서!$A$2:$B$20,2,FALSE), "")</f>
        <v/>
      </c>
    </row>
    <row r="4414" spans="3:4" x14ac:dyDescent="0.3">
      <c r="C4414" s="35">
        <f t="shared" si="69"/>
        <v>0</v>
      </c>
      <c r="D4414" s="30" t="str">
        <f>IFERROR(VLOOKUP(C4414,소속부서!$A$2:$B$20,2,FALSE), "")</f>
        <v/>
      </c>
    </row>
    <row r="4415" spans="3:4" x14ac:dyDescent="0.3">
      <c r="C4415" s="35">
        <f t="shared" si="69"/>
        <v>0</v>
      </c>
      <c r="D4415" s="30" t="str">
        <f>IFERROR(VLOOKUP(C4415,소속부서!$A$2:$B$20,2,FALSE), "")</f>
        <v/>
      </c>
    </row>
    <row r="4416" spans="3:4" x14ac:dyDescent="0.3">
      <c r="C4416" s="35">
        <f t="shared" si="69"/>
        <v>0</v>
      </c>
      <c r="D4416" s="30" t="str">
        <f>IFERROR(VLOOKUP(C4416,소속부서!$A$2:$B$20,2,FALSE), "")</f>
        <v/>
      </c>
    </row>
    <row r="4417" spans="3:4" x14ac:dyDescent="0.3">
      <c r="C4417" s="35">
        <f t="shared" si="69"/>
        <v>0</v>
      </c>
      <c r="D4417" s="30" t="str">
        <f>IFERROR(VLOOKUP(C4417,소속부서!$A$2:$B$20,2,FALSE), "")</f>
        <v/>
      </c>
    </row>
    <row r="4418" spans="3:4" x14ac:dyDescent="0.3">
      <c r="C4418" s="35">
        <f t="shared" si="69"/>
        <v>0</v>
      </c>
      <c r="D4418" s="30" t="str">
        <f>IFERROR(VLOOKUP(C4418,소속부서!$A$2:$B$20,2,FALSE), "")</f>
        <v/>
      </c>
    </row>
    <row r="4419" spans="3:4" x14ac:dyDescent="0.3">
      <c r="C4419" s="35">
        <f t="shared" si="69"/>
        <v>0</v>
      </c>
      <c r="D4419" s="30" t="str">
        <f>IFERROR(VLOOKUP(C4419,소속부서!$A$2:$B$20,2,FALSE), "")</f>
        <v/>
      </c>
    </row>
    <row r="4420" spans="3:4" x14ac:dyDescent="0.3">
      <c r="C4420" s="35">
        <f t="shared" ref="C4420:C4483" si="70">E4420</f>
        <v>0</v>
      </c>
      <c r="D4420" s="30" t="str">
        <f>IFERROR(VLOOKUP(C4420,소속부서!$A$2:$B$20,2,FALSE), "")</f>
        <v/>
      </c>
    </row>
    <row r="4421" spans="3:4" x14ac:dyDescent="0.3">
      <c r="C4421" s="35">
        <f t="shared" si="70"/>
        <v>0</v>
      </c>
      <c r="D4421" s="30" t="str">
        <f>IFERROR(VLOOKUP(C4421,소속부서!$A$2:$B$20,2,FALSE), "")</f>
        <v/>
      </c>
    </row>
    <row r="4422" spans="3:4" x14ac:dyDescent="0.3">
      <c r="C4422" s="35">
        <f t="shared" si="70"/>
        <v>0</v>
      </c>
      <c r="D4422" s="30" t="str">
        <f>IFERROR(VLOOKUP(C4422,소속부서!$A$2:$B$20,2,FALSE), "")</f>
        <v/>
      </c>
    </row>
    <row r="4423" spans="3:4" x14ac:dyDescent="0.3">
      <c r="C4423" s="35">
        <f t="shared" si="70"/>
        <v>0</v>
      </c>
      <c r="D4423" s="30" t="str">
        <f>IFERROR(VLOOKUP(C4423,소속부서!$A$2:$B$20,2,FALSE), "")</f>
        <v/>
      </c>
    </row>
    <row r="4424" spans="3:4" x14ac:dyDescent="0.3">
      <c r="C4424" s="35">
        <f t="shared" si="70"/>
        <v>0</v>
      </c>
      <c r="D4424" s="30" t="str">
        <f>IFERROR(VLOOKUP(C4424,소속부서!$A$2:$B$20,2,FALSE), "")</f>
        <v/>
      </c>
    </row>
    <row r="4425" spans="3:4" x14ac:dyDescent="0.3">
      <c r="C4425" s="35">
        <f t="shared" si="70"/>
        <v>0</v>
      </c>
      <c r="D4425" s="30" t="str">
        <f>IFERROR(VLOOKUP(C4425,소속부서!$A$2:$B$20,2,FALSE), "")</f>
        <v/>
      </c>
    </row>
    <row r="4426" spans="3:4" x14ac:dyDescent="0.3">
      <c r="C4426" s="35">
        <f t="shared" si="70"/>
        <v>0</v>
      </c>
      <c r="D4426" s="30" t="str">
        <f>IFERROR(VLOOKUP(C4426,소속부서!$A$2:$B$20,2,FALSE), "")</f>
        <v/>
      </c>
    </row>
    <row r="4427" spans="3:4" x14ac:dyDescent="0.3">
      <c r="C4427" s="35">
        <f t="shared" si="70"/>
        <v>0</v>
      </c>
      <c r="D4427" s="30" t="str">
        <f>IFERROR(VLOOKUP(C4427,소속부서!$A$2:$B$20,2,FALSE), "")</f>
        <v/>
      </c>
    </row>
    <row r="4428" spans="3:4" x14ac:dyDescent="0.3">
      <c r="C4428" s="35">
        <f t="shared" si="70"/>
        <v>0</v>
      </c>
      <c r="D4428" s="30" t="str">
        <f>IFERROR(VLOOKUP(C4428,소속부서!$A$2:$B$20,2,FALSE), "")</f>
        <v/>
      </c>
    </row>
    <row r="4429" spans="3:4" x14ac:dyDescent="0.3">
      <c r="C4429" s="35">
        <f t="shared" si="70"/>
        <v>0</v>
      </c>
      <c r="D4429" s="30" t="str">
        <f>IFERROR(VLOOKUP(C4429,소속부서!$A$2:$B$20,2,FALSE), "")</f>
        <v/>
      </c>
    </row>
    <row r="4430" spans="3:4" x14ac:dyDescent="0.3">
      <c r="C4430" s="35">
        <f t="shared" si="70"/>
        <v>0</v>
      </c>
      <c r="D4430" s="30" t="str">
        <f>IFERROR(VLOOKUP(C4430,소속부서!$A$2:$B$20,2,FALSE), "")</f>
        <v/>
      </c>
    </row>
    <row r="4431" spans="3:4" x14ac:dyDescent="0.3">
      <c r="C4431" s="35">
        <f t="shared" si="70"/>
        <v>0</v>
      </c>
      <c r="D4431" s="30" t="str">
        <f>IFERROR(VLOOKUP(C4431,소속부서!$A$2:$B$20,2,FALSE), "")</f>
        <v/>
      </c>
    </row>
    <row r="4432" spans="3:4" x14ac:dyDescent="0.3">
      <c r="C4432" s="35">
        <f t="shared" si="70"/>
        <v>0</v>
      </c>
      <c r="D4432" s="30" t="str">
        <f>IFERROR(VLOOKUP(C4432,소속부서!$A$2:$B$20,2,FALSE), "")</f>
        <v/>
      </c>
    </row>
    <row r="4433" spans="3:4" x14ac:dyDescent="0.3">
      <c r="C4433" s="35">
        <f t="shared" si="70"/>
        <v>0</v>
      </c>
      <c r="D4433" s="30" t="str">
        <f>IFERROR(VLOOKUP(C4433,소속부서!$A$2:$B$20,2,FALSE), "")</f>
        <v/>
      </c>
    </row>
    <row r="4434" spans="3:4" x14ac:dyDescent="0.3">
      <c r="C4434" s="35">
        <f t="shared" si="70"/>
        <v>0</v>
      </c>
      <c r="D4434" s="30" t="str">
        <f>IFERROR(VLOOKUP(C4434,소속부서!$A$2:$B$20,2,FALSE), "")</f>
        <v/>
      </c>
    </row>
    <row r="4435" spans="3:4" x14ac:dyDescent="0.3">
      <c r="C4435" s="35">
        <f t="shared" si="70"/>
        <v>0</v>
      </c>
      <c r="D4435" s="30" t="str">
        <f>IFERROR(VLOOKUP(C4435,소속부서!$A$2:$B$20,2,FALSE), "")</f>
        <v/>
      </c>
    </row>
    <row r="4436" spans="3:4" x14ac:dyDescent="0.3">
      <c r="C4436" s="35">
        <f t="shared" si="70"/>
        <v>0</v>
      </c>
      <c r="D4436" s="30" t="str">
        <f>IFERROR(VLOOKUP(C4436,소속부서!$A$2:$B$20,2,FALSE), "")</f>
        <v/>
      </c>
    </row>
    <row r="4437" spans="3:4" x14ac:dyDescent="0.3">
      <c r="C4437" s="35">
        <f t="shared" si="70"/>
        <v>0</v>
      </c>
      <c r="D4437" s="30" t="str">
        <f>IFERROR(VLOOKUP(C4437,소속부서!$A$2:$B$20,2,FALSE), "")</f>
        <v/>
      </c>
    </row>
    <row r="4438" spans="3:4" x14ac:dyDescent="0.3">
      <c r="C4438" s="35">
        <f t="shared" si="70"/>
        <v>0</v>
      </c>
      <c r="D4438" s="30" t="str">
        <f>IFERROR(VLOOKUP(C4438,소속부서!$A$2:$B$20,2,FALSE), "")</f>
        <v/>
      </c>
    </row>
    <row r="4439" spans="3:4" x14ac:dyDescent="0.3">
      <c r="C4439" s="35">
        <f t="shared" si="70"/>
        <v>0</v>
      </c>
      <c r="D4439" s="30" t="str">
        <f>IFERROR(VLOOKUP(C4439,소속부서!$A$2:$B$20,2,FALSE), "")</f>
        <v/>
      </c>
    </row>
    <row r="4440" spans="3:4" x14ac:dyDescent="0.3">
      <c r="C4440" s="35">
        <f t="shared" si="70"/>
        <v>0</v>
      </c>
      <c r="D4440" s="30" t="str">
        <f>IFERROR(VLOOKUP(C4440,소속부서!$A$2:$B$20,2,FALSE), "")</f>
        <v/>
      </c>
    </row>
    <row r="4441" spans="3:4" x14ac:dyDescent="0.3">
      <c r="C4441" s="35">
        <f t="shared" si="70"/>
        <v>0</v>
      </c>
      <c r="D4441" s="30" t="str">
        <f>IFERROR(VLOOKUP(C4441,소속부서!$A$2:$B$20,2,FALSE), "")</f>
        <v/>
      </c>
    </row>
    <row r="4442" spans="3:4" x14ac:dyDescent="0.3">
      <c r="C4442" s="35">
        <f t="shared" si="70"/>
        <v>0</v>
      </c>
      <c r="D4442" s="30" t="str">
        <f>IFERROR(VLOOKUP(C4442,소속부서!$A$2:$B$20,2,FALSE), "")</f>
        <v/>
      </c>
    </row>
    <row r="4443" spans="3:4" x14ac:dyDescent="0.3">
      <c r="C4443" s="35">
        <f t="shared" si="70"/>
        <v>0</v>
      </c>
      <c r="D4443" s="30" t="str">
        <f>IFERROR(VLOOKUP(C4443,소속부서!$A$2:$B$20,2,FALSE), "")</f>
        <v/>
      </c>
    </row>
    <row r="4444" spans="3:4" x14ac:dyDescent="0.3">
      <c r="C4444" s="35">
        <f t="shared" si="70"/>
        <v>0</v>
      </c>
      <c r="D4444" s="30" t="str">
        <f>IFERROR(VLOOKUP(C4444,소속부서!$A$2:$B$20,2,FALSE), "")</f>
        <v/>
      </c>
    </row>
    <row r="4445" spans="3:4" x14ac:dyDescent="0.3">
      <c r="C4445" s="35">
        <f t="shared" si="70"/>
        <v>0</v>
      </c>
      <c r="D4445" s="30" t="str">
        <f>IFERROR(VLOOKUP(C4445,소속부서!$A$2:$B$20,2,FALSE), "")</f>
        <v/>
      </c>
    </row>
    <row r="4446" spans="3:4" x14ac:dyDescent="0.3">
      <c r="C4446" s="35">
        <f t="shared" si="70"/>
        <v>0</v>
      </c>
      <c r="D4446" s="30" t="str">
        <f>IFERROR(VLOOKUP(C4446,소속부서!$A$2:$B$20,2,FALSE), "")</f>
        <v/>
      </c>
    </row>
    <row r="4447" spans="3:4" x14ac:dyDescent="0.3">
      <c r="C4447" s="35">
        <f t="shared" si="70"/>
        <v>0</v>
      </c>
      <c r="D4447" s="30" t="str">
        <f>IFERROR(VLOOKUP(C4447,소속부서!$A$2:$B$20,2,FALSE), "")</f>
        <v/>
      </c>
    </row>
    <row r="4448" spans="3:4" x14ac:dyDescent="0.3">
      <c r="C4448" s="35">
        <f t="shared" si="70"/>
        <v>0</v>
      </c>
      <c r="D4448" s="30" t="str">
        <f>IFERROR(VLOOKUP(C4448,소속부서!$A$2:$B$20,2,FALSE), "")</f>
        <v/>
      </c>
    </row>
    <row r="4449" spans="3:4" x14ac:dyDescent="0.3">
      <c r="C4449" s="35">
        <f t="shared" si="70"/>
        <v>0</v>
      </c>
      <c r="D4449" s="30" t="str">
        <f>IFERROR(VLOOKUP(C4449,소속부서!$A$2:$B$20,2,FALSE), "")</f>
        <v/>
      </c>
    </row>
    <row r="4450" spans="3:4" x14ac:dyDescent="0.3">
      <c r="C4450" s="35">
        <f t="shared" si="70"/>
        <v>0</v>
      </c>
      <c r="D4450" s="30" t="str">
        <f>IFERROR(VLOOKUP(C4450,소속부서!$A$2:$B$20,2,FALSE), "")</f>
        <v/>
      </c>
    </row>
    <row r="4451" spans="3:4" x14ac:dyDescent="0.3">
      <c r="C4451" s="35">
        <f t="shared" si="70"/>
        <v>0</v>
      </c>
      <c r="D4451" s="30" t="str">
        <f>IFERROR(VLOOKUP(C4451,소속부서!$A$2:$B$20,2,FALSE), "")</f>
        <v/>
      </c>
    </row>
    <row r="4452" spans="3:4" x14ac:dyDescent="0.3">
      <c r="C4452" s="35">
        <f t="shared" si="70"/>
        <v>0</v>
      </c>
      <c r="D4452" s="30" t="str">
        <f>IFERROR(VLOOKUP(C4452,소속부서!$A$2:$B$20,2,FALSE), "")</f>
        <v/>
      </c>
    </row>
    <row r="4453" spans="3:4" x14ac:dyDescent="0.3">
      <c r="C4453" s="35">
        <f t="shared" si="70"/>
        <v>0</v>
      </c>
      <c r="D4453" s="30" t="str">
        <f>IFERROR(VLOOKUP(C4453,소속부서!$A$2:$B$20,2,FALSE), "")</f>
        <v/>
      </c>
    </row>
    <row r="4454" spans="3:4" x14ac:dyDescent="0.3">
      <c r="C4454" s="35">
        <f t="shared" si="70"/>
        <v>0</v>
      </c>
      <c r="D4454" s="30" t="str">
        <f>IFERROR(VLOOKUP(C4454,소속부서!$A$2:$B$20,2,FALSE), "")</f>
        <v/>
      </c>
    </row>
    <row r="4455" spans="3:4" x14ac:dyDescent="0.3">
      <c r="C4455" s="35">
        <f t="shared" si="70"/>
        <v>0</v>
      </c>
      <c r="D4455" s="30" t="str">
        <f>IFERROR(VLOOKUP(C4455,소속부서!$A$2:$B$20,2,FALSE), "")</f>
        <v/>
      </c>
    </row>
    <row r="4456" spans="3:4" x14ac:dyDescent="0.3">
      <c r="C4456" s="35">
        <f t="shared" si="70"/>
        <v>0</v>
      </c>
      <c r="D4456" s="30" t="str">
        <f>IFERROR(VLOOKUP(C4456,소속부서!$A$2:$B$20,2,FALSE), "")</f>
        <v/>
      </c>
    </row>
    <row r="4457" spans="3:4" x14ac:dyDescent="0.3">
      <c r="C4457" s="35">
        <f t="shared" si="70"/>
        <v>0</v>
      </c>
      <c r="D4457" s="30" t="str">
        <f>IFERROR(VLOOKUP(C4457,소속부서!$A$2:$B$20,2,FALSE), "")</f>
        <v/>
      </c>
    </row>
    <row r="4458" spans="3:4" x14ac:dyDescent="0.3">
      <c r="C4458" s="35">
        <f t="shared" si="70"/>
        <v>0</v>
      </c>
      <c r="D4458" s="30" t="str">
        <f>IFERROR(VLOOKUP(C4458,소속부서!$A$2:$B$20,2,FALSE), "")</f>
        <v/>
      </c>
    </row>
    <row r="4459" spans="3:4" x14ac:dyDescent="0.3">
      <c r="C4459" s="35">
        <f t="shared" si="70"/>
        <v>0</v>
      </c>
      <c r="D4459" s="30" t="str">
        <f>IFERROR(VLOOKUP(C4459,소속부서!$A$2:$B$20,2,FALSE), "")</f>
        <v/>
      </c>
    </row>
    <row r="4460" spans="3:4" x14ac:dyDescent="0.3">
      <c r="C4460" s="35">
        <f t="shared" si="70"/>
        <v>0</v>
      </c>
      <c r="D4460" s="30" t="str">
        <f>IFERROR(VLOOKUP(C4460,소속부서!$A$2:$B$20,2,FALSE), "")</f>
        <v/>
      </c>
    </row>
    <row r="4461" spans="3:4" x14ac:dyDescent="0.3">
      <c r="C4461" s="35">
        <f t="shared" si="70"/>
        <v>0</v>
      </c>
      <c r="D4461" s="30" t="str">
        <f>IFERROR(VLOOKUP(C4461,소속부서!$A$2:$B$20,2,FALSE), "")</f>
        <v/>
      </c>
    </row>
    <row r="4462" spans="3:4" x14ac:dyDescent="0.3">
      <c r="C4462" s="35">
        <f t="shared" si="70"/>
        <v>0</v>
      </c>
      <c r="D4462" s="30" t="str">
        <f>IFERROR(VLOOKUP(C4462,소속부서!$A$2:$B$20,2,FALSE), "")</f>
        <v/>
      </c>
    </row>
    <row r="4463" spans="3:4" x14ac:dyDescent="0.3">
      <c r="C4463" s="35">
        <f t="shared" si="70"/>
        <v>0</v>
      </c>
      <c r="D4463" s="30" t="str">
        <f>IFERROR(VLOOKUP(C4463,소속부서!$A$2:$B$20,2,FALSE), "")</f>
        <v/>
      </c>
    </row>
    <row r="4464" spans="3:4" x14ac:dyDescent="0.3">
      <c r="C4464" s="35">
        <f t="shared" si="70"/>
        <v>0</v>
      </c>
      <c r="D4464" s="30" t="str">
        <f>IFERROR(VLOOKUP(C4464,소속부서!$A$2:$B$20,2,FALSE), "")</f>
        <v/>
      </c>
    </row>
    <row r="4465" spans="3:4" x14ac:dyDescent="0.3">
      <c r="C4465" s="35">
        <f t="shared" si="70"/>
        <v>0</v>
      </c>
      <c r="D4465" s="30" t="str">
        <f>IFERROR(VLOOKUP(C4465,소속부서!$A$2:$B$20,2,FALSE), "")</f>
        <v/>
      </c>
    </row>
    <row r="4466" spans="3:4" x14ac:dyDescent="0.3">
      <c r="C4466" s="35">
        <f t="shared" si="70"/>
        <v>0</v>
      </c>
      <c r="D4466" s="30" t="str">
        <f>IFERROR(VLOOKUP(C4466,소속부서!$A$2:$B$20,2,FALSE), "")</f>
        <v/>
      </c>
    </row>
    <row r="4467" spans="3:4" x14ac:dyDescent="0.3">
      <c r="C4467" s="35">
        <f t="shared" si="70"/>
        <v>0</v>
      </c>
      <c r="D4467" s="30" t="str">
        <f>IFERROR(VLOOKUP(C4467,소속부서!$A$2:$B$20,2,FALSE), "")</f>
        <v/>
      </c>
    </row>
    <row r="4468" spans="3:4" x14ac:dyDescent="0.3">
      <c r="C4468" s="35">
        <f t="shared" si="70"/>
        <v>0</v>
      </c>
      <c r="D4468" s="30" t="str">
        <f>IFERROR(VLOOKUP(C4468,소속부서!$A$2:$B$20,2,FALSE), "")</f>
        <v/>
      </c>
    </row>
    <row r="4469" spans="3:4" x14ac:dyDescent="0.3">
      <c r="C4469" s="35">
        <f t="shared" si="70"/>
        <v>0</v>
      </c>
      <c r="D4469" s="30" t="str">
        <f>IFERROR(VLOOKUP(C4469,소속부서!$A$2:$B$20,2,FALSE), "")</f>
        <v/>
      </c>
    </row>
    <row r="4470" spans="3:4" x14ac:dyDescent="0.3">
      <c r="C4470" s="35">
        <f t="shared" si="70"/>
        <v>0</v>
      </c>
      <c r="D4470" s="30" t="str">
        <f>IFERROR(VLOOKUP(C4470,소속부서!$A$2:$B$20,2,FALSE), "")</f>
        <v/>
      </c>
    </row>
    <row r="4471" spans="3:4" x14ac:dyDescent="0.3">
      <c r="C4471" s="35">
        <f t="shared" si="70"/>
        <v>0</v>
      </c>
      <c r="D4471" s="30" t="str">
        <f>IFERROR(VLOOKUP(C4471,소속부서!$A$2:$B$20,2,FALSE), "")</f>
        <v/>
      </c>
    </row>
    <row r="4472" spans="3:4" x14ac:dyDescent="0.3">
      <c r="C4472" s="35">
        <f t="shared" si="70"/>
        <v>0</v>
      </c>
      <c r="D4472" s="30" t="str">
        <f>IFERROR(VLOOKUP(C4472,소속부서!$A$2:$B$20,2,FALSE), "")</f>
        <v/>
      </c>
    </row>
    <row r="4473" spans="3:4" x14ac:dyDescent="0.3">
      <c r="C4473" s="35">
        <f t="shared" si="70"/>
        <v>0</v>
      </c>
      <c r="D4473" s="30" t="str">
        <f>IFERROR(VLOOKUP(C4473,소속부서!$A$2:$B$20,2,FALSE), "")</f>
        <v/>
      </c>
    </row>
    <row r="4474" spans="3:4" x14ac:dyDescent="0.3">
      <c r="C4474" s="35">
        <f t="shared" si="70"/>
        <v>0</v>
      </c>
      <c r="D4474" s="30" t="str">
        <f>IFERROR(VLOOKUP(C4474,소속부서!$A$2:$B$20,2,FALSE), "")</f>
        <v/>
      </c>
    </row>
    <row r="4475" spans="3:4" x14ac:dyDescent="0.3">
      <c r="C4475" s="35">
        <f t="shared" si="70"/>
        <v>0</v>
      </c>
      <c r="D4475" s="30" t="str">
        <f>IFERROR(VLOOKUP(C4475,소속부서!$A$2:$B$20,2,FALSE), "")</f>
        <v/>
      </c>
    </row>
    <row r="4476" spans="3:4" x14ac:dyDescent="0.3">
      <c r="C4476" s="35">
        <f t="shared" si="70"/>
        <v>0</v>
      </c>
      <c r="D4476" s="30" t="str">
        <f>IFERROR(VLOOKUP(C4476,소속부서!$A$2:$B$20,2,FALSE), "")</f>
        <v/>
      </c>
    </row>
    <row r="4477" spans="3:4" x14ac:dyDescent="0.3">
      <c r="C4477" s="35">
        <f t="shared" si="70"/>
        <v>0</v>
      </c>
      <c r="D4477" s="30" t="str">
        <f>IFERROR(VLOOKUP(C4477,소속부서!$A$2:$B$20,2,FALSE), "")</f>
        <v/>
      </c>
    </row>
    <row r="4478" spans="3:4" x14ac:dyDescent="0.3">
      <c r="C4478" s="35">
        <f t="shared" si="70"/>
        <v>0</v>
      </c>
      <c r="D4478" s="30" t="str">
        <f>IFERROR(VLOOKUP(C4478,소속부서!$A$2:$B$20,2,FALSE), "")</f>
        <v/>
      </c>
    </row>
    <row r="4479" spans="3:4" x14ac:dyDescent="0.3">
      <c r="C4479" s="35">
        <f t="shared" si="70"/>
        <v>0</v>
      </c>
      <c r="D4479" s="30" t="str">
        <f>IFERROR(VLOOKUP(C4479,소속부서!$A$2:$B$20,2,FALSE), "")</f>
        <v/>
      </c>
    </row>
    <row r="4480" spans="3:4" x14ac:dyDescent="0.3">
      <c r="C4480" s="35">
        <f t="shared" si="70"/>
        <v>0</v>
      </c>
      <c r="D4480" s="30" t="str">
        <f>IFERROR(VLOOKUP(C4480,소속부서!$A$2:$B$20,2,FALSE), "")</f>
        <v/>
      </c>
    </row>
    <row r="4481" spans="3:4" x14ac:dyDescent="0.3">
      <c r="C4481" s="35">
        <f t="shared" si="70"/>
        <v>0</v>
      </c>
      <c r="D4481" s="30" t="str">
        <f>IFERROR(VLOOKUP(C4481,소속부서!$A$2:$B$20,2,FALSE), "")</f>
        <v/>
      </c>
    </row>
    <row r="4482" spans="3:4" x14ac:dyDescent="0.3">
      <c r="C4482" s="35">
        <f t="shared" si="70"/>
        <v>0</v>
      </c>
      <c r="D4482" s="30" t="str">
        <f>IFERROR(VLOOKUP(C4482,소속부서!$A$2:$B$20,2,FALSE), "")</f>
        <v/>
      </c>
    </row>
    <row r="4483" spans="3:4" x14ac:dyDescent="0.3">
      <c r="C4483" s="35">
        <f t="shared" si="70"/>
        <v>0</v>
      </c>
      <c r="D4483" s="30" t="str">
        <f>IFERROR(VLOOKUP(C4483,소속부서!$A$2:$B$20,2,FALSE), "")</f>
        <v/>
      </c>
    </row>
    <row r="4484" spans="3:4" x14ac:dyDescent="0.3">
      <c r="C4484" s="35">
        <f t="shared" ref="C4484:C4547" si="71">E4484</f>
        <v>0</v>
      </c>
      <c r="D4484" s="30" t="str">
        <f>IFERROR(VLOOKUP(C4484,소속부서!$A$2:$B$20,2,FALSE), "")</f>
        <v/>
      </c>
    </row>
    <row r="4485" spans="3:4" x14ac:dyDescent="0.3">
      <c r="C4485" s="35">
        <f t="shared" si="71"/>
        <v>0</v>
      </c>
      <c r="D4485" s="30" t="str">
        <f>IFERROR(VLOOKUP(C4485,소속부서!$A$2:$B$20,2,FALSE), "")</f>
        <v/>
      </c>
    </row>
    <row r="4486" spans="3:4" x14ac:dyDescent="0.3">
      <c r="C4486" s="35">
        <f t="shared" si="71"/>
        <v>0</v>
      </c>
      <c r="D4486" s="30" t="str">
        <f>IFERROR(VLOOKUP(C4486,소속부서!$A$2:$B$20,2,FALSE), "")</f>
        <v/>
      </c>
    </row>
    <row r="4487" spans="3:4" x14ac:dyDescent="0.3">
      <c r="C4487" s="35">
        <f t="shared" si="71"/>
        <v>0</v>
      </c>
      <c r="D4487" s="30" t="str">
        <f>IFERROR(VLOOKUP(C4487,소속부서!$A$2:$B$20,2,FALSE), "")</f>
        <v/>
      </c>
    </row>
    <row r="4488" spans="3:4" x14ac:dyDescent="0.3">
      <c r="C4488" s="35">
        <f t="shared" si="71"/>
        <v>0</v>
      </c>
      <c r="D4488" s="30" t="str">
        <f>IFERROR(VLOOKUP(C4488,소속부서!$A$2:$B$20,2,FALSE), "")</f>
        <v/>
      </c>
    </row>
    <row r="4489" spans="3:4" x14ac:dyDescent="0.3">
      <c r="C4489" s="35">
        <f t="shared" si="71"/>
        <v>0</v>
      </c>
      <c r="D4489" s="30" t="str">
        <f>IFERROR(VLOOKUP(C4489,소속부서!$A$2:$B$20,2,FALSE), "")</f>
        <v/>
      </c>
    </row>
    <row r="4490" spans="3:4" x14ac:dyDescent="0.3">
      <c r="C4490" s="35">
        <f t="shared" si="71"/>
        <v>0</v>
      </c>
      <c r="D4490" s="30" t="str">
        <f>IFERROR(VLOOKUP(C4490,소속부서!$A$2:$B$20,2,FALSE), "")</f>
        <v/>
      </c>
    </row>
    <row r="4491" spans="3:4" x14ac:dyDescent="0.3">
      <c r="C4491" s="35">
        <f t="shared" si="71"/>
        <v>0</v>
      </c>
      <c r="D4491" s="30" t="str">
        <f>IFERROR(VLOOKUP(C4491,소속부서!$A$2:$B$20,2,FALSE), "")</f>
        <v/>
      </c>
    </row>
    <row r="4492" spans="3:4" x14ac:dyDescent="0.3">
      <c r="C4492" s="35">
        <f t="shared" si="71"/>
        <v>0</v>
      </c>
      <c r="D4492" s="30" t="str">
        <f>IFERROR(VLOOKUP(C4492,소속부서!$A$2:$B$20,2,FALSE), "")</f>
        <v/>
      </c>
    </row>
    <row r="4493" spans="3:4" x14ac:dyDescent="0.3">
      <c r="C4493" s="35">
        <f t="shared" si="71"/>
        <v>0</v>
      </c>
      <c r="D4493" s="30" t="str">
        <f>IFERROR(VLOOKUP(C4493,소속부서!$A$2:$B$20,2,FALSE), "")</f>
        <v/>
      </c>
    </row>
    <row r="4494" spans="3:4" x14ac:dyDescent="0.3">
      <c r="C4494" s="35">
        <f t="shared" si="71"/>
        <v>0</v>
      </c>
      <c r="D4494" s="30" t="str">
        <f>IFERROR(VLOOKUP(C4494,소속부서!$A$2:$B$20,2,FALSE), "")</f>
        <v/>
      </c>
    </row>
    <row r="4495" spans="3:4" x14ac:dyDescent="0.3">
      <c r="C4495" s="35">
        <f t="shared" si="71"/>
        <v>0</v>
      </c>
      <c r="D4495" s="30" t="str">
        <f>IFERROR(VLOOKUP(C4495,소속부서!$A$2:$B$20,2,FALSE), "")</f>
        <v/>
      </c>
    </row>
    <row r="4496" spans="3:4" x14ac:dyDescent="0.3">
      <c r="C4496" s="35">
        <f t="shared" si="71"/>
        <v>0</v>
      </c>
      <c r="D4496" s="30" t="str">
        <f>IFERROR(VLOOKUP(C4496,소속부서!$A$2:$B$20,2,FALSE), "")</f>
        <v/>
      </c>
    </row>
    <row r="4497" spans="3:4" x14ac:dyDescent="0.3">
      <c r="C4497" s="35">
        <f t="shared" si="71"/>
        <v>0</v>
      </c>
      <c r="D4497" s="30" t="str">
        <f>IFERROR(VLOOKUP(C4497,소속부서!$A$2:$B$20,2,FALSE), "")</f>
        <v/>
      </c>
    </row>
    <row r="4498" spans="3:4" x14ac:dyDescent="0.3">
      <c r="C4498" s="35">
        <f t="shared" si="71"/>
        <v>0</v>
      </c>
      <c r="D4498" s="30" t="str">
        <f>IFERROR(VLOOKUP(C4498,소속부서!$A$2:$B$20,2,FALSE), "")</f>
        <v/>
      </c>
    </row>
    <row r="4499" spans="3:4" x14ac:dyDescent="0.3">
      <c r="C4499" s="35">
        <f t="shared" si="71"/>
        <v>0</v>
      </c>
      <c r="D4499" s="30" t="str">
        <f>IFERROR(VLOOKUP(C4499,소속부서!$A$2:$B$20,2,FALSE), "")</f>
        <v/>
      </c>
    </row>
    <row r="4500" spans="3:4" x14ac:dyDescent="0.3">
      <c r="C4500" s="35">
        <f t="shared" si="71"/>
        <v>0</v>
      </c>
      <c r="D4500" s="30" t="str">
        <f>IFERROR(VLOOKUP(C4500,소속부서!$A$2:$B$20,2,FALSE), "")</f>
        <v/>
      </c>
    </row>
    <row r="4501" spans="3:4" x14ac:dyDescent="0.3">
      <c r="C4501" s="35">
        <f t="shared" si="71"/>
        <v>0</v>
      </c>
      <c r="D4501" s="30" t="str">
        <f>IFERROR(VLOOKUP(C4501,소속부서!$A$2:$B$20,2,FALSE), "")</f>
        <v/>
      </c>
    </row>
    <row r="4502" spans="3:4" x14ac:dyDescent="0.3">
      <c r="C4502" s="35">
        <f t="shared" si="71"/>
        <v>0</v>
      </c>
      <c r="D4502" s="30" t="str">
        <f>IFERROR(VLOOKUP(C4502,소속부서!$A$2:$B$20,2,FALSE), "")</f>
        <v/>
      </c>
    </row>
    <row r="4503" spans="3:4" x14ac:dyDescent="0.3">
      <c r="C4503" s="35">
        <f t="shared" si="71"/>
        <v>0</v>
      </c>
      <c r="D4503" s="30" t="str">
        <f>IFERROR(VLOOKUP(C4503,소속부서!$A$2:$B$20,2,FALSE), "")</f>
        <v/>
      </c>
    </row>
    <row r="4504" spans="3:4" x14ac:dyDescent="0.3">
      <c r="C4504" s="35">
        <f t="shared" si="71"/>
        <v>0</v>
      </c>
      <c r="D4504" s="30" t="str">
        <f>IFERROR(VLOOKUP(C4504,소속부서!$A$2:$B$20,2,FALSE), "")</f>
        <v/>
      </c>
    </row>
    <row r="4505" spans="3:4" x14ac:dyDescent="0.3">
      <c r="C4505" s="35">
        <f t="shared" si="71"/>
        <v>0</v>
      </c>
      <c r="D4505" s="30" t="str">
        <f>IFERROR(VLOOKUP(C4505,소속부서!$A$2:$B$20,2,FALSE), "")</f>
        <v/>
      </c>
    </row>
    <row r="4506" spans="3:4" x14ac:dyDescent="0.3">
      <c r="C4506" s="35">
        <f t="shared" si="71"/>
        <v>0</v>
      </c>
      <c r="D4506" s="30" t="str">
        <f>IFERROR(VLOOKUP(C4506,소속부서!$A$2:$B$20,2,FALSE), "")</f>
        <v/>
      </c>
    </row>
    <row r="4507" spans="3:4" x14ac:dyDescent="0.3">
      <c r="C4507" s="35">
        <f t="shared" si="71"/>
        <v>0</v>
      </c>
      <c r="D4507" s="30" t="str">
        <f>IFERROR(VLOOKUP(C4507,소속부서!$A$2:$B$20,2,FALSE), "")</f>
        <v/>
      </c>
    </row>
    <row r="4508" spans="3:4" x14ac:dyDescent="0.3">
      <c r="C4508" s="35">
        <f t="shared" si="71"/>
        <v>0</v>
      </c>
      <c r="D4508" s="30" t="str">
        <f>IFERROR(VLOOKUP(C4508,소속부서!$A$2:$B$20,2,FALSE), "")</f>
        <v/>
      </c>
    </row>
    <row r="4509" spans="3:4" x14ac:dyDescent="0.3">
      <c r="C4509" s="35">
        <f t="shared" si="71"/>
        <v>0</v>
      </c>
      <c r="D4509" s="30" t="str">
        <f>IFERROR(VLOOKUP(C4509,소속부서!$A$2:$B$20,2,FALSE), "")</f>
        <v/>
      </c>
    </row>
    <row r="4510" spans="3:4" x14ac:dyDescent="0.3">
      <c r="C4510" s="35">
        <f t="shared" si="71"/>
        <v>0</v>
      </c>
      <c r="D4510" s="30" t="str">
        <f>IFERROR(VLOOKUP(C4510,소속부서!$A$2:$B$20,2,FALSE), "")</f>
        <v/>
      </c>
    </row>
    <row r="4511" spans="3:4" x14ac:dyDescent="0.3">
      <c r="C4511" s="35">
        <f t="shared" si="71"/>
        <v>0</v>
      </c>
      <c r="D4511" s="30" t="str">
        <f>IFERROR(VLOOKUP(C4511,소속부서!$A$2:$B$20,2,FALSE), "")</f>
        <v/>
      </c>
    </row>
    <row r="4512" spans="3:4" x14ac:dyDescent="0.3">
      <c r="C4512" s="35">
        <f t="shared" si="71"/>
        <v>0</v>
      </c>
      <c r="D4512" s="30" t="str">
        <f>IFERROR(VLOOKUP(C4512,소속부서!$A$2:$B$20,2,FALSE), "")</f>
        <v/>
      </c>
    </row>
    <row r="4513" spans="3:4" x14ac:dyDescent="0.3">
      <c r="C4513" s="35">
        <f t="shared" si="71"/>
        <v>0</v>
      </c>
      <c r="D4513" s="30" t="str">
        <f>IFERROR(VLOOKUP(C4513,소속부서!$A$2:$B$20,2,FALSE), "")</f>
        <v/>
      </c>
    </row>
    <row r="4514" spans="3:4" x14ac:dyDescent="0.3">
      <c r="C4514" s="35">
        <f t="shared" si="71"/>
        <v>0</v>
      </c>
      <c r="D4514" s="30" t="str">
        <f>IFERROR(VLOOKUP(C4514,소속부서!$A$2:$B$20,2,FALSE), "")</f>
        <v/>
      </c>
    </row>
    <row r="4515" spans="3:4" x14ac:dyDescent="0.3">
      <c r="C4515" s="35">
        <f t="shared" si="71"/>
        <v>0</v>
      </c>
      <c r="D4515" s="30" t="str">
        <f>IFERROR(VLOOKUP(C4515,소속부서!$A$2:$B$20,2,FALSE), "")</f>
        <v/>
      </c>
    </row>
    <row r="4516" spans="3:4" x14ac:dyDescent="0.3">
      <c r="C4516" s="35">
        <f t="shared" si="71"/>
        <v>0</v>
      </c>
      <c r="D4516" s="30" t="str">
        <f>IFERROR(VLOOKUP(C4516,소속부서!$A$2:$B$20,2,FALSE), "")</f>
        <v/>
      </c>
    </row>
    <row r="4517" spans="3:4" x14ac:dyDescent="0.3">
      <c r="C4517" s="35">
        <f t="shared" si="71"/>
        <v>0</v>
      </c>
      <c r="D4517" s="30" t="str">
        <f>IFERROR(VLOOKUP(C4517,소속부서!$A$2:$B$20,2,FALSE), "")</f>
        <v/>
      </c>
    </row>
    <row r="4518" spans="3:4" x14ac:dyDescent="0.3">
      <c r="C4518" s="35">
        <f t="shared" si="71"/>
        <v>0</v>
      </c>
      <c r="D4518" s="30" t="str">
        <f>IFERROR(VLOOKUP(C4518,소속부서!$A$2:$B$20,2,FALSE), "")</f>
        <v/>
      </c>
    </row>
    <row r="4519" spans="3:4" x14ac:dyDescent="0.3">
      <c r="C4519" s="35">
        <f t="shared" si="71"/>
        <v>0</v>
      </c>
      <c r="D4519" s="30" t="str">
        <f>IFERROR(VLOOKUP(C4519,소속부서!$A$2:$B$20,2,FALSE), "")</f>
        <v/>
      </c>
    </row>
    <row r="4520" spans="3:4" x14ac:dyDescent="0.3">
      <c r="C4520" s="35">
        <f t="shared" si="71"/>
        <v>0</v>
      </c>
      <c r="D4520" s="30" t="str">
        <f>IFERROR(VLOOKUP(C4520,소속부서!$A$2:$B$20,2,FALSE), "")</f>
        <v/>
      </c>
    </row>
    <row r="4521" spans="3:4" x14ac:dyDescent="0.3">
      <c r="C4521" s="35">
        <f t="shared" si="71"/>
        <v>0</v>
      </c>
      <c r="D4521" s="30" t="str">
        <f>IFERROR(VLOOKUP(C4521,소속부서!$A$2:$B$20,2,FALSE), "")</f>
        <v/>
      </c>
    </row>
    <row r="4522" spans="3:4" x14ac:dyDescent="0.3">
      <c r="C4522" s="35">
        <f t="shared" si="71"/>
        <v>0</v>
      </c>
      <c r="D4522" s="30" t="str">
        <f>IFERROR(VLOOKUP(C4522,소속부서!$A$2:$B$20,2,FALSE), "")</f>
        <v/>
      </c>
    </row>
    <row r="4523" spans="3:4" x14ac:dyDescent="0.3">
      <c r="C4523" s="35">
        <f t="shared" si="71"/>
        <v>0</v>
      </c>
      <c r="D4523" s="30" t="str">
        <f>IFERROR(VLOOKUP(C4523,소속부서!$A$2:$B$20,2,FALSE), "")</f>
        <v/>
      </c>
    </row>
    <row r="4524" spans="3:4" x14ac:dyDescent="0.3">
      <c r="C4524" s="35">
        <f t="shared" si="71"/>
        <v>0</v>
      </c>
      <c r="D4524" s="30" t="str">
        <f>IFERROR(VLOOKUP(C4524,소속부서!$A$2:$B$20,2,FALSE), "")</f>
        <v/>
      </c>
    </row>
    <row r="4525" spans="3:4" x14ac:dyDescent="0.3">
      <c r="C4525" s="35">
        <f t="shared" si="71"/>
        <v>0</v>
      </c>
      <c r="D4525" s="30" t="str">
        <f>IFERROR(VLOOKUP(C4525,소속부서!$A$2:$B$20,2,FALSE), "")</f>
        <v/>
      </c>
    </row>
    <row r="4526" spans="3:4" x14ac:dyDescent="0.3">
      <c r="C4526" s="35">
        <f t="shared" si="71"/>
        <v>0</v>
      </c>
      <c r="D4526" s="30" t="str">
        <f>IFERROR(VLOOKUP(C4526,소속부서!$A$2:$B$20,2,FALSE), "")</f>
        <v/>
      </c>
    </row>
    <row r="4527" spans="3:4" x14ac:dyDescent="0.3">
      <c r="C4527" s="35">
        <f t="shared" si="71"/>
        <v>0</v>
      </c>
      <c r="D4527" s="30" t="str">
        <f>IFERROR(VLOOKUP(C4527,소속부서!$A$2:$B$20,2,FALSE), "")</f>
        <v/>
      </c>
    </row>
    <row r="4528" spans="3:4" x14ac:dyDescent="0.3">
      <c r="C4528" s="35">
        <f t="shared" si="71"/>
        <v>0</v>
      </c>
      <c r="D4528" s="30" t="str">
        <f>IFERROR(VLOOKUP(C4528,소속부서!$A$2:$B$20,2,FALSE), "")</f>
        <v/>
      </c>
    </row>
    <row r="4529" spans="3:4" x14ac:dyDescent="0.3">
      <c r="C4529" s="35">
        <f t="shared" si="71"/>
        <v>0</v>
      </c>
      <c r="D4529" s="30" t="str">
        <f>IFERROR(VLOOKUP(C4529,소속부서!$A$2:$B$20,2,FALSE), "")</f>
        <v/>
      </c>
    </row>
    <row r="4530" spans="3:4" x14ac:dyDescent="0.3">
      <c r="C4530" s="35">
        <f t="shared" si="71"/>
        <v>0</v>
      </c>
      <c r="D4530" s="30" t="str">
        <f>IFERROR(VLOOKUP(C4530,소속부서!$A$2:$B$20,2,FALSE), "")</f>
        <v/>
      </c>
    </row>
    <row r="4531" spans="3:4" x14ac:dyDescent="0.3">
      <c r="C4531" s="35">
        <f t="shared" si="71"/>
        <v>0</v>
      </c>
      <c r="D4531" s="30" t="str">
        <f>IFERROR(VLOOKUP(C4531,소속부서!$A$2:$B$20,2,FALSE), "")</f>
        <v/>
      </c>
    </row>
    <row r="4532" spans="3:4" x14ac:dyDescent="0.3">
      <c r="C4532" s="35">
        <f t="shared" si="71"/>
        <v>0</v>
      </c>
      <c r="D4532" s="30" t="str">
        <f>IFERROR(VLOOKUP(C4532,소속부서!$A$2:$B$20,2,FALSE), "")</f>
        <v/>
      </c>
    </row>
    <row r="4533" spans="3:4" x14ac:dyDescent="0.3">
      <c r="C4533" s="35">
        <f t="shared" si="71"/>
        <v>0</v>
      </c>
      <c r="D4533" s="30" t="str">
        <f>IFERROR(VLOOKUP(C4533,소속부서!$A$2:$B$20,2,FALSE), "")</f>
        <v/>
      </c>
    </row>
    <row r="4534" spans="3:4" x14ac:dyDescent="0.3">
      <c r="C4534" s="35">
        <f t="shared" si="71"/>
        <v>0</v>
      </c>
      <c r="D4534" s="30" t="str">
        <f>IFERROR(VLOOKUP(C4534,소속부서!$A$2:$B$20,2,FALSE), "")</f>
        <v/>
      </c>
    </row>
    <row r="4535" spans="3:4" x14ac:dyDescent="0.3">
      <c r="C4535" s="35">
        <f t="shared" si="71"/>
        <v>0</v>
      </c>
      <c r="D4535" s="30" t="str">
        <f>IFERROR(VLOOKUP(C4535,소속부서!$A$2:$B$20,2,FALSE), "")</f>
        <v/>
      </c>
    </row>
    <row r="4536" spans="3:4" x14ac:dyDescent="0.3">
      <c r="C4536" s="35">
        <f t="shared" si="71"/>
        <v>0</v>
      </c>
      <c r="D4536" s="30" t="str">
        <f>IFERROR(VLOOKUP(C4536,소속부서!$A$2:$B$20,2,FALSE), "")</f>
        <v/>
      </c>
    </row>
    <row r="4537" spans="3:4" x14ac:dyDescent="0.3">
      <c r="C4537" s="35">
        <f t="shared" si="71"/>
        <v>0</v>
      </c>
      <c r="D4537" s="30" t="str">
        <f>IFERROR(VLOOKUP(C4537,소속부서!$A$2:$B$20,2,FALSE), "")</f>
        <v/>
      </c>
    </row>
    <row r="4538" spans="3:4" x14ac:dyDescent="0.3">
      <c r="C4538" s="35">
        <f t="shared" si="71"/>
        <v>0</v>
      </c>
      <c r="D4538" s="30" t="str">
        <f>IFERROR(VLOOKUP(C4538,소속부서!$A$2:$B$20,2,FALSE), "")</f>
        <v/>
      </c>
    </row>
    <row r="4539" spans="3:4" x14ac:dyDescent="0.3">
      <c r="C4539" s="35">
        <f t="shared" si="71"/>
        <v>0</v>
      </c>
      <c r="D4539" s="30" t="str">
        <f>IFERROR(VLOOKUP(C4539,소속부서!$A$2:$B$20,2,FALSE), "")</f>
        <v/>
      </c>
    </row>
    <row r="4540" spans="3:4" x14ac:dyDescent="0.3">
      <c r="C4540" s="35">
        <f t="shared" si="71"/>
        <v>0</v>
      </c>
      <c r="D4540" s="30" t="str">
        <f>IFERROR(VLOOKUP(C4540,소속부서!$A$2:$B$20,2,FALSE), "")</f>
        <v/>
      </c>
    </row>
    <row r="4541" spans="3:4" x14ac:dyDescent="0.3">
      <c r="C4541" s="35">
        <f t="shared" si="71"/>
        <v>0</v>
      </c>
      <c r="D4541" s="30" t="str">
        <f>IFERROR(VLOOKUP(C4541,소속부서!$A$2:$B$20,2,FALSE), "")</f>
        <v/>
      </c>
    </row>
    <row r="4542" spans="3:4" x14ac:dyDescent="0.3">
      <c r="C4542" s="35">
        <f t="shared" si="71"/>
        <v>0</v>
      </c>
      <c r="D4542" s="30" t="str">
        <f>IFERROR(VLOOKUP(C4542,소속부서!$A$2:$B$20,2,FALSE), "")</f>
        <v/>
      </c>
    </row>
    <row r="4543" spans="3:4" x14ac:dyDescent="0.3">
      <c r="C4543" s="35">
        <f t="shared" si="71"/>
        <v>0</v>
      </c>
      <c r="D4543" s="30" t="str">
        <f>IFERROR(VLOOKUP(C4543,소속부서!$A$2:$B$20,2,FALSE), "")</f>
        <v/>
      </c>
    </row>
    <row r="4544" spans="3:4" x14ac:dyDescent="0.3">
      <c r="C4544" s="35">
        <f t="shared" si="71"/>
        <v>0</v>
      </c>
      <c r="D4544" s="30" t="str">
        <f>IFERROR(VLOOKUP(C4544,소속부서!$A$2:$B$20,2,FALSE), "")</f>
        <v/>
      </c>
    </row>
    <row r="4545" spans="3:4" x14ac:dyDescent="0.3">
      <c r="C4545" s="35">
        <f t="shared" si="71"/>
        <v>0</v>
      </c>
      <c r="D4545" s="30" t="str">
        <f>IFERROR(VLOOKUP(C4545,소속부서!$A$2:$B$20,2,FALSE), "")</f>
        <v/>
      </c>
    </row>
    <row r="4546" spans="3:4" x14ac:dyDescent="0.3">
      <c r="C4546" s="35">
        <f t="shared" si="71"/>
        <v>0</v>
      </c>
      <c r="D4546" s="30" t="str">
        <f>IFERROR(VLOOKUP(C4546,소속부서!$A$2:$B$20,2,FALSE), "")</f>
        <v/>
      </c>
    </row>
    <row r="4547" spans="3:4" x14ac:dyDescent="0.3">
      <c r="C4547" s="35">
        <f t="shared" si="71"/>
        <v>0</v>
      </c>
      <c r="D4547" s="30" t="str">
        <f>IFERROR(VLOOKUP(C4547,소속부서!$A$2:$B$20,2,FALSE), "")</f>
        <v/>
      </c>
    </row>
    <row r="4548" spans="3:4" x14ac:dyDescent="0.3">
      <c r="C4548" s="35">
        <f t="shared" ref="C4548:C4611" si="72">E4548</f>
        <v>0</v>
      </c>
      <c r="D4548" s="30" t="str">
        <f>IFERROR(VLOOKUP(C4548,소속부서!$A$2:$B$20,2,FALSE), "")</f>
        <v/>
      </c>
    </row>
    <row r="4549" spans="3:4" x14ac:dyDescent="0.3">
      <c r="C4549" s="35">
        <f t="shared" si="72"/>
        <v>0</v>
      </c>
      <c r="D4549" s="30" t="str">
        <f>IFERROR(VLOOKUP(C4549,소속부서!$A$2:$B$20,2,FALSE), "")</f>
        <v/>
      </c>
    </row>
    <row r="4550" spans="3:4" x14ac:dyDescent="0.3">
      <c r="C4550" s="35">
        <f t="shared" si="72"/>
        <v>0</v>
      </c>
      <c r="D4550" s="30" t="str">
        <f>IFERROR(VLOOKUP(C4550,소속부서!$A$2:$B$20,2,FALSE), "")</f>
        <v/>
      </c>
    </row>
    <row r="4551" spans="3:4" x14ac:dyDescent="0.3">
      <c r="C4551" s="35">
        <f t="shared" si="72"/>
        <v>0</v>
      </c>
      <c r="D4551" s="30" t="str">
        <f>IFERROR(VLOOKUP(C4551,소속부서!$A$2:$B$20,2,FALSE), "")</f>
        <v/>
      </c>
    </row>
    <row r="4552" spans="3:4" x14ac:dyDescent="0.3">
      <c r="C4552" s="35">
        <f t="shared" si="72"/>
        <v>0</v>
      </c>
      <c r="D4552" s="30" t="str">
        <f>IFERROR(VLOOKUP(C4552,소속부서!$A$2:$B$20,2,FALSE), "")</f>
        <v/>
      </c>
    </row>
    <row r="4553" spans="3:4" x14ac:dyDescent="0.3">
      <c r="C4553" s="35">
        <f t="shared" si="72"/>
        <v>0</v>
      </c>
      <c r="D4553" s="30" t="str">
        <f>IFERROR(VLOOKUP(C4553,소속부서!$A$2:$B$20,2,FALSE), "")</f>
        <v/>
      </c>
    </row>
    <row r="4554" spans="3:4" x14ac:dyDescent="0.3">
      <c r="C4554" s="35">
        <f t="shared" si="72"/>
        <v>0</v>
      </c>
      <c r="D4554" s="30" t="str">
        <f>IFERROR(VLOOKUP(C4554,소속부서!$A$2:$B$20,2,FALSE), "")</f>
        <v/>
      </c>
    </row>
    <row r="4555" spans="3:4" x14ac:dyDescent="0.3">
      <c r="C4555" s="35">
        <f t="shared" si="72"/>
        <v>0</v>
      </c>
      <c r="D4555" s="30" t="str">
        <f>IFERROR(VLOOKUP(C4555,소속부서!$A$2:$B$20,2,FALSE), "")</f>
        <v/>
      </c>
    </row>
    <row r="4556" spans="3:4" x14ac:dyDescent="0.3">
      <c r="C4556" s="35">
        <f t="shared" si="72"/>
        <v>0</v>
      </c>
      <c r="D4556" s="30" t="str">
        <f>IFERROR(VLOOKUP(C4556,소속부서!$A$2:$B$20,2,FALSE), "")</f>
        <v/>
      </c>
    </row>
    <row r="4557" spans="3:4" x14ac:dyDescent="0.3">
      <c r="C4557" s="35">
        <f t="shared" si="72"/>
        <v>0</v>
      </c>
      <c r="D4557" s="30" t="str">
        <f>IFERROR(VLOOKUP(C4557,소속부서!$A$2:$B$20,2,FALSE), "")</f>
        <v/>
      </c>
    </row>
    <row r="4558" spans="3:4" x14ac:dyDescent="0.3">
      <c r="C4558" s="35">
        <f t="shared" si="72"/>
        <v>0</v>
      </c>
      <c r="D4558" s="30" t="str">
        <f>IFERROR(VLOOKUP(C4558,소속부서!$A$2:$B$20,2,FALSE), "")</f>
        <v/>
      </c>
    </row>
    <row r="4559" spans="3:4" x14ac:dyDescent="0.3">
      <c r="C4559" s="35">
        <f t="shared" si="72"/>
        <v>0</v>
      </c>
      <c r="D4559" s="30" t="str">
        <f>IFERROR(VLOOKUP(C4559,소속부서!$A$2:$B$20,2,FALSE), "")</f>
        <v/>
      </c>
    </row>
    <row r="4560" spans="3:4" x14ac:dyDescent="0.3">
      <c r="C4560" s="35">
        <f t="shared" si="72"/>
        <v>0</v>
      </c>
      <c r="D4560" s="30" t="str">
        <f>IFERROR(VLOOKUP(C4560,소속부서!$A$2:$B$20,2,FALSE), "")</f>
        <v/>
      </c>
    </row>
    <row r="4561" spans="3:4" x14ac:dyDescent="0.3">
      <c r="C4561" s="35">
        <f t="shared" si="72"/>
        <v>0</v>
      </c>
      <c r="D4561" s="30" t="str">
        <f>IFERROR(VLOOKUP(C4561,소속부서!$A$2:$B$20,2,FALSE), "")</f>
        <v/>
      </c>
    </row>
    <row r="4562" spans="3:4" x14ac:dyDescent="0.3">
      <c r="C4562" s="35">
        <f t="shared" si="72"/>
        <v>0</v>
      </c>
      <c r="D4562" s="30" t="str">
        <f>IFERROR(VLOOKUP(C4562,소속부서!$A$2:$B$20,2,FALSE), "")</f>
        <v/>
      </c>
    </row>
    <row r="4563" spans="3:4" x14ac:dyDescent="0.3">
      <c r="C4563" s="35">
        <f t="shared" si="72"/>
        <v>0</v>
      </c>
      <c r="D4563" s="30" t="str">
        <f>IFERROR(VLOOKUP(C4563,소속부서!$A$2:$B$20,2,FALSE), "")</f>
        <v/>
      </c>
    </row>
    <row r="4564" spans="3:4" x14ac:dyDescent="0.3">
      <c r="C4564" s="35">
        <f t="shared" si="72"/>
        <v>0</v>
      </c>
      <c r="D4564" s="30" t="str">
        <f>IFERROR(VLOOKUP(C4564,소속부서!$A$2:$B$20,2,FALSE), "")</f>
        <v/>
      </c>
    </row>
    <row r="4565" spans="3:4" x14ac:dyDescent="0.3">
      <c r="C4565" s="35">
        <f t="shared" si="72"/>
        <v>0</v>
      </c>
      <c r="D4565" s="30" t="str">
        <f>IFERROR(VLOOKUP(C4565,소속부서!$A$2:$B$20,2,FALSE), "")</f>
        <v/>
      </c>
    </row>
    <row r="4566" spans="3:4" x14ac:dyDescent="0.3">
      <c r="C4566" s="35">
        <f t="shared" si="72"/>
        <v>0</v>
      </c>
      <c r="D4566" s="30" t="str">
        <f>IFERROR(VLOOKUP(C4566,소속부서!$A$2:$B$20,2,FALSE), "")</f>
        <v/>
      </c>
    </row>
    <row r="4567" spans="3:4" x14ac:dyDescent="0.3">
      <c r="C4567" s="35">
        <f t="shared" si="72"/>
        <v>0</v>
      </c>
      <c r="D4567" s="30" t="str">
        <f>IFERROR(VLOOKUP(C4567,소속부서!$A$2:$B$20,2,FALSE), "")</f>
        <v/>
      </c>
    </row>
    <row r="4568" spans="3:4" x14ac:dyDescent="0.3">
      <c r="C4568" s="35">
        <f t="shared" si="72"/>
        <v>0</v>
      </c>
      <c r="D4568" s="30" t="str">
        <f>IFERROR(VLOOKUP(C4568,소속부서!$A$2:$B$20,2,FALSE), "")</f>
        <v/>
      </c>
    </row>
    <row r="4569" spans="3:4" x14ac:dyDescent="0.3">
      <c r="C4569" s="35">
        <f t="shared" si="72"/>
        <v>0</v>
      </c>
      <c r="D4569" s="30" t="str">
        <f>IFERROR(VLOOKUP(C4569,소속부서!$A$2:$B$20,2,FALSE), "")</f>
        <v/>
      </c>
    </row>
    <row r="4570" spans="3:4" x14ac:dyDescent="0.3">
      <c r="C4570" s="35">
        <f t="shared" si="72"/>
        <v>0</v>
      </c>
      <c r="D4570" s="30" t="str">
        <f>IFERROR(VLOOKUP(C4570,소속부서!$A$2:$B$20,2,FALSE), "")</f>
        <v/>
      </c>
    </row>
    <row r="4571" spans="3:4" x14ac:dyDescent="0.3">
      <c r="C4571" s="35">
        <f t="shared" si="72"/>
        <v>0</v>
      </c>
      <c r="D4571" s="30" t="str">
        <f>IFERROR(VLOOKUP(C4571,소속부서!$A$2:$B$20,2,FALSE), "")</f>
        <v/>
      </c>
    </row>
    <row r="4572" spans="3:4" x14ac:dyDescent="0.3">
      <c r="C4572" s="35">
        <f t="shared" si="72"/>
        <v>0</v>
      </c>
      <c r="D4572" s="30" t="str">
        <f>IFERROR(VLOOKUP(C4572,소속부서!$A$2:$B$20,2,FALSE), "")</f>
        <v/>
      </c>
    </row>
    <row r="4573" spans="3:4" x14ac:dyDescent="0.3">
      <c r="C4573" s="35">
        <f t="shared" si="72"/>
        <v>0</v>
      </c>
      <c r="D4573" s="30" t="str">
        <f>IFERROR(VLOOKUP(C4573,소속부서!$A$2:$B$20,2,FALSE), "")</f>
        <v/>
      </c>
    </row>
    <row r="4574" spans="3:4" x14ac:dyDescent="0.3">
      <c r="C4574" s="35">
        <f t="shared" si="72"/>
        <v>0</v>
      </c>
      <c r="D4574" s="30" t="str">
        <f>IFERROR(VLOOKUP(C4574,소속부서!$A$2:$B$20,2,FALSE), "")</f>
        <v/>
      </c>
    </row>
    <row r="4575" spans="3:4" x14ac:dyDescent="0.3">
      <c r="C4575" s="35">
        <f t="shared" si="72"/>
        <v>0</v>
      </c>
      <c r="D4575" s="30" t="str">
        <f>IFERROR(VLOOKUP(C4575,소속부서!$A$2:$B$20,2,FALSE), "")</f>
        <v/>
      </c>
    </row>
    <row r="4576" spans="3:4" x14ac:dyDescent="0.3">
      <c r="C4576" s="35">
        <f t="shared" si="72"/>
        <v>0</v>
      </c>
      <c r="D4576" s="30" t="str">
        <f>IFERROR(VLOOKUP(C4576,소속부서!$A$2:$B$20,2,FALSE), "")</f>
        <v/>
      </c>
    </row>
    <row r="4577" spans="3:4" x14ac:dyDescent="0.3">
      <c r="C4577" s="35">
        <f t="shared" si="72"/>
        <v>0</v>
      </c>
      <c r="D4577" s="30" t="str">
        <f>IFERROR(VLOOKUP(C4577,소속부서!$A$2:$B$20,2,FALSE), "")</f>
        <v/>
      </c>
    </row>
    <row r="4578" spans="3:4" x14ac:dyDescent="0.3">
      <c r="C4578" s="35">
        <f t="shared" si="72"/>
        <v>0</v>
      </c>
      <c r="D4578" s="30" t="str">
        <f>IFERROR(VLOOKUP(C4578,소속부서!$A$2:$B$20,2,FALSE), "")</f>
        <v/>
      </c>
    </row>
    <row r="4579" spans="3:4" x14ac:dyDescent="0.3">
      <c r="C4579" s="35">
        <f t="shared" si="72"/>
        <v>0</v>
      </c>
      <c r="D4579" s="30" t="str">
        <f>IFERROR(VLOOKUP(C4579,소속부서!$A$2:$B$20,2,FALSE), "")</f>
        <v/>
      </c>
    </row>
    <row r="4580" spans="3:4" x14ac:dyDescent="0.3">
      <c r="C4580" s="35">
        <f t="shared" si="72"/>
        <v>0</v>
      </c>
      <c r="D4580" s="30" t="str">
        <f>IFERROR(VLOOKUP(C4580,소속부서!$A$2:$B$20,2,FALSE), "")</f>
        <v/>
      </c>
    </row>
    <row r="4581" spans="3:4" x14ac:dyDescent="0.3">
      <c r="C4581" s="35">
        <f t="shared" si="72"/>
        <v>0</v>
      </c>
      <c r="D4581" s="30" t="str">
        <f>IFERROR(VLOOKUP(C4581,소속부서!$A$2:$B$20,2,FALSE), "")</f>
        <v/>
      </c>
    </row>
    <row r="4582" spans="3:4" x14ac:dyDescent="0.3">
      <c r="C4582" s="35">
        <f t="shared" si="72"/>
        <v>0</v>
      </c>
      <c r="D4582" s="30" t="str">
        <f>IFERROR(VLOOKUP(C4582,소속부서!$A$2:$B$20,2,FALSE), "")</f>
        <v/>
      </c>
    </row>
    <row r="4583" spans="3:4" x14ac:dyDescent="0.3">
      <c r="C4583" s="35">
        <f t="shared" si="72"/>
        <v>0</v>
      </c>
      <c r="D4583" s="30" t="str">
        <f>IFERROR(VLOOKUP(C4583,소속부서!$A$2:$B$20,2,FALSE), "")</f>
        <v/>
      </c>
    </row>
    <row r="4584" spans="3:4" x14ac:dyDescent="0.3">
      <c r="C4584" s="35">
        <f t="shared" si="72"/>
        <v>0</v>
      </c>
      <c r="D4584" s="30" t="str">
        <f>IFERROR(VLOOKUP(C4584,소속부서!$A$2:$B$20,2,FALSE), "")</f>
        <v/>
      </c>
    </row>
    <row r="4585" spans="3:4" x14ac:dyDescent="0.3">
      <c r="C4585" s="35">
        <f t="shared" si="72"/>
        <v>0</v>
      </c>
      <c r="D4585" s="30" t="str">
        <f>IFERROR(VLOOKUP(C4585,소속부서!$A$2:$B$20,2,FALSE), "")</f>
        <v/>
      </c>
    </row>
    <row r="4586" spans="3:4" x14ac:dyDescent="0.3">
      <c r="C4586" s="35">
        <f t="shared" si="72"/>
        <v>0</v>
      </c>
      <c r="D4586" s="30" t="str">
        <f>IFERROR(VLOOKUP(C4586,소속부서!$A$2:$B$20,2,FALSE), "")</f>
        <v/>
      </c>
    </row>
    <row r="4587" spans="3:4" x14ac:dyDescent="0.3">
      <c r="C4587" s="35">
        <f t="shared" si="72"/>
        <v>0</v>
      </c>
      <c r="D4587" s="30" t="str">
        <f>IFERROR(VLOOKUP(C4587,소속부서!$A$2:$B$20,2,FALSE), "")</f>
        <v/>
      </c>
    </row>
    <row r="4588" spans="3:4" x14ac:dyDescent="0.3">
      <c r="C4588" s="35">
        <f t="shared" si="72"/>
        <v>0</v>
      </c>
      <c r="D4588" s="30" t="str">
        <f>IFERROR(VLOOKUP(C4588,소속부서!$A$2:$B$20,2,FALSE), "")</f>
        <v/>
      </c>
    </row>
    <row r="4589" spans="3:4" x14ac:dyDescent="0.3">
      <c r="C4589" s="35">
        <f t="shared" si="72"/>
        <v>0</v>
      </c>
      <c r="D4589" s="30" t="str">
        <f>IFERROR(VLOOKUP(C4589,소속부서!$A$2:$B$20,2,FALSE), "")</f>
        <v/>
      </c>
    </row>
    <row r="4590" spans="3:4" x14ac:dyDescent="0.3">
      <c r="C4590" s="35">
        <f t="shared" si="72"/>
        <v>0</v>
      </c>
      <c r="D4590" s="30" t="str">
        <f>IFERROR(VLOOKUP(C4590,소속부서!$A$2:$B$20,2,FALSE), "")</f>
        <v/>
      </c>
    </row>
    <row r="4591" spans="3:4" x14ac:dyDescent="0.3">
      <c r="C4591" s="35">
        <f t="shared" si="72"/>
        <v>0</v>
      </c>
      <c r="D4591" s="30" t="str">
        <f>IFERROR(VLOOKUP(C4591,소속부서!$A$2:$B$20,2,FALSE), "")</f>
        <v/>
      </c>
    </row>
    <row r="4592" spans="3:4" x14ac:dyDescent="0.3">
      <c r="C4592" s="35">
        <f t="shared" si="72"/>
        <v>0</v>
      </c>
      <c r="D4592" s="30" t="str">
        <f>IFERROR(VLOOKUP(C4592,소속부서!$A$2:$B$20,2,FALSE), "")</f>
        <v/>
      </c>
    </row>
    <row r="4593" spans="3:4" x14ac:dyDescent="0.3">
      <c r="C4593" s="35">
        <f t="shared" si="72"/>
        <v>0</v>
      </c>
      <c r="D4593" s="30" t="str">
        <f>IFERROR(VLOOKUP(C4593,소속부서!$A$2:$B$20,2,FALSE), "")</f>
        <v/>
      </c>
    </row>
    <row r="4594" spans="3:4" x14ac:dyDescent="0.3">
      <c r="C4594" s="35">
        <f t="shared" si="72"/>
        <v>0</v>
      </c>
      <c r="D4594" s="30" t="str">
        <f>IFERROR(VLOOKUP(C4594,소속부서!$A$2:$B$20,2,FALSE), "")</f>
        <v/>
      </c>
    </row>
    <row r="4595" spans="3:4" x14ac:dyDescent="0.3">
      <c r="C4595" s="35">
        <f t="shared" si="72"/>
        <v>0</v>
      </c>
      <c r="D4595" s="30" t="str">
        <f>IFERROR(VLOOKUP(C4595,소속부서!$A$2:$B$20,2,FALSE), "")</f>
        <v/>
      </c>
    </row>
    <row r="4596" spans="3:4" x14ac:dyDescent="0.3">
      <c r="C4596" s="35">
        <f t="shared" si="72"/>
        <v>0</v>
      </c>
      <c r="D4596" s="30" t="str">
        <f>IFERROR(VLOOKUP(C4596,소속부서!$A$2:$B$20,2,FALSE), "")</f>
        <v/>
      </c>
    </row>
    <row r="4597" spans="3:4" x14ac:dyDescent="0.3">
      <c r="C4597" s="35">
        <f t="shared" si="72"/>
        <v>0</v>
      </c>
      <c r="D4597" s="30" t="str">
        <f>IFERROR(VLOOKUP(C4597,소속부서!$A$2:$B$20,2,FALSE), "")</f>
        <v/>
      </c>
    </row>
    <row r="4598" spans="3:4" x14ac:dyDescent="0.3">
      <c r="C4598" s="35">
        <f t="shared" si="72"/>
        <v>0</v>
      </c>
      <c r="D4598" s="30" t="str">
        <f>IFERROR(VLOOKUP(C4598,소속부서!$A$2:$B$20,2,FALSE), "")</f>
        <v/>
      </c>
    </row>
    <row r="4599" spans="3:4" x14ac:dyDescent="0.3">
      <c r="C4599" s="35">
        <f t="shared" si="72"/>
        <v>0</v>
      </c>
      <c r="D4599" s="30" t="str">
        <f>IFERROR(VLOOKUP(C4599,소속부서!$A$2:$B$20,2,FALSE), "")</f>
        <v/>
      </c>
    </row>
    <row r="4600" spans="3:4" x14ac:dyDescent="0.3">
      <c r="C4600" s="35">
        <f t="shared" si="72"/>
        <v>0</v>
      </c>
      <c r="D4600" s="30" t="str">
        <f>IFERROR(VLOOKUP(C4600,소속부서!$A$2:$B$20,2,FALSE), "")</f>
        <v/>
      </c>
    </row>
    <row r="4601" spans="3:4" x14ac:dyDescent="0.3">
      <c r="C4601" s="35">
        <f t="shared" si="72"/>
        <v>0</v>
      </c>
      <c r="D4601" s="30" t="str">
        <f>IFERROR(VLOOKUP(C4601,소속부서!$A$2:$B$20,2,FALSE), "")</f>
        <v/>
      </c>
    </row>
    <row r="4602" spans="3:4" x14ac:dyDescent="0.3">
      <c r="C4602" s="35">
        <f t="shared" si="72"/>
        <v>0</v>
      </c>
      <c r="D4602" s="30" t="str">
        <f>IFERROR(VLOOKUP(C4602,소속부서!$A$2:$B$20,2,FALSE), "")</f>
        <v/>
      </c>
    </row>
    <row r="4603" spans="3:4" x14ac:dyDescent="0.3">
      <c r="C4603" s="35">
        <f t="shared" si="72"/>
        <v>0</v>
      </c>
      <c r="D4603" s="30" t="str">
        <f>IFERROR(VLOOKUP(C4603,소속부서!$A$2:$B$20,2,FALSE), "")</f>
        <v/>
      </c>
    </row>
    <row r="4604" spans="3:4" x14ac:dyDescent="0.3">
      <c r="C4604" s="35">
        <f t="shared" si="72"/>
        <v>0</v>
      </c>
      <c r="D4604" s="30" t="str">
        <f>IFERROR(VLOOKUP(C4604,소속부서!$A$2:$B$20,2,FALSE), "")</f>
        <v/>
      </c>
    </row>
    <row r="4605" spans="3:4" x14ac:dyDescent="0.3">
      <c r="C4605" s="35">
        <f t="shared" si="72"/>
        <v>0</v>
      </c>
      <c r="D4605" s="30" t="str">
        <f>IFERROR(VLOOKUP(C4605,소속부서!$A$2:$B$20,2,FALSE), "")</f>
        <v/>
      </c>
    </row>
    <row r="4606" spans="3:4" x14ac:dyDescent="0.3">
      <c r="C4606" s="35">
        <f t="shared" si="72"/>
        <v>0</v>
      </c>
      <c r="D4606" s="30" t="str">
        <f>IFERROR(VLOOKUP(C4606,소속부서!$A$2:$B$20,2,FALSE), "")</f>
        <v/>
      </c>
    </row>
    <row r="4607" spans="3:4" x14ac:dyDescent="0.3">
      <c r="C4607" s="35">
        <f t="shared" si="72"/>
        <v>0</v>
      </c>
      <c r="D4607" s="30" t="str">
        <f>IFERROR(VLOOKUP(C4607,소속부서!$A$2:$B$20,2,FALSE), "")</f>
        <v/>
      </c>
    </row>
    <row r="4608" spans="3:4" x14ac:dyDescent="0.3">
      <c r="C4608" s="35">
        <f t="shared" si="72"/>
        <v>0</v>
      </c>
      <c r="D4608" s="30" t="str">
        <f>IFERROR(VLOOKUP(C4608,소속부서!$A$2:$B$20,2,FALSE), "")</f>
        <v/>
      </c>
    </row>
    <row r="4609" spans="3:4" x14ac:dyDescent="0.3">
      <c r="C4609" s="35">
        <f t="shared" si="72"/>
        <v>0</v>
      </c>
      <c r="D4609" s="30" t="str">
        <f>IFERROR(VLOOKUP(C4609,소속부서!$A$2:$B$20,2,FALSE), "")</f>
        <v/>
      </c>
    </row>
    <row r="4610" spans="3:4" x14ac:dyDescent="0.3">
      <c r="C4610" s="35">
        <f t="shared" si="72"/>
        <v>0</v>
      </c>
      <c r="D4610" s="30" t="str">
        <f>IFERROR(VLOOKUP(C4610,소속부서!$A$2:$B$20,2,FALSE), "")</f>
        <v/>
      </c>
    </row>
    <row r="4611" spans="3:4" x14ac:dyDescent="0.3">
      <c r="C4611" s="35">
        <f t="shared" si="72"/>
        <v>0</v>
      </c>
      <c r="D4611" s="30" t="str">
        <f>IFERROR(VLOOKUP(C4611,소속부서!$A$2:$B$20,2,FALSE), "")</f>
        <v/>
      </c>
    </row>
    <row r="4612" spans="3:4" x14ac:dyDescent="0.3">
      <c r="C4612" s="35">
        <f t="shared" ref="C4612:C4675" si="73">E4612</f>
        <v>0</v>
      </c>
      <c r="D4612" s="30" t="str">
        <f>IFERROR(VLOOKUP(C4612,소속부서!$A$2:$B$20,2,FALSE), "")</f>
        <v/>
      </c>
    </row>
    <row r="4613" spans="3:4" x14ac:dyDescent="0.3">
      <c r="C4613" s="35">
        <f t="shared" si="73"/>
        <v>0</v>
      </c>
      <c r="D4613" s="30" t="str">
        <f>IFERROR(VLOOKUP(C4613,소속부서!$A$2:$B$20,2,FALSE), "")</f>
        <v/>
      </c>
    </row>
    <row r="4614" spans="3:4" x14ac:dyDescent="0.3">
      <c r="C4614" s="35">
        <f t="shared" si="73"/>
        <v>0</v>
      </c>
      <c r="D4614" s="30" t="str">
        <f>IFERROR(VLOOKUP(C4614,소속부서!$A$2:$B$20,2,FALSE), "")</f>
        <v/>
      </c>
    </row>
    <row r="4615" spans="3:4" x14ac:dyDescent="0.3">
      <c r="C4615" s="35">
        <f t="shared" si="73"/>
        <v>0</v>
      </c>
      <c r="D4615" s="30" t="str">
        <f>IFERROR(VLOOKUP(C4615,소속부서!$A$2:$B$20,2,FALSE), "")</f>
        <v/>
      </c>
    </row>
    <row r="4616" spans="3:4" x14ac:dyDescent="0.3">
      <c r="C4616" s="35">
        <f t="shared" si="73"/>
        <v>0</v>
      </c>
      <c r="D4616" s="30" t="str">
        <f>IFERROR(VLOOKUP(C4616,소속부서!$A$2:$B$20,2,FALSE), "")</f>
        <v/>
      </c>
    </row>
    <row r="4617" spans="3:4" x14ac:dyDescent="0.3">
      <c r="C4617" s="35">
        <f t="shared" si="73"/>
        <v>0</v>
      </c>
      <c r="D4617" s="30" t="str">
        <f>IFERROR(VLOOKUP(C4617,소속부서!$A$2:$B$20,2,FALSE), "")</f>
        <v/>
      </c>
    </row>
    <row r="4618" spans="3:4" x14ac:dyDescent="0.3">
      <c r="C4618" s="35">
        <f t="shared" si="73"/>
        <v>0</v>
      </c>
      <c r="D4618" s="30" t="str">
        <f>IFERROR(VLOOKUP(C4618,소속부서!$A$2:$B$20,2,FALSE), "")</f>
        <v/>
      </c>
    </row>
    <row r="4619" spans="3:4" x14ac:dyDescent="0.3">
      <c r="C4619" s="35">
        <f t="shared" si="73"/>
        <v>0</v>
      </c>
      <c r="D4619" s="30" t="str">
        <f>IFERROR(VLOOKUP(C4619,소속부서!$A$2:$B$20,2,FALSE), "")</f>
        <v/>
      </c>
    </row>
    <row r="4620" spans="3:4" x14ac:dyDescent="0.3">
      <c r="C4620" s="35">
        <f t="shared" si="73"/>
        <v>0</v>
      </c>
      <c r="D4620" s="30" t="str">
        <f>IFERROR(VLOOKUP(C4620,소속부서!$A$2:$B$20,2,FALSE), "")</f>
        <v/>
      </c>
    </row>
    <row r="4621" spans="3:4" x14ac:dyDescent="0.3">
      <c r="C4621" s="35">
        <f t="shared" si="73"/>
        <v>0</v>
      </c>
      <c r="D4621" s="30" t="str">
        <f>IFERROR(VLOOKUP(C4621,소속부서!$A$2:$B$20,2,FALSE), "")</f>
        <v/>
      </c>
    </row>
    <row r="4622" spans="3:4" x14ac:dyDescent="0.3">
      <c r="C4622" s="35">
        <f t="shared" si="73"/>
        <v>0</v>
      </c>
      <c r="D4622" s="30" t="str">
        <f>IFERROR(VLOOKUP(C4622,소속부서!$A$2:$B$20,2,FALSE), "")</f>
        <v/>
      </c>
    </row>
    <row r="4623" spans="3:4" x14ac:dyDescent="0.3">
      <c r="C4623" s="35">
        <f t="shared" si="73"/>
        <v>0</v>
      </c>
      <c r="D4623" s="30" t="str">
        <f>IFERROR(VLOOKUP(C4623,소속부서!$A$2:$B$20,2,FALSE), "")</f>
        <v/>
      </c>
    </row>
    <row r="4624" spans="3:4" x14ac:dyDescent="0.3">
      <c r="C4624" s="35">
        <f t="shared" si="73"/>
        <v>0</v>
      </c>
      <c r="D4624" s="30" t="str">
        <f>IFERROR(VLOOKUP(C4624,소속부서!$A$2:$B$20,2,FALSE), "")</f>
        <v/>
      </c>
    </row>
    <row r="4625" spans="3:4" x14ac:dyDescent="0.3">
      <c r="C4625" s="35">
        <f t="shared" si="73"/>
        <v>0</v>
      </c>
      <c r="D4625" s="30" t="str">
        <f>IFERROR(VLOOKUP(C4625,소속부서!$A$2:$B$20,2,FALSE), "")</f>
        <v/>
      </c>
    </row>
    <row r="4626" spans="3:4" x14ac:dyDescent="0.3">
      <c r="C4626" s="35">
        <f t="shared" si="73"/>
        <v>0</v>
      </c>
      <c r="D4626" s="30" t="str">
        <f>IFERROR(VLOOKUP(C4626,소속부서!$A$2:$B$20,2,FALSE), "")</f>
        <v/>
      </c>
    </row>
    <row r="4627" spans="3:4" x14ac:dyDescent="0.3">
      <c r="C4627" s="35">
        <f t="shared" si="73"/>
        <v>0</v>
      </c>
      <c r="D4627" s="30" t="str">
        <f>IFERROR(VLOOKUP(C4627,소속부서!$A$2:$B$20,2,FALSE), "")</f>
        <v/>
      </c>
    </row>
    <row r="4628" spans="3:4" x14ac:dyDescent="0.3">
      <c r="C4628" s="35">
        <f t="shared" si="73"/>
        <v>0</v>
      </c>
      <c r="D4628" s="30" t="str">
        <f>IFERROR(VLOOKUP(C4628,소속부서!$A$2:$B$20,2,FALSE), "")</f>
        <v/>
      </c>
    </row>
    <row r="4629" spans="3:4" x14ac:dyDescent="0.3">
      <c r="C4629" s="35">
        <f t="shared" si="73"/>
        <v>0</v>
      </c>
      <c r="D4629" s="30" t="str">
        <f>IFERROR(VLOOKUP(C4629,소속부서!$A$2:$B$20,2,FALSE), "")</f>
        <v/>
      </c>
    </row>
    <row r="4630" spans="3:4" x14ac:dyDescent="0.3">
      <c r="C4630" s="35">
        <f t="shared" si="73"/>
        <v>0</v>
      </c>
      <c r="D4630" s="30" t="str">
        <f>IFERROR(VLOOKUP(C4630,소속부서!$A$2:$B$20,2,FALSE), "")</f>
        <v/>
      </c>
    </row>
    <row r="4631" spans="3:4" x14ac:dyDescent="0.3">
      <c r="C4631" s="35">
        <f t="shared" si="73"/>
        <v>0</v>
      </c>
      <c r="D4631" s="30" t="str">
        <f>IFERROR(VLOOKUP(C4631,소속부서!$A$2:$B$20,2,FALSE), "")</f>
        <v/>
      </c>
    </row>
    <row r="4632" spans="3:4" x14ac:dyDescent="0.3">
      <c r="C4632" s="35">
        <f t="shared" si="73"/>
        <v>0</v>
      </c>
      <c r="D4632" s="30" t="str">
        <f>IFERROR(VLOOKUP(C4632,소속부서!$A$2:$B$20,2,FALSE), "")</f>
        <v/>
      </c>
    </row>
    <row r="4633" spans="3:4" x14ac:dyDescent="0.3">
      <c r="C4633" s="35">
        <f t="shared" si="73"/>
        <v>0</v>
      </c>
      <c r="D4633" s="30" t="str">
        <f>IFERROR(VLOOKUP(C4633,소속부서!$A$2:$B$20,2,FALSE), "")</f>
        <v/>
      </c>
    </row>
    <row r="4634" spans="3:4" x14ac:dyDescent="0.3">
      <c r="C4634" s="35">
        <f t="shared" si="73"/>
        <v>0</v>
      </c>
      <c r="D4634" s="30" t="str">
        <f>IFERROR(VLOOKUP(C4634,소속부서!$A$2:$B$20,2,FALSE), "")</f>
        <v/>
      </c>
    </row>
    <row r="4635" spans="3:4" x14ac:dyDescent="0.3">
      <c r="C4635" s="35">
        <f t="shared" si="73"/>
        <v>0</v>
      </c>
      <c r="D4635" s="30" t="str">
        <f>IFERROR(VLOOKUP(C4635,소속부서!$A$2:$B$20,2,FALSE), "")</f>
        <v/>
      </c>
    </row>
    <row r="4636" spans="3:4" x14ac:dyDescent="0.3">
      <c r="C4636" s="35">
        <f t="shared" si="73"/>
        <v>0</v>
      </c>
      <c r="D4636" s="30" t="str">
        <f>IFERROR(VLOOKUP(C4636,소속부서!$A$2:$B$20,2,FALSE), "")</f>
        <v/>
      </c>
    </row>
    <row r="4637" spans="3:4" x14ac:dyDescent="0.3">
      <c r="C4637" s="35">
        <f t="shared" si="73"/>
        <v>0</v>
      </c>
      <c r="D4637" s="30" t="str">
        <f>IFERROR(VLOOKUP(C4637,소속부서!$A$2:$B$20,2,FALSE), "")</f>
        <v/>
      </c>
    </row>
    <row r="4638" spans="3:4" x14ac:dyDescent="0.3">
      <c r="C4638" s="35">
        <f t="shared" si="73"/>
        <v>0</v>
      </c>
      <c r="D4638" s="30" t="str">
        <f>IFERROR(VLOOKUP(C4638,소속부서!$A$2:$B$20,2,FALSE), "")</f>
        <v/>
      </c>
    </row>
    <row r="4639" spans="3:4" x14ac:dyDescent="0.3">
      <c r="C4639" s="35">
        <f t="shared" si="73"/>
        <v>0</v>
      </c>
      <c r="D4639" s="30" t="str">
        <f>IFERROR(VLOOKUP(C4639,소속부서!$A$2:$B$20,2,FALSE), "")</f>
        <v/>
      </c>
    </row>
    <row r="4640" spans="3:4" x14ac:dyDescent="0.3">
      <c r="C4640" s="35">
        <f t="shared" si="73"/>
        <v>0</v>
      </c>
      <c r="D4640" s="30" t="str">
        <f>IFERROR(VLOOKUP(C4640,소속부서!$A$2:$B$20,2,FALSE), "")</f>
        <v/>
      </c>
    </row>
    <row r="4641" spans="3:4" x14ac:dyDescent="0.3">
      <c r="C4641" s="35">
        <f t="shared" si="73"/>
        <v>0</v>
      </c>
      <c r="D4641" s="30" t="str">
        <f>IFERROR(VLOOKUP(C4641,소속부서!$A$2:$B$20,2,FALSE), "")</f>
        <v/>
      </c>
    </row>
    <row r="4642" spans="3:4" x14ac:dyDescent="0.3">
      <c r="C4642" s="35">
        <f t="shared" si="73"/>
        <v>0</v>
      </c>
      <c r="D4642" s="30" t="str">
        <f>IFERROR(VLOOKUP(C4642,소속부서!$A$2:$B$20,2,FALSE), "")</f>
        <v/>
      </c>
    </row>
    <row r="4643" spans="3:4" x14ac:dyDescent="0.3">
      <c r="C4643" s="35">
        <f t="shared" si="73"/>
        <v>0</v>
      </c>
      <c r="D4643" s="30" t="str">
        <f>IFERROR(VLOOKUP(C4643,소속부서!$A$2:$B$20,2,FALSE), "")</f>
        <v/>
      </c>
    </row>
    <row r="4644" spans="3:4" x14ac:dyDescent="0.3">
      <c r="C4644" s="35">
        <f t="shared" si="73"/>
        <v>0</v>
      </c>
      <c r="D4644" s="30" t="str">
        <f>IFERROR(VLOOKUP(C4644,소속부서!$A$2:$B$20,2,FALSE), "")</f>
        <v/>
      </c>
    </row>
    <row r="4645" spans="3:4" x14ac:dyDescent="0.3">
      <c r="C4645" s="35">
        <f t="shared" si="73"/>
        <v>0</v>
      </c>
      <c r="D4645" s="30" t="str">
        <f>IFERROR(VLOOKUP(C4645,소속부서!$A$2:$B$20,2,FALSE), "")</f>
        <v/>
      </c>
    </row>
    <row r="4646" spans="3:4" x14ac:dyDescent="0.3">
      <c r="C4646" s="35">
        <f t="shared" si="73"/>
        <v>0</v>
      </c>
      <c r="D4646" s="30" t="str">
        <f>IFERROR(VLOOKUP(C4646,소속부서!$A$2:$B$20,2,FALSE), "")</f>
        <v/>
      </c>
    </row>
    <row r="4647" spans="3:4" x14ac:dyDescent="0.3">
      <c r="C4647" s="35">
        <f t="shared" si="73"/>
        <v>0</v>
      </c>
      <c r="D4647" s="30" t="str">
        <f>IFERROR(VLOOKUP(C4647,소속부서!$A$2:$B$20,2,FALSE), "")</f>
        <v/>
      </c>
    </row>
    <row r="4648" spans="3:4" x14ac:dyDescent="0.3">
      <c r="C4648" s="35">
        <f t="shared" si="73"/>
        <v>0</v>
      </c>
      <c r="D4648" s="30" t="str">
        <f>IFERROR(VLOOKUP(C4648,소속부서!$A$2:$B$20,2,FALSE), "")</f>
        <v/>
      </c>
    </row>
    <row r="4649" spans="3:4" x14ac:dyDescent="0.3">
      <c r="C4649" s="35">
        <f t="shared" si="73"/>
        <v>0</v>
      </c>
      <c r="D4649" s="30" t="str">
        <f>IFERROR(VLOOKUP(C4649,소속부서!$A$2:$B$20,2,FALSE), "")</f>
        <v/>
      </c>
    </row>
    <row r="4650" spans="3:4" x14ac:dyDescent="0.3">
      <c r="C4650" s="35">
        <f t="shared" si="73"/>
        <v>0</v>
      </c>
      <c r="D4650" s="30" t="str">
        <f>IFERROR(VLOOKUP(C4650,소속부서!$A$2:$B$20,2,FALSE), "")</f>
        <v/>
      </c>
    </row>
    <row r="4651" spans="3:4" x14ac:dyDescent="0.3">
      <c r="C4651" s="35">
        <f t="shared" si="73"/>
        <v>0</v>
      </c>
      <c r="D4651" s="30" t="str">
        <f>IFERROR(VLOOKUP(C4651,소속부서!$A$2:$B$20,2,FALSE), "")</f>
        <v/>
      </c>
    </row>
    <row r="4652" spans="3:4" x14ac:dyDescent="0.3">
      <c r="C4652" s="35">
        <f t="shared" si="73"/>
        <v>0</v>
      </c>
      <c r="D4652" s="30" t="str">
        <f>IFERROR(VLOOKUP(C4652,소속부서!$A$2:$B$20,2,FALSE), "")</f>
        <v/>
      </c>
    </row>
    <row r="4653" spans="3:4" x14ac:dyDescent="0.3">
      <c r="C4653" s="35">
        <f t="shared" si="73"/>
        <v>0</v>
      </c>
      <c r="D4653" s="30" t="str">
        <f>IFERROR(VLOOKUP(C4653,소속부서!$A$2:$B$20,2,FALSE), "")</f>
        <v/>
      </c>
    </row>
    <row r="4654" spans="3:4" x14ac:dyDescent="0.3">
      <c r="C4654" s="35">
        <f t="shared" si="73"/>
        <v>0</v>
      </c>
      <c r="D4654" s="30" t="str">
        <f>IFERROR(VLOOKUP(C4654,소속부서!$A$2:$B$20,2,FALSE), "")</f>
        <v/>
      </c>
    </row>
    <row r="4655" spans="3:4" x14ac:dyDescent="0.3">
      <c r="C4655" s="35">
        <f t="shared" si="73"/>
        <v>0</v>
      </c>
      <c r="D4655" s="30" t="str">
        <f>IFERROR(VLOOKUP(C4655,소속부서!$A$2:$B$20,2,FALSE), "")</f>
        <v/>
      </c>
    </row>
    <row r="4656" spans="3:4" x14ac:dyDescent="0.3">
      <c r="C4656" s="35">
        <f t="shared" si="73"/>
        <v>0</v>
      </c>
      <c r="D4656" s="30" t="str">
        <f>IFERROR(VLOOKUP(C4656,소속부서!$A$2:$B$20,2,FALSE), "")</f>
        <v/>
      </c>
    </row>
    <row r="4657" spans="3:4" x14ac:dyDescent="0.3">
      <c r="C4657" s="35">
        <f t="shared" si="73"/>
        <v>0</v>
      </c>
      <c r="D4657" s="30" t="str">
        <f>IFERROR(VLOOKUP(C4657,소속부서!$A$2:$B$20,2,FALSE), "")</f>
        <v/>
      </c>
    </row>
    <row r="4658" spans="3:4" x14ac:dyDescent="0.3">
      <c r="C4658" s="35">
        <f t="shared" si="73"/>
        <v>0</v>
      </c>
      <c r="D4658" s="30" t="str">
        <f>IFERROR(VLOOKUP(C4658,소속부서!$A$2:$B$20,2,FALSE), "")</f>
        <v/>
      </c>
    </row>
    <row r="4659" spans="3:4" x14ac:dyDescent="0.3">
      <c r="C4659" s="35">
        <f t="shared" si="73"/>
        <v>0</v>
      </c>
      <c r="D4659" s="30" t="str">
        <f>IFERROR(VLOOKUP(C4659,소속부서!$A$2:$B$20,2,FALSE), "")</f>
        <v/>
      </c>
    </row>
    <row r="4660" spans="3:4" x14ac:dyDescent="0.3">
      <c r="C4660" s="35">
        <f t="shared" si="73"/>
        <v>0</v>
      </c>
      <c r="D4660" s="30" t="str">
        <f>IFERROR(VLOOKUP(C4660,소속부서!$A$2:$B$20,2,FALSE), "")</f>
        <v/>
      </c>
    </row>
    <row r="4661" spans="3:4" x14ac:dyDescent="0.3">
      <c r="C4661" s="35">
        <f t="shared" si="73"/>
        <v>0</v>
      </c>
      <c r="D4661" s="30" t="str">
        <f>IFERROR(VLOOKUP(C4661,소속부서!$A$2:$B$20,2,FALSE), "")</f>
        <v/>
      </c>
    </row>
    <row r="4662" spans="3:4" x14ac:dyDescent="0.3">
      <c r="C4662" s="35">
        <f t="shared" si="73"/>
        <v>0</v>
      </c>
      <c r="D4662" s="30" t="str">
        <f>IFERROR(VLOOKUP(C4662,소속부서!$A$2:$B$20,2,FALSE), "")</f>
        <v/>
      </c>
    </row>
    <row r="4663" spans="3:4" x14ac:dyDescent="0.3">
      <c r="C4663" s="35">
        <f t="shared" si="73"/>
        <v>0</v>
      </c>
      <c r="D4663" s="30" t="str">
        <f>IFERROR(VLOOKUP(C4663,소속부서!$A$2:$B$20,2,FALSE), "")</f>
        <v/>
      </c>
    </row>
    <row r="4664" spans="3:4" x14ac:dyDescent="0.3">
      <c r="C4664" s="35">
        <f t="shared" si="73"/>
        <v>0</v>
      </c>
      <c r="D4664" s="30" t="str">
        <f>IFERROR(VLOOKUP(C4664,소속부서!$A$2:$B$20,2,FALSE), "")</f>
        <v/>
      </c>
    </row>
    <row r="4665" spans="3:4" x14ac:dyDescent="0.3">
      <c r="C4665" s="35">
        <f t="shared" si="73"/>
        <v>0</v>
      </c>
      <c r="D4665" s="30" t="str">
        <f>IFERROR(VLOOKUP(C4665,소속부서!$A$2:$B$20,2,FALSE), "")</f>
        <v/>
      </c>
    </row>
    <row r="4666" spans="3:4" x14ac:dyDescent="0.3">
      <c r="C4666" s="35">
        <f t="shared" si="73"/>
        <v>0</v>
      </c>
      <c r="D4666" s="30" t="str">
        <f>IFERROR(VLOOKUP(C4666,소속부서!$A$2:$B$20,2,FALSE), "")</f>
        <v/>
      </c>
    </row>
    <row r="4667" spans="3:4" x14ac:dyDescent="0.3">
      <c r="C4667" s="35">
        <f t="shared" si="73"/>
        <v>0</v>
      </c>
      <c r="D4667" s="30" t="str">
        <f>IFERROR(VLOOKUP(C4667,소속부서!$A$2:$B$20,2,FALSE), "")</f>
        <v/>
      </c>
    </row>
    <row r="4668" spans="3:4" x14ac:dyDescent="0.3">
      <c r="C4668" s="35">
        <f t="shared" si="73"/>
        <v>0</v>
      </c>
      <c r="D4668" s="30" t="str">
        <f>IFERROR(VLOOKUP(C4668,소속부서!$A$2:$B$20,2,FALSE), "")</f>
        <v/>
      </c>
    </row>
    <row r="4669" spans="3:4" x14ac:dyDescent="0.3">
      <c r="C4669" s="35">
        <f t="shared" si="73"/>
        <v>0</v>
      </c>
      <c r="D4669" s="30" t="str">
        <f>IFERROR(VLOOKUP(C4669,소속부서!$A$2:$B$20,2,FALSE), "")</f>
        <v/>
      </c>
    </row>
    <row r="4670" spans="3:4" x14ac:dyDescent="0.3">
      <c r="C4670" s="35">
        <f t="shared" si="73"/>
        <v>0</v>
      </c>
      <c r="D4670" s="30" t="str">
        <f>IFERROR(VLOOKUP(C4670,소속부서!$A$2:$B$20,2,FALSE), "")</f>
        <v/>
      </c>
    </row>
    <row r="4671" spans="3:4" x14ac:dyDescent="0.3">
      <c r="C4671" s="35">
        <f t="shared" si="73"/>
        <v>0</v>
      </c>
      <c r="D4671" s="30" t="str">
        <f>IFERROR(VLOOKUP(C4671,소속부서!$A$2:$B$20,2,FALSE), "")</f>
        <v/>
      </c>
    </row>
    <row r="4672" spans="3:4" x14ac:dyDescent="0.3">
      <c r="C4672" s="35">
        <f t="shared" si="73"/>
        <v>0</v>
      </c>
      <c r="D4672" s="30" t="str">
        <f>IFERROR(VLOOKUP(C4672,소속부서!$A$2:$B$20,2,FALSE), "")</f>
        <v/>
      </c>
    </row>
    <row r="4673" spans="3:4" x14ac:dyDescent="0.3">
      <c r="C4673" s="35">
        <f t="shared" si="73"/>
        <v>0</v>
      </c>
      <c r="D4673" s="30" t="str">
        <f>IFERROR(VLOOKUP(C4673,소속부서!$A$2:$B$20,2,FALSE), "")</f>
        <v/>
      </c>
    </row>
    <row r="4674" spans="3:4" x14ac:dyDescent="0.3">
      <c r="C4674" s="35">
        <f t="shared" si="73"/>
        <v>0</v>
      </c>
      <c r="D4674" s="30" t="str">
        <f>IFERROR(VLOOKUP(C4674,소속부서!$A$2:$B$20,2,FALSE), "")</f>
        <v/>
      </c>
    </row>
    <row r="4675" spans="3:4" x14ac:dyDescent="0.3">
      <c r="C4675" s="35">
        <f t="shared" si="73"/>
        <v>0</v>
      </c>
      <c r="D4675" s="30" t="str">
        <f>IFERROR(VLOOKUP(C4675,소속부서!$A$2:$B$20,2,FALSE), "")</f>
        <v/>
      </c>
    </row>
    <row r="4676" spans="3:4" x14ac:dyDescent="0.3">
      <c r="C4676" s="35">
        <f t="shared" ref="C4676:C4739" si="74">E4676</f>
        <v>0</v>
      </c>
      <c r="D4676" s="30" t="str">
        <f>IFERROR(VLOOKUP(C4676,소속부서!$A$2:$B$20,2,FALSE), "")</f>
        <v/>
      </c>
    </row>
    <row r="4677" spans="3:4" x14ac:dyDescent="0.3">
      <c r="C4677" s="35">
        <f t="shared" si="74"/>
        <v>0</v>
      </c>
      <c r="D4677" s="30" t="str">
        <f>IFERROR(VLOOKUP(C4677,소속부서!$A$2:$B$20,2,FALSE), "")</f>
        <v/>
      </c>
    </row>
    <row r="4678" spans="3:4" x14ac:dyDescent="0.3">
      <c r="C4678" s="35">
        <f t="shared" si="74"/>
        <v>0</v>
      </c>
      <c r="D4678" s="30" t="str">
        <f>IFERROR(VLOOKUP(C4678,소속부서!$A$2:$B$20,2,FALSE), "")</f>
        <v/>
      </c>
    </row>
    <row r="4679" spans="3:4" x14ac:dyDescent="0.3">
      <c r="C4679" s="35">
        <f t="shared" si="74"/>
        <v>0</v>
      </c>
      <c r="D4679" s="30" t="str">
        <f>IFERROR(VLOOKUP(C4679,소속부서!$A$2:$B$20,2,FALSE), "")</f>
        <v/>
      </c>
    </row>
    <row r="4680" spans="3:4" x14ac:dyDescent="0.3">
      <c r="C4680" s="35">
        <f t="shared" si="74"/>
        <v>0</v>
      </c>
      <c r="D4680" s="30" t="str">
        <f>IFERROR(VLOOKUP(C4680,소속부서!$A$2:$B$20,2,FALSE), "")</f>
        <v/>
      </c>
    </row>
    <row r="4681" spans="3:4" x14ac:dyDescent="0.3">
      <c r="C4681" s="35">
        <f t="shared" si="74"/>
        <v>0</v>
      </c>
      <c r="D4681" s="30" t="str">
        <f>IFERROR(VLOOKUP(C4681,소속부서!$A$2:$B$20,2,FALSE), "")</f>
        <v/>
      </c>
    </row>
    <row r="4682" spans="3:4" x14ac:dyDescent="0.3">
      <c r="C4682" s="35">
        <f t="shared" si="74"/>
        <v>0</v>
      </c>
      <c r="D4682" s="30" t="str">
        <f>IFERROR(VLOOKUP(C4682,소속부서!$A$2:$B$20,2,FALSE), "")</f>
        <v/>
      </c>
    </row>
    <row r="4683" spans="3:4" x14ac:dyDescent="0.3">
      <c r="C4683" s="35">
        <f t="shared" si="74"/>
        <v>0</v>
      </c>
      <c r="D4683" s="30" t="str">
        <f>IFERROR(VLOOKUP(C4683,소속부서!$A$2:$B$20,2,FALSE), "")</f>
        <v/>
      </c>
    </row>
    <row r="4684" spans="3:4" x14ac:dyDescent="0.3">
      <c r="C4684" s="35">
        <f t="shared" si="74"/>
        <v>0</v>
      </c>
      <c r="D4684" s="30" t="str">
        <f>IFERROR(VLOOKUP(C4684,소속부서!$A$2:$B$20,2,FALSE), "")</f>
        <v/>
      </c>
    </row>
    <row r="4685" spans="3:4" x14ac:dyDescent="0.3">
      <c r="C4685" s="35">
        <f t="shared" si="74"/>
        <v>0</v>
      </c>
      <c r="D4685" s="30" t="str">
        <f>IFERROR(VLOOKUP(C4685,소속부서!$A$2:$B$20,2,FALSE), "")</f>
        <v/>
      </c>
    </row>
    <row r="4686" spans="3:4" x14ac:dyDescent="0.3">
      <c r="C4686" s="35">
        <f t="shared" si="74"/>
        <v>0</v>
      </c>
      <c r="D4686" s="30" t="str">
        <f>IFERROR(VLOOKUP(C4686,소속부서!$A$2:$B$20,2,FALSE), "")</f>
        <v/>
      </c>
    </row>
    <row r="4687" spans="3:4" x14ac:dyDescent="0.3">
      <c r="C4687" s="35">
        <f t="shared" si="74"/>
        <v>0</v>
      </c>
      <c r="D4687" s="30" t="str">
        <f>IFERROR(VLOOKUP(C4687,소속부서!$A$2:$B$20,2,FALSE), "")</f>
        <v/>
      </c>
    </row>
    <row r="4688" spans="3:4" x14ac:dyDescent="0.3">
      <c r="C4688" s="35">
        <f t="shared" si="74"/>
        <v>0</v>
      </c>
      <c r="D4688" s="30" t="str">
        <f>IFERROR(VLOOKUP(C4688,소속부서!$A$2:$B$20,2,FALSE), "")</f>
        <v/>
      </c>
    </row>
    <row r="4689" spans="3:4" x14ac:dyDescent="0.3">
      <c r="C4689" s="35">
        <f t="shared" si="74"/>
        <v>0</v>
      </c>
      <c r="D4689" s="30" t="str">
        <f>IFERROR(VLOOKUP(C4689,소속부서!$A$2:$B$20,2,FALSE), "")</f>
        <v/>
      </c>
    </row>
    <row r="4690" spans="3:4" x14ac:dyDescent="0.3">
      <c r="C4690" s="35">
        <f t="shared" si="74"/>
        <v>0</v>
      </c>
      <c r="D4690" s="30" t="str">
        <f>IFERROR(VLOOKUP(C4690,소속부서!$A$2:$B$20,2,FALSE), "")</f>
        <v/>
      </c>
    </row>
    <row r="4691" spans="3:4" x14ac:dyDescent="0.3">
      <c r="C4691" s="35">
        <f t="shared" si="74"/>
        <v>0</v>
      </c>
      <c r="D4691" s="30" t="str">
        <f>IFERROR(VLOOKUP(C4691,소속부서!$A$2:$B$20,2,FALSE), "")</f>
        <v/>
      </c>
    </row>
    <row r="4692" spans="3:4" x14ac:dyDescent="0.3">
      <c r="C4692" s="35">
        <f t="shared" si="74"/>
        <v>0</v>
      </c>
      <c r="D4692" s="30" t="str">
        <f>IFERROR(VLOOKUP(C4692,소속부서!$A$2:$B$20,2,FALSE), "")</f>
        <v/>
      </c>
    </row>
    <row r="4693" spans="3:4" x14ac:dyDescent="0.3">
      <c r="C4693" s="35">
        <f t="shared" si="74"/>
        <v>0</v>
      </c>
      <c r="D4693" s="30" t="str">
        <f>IFERROR(VLOOKUP(C4693,소속부서!$A$2:$B$20,2,FALSE), "")</f>
        <v/>
      </c>
    </row>
    <row r="4694" spans="3:4" x14ac:dyDescent="0.3">
      <c r="C4694" s="35">
        <f t="shared" si="74"/>
        <v>0</v>
      </c>
      <c r="D4694" s="30" t="str">
        <f>IFERROR(VLOOKUP(C4694,소속부서!$A$2:$B$20,2,FALSE), "")</f>
        <v/>
      </c>
    </row>
    <row r="4695" spans="3:4" x14ac:dyDescent="0.3">
      <c r="C4695" s="35">
        <f t="shared" si="74"/>
        <v>0</v>
      </c>
      <c r="D4695" s="30" t="str">
        <f>IFERROR(VLOOKUP(C4695,소속부서!$A$2:$B$20,2,FALSE), "")</f>
        <v/>
      </c>
    </row>
    <row r="4696" spans="3:4" x14ac:dyDescent="0.3">
      <c r="C4696" s="35">
        <f t="shared" si="74"/>
        <v>0</v>
      </c>
      <c r="D4696" s="30" t="str">
        <f>IFERROR(VLOOKUP(C4696,소속부서!$A$2:$B$20,2,FALSE), "")</f>
        <v/>
      </c>
    </row>
    <row r="4697" spans="3:4" x14ac:dyDescent="0.3">
      <c r="C4697" s="35">
        <f t="shared" si="74"/>
        <v>0</v>
      </c>
      <c r="D4697" s="30" t="str">
        <f>IFERROR(VLOOKUP(C4697,소속부서!$A$2:$B$20,2,FALSE), "")</f>
        <v/>
      </c>
    </row>
    <row r="4698" spans="3:4" x14ac:dyDescent="0.3">
      <c r="C4698" s="35">
        <f t="shared" si="74"/>
        <v>0</v>
      </c>
      <c r="D4698" s="30" t="str">
        <f>IFERROR(VLOOKUP(C4698,소속부서!$A$2:$B$20,2,FALSE), "")</f>
        <v/>
      </c>
    </row>
    <row r="4699" spans="3:4" x14ac:dyDescent="0.3">
      <c r="C4699" s="35">
        <f t="shared" si="74"/>
        <v>0</v>
      </c>
      <c r="D4699" s="30" t="str">
        <f>IFERROR(VLOOKUP(C4699,소속부서!$A$2:$B$20,2,FALSE), "")</f>
        <v/>
      </c>
    </row>
    <row r="4700" spans="3:4" x14ac:dyDescent="0.3">
      <c r="C4700" s="35">
        <f t="shared" si="74"/>
        <v>0</v>
      </c>
      <c r="D4700" s="30" t="str">
        <f>IFERROR(VLOOKUP(C4700,소속부서!$A$2:$B$20,2,FALSE), "")</f>
        <v/>
      </c>
    </row>
    <row r="4701" spans="3:4" x14ac:dyDescent="0.3">
      <c r="C4701" s="35">
        <f t="shared" si="74"/>
        <v>0</v>
      </c>
      <c r="D4701" s="30" t="str">
        <f>IFERROR(VLOOKUP(C4701,소속부서!$A$2:$B$20,2,FALSE), "")</f>
        <v/>
      </c>
    </row>
    <row r="4702" spans="3:4" x14ac:dyDescent="0.3">
      <c r="C4702" s="35">
        <f t="shared" si="74"/>
        <v>0</v>
      </c>
      <c r="D4702" s="30" t="str">
        <f>IFERROR(VLOOKUP(C4702,소속부서!$A$2:$B$20,2,FALSE), "")</f>
        <v/>
      </c>
    </row>
    <row r="4703" spans="3:4" x14ac:dyDescent="0.3">
      <c r="C4703" s="35">
        <f t="shared" si="74"/>
        <v>0</v>
      </c>
      <c r="D4703" s="30" t="str">
        <f>IFERROR(VLOOKUP(C4703,소속부서!$A$2:$B$20,2,FALSE), "")</f>
        <v/>
      </c>
    </row>
    <row r="4704" spans="3:4" x14ac:dyDescent="0.3">
      <c r="C4704" s="35">
        <f t="shared" si="74"/>
        <v>0</v>
      </c>
      <c r="D4704" s="30" t="str">
        <f>IFERROR(VLOOKUP(C4704,소속부서!$A$2:$B$20,2,FALSE), "")</f>
        <v/>
      </c>
    </row>
    <row r="4705" spans="3:4" x14ac:dyDescent="0.3">
      <c r="C4705" s="35">
        <f t="shared" si="74"/>
        <v>0</v>
      </c>
      <c r="D4705" s="30" t="str">
        <f>IFERROR(VLOOKUP(C4705,소속부서!$A$2:$B$20,2,FALSE), "")</f>
        <v/>
      </c>
    </row>
    <row r="4706" spans="3:4" x14ac:dyDescent="0.3">
      <c r="C4706" s="35">
        <f t="shared" si="74"/>
        <v>0</v>
      </c>
      <c r="D4706" s="30" t="str">
        <f>IFERROR(VLOOKUP(C4706,소속부서!$A$2:$B$20,2,FALSE), "")</f>
        <v/>
      </c>
    </row>
    <row r="4707" spans="3:4" x14ac:dyDescent="0.3">
      <c r="C4707" s="35">
        <f t="shared" si="74"/>
        <v>0</v>
      </c>
      <c r="D4707" s="30" t="str">
        <f>IFERROR(VLOOKUP(C4707,소속부서!$A$2:$B$20,2,FALSE), "")</f>
        <v/>
      </c>
    </row>
    <row r="4708" spans="3:4" x14ac:dyDescent="0.3">
      <c r="C4708" s="35">
        <f t="shared" si="74"/>
        <v>0</v>
      </c>
      <c r="D4708" s="30" t="str">
        <f>IFERROR(VLOOKUP(C4708,소속부서!$A$2:$B$20,2,FALSE), "")</f>
        <v/>
      </c>
    </row>
    <row r="4709" spans="3:4" x14ac:dyDescent="0.3">
      <c r="C4709" s="35">
        <f t="shared" si="74"/>
        <v>0</v>
      </c>
      <c r="D4709" s="30" t="str">
        <f>IFERROR(VLOOKUP(C4709,소속부서!$A$2:$B$20,2,FALSE), "")</f>
        <v/>
      </c>
    </row>
    <row r="4710" spans="3:4" x14ac:dyDescent="0.3">
      <c r="C4710" s="35">
        <f t="shared" si="74"/>
        <v>0</v>
      </c>
      <c r="D4710" s="30" t="str">
        <f>IFERROR(VLOOKUP(C4710,소속부서!$A$2:$B$20,2,FALSE), "")</f>
        <v/>
      </c>
    </row>
    <row r="4711" spans="3:4" x14ac:dyDescent="0.3">
      <c r="C4711" s="35">
        <f t="shared" si="74"/>
        <v>0</v>
      </c>
      <c r="D4711" s="30" t="str">
        <f>IFERROR(VLOOKUP(C4711,소속부서!$A$2:$B$20,2,FALSE), "")</f>
        <v/>
      </c>
    </row>
    <row r="4712" spans="3:4" x14ac:dyDescent="0.3">
      <c r="C4712" s="35">
        <f t="shared" si="74"/>
        <v>0</v>
      </c>
      <c r="D4712" s="30" t="str">
        <f>IFERROR(VLOOKUP(C4712,소속부서!$A$2:$B$20,2,FALSE), "")</f>
        <v/>
      </c>
    </row>
    <row r="4713" spans="3:4" x14ac:dyDescent="0.3">
      <c r="C4713" s="35">
        <f t="shared" si="74"/>
        <v>0</v>
      </c>
      <c r="D4713" s="30" t="str">
        <f>IFERROR(VLOOKUP(C4713,소속부서!$A$2:$B$20,2,FALSE), "")</f>
        <v/>
      </c>
    </row>
    <row r="4714" spans="3:4" x14ac:dyDescent="0.3">
      <c r="C4714" s="35">
        <f t="shared" si="74"/>
        <v>0</v>
      </c>
      <c r="D4714" s="30" t="str">
        <f>IFERROR(VLOOKUP(C4714,소속부서!$A$2:$B$20,2,FALSE), "")</f>
        <v/>
      </c>
    </row>
    <row r="4715" spans="3:4" x14ac:dyDescent="0.3">
      <c r="C4715" s="35">
        <f t="shared" si="74"/>
        <v>0</v>
      </c>
      <c r="D4715" s="30" t="str">
        <f>IFERROR(VLOOKUP(C4715,소속부서!$A$2:$B$20,2,FALSE), "")</f>
        <v/>
      </c>
    </row>
    <row r="4716" spans="3:4" x14ac:dyDescent="0.3">
      <c r="C4716" s="35">
        <f t="shared" si="74"/>
        <v>0</v>
      </c>
      <c r="D4716" s="30" t="str">
        <f>IFERROR(VLOOKUP(C4716,소속부서!$A$2:$B$20,2,FALSE), "")</f>
        <v/>
      </c>
    </row>
    <row r="4717" spans="3:4" x14ac:dyDescent="0.3">
      <c r="C4717" s="35">
        <f t="shared" si="74"/>
        <v>0</v>
      </c>
      <c r="D4717" s="30" t="str">
        <f>IFERROR(VLOOKUP(C4717,소속부서!$A$2:$B$20,2,FALSE), "")</f>
        <v/>
      </c>
    </row>
    <row r="4718" spans="3:4" x14ac:dyDescent="0.3">
      <c r="C4718" s="35">
        <f t="shared" si="74"/>
        <v>0</v>
      </c>
      <c r="D4718" s="30" t="str">
        <f>IFERROR(VLOOKUP(C4718,소속부서!$A$2:$B$20,2,FALSE), "")</f>
        <v/>
      </c>
    </row>
    <row r="4719" spans="3:4" x14ac:dyDescent="0.3">
      <c r="C4719" s="35">
        <f t="shared" si="74"/>
        <v>0</v>
      </c>
      <c r="D4719" s="30" t="str">
        <f>IFERROR(VLOOKUP(C4719,소속부서!$A$2:$B$20,2,FALSE), "")</f>
        <v/>
      </c>
    </row>
    <row r="4720" spans="3:4" x14ac:dyDescent="0.3">
      <c r="C4720" s="35">
        <f t="shared" si="74"/>
        <v>0</v>
      </c>
      <c r="D4720" s="30" t="str">
        <f>IFERROR(VLOOKUP(C4720,소속부서!$A$2:$B$20,2,FALSE), "")</f>
        <v/>
      </c>
    </row>
    <row r="4721" spans="3:4" x14ac:dyDescent="0.3">
      <c r="C4721" s="35">
        <f t="shared" si="74"/>
        <v>0</v>
      </c>
      <c r="D4721" s="30" t="str">
        <f>IFERROR(VLOOKUP(C4721,소속부서!$A$2:$B$20,2,FALSE), "")</f>
        <v/>
      </c>
    </row>
    <row r="4722" spans="3:4" x14ac:dyDescent="0.3">
      <c r="C4722" s="35">
        <f t="shared" si="74"/>
        <v>0</v>
      </c>
      <c r="D4722" s="30" t="str">
        <f>IFERROR(VLOOKUP(C4722,소속부서!$A$2:$B$20,2,FALSE), "")</f>
        <v/>
      </c>
    </row>
    <row r="4723" spans="3:4" x14ac:dyDescent="0.3">
      <c r="C4723" s="35">
        <f t="shared" si="74"/>
        <v>0</v>
      </c>
      <c r="D4723" s="30" t="str">
        <f>IFERROR(VLOOKUP(C4723,소속부서!$A$2:$B$20,2,FALSE), "")</f>
        <v/>
      </c>
    </row>
    <row r="4724" spans="3:4" x14ac:dyDescent="0.3">
      <c r="C4724" s="35">
        <f t="shared" si="74"/>
        <v>0</v>
      </c>
      <c r="D4724" s="30" t="str">
        <f>IFERROR(VLOOKUP(C4724,소속부서!$A$2:$B$20,2,FALSE), "")</f>
        <v/>
      </c>
    </row>
    <row r="4725" spans="3:4" x14ac:dyDescent="0.3">
      <c r="C4725" s="35">
        <f t="shared" si="74"/>
        <v>0</v>
      </c>
      <c r="D4725" s="30" t="str">
        <f>IFERROR(VLOOKUP(C4725,소속부서!$A$2:$B$20,2,FALSE), "")</f>
        <v/>
      </c>
    </row>
    <row r="4726" spans="3:4" x14ac:dyDescent="0.3">
      <c r="C4726" s="35">
        <f t="shared" si="74"/>
        <v>0</v>
      </c>
      <c r="D4726" s="30" t="str">
        <f>IFERROR(VLOOKUP(C4726,소속부서!$A$2:$B$20,2,FALSE), "")</f>
        <v/>
      </c>
    </row>
    <row r="4727" spans="3:4" x14ac:dyDescent="0.3">
      <c r="C4727" s="35">
        <f t="shared" si="74"/>
        <v>0</v>
      </c>
      <c r="D4727" s="30" t="str">
        <f>IFERROR(VLOOKUP(C4727,소속부서!$A$2:$B$20,2,FALSE), "")</f>
        <v/>
      </c>
    </row>
    <row r="4728" spans="3:4" x14ac:dyDescent="0.3">
      <c r="C4728" s="35">
        <f t="shared" si="74"/>
        <v>0</v>
      </c>
      <c r="D4728" s="30" t="str">
        <f>IFERROR(VLOOKUP(C4728,소속부서!$A$2:$B$20,2,FALSE), "")</f>
        <v/>
      </c>
    </row>
    <row r="4729" spans="3:4" x14ac:dyDescent="0.3">
      <c r="C4729" s="35">
        <f t="shared" si="74"/>
        <v>0</v>
      </c>
      <c r="D4729" s="30" t="str">
        <f>IFERROR(VLOOKUP(C4729,소속부서!$A$2:$B$20,2,FALSE), "")</f>
        <v/>
      </c>
    </row>
    <row r="4730" spans="3:4" x14ac:dyDescent="0.3">
      <c r="C4730" s="35">
        <f t="shared" si="74"/>
        <v>0</v>
      </c>
      <c r="D4730" s="30" t="str">
        <f>IFERROR(VLOOKUP(C4730,소속부서!$A$2:$B$20,2,FALSE), "")</f>
        <v/>
      </c>
    </row>
    <row r="4731" spans="3:4" x14ac:dyDescent="0.3">
      <c r="C4731" s="35">
        <f t="shared" si="74"/>
        <v>0</v>
      </c>
      <c r="D4731" s="30" t="str">
        <f>IFERROR(VLOOKUP(C4731,소속부서!$A$2:$B$20,2,FALSE), "")</f>
        <v/>
      </c>
    </row>
    <row r="4732" spans="3:4" x14ac:dyDescent="0.3">
      <c r="C4732" s="35">
        <f t="shared" si="74"/>
        <v>0</v>
      </c>
      <c r="D4732" s="30" t="str">
        <f>IFERROR(VLOOKUP(C4732,소속부서!$A$2:$B$20,2,FALSE), "")</f>
        <v/>
      </c>
    </row>
    <row r="4733" spans="3:4" x14ac:dyDescent="0.3">
      <c r="C4733" s="35">
        <f t="shared" si="74"/>
        <v>0</v>
      </c>
      <c r="D4733" s="30" t="str">
        <f>IFERROR(VLOOKUP(C4733,소속부서!$A$2:$B$20,2,FALSE), "")</f>
        <v/>
      </c>
    </row>
    <row r="4734" spans="3:4" x14ac:dyDescent="0.3">
      <c r="C4734" s="35">
        <f t="shared" si="74"/>
        <v>0</v>
      </c>
      <c r="D4734" s="30" t="str">
        <f>IFERROR(VLOOKUP(C4734,소속부서!$A$2:$B$20,2,FALSE), "")</f>
        <v/>
      </c>
    </row>
    <row r="4735" spans="3:4" x14ac:dyDescent="0.3">
      <c r="C4735" s="35">
        <f t="shared" si="74"/>
        <v>0</v>
      </c>
      <c r="D4735" s="30" t="str">
        <f>IFERROR(VLOOKUP(C4735,소속부서!$A$2:$B$20,2,FALSE), "")</f>
        <v/>
      </c>
    </row>
    <row r="4736" spans="3:4" x14ac:dyDescent="0.3">
      <c r="C4736" s="35">
        <f t="shared" si="74"/>
        <v>0</v>
      </c>
      <c r="D4736" s="30" t="str">
        <f>IFERROR(VLOOKUP(C4736,소속부서!$A$2:$B$20,2,FALSE), "")</f>
        <v/>
      </c>
    </row>
    <row r="4737" spans="3:4" x14ac:dyDescent="0.3">
      <c r="C4737" s="35">
        <f t="shared" si="74"/>
        <v>0</v>
      </c>
      <c r="D4737" s="30" t="str">
        <f>IFERROR(VLOOKUP(C4737,소속부서!$A$2:$B$20,2,FALSE), "")</f>
        <v/>
      </c>
    </row>
    <row r="4738" spans="3:4" x14ac:dyDescent="0.3">
      <c r="C4738" s="35">
        <f t="shared" si="74"/>
        <v>0</v>
      </c>
      <c r="D4738" s="30" t="str">
        <f>IFERROR(VLOOKUP(C4738,소속부서!$A$2:$B$20,2,FALSE), "")</f>
        <v/>
      </c>
    </row>
    <row r="4739" spans="3:4" x14ac:dyDescent="0.3">
      <c r="C4739" s="35">
        <f t="shared" si="74"/>
        <v>0</v>
      </c>
      <c r="D4739" s="30" t="str">
        <f>IFERROR(VLOOKUP(C4739,소속부서!$A$2:$B$20,2,FALSE), "")</f>
        <v/>
      </c>
    </row>
    <row r="4740" spans="3:4" x14ac:dyDescent="0.3">
      <c r="C4740" s="35">
        <f t="shared" ref="C4740:C4803" si="75">E4740</f>
        <v>0</v>
      </c>
      <c r="D4740" s="30" t="str">
        <f>IFERROR(VLOOKUP(C4740,소속부서!$A$2:$B$20,2,FALSE), "")</f>
        <v/>
      </c>
    </row>
    <row r="4741" spans="3:4" x14ac:dyDescent="0.3">
      <c r="C4741" s="35">
        <f t="shared" si="75"/>
        <v>0</v>
      </c>
      <c r="D4741" s="30" t="str">
        <f>IFERROR(VLOOKUP(C4741,소속부서!$A$2:$B$20,2,FALSE), "")</f>
        <v/>
      </c>
    </row>
    <row r="4742" spans="3:4" x14ac:dyDescent="0.3">
      <c r="C4742" s="35">
        <f t="shared" si="75"/>
        <v>0</v>
      </c>
      <c r="D4742" s="30" t="str">
        <f>IFERROR(VLOOKUP(C4742,소속부서!$A$2:$B$20,2,FALSE), "")</f>
        <v/>
      </c>
    </row>
    <row r="4743" spans="3:4" x14ac:dyDescent="0.3">
      <c r="C4743" s="35">
        <f t="shared" si="75"/>
        <v>0</v>
      </c>
      <c r="D4743" s="30" t="str">
        <f>IFERROR(VLOOKUP(C4743,소속부서!$A$2:$B$20,2,FALSE), "")</f>
        <v/>
      </c>
    </row>
    <row r="4744" spans="3:4" x14ac:dyDescent="0.3">
      <c r="C4744" s="35">
        <f t="shared" si="75"/>
        <v>0</v>
      </c>
      <c r="D4744" s="30" t="str">
        <f>IFERROR(VLOOKUP(C4744,소속부서!$A$2:$B$20,2,FALSE), "")</f>
        <v/>
      </c>
    </row>
    <row r="4745" spans="3:4" x14ac:dyDescent="0.3">
      <c r="C4745" s="35">
        <f t="shared" si="75"/>
        <v>0</v>
      </c>
      <c r="D4745" s="30" t="str">
        <f>IFERROR(VLOOKUP(C4745,소속부서!$A$2:$B$20,2,FALSE), "")</f>
        <v/>
      </c>
    </row>
    <row r="4746" spans="3:4" x14ac:dyDescent="0.3">
      <c r="C4746" s="35">
        <f t="shared" si="75"/>
        <v>0</v>
      </c>
      <c r="D4746" s="30" t="str">
        <f>IFERROR(VLOOKUP(C4746,소속부서!$A$2:$B$20,2,FALSE), "")</f>
        <v/>
      </c>
    </row>
    <row r="4747" spans="3:4" x14ac:dyDescent="0.3">
      <c r="C4747" s="35">
        <f t="shared" si="75"/>
        <v>0</v>
      </c>
      <c r="D4747" s="30" t="str">
        <f>IFERROR(VLOOKUP(C4747,소속부서!$A$2:$B$20,2,FALSE), "")</f>
        <v/>
      </c>
    </row>
    <row r="4748" spans="3:4" x14ac:dyDescent="0.3">
      <c r="C4748" s="35">
        <f t="shared" si="75"/>
        <v>0</v>
      </c>
      <c r="D4748" s="30" t="str">
        <f>IFERROR(VLOOKUP(C4748,소속부서!$A$2:$B$20,2,FALSE), "")</f>
        <v/>
      </c>
    </row>
    <row r="4749" spans="3:4" x14ac:dyDescent="0.3">
      <c r="C4749" s="35">
        <f t="shared" si="75"/>
        <v>0</v>
      </c>
      <c r="D4749" s="30" t="str">
        <f>IFERROR(VLOOKUP(C4749,소속부서!$A$2:$B$20,2,FALSE), "")</f>
        <v/>
      </c>
    </row>
    <row r="4750" spans="3:4" x14ac:dyDescent="0.3">
      <c r="C4750" s="35">
        <f t="shared" si="75"/>
        <v>0</v>
      </c>
      <c r="D4750" s="30" t="str">
        <f>IFERROR(VLOOKUP(C4750,소속부서!$A$2:$B$20,2,FALSE), "")</f>
        <v/>
      </c>
    </row>
    <row r="4751" spans="3:4" x14ac:dyDescent="0.3">
      <c r="C4751" s="35">
        <f t="shared" si="75"/>
        <v>0</v>
      </c>
      <c r="D4751" s="30" t="str">
        <f>IFERROR(VLOOKUP(C4751,소속부서!$A$2:$B$20,2,FALSE), "")</f>
        <v/>
      </c>
    </row>
    <row r="4752" spans="3:4" x14ac:dyDescent="0.3">
      <c r="C4752" s="35">
        <f t="shared" si="75"/>
        <v>0</v>
      </c>
      <c r="D4752" s="30" t="str">
        <f>IFERROR(VLOOKUP(C4752,소속부서!$A$2:$B$20,2,FALSE), "")</f>
        <v/>
      </c>
    </row>
    <row r="4753" spans="3:4" x14ac:dyDescent="0.3">
      <c r="C4753" s="35">
        <f t="shared" si="75"/>
        <v>0</v>
      </c>
      <c r="D4753" s="30" t="str">
        <f>IFERROR(VLOOKUP(C4753,소속부서!$A$2:$B$20,2,FALSE), "")</f>
        <v/>
      </c>
    </row>
    <row r="4754" spans="3:4" x14ac:dyDescent="0.3">
      <c r="C4754" s="35">
        <f t="shared" si="75"/>
        <v>0</v>
      </c>
      <c r="D4754" s="30" t="str">
        <f>IFERROR(VLOOKUP(C4754,소속부서!$A$2:$B$20,2,FALSE), "")</f>
        <v/>
      </c>
    </row>
    <row r="4755" spans="3:4" x14ac:dyDescent="0.3">
      <c r="C4755" s="35">
        <f t="shared" si="75"/>
        <v>0</v>
      </c>
      <c r="D4755" s="30" t="str">
        <f>IFERROR(VLOOKUP(C4755,소속부서!$A$2:$B$20,2,FALSE), "")</f>
        <v/>
      </c>
    </row>
    <row r="4756" spans="3:4" x14ac:dyDescent="0.3">
      <c r="C4756" s="35">
        <f t="shared" si="75"/>
        <v>0</v>
      </c>
      <c r="D4756" s="30" t="str">
        <f>IFERROR(VLOOKUP(C4756,소속부서!$A$2:$B$20,2,FALSE), "")</f>
        <v/>
      </c>
    </row>
    <row r="4757" spans="3:4" x14ac:dyDescent="0.3">
      <c r="C4757" s="35">
        <f t="shared" si="75"/>
        <v>0</v>
      </c>
      <c r="D4757" s="30" t="str">
        <f>IFERROR(VLOOKUP(C4757,소속부서!$A$2:$B$20,2,FALSE), "")</f>
        <v/>
      </c>
    </row>
    <row r="4758" spans="3:4" x14ac:dyDescent="0.3">
      <c r="C4758" s="35">
        <f t="shared" si="75"/>
        <v>0</v>
      </c>
      <c r="D4758" s="30" t="str">
        <f>IFERROR(VLOOKUP(C4758,소속부서!$A$2:$B$20,2,FALSE), "")</f>
        <v/>
      </c>
    </row>
    <row r="4759" spans="3:4" x14ac:dyDescent="0.3">
      <c r="C4759" s="35">
        <f t="shared" si="75"/>
        <v>0</v>
      </c>
      <c r="D4759" s="30" t="str">
        <f>IFERROR(VLOOKUP(C4759,소속부서!$A$2:$B$20,2,FALSE), "")</f>
        <v/>
      </c>
    </row>
    <row r="4760" spans="3:4" x14ac:dyDescent="0.3">
      <c r="C4760" s="35">
        <f t="shared" si="75"/>
        <v>0</v>
      </c>
      <c r="D4760" s="30" t="str">
        <f>IFERROR(VLOOKUP(C4760,소속부서!$A$2:$B$20,2,FALSE), "")</f>
        <v/>
      </c>
    </row>
    <row r="4761" spans="3:4" x14ac:dyDescent="0.3">
      <c r="C4761" s="35">
        <f t="shared" si="75"/>
        <v>0</v>
      </c>
      <c r="D4761" s="30" t="str">
        <f>IFERROR(VLOOKUP(C4761,소속부서!$A$2:$B$20,2,FALSE), "")</f>
        <v/>
      </c>
    </row>
    <row r="4762" spans="3:4" x14ac:dyDescent="0.3">
      <c r="C4762" s="35">
        <f t="shared" si="75"/>
        <v>0</v>
      </c>
      <c r="D4762" s="30" t="str">
        <f>IFERROR(VLOOKUP(C4762,소속부서!$A$2:$B$20,2,FALSE), "")</f>
        <v/>
      </c>
    </row>
    <row r="4763" spans="3:4" x14ac:dyDescent="0.3">
      <c r="C4763" s="35">
        <f t="shared" si="75"/>
        <v>0</v>
      </c>
      <c r="D4763" s="30" t="str">
        <f>IFERROR(VLOOKUP(C4763,소속부서!$A$2:$B$20,2,FALSE), "")</f>
        <v/>
      </c>
    </row>
    <row r="4764" spans="3:4" x14ac:dyDescent="0.3">
      <c r="C4764" s="35">
        <f t="shared" si="75"/>
        <v>0</v>
      </c>
      <c r="D4764" s="30" t="str">
        <f>IFERROR(VLOOKUP(C4764,소속부서!$A$2:$B$20,2,FALSE), "")</f>
        <v/>
      </c>
    </row>
    <row r="4765" spans="3:4" x14ac:dyDescent="0.3">
      <c r="C4765" s="35">
        <f t="shared" si="75"/>
        <v>0</v>
      </c>
      <c r="D4765" s="30" t="str">
        <f>IFERROR(VLOOKUP(C4765,소속부서!$A$2:$B$20,2,FALSE), "")</f>
        <v/>
      </c>
    </row>
    <row r="4766" spans="3:4" x14ac:dyDescent="0.3">
      <c r="C4766" s="35">
        <f t="shared" si="75"/>
        <v>0</v>
      </c>
      <c r="D4766" s="30" t="str">
        <f>IFERROR(VLOOKUP(C4766,소속부서!$A$2:$B$20,2,FALSE), "")</f>
        <v/>
      </c>
    </row>
    <row r="4767" spans="3:4" x14ac:dyDescent="0.3">
      <c r="C4767" s="35">
        <f t="shared" si="75"/>
        <v>0</v>
      </c>
      <c r="D4767" s="30" t="str">
        <f>IFERROR(VLOOKUP(C4767,소속부서!$A$2:$B$20,2,FALSE), "")</f>
        <v/>
      </c>
    </row>
    <row r="4768" spans="3:4" x14ac:dyDescent="0.3">
      <c r="C4768" s="35">
        <f t="shared" si="75"/>
        <v>0</v>
      </c>
      <c r="D4768" s="30" t="str">
        <f>IFERROR(VLOOKUP(C4768,소속부서!$A$2:$B$20,2,FALSE), "")</f>
        <v/>
      </c>
    </row>
    <row r="4769" spans="3:4" x14ac:dyDescent="0.3">
      <c r="C4769" s="35">
        <f t="shared" si="75"/>
        <v>0</v>
      </c>
      <c r="D4769" s="30" t="str">
        <f>IFERROR(VLOOKUP(C4769,소속부서!$A$2:$B$20,2,FALSE), "")</f>
        <v/>
      </c>
    </row>
    <row r="4770" spans="3:4" x14ac:dyDescent="0.3">
      <c r="C4770" s="35">
        <f t="shared" si="75"/>
        <v>0</v>
      </c>
      <c r="D4770" s="30" t="str">
        <f>IFERROR(VLOOKUP(C4770,소속부서!$A$2:$B$20,2,FALSE), "")</f>
        <v/>
      </c>
    </row>
    <row r="4771" spans="3:4" x14ac:dyDescent="0.3">
      <c r="C4771" s="35">
        <f t="shared" si="75"/>
        <v>0</v>
      </c>
      <c r="D4771" s="30" t="str">
        <f>IFERROR(VLOOKUP(C4771,소속부서!$A$2:$B$20,2,FALSE), "")</f>
        <v/>
      </c>
    </row>
    <row r="4772" spans="3:4" x14ac:dyDescent="0.3">
      <c r="C4772" s="35">
        <f t="shared" si="75"/>
        <v>0</v>
      </c>
      <c r="D4772" s="30" t="str">
        <f>IFERROR(VLOOKUP(C4772,소속부서!$A$2:$B$20,2,FALSE), "")</f>
        <v/>
      </c>
    </row>
    <row r="4773" spans="3:4" x14ac:dyDescent="0.3">
      <c r="C4773" s="35">
        <f t="shared" si="75"/>
        <v>0</v>
      </c>
      <c r="D4773" s="30" t="str">
        <f>IFERROR(VLOOKUP(C4773,소속부서!$A$2:$B$20,2,FALSE), "")</f>
        <v/>
      </c>
    </row>
    <row r="4774" spans="3:4" x14ac:dyDescent="0.3">
      <c r="C4774" s="35">
        <f t="shared" si="75"/>
        <v>0</v>
      </c>
      <c r="D4774" s="30" t="str">
        <f>IFERROR(VLOOKUP(C4774,소속부서!$A$2:$B$20,2,FALSE), "")</f>
        <v/>
      </c>
    </row>
    <row r="4775" spans="3:4" x14ac:dyDescent="0.3">
      <c r="C4775" s="35">
        <f t="shared" si="75"/>
        <v>0</v>
      </c>
      <c r="D4775" s="30" t="str">
        <f>IFERROR(VLOOKUP(C4775,소속부서!$A$2:$B$20,2,FALSE), "")</f>
        <v/>
      </c>
    </row>
    <row r="4776" spans="3:4" x14ac:dyDescent="0.3">
      <c r="C4776" s="35">
        <f t="shared" si="75"/>
        <v>0</v>
      </c>
      <c r="D4776" s="30" t="str">
        <f>IFERROR(VLOOKUP(C4776,소속부서!$A$2:$B$20,2,FALSE), "")</f>
        <v/>
      </c>
    </row>
    <row r="4777" spans="3:4" x14ac:dyDescent="0.3">
      <c r="C4777" s="35">
        <f t="shared" si="75"/>
        <v>0</v>
      </c>
      <c r="D4777" s="30" t="str">
        <f>IFERROR(VLOOKUP(C4777,소속부서!$A$2:$B$20,2,FALSE), "")</f>
        <v/>
      </c>
    </row>
    <row r="4778" spans="3:4" x14ac:dyDescent="0.3">
      <c r="C4778" s="35">
        <f t="shared" si="75"/>
        <v>0</v>
      </c>
      <c r="D4778" s="30" t="str">
        <f>IFERROR(VLOOKUP(C4778,소속부서!$A$2:$B$20,2,FALSE), "")</f>
        <v/>
      </c>
    </row>
    <row r="4779" spans="3:4" x14ac:dyDescent="0.3">
      <c r="C4779" s="35">
        <f t="shared" si="75"/>
        <v>0</v>
      </c>
      <c r="D4779" s="30" t="str">
        <f>IFERROR(VLOOKUP(C4779,소속부서!$A$2:$B$20,2,FALSE), "")</f>
        <v/>
      </c>
    </row>
    <row r="4780" spans="3:4" x14ac:dyDescent="0.3">
      <c r="C4780" s="35">
        <f t="shared" si="75"/>
        <v>0</v>
      </c>
      <c r="D4780" s="30" t="str">
        <f>IFERROR(VLOOKUP(C4780,소속부서!$A$2:$B$20,2,FALSE), "")</f>
        <v/>
      </c>
    </row>
    <row r="4781" spans="3:4" x14ac:dyDescent="0.3">
      <c r="C4781" s="35">
        <f t="shared" si="75"/>
        <v>0</v>
      </c>
      <c r="D4781" s="30" t="str">
        <f>IFERROR(VLOOKUP(C4781,소속부서!$A$2:$B$20,2,FALSE), "")</f>
        <v/>
      </c>
    </row>
    <row r="4782" spans="3:4" x14ac:dyDescent="0.3">
      <c r="C4782" s="35">
        <f t="shared" si="75"/>
        <v>0</v>
      </c>
      <c r="D4782" s="30" t="str">
        <f>IFERROR(VLOOKUP(C4782,소속부서!$A$2:$B$20,2,FALSE), "")</f>
        <v/>
      </c>
    </row>
    <row r="4783" spans="3:4" x14ac:dyDescent="0.3">
      <c r="C4783" s="35">
        <f t="shared" si="75"/>
        <v>0</v>
      </c>
      <c r="D4783" s="30" t="str">
        <f>IFERROR(VLOOKUP(C4783,소속부서!$A$2:$B$20,2,FALSE), "")</f>
        <v/>
      </c>
    </row>
    <row r="4784" spans="3:4" x14ac:dyDescent="0.3">
      <c r="C4784" s="35">
        <f t="shared" si="75"/>
        <v>0</v>
      </c>
      <c r="D4784" s="30" t="str">
        <f>IFERROR(VLOOKUP(C4784,소속부서!$A$2:$B$20,2,FALSE), "")</f>
        <v/>
      </c>
    </row>
    <row r="4785" spans="3:4" x14ac:dyDescent="0.3">
      <c r="C4785" s="35">
        <f t="shared" si="75"/>
        <v>0</v>
      </c>
      <c r="D4785" s="30" t="str">
        <f>IFERROR(VLOOKUP(C4785,소속부서!$A$2:$B$20,2,FALSE), "")</f>
        <v/>
      </c>
    </row>
    <row r="4786" spans="3:4" x14ac:dyDescent="0.3">
      <c r="C4786" s="35">
        <f t="shared" si="75"/>
        <v>0</v>
      </c>
      <c r="D4786" s="30" t="str">
        <f>IFERROR(VLOOKUP(C4786,소속부서!$A$2:$B$20,2,FALSE), "")</f>
        <v/>
      </c>
    </row>
    <row r="4787" spans="3:4" x14ac:dyDescent="0.3">
      <c r="C4787" s="35">
        <f t="shared" si="75"/>
        <v>0</v>
      </c>
      <c r="D4787" s="30" t="str">
        <f>IFERROR(VLOOKUP(C4787,소속부서!$A$2:$B$20,2,FALSE), "")</f>
        <v/>
      </c>
    </row>
    <row r="4788" spans="3:4" x14ac:dyDescent="0.3">
      <c r="C4788" s="35">
        <f t="shared" si="75"/>
        <v>0</v>
      </c>
      <c r="D4788" s="30" t="str">
        <f>IFERROR(VLOOKUP(C4788,소속부서!$A$2:$B$20,2,FALSE), "")</f>
        <v/>
      </c>
    </row>
    <row r="4789" spans="3:4" x14ac:dyDescent="0.3">
      <c r="C4789" s="35">
        <f t="shared" si="75"/>
        <v>0</v>
      </c>
      <c r="D4789" s="30" t="str">
        <f>IFERROR(VLOOKUP(C4789,소속부서!$A$2:$B$20,2,FALSE), "")</f>
        <v/>
      </c>
    </row>
    <row r="4790" spans="3:4" x14ac:dyDescent="0.3">
      <c r="C4790" s="35">
        <f t="shared" si="75"/>
        <v>0</v>
      </c>
      <c r="D4790" s="30" t="str">
        <f>IFERROR(VLOOKUP(C4790,소속부서!$A$2:$B$20,2,FALSE), "")</f>
        <v/>
      </c>
    </row>
    <row r="4791" spans="3:4" x14ac:dyDescent="0.3">
      <c r="C4791" s="35">
        <f t="shared" si="75"/>
        <v>0</v>
      </c>
      <c r="D4791" s="30" t="str">
        <f>IFERROR(VLOOKUP(C4791,소속부서!$A$2:$B$20,2,FALSE), "")</f>
        <v/>
      </c>
    </row>
    <row r="4792" spans="3:4" x14ac:dyDescent="0.3">
      <c r="C4792" s="35">
        <f t="shared" si="75"/>
        <v>0</v>
      </c>
      <c r="D4792" s="30" t="str">
        <f>IFERROR(VLOOKUP(C4792,소속부서!$A$2:$B$20,2,FALSE), "")</f>
        <v/>
      </c>
    </row>
    <row r="4793" spans="3:4" x14ac:dyDescent="0.3">
      <c r="C4793" s="35">
        <f t="shared" si="75"/>
        <v>0</v>
      </c>
      <c r="D4793" s="30" t="str">
        <f>IFERROR(VLOOKUP(C4793,소속부서!$A$2:$B$20,2,FALSE), "")</f>
        <v/>
      </c>
    </row>
    <row r="4794" spans="3:4" x14ac:dyDescent="0.3">
      <c r="C4794" s="35">
        <f t="shared" si="75"/>
        <v>0</v>
      </c>
      <c r="D4794" s="30" t="str">
        <f>IFERROR(VLOOKUP(C4794,소속부서!$A$2:$B$20,2,FALSE), "")</f>
        <v/>
      </c>
    </row>
    <row r="4795" spans="3:4" x14ac:dyDescent="0.3">
      <c r="C4795" s="35">
        <f t="shared" si="75"/>
        <v>0</v>
      </c>
      <c r="D4795" s="30" t="str">
        <f>IFERROR(VLOOKUP(C4795,소속부서!$A$2:$B$20,2,FALSE), "")</f>
        <v/>
      </c>
    </row>
    <row r="4796" spans="3:4" x14ac:dyDescent="0.3">
      <c r="C4796" s="35">
        <f t="shared" si="75"/>
        <v>0</v>
      </c>
      <c r="D4796" s="30" t="str">
        <f>IFERROR(VLOOKUP(C4796,소속부서!$A$2:$B$20,2,FALSE), "")</f>
        <v/>
      </c>
    </row>
    <row r="4797" spans="3:4" x14ac:dyDescent="0.3">
      <c r="C4797" s="35">
        <f t="shared" si="75"/>
        <v>0</v>
      </c>
      <c r="D4797" s="30" t="str">
        <f>IFERROR(VLOOKUP(C4797,소속부서!$A$2:$B$20,2,FALSE), "")</f>
        <v/>
      </c>
    </row>
    <row r="4798" spans="3:4" x14ac:dyDescent="0.3">
      <c r="C4798" s="35">
        <f t="shared" si="75"/>
        <v>0</v>
      </c>
      <c r="D4798" s="30" t="str">
        <f>IFERROR(VLOOKUP(C4798,소속부서!$A$2:$B$20,2,FALSE), "")</f>
        <v/>
      </c>
    </row>
    <row r="4799" spans="3:4" x14ac:dyDescent="0.3">
      <c r="C4799" s="35">
        <f t="shared" si="75"/>
        <v>0</v>
      </c>
      <c r="D4799" s="30" t="str">
        <f>IFERROR(VLOOKUP(C4799,소속부서!$A$2:$B$20,2,FALSE), "")</f>
        <v/>
      </c>
    </row>
    <row r="4800" spans="3:4" x14ac:dyDescent="0.3">
      <c r="C4800" s="35">
        <f t="shared" si="75"/>
        <v>0</v>
      </c>
      <c r="D4800" s="30" t="str">
        <f>IFERROR(VLOOKUP(C4800,소속부서!$A$2:$B$20,2,FALSE), "")</f>
        <v/>
      </c>
    </row>
    <row r="4801" spans="3:4" x14ac:dyDescent="0.3">
      <c r="C4801" s="35">
        <f t="shared" si="75"/>
        <v>0</v>
      </c>
      <c r="D4801" s="30" t="str">
        <f>IFERROR(VLOOKUP(C4801,소속부서!$A$2:$B$20,2,FALSE), "")</f>
        <v/>
      </c>
    </row>
    <row r="4802" spans="3:4" x14ac:dyDescent="0.3">
      <c r="C4802" s="35">
        <f t="shared" si="75"/>
        <v>0</v>
      </c>
      <c r="D4802" s="30" t="str">
        <f>IFERROR(VLOOKUP(C4802,소속부서!$A$2:$B$20,2,FALSE), "")</f>
        <v/>
      </c>
    </row>
    <row r="4803" spans="3:4" x14ac:dyDescent="0.3">
      <c r="C4803" s="35">
        <f t="shared" si="75"/>
        <v>0</v>
      </c>
      <c r="D4803" s="30" t="str">
        <f>IFERROR(VLOOKUP(C4803,소속부서!$A$2:$B$20,2,FALSE), "")</f>
        <v/>
      </c>
    </row>
    <row r="4804" spans="3:4" x14ac:dyDescent="0.3">
      <c r="C4804" s="35">
        <f t="shared" ref="C4804:C4867" si="76">E4804</f>
        <v>0</v>
      </c>
      <c r="D4804" s="30" t="str">
        <f>IFERROR(VLOOKUP(C4804,소속부서!$A$2:$B$20,2,FALSE), "")</f>
        <v/>
      </c>
    </row>
    <row r="4805" spans="3:4" x14ac:dyDescent="0.3">
      <c r="C4805" s="35">
        <f t="shared" si="76"/>
        <v>0</v>
      </c>
      <c r="D4805" s="30" t="str">
        <f>IFERROR(VLOOKUP(C4805,소속부서!$A$2:$B$20,2,FALSE), "")</f>
        <v/>
      </c>
    </row>
    <row r="4806" spans="3:4" x14ac:dyDescent="0.3">
      <c r="C4806" s="35">
        <f t="shared" si="76"/>
        <v>0</v>
      </c>
      <c r="D4806" s="30" t="str">
        <f>IFERROR(VLOOKUP(C4806,소속부서!$A$2:$B$20,2,FALSE), "")</f>
        <v/>
      </c>
    </row>
    <row r="4807" spans="3:4" x14ac:dyDescent="0.3">
      <c r="C4807" s="35">
        <f t="shared" si="76"/>
        <v>0</v>
      </c>
      <c r="D4807" s="30" t="str">
        <f>IFERROR(VLOOKUP(C4807,소속부서!$A$2:$B$20,2,FALSE), "")</f>
        <v/>
      </c>
    </row>
    <row r="4808" spans="3:4" x14ac:dyDescent="0.3">
      <c r="C4808" s="35">
        <f t="shared" si="76"/>
        <v>0</v>
      </c>
      <c r="D4808" s="30" t="str">
        <f>IFERROR(VLOOKUP(C4808,소속부서!$A$2:$B$20,2,FALSE), "")</f>
        <v/>
      </c>
    </row>
    <row r="4809" spans="3:4" x14ac:dyDescent="0.3">
      <c r="C4809" s="35">
        <f t="shared" si="76"/>
        <v>0</v>
      </c>
      <c r="D4809" s="30" t="str">
        <f>IFERROR(VLOOKUP(C4809,소속부서!$A$2:$B$20,2,FALSE), "")</f>
        <v/>
      </c>
    </row>
    <row r="4810" spans="3:4" x14ac:dyDescent="0.3">
      <c r="C4810" s="35">
        <f t="shared" si="76"/>
        <v>0</v>
      </c>
      <c r="D4810" s="30" t="str">
        <f>IFERROR(VLOOKUP(C4810,소속부서!$A$2:$B$20,2,FALSE), "")</f>
        <v/>
      </c>
    </row>
    <row r="4811" spans="3:4" x14ac:dyDescent="0.3">
      <c r="C4811" s="35">
        <f t="shared" si="76"/>
        <v>0</v>
      </c>
      <c r="D4811" s="30" t="str">
        <f>IFERROR(VLOOKUP(C4811,소속부서!$A$2:$B$20,2,FALSE), "")</f>
        <v/>
      </c>
    </row>
    <row r="4812" spans="3:4" x14ac:dyDescent="0.3">
      <c r="C4812" s="35">
        <f t="shared" si="76"/>
        <v>0</v>
      </c>
      <c r="D4812" s="30" t="str">
        <f>IFERROR(VLOOKUP(C4812,소속부서!$A$2:$B$20,2,FALSE), "")</f>
        <v/>
      </c>
    </row>
    <row r="4813" spans="3:4" x14ac:dyDescent="0.3">
      <c r="C4813" s="35">
        <f t="shared" si="76"/>
        <v>0</v>
      </c>
      <c r="D4813" s="30" t="str">
        <f>IFERROR(VLOOKUP(C4813,소속부서!$A$2:$B$20,2,FALSE), "")</f>
        <v/>
      </c>
    </row>
    <row r="4814" spans="3:4" x14ac:dyDescent="0.3">
      <c r="C4814" s="35">
        <f t="shared" si="76"/>
        <v>0</v>
      </c>
      <c r="D4814" s="30" t="str">
        <f>IFERROR(VLOOKUP(C4814,소속부서!$A$2:$B$20,2,FALSE), "")</f>
        <v/>
      </c>
    </row>
    <row r="4815" spans="3:4" x14ac:dyDescent="0.3">
      <c r="C4815" s="35">
        <f t="shared" si="76"/>
        <v>0</v>
      </c>
      <c r="D4815" s="30" t="str">
        <f>IFERROR(VLOOKUP(C4815,소속부서!$A$2:$B$20,2,FALSE), "")</f>
        <v/>
      </c>
    </row>
    <row r="4816" spans="3:4" x14ac:dyDescent="0.3">
      <c r="C4816" s="35">
        <f t="shared" si="76"/>
        <v>0</v>
      </c>
      <c r="D4816" s="30" t="str">
        <f>IFERROR(VLOOKUP(C4816,소속부서!$A$2:$B$20,2,FALSE), "")</f>
        <v/>
      </c>
    </row>
    <row r="4817" spans="3:4" x14ac:dyDescent="0.3">
      <c r="C4817" s="35">
        <f t="shared" si="76"/>
        <v>0</v>
      </c>
      <c r="D4817" s="30" t="str">
        <f>IFERROR(VLOOKUP(C4817,소속부서!$A$2:$B$20,2,FALSE), "")</f>
        <v/>
      </c>
    </row>
    <row r="4818" spans="3:4" x14ac:dyDescent="0.3">
      <c r="C4818" s="35">
        <f t="shared" si="76"/>
        <v>0</v>
      </c>
      <c r="D4818" s="30" t="str">
        <f>IFERROR(VLOOKUP(C4818,소속부서!$A$2:$B$20,2,FALSE), "")</f>
        <v/>
      </c>
    </row>
    <row r="4819" spans="3:4" x14ac:dyDescent="0.3">
      <c r="C4819" s="35">
        <f t="shared" si="76"/>
        <v>0</v>
      </c>
      <c r="D4819" s="30" t="str">
        <f>IFERROR(VLOOKUP(C4819,소속부서!$A$2:$B$20,2,FALSE), "")</f>
        <v/>
      </c>
    </row>
    <row r="4820" spans="3:4" x14ac:dyDescent="0.3">
      <c r="C4820" s="35">
        <f t="shared" si="76"/>
        <v>0</v>
      </c>
      <c r="D4820" s="30" t="str">
        <f>IFERROR(VLOOKUP(C4820,소속부서!$A$2:$B$20,2,FALSE), "")</f>
        <v/>
      </c>
    </row>
    <row r="4821" spans="3:4" x14ac:dyDescent="0.3">
      <c r="C4821" s="35">
        <f t="shared" si="76"/>
        <v>0</v>
      </c>
      <c r="D4821" s="30" t="str">
        <f>IFERROR(VLOOKUP(C4821,소속부서!$A$2:$B$20,2,FALSE), "")</f>
        <v/>
      </c>
    </row>
    <row r="4822" spans="3:4" x14ac:dyDescent="0.3">
      <c r="C4822" s="35">
        <f t="shared" si="76"/>
        <v>0</v>
      </c>
      <c r="D4822" s="30" t="str">
        <f>IFERROR(VLOOKUP(C4822,소속부서!$A$2:$B$20,2,FALSE), "")</f>
        <v/>
      </c>
    </row>
    <row r="4823" spans="3:4" x14ac:dyDescent="0.3">
      <c r="C4823" s="35">
        <f t="shared" si="76"/>
        <v>0</v>
      </c>
      <c r="D4823" s="30" t="str">
        <f>IFERROR(VLOOKUP(C4823,소속부서!$A$2:$B$20,2,FALSE), "")</f>
        <v/>
      </c>
    </row>
    <row r="4824" spans="3:4" x14ac:dyDescent="0.3">
      <c r="C4824" s="35">
        <f t="shared" si="76"/>
        <v>0</v>
      </c>
      <c r="D4824" s="30" t="str">
        <f>IFERROR(VLOOKUP(C4824,소속부서!$A$2:$B$20,2,FALSE), "")</f>
        <v/>
      </c>
    </row>
    <row r="4825" spans="3:4" x14ac:dyDescent="0.3">
      <c r="C4825" s="35">
        <f t="shared" si="76"/>
        <v>0</v>
      </c>
      <c r="D4825" s="30" t="str">
        <f>IFERROR(VLOOKUP(C4825,소속부서!$A$2:$B$20,2,FALSE), "")</f>
        <v/>
      </c>
    </row>
    <row r="4826" spans="3:4" x14ac:dyDescent="0.3">
      <c r="C4826" s="35">
        <f t="shared" si="76"/>
        <v>0</v>
      </c>
      <c r="D4826" s="30" t="str">
        <f>IFERROR(VLOOKUP(C4826,소속부서!$A$2:$B$20,2,FALSE), "")</f>
        <v/>
      </c>
    </row>
    <row r="4827" spans="3:4" x14ac:dyDescent="0.3">
      <c r="C4827" s="35">
        <f t="shared" si="76"/>
        <v>0</v>
      </c>
      <c r="D4827" s="30" t="str">
        <f>IFERROR(VLOOKUP(C4827,소속부서!$A$2:$B$20,2,FALSE), "")</f>
        <v/>
      </c>
    </row>
    <row r="4828" spans="3:4" x14ac:dyDescent="0.3">
      <c r="C4828" s="35">
        <f t="shared" si="76"/>
        <v>0</v>
      </c>
      <c r="D4828" s="30" t="str">
        <f>IFERROR(VLOOKUP(C4828,소속부서!$A$2:$B$20,2,FALSE), "")</f>
        <v/>
      </c>
    </row>
    <row r="4829" spans="3:4" x14ac:dyDescent="0.3">
      <c r="C4829" s="35">
        <f t="shared" si="76"/>
        <v>0</v>
      </c>
      <c r="D4829" s="30" t="str">
        <f>IFERROR(VLOOKUP(C4829,소속부서!$A$2:$B$20,2,FALSE), "")</f>
        <v/>
      </c>
    </row>
    <row r="4830" spans="3:4" x14ac:dyDescent="0.3">
      <c r="C4830" s="35">
        <f t="shared" si="76"/>
        <v>0</v>
      </c>
      <c r="D4830" s="30" t="str">
        <f>IFERROR(VLOOKUP(C4830,소속부서!$A$2:$B$20,2,FALSE), "")</f>
        <v/>
      </c>
    </row>
    <row r="4831" spans="3:4" x14ac:dyDescent="0.3">
      <c r="C4831" s="35">
        <f t="shared" si="76"/>
        <v>0</v>
      </c>
      <c r="D4831" s="30" t="str">
        <f>IFERROR(VLOOKUP(C4831,소속부서!$A$2:$B$20,2,FALSE), "")</f>
        <v/>
      </c>
    </row>
    <row r="4832" spans="3:4" x14ac:dyDescent="0.3">
      <c r="C4832" s="35">
        <f t="shared" si="76"/>
        <v>0</v>
      </c>
      <c r="D4832" s="30" t="str">
        <f>IFERROR(VLOOKUP(C4832,소속부서!$A$2:$B$20,2,FALSE), "")</f>
        <v/>
      </c>
    </row>
    <row r="4833" spans="3:4" x14ac:dyDescent="0.3">
      <c r="C4833" s="35">
        <f t="shared" si="76"/>
        <v>0</v>
      </c>
      <c r="D4833" s="30" t="str">
        <f>IFERROR(VLOOKUP(C4833,소속부서!$A$2:$B$20,2,FALSE), "")</f>
        <v/>
      </c>
    </row>
    <row r="4834" spans="3:4" x14ac:dyDescent="0.3">
      <c r="C4834" s="35">
        <f t="shared" si="76"/>
        <v>0</v>
      </c>
      <c r="D4834" s="30" t="str">
        <f>IFERROR(VLOOKUP(C4834,소속부서!$A$2:$B$20,2,FALSE), "")</f>
        <v/>
      </c>
    </row>
    <row r="4835" spans="3:4" x14ac:dyDescent="0.3">
      <c r="C4835" s="35">
        <f t="shared" si="76"/>
        <v>0</v>
      </c>
      <c r="D4835" s="30" t="str">
        <f>IFERROR(VLOOKUP(C4835,소속부서!$A$2:$B$20,2,FALSE), "")</f>
        <v/>
      </c>
    </row>
    <row r="4836" spans="3:4" x14ac:dyDescent="0.3">
      <c r="C4836" s="35">
        <f t="shared" si="76"/>
        <v>0</v>
      </c>
      <c r="D4836" s="30" t="str">
        <f>IFERROR(VLOOKUP(C4836,소속부서!$A$2:$B$20,2,FALSE), "")</f>
        <v/>
      </c>
    </row>
    <row r="4837" spans="3:4" x14ac:dyDescent="0.3">
      <c r="C4837" s="35">
        <f t="shared" si="76"/>
        <v>0</v>
      </c>
      <c r="D4837" s="30" t="str">
        <f>IFERROR(VLOOKUP(C4837,소속부서!$A$2:$B$20,2,FALSE), "")</f>
        <v/>
      </c>
    </row>
    <row r="4838" spans="3:4" x14ac:dyDescent="0.3">
      <c r="C4838" s="35">
        <f t="shared" si="76"/>
        <v>0</v>
      </c>
      <c r="D4838" s="30" t="str">
        <f>IFERROR(VLOOKUP(C4838,소속부서!$A$2:$B$20,2,FALSE), "")</f>
        <v/>
      </c>
    </row>
    <row r="4839" spans="3:4" x14ac:dyDescent="0.3">
      <c r="C4839" s="35">
        <f t="shared" si="76"/>
        <v>0</v>
      </c>
      <c r="D4839" s="30" t="str">
        <f>IFERROR(VLOOKUP(C4839,소속부서!$A$2:$B$20,2,FALSE), "")</f>
        <v/>
      </c>
    </row>
    <row r="4840" spans="3:4" x14ac:dyDescent="0.3">
      <c r="C4840" s="35">
        <f t="shared" si="76"/>
        <v>0</v>
      </c>
      <c r="D4840" s="30" t="str">
        <f>IFERROR(VLOOKUP(C4840,소속부서!$A$2:$B$20,2,FALSE), "")</f>
        <v/>
      </c>
    </row>
    <row r="4841" spans="3:4" x14ac:dyDescent="0.3">
      <c r="C4841" s="35">
        <f t="shared" si="76"/>
        <v>0</v>
      </c>
      <c r="D4841" s="30" t="str">
        <f>IFERROR(VLOOKUP(C4841,소속부서!$A$2:$B$20,2,FALSE), "")</f>
        <v/>
      </c>
    </row>
    <row r="4842" spans="3:4" x14ac:dyDescent="0.3">
      <c r="C4842" s="35">
        <f t="shared" si="76"/>
        <v>0</v>
      </c>
      <c r="D4842" s="30" t="str">
        <f>IFERROR(VLOOKUP(C4842,소속부서!$A$2:$B$20,2,FALSE), "")</f>
        <v/>
      </c>
    </row>
    <row r="4843" spans="3:4" x14ac:dyDescent="0.3">
      <c r="C4843" s="35">
        <f t="shared" si="76"/>
        <v>0</v>
      </c>
      <c r="D4843" s="30" t="str">
        <f>IFERROR(VLOOKUP(C4843,소속부서!$A$2:$B$20,2,FALSE), "")</f>
        <v/>
      </c>
    </row>
    <row r="4844" spans="3:4" x14ac:dyDescent="0.3">
      <c r="C4844" s="35">
        <f t="shared" si="76"/>
        <v>0</v>
      </c>
      <c r="D4844" s="30" t="str">
        <f>IFERROR(VLOOKUP(C4844,소속부서!$A$2:$B$20,2,FALSE), "")</f>
        <v/>
      </c>
    </row>
    <row r="4845" spans="3:4" x14ac:dyDescent="0.3">
      <c r="C4845" s="35">
        <f t="shared" si="76"/>
        <v>0</v>
      </c>
      <c r="D4845" s="30" t="str">
        <f>IFERROR(VLOOKUP(C4845,소속부서!$A$2:$B$20,2,FALSE), "")</f>
        <v/>
      </c>
    </row>
    <row r="4846" spans="3:4" x14ac:dyDescent="0.3">
      <c r="C4846" s="35">
        <f t="shared" si="76"/>
        <v>0</v>
      </c>
      <c r="D4846" s="30" t="str">
        <f>IFERROR(VLOOKUP(C4846,소속부서!$A$2:$B$20,2,FALSE), "")</f>
        <v/>
      </c>
    </row>
    <row r="4847" spans="3:4" x14ac:dyDescent="0.3">
      <c r="C4847" s="35">
        <f t="shared" si="76"/>
        <v>0</v>
      </c>
      <c r="D4847" s="30" t="str">
        <f>IFERROR(VLOOKUP(C4847,소속부서!$A$2:$B$20,2,FALSE), "")</f>
        <v/>
      </c>
    </row>
    <row r="4848" spans="3:4" x14ac:dyDescent="0.3">
      <c r="C4848" s="35">
        <f t="shared" si="76"/>
        <v>0</v>
      </c>
      <c r="D4848" s="30" t="str">
        <f>IFERROR(VLOOKUP(C4848,소속부서!$A$2:$B$20,2,FALSE), "")</f>
        <v/>
      </c>
    </row>
    <row r="4849" spans="3:4" x14ac:dyDescent="0.3">
      <c r="C4849" s="35">
        <f t="shared" si="76"/>
        <v>0</v>
      </c>
      <c r="D4849" s="30" t="str">
        <f>IFERROR(VLOOKUP(C4849,소속부서!$A$2:$B$20,2,FALSE), "")</f>
        <v/>
      </c>
    </row>
    <row r="4850" spans="3:4" x14ac:dyDescent="0.3">
      <c r="C4850" s="35">
        <f t="shared" si="76"/>
        <v>0</v>
      </c>
      <c r="D4850" s="30" t="str">
        <f>IFERROR(VLOOKUP(C4850,소속부서!$A$2:$B$20,2,FALSE), "")</f>
        <v/>
      </c>
    </row>
    <row r="4851" spans="3:4" x14ac:dyDescent="0.3">
      <c r="C4851" s="35">
        <f t="shared" si="76"/>
        <v>0</v>
      </c>
      <c r="D4851" s="30" t="str">
        <f>IFERROR(VLOOKUP(C4851,소속부서!$A$2:$B$20,2,FALSE), "")</f>
        <v/>
      </c>
    </row>
    <row r="4852" spans="3:4" x14ac:dyDescent="0.3">
      <c r="C4852" s="35">
        <f t="shared" si="76"/>
        <v>0</v>
      </c>
      <c r="D4852" s="30" t="str">
        <f>IFERROR(VLOOKUP(C4852,소속부서!$A$2:$B$20,2,FALSE), "")</f>
        <v/>
      </c>
    </row>
    <row r="4853" spans="3:4" x14ac:dyDescent="0.3">
      <c r="C4853" s="35">
        <f t="shared" si="76"/>
        <v>0</v>
      </c>
      <c r="D4853" s="30" t="str">
        <f>IFERROR(VLOOKUP(C4853,소속부서!$A$2:$B$20,2,FALSE), "")</f>
        <v/>
      </c>
    </row>
    <row r="4854" spans="3:4" x14ac:dyDescent="0.3">
      <c r="C4854" s="35">
        <f t="shared" si="76"/>
        <v>0</v>
      </c>
      <c r="D4854" s="30" t="str">
        <f>IFERROR(VLOOKUP(C4854,소속부서!$A$2:$B$20,2,FALSE), "")</f>
        <v/>
      </c>
    </row>
    <row r="4855" spans="3:4" x14ac:dyDescent="0.3">
      <c r="C4855" s="35">
        <f t="shared" si="76"/>
        <v>0</v>
      </c>
      <c r="D4855" s="30" t="str">
        <f>IFERROR(VLOOKUP(C4855,소속부서!$A$2:$B$20,2,FALSE), "")</f>
        <v/>
      </c>
    </row>
    <row r="4856" spans="3:4" x14ac:dyDescent="0.3">
      <c r="C4856" s="35">
        <f t="shared" si="76"/>
        <v>0</v>
      </c>
      <c r="D4856" s="30" t="str">
        <f>IFERROR(VLOOKUP(C4856,소속부서!$A$2:$B$20,2,FALSE), "")</f>
        <v/>
      </c>
    </row>
    <row r="4857" spans="3:4" x14ac:dyDescent="0.3">
      <c r="C4857" s="35">
        <f t="shared" si="76"/>
        <v>0</v>
      </c>
      <c r="D4857" s="30" t="str">
        <f>IFERROR(VLOOKUP(C4857,소속부서!$A$2:$B$20,2,FALSE), "")</f>
        <v/>
      </c>
    </row>
    <row r="4858" spans="3:4" x14ac:dyDescent="0.3">
      <c r="C4858" s="35">
        <f t="shared" si="76"/>
        <v>0</v>
      </c>
      <c r="D4858" s="30" t="str">
        <f>IFERROR(VLOOKUP(C4858,소속부서!$A$2:$B$20,2,FALSE), "")</f>
        <v/>
      </c>
    </row>
    <row r="4859" spans="3:4" x14ac:dyDescent="0.3">
      <c r="C4859" s="35">
        <f t="shared" si="76"/>
        <v>0</v>
      </c>
      <c r="D4859" s="30" t="str">
        <f>IFERROR(VLOOKUP(C4859,소속부서!$A$2:$B$20,2,FALSE), "")</f>
        <v/>
      </c>
    </row>
    <row r="4860" spans="3:4" x14ac:dyDescent="0.3">
      <c r="C4860" s="35">
        <f t="shared" si="76"/>
        <v>0</v>
      </c>
      <c r="D4860" s="30" t="str">
        <f>IFERROR(VLOOKUP(C4860,소속부서!$A$2:$B$20,2,FALSE), "")</f>
        <v/>
      </c>
    </row>
    <row r="4861" spans="3:4" x14ac:dyDescent="0.3">
      <c r="C4861" s="35">
        <f t="shared" si="76"/>
        <v>0</v>
      </c>
      <c r="D4861" s="30" t="str">
        <f>IFERROR(VLOOKUP(C4861,소속부서!$A$2:$B$20,2,FALSE), "")</f>
        <v/>
      </c>
    </row>
    <row r="4862" spans="3:4" x14ac:dyDescent="0.3">
      <c r="C4862" s="35">
        <f t="shared" si="76"/>
        <v>0</v>
      </c>
      <c r="D4862" s="30" t="str">
        <f>IFERROR(VLOOKUP(C4862,소속부서!$A$2:$B$20,2,FALSE), "")</f>
        <v/>
      </c>
    </row>
    <row r="4863" spans="3:4" x14ac:dyDescent="0.3">
      <c r="C4863" s="35">
        <f t="shared" si="76"/>
        <v>0</v>
      </c>
      <c r="D4863" s="30" t="str">
        <f>IFERROR(VLOOKUP(C4863,소속부서!$A$2:$B$20,2,FALSE), "")</f>
        <v/>
      </c>
    </row>
    <row r="4864" spans="3:4" x14ac:dyDescent="0.3">
      <c r="C4864" s="35">
        <f t="shared" si="76"/>
        <v>0</v>
      </c>
      <c r="D4864" s="30" t="str">
        <f>IFERROR(VLOOKUP(C4864,소속부서!$A$2:$B$20,2,FALSE), "")</f>
        <v/>
      </c>
    </row>
    <row r="4865" spans="3:4" x14ac:dyDescent="0.3">
      <c r="C4865" s="35">
        <f t="shared" si="76"/>
        <v>0</v>
      </c>
      <c r="D4865" s="30" t="str">
        <f>IFERROR(VLOOKUP(C4865,소속부서!$A$2:$B$20,2,FALSE), "")</f>
        <v/>
      </c>
    </row>
    <row r="4866" spans="3:4" x14ac:dyDescent="0.3">
      <c r="C4866" s="35">
        <f t="shared" si="76"/>
        <v>0</v>
      </c>
      <c r="D4866" s="30" t="str">
        <f>IFERROR(VLOOKUP(C4866,소속부서!$A$2:$B$20,2,FALSE), "")</f>
        <v/>
      </c>
    </row>
    <row r="4867" spans="3:4" x14ac:dyDescent="0.3">
      <c r="C4867" s="35">
        <f t="shared" si="76"/>
        <v>0</v>
      </c>
      <c r="D4867" s="30" t="str">
        <f>IFERROR(VLOOKUP(C4867,소속부서!$A$2:$B$20,2,FALSE), "")</f>
        <v/>
      </c>
    </row>
    <row r="4868" spans="3:4" x14ac:dyDescent="0.3">
      <c r="C4868" s="35">
        <f t="shared" ref="C4868:C4931" si="77">E4868</f>
        <v>0</v>
      </c>
      <c r="D4868" s="30" t="str">
        <f>IFERROR(VLOOKUP(C4868,소속부서!$A$2:$B$20,2,FALSE), "")</f>
        <v/>
      </c>
    </row>
    <row r="4869" spans="3:4" x14ac:dyDescent="0.3">
      <c r="C4869" s="35">
        <f t="shared" si="77"/>
        <v>0</v>
      </c>
      <c r="D4869" s="30" t="str">
        <f>IFERROR(VLOOKUP(C4869,소속부서!$A$2:$B$20,2,FALSE), "")</f>
        <v/>
      </c>
    </row>
    <row r="4870" spans="3:4" x14ac:dyDescent="0.3">
      <c r="C4870" s="35">
        <f t="shared" si="77"/>
        <v>0</v>
      </c>
      <c r="D4870" s="30" t="str">
        <f>IFERROR(VLOOKUP(C4870,소속부서!$A$2:$B$20,2,FALSE), "")</f>
        <v/>
      </c>
    </row>
    <row r="4871" spans="3:4" x14ac:dyDescent="0.3">
      <c r="C4871" s="35">
        <f t="shared" si="77"/>
        <v>0</v>
      </c>
      <c r="D4871" s="30" t="str">
        <f>IFERROR(VLOOKUP(C4871,소속부서!$A$2:$B$20,2,FALSE), "")</f>
        <v/>
      </c>
    </row>
    <row r="4872" spans="3:4" x14ac:dyDescent="0.3">
      <c r="C4872" s="35">
        <f t="shared" si="77"/>
        <v>0</v>
      </c>
      <c r="D4872" s="30" t="str">
        <f>IFERROR(VLOOKUP(C4872,소속부서!$A$2:$B$20,2,FALSE), "")</f>
        <v/>
      </c>
    </row>
    <row r="4873" spans="3:4" x14ac:dyDescent="0.3">
      <c r="C4873" s="35">
        <f t="shared" si="77"/>
        <v>0</v>
      </c>
      <c r="D4873" s="30" t="str">
        <f>IFERROR(VLOOKUP(C4873,소속부서!$A$2:$B$20,2,FALSE), "")</f>
        <v/>
      </c>
    </row>
    <row r="4874" spans="3:4" x14ac:dyDescent="0.3">
      <c r="C4874" s="35">
        <f t="shared" si="77"/>
        <v>0</v>
      </c>
      <c r="D4874" s="30" t="str">
        <f>IFERROR(VLOOKUP(C4874,소속부서!$A$2:$B$20,2,FALSE), "")</f>
        <v/>
      </c>
    </row>
    <row r="4875" spans="3:4" x14ac:dyDescent="0.3">
      <c r="C4875" s="35">
        <f t="shared" si="77"/>
        <v>0</v>
      </c>
      <c r="D4875" s="30" t="str">
        <f>IFERROR(VLOOKUP(C4875,소속부서!$A$2:$B$20,2,FALSE), "")</f>
        <v/>
      </c>
    </row>
    <row r="4876" spans="3:4" x14ac:dyDescent="0.3">
      <c r="C4876" s="35">
        <f t="shared" si="77"/>
        <v>0</v>
      </c>
      <c r="D4876" s="30" t="str">
        <f>IFERROR(VLOOKUP(C4876,소속부서!$A$2:$B$20,2,FALSE), "")</f>
        <v/>
      </c>
    </row>
    <row r="4877" spans="3:4" x14ac:dyDescent="0.3">
      <c r="C4877" s="35">
        <f t="shared" si="77"/>
        <v>0</v>
      </c>
      <c r="D4877" s="30" t="str">
        <f>IFERROR(VLOOKUP(C4877,소속부서!$A$2:$B$20,2,FALSE), "")</f>
        <v/>
      </c>
    </row>
    <row r="4878" spans="3:4" x14ac:dyDescent="0.3">
      <c r="C4878" s="35">
        <f t="shared" si="77"/>
        <v>0</v>
      </c>
      <c r="D4878" s="30" t="str">
        <f>IFERROR(VLOOKUP(C4878,소속부서!$A$2:$B$20,2,FALSE), "")</f>
        <v/>
      </c>
    </row>
    <row r="4879" spans="3:4" x14ac:dyDescent="0.3">
      <c r="C4879" s="35">
        <f t="shared" si="77"/>
        <v>0</v>
      </c>
      <c r="D4879" s="30" t="str">
        <f>IFERROR(VLOOKUP(C4879,소속부서!$A$2:$B$20,2,FALSE), "")</f>
        <v/>
      </c>
    </row>
    <row r="4880" spans="3:4" x14ac:dyDescent="0.3">
      <c r="C4880" s="35">
        <f t="shared" si="77"/>
        <v>0</v>
      </c>
      <c r="D4880" s="30" t="str">
        <f>IFERROR(VLOOKUP(C4880,소속부서!$A$2:$B$20,2,FALSE), "")</f>
        <v/>
      </c>
    </row>
    <row r="4881" spans="3:4" x14ac:dyDescent="0.3">
      <c r="C4881" s="35">
        <f t="shared" si="77"/>
        <v>0</v>
      </c>
      <c r="D4881" s="30" t="str">
        <f>IFERROR(VLOOKUP(C4881,소속부서!$A$2:$B$20,2,FALSE), "")</f>
        <v/>
      </c>
    </row>
    <row r="4882" spans="3:4" x14ac:dyDescent="0.3">
      <c r="C4882" s="35">
        <f t="shared" si="77"/>
        <v>0</v>
      </c>
      <c r="D4882" s="30" t="str">
        <f>IFERROR(VLOOKUP(C4882,소속부서!$A$2:$B$20,2,FALSE), "")</f>
        <v/>
      </c>
    </row>
    <row r="4883" spans="3:4" x14ac:dyDescent="0.3">
      <c r="C4883" s="35">
        <f t="shared" si="77"/>
        <v>0</v>
      </c>
      <c r="D4883" s="30" t="str">
        <f>IFERROR(VLOOKUP(C4883,소속부서!$A$2:$B$20,2,FALSE), "")</f>
        <v/>
      </c>
    </row>
    <row r="4884" spans="3:4" x14ac:dyDescent="0.3">
      <c r="C4884" s="35">
        <f t="shared" si="77"/>
        <v>0</v>
      </c>
      <c r="D4884" s="30" t="str">
        <f>IFERROR(VLOOKUP(C4884,소속부서!$A$2:$B$20,2,FALSE), "")</f>
        <v/>
      </c>
    </row>
    <row r="4885" spans="3:4" x14ac:dyDescent="0.3">
      <c r="C4885" s="35">
        <f t="shared" si="77"/>
        <v>0</v>
      </c>
      <c r="D4885" s="30" t="str">
        <f>IFERROR(VLOOKUP(C4885,소속부서!$A$2:$B$20,2,FALSE), "")</f>
        <v/>
      </c>
    </row>
    <row r="4886" spans="3:4" x14ac:dyDescent="0.3">
      <c r="C4886" s="35">
        <f t="shared" si="77"/>
        <v>0</v>
      </c>
      <c r="D4886" s="30" t="str">
        <f>IFERROR(VLOOKUP(C4886,소속부서!$A$2:$B$20,2,FALSE), "")</f>
        <v/>
      </c>
    </row>
    <row r="4887" spans="3:4" x14ac:dyDescent="0.3">
      <c r="C4887" s="35">
        <f t="shared" si="77"/>
        <v>0</v>
      </c>
      <c r="D4887" s="30" t="str">
        <f>IFERROR(VLOOKUP(C4887,소속부서!$A$2:$B$20,2,FALSE), "")</f>
        <v/>
      </c>
    </row>
    <row r="4888" spans="3:4" x14ac:dyDescent="0.3">
      <c r="C4888" s="35">
        <f t="shared" si="77"/>
        <v>0</v>
      </c>
      <c r="D4888" s="30" t="str">
        <f>IFERROR(VLOOKUP(C4888,소속부서!$A$2:$B$20,2,FALSE), "")</f>
        <v/>
      </c>
    </row>
    <row r="4889" spans="3:4" x14ac:dyDescent="0.3">
      <c r="C4889" s="35">
        <f t="shared" si="77"/>
        <v>0</v>
      </c>
      <c r="D4889" s="30" t="str">
        <f>IFERROR(VLOOKUP(C4889,소속부서!$A$2:$B$20,2,FALSE), "")</f>
        <v/>
      </c>
    </row>
    <row r="4890" spans="3:4" x14ac:dyDescent="0.3">
      <c r="C4890" s="35">
        <f t="shared" si="77"/>
        <v>0</v>
      </c>
      <c r="D4890" s="30" t="str">
        <f>IFERROR(VLOOKUP(C4890,소속부서!$A$2:$B$20,2,FALSE), "")</f>
        <v/>
      </c>
    </row>
    <row r="4891" spans="3:4" x14ac:dyDescent="0.3">
      <c r="C4891" s="35">
        <f t="shared" si="77"/>
        <v>0</v>
      </c>
      <c r="D4891" s="30" t="str">
        <f>IFERROR(VLOOKUP(C4891,소속부서!$A$2:$B$20,2,FALSE), "")</f>
        <v/>
      </c>
    </row>
    <row r="4892" spans="3:4" x14ac:dyDescent="0.3">
      <c r="C4892" s="35">
        <f t="shared" si="77"/>
        <v>0</v>
      </c>
      <c r="D4892" s="30" t="str">
        <f>IFERROR(VLOOKUP(C4892,소속부서!$A$2:$B$20,2,FALSE), "")</f>
        <v/>
      </c>
    </row>
    <row r="4893" spans="3:4" x14ac:dyDescent="0.3">
      <c r="C4893" s="35">
        <f t="shared" si="77"/>
        <v>0</v>
      </c>
      <c r="D4893" s="30" t="str">
        <f>IFERROR(VLOOKUP(C4893,소속부서!$A$2:$B$20,2,FALSE), "")</f>
        <v/>
      </c>
    </row>
    <row r="4894" spans="3:4" x14ac:dyDescent="0.3">
      <c r="C4894" s="35">
        <f t="shared" si="77"/>
        <v>0</v>
      </c>
      <c r="D4894" s="30" t="str">
        <f>IFERROR(VLOOKUP(C4894,소속부서!$A$2:$B$20,2,FALSE), "")</f>
        <v/>
      </c>
    </row>
    <row r="4895" spans="3:4" x14ac:dyDescent="0.3">
      <c r="C4895" s="35">
        <f t="shared" si="77"/>
        <v>0</v>
      </c>
      <c r="D4895" s="30" t="str">
        <f>IFERROR(VLOOKUP(C4895,소속부서!$A$2:$B$20,2,FALSE), "")</f>
        <v/>
      </c>
    </row>
    <row r="4896" spans="3:4" x14ac:dyDescent="0.3">
      <c r="C4896" s="35">
        <f t="shared" si="77"/>
        <v>0</v>
      </c>
      <c r="D4896" s="30" t="str">
        <f>IFERROR(VLOOKUP(C4896,소속부서!$A$2:$B$20,2,FALSE), "")</f>
        <v/>
      </c>
    </row>
    <row r="4897" spans="3:4" x14ac:dyDescent="0.3">
      <c r="C4897" s="35">
        <f t="shared" si="77"/>
        <v>0</v>
      </c>
      <c r="D4897" s="30" t="str">
        <f>IFERROR(VLOOKUP(C4897,소속부서!$A$2:$B$20,2,FALSE), "")</f>
        <v/>
      </c>
    </row>
    <row r="4898" spans="3:4" x14ac:dyDescent="0.3">
      <c r="C4898" s="35">
        <f t="shared" si="77"/>
        <v>0</v>
      </c>
      <c r="D4898" s="30" t="str">
        <f>IFERROR(VLOOKUP(C4898,소속부서!$A$2:$B$20,2,FALSE), "")</f>
        <v/>
      </c>
    </row>
    <row r="4899" spans="3:4" x14ac:dyDescent="0.3">
      <c r="C4899" s="35">
        <f t="shared" si="77"/>
        <v>0</v>
      </c>
      <c r="D4899" s="30" t="str">
        <f>IFERROR(VLOOKUP(C4899,소속부서!$A$2:$B$20,2,FALSE), "")</f>
        <v/>
      </c>
    </row>
    <row r="4900" spans="3:4" x14ac:dyDescent="0.3">
      <c r="C4900" s="35">
        <f t="shared" si="77"/>
        <v>0</v>
      </c>
      <c r="D4900" s="30" t="str">
        <f>IFERROR(VLOOKUP(C4900,소속부서!$A$2:$B$20,2,FALSE), "")</f>
        <v/>
      </c>
    </row>
    <row r="4901" spans="3:4" x14ac:dyDescent="0.3">
      <c r="C4901" s="35">
        <f t="shared" si="77"/>
        <v>0</v>
      </c>
      <c r="D4901" s="30" t="str">
        <f>IFERROR(VLOOKUP(C4901,소속부서!$A$2:$B$20,2,FALSE), "")</f>
        <v/>
      </c>
    </row>
    <row r="4902" spans="3:4" x14ac:dyDescent="0.3">
      <c r="C4902" s="35">
        <f t="shared" si="77"/>
        <v>0</v>
      </c>
      <c r="D4902" s="30" t="str">
        <f>IFERROR(VLOOKUP(C4902,소속부서!$A$2:$B$20,2,FALSE), "")</f>
        <v/>
      </c>
    </row>
    <row r="4903" spans="3:4" x14ac:dyDescent="0.3">
      <c r="C4903" s="35">
        <f t="shared" si="77"/>
        <v>0</v>
      </c>
      <c r="D4903" s="30" t="str">
        <f>IFERROR(VLOOKUP(C4903,소속부서!$A$2:$B$20,2,FALSE), "")</f>
        <v/>
      </c>
    </row>
    <row r="4904" spans="3:4" x14ac:dyDescent="0.3">
      <c r="C4904" s="35">
        <f t="shared" si="77"/>
        <v>0</v>
      </c>
      <c r="D4904" s="30" t="str">
        <f>IFERROR(VLOOKUP(C4904,소속부서!$A$2:$B$20,2,FALSE), "")</f>
        <v/>
      </c>
    </row>
    <row r="4905" spans="3:4" x14ac:dyDescent="0.3">
      <c r="C4905" s="35">
        <f t="shared" si="77"/>
        <v>0</v>
      </c>
      <c r="D4905" s="30" t="str">
        <f>IFERROR(VLOOKUP(C4905,소속부서!$A$2:$B$20,2,FALSE), "")</f>
        <v/>
      </c>
    </row>
    <row r="4906" spans="3:4" x14ac:dyDescent="0.3">
      <c r="C4906" s="35">
        <f t="shared" si="77"/>
        <v>0</v>
      </c>
      <c r="D4906" s="30" t="str">
        <f>IFERROR(VLOOKUP(C4906,소속부서!$A$2:$B$20,2,FALSE), "")</f>
        <v/>
      </c>
    </row>
    <row r="4907" spans="3:4" x14ac:dyDescent="0.3">
      <c r="C4907" s="35">
        <f t="shared" si="77"/>
        <v>0</v>
      </c>
      <c r="D4907" s="30" t="str">
        <f>IFERROR(VLOOKUP(C4907,소속부서!$A$2:$B$20,2,FALSE), "")</f>
        <v/>
      </c>
    </row>
    <row r="4908" spans="3:4" x14ac:dyDescent="0.3">
      <c r="C4908" s="35">
        <f t="shared" si="77"/>
        <v>0</v>
      </c>
      <c r="D4908" s="30" t="str">
        <f>IFERROR(VLOOKUP(C4908,소속부서!$A$2:$B$20,2,FALSE), "")</f>
        <v/>
      </c>
    </row>
    <row r="4909" spans="3:4" x14ac:dyDescent="0.3">
      <c r="C4909" s="35">
        <f t="shared" si="77"/>
        <v>0</v>
      </c>
      <c r="D4909" s="30" t="str">
        <f>IFERROR(VLOOKUP(C4909,소속부서!$A$2:$B$20,2,FALSE), "")</f>
        <v/>
      </c>
    </row>
    <row r="4910" spans="3:4" x14ac:dyDescent="0.3">
      <c r="C4910" s="35">
        <f t="shared" si="77"/>
        <v>0</v>
      </c>
      <c r="D4910" s="30" t="str">
        <f>IFERROR(VLOOKUP(C4910,소속부서!$A$2:$B$20,2,FALSE), "")</f>
        <v/>
      </c>
    </row>
    <row r="4911" spans="3:4" x14ac:dyDescent="0.3">
      <c r="C4911" s="35">
        <f t="shared" si="77"/>
        <v>0</v>
      </c>
      <c r="D4911" s="30" t="str">
        <f>IFERROR(VLOOKUP(C4911,소속부서!$A$2:$B$20,2,FALSE), "")</f>
        <v/>
      </c>
    </row>
    <row r="4912" spans="3:4" x14ac:dyDescent="0.3">
      <c r="C4912" s="35">
        <f t="shared" si="77"/>
        <v>0</v>
      </c>
      <c r="D4912" s="30" t="str">
        <f>IFERROR(VLOOKUP(C4912,소속부서!$A$2:$B$20,2,FALSE), "")</f>
        <v/>
      </c>
    </row>
    <row r="4913" spans="3:4" x14ac:dyDescent="0.3">
      <c r="C4913" s="35">
        <f t="shared" si="77"/>
        <v>0</v>
      </c>
      <c r="D4913" s="30" t="str">
        <f>IFERROR(VLOOKUP(C4913,소속부서!$A$2:$B$20,2,FALSE), "")</f>
        <v/>
      </c>
    </row>
    <row r="4914" spans="3:4" x14ac:dyDescent="0.3">
      <c r="C4914" s="35">
        <f t="shared" si="77"/>
        <v>0</v>
      </c>
      <c r="D4914" s="30" t="str">
        <f>IFERROR(VLOOKUP(C4914,소속부서!$A$2:$B$20,2,FALSE), "")</f>
        <v/>
      </c>
    </row>
    <row r="4915" spans="3:4" x14ac:dyDescent="0.3">
      <c r="C4915" s="35">
        <f t="shared" si="77"/>
        <v>0</v>
      </c>
      <c r="D4915" s="30" t="str">
        <f>IFERROR(VLOOKUP(C4915,소속부서!$A$2:$B$20,2,FALSE), "")</f>
        <v/>
      </c>
    </row>
    <row r="4916" spans="3:4" x14ac:dyDescent="0.3">
      <c r="C4916" s="35">
        <f t="shared" si="77"/>
        <v>0</v>
      </c>
      <c r="D4916" s="30" t="str">
        <f>IFERROR(VLOOKUP(C4916,소속부서!$A$2:$B$20,2,FALSE), "")</f>
        <v/>
      </c>
    </row>
    <row r="4917" spans="3:4" x14ac:dyDescent="0.3">
      <c r="C4917" s="35">
        <f t="shared" si="77"/>
        <v>0</v>
      </c>
      <c r="D4917" s="30" t="str">
        <f>IFERROR(VLOOKUP(C4917,소속부서!$A$2:$B$20,2,FALSE), "")</f>
        <v/>
      </c>
    </row>
    <row r="4918" spans="3:4" x14ac:dyDescent="0.3">
      <c r="C4918" s="35">
        <f t="shared" si="77"/>
        <v>0</v>
      </c>
      <c r="D4918" s="30" t="str">
        <f>IFERROR(VLOOKUP(C4918,소속부서!$A$2:$B$20,2,FALSE), "")</f>
        <v/>
      </c>
    </row>
    <row r="4919" spans="3:4" x14ac:dyDescent="0.3">
      <c r="C4919" s="35">
        <f t="shared" si="77"/>
        <v>0</v>
      </c>
      <c r="D4919" s="30" t="str">
        <f>IFERROR(VLOOKUP(C4919,소속부서!$A$2:$B$20,2,FALSE), "")</f>
        <v/>
      </c>
    </row>
    <row r="4920" spans="3:4" x14ac:dyDescent="0.3">
      <c r="C4920" s="35">
        <f t="shared" si="77"/>
        <v>0</v>
      </c>
      <c r="D4920" s="30" t="str">
        <f>IFERROR(VLOOKUP(C4920,소속부서!$A$2:$B$20,2,FALSE), "")</f>
        <v/>
      </c>
    </row>
    <row r="4921" spans="3:4" x14ac:dyDescent="0.3">
      <c r="C4921" s="35">
        <f t="shared" si="77"/>
        <v>0</v>
      </c>
      <c r="D4921" s="30" t="str">
        <f>IFERROR(VLOOKUP(C4921,소속부서!$A$2:$B$20,2,FALSE), "")</f>
        <v/>
      </c>
    </row>
    <row r="4922" spans="3:4" x14ac:dyDescent="0.3">
      <c r="C4922" s="35">
        <f t="shared" si="77"/>
        <v>0</v>
      </c>
      <c r="D4922" s="30" t="str">
        <f>IFERROR(VLOOKUP(C4922,소속부서!$A$2:$B$20,2,FALSE), "")</f>
        <v/>
      </c>
    </row>
    <row r="4923" spans="3:4" x14ac:dyDescent="0.3">
      <c r="C4923" s="35">
        <f t="shared" si="77"/>
        <v>0</v>
      </c>
      <c r="D4923" s="30" t="str">
        <f>IFERROR(VLOOKUP(C4923,소속부서!$A$2:$B$20,2,FALSE), "")</f>
        <v/>
      </c>
    </row>
    <row r="4924" spans="3:4" x14ac:dyDescent="0.3">
      <c r="C4924" s="35">
        <f t="shared" si="77"/>
        <v>0</v>
      </c>
      <c r="D4924" s="30" t="str">
        <f>IFERROR(VLOOKUP(C4924,소속부서!$A$2:$B$20,2,FALSE), "")</f>
        <v/>
      </c>
    </row>
    <row r="4925" spans="3:4" x14ac:dyDescent="0.3">
      <c r="C4925" s="35">
        <f t="shared" si="77"/>
        <v>0</v>
      </c>
      <c r="D4925" s="30" t="str">
        <f>IFERROR(VLOOKUP(C4925,소속부서!$A$2:$B$20,2,FALSE), "")</f>
        <v/>
      </c>
    </row>
    <row r="4926" spans="3:4" x14ac:dyDescent="0.3">
      <c r="C4926" s="35">
        <f t="shared" si="77"/>
        <v>0</v>
      </c>
      <c r="D4926" s="30" t="str">
        <f>IFERROR(VLOOKUP(C4926,소속부서!$A$2:$B$20,2,FALSE), "")</f>
        <v/>
      </c>
    </row>
    <row r="4927" spans="3:4" x14ac:dyDescent="0.3">
      <c r="C4927" s="35">
        <f t="shared" si="77"/>
        <v>0</v>
      </c>
      <c r="D4927" s="30" t="str">
        <f>IFERROR(VLOOKUP(C4927,소속부서!$A$2:$B$20,2,FALSE), "")</f>
        <v/>
      </c>
    </row>
    <row r="4928" spans="3:4" x14ac:dyDescent="0.3">
      <c r="C4928" s="35">
        <f t="shared" si="77"/>
        <v>0</v>
      </c>
      <c r="D4928" s="30" t="str">
        <f>IFERROR(VLOOKUP(C4928,소속부서!$A$2:$B$20,2,FALSE), "")</f>
        <v/>
      </c>
    </row>
    <row r="4929" spans="3:4" x14ac:dyDescent="0.3">
      <c r="C4929" s="35">
        <f t="shared" si="77"/>
        <v>0</v>
      </c>
      <c r="D4929" s="30" t="str">
        <f>IFERROR(VLOOKUP(C4929,소속부서!$A$2:$B$20,2,FALSE), "")</f>
        <v/>
      </c>
    </row>
    <row r="4930" spans="3:4" x14ac:dyDescent="0.3">
      <c r="C4930" s="35">
        <f t="shared" si="77"/>
        <v>0</v>
      </c>
      <c r="D4930" s="30" t="str">
        <f>IFERROR(VLOOKUP(C4930,소속부서!$A$2:$B$20,2,FALSE), "")</f>
        <v/>
      </c>
    </row>
    <row r="4931" spans="3:4" x14ac:dyDescent="0.3">
      <c r="C4931" s="35">
        <f t="shared" si="77"/>
        <v>0</v>
      </c>
      <c r="D4931" s="30" t="str">
        <f>IFERROR(VLOOKUP(C4931,소속부서!$A$2:$B$20,2,FALSE), "")</f>
        <v/>
      </c>
    </row>
    <row r="4932" spans="3:4" x14ac:dyDescent="0.3">
      <c r="C4932" s="35">
        <f t="shared" ref="C4932:C4995" si="78">E4932</f>
        <v>0</v>
      </c>
      <c r="D4932" s="30" t="str">
        <f>IFERROR(VLOOKUP(C4932,소속부서!$A$2:$B$20,2,FALSE), "")</f>
        <v/>
      </c>
    </row>
    <row r="4933" spans="3:4" x14ac:dyDescent="0.3">
      <c r="C4933" s="35">
        <f t="shared" si="78"/>
        <v>0</v>
      </c>
      <c r="D4933" s="30" t="str">
        <f>IFERROR(VLOOKUP(C4933,소속부서!$A$2:$B$20,2,FALSE), "")</f>
        <v/>
      </c>
    </row>
    <row r="4934" spans="3:4" x14ac:dyDescent="0.3">
      <c r="C4934" s="35">
        <f t="shared" si="78"/>
        <v>0</v>
      </c>
      <c r="D4934" s="30" t="str">
        <f>IFERROR(VLOOKUP(C4934,소속부서!$A$2:$B$20,2,FALSE), "")</f>
        <v/>
      </c>
    </row>
    <row r="4935" spans="3:4" x14ac:dyDescent="0.3">
      <c r="C4935" s="35">
        <f t="shared" si="78"/>
        <v>0</v>
      </c>
      <c r="D4935" s="30" t="str">
        <f>IFERROR(VLOOKUP(C4935,소속부서!$A$2:$B$20,2,FALSE), "")</f>
        <v/>
      </c>
    </row>
    <row r="4936" spans="3:4" x14ac:dyDescent="0.3">
      <c r="C4936" s="35">
        <f t="shared" si="78"/>
        <v>0</v>
      </c>
      <c r="D4936" s="30" t="str">
        <f>IFERROR(VLOOKUP(C4936,소속부서!$A$2:$B$20,2,FALSE), "")</f>
        <v/>
      </c>
    </row>
    <row r="4937" spans="3:4" x14ac:dyDescent="0.3">
      <c r="C4937" s="35">
        <f t="shared" si="78"/>
        <v>0</v>
      </c>
      <c r="D4937" s="30" t="str">
        <f>IFERROR(VLOOKUP(C4937,소속부서!$A$2:$B$20,2,FALSE), "")</f>
        <v/>
      </c>
    </row>
    <row r="4938" spans="3:4" x14ac:dyDescent="0.3">
      <c r="C4938" s="35">
        <f t="shared" si="78"/>
        <v>0</v>
      </c>
      <c r="D4938" s="30" t="str">
        <f>IFERROR(VLOOKUP(C4938,소속부서!$A$2:$B$20,2,FALSE), "")</f>
        <v/>
      </c>
    </row>
    <row r="4939" spans="3:4" x14ac:dyDescent="0.3">
      <c r="C4939" s="35">
        <f t="shared" si="78"/>
        <v>0</v>
      </c>
      <c r="D4939" s="30" t="str">
        <f>IFERROR(VLOOKUP(C4939,소속부서!$A$2:$B$20,2,FALSE), "")</f>
        <v/>
      </c>
    </row>
    <row r="4940" spans="3:4" x14ac:dyDescent="0.3">
      <c r="C4940" s="35">
        <f t="shared" si="78"/>
        <v>0</v>
      </c>
      <c r="D4940" s="30" t="str">
        <f>IFERROR(VLOOKUP(C4940,소속부서!$A$2:$B$20,2,FALSE), "")</f>
        <v/>
      </c>
    </row>
    <row r="4941" spans="3:4" x14ac:dyDescent="0.3">
      <c r="C4941" s="35">
        <f t="shared" si="78"/>
        <v>0</v>
      </c>
      <c r="D4941" s="30" t="str">
        <f>IFERROR(VLOOKUP(C4941,소속부서!$A$2:$B$20,2,FALSE), "")</f>
        <v/>
      </c>
    </row>
    <row r="4942" spans="3:4" x14ac:dyDescent="0.3">
      <c r="C4942" s="35">
        <f t="shared" si="78"/>
        <v>0</v>
      </c>
      <c r="D4942" s="30" t="str">
        <f>IFERROR(VLOOKUP(C4942,소속부서!$A$2:$B$20,2,FALSE), "")</f>
        <v/>
      </c>
    </row>
    <row r="4943" spans="3:4" x14ac:dyDescent="0.3">
      <c r="C4943" s="35">
        <f t="shared" si="78"/>
        <v>0</v>
      </c>
      <c r="D4943" s="30" t="str">
        <f>IFERROR(VLOOKUP(C4943,소속부서!$A$2:$B$20,2,FALSE), "")</f>
        <v/>
      </c>
    </row>
    <row r="4944" spans="3:4" x14ac:dyDescent="0.3">
      <c r="C4944" s="35">
        <f t="shared" si="78"/>
        <v>0</v>
      </c>
      <c r="D4944" s="30" t="str">
        <f>IFERROR(VLOOKUP(C4944,소속부서!$A$2:$B$20,2,FALSE), "")</f>
        <v/>
      </c>
    </row>
    <row r="4945" spans="3:4" x14ac:dyDescent="0.3">
      <c r="C4945" s="35">
        <f t="shared" si="78"/>
        <v>0</v>
      </c>
      <c r="D4945" s="30" t="str">
        <f>IFERROR(VLOOKUP(C4945,소속부서!$A$2:$B$20,2,FALSE), "")</f>
        <v/>
      </c>
    </row>
    <row r="4946" spans="3:4" x14ac:dyDescent="0.3">
      <c r="C4946" s="35">
        <f t="shared" si="78"/>
        <v>0</v>
      </c>
      <c r="D4946" s="30" t="str">
        <f>IFERROR(VLOOKUP(C4946,소속부서!$A$2:$B$20,2,FALSE), "")</f>
        <v/>
      </c>
    </row>
    <row r="4947" spans="3:4" x14ac:dyDescent="0.3">
      <c r="C4947" s="35">
        <f t="shared" si="78"/>
        <v>0</v>
      </c>
      <c r="D4947" s="30" t="str">
        <f>IFERROR(VLOOKUP(C4947,소속부서!$A$2:$B$20,2,FALSE), "")</f>
        <v/>
      </c>
    </row>
    <row r="4948" spans="3:4" x14ac:dyDescent="0.3">
      <c r="C4948" s="35">
        <f t="shared" si="78"/>
        <v>0</v>
      </c>
      <c r="D4948" s="30" t="str">
        <f>IFERROR(VLOOKUP(C4948,소속부서!$A$2:$B$20,2,FALSE), "")</f>
        <v/>
      </c>
    </row>
    <row r="4949" spans="3:4" x14ac:dyDescent="0.3">
      <c r="C4949" s="35">
        <f t="shared" si="78"/>
        <v>0</v>
      </c>
      <c r="D4949" s="30" t="str">
        <f>IFERROR(VLOOKUP(C4949,소속부서!$A$2:$B$20,2,FALSE), "")</f>
        <v/>
      </c>
    </row>
    <row r="4950" spans="3:4" x14ac:dyDescent="0.3">
      <c r="C4950" s="35">
        <f t="shared" si="78"/>
        <v>0</v>
      </c>
      <c r="D4950" s="30" t="str">
        <f>IFERROR(VLOOKUP(C4950,소속부서!$A$2:$B$20,2,FALSE), "")</f>
        <v/>
      </c>
    </row>
    <row r="4951" spans="3:4" x14ac:dyDescent="0.3">
      <c r="C4951" s="35">
        <f t="shared" si="78"/>
        <v>0</v>
      </c>
      <c r="D4951" s="30" t="str">
        <f>IFERROR(VLOOKUP(C4951,소속부서!$A$2:$B$20,2,FALSE), "")</f>
        <v/>
      </c>
    </row>
    <row r="4952" spans="3:4" x14ac:dyDescent="0.3">
      <c r="C4952" s="35">
        <f t="shared" si="78"/>
        <v>0</v>
      </c>
      <c r="D4952" s="30" t="str">
        <f>IFERROR(VLOOKUP(C4952,소속부서!$A$2:$B$20,2,FALSE), "")</f>
        <v/>
      </c>
    </row>
    <row r="4953" spans="3:4" x14ac:dyDescent="0.3">
      <c r="C4953" s="35">
        <f t="shared" si="78"/>
        <v>0</v>
      </c>
      <c r="D4953" s="30" t="str">
        <f>IFERROR(VLOOKUP(C4953,소속부서!$A$2:$B$20,2,FALSE), "")</f>
        <v/>
      </c>
    </row>
    <row r="4954" spans="3:4" x14ac:dyDescent="0.3">
      <c r="C4954" s="35">
        <f t="shared" si="78"/>
        <v>0</v>
      </c>
      <c r="D4954" s="30" t="str">
        <f>IFERROR(VLOOKUP(C4954,소속부서!$A$2:$B$20,2,FALSE), "")</f>
        <v/>
      </c>
    </row>
    <row r="4955" spans="3:4" x14ac:dyDescent="0.3">
      <c r="C4955" s="35">
        <f t="shared" si="78"/>
        <v>0</v>
      </c>
      <c r="D4955" s="30" t="str">
        <f>IFERROR(VLOOKUP(C4955,소속부서!$A$2:$B$20,2,FALSE), "")</f>
        <v/>
      </c>
    </row>
    <row r="4956" spans="3:4" x14ac:dyDescent="0.3">
      <c r="C4956" s="35">
        <f t="shared" si="78"/>
        <v>0</v>
      </c>
      <c r="D4956" s="30" t="str">
        <f>IFERROR(VLOOKUP(C4956,소속부서!$A$2:$B$20,2,FALSE), "")</f>
        <v/>
      </c>
    </row>
    <row r="4957" spans="3:4" x14ac:dyDescent="0.3">
      <c r="C4957" s="35">
        <f t="shared" si="78"/>
        <v>0</v>
      </c>
      <c r="D4957" s="30" t="str">
        <f>IFERROR(VLOOKUP(C4957,소속부서!$A$2:$B$20,2,FALSE), "")</f>
        <v/>
      </c>
    </row>
    <row r="4958" spans="3:4" x14ac:dyDescent="0.3">
      <c r="C4958" s="35">
        <f t="shared" si="78"/>
        <v>0</v>
      </c>
      <c r="D4958" s="30" t="str">
        <f>IFERROR(VLOOKUP(C4958,소속부서!$A$2:$B$20,2,FALSE), "")</f>
        <v/>
      </c>
    </row>
    <row r="4959" spans="3:4" x14ac:dyDescent="0.3">
      <c r="C4959" s="35">
        <f t="shared" si="78"/>
        <v>0</v>
      </c>
      <c r="D4959" s="30" t="str">
        <f>IFERROR(VLOOKUP(C4959,소속부서!$A$2:$B$20,2,FALSE), "")</f>
        <v/>
      </c>
    </row>
    <row r="4960" spans="3:4" x14ac:dyDescent="0.3">
      <c r="C4960" s="35">
        <f t="shared" si="78"/>
        <v>0</v>
      </c>
      <c r="D4960" s="30" t="str">
        <f>IFERROR(VLOOKUP(C4960,소속부서!$A$2:$B$20,2,FALSE), "")</f>
        <v/>
      </c>
    </row>
    <row r="4961" spans="3:4" x14ac:dyDescent="0.3">
      <c r="C4961" s="35">
        <f t="shared" si="78"/>
        <v>0</v>
      </c>
      <c r="D4961" s="30" t="str">
        <f>IFERROR(VLOOKUP(C4961,소속부서!$A$2:$B$20,2,FALSE), "")</f>
        <v/>
      </c>
    </row>
    <row r="4962" spans="3:4" x14ac:dyDescent="0.3">
      <c r="C4962" s="35">
        <f t="shared" si="78"/>
        <v>0</v>
      </c>
      <c r="D4962" s="30" t="str">
        <f>IFERROR(VLOOKUP(C4962,소속부서!$A$2:$B$20,2,FALSE), "")</f>
        <v/>
      </c>
    </row>
    <row r="4963" spans="3:4" x14ac:dyDescent="0.3">
      <c r="C4963" s="35">
        <f t="shared" si="78"/>
        <v>0</v>
      </c>
      <c r="D4963" s="30" t="str">
        <f>IFERROR(VLOOKUP(C4963,소속부서!$A$2:$B$20,2,FALSE), "")</f>
        <v/>
      </c>
    </row>
    <row r="4964" spans="3:4" x14ac:dyDescent="0.3">
      <c r="C4964" s="35">
        <f t="shared" si="78"/>
        <v>0</v>
      </c>
      <c r="D4964" s="30" t="str">
        <f>IFERROR(VLOOKUP(C4964,소속부서!$A$2:$B$20,2,FALSE), "")</f>
        <v/>
      </c>
    </row>
    <row r="4965" spans="3:4" x14ac:dyDescent="0.3">
      <c r="C4965" s="35">
        <f t="shared" si="78"/>
        <v>0</v>
      </c>
      <c r="D4965" s="30" t="str">
        <f>IFERROR(VLOOKUP(C4965,소속부서!$A$2:$B$20,2,FALSE), "")</f>
        <v/>
      </c>
    </row>
    <row r="4966" spans="3:4" x14ac:dyDescent="0.3">
      <c r="C4966" s="35">
        <f t="shared" si="78"/>
        <v>0</v>
      </c>
      <c r="D4966" s="30" t="str">
        <f>IFERROR(VLOOKUP(C4966,소속부서!$A$2:$B$20,2,FALSE), "")</f>
        <v/>
      </c>
    </row>
    <row r="4967" spans="3:4" x14ac:dyDescent="0.3">
      <c r="C4967" s="35">
        <f t="shared" si="78"/>
        <v>0</v>
      </c>
      <c r="D4967" s="30" t="str">
        <f>IFERROR(VLOOKUP(C4967,소속부서!$A$2:$B$20,2,FALSE), "")</f>
        <v/>
      </c>
    </row>
    <row r="4968" spans="3:4" x14ac:dyDescent="0.3">
      <c r="C4968" s="35">
        <f t="shared" si="78"/>
        <v>0</v>
      </c>
      <c r="D4968" s="30" t="str">
        <f>IFERROR(VLOOKUP(C4968,소속부서!$A$2:$B$20,2,FALSE), "")</f>
        <v/>
      </c>
    </row>
    <row r="4969" spans="3:4" x14ac:dyDescent="0.3">
      <c r="C4969" s="35">
        <f t="shared" si="78"/>
        <v>0</v>
      </c>
      <c r="D4969" s="30" t="str">
        <f>IFERROR(VLOOKUP(C4969,소속부서!$A$2:$B$20,2,FALSE), "")</f>
        <v/>
      </c>
    </row>
    <row r="4970" spans="3:4" x14ac:dyDescent="0.3">
      <c r="C4970" s="35">
        <f t="shared" si="78"/>
        <v>0</v>
      </c>
      <c r="D4970" s="30" t="str">
        <f>IFERROR(VLOOKUP(C4970,소속부서!$A$2:$B$20,2,FALSE), "")</f>
        <v/>
      </c>
    </row>
    <row r="4971" spans="3:4" x14ac:dyDescent="0.3">
      <c r="C4971" s="35">
        <f t="shared" si="78"/>
        <v>0</v>
      </c>
      <c r="D4971" s="30" t="str">
        <f>IFERROR(VLOOKUP(C4971,소속부서!$A$2:$B$20,2,FALSE), "")</f>
        <v/>
      </c>
    </row>
    <row r="4972" spans="3:4" x14ac:dyDescent="0.3">
      <c r="C4972" s="35">
        <f t="shared" si="78"/>
        <v>0</v>
      </c>
      <c r="D4972" s="30" t="str">
        <f>IFERROR(VLOOKUP(C4972,소속부서!$A$2:$B$20,2,FALSE), "")</f>
        <v/>
      </c>
    </row>
    <row r="4973" spans="3:4" x14ac:dyDescent="0.3">
      <c r="C4973" s="35">
        <f t="shared" si="78"/>
        <v>0</v>
      </c>
      <c r="D4973" s="30" t="str">
        <f>IFERROR(VLOOKUP(C4973,소속부서!$A$2:$B$20,2,FALSE), "")</f>
        <v/>
      </c>
    </row>
    <row r="4974" spans="3:4" x14ac:dyDescent="0.3">
      <c r="C4974" s="35">
        <f t="shared" si="78"/>
        <v>0</v>
      </c>
      <c r="D4974" s="30" t="str">
        <f>IFERROR(VLOOKUP(C4974,소속부서!$A$2:$B$20,2,FALSE), "")</f>
        <v/>
      </c>
    </row>
    <row r="4975" spans="3:4" x14ac:dyDescent="0.3">
      <c r="C4975" s="35">
        <f t="shared" si="78"/>
        <v>0</v>
      </c>
      <c r="D4975" s="30" t="str">
        <f>IFERROR(VLOOKUP(C4975,소속부서!$A$2:$B$20,2,FALSE), "")</f>
        <v/>
      </c>
    </row>
    <row r="4976" spans="3:4" x14ac:dyDescent="0.3">
      <c r="C4976" s="35">
        <f t="shared" si="78"/>
        <v>0</v>
      </c>
      <c r="D4976" s="30" t="str">
        <f>IFERROR(VLOOKUP(C4976,소속부서!$A$2:$B$20,2,FALSE), "")</f>
        <v/>
      </c>
    </row>
    <row r="4977" spans="3:4" x14ac:dyDescent="0.3">
      <c r="C4977" s="35">
        <f t="shared" si="78"/>
        <v>0</v>
      </c>
      <c r="D4977" s="30" t="str">
        <f>IFERROR(VLOOKUP(C4977,소속부서!$A$2:$B$20,2,FALSE), "")</f>
        <v/>
      </c>
    </row>
    <row r="4978" spans="3:4" x14ac:dyDescent="0.3">
      <c r="C4978" s="35">
        <f t="shared" si="78"/>
        <v>0</v>
      </c>
      <c r="D4978" s="30" t="str">
        <f>IFERROR(VLOOKUP(C4978,소속부서!$A$2:$B$20,2,FALSE), "")</f>
        <v/>
      </c>
    </row>
    <row r="4979" spans="3:4" x14ac:dyDescent="0.3">
      <c r="C4979" s="35">
        <f t="shared" si="78"/>
        <v>0</v>
      </c>
      <c r="D4979" s="30" t="str">
        <f>IFERROR(VLOOKUP(C4979,소속부서!$A$2:$B$20,2,FALSE), "")</f>
        <v/>
      </c>
    </row>
    <row r="4980" spans="3:4" x14ac:dyDescent="0.3">
      <c r="C4980" s="35">
        <f t="shared" si="78"/>
        <v>0</v>
      </c>
      <c r="D4980" s="30" t="str">
        <f>IFERROR(VLOOKUP(C4980,소속부서!$A$2:$B$20,2,FALSE), "")</f>
        <v/>
      </c>
    </row>
    <row r="4981" spans="3:4" x14ac:dyDescent="0.3">
      <c r="C4981" s="35">
        <f t="shared" si="78"/>
        <v>0</v>
      </c>
      <c r="D4981" s="30" t="str">
        <f>IFERROR(VLOOKUP(C4981,소속부서!$A$2:$B$20,2,FALSE), "")</f>
        <v/>
      </c>
    </row>
    <row r="4982" spans="3:4" x14ac:dyDescent="0.3">
      <c r="C4982" s="35">
        <f t="shared" si="78"/>
        <v>0</v>
      </c>
      <c r="D4982" s="30" t="str">
        <f>IFERROR(VLOOKUP(C4982,소속부서!$A$2:$B$20,2,FALSE), "")</f>
        <v/>
      </c>
    </row>
    <row r="4983" spans="3:4" x14ac:dyDescent="0.3">
      <c r="C4983" s="35">
        <f t="shared" si="78"/>
        <v>0</v>
      </c>
      <c r="D4983" s="30" t="str">
        <f>IFERROR(VLOOKUP(C4983,소속부서!$A$2:$B$20,2,FALSE), "")</f>
        <v/>
      </c>
    </row>
    <row r="4984" spans="3:4" x14ac:dyDescent="0.3">
      <c r="C4984" s="35">
        <f t="shared" si="78"/>
        <v>0</v>
      </c>
      <c r="D4984" s="30" t="str">
        <f>IFERROR(VLOOKUP(C4984,소속부서!$A$2:$B$20,2,FALSE), "")</f>
        <v/>
      </c>
    </row>
    <row r="4985" spans="3:4" x14ac:dyDescent="0.3">
      <c r="C4985" s="35">
        <f t="shared" si="78"/>
        <v>0</v>
      </c>
      <c r="D4985" s="30" t="str">
        <f>IFERROR(VLOOKUP(C4985,소속부서!$A$2:$B$20,2,FALSE), "")</f>
        <v/>
      </c>
    </row>
    <row r="4986" spans="3:4" x14ac:dyDescent="0.3">
      <c r="C4986" s="35">
        <f t="shared" si="78"/>
        <v>0</v>
      </c>
      <c r="D4986" s="30" t="str">
        <f>IFERROR(VLOOKUP(C4986,소속부서!$A$2:$B$20,2,FALSE), "")</f>
        <v/>
      </c>
    </row>
    <row r="4987" spans="3:4" x14ac:dyDescent="0.3">
      <c r="C4987" s="35">
        <f t="shared" si="78"/>
        <v>0</v>
      </c>
      <c r="D4987" s="30" t="str">
        <f>IFERROR(VLOOKUP(C4987,소속부서!$A$2:$B$20,2,FALSE), "")</f>
        <v/>
      </c>
    </row>
    <row r="4988" spans="3:4" x14ac:dyDescent="0.3">
      <c r="C4988" s="35">
        <f t="shared" si="78"/>
        <v>0</v>
      </c>
      <c r="D4988" s="30" t="str">
        <f>IFERROR(VLOOKUP(C4988,소속부서!$A$2:$B$20,2,FALSE), "")</f>
        <v/>
      </c>
    </row>
    <row r="4989" spans="3:4" x14ac:dyDescent="0.3">
      <c r="C4989" s="35">
        <f t="shared" si="78"/>
        <v>0</v>
      </c>
      <c r="D4989" s="30" t="str">
        <f>IFERROR(VLOOKUP(C4989,소속부서!$A$2:$B$20,2,FALSE), "")</f>
        <v/>
      </c>
    </row>
    <row r="4990" spans="3:4" x14ac:dyDescent="0.3">
      <c r="C4990" s="35">
        <f t="shared" si="78"/>
        <v>0</v>
      </c>
      <c r="D4990" s="30" t="str">
        <f>IFERROR(VLOOKUP(C4990,소속부서!$A$2:$B$20,2,FALSE), "")</f>
        <v/>
      </c>
    </row>
    <row r="4991" spans="3:4" x14ac:dyDescent="0.3">
      <c r="C4991" s="35">
        <f t="shared" si="78"/>
        <v>0</v>
      </c>
      <c r="D4991" s="30" t="str">
        <f>IFERROR(VLOOKUP(C4991,소속부서!$A$2:$B$20,2,FALSE), "")</f>
        <v/>
      </c>
    </row>
    <row r="4992" spans="3:4" x14ac:dyDescent="0.3">
      <c r="C4992" s="35">
        <f t="shared" si="78"/>
        <v>0</v>
      </c>
      <c r="D4992" s="30" t="str">
        <f>IFERROR(VLOOKUP(C4992,소속부서!$A$2:$B$20,2,FALSE), "")</f>
        <v/>
      </c>
    </row>
    <row r="4993" spans="3:4" x14ac:dyDescent="0.3">
      <c r="C4993" s="35">
        <f t="shared" si="78"/>
        <v>0</v>
      </c>
      <c r="D4993" s="30" t="str">
        <f>IFERROR(VLOOKUP(C4993,소속부서!$A$2:$B$20,2,FALSE), "")</f>
        <v/>
      </c>
    </row>
    <row r="4994" spans="3:4" x14ac:dyDescent="0.3">
      <c r="C4994" s="35">
        <f t="shared" si="78"/>
        <v>0</v>
      </c>
      <c r="D4994" s="30" t="str">
        <f>IFERROR(VLOOKUP(C4994,소속부서!$A$2:$B$20,2,FALSE), "")</f>
        <v/>
      </c>
    </row>
    <row r="4995" spans="3:4" x14ac:dyDescent="0.3">
      <c r="C4995" s="35">
        <f t="shared" si="78"/>
        <v>0</v>
      </c>
      <c r="D4995" s="30" t="str">
        <f>IFERROR(VLOOKUP(C4995,소속부서!$A$2:$B$20,2,FALSE), "")</f>
        <v/>
      </c>
    </row>
    <row r="4996" spans="3:4" x14ac:dyDescent="0.3">
      <c r="C4996" s="35">
        <f t="shared" ref="C4996:C5059" si="79">E4996</f>
        <v>0</v>
      </c>
      <c r="D4996" s="30" t="str">
        <f>IFERROR(VLOOKUP(C4996,소속부서!$A$2:$B$20,2,FALSE), "")</f>
        <v/>
      </c>
    </row>
    <row r="4997" spans="3:4" x14ac:dyDescent="0.3">
      <c r="C4997" s="35">
        <f t="shared" si="79"/>
        <v>0</v>
      </c>
      <c r="D4997" s="30" t="str">
        <f>IFERROR(VLOOKUP(C4997,소속부서!$A$2:$B$20,2,FALSE), "")</f>
        <v/>
      </c>
    </row>
    <row r="4998" spans="3:4" x14ac:dyDescent="0.3">
      <c r="C4998" s="35">
        <f t="shared" si="79"/>
        <v>0</v>
      </c>
      <c r="D4998" s="30" t="str">
        <f>IFERROR(VLOOKUP(C4998,소속부서!$A$2:$B$20,2,FALSE), "")</f>
        <v/>
      </c>
    </row>
    <row r="4999" spans="3:4" x14ac:dyDescent="0.3">
      <c r="C4999" s="35">
        <f t="shared" si="79"/>
        <v>0</v>
      </c>
      <c r="D4999" s="30" t="str">
        <f>IFERROR(VLOOKUP(C4999,소속부서!$A$2:$B$20,2,FALSE), "")</f>
        <v/>
      </c>
    </row>
    <row r="5000" spans="3:4" x14ac:dyDescent="0.3">
      <c r="C5000" s="35">
        <f t="shared" si="79"/>
        <v>0</v>
      </c>
      <c r="D5000" s="30" t="str">
        <f>IFERROR(VLOOKUP(C5000,소속부서!$A$2:$B$20,2,FALSE), "")</f>
        <v/>
      </c>
    </row>
    <row r="5001" spans="3:4" x14ac:dyDescent="0.3">
      <c r="C5001" s="35">
        <f t="shared" si="79"/>
        <v>0</v>
      </c>
      <c r="D5001" s="30" t="str">
        <f>IFERROR(VLOOKUP(C5001,소속부서!$A$2:$B$20,2,FALSE), "")</f>
        <v/>
      </c>
    </row>
    <row r="5002" spans="3:4" x14ac:dyDescent="0.3">
      <c r="C5002" s="35">
        <f t="shared" si="79"/>
        <v>0</v>
      </c>
      <c r="D5002" s="30" t="str">
        <f>IFERROR(VLOOKUP(C5002,소속부서!$A$2:$B$20,2,FALSE), "")</f>
        <v/>
      </c>
    </row>
    <row r="5003" spans="3:4" x14ac:dyDescent="0.3">
      <c r="C5003" s="35">
        <f t="shared" si="79"/>
        <v>0</v>
      </c>
      <c r="D5003" s="30" t="str">
        <f>IFERROR(VLOOKUP(C5003,소속부서!$A$2:$B$20,2,FALSE), "")</f>
        <v/>
      </c>
    </row>
    <row r="5004" spans="3:4" x14ac:dyDescent="0.3">
      <c r="C5004" s="35">
        <f t="shared" si="79"/>
        <v>0</v>
      </c>
      <c r="D5004" s="30" t="str">
        <f>IFERROR(VLOOKUP(C5004,소속부서!$A$2:$B$20,2,FALSE), "")</f>
        <v/>
      </c>
    </row>
    <row r="5005" spans="3:4" x14ac:dyDescent="0.3">
      <c r="C5005" s="35">
        <f t="shared" si="79"/>
        <v>0</v>
      </c>
      <c r="D5005" s="30" t="str">
        <f>IFERROR(VLOOKUP(C5005,소속부서!$A$2:$B$20,2,FALSE), "")</f>
        <v/>
      </c>
    </row>
    <row r="5006" spans="3:4" x14ac:dyDescent="0.3">
      <c r="C5006" s="35">
        <f t="shared" si="79"/>
        <v>0</v>
      </c>
      <c r="D5006" s="30" t="str">
        <f>IFERROR(VLOOKUP(C5006,소속부서!$A$2:$B$20,2,FALSE), "")</f>
        <v/>
      </c>
    </row>
    <row r="5007" spans="3:4" x14ac:dyDescent="0.3">
      <c r="C5007" s="35">
        <f t="shared" si="79"/>
        <v>0</v>
      </c>
      <c r="D5007" s="30" t="str">
        <f>IFERROR(VLOOKUP(C5007,소속부서!$A$2:$B$20,2,FALSE), "")</f>
        <v/>
      </c>
    </row>
    <row r="5008" spans="3:4" x14ac:dyDescent="0.3">
      <c r="C5008" s="35">
        <f t="shared" si="79"/>
        <v>0</v>
      </c>
      <c r="D5008" s="30" t="str">
        <f>IFERROR(VLOOKUP(C5008,소속부서!$A$2:$B$20,2,FALSE), "")</f>
        <v/>
      </c>
    </row>
    <row r="5009" spans="3:4" x14ac:dyDescent="0.3">
      <c r="C5009" s="35">
        <f t="shared" si="79"/>
        <v>0</v>
      </c>
      <c r="D5009" s="30" t="str">
        <f>IFERROR(VLOOKUP(C5009,소속부서!$A$2:$B$20,2,FALSE), "")</f>
        <v/>
      </c>
    </row>
    <row r="5010" spans="3:4" x14ac:dyDescent="0.3">
      <c r="C5010" s="35">
        <f t="shared" si="79"/>
        <v>0</v>
      </c>
      <c r="D5010" s="30" t="str">
        <f>IFERROR(VLOOKUP(C5010,소속부서!$A$2:$B$20,2,FALSE), "")</f>
        <v/>
      </c>
    </row>
    <row r="5011" spans="3:4" x14ac:dyDescent="0.3">
      <c r="C5011" s="35">
        <f t="shared" si="79"/>
        <v>0</v>
      </c>
      <c r="D5011" s="30" t="str">
        <f>IFERROR(VLOOKUP(C5011,소속부서!$A$2:$B$20,2,FALSE), "")</f>
        <v/>
      </c>
    </row>
    <row r="5012" spans="3:4" x14ac:dyDescent="0.3">
      <c r="C5012" s="35">
        <f t="shared" si="79"/>
        <v>0</v>
      </c>
      <c r="D5012" s="30" t="str">
        <f>IFERROR(VLOOKUP(C5012,소속부서!$A$2:$B$20,2,FALSE), "")</f>
        <v/>
      </c>
    </row>
    <row r="5013" spans="3:4" x14ac:dyDescent="0.3">
      <c r="C5013" s="35">
        <f t="shared" si="79"/>
        <v>0</v>
      </c>
      <c r="D5013" s="30" t="str">
        <f>IFERROR(VLOOKUP(C5013,소속부서!$A$2:$B$20,2,FALSE), "")</f>
        <v/>
      </c>
    </row>
    <row r="5014" spans="3:4" x14ac:dyDescent="0.3">
      <c r="C5014" s="35">
        <f t="shared" si="79"/>
        <v>0</v>
      </c>
      <c r="D5014" s="30" t="str">
        <f>IFERROR(VLOOKUP(C5014,소속부서!$A$2:$B$20,2,FALSE), "")</f>
        <v/>
      </c>
    </row>
    <row r="5015" spans="3:4" x14ac:dyDescent="0.3">
      <c r="C5015" s="35">
        <f t="shared" si="79"/>
        <v>0</v>
      </c>
      <c r="D5015" s="30" t="str">
        <f>IFERROR(VLOOKUP(C5015,소속부서!$A$2:$B$20,2,FALSE), "")</f>
        <v/>
      </c>
    </row>
    <row r="5016" spans="3:4" x14ac:dyDescent="0.3">
      <c r="C5016" s="35">
        <f t="shared" si="79"/>
        <v>0</v>
      </c>
      <c r="D5016" s="30" t="str">
        <f>IFERROR(VLOOKUP(C5016,소속부서!$A$2:$B$20,2,FALSE), "")</f>
        <v/>
      </c>
    </row>
    <row r="5017" spans="3:4" x14ac:dyDescent="0.3">
      <c r="C5017" s="35">
        <f t="shared" si="79"/>
        <v>0</v>
      </c>
      <c r="D5017" s="30" t="str">
        <f>IFERROR(VLOOKUP(C5017,소속부서!$A$2:$B$20,2,FALSE), "")</f>
        <v/>
      </c>
    </row>
    <row r="5018" spans="3:4" x14ac:dyDescent="0.3">
      <c r="C5018" s="35">
        <f t="shared" si="79"/>
        <v>0</v>
      </c>
      <c r="D5018" s="30" t="str">
        <f>IFERROR(VLOOKUP(C5018,소속부서!$A$2:$B$20,2,FALSE), "")</f>
        <v/>
      </c>
    </row>
    <row r="5019" spans="3:4" x14ac:dyDescent="0.3">
      <c r="C5019" s="35">
        <f t="shared" si="79"/>
        <v>0</v>
      </c>
      <c r="D5019" s="30" t="str">
        <f>IFERROR(VLOOKUP(C5019,소속부서!$A$2:$B$20,2,FALSE), "")</f>
        <v/>
      </c>
    </row>
    <row r="5020" spans="3:4" x14ac:dyDescent="0.3">
      <c r="C5020" s="35">
        <f t="shared" si="79"/>
        <v>0</v>
      </c>
      <c r="D5020" s="30" t="str">
        <f>IFERROR(VLOOKUP(C5020,소속부서!$A$2:$B$20,2,FALSE), "")</f>
        <v/>
      </c>
    </row>
    <row r="5021" spans="3:4" x14ac:dyDescent="0.3">
      <c r="C5021" s="35">
        <f t="shared" si="79"/>
        <v>0</v>
      </c>
      <c r="D5021" s="30" t="str">
        <f>IFERROR(VLOOKUP(C5021,소속부서!$A$2:$B$20,2,FALSE), "")</f>
        <v/>
      </c>
    </row>
    <row r="5022" spans="3:4" x14ac:dyDescent="0.3">
      <c r="C5022" s="35">
        <f t="shared" si="79"/>
        <v>0</v>
      </c>
      <c r="D5022" s="30" t="str">
        <f>IFERROR(VLOOKUP(C5022,소속부서!$A$2:$B$20,2,FALSE), "")</f>
        <v/>
      </c>
    </row>
    <row r="5023" spans="3:4" x14ac:dyDescent="0.3">
      <c r="C5023" s="35">
        <f t="shared" si="79"/>
        <v>0</v>
      </c>
      <c r="D5023" s="30" t="str">
        <f>IFERROR(VLOOKUP(C5023,소속부서!$A$2:$B$20,2,FALSE), "")</f>
        <v/>
      </c>
    </row>
    <row r="5024" spans="3:4" x14ac:dyDescent="0.3">
      <c r="C5024" s="35">
        <f t="shared" si="79"/>
        <v>0</v>
      </c>
      <c r="D5024" s="30" t="str">
        <f>IFERROR(VLOOKUP(C5024,소속부서!$A$2:$B$20,2,FALSE), "")</f>
        <v/>
      </c>
    </row>
    <row r="5025" spans="3:4" x14ac:dyDescent="0.3">
      <c r="C5025" s="35">
        <f t="shared" si="79"/>
        <v>0</v>
      </c>
      <c r="D5025" s="30" t="str">
        <f>IFERROR(VLOOKUP(C5025,소속부서!$A$2:$B$20,2,FALSE), "")</f>
        <v/>
      </c>
    </row>
    <row r="5026" spans="3:4" x14ac:dyDescent="0.3">
      <c r="C5026" s="35">
        <f t="shared" si="79"/>
        <v>0</v>
      </c>
      <c r="D5026" s="30" t="str">
        <f>IFERROR(VLOOKUP(C5026,소속부서!$A$2:$B$20,2,FALSE), "")</f>
        <v/>
      </c>
    </row>
    <row r="5027" spans="3:4" x14ac:dyDescent="0.3">
      <c r="C5027" s="35">
        <f t="shared" si="79"/>
        <v>0</v>
      </c>
      <c r="D5027" s="30" t="str">
        <f>IFERROR(VLOOKUP(C5027,소속부서!$A$2:$B$20,2,FALSE), "")</f>
        <v/>
      </c>
    </row>
    <row r="5028" spans="3:4" x14ac:dyDescent="0.3">
      <c r="C5028" s="35">
        <f t="shared" si="79"/>
        <v>0</v>
      </c>
      <c r="D5028" s="30" t="str">
        <f>IFERROR(VLOOKUP(C5028,소속부서!$A$2:$B$20,2,FALSE), "")</f>
        <v/>
      </c>
    </row>
    <row r="5029" spans="3:4" x14ac:dyDescent="0.3">
      <c r="C5029" s="35">
        <f t="shared" si="79"/>
        <v>0</v>
      </c>
      <c r="D5029" s="30" t="str">
        <f>IFERROR(VLOOKUP(C5029,소속부서!$A$2:$B$20,2,FALSE), "")</f>
        <v/>
      </c>
    </row>
    <row r="5030" spans="3:4" x14ac:dyDescent="0.3">
      <c r="C5030" s="35">
        <f t="shared" si="79"/>
        <v>0</v>
      </c>
      <c r="D5030" s="30" t="str">
        <f>IFERROR(VLOOKUP(C5030,소속부서!$A$2:$B$20,2,FALSE), "")</f>
        <v/>
      </c>
    </row>
    <row r="5031" spans="3:4" x14ac:dyDescent="0.3">
      <c r="C5031" s="35">
        <f t="shared" si="79"/>
        <v>0</v>
      </c>
      <c r="D5031" s="30" t="str">
        <f>IFERROR(VLOOKUP(C5031,소속부서!$A$2:$B$20,2,FALSE), "")</f>
        <v/>
      </c>
    </row>
    <row r="5032" spans="3:4" x14ac:dyDescent="0.3">
      <c r="C5032" s="35">
        <f t="shared" si="79"/>
        <v>0</v>
      </c>
      <c r="D5032" s="30" t="str">
        <f>IFERROR(VLOOKUP(C5032,소속부서!$A$2:$B$20,2,FALSE), "")</f>
        <v/>
      </c>
    </row>
    <row r="5033" spans="3:4" x14ac:dyDescent="0.3">
      <c r="C5033" s="35">
        <f t="shared" si="79"/>
        <v>0</v>
      </c>
      <c r="D5033" s="30" t="str">
        <f>IFERROR(VLOOKUP(C5033,소속부서!$A$2:$B$20,2,FALSE), "")</f>
        <v/>
      </c>
    </row>
    <row r="5034" spans="3:4" x14ac:dyDescent="0.3">
      <c r="C5034" s="35">
        <f t="shared" si="79"/>
        <v>0</v>
      </c>
      <c r="D5034" s="30" t="str">
        <f>IFERROR(VLOOKUP(C5034,소속부서!$A$2:$B$20,2,FALSE), "")</f>
        <v/>
      </c>
    </row>
    <row r="5035" spans="3:4" x14ac:dyDescent="0.3">
      <c r="C5035" s="35">
        <f t="shared" si="79"/>
        <v>0</v>
      </c>
      <c r="D5035" s="30" t="str">
        <f>IFERROR(VLOOKUP(C5035,소속부서!$A$2:$B$20,2,FALSE), "")</f>
        <v/>
      </c>
    </row>
    <row r="5036" spans="3:4" x14ac:dyDescent="0.3">
      <c r="C5036" s="35">
        <f t="shared" si="79"/>
        <v>0</v>
      </c>
      <c r="D5036" s="30" t="str">
        <f>IFERROR(VLOOKUP(C5036,소속부서!$A$2:$B$20,2,FALSE), "")</f>
        <v/>
      </c>
    </row>
    <row r="5037" spans="3:4" x14ac:dyDescent="0.3">
      <c r="C5037" s="35">
        <f t="shared" si="79"/>
        <v>0</v>
      </c>
      <c r="D5037" s="30" t="str">
        <f>IFERROR(VLOOKUP(C5037,소속부서!$A$2:$B$20,2,FALSE), "")</f>
        <v/>
      </c>
    </row>
    <row r="5038" spans="3:4" x14ac:dyDescent="0.3">
      <c r="C5038" s="35">
        <f t="shared" si="79"/>
        <v>0</v>
      </c>
      <c r="D5038" s="30" t="str">
        <f>IFERROR(VLOOKUP(C5038,소속부서!$A$2:$B$20,2,FALSE), "")</f>
        <v/>
      </c>
    </row>
    <row r="5039" spans="3:4" x14ac:dyDescent="0.3">
      <c r="C5039" s="35">
        <f t="shared" si="79"/>
        <v>0</v>
      </c>
      <c r="D5039" s="30" t="str">
        <f>IFERROR(VLOOKUP(C5039,소속부서!$A$2:$B$20,2,FALSE), "")</f>
        <v/>
      </c>
    </row>
    <row r="5040" spans="3:4" x14ac:dyDescent="0.3">
      <c r="C5040" s="35">
        <f t="shared" si="79"/>
        <v>0</v>
      </c>
      <c r="D5040" s="30" t="str">
        <f>IFERROR(VLOOKUP(C5040,소속부서!$A$2:$B$20,2,FALSE), "")</f>
        <v/>
      </c>
    </row>
    <row r="5041" spans="3:4" x14ac:dyDescent="0.3">
      <c r="C5041" s="35">
        <f t="shared" si="79"/>
        <v>0</v>
      </c>
      <c r="D5041" s="30" t="str">
        <f>IFERROR(VLOOKUP(C5041,소속부서!$A$2:$B$20,2,FALSE), "")</f>
        <v/>
      </c>
    </row>
    <row r="5042" spans="3:4" x14ac:dyDescent="0.3">
      <c r="C5042" s="35">
        <f t="shared" si="79"/>
        <v>0</v>
      </c>
      <c r="D5042" s="30" t="str">
        <f>IFERROR(VLOOKUP(C5042,소속부서!$A$2:$B$20,2,FALSE), "")</f>
        <v/>
      </c>
    </row>
    <row r="5043" spans="3:4" x14ac:dyDescent="0.3">
      <c r="C5043" s="35">
        <f t="shared" si="79"/>
        <v>0</v>
      </c>
      <c r="D5043" s="30" t="str">
        <f>IFERROR(VLOOKUP(C5043,소속부서!$A$2:$B$20,2,FALSE), "")</f>
        <v/>
      </c>
    </row>
    <row r="5044" spans="3:4" x14ac:dyDescent="0.3">
      <c r="C5044" s="35">
        <f t="shared" si="79"/>
        <v>0</v>
      </c>
      <c r="D5044" s="30" t="str">
        <f>IFERROR(VLOOKUP(C5044,소속부서!$A$2:$B$20,2,FALSE), "")</f>
        <v/>
      </c>
    </row>
    <row r="5045" spans="3:4" x14ac:dyDescent="0.3">
      <c r="C5045" s="35">
        <f t="shared" si="79"/>
        <v>0</v>
      </c>
      <c r="D5045" s="30" t="str">
        <f>IFERROR(VLOOKUP(C5045,소속부서!$A$2:$B$20,2,FALSE), "")</f>
        <v/>
      </c>
    </row>
    <row r="5046" spans="3:4" x14ac:dyDescent="0.3">
      <c r="C5046" s="35">
        <f t="shared" si="79"/>
        <v>0</v>
      </c>
      <c r="D5046" s="30" t="str">
        <f>IFERROR(VLOOKUP(C5046,소속부서!$A$2:$B$20,2,FALSE), "")</f>
        <v/>
      </c>
    </row>
    <row r="5047" spans="3:4" x14ac:dyDescent="0.3">
      <c r="C5047" s="35">
        <f t="shared" si="79"/>
        <v>0</v>
      </c>
      <c r="D5047" s="30" t="str">
        <f>IFERROR(VLOOKUP(C5047,소속부서!$A$2:$B$20,2,FALSE), "")</f>
        <v/>
      </c>
    </row>
    <row r="5048" spans="3:4" x14ac:dyDescent="0.3">
      <c r="C5048" s="35">
        <f t="shared" si="79"/>
        <v>0</v>
      </c>
      <c r="D5048" s="30" t="str">
        <f>IFERROR(VLOOKUP(C5048,소속부서!$A$2:$B$20,2,FALSE), "")</f>
        <v/>
      </c>
    </row>
    <row r="5049" spans="3:4" x14ac:dyDescent="0.3">
      <c r="C5049" s="35">
        <f t="shared" si="79"/>
        <v>0</v>
      </c>
      <c r="D5049" s="30" t="str">
        <f>IFERROR(VLOOKUP(C5049,소속부서!$A$2:$B$20,2,FALSE), "")</f>
        <v/>
      </c>
    </row>
    <row r="5050" spans="3:4" x14ac:dyDescent="0.3">
      <c r="C5050" s="35">
        <f t="shared" si="79"/>
        <v>0</v>
      </c>
      <c r="D5050" s="30" t="str">
        <f>IFERROR(VLOOKUP(C5050,소속부서!$A$2:$B$20,2,FALSE), "")</f>
        <v/>
      </c>
    </row>
    <row r="5051" spans="3:4" x14ac:dyDescent="0.3">
      <c r="C5051" s="35">
        <f t="shared" si="79"/>
        <v>0</v>
      </c>
      <c r="D5051" s="30" t="str">
        <f>IFERROR(VLOOKUP(C5051,소속부서!$A$2:$B$20,2,FALSE), "")</f>
        <v/>
      </c>
    </row>
    <row r="5052" spans="3:4" x14ac:dyDescent="0.3">
      <c r="C5052" s="35">
        <f t="shared" si="79"/>
        <v>0</v>
      </c>
      <c r="D5052" s="30" t="str">
        <f>IFERROR(VLOOKUP(C5052,소속부서!$A$2:$B$20,2,FALSE), "")</f>
        <v/>
      </c>
    </row>
    <row r="5053" spans="3:4" x14ac:dyDescent="0.3">
      <c r="C5053" s="35">
        <f t="shared" si="79"/>
        <v>0</v>
      </c>
      <c r="D5053" s="30" t="str">
        <f>IFERROR(VLOOKUP(C5053,소속부서!$A$2:$B$20,2,FALSE), "")</f>
        <v/>
      </c>
    </row>
    <row r="5054" spans="3:4" x14ac:dyDescent="0.3">
      <c r="C5054" s="35">
        <f t="shared" si="79"/>
        <v>0</v>
      </c>
      <c r="D5054" s="30" t="str">
        <f>IFERROR(VLOOKUP(C5054,소속부서!$A$2:$B$20,2,FALSE), "")</f>
        <v/>
      </c>
    </row>
    <row r="5055" spans="3:4" x14ac:dyDescent="0.3">
      <c r="C5055" s="35">
        <f t="shared" si="79"/>
        <v>0</v>
      </c>
      <c r="D5055" s="30" t="str">
        <f>IFERROR(VLOOKUP(C5055,소속부서!$A$2:$B$20,2,FALSE), "")</f>
        <v/>
      </c>
    </row>
    <row r="5056" spans="3:4" x14ac:dyDescent="0.3">
      <c r="C5056" s="35">
        <f t="shared" si="79"/>
        <v>0</v>
      </c>
      <c r="D5056" s="30" t="str">
        <f>IFERROR(VLOOKUP(C5056,소속부서!$A$2:$B$20,2,FALSE), "")</f>
        <v/>
      </c>
    </row>
    <row r="5057" spans="3:4" x14ac:dyDescent="0.3">
      <c r="C5057" s="35">
        <f t="shared" si="79"/>
        <v>0</v>
      </c>
      <c r="D5057" s="30" t="str">
        <f>IFERROR(VLOOKUP(C5057,소속부서!$A$2:$B$20,2,FALSE), "")</f>
        <v/>
      </c>
    </row>
    <row r="5058" spans="3:4" x14ac:dyDescent="0.3">
      <c r="C5058" s="35">
        <f t="shared" si="79"/>
        <v>0</v>
      </c>
      <c r="D5058" s="30" t="str">
        <f>IFERROR(VLOOKUP(C5058,소속부서!$A$2:$B$20,2,FALSE), "")</f>
        <v/>
      </c>
    </row>
    <row r="5059" spans="3:4" x14ac:dyDescent="0.3">
      <c r="C5059" s="35">
        <f t="shared" si="79"/>
        <v>0</v>
      </c>
      <c r="D5059" s="30" t="str">
        <f>IFERROR(VLOOKUP(C5059,소속부서!$A$2:$B$20,2,FALSE), "")</f>
        <v/>
      </c>
    </row>
    <row r="5060" spans="3:4" x14ac:dyDescent="0.3">
      <c r="C5060" s="35">
        <f t="shared" ref="C5060:C5123" si="80">E5060</f>
        <v>0</v>
      </c>
      <c r="D5060" s="30" t="str">
        <f>IFERROR(VLOOKUP(C5060,소속부서!$A$2:$B$20,2,FALSE), "")</f>
        <v/>
      </c>
    </row>
    <row r="5061" spans="3:4" x14ac:dyDescent="0.3">
      <c r="C5061" s="35">
        <f t="shared" si="80"/>
        <v>0</v>
      </c>
      <c r="D5061" s="30" t="str">
        <f>IFERROR(VLOOKUP(C5061,소속부서!$A$2:$B$20,2,FALSE), "")</f>
        <v/>
      </c>
    </row>
    <row r="5062" spans="3:4" x14ac:dyDescent="0.3">
      <c r="C5062" s="35">
        <f t="shared" si="80"/>
        <v>0</v>
      </c>
      <c r="D5062" s="30" t="str">
        <f>IFERROR(VLOOKUP(C5062,소속부서!$A$2:$B$20,2,FALSE), "")</f>
        <v/>
      </c>
    </row>
    <row r="5063" spans="3:4" x14ac:dyDescent="0.3">
      <c r="C5063" s="35">
        <f t="shared" si="80"/>
        <v>0</v>
      </c>
      <c r="D5063" s="30" t="str">
        <f>IFERROR(VLOOKUP(C5063,소속부서!$A$2:$B$20,2,FALSE), "")</f>
        <v/>
      </c>
    </row>
    <row r="5064" spans="3:4" x14ac:dyDescent="0.3">
      <c r="C5064" s="35">
        <f t="shared" si="80"/>
        <v>0</v>
      </c>
      <c r="D5064" s="30" t="str">
        <f>IFERROR(VLOOKUP(C5064,소속부서!$A$2:$B$20,2,FALSE), "")</f>
        <v/>
      </c>
    </row>
    <row r="5065" spans="3:4" x14ac:dyDescent="0.3">
      <c r="C5065" s="35">
        <f t="shared" si="80"/>
        <v>0</v>
      </c>
      <c r="D5065" s="30" t="str">
        <f>IFERROR(VLOOKUP(C5065,소속부서!$A$2:$B$20,2,FALSE), "")</f>
        <v/>
      </c>
    </row>
    <row r="5066" spans="3:4" x14ac:dyDescent="0.3">
      <c r="C5066" s="35">
        <f t="shared" si="80"/>
        <v>0</v>
      </c>
      <c r="D5066" s="30" t="str">
        <f>IFERROR(VLOOKUP(C5066,소속부서!$A$2:$B$20,2,FALSE), "")</f>
        <v/>
      </c>
    </row>
    <row r="5067" spans="3:4" x14ac:dyDescent="0.3">
      <c r="C5067" s="35">
        <f t="shared" si="80"/>
        <v>0</v>
      </c>
      <c r="D5067" s="30" t="str">
        <f>IFERROR(VLOOKUP(C5067,소속부서!$A$2:$B$20,2,FALSE), "")</f>
        <v/>
      </c>
    </row>
    <row r="5068" spans="3:4" x14ac:dyDescent="0.3">
      <c r="C5068" s="35">
        <f t="shared" si="80"/>
        <v>0</v>
      </c>
      <c r="D5068" s="30" t="str">
        <f>IFERROR(VLOOKUP(C5068,소속부서!$A$2:$B$20,2,FALSE), "")</f>
        <v/>
      </c>
    </row>
    <row r="5069" spans="3:4" x14ac:dyDescent="0.3">
      <c r="C5069" s="35">
        <f t="shared" si="80"/>
        <v>0</v>
      </c>
      <c r="D5069" s="30" t="str">
        <f>IFERROR(VLOOKUP(C5069,소속부서!$A$2:$B$20,2,FALSE), "")</f>
        <v/>
      </c>
    </row>
    <row r="5070" spans="3:4" x14ac:dyDescent="0.3">
      <c r="C5070" s="35">
        <f t="shared" si="80"/>
        <v>0</v>
      </c>
      <c r="D5070" s="30" t="str">
        <f>IFERROR(VLOOKUP(C5070,소속부서!$A$2:$B$20,2,FALSE), "")</f>
        <v/>
      </c>
    </row>
    <row r="5071" spans="3:4" x14ac:dyDescent="0.3">
      <c r="C5071" s="35">
        <f t="shared" si="80"/>
        <v>0</v>
      </c>
      <c r="D5071" s="30" t="str">
        <f>IFERROR(VLOOKUP(C5071,소속부서!$A$2:$B$20,2,FALSE), "")</f>
        <v/>
      </c>
    </row>
    <row r="5072" spans="3:4" x14ac:dyDescent="0.3">
      <c r="C5072" s="35">
        <f t="shared" si="80"/>
        <v>0</v>
      </c>
      <c r="D5072" s="30" t="str">
        <f>IFERROR(VLOOKUP(C5072,소속부서!$A$2:$B$20,2,FALSE), "")</f>
        <v/>
      </c>
    </row>
    <row r="5073" spans="3:4" x14ac:dyDescent="0.3">
      <c r="C5073" s="35">
        <f t="shared" si="80"/>
        <v>0</v>
      </c>
      <c r="D5073" s="30" t="str">
        <f>IFERROR(VLOOKUP(C5073,소속부서!$A$2:$B$20,2,FALSE), "")</f>
        <v/>
      </c>
    </row>
    <row r="5074" spans="3:4" x14ac:dyDescent="0.3">
      <c r="C5074" s="35">
        <f t="shared" si="80"/>
        <v>0</v>
      </c>
      <c r="D5074" s="30" t="str">
        <f>IFERROR(VLOOKUP(C5074,소속부서!$A$2:$B$20,2,FALSE), "")</f>
        <v/>
      </c>
    </row>
    <row r="5075" spans="3:4" x14ac:dyDescent="0.3">
      <c r="C5075" s="35">
        <f t="shared" si="80"/>
        <v>0</v>
      </c>
      <c r="D5075" s="30" t="str">
        <f>IFERROR(VLOOKUP(C5075,소속부서!$A$2:$B$20,2,FALSE), "")</f>
        <v/>
      </c>
    </row>
    <row r="5076" spans="3:4" x14ac:dyDescent="0.3">
      <c r="C5076" s="35">
        <f t="shared" si="80"/>
        <v>0</v>
      </c>
      <c r="D5076" s="30" t="str">
        <f>IFERROR(VLOOKUP(C5076,소속부서!$A$2:$B$20,2,FALSE), "")</f>
        <v/>
      </c>
    </row>
    <row r="5077" spans="3:4" x14ac:dyDescent="0.3">
      <c r="C5077" s="35">
        <f t="shared" si="80"/>
        <v>0</v>
      </c>
      <c r="D5077" s="30" t="str">
        <f>IFERROR(VLOOKUP(C5077,소속부서!$A$2:$B$20,2,FALSE), "")</f>
        <v/>
      </c>
    </row>
    <row r="5078" spans="3:4" x14ac:dyDescent="0.3">
      <c r="C5078" s="35">
        <f t="shared" si="80"/>
        <v>0</v>
      </c>
      <c r="D5078" s="30" t="str">
        <f>IFERROR(VLOOKUP(C5078,소속부서!$A$2:$B$20,2,FALSE), "")</f>
        <v/>
      </c>
    </row>
    <row r="5079" spans="3:4" x14ac:dyDescent="0.3">
      <c r="C5079" s="35">
        <f t="shared" si="80"/>
        <v>0</v>
      </c>
      <c r="D5079" s="30" t="str">
        <f>IFERROR(VLOOKUP(C5079,소속부서!$A$2:$B$20,2,FALSE), "")</f>
        <v/>
      </c>
    </row>
    <row r="5080" spans="3:4" x14ac:dyDescent="0.3">
      <c r="C5080" s="35">
        <f t="shared" si="80"/>
        <v>0</v>
      </c>
      <c r="D5080" s="30" t="str">
        <f>IFERROR(VLOOKUP(C5080,소속부서!$A$2:$B$20,2,FALSE), "")</f>
        <v/>
      </c>
    </row>
    <row r="5081" spans="3:4" x14ac:dyDescent="0.3">
      <c r="C5081" s="35">
        <f t="shared" si="80"/>
        <v>0</v>
      </c>
      <c r="D5081" s="30" t="str">
        <f>IFERROR(VLOOKUP(C5081,소속부서!$A$2:$B$20,2,FALSE), "")</f>
        <v/>
      </c>
    </row>
    <row r="5082" spans="3:4" x14ac:dyDescent="0.3">
      <c r="C5082" s="35">
        <f t="shared" si="80"/>
        <v>0</v>
      </c>
      <c r="D5082" s="30" t="str">
        <f>IFERROR(VLOOKUP(C5082,소속부서!$A$2:$B$20,2,FALSE), "")</f>
        <v/>
      </c>
    </row>
    <row r="5083" spans="3:4" x14ac:dyDescent="0.3">
      <c r="C5083" s="35">
        <f t="shared" si="80"/>
        <v>0</v>
      </c>
      <c r="D5083" s="30" t="str">
        <f>IFERROR(VLOOKUP(C5083,소속부서!$A$2:$B$20,2,FALSE), "")</f>
        <v/>
      </c>
    </row>
    <row r="5084" spans="3:4" x14ac:dyDescent="0.3">
      <c r="C5084" s="35">
        <f t="shared" si="80"/>
        <v>0</v>
      </c>
      <c r="D5084" s="30" t="str">
        <f>IFERROR(VLOOKUP(C5084,소속부서!$A$2:$B$20,2,FALSE), "")</f>
        <v/>
      </c>
    </row>
    <row r="5085" spans="3:4" x14ac:dyDescent="0.3">
      <c r="C5085" s="35">
        <f t="shared" si="80"/>
        <v>0</v>
      </c>
      <c r="D5085" s="30" t="str">
        <f>IFERROR(VLOOKUP(C5085,소속부서!$A$2:$B$20,2,FALSE), "")</f>
        <v/>
      </c>
    </row>
    <row r="5086" spans="3:4" x14ac:dyDescent="0.3">
      <c r="C5086" s="35">
        <f t="shared" si="80"/>
        <v>0</v>
      </c>
      <c r="D5086" s="30" t="str">
        <f>IFERROR(VLOOKUP(C5086,소속부서!$A$2:$B$20,2,FALSE), "")</f>
        <v/>
      </c>
    </row>
    <row r="5087" spans="3:4" x14ac:dyDescent="0.3">
      <c r="C5087" s="35">
        <f t="shared" si="80"/>
        <v>0</v>
      </c>
      <c r="D5087" s="30" t="str">
        <f>IFERROR(VLOOKUP(C5087,소속부서!$A$2:$B$20,2,FALSE), "")</f>
        <v/>
      </c>
    </row>
    <row r="5088" spans="3:4" x14ac:dyDescent="0.3">
      <c r="C5088" s="35">
        <f t="shared" si="80"/>
        <v>0</v>
      </c>
      <c r="D5088" s="30" t="str">
        <f>IFERROR(VLOOKUP(C5088,소속부서!$A$2:$B$20,2,FALSE), "")</f>
        <v/>
      </c>
    </row>
    <row r="5089" spans="3:4" x14ac:dyDescent="0.3">
      <c r="C5089" s="35">
        <f t="shared" si="80"/>
        <v>0</v>
      </c>
      <c r="D5089" s="30" t="str">
        <f>IFERROR(VLOOKUP(C5089,소속부서!$A$2:$B$20,2,FALSE), "")</f>
        <v/>
      </c>
    </row>
    <row r="5090" spans="3:4" x14ac:dyDescent="0.3">
      <c r="C5090" s="35">
        <f t="shared" si="80"/>
        <v>0</v>
      </c>
      <c r="D5090" s="30" t="str">
        <f>IFERROR(VLOOKUP(C5090,소속부서!$A$2:$B$20,2,FALSE), "")</f>
        <v/>
      </c>
    </row>
    <row r="5091" spans="3:4" x14ac:dyDescent="0.3">
      <c r="C5091" s="35">
        <f t="shared" si="80"/>
        <v>0</v>
      </c>
      <c r="D5091" s="30" t="str">
        <f>IFERROR(VLOOKUP(C5091,소속부서!$A$2:$B$20,2,FALSE), "")</f>
        <v/>
      </c>
    </row>
    <row r="5092" spans="3:4" x14ac:dyDescent="0.3">
      <c r="C5092" s="35">
        <f t="shared" si="80"/>
        <v>0</v>
      </c>
      <c r="D5092" s="30" t="str">
        <f>IFERROR(VLOOKUP(C5092,소속부서!$A$2:$B$20,2,FALSE), "")</f>
        <v/>
      </c>
    </row>
    <row r="5093" spans="3:4" x14ac:dyDescent="0.3">
      <c r="C5093" s="35">
        <f t="shared" si="80"/>
        <v>0</v>
      </c>
      <c r="D5093" s="30" t="str">
        <f>IFERROR(VLOOKUP(C5093,소속부서!$A$2:$B$20,2,FALSE), "")</f>
        <v/>
      </c>
    </row>
    <row r="5094" spans="3:4" x14ac:dyDescent="0.3">
      <c r="C5094" s="35">
        <f t="shared" si="80"/>
        <v>0</v>
      </c>
      <c r="D5094" s="30" t="str">
        <f>IFERROR(VLOOKUP(C5094,소속부서!$A$2:$B$20,2,FALSE), "")</f>
        <v/>
      </c>
    </row>
    <row r="5095" spans="3:4" x14ac:dyDescent="0.3">
      <c r="C5095" s="35">
        <f t="shared" si="80"/>
        <v>0</v>
      </c>
      <c r="D5095" s="30" t="str">
        <f>IFERROR(VLOOKUP(C5095,소속부서!$A$2:$B$20,2,FALSE), "")</f>
        <v/>
      </c>
    </row>
    <row r="5096" spans="3:4" x14ac:dyDescent="0.3">
      <c r="C5096" s="35">
        <f t="shared" si="80"/>
        <v>0</v>
      </c>
      <c r="D5096" s="30" t="str">
        <f>IFERROR(VLOOKUP(C5096,소속부서!$A$2:$B$20,2,FALSE), "")</f>
        <v/>
      </c>
    </row>
    <row r="5097" spans="3:4" x14ac:dyDescent="0.3">
      <c r="C5097" s="35">
        <f t="shared" si="80"/>
        <v>0</v>
      </c>
      <c r="D5097" s="30" t="str">
        <f>IFERROR(VLOOKUP(C5097,소속부서!$A$2:$B$20,2,FALSE), "")</f>
        <v/>
      </c>
    </row>
    <row r="5098" spans="3:4" x14ac:dyDescent="0.3">
      <c r="C5098" s="35">
        <f t="shared" si="80"/>
        <v>0</v>
      </c>
      <c r="D5098" s="30" t="str">
        <f>IFERROR(VLOOKUP(C5098,소속부서!$A$2:$B$20,2,FALSE), "")</f>
        <v/>
      </c>
    </row>
    <row r="5099" spans="3:4" x14ac:dyDescent="0.3">
      <c r="C5099" s="35">
        <f t="shared" si="80"/>
        <v>0</v>
      </c>
      <c r="D5099" s="30" t="str">
        <f>IFERROR(VLOOKUP(C5099,소속부서!$A$2:$B$20,2,FALSE), "")</f>
        <v/>
      </c>
    </row>
    <row r="5100" spans="3:4" x14ac:dyDescent="0.3">
      <c r="C5100" s="35">
        <f t="shared" si="80"/>
        <v>0</v>
      </c>
      <c r="D5100" s="30" t="str">
        <f>IFERROR(VLOOKUP(C5100,소속부서!$A$2:$B$20,2,FALSE), "")</f>
        <v/>
      </c>
    </row>
    <row r="5101" spans="3:4" x14ac:dyDescent="0.3">
      <c r="C5101" s="35">
        <f t="shared" si="80"/>
        <v>0</v>
      </c>
      <c r="D5101" s="30" t="str">
        <f>IFERROR(VLOOKUP(C5101,소속부서!$A$2:$B$20,2,FALSE), "")</f>
        <v/>
      </c>
    </row>
    <row r="5102" spans="3:4" x14ac:dyDescent="0.3">
      <c r="C5102" s="35">
        <f t="shared" si="80"/>
        <v>0</v>
      </c>
      <c r="D5102" s="30" t="str">
        <f>IFERROR(VLOOKUP(C5102,소속부서!$A$2:$B$20,2,FALSE), "")</f>
        <v/>
      </c>
    </row>
    <row r="5103" spans="3:4" x14ac:dyDescent="0.3">
      <c r="C5103" s="35">
        <f t="shared" si="80"/>
        <v>0</v>
      </c>
      <c r="D5103" s="30" t="str">
        <f>IFERROR(VLOOKUP(C5103,소속부서!$A$2:$B$20,2,FALSE), "")</f>
        <v/>
      </c>
    </row>
    <row r="5104" spans="3:4" x14ac:dyDescent="0.3">
      <c r="C5104" s="35">
        <f t="shared" si="80"/>
        <v>0</v>
      </c>
      <c r="D5104" s="30" t="str">
        <f>IFERROR(VLOOKUP(C5104,소속부서!$A$2:$B$20,2,FALSE), "")</f>
        <v/>
      </c>
    </row>
    <row r="5105" spans="3:4" x14ac:dyDescent="0.3">
      <c r="C5105" s="35">
        <f t="shared" si="80"/>
        <v>0</v>
      </c>
      <c r="D5105" s="30" t="str">
        <f>IFERROR(VLOOKUP(C5105,소속부서!$A$2:$B$20,2,FALSE), "")</f>
        <v/>
      </c>
    </row>
    <row r="5106" spans="3:4" x14ac:dyDescent="0.3">
      <c r="C5106" s="35">
        <f t="shared" si="80"/>
        <v>0</v>
      </c>
      <c r="D5106" s="30" t="str">
        <f>IFERROR(VLOOKUP(C5106,소속부서!$A$2:$B$20,2,FALSE), "")</f>
        <v/>
      </c>
    </row>
    <row r="5107" spans="3:4" x14ac:dyDescent="0.3">
      <c r="C5107" s="35">
        <f t="shared" si="80"/>
        <v>0</v>
      </c>
      <c r="D5107" s="30" t="str">
        <f>IFERROR(VLOOKUP(C5107,소속부서!$A$2:$B$20,2,FALSE), "")</f>
        <v/>
      </c>
    </row>
    <row r="5108" spans="3:4" x14ac:dyDescent="0.3">
      <c r="C5108" s="35">
        <f t="shared" si="80"/>
        <v>0</v>
      </c>
      <c r="D5108" s="30" t="str">
        <f>IFERROR(VLOOKUP(C5108,소속부서!$A$2:$B$20,2,FALSE), "")</f>
        <v/>
      </c>
    </row>
    <row r="5109" spans="3:4" x14ac:dyDescent="0.3">
      <c r="C5109" s="35">
        <f t="shared" si="80"/>
        <v>0</v>
      </c>
      <c r="D5109" s="30" t="str">
        <f>IFERROR(VLOOKUP(C5109,소속부서!$A$2:$B$20,2,FALSE), "")</f>
        <v/>
      </c>
    </row>
    <row r="5110" spans="3:4" x14ac:dyDescent="0.3">
      <c r="C5110" s="35">
        <f t="shared" si="80"/>
        <v>0</v>
      </c>
      <c r="D5110" s="30" t="str">
        <f>IFERROR(VLOOKUP(C5110,소속부서!$A$2:$B$20,2,FALSE), "")</f>
        <v/>
      </c>
    </row>
    <row r="5111" spans="3:4" x14ac:dyDescent="0.3">
      <c r="C5111" s="35">
        <f t="shared" si="80"/>
        <v>0</v>
      </c>
      <c r="D5111" s="30" t="str">
        <f>IFERROR(VLOOKUP(C5111,소속부서!$A$2:$B$20,2,FALSE), "")</f>
        <v/>
      </c>
    </row>
    <row r="5112" spans="3:4" x14ac:dyDescent="0.3">
      <c r="C5112" s="35">
        <f t="shared" si="80"/>
        <v>0</v>
      </c>
      <c r="D5112" s="30" t="str">
        <f>IFERROR(VLOOKUP(C5112,소속부서!$A$2:$B$20,2,FALSE), "")</f>
        <v/>
      </c>
    </row>
    <row r="5113" spans="3:4" x14ac:dyDescent="0.3">
      <c r="C5113" s="35">
        <f t="shared" si="80"/>
        <v>0</v>
      </c>
      <c r="D5113" s="30" t="str">
        <f>IFERROR(VLOOKUP(C5113,소속부서!$A$2:$B$20,2,FALSE), "")</f>
        <v/>
      </c>
    </row>
    <row r="5114" spans="3:4" x14ac:dyDescent="0.3">
      <c r="C5114" s="35">
        <f t="shared" si="80"/>
        <v>0</v>
      </c>
      <c r="D5114" s="30" t="str">
        <f>IFERROR(VLOOKUP(C5114,소속부서!$A$2:$B$20,2,FALSE), "")</f>
        <v/>
      </c>
    </row>
    <row r="5115" spans="3:4" x14ac:dyDescent="0.3">
      <c r="C5115" s="35">
        <f t="shared" si="80"/>
        <v>0</v>
      </c>
      <c r="D5115" s="30" t="str">
        <f>IFERROR(VLOOKUP(C5115,소속부서!$A$2:$B$20,2,FALSE), "")</f>
        <v/>
      </c>
    </row>
    <row r="5116" spans="3:4" x14ac:dyDescent="0.3">
      <c r="C5116" s="35">
        <f t="shared" si="80"/>
        <v>0</v>
      </c>
      <c r="D5116" s="30" t="str">
        <f>IFERROR(VLOOKUP(C5116,소속부서!$A$2:$B$20,2,FALSE), "")</f>
        <v/>
      </c>
    </row>
    <row r="5117" spans="3:4" x14ac:dyDescent="0.3">
      <c r="C5117" s="35">
        <f t="shared" si="80"/>
        <v>0</v>
      </c>
      <c r="D5117" s="30" t="str">
        <f>IFERROR(VLOOKUP(C5117,소속부서!$A$2:$B$20,2,FALSE), "")</f>
        <v/>
      </c>
    </row>
    <row r="5118" spans="3:4" x14ac:dyDescent="0.3">
      <c r="C5118" s="35">
        <f t="shared" si="80"/>
        <v>0</v>
      </c>
      <c r="D5118" s="30" t="str">
        <f>IFERROR(VLOOKUP(C5118,소속부서!$A$2:$B$20,2,FALSE), "")</f>
        <v/>
      </c>
    </row>
    <row r="5119" spans="3:4" x14ac:dyDescent="0.3">
      <c r="C5119" s="35">
        <f t="shared" si="80"/>
        <v>0</v>
      </c>
      <c r="D5119" s="30" t="str">
        <f>IFERROR(VLOOKUP(C5119,소속부서!$A$2:$B$20,2,FALSE), "")</f>
        <v/>
      </c>
    </row>
    <row r="5120" spans="3:4" x14ac:dyDescent="0.3">
      <c r="C5120" s="35">
        <f t="shared" si="80"/>
        <v>0</v>
      </c>
      <c r="D5120" s="30" t="str">
        <f>IFERROR(VLOOKUP(C5120,소속부서!$A$2:$B$20,2,FALSE), "")</f>
        <v/>
      </c>
    </row>
    <row r="5121" spans="3:4" x14ac:dyDescent="0.3">
      <c r="C5121" s="35">
        <f t="shared" si="80"/>
        <v>0</v>
      </c>
      <c r="D5121" s="30" t="str">
        <f>IFERROR(VLOOKUP(C5121,소속부서!$A$2:$B$20,2,FALSE), "")</f>
        <v/>
      </c>
    </row>
    <row r="5122" spans="3:4" x14ac:dyDescent="0.3">
      <c r="C5122" s="35">
        <f t="shared" si="80"/>
        <v>0</v>
      </c>
      <c r="D5122" s="30" t="str">
        <f>IFERROR(VLOOKUP(C5122,소속부서!$A$2:$B$20,2,FALSE), "")</f>
        <v/>
      </c>
    </row>
    <row r="5123" spans="3:4" x14ac:dyDescent="0.3">
      <c r="C5123" s="35">
        <f t="shared" si="80"/>
        <v>0</v>
      </c>
      <c r="D5123" s="30" t="str">
        <f>IFERROR(VLOOKUP(C5123,소속부서!$A$2:$B$20,2,FALSE), "")</f>
        <v/>
      </c>
    </row>
    <row r="5124" spans="3:4" x14ac:dyDescent="0.3">
      <c r="C5124" s="35">
        <f t="shared" ref="C5124:C5187" si="81">E5124</f>
        <v>0</v>
      </c>
      <c r="D5124" s="30" t="str">
        <f>IFERROR(VLOOKUP(C5124,소속부서!$A$2:$B$20,2,FALSE), "")</f>
        <v/>
      </c>
    </row>
    <row r="5125" spans="3:4" x14ac:dyDescent="0.3">
      <c r="C5125" s="35">
        <f t="shared" si="81"/>
        <v>0</v>
      </c>
      <c r="D5125" s="30" t="str">
        <f>IFERROR(VLOOKUP(C5125,소속부서!$A$2:$B$20,2,FALSE), "")</f>
        <v/>
      </c>
    </row>
    <row r="5126" spans="3:4" x14ac:dyDescent="0.3">
      <c r="C5126" s="35">
        <f t="shared" si="81"/>
        <v>0</v>
      </c>
      <c r="D5126" s="30" t="str">
        <f>IFERROR(VLOOKUP(C5126,소속부서!$A$2:$B$20,2,FALSE), "")</f>
        <v/>
      </c>
    </row>
    <row r="5127" spans="3:4" x14ac:dyDescent="0.3">
      <c r="C5127" s="35">
        <f t="shared" si="81"/>
        <v>0</v>
      </c>
      <c r="D5127" s="30" t="str">
        <f>IFERROR(VLOOKUP(C5127,소속부서!$A$2:$B$20,2,FALSE), "")</f>
        <v/>
      </c>
    </row>
    <row r="5128" spans="3:4" x14ac:dyDescent="0.3">
      <c r="C5128" s="35">
        <f t="shared" si="81"/>
        <v>0</v>
      </c>
      <c r="D5128" s="30" t="str">
        <f>IFERROR(VLOOKUP(C5128,소속부서!$A$2:$B$20,2,FALSE), "")</f>
        <v/>
      </c>
    </row>
    <row r="5129" spans="3:4" x14ac:dyDescent="0.3">
      <c r="C5129" s="35">
        <f t="shared" si="81"/>
        <v>0</v>
      </c>
      <c r="D5129" s="30" t="str">
        <f>IFERROR(VLOOKUP(C5129,소속부서!$A$2:$B$20,2,FALSE), "")</f>
        <v/>
      </c>
    </row>
    <row r="5130" spans="3:4" x14ac:dyDescent="0.3">
      <c r="C5130" s="35">
        <f t="shared" si="81"/>
        <v>0</v>
      </c>
      <c r="D5130" s="30" t="str">
        <f>IFERROR(VLOOKUP(C5130,소속부서!$A$2:$B$20,2,FALSE), "")</f>
        <v/>
      </c>
    </row>
    <row r="5131" spans="3:4" x14ac:dyDescent="0.3">
      <c r="C5131" s="35">
        <f t="shared" si="81"/>
        <v>0</v>
      </c>
      <c r="D5131" s="30" t="str">
        <f>IFERROR(VLOOKUP(C5131,소속부서!$A$2:$B$20,2,FALSE), "")</f>
        <v/>
      </c>
    </row>
    <row r="5132" spans="3:4" x14ac:dyDescent="0.3">
      <c r="C5132" s="35">
        <f t="shared" si="81"/>
        <v>0</v>
      </c>
      <c r="D5132" s="30" t="str">
        <f>IFERROR(VLOOKUP(C5132,소속부서!$A$2:$B$20,2,FALSE), "")</f>
        <v/>
      </c>
    </row>
    <row r="5133" spans="3:4" x14ac:dyDescent="0.3">
      <c r="C5133" s="35">
        <f t="shared" si="81"/>
        <v>0</v>
      </c>
      <c r="D5133" s="30" t="str">
        <f>IFERROR(VLOOKUP(C5133,소속부서!$A$2:$B$20,2,FALSE), "")</f>
        <v/>
      </c>
    </row>
    <row r="5134" spans="3:4" x14ac:dyDescent="0.3">
      <c r="C5134" s="35">
        <f t="shared" si="81"/>
        <v>0</v>
      </c>
      <c r="D5134" s="30" t="str">
        <f>IFERROR(VLOOKUP(C5134,소속부서!$A$2:$B$20,2,FALSE), "")</f>
        <v/>
      </c>
    </row>
    <row r="5135" spans="3:4" x14ac:dyDescent="0.3">
      <c r="C5135" s="35">
        <f t="shared" si="81"/>
        <v>0</v>
      </c>
      <c r="D5135" s="30" t="str">
        <f>IFERROR(VLOOKUP(C5135,소속부서!$A$2:$B$20,2,FALSE), "")</f>
        <v/>
      </c>
    </row>
    <row r="5136" spans="3:4" x14ac:dyDescent="0.3">
      <c r="C5136" s="35">
        <f t="shared" si="81"/>
        <v>0</v>
      </c>
      <c r="D5136" s="30" t="str">
        <f>IFERROR(VLOOKUP(C5136,소속부서!$A$2:$B$20,2,FALSE), "")</f>
        <v/>
      </c>
    </row>
    <row r="5137" spans="3:4" x14ac:dyDescent="0.3">
      <c r="C5137" s="35">
        <f t="shared" si="81"/>
        <v>0</v>
      </c>
      <c r="D5137" s="30" t="str">
        <f>IFERROR(VLOOKUP(C5137,소속부서!$A$2:$B$20,2,FALSE), "")</f>
        <v/>
      </c>
    </row>
    <row r="5138" spans="3:4" x14ac:dyDescent="0.3">
      <c r="C5138" s="35">
        <f t="shared" si="81"/>
        <v>0</v>
      </c>
      <c r="D5138" s="30" t="str">
        <f>IFERROR(VLOOKUP(C5138,소속부서!$A$2:$B$20,2,FALSE), "")</f>
        <v/>
      </c>
    </row>
    <row r="5139" spans="3:4" x14ac:dyDescent="0.3">
      <c r="C5139" s="35">
        <f t="shared" si="81"/>
        <v>0</v>
      </c>
      <c r="D5139" s="30" t="str">
        <f>IFERROR(VLOOKUP(C5139,소속부서!$A$2:$B$20,2,FALSE), "")</f>
        <v/>
      </c>
    </row>
    <row r="5140" spans="3:4" x14ac:dyDescent="0.3">
      <c r="C5140" s="35">
        <f t="shared" si="81"/>
        <v>0</v>
      </c>
      <c r="D5140" s="30" t="str">
        <f>IFERROR(VLOOKUP(C5140,소속부서!$A$2:$B$20,2,FALSE), "")</f>
        <v/>
      </c>
    </row>
    <row r="5141" spans="3:4" x14ac:dyDescent="0.3">
      <c r="C5141" s="35">
        <f t="shared" si="81"/>
        <v>0</v>
      </c>
      <c r="D5141" s="30" t="str">
        <f>IFERROR(VLOOKUP(C5141,소속부서!$A$2:$B$20,2,FALSE), "")</f>
        <v/>
      </c>
    </row>
    <row r="5142" spans="3:4" x14ac:dyDescent="0.3">
      <c r="C5142" s="35">
        <f t="shared" si="81"/>
        <v>0</v>
      </c>
      <c r="D5142" s="30" t="str">
        <f>IFERROR(VLOOKUP(C5142,소속부서!$A$2:$B$20,2,FALSE), "")</f>
        <v/>
      </c>
    </row>
    <row r="5143" spans="3:4" x14ac:dyDescent="0.3">
      <c r="C5143" s="35">
        <f t="shared" si="81"/>
        <v>0</v>
      </c>
      <c r="D5143" s="30" t="str">
        <f>IFERROR(VLOOKUP(C5143,소속부서!$A$2:$B$20,2,FALSE), "")</f>
        <v/>
      </c>
    </row>
    <row r="5144" spans="3:4" x14ac:dyDescent="0.3">
      <c r="C5144" s="35">
        <f t="shared" si="81"/>
        <v>0</v>
      </c>
      <c r="D5144" s="30" t="str">
        <f>IFERROR(VLOOKUP(C5144,소속부서!$A$2:$B$20,2,FALSE), "")</f>
        <v/>
      </c>
    </row>
    <row r="5145" spans="3:4" x14ac:dyDescent="0.3">
      <c r="C5145" s="35">
        <f t="shared" si="81"/>
        <v>0</v>
      </c>
      <c r="D5145" s="30" t="str">
        <f>IFERROR(VLOOKUP(C5145,소속부서!$A$2:$B$20,2,FALSE), "")</f>
        <v/>
      </c>
    </row>
    <row r="5146" spans="3:4" x14ac:dyDescent="0.3">
      <c r="C5146" s="35">
        <f t="shared" si="81"/>
        <v>0</v>
      </c>
      <c r="D5146" s="30" t="str">
        <f>IFERROR(VLOOKUP(C5146,소속부서!$A$2:$B$20,2,FALSE), "")</f>
        <v/>
      </c>
    </row>
    <row r="5147" spans="3:4" x14ac:dyDescent="0.3">
      <c r="C5147" s="35">
        <f t="shared" si="81"/>
        <v>0</v>
      </c>
      <c r="D5147" s="30" t="str">
        <f>IFERROR(VLOOKUP(C5147,소속부서!$A$2:$B$20,2,FALSE), "")</f>
        <v/>
      </c>
    </row>
    <row r="5148" spans="3:4" x14ac:dyDescent="0.3">
      <c r="C5148" s="35">
        <f t="shared" si="81"/>
        <v>0</v>
      </c>
      <c r="D5148" s="30" t="str">
        <f>IFERROR(VLOOKUP(C5148,소속부서!$A$2:$B$20,2,FALSE), "")</f>
        <v/>
      </c>
    </row>
    <row r="5149" spans="3:4" x14ac:dyDescent="0.3">
      <c r="C5149" s="35">
        <f t="shared" si="81"/>
        <v>0</v>
      </c>
      <c r="D5149" s="30" t="str">
        <f>IFERROR(VLOOKUP(C5149,소속부서!$A$2:$B$20,2,FALSE), "")</f>
        <v/>
      </c>
    </row>
    <row r="5150" spans="3:4" x14ac:dyDescent="0.3">
      <c r="C5150" s="35">
        <f t="shared" si="81"/>
        <v>0</v>
      </c>
      <c r="D5150" s="30" t="str">
        <f>IFERROR(VLOOKUP(C5150,소속부서!$A$2:$B$20,2,FALSE), "")</f>
        <v/>
      </c>
    </row>
    <row r="5151" spans="3:4" x14ac:dyDescent="0.3">
      <c r="C5151" s="35">
        <f t="shared" si="81"/>
        <v>0</v>
      </c>
      <c r="D5151" s="30" t="str">
        <f>IFERROR(VLOOKUP(C5151,소속부서!$A$2:$B$20,2,FALSE), "")</f>
        <v/>
      </c>
    </row>
    <row r="5152" spans="3:4" x14ac:dyDescent="0.3">
      <c r="C5152" s="35">
        <f t="shared" si="81"/>
        <v>0</v>
      </c>
      <c r="D5152" s="30" t="str">
        <f>IFERROR(VLOOKUP(C5152,소속부서!$A$2:$B$20,2,FALSE), "")</f>
        <v/>
      </c>
    </row>
    <row r="5153" spans="3:4" x14ac:dyDescent="0.3">
      <c r="C5153" s="35">
        <f t="shared" si="81"/>
        <v>0</v>
      </c>
      <c r="D5153" s="30" t="str">
        <f>IFERROR(VLOOKUP(C5153,소속부서!$A$2:$B$20,2,FALSE), "")</f>
        <v/>
      </c>
    </row>
    <row r="5154" spans="3:4" x14ac:dyDescent="0.3">
      <c r="C5154" s="35">
        <f t="shared" si="81"/>
        <v>0</v>
      </c>
      <c r="D5154" s="30" t="str">
        <f>IFERROR(VLOOKUP(C5154,소속부서!$A$2:$B$20,2,FALSE), "")</f>
        <v/>
      </c>
    </row>
    <row r="5155" spans="3:4" x14ac:dyDescent="0.3">
      <c r="C5155" s="35">
        <f t="shared" si="81"/>
        <v>0</v>
      </c>
      <c r="D5155" s="30" t="str">
        <f>IFERROR(VLOOKUP(C5155,소속부서!$A$2:$B$20,2,FALSE), "")</f>
        <v/>
      </c>
    </row>
    <row r="5156" spans="3:4" x14ac:dyDescent="0.3">
      <c r="C5156" s="35">
        <f t="shared" si="81"/>
        <v>0</v>
      </c>
      <c r="D5156" s="30" t="str">
        <f>IFERROR(VLOOKUP(C5156,소속부서!$A$2:$B$20,2,FALSE), "")</f>
        <v/>
      </c>
    </row>
    <row r="5157" spans="3:4" x14ac:dyDescent="0.3">
      <c r="C5157" s="35">
        <f t="shared" si="81"/>
        <v>0</v>
      </c>
      <c r="D5157" s="30" t="str">
        <f>IFERROR(VLOOKUP(C5157,소속부서!$A$2:$B$20,2,FALSE), "")</f>
        <v/>
      </c>
    </row>
    <row r="5158" spans="3:4" x14ac:dyDescent="0.3">
      <c r="C5158" s="35">
        <f t="shared" si="81"/>
        <v>0</v>
      </c>
      <c r="D5158" s="30" t="str">
        <f>IFERROR(VLOOKUP(C5158,소속부서!$A$2:$B$20,2,FALSE), "")</f>
        <v/>
      </c>
    </row>
    <row r="5159" spans="3:4" x14ac:dyDescent="0.3">
      <c r="C5159" s="35">
        <f t="shared" si="81"/>
        <v>0</v>
      </c>
      <c r="D5159" s="30" t="str">
        <f>IFERROR(VLOOKUP(C5159,소속부서!$A$2:$B$20,2,FALSE), "")</f>
        <v/>
      </c>
    </row>
    <row r="5160" spans="3:4" x14ac:dyDescent="0.3">
      <c r="C5160" s="35">
        <f t="shared" si="81"/>
        <v>0</v>
      </c>
      <c r="D5160" s="30" t="str">
        <f>IFERROR(VLOOKUP(C5160,소속부서!$A$2:$B$20,2,FALSE), "")</f>
        <v/>
      </c>
    </row>
    <row r="5161" spans="3:4" x14ac:dyDescent="0.3">
      <c r="C5161" s="35">
        <f t="shared" si="81"/>
        <v>0</v>
      </c>
      <c r="D5161" s="30" t="str">
        <f>IFERROR(VLOOKUP(C5161,소속부서!$A$2:$B$20,2,FALSE), "")</f>
        <v/>
      </c>
    </row>
    <row r="5162" spans="3:4" x14ac:dyDescent="0.3">
      <c r="C5162" s="35">
        <f t="shared" si="81"/>
        <v>0</v>
      </c>
      <c r="D5162" s="30" t="str">
        <f>IFERROR(VLOOKUP(C5162,소속부서!$A$2:$B$20,2,FALSE), "")</f>
        <v/>
      </c>
    </row>
    <row r="5163" spans="3:4" x14ac:dyDescent="0.3">
      <c r="C5163" s="35">
        <f t="shared" si="81"/>
        <v>0</v>
      </c>
      <c r="D5163" s="30" t="str">
        <f>IFERROR(VLOOKUP(C5163,소속부서!$A$2:$B$20,2,FALSE), "")</f>
        <v/>
      </c>
    </row>
    <row r="5164" spans="3:4" x14ac:dyDescent="0.3">
      <c r="C5164" s="35">
        <f t="shared" si="81"/>
        <v>0</v>
      </c>
      <c r="D5164" s="30" t="str">
        <f>IFERROR(VLOOKUP(C5164,소속부서!$A$2:$B$20,2,FALSE), "")</f>
        <v/>
      </c>
    </row>
    <row r="5165" spans="3:4" x14ac:dyDescent="0.3">
      <c r="C5165" s="35">
        <f t="shared" si="81"/>
        <v>0</v>
      </c>
      <c r="D5165" s="30" t="str">
        <f>IFERROR(VLOOKUP(C5165,소속부서!$A$2:$B$20,2,FALSE), "")</f>
        <v/>
      </c>
    </row>
    <row r="5166" spans="3:4" x14ac:dyDescent="0.3">
      <c r="C5166" s="35">
        <f t="shared" si="81"/>
        <v>0</v>
      </c>
      <c r="D5166" s="30" t="str">
        <f>IFERROR(VLOOKUP(C5166,소속부서!$A$2:$B$20,2,FALSE), "")</f>
        <v/>
      </c>
    </row>
    <row r="5167" spans="3:4" x14ac:dyDescent="0.3">
      <c r="C5167" s="35">
        <f t="shared" si="81"/>
        <v>0</v>
      </c>
      <c r="D5167" s="30" t="str">
        <f>IFERROR(VLOOKUP(C5167,소속부서!$A$2:$B$20,2,FALSE), "")</f>
        <v/>
      </c>
    </row>
    <row r="5168" spans="3:4" x14ac:dyDescent="0.3">
      <c r="C5168" s="35">
        <f t="shared" si="81"/>
        <v>0</v>
      </c>
      <c r="D5168" s="30" t="str">
        <f>IFERROR(VLOOKUP(C5168,소속부서!$A$2:$B$20,2,FALSE), "")</f>
        <v/>
      </c>
    </row>
    <row r="5169" spans="3:4" x14ac:dyDescent="0.3">
      <c r="C5169" s="35">
        <f t="shared" si="81"/>
        <v>0</v>
      </c>
      <c r="D5169" s="30" t="str">
        <f>IFERROR(VLOOKUP(C5169,소속부서!$A$2:$B$20,2,FALSE), "")</f>
        <v/>
      </c>
    </row>
    <row r="5170" spans="3:4" x14ac:dyDescent="0.3">
      <c r="C5170" s="35">
        <f t="shared" si="81"/>
        <v>0</v>
      </c>
      <c r="D5170" s="30" t="str">
        <f>IFERROR(VLOOKUP(C5170,소속부서!$A$2:$B$20,2,FALSE), "")</f>
        <v/>
      </c>
    </row>
    <row r="5171" spans="3:4" x14ac:dyDescent="0.3">
      <c r="C5171" s="35">
        <f t="shared" si="81"/>
        <v>0</v>
      </c>
      <c r="D5171" s="30" t="str">
        <f>IFERROR(VLOOKUP(C5171,소속부서!$A$2:$B$20,2,FALSE), "")</f>
        <v/>
      </c>
    </row>
    <row r="5172" spans="3:4" x14ac:dyDescent="0.3">
      <c r="C5172" s="35">
        <f t="shared" si="81"/>
        <v>0</v>
      </c>
      <c r="D5172" s="30" t="str">
        <f>IFERROR(VLOOKUP(C5172,소속부서!$A$2:$B$20,2,FALSE), "")</f>
        <v/>
      </c>
    </row>
    <row r="5173" spans="3:4" x14ac:dyDescent="0.3">
      <c r="C5173" s="35">
        <f t="shared" si="81"/>
        <v>0</v>
      </c>
      <c r="D5173" s="30" t="str">
        <f>IFERROR(VLOOKUP(C5173,소속부서!$A$2:$B$20,2,FALSE), "")</f>
        <v/>
      </c>
    </row>
    <row r="5174" spans="3:4" x14ac:dyDescent="0.3">
      <c r="C5174" s="35">
        <f t="shared" si="81"/>
        <v>0</v>
      </c>
      <c r="D5174" s="30" t="str">
        <f>IFERROR(VLOOKUP(C5174,소속부서!$A$2:$B$20,2,FALSE), "")</f>
        <v/>
      </c>
    </row>
    <row r="5175" spans="3:4" x14ac:dyDescent="0.3">
      <c r="C5175" s="35">
        <f t="shared" si="81"/>
        <v>0</v>
      </c>
      <c r="D5175" s="30" t="str">
        <f>IFERROR(VLOOKUP(C5175,소속부서!$A$2:$B$20,2,FALSE), "")</f>
        <v/>
      </c>
    </row>
    <row r="5176" spans="3:4" x14ac:dyDescent="0.3">
      <c r="C5176" s="35">
        <f t="shared" si="81"/>
        <v>0</v>
      </c>
      <c r="D5176" s="30" t="str">
        <f>IFERROR(VLOOKUP(C5176,소속부서!$A$2:$B$20,2,FALSE), "")</f>
        <v/>
      </c>
    </row>
    <row r="5177" spans="3:4" x14ac:dyDescent="0.3">
      <c r="C5177" s="35">
        <f t="shared" si="81"/>
        <v>0</v>
      </c>
      <c r="D5177" s="30" t="str">
        <f>IFERROR(VLOOKUP(C5177,소속부서!$A$2:$B$20,2,FALSE), "")</f>
        <v/>
      </c>
    </row>
    <row r="5178" spans="3:4" x14ac:dyDescent="0.3">
      <c r="C5178" s="35">
        <f t="shared" si="81"/>
        <v>0</v>
      </c>
      <c r="D5178" s="30" t="str">
        <f>IFERROR(VLOOKUP(C5178,소속부서!$A$2:$B$20,2,FALSE), "")</f>
        <v/>
      </c>
    </row>
    <row r="5179" spans="3:4" x14ac:dyDescent="0.3">
      <c r="C5179" s="35">
        <f t="shared" si="81"/>
        <v>0</v>
      </c>
      <c r="D5179" s="30" t="str">
        <f>IFERROR(VLOOKUP(C5179,소속부서!$A$2:$B$20,2,FALSE), "")</f>
        <v/>
      </c>
    </row>
    <row r="5180" spans="3:4" x14ac:dyDescent="0.3">
      <c r="C5180" s="35">
        <f t="shared" si="81"/>
        <v>0</v>
      </c>
      <c r="D5180" s="30" t="str">
        <f>IFERROR(VLOOKUP(C5180,소속부서!$A$2:$B$20,2,FALSE), "")</f>
        <v/>
      </c>
    </row>
    <row r="5181" spans="3:4" x14ac:dyDescent="0.3">
      <c r="C5181" s="35">
        <f t="shared" si="81"/>
        <v>0</v>
      </c>
      <c r="D5181" s="30" t="str">
        <f>IFERROR(VLOOKUP(C5181,소속부서!$A$2:$B$20,2,FALSE), "")</f>
        <v/>
      </c>
    </row>
    <row r="5182" spans="3:4" x14ac:dyDescent="0.3">
      <c r="C5182" s="35">
        <f t="shared" si="81"/>
        <v>0</v>
      </c>
      <c r="D5182" s="30" t="str">
        <f>IFERROR(VLOOKUP(C5182,소속부서!$A$2:$B$20,2,FALSE), "")</f>
        <v/>
      </c>
    </row>
    <row r="5183" spans="3:4" x14ac:dyDescent="0.3">
      <c r="C5183" s="35">
        <f t="shared" si="81"/>
        <v>0</v>
      </c>
      <c r="D5183" s="30" t="str">
        <f>IFERROR(VLOOKUP(C5183,소속부서!$A$2:$B$20,2,FALSE), "")</f>
        <v/>
      </c>
    </row>
    <row r="5184" spans="3:4" x14ac:dyDescent="0.3">
      <c r="C5184" s="35">
        <f t="shared" si="81"/>
        <v>0</v>
      </c>
      <c r="D5184" s="30" t="str">
        <f>IFERROR(VLOOKUP(C5184,소속부서!$A$2:$B$20,2,FALSE), "")</f>
        <v/>
      </c>
    </row>
    <row r="5185" spans="3:4" x14ac:dyDescent="0.3">
      <c r="C5185" s="35">
        <f t="shared" si="81"/>
        <v>0</v>
      </c>
      <c r="D5185" s="30" t="str">
        <f>IFERROR(VLOOKUP(C5185,소속부서!$A$2:$B$20,2,FALSE), "")</f>
        <v/>
      </c>
    </row>
    <row r="5186" spans="3:4" x14ac:dyDescent="0.3">
      <c r="C5186" s="35">
        <f t="shared" si="81"/>
        <v>0</v>
      </c>
      <c r="D5186" s="30" t="str">
        <f>IFERROR(VLOOKUP(C5186,소속부서!$A$2:$B$20,2,FALSE), "")</f>
        <v/>
      </c>
    </row>
    <row r="5187" spans="3:4" x14ac:dyDescent="0.3">
      <c r="C5187" s="35">
        <f t="shared" si="81"/>
        <v>0</v>
      </c>
      <c r="D5187" s="30" t="str">
        <f>IFERROR(VLOOKUP(C5187,소속부서!$A$2:$B$20,2,FALSE), "")</f>
        <v/>
      </c>
    </row>
    <row r="5188" spans="3:4" x14ac:dyDescent="0.3">
      <c r="C5188" s="35">
        <f t="shared" ref="C5188:C5251" si="82">E5188</f>
        <v>0</v>
      </c>
      <c r="D5188" s="30" t="str">
        <f>IFERROR(VLOOKUP(C5188,소속부서!$A$2:$B$20,2,FALSE), "")</f>
        <v/>
      </c>
    </row>
    <row r="5189" spans="3:4" x14ac:dyDescent="0.3">
      <c r="C5189" s="35">
        <f t="shared" si="82"/>
        <v>0</v>
      </c>
      <c r="D5189" s="30" t="str">
        <f>IFERROR(VLOOKUP(C5189,소속부서!$A$2:$B$20,2,FALSE), "")</f>
        <v/>
      </c>
    </row>
    <row r="5190" spans="3:4" x14ac:dyDescent="0.3">
      <c r="C5190" s="35">
        <f t="shared" si="82"/>
        <v>0</v>
      </c>
      <c r="D5190" s="30" t="str">
        <f>IFERROR(VLOOKUP(C5190,소속부서!$A$2:$B$20,2,FALSE), "")</f>
        <v/>
      </c>
    </row>
    <row r="5191" spans="3:4" x14ac:dyDescent="0.3">
      <c r="C5191" s="35">
        <f t="shared" si="82"/>
        <v>0</v>
      </c>
      <c r="D5191" s="30" t="str">
        <f>IFERROR(VLOOKUP(C5191,소속부서!$A$2:$B$20,2,FALSE), "")</f>
        <v/>
      </c>
    </row>
    <row r="5192" spans="3:4" x14ac:dyDescent="0.3">
      <c r="C5192" s="35">
        <f t="shared" si="82"/>
        <v>0</v>
      </c>
      <c r="D5192" s="30" t="str">
        <f>IFERROR(VLOOKUP(C5192,소속부서!$A$2:$B$20,2,FALSE), "")</f>
        <v/>
      </c>
    </row>
    <row r="5193" spans="3:4" x14ac:dyDescent="0.3">
      <c r="C5193" s="35">
        <f t="shared" si="82"/>
        <v>0</v>
      </c>
      <c r="D5193" s="30" t="str">
        <f>IFERROR(VLOOKUP(C5193,소속부서!$A$2:$B$20,2,FALSE), "")</f>
        <v/>
      </c>
    </row>
    <row r="5194" spans="3:4" x14ac:dyDescent="0.3">
      <c r="C5194" s="35">
        <f t="shared" si="82"/>
        <v>0</v>
      </c>
      <c r="D5194" s="30" t="str">
        <f>IFERROR(VLOOKUP(C5194,소속부서!$A$2:$B$20,2,FALSE), "")</f>
        <v/>
      </c>
    </row>
    <row r="5195" spans="3:4" x14ac:dyDescent="0.3">
      <c r="C5195" s="35">
        <f t="shared" si="82"/>
        <v>0</v>
      </c>
      <c r="D5195" s="30" t="str">
        <f>IFERROR(VLOOKUP(C5195,소속부서!$A$2:$B$20,2,FALSE), "")</f>
        <v/>
      </c>
    </row>
    <row r="5196" spans="3:4" x14ac:dyDescent="0.3">
      <c r="C5196" s="35">
        <f t="shared" si="82"/>
        <v>0</v>
      </c>
      <c r="D5196" s="30" t="str">
        <f>IFERROR(VLOOKUP(C5196,소속부서!$A$2:$B$20,2,FALSE), "")</f>
        <v/>
      </c>
    </row>
    <row r="5197" spans="3:4" x14ac:dyDescent="0.3">
      <c r="C5197" s="35">
        <f t="shared" si="82"/>
        <v>0</v>
      </c>
      <c r="D5197" s="30" t="str">
        <f>IFERROR(VLOOKUP(C5197,소속부서!$A$2:$B$20,2,FALSE), "")</f>
        <v/>
      </c>
    </row>
    <row r="5198" spans="3:4" x14ac:dyDescent="0.3">
      <c r="C5198" s="35">
        <f t="shared" si="82"/>
        <v>0</v>
      </c>
      <c r="D5198" s="30" t="str">
        <f>IFERROR(VLOOKUP(C5198,소속부서!$A$2:$B$20,2,FALSE), "")</f>
        <v/>
      </c>
    </row>
    <row r="5199" spans="3:4" x14ac:dyDescent="0.3">
      <c r="C5199" s="35">
        <f t="shared" si="82"/>
        <v>0</v>
      </c>
      <c r="D5199" s="30" t="str">
        <f>IFERROR(VLOOKUP(C5199,소속부서!$A$2:$B$20,2,FALSE), "")</f>
        <v/>
      </c>
    </row>
    <row r="5200" spans="3:4" x14ac:dyDescent="0.3">
      <c r="C5200" s="35">
        <f t="shared" si="82"/>
        <v>0</v>
      </c>
      <c r="D5200" s="30" t="str">
        <f>IFERROR(VLOOKUP(C5200,소속부서!$A$2:$B$20,2,FALSE), "")</f>
        <v/>
      </c>
    </row>
    <row r="5201" spans="3:4" x14ac:dyDescent="0.3">
      <c r="C5201" s="35">
        <f t="shared" si="82"/>
        <v>0</v>
      </c>
      <c r="D5201" s="30" t="str">
        <f>IFERROR(VLOOKUP(C5201,소속부서!$A$2:$B$20,2,FALSE), "")</f>
        <v/>
      </c>
    </row>
    <row r="5202" spans="3:4" x14ac:dyDescent="0.3">
      <c r="C5202" s="35">
        <f t="shared" si="82"/>
        <v>0</v>
      </c>
      <c r="D5202" s="30" t="str">
        <f>IFERROR(VLOOKUP(C5202,소속부서!$A$2:$B$20,2,FALSE), "")</f>
        <v/>
      </c>
    </row>
    <row r="5203" spans="3:4" x14ac:dyDescent="0.3">
      <c r="C5203" s="35">
        <f t="shared" si="82"/>
        <v>0</v>
      </c>
      <c r="D5203" s="30" t="str">
        <f>IFERROR(VLOOKUP(C5203,소속부서!$A$2:$B$20,2,FALSE), "")</f>
        <v/>
      </c>
    </row>
    <row r="5204" spans="3:4" x14ac:dyDescent="0.3">
      <c r="C5204" s="35">
        <f t="shared" si="82"/>
        <v>0</v>
      </c>
      <c r="D5204" s="30" t="str">
        <f>IFERROR(VLOOKUP(C5204,소속부서!$A$2:$B$20,2,FALSE), "")</f>
        <v/>
      </c>
    </row>
    <row r="5205" spans="3:4" x14ac:dyDescent="0.3">
      <c r="C5205" s="35">
        <f t="shared" si="82"/>
        <v>0</v>
      </c>
      <c r="D5205" s="30" t="str">
        <f>IFERROR(VLOOKUP(C5205,소속부서!$A$2:$B$20,2,FALSE), "")</f>
        <v/>
      </c>
    </row>
    <row r="5206" spans="3:4" x14ac:dyDescent="0.3">
      <c r="C5206" s="35">
        <f t="shared" si="82"/>
        <v>0</v>
      </c>
      <c r="D5206" s="30" t="str">
        <f>IFERROR(VLOOKUP(C5206,소속부서!$A$2:$B$20,2,FALSE), "")</f>
        <v/>
      </c>
    </row>
    <row r="5207" spans="3:4" x14ac:dyDescent="0.3">
      <c r="C5207" s="35">
        <f t="shared" si="82"/>
        <v>0</v>
      </c>
      <c r="D5207" s="30" t="str">
        <f>IFERROR(VLOOKUP(C5207,소속부서!$A$2:$B$20,2,FALSE), "")</f>
        <v/>
      </c>
    </row>
    <row r="5208" spans="3:4" x14ac:dyDescent="0.3">
      <c r="C5208" s="35">
        <f t="shared" si="82"/>
        <v>0</v>
      </c>
      <c r="D5208" s="30" t="str">
        <f>IFERROR(VLOOKUP(C5208,소속부서!$A$2:$B$20,2,FALSE), "")</f>
        <v/>
      </c>
    </row>
    <row r="5209" spans="3:4" x14ac:dyDescent="0.3">
      <c r="C5209" s="35">
        <f t="shared" si="82"/>
        <v>0</v>
      </c>
      <c r="D5209" s="30" t="str">
        <f>IFERROR(VLOOKUP(C5209,소속부서!$A$2:$B$20,2,FALSE), "")</f>
        <v/>
      </c>
    </row>
    <row r="5210" spans="3:4" x14ac:dyDescent="0.3">
      <c r="C5210" s="35">
        <f t="shared" si="82"/>
        <v>0</v>
      </c>
      <c r="D5210" s="30" t="str">
        <f>IFERROR(VLOOKUP(C5210,소속부서!$A$2:$B$20,2,FALSE), "")</f>
        <v/>
      </c>
    </row>
    <row r="5211" spans="3:4" x14ac:dyDescent="0.3">
      <c r="C5211" s="35">
        <f t="shared" si="82"/>
        <v>0</v>
      </c>
      <c r="D5211" s="30" t="str">
        <f>IFERROR(VLOOKUP(C5211,소속부서!$A$2:$B$20,2,FALSE), "")</f>
        <v/>
      </c>
    </row>
    <row r="5212" spans="3:4" x14ac:dyDescent="0.3">
      <c r="C5212" s="35">
        <f t="shared" si="82"/>
        <v>0</v>
      </c>
      <c r="D5212" s="30" t="str">
        <f>IFERROR(VLOOKUP(C5212,소속부서!$A$2:$B$20,2,FALSE), "")</f>
        <v/>
      </c>
    </row>
    <row r="5213" spans="3:4" x14ac:dyDescent="0.3">
      <c r="C5213" s="35">
        <f t="shared" si="82"/>
        <v>0</v>
      </c>
      <c r="D5213" s="30" t="str">
        <f>IFERROR(VLOOKUP(C5213,소속부서!$A$2:$B$20,2,FALSE), "")</f>
        <v/>
      </c>
    </row>
    <row r="5214" spans="3:4" x14ac:dyDescent="0.3">
      <c r="C5214" s="35">
        <f t="shared" si="82"/>
        <v>0</v>
      </c>
      <c r="D5214" s="30" t="str">
        <f>IFERROR(VLOOKUP(C5214,소속부서!$A$2:$B$20,2,FALSE), "")</f>
        <v/>
      </c>
    </row>
    <row r="5215" spans="3:4" x14ac:dyDescent="0.3">
      <c r="C5215" s="35">
        <f t="shared" si="82"/>
        <v>0</v>
      </c>
      <c r="D5215" s="30" t="str">
        <f>IFERROR(VLOOKUP(C5215,소속부서!$A$2:$B$20,2,FALSE), "")</f>
        <v/>
      </c>
    </row>
    <row r="5216" spans="3:4" x14ac:dyDescent="0.3">
      <c r="C5216" s="35">
        <f t="shared" si="82"/>
        <v>0</v>
      </c>
      <c r="D5216" s="30" t="str">
        <f>IFERROR(VLOOKUP(C5216,소속부서!$A$2:$B$20,2,FALSE), "")</f>
        <v/>
      </c>
    </row>
    <row r="5217" spans="3:4" x14ac:dyDescent="0.3">
      <c r="C5217" s="35">
        <f t="shared" si="82"/>
        <v>0</v>
      </c>
      <c r="D5217" s="30" t="str">
        <f>IFERROR(VLOOKUP(C5217,소속부서!$A$2:$B$20,2,FALSE), "")</f>
        <v/>
      </c>
    </row>
    <row r="5218" spans="3:4" x14ac:dyDescent="0.3">
      <c r="C5218" s="35">
        <f t="shared" si="82"/>
        <v>0</v>
      </c>
      <c r="D5218" s="30" t="str">
        <f>IFERROR(VLOOKUP(C5218,소속부서!$A$2:$B$20,2,FALSE), "")</f>
        <v/>
      </c>
    </row>
    <row r="5219" spans="3:4" x14ac:dyDescent="0.3">
      <c r="C5219" s="35">
        <f t="shared" si="82"/>
        <v>0</v>
      </c>
      <c r="D5219" s="30" t="str">
        <f>IFERROR(VLOOKUP(C5219,소속부서!$A$2:$B$20,2,FALSE), "")</f>
        <v/>
      </c>
    </row>
    <row r="5220" spans="3:4" x14ac:dyDescent="0.3">
      <c r="C5220" s="35">
        <f t="shared" si="82"/>
        <v>0</v>
      </c>
      <c r="D5220" s="30" t="str">
        <f>IFERROR(VLOOKUP(C5220,소속부서!$A$2:$B$20,2,FALSE), "")</f>
        <v/>
      </c>
    </row>
    <row r="5221" spans="3:4" x14ac:dyDescent="0.3">
      <c r="C5221" s="35">
        <f t="shared" si="82"/>
        <v>0</v>
      </c>
      <c r="D5221" s="30" t="str">
        <f>IFERROR(VLOOKUP(C5221,소속부서!$A$2:$B$20,2,FALSE), "")</f>
        <v/>
      </c>
    </row>
    <row r="5222" spans="3:4" x14ac:dyDescent="0.3">
      <c r="C5222" s="35">
        <f t="shared" si="82"/>
        <v>0</v>
      </c>
      <c r="D5222" s="30" t="str">
        <f>IFERROR(VLOOKUP(C5222,소속부서!$A$2:$B$20,2,FALSE), "")</f>
        <v/>
      </c>
    </row>
    <row r="5223" spans="3:4" x14ac:dyDescent="0.3">
      <c r="C5223" s="35">
        <f t="shared" si="82"/>
        <v>0</v>
      </c>
      <c r="D5223" s="30" t="str">
        <f>IFERROR(VLOOKUP(C5223,소속부서!$A$2:$B$20,2,FALSE), "")</f>
        <v/>
      </c>
    </row>
    <row r="5224" spans="3:4" x14ac:dyDescent="0.3">
      <c r="C5224" s="35">
        <f t="shared" si="82"/>
        <v>0</v>
      </c>
      <c r="D5224" s="30" t="str">
        <f>IFERROR(VLOOKUP(C5224,소속부서!$A$2:$B$20,2,FALSE), "")</f>
        <v/>
      </c>
    </row>
    <row r="5225" spans="3:4" x14ac:dyDescent="0.3">
      <c r="C5225" s="35">
        <f t="shared" si="82"/>
        <v>0</v>
      </c>
      <c r="D5225" s="30" t="str">
        <f>IFERROR(VLOOKUP(C5225,소속부서!$A$2:$B$20,2,FALSE), "")</f>
        <v/>
      </c>
    </row>
    <row r="5226" spans="3:4" x14ac:dyDescent="0.3">
      <c r="C5226" s="35">
        <f t="shared" si="82"/>
        <v>0</v>
      </c>
      <c r="D5226" s="30" t="str">
        <f>IFERROR(VLOOKUP(C5226,소속부서!$A$2:$B$20,2,FALSE), "")</f>
        <v/>
      </c>
    </row>
    <row r="5227" spans="3:4" x14ac:dyDescent="0.3">
      <c r="C5227" s="35">
        <f t="shared" si="82"/>
        <v>0</v>
      </c>
      <c r="D5227" s="30" t="str">
        <f>IFERROR(VLOOKUP(C5227,소속부서!$A$2:$B$20,2,FALSE), "")</f>
        <v/>
      </c>
    </row>
    <row r="5228" spans="3:4" x14ac:dyDescent="0.3">
      <c r="C5228" s="35">
        <f t="shared" si="82"/>
        <v>0</v>
      </c>
      <c r="D5228" s="30" t="str">
        <f>IFERROR(VLOOKUP(C5228,소속부서!$A$2:$B$20,2,FALSE), "")</f>
        <v/>
      </c>
    </row>
    <row r="5229" spans="3:4" x14ac:dyDescent="0.3">
      <c r="C5229" s="35">
        <f t="shared" si="82"/>
        <v>0</v>
      </c>
      <c r="D5229" s="30" t="str">
        <f>IFERROR(VLOOKUP(C5229,소속부서!$A$2:$B$20,2,FALSE), "")</f>
        <v/>
      </c>
    </row>
    <row r="5230" spans="3:4" x14ac:dyDescent="0.3">
      <c r="C5230" s="35">
        <f t="shared" si="82"/>
        <v>0</v>
      </c>
      <c r="D5230" s="30" t="str">
        <f>IFERROR(VLOOKUP(C5230,소속부서!$A$2:$B$20,2,FALSE), "")</f>
        <v/>
      </c>
    </row>
    <row r="5231" spans="3:4" x14ac:dyDescent="0.3">
      <c r="C5231" s="35">
        <f t="shared" si="82"/>
        <v>0</v>
      </c>
      <c r="D5231" s="30" t="str">
        <f>IFERROR(VLOOKUP(C5231,소속부서!$A$2:$B$20,2,FALSE), "")</f>
        <v/>
      </c>
    </row>
    <row r="5232" spans="3:4" x14ac:dyDescent="0.3">
      <c r="C5232" s="35">
        <f t="shared" si="82"/>
        <v>0</v>
      </c>
      <c r="D5232" s="30" t="str">
        <f>IFERROR(VLOOKUP(C5232,소속부서!$A$2:$B$20,2,FALSE), "")</f>
        <v/>
      </c>
    </row>
    <row r="5233" spans="3:4" x14ac:dyDescent="0.3">
      <c r="C5233" s="35">
        <f t="shared" si="82"/>
        <v>0</v>
      </c>
      <c r="D5233" s="30" t="str">
        <f>IFERROR(VLOOKUP(C5233,소속부서!$A$2:$B$20,2,FALSE), "")</f>
        <v/>
      </c>
    </row>
    <row r="5234" spans="3:4" x14ac:dyDescent="0.3">
      <c r="C5234" s="35">
        <f t="shared" si="82"/>
        <v>0</v>
      </c>
      <c r="D5234" s="30" t="str">
        <f>IFERROR(VLOOKUP(C5234,소속부서!$A$2:$B$20,2,FALSE), "")</f>
        <v/>
      </c>
    </row>
    <row r="5235" spans="3:4" x14ac:dyDescent="0.3">
      <c r="C5235" s="35">
        <f t="shared" si="82"/>
        <v>0</v>
      </c>
      <c r="D5235" s="30" t="str">
        <f>IFERROR(VLOOKUP(C5235,소속부서!$A$2:$B$20,2,FALSE), "")</f>
        <v/>
      </c>
    </row>
    <row r="5236" spans="3:4" x14ac:dyDescent="0.3">
      <c r="C5236" s="35">
        <f t="shared" si="82"/>
        <v>0</v>
      </c>
      <c r="D5236" s="30" t="str">
        <f>IFERROR(VLOOKUP(C5236,소속부서!$A$2:$B$20,2,FALSE), "")</f>
        <v/>
      </c>
    </row>
    <row r="5237" spans="3:4" x14ac:dyDescent="0.3">
      <c r="C5237" s="35">
        <f t="shared" si="82"/>
        <v>0</v>
      </c>
      <c r="D5237" s="30" t="str">
        <f>IFERROR(VLOOKUP(C5237,소속부서!$A$2:$B$20,2,FALSE), "")</f>
        <v/>
      </c>
    </row>
    <row r="5238" spans="3:4" x14ac:dyDescent="0.3">
      <c r="C5238" s="35">
        <f t="shared" si="82"/>
        <v>0</v>
      </c>
      <c r="D5238" s="30" t="str">
        <f>IFERROR(VLOOKUP(C5238,소속부서!$A$2:$B$20,2,FALSE), "")</f>
        <v/>
      </c>
    </row>
    <row r="5239" spans="3:4" x14ac:dyDescent="0.3">
      <c r="C5239" s="35">
        <f t="shared" si="82"/>
        <v>0</v>
      </c>
      <c r="D5239" s="30" t="str">
        <f>IFERROR(VLOOKUP(C5239,소속부서!$A$2:$B$20,2,FALSE), "")</f>
        <v/>
      </c>
    </row>
    <row r="5240" spans="3:4" x14ac:dyDescent="0.3">
      <c r="C5240" s="35">
        <f t="shared" si="82"/>
        <v>0</v>
      </c>
      <c r="D5240" s="30" t="str">
        <f>IFERROR(VLOOKUP(C5240,소속부서!$A$2:$B$20,2,FALSE), "")</f>
        <v/>
      </c>
    </row>
    <row r="5241" spans="3:4" x14ac:dyDescent="0.3">
      <c r="C5241" s="35">
        <f t="shared" si="82"/>
        <v>0</v>
      </c>
      <c r="D5241" s="30" t="str">
        <f>IFERROR(VLOOKUP(C5241,소속부서!$A$2:$B$20,2,FALSE), "")</f>
        <v/>
      </c>
    </row>
    <row r="5242" spans="3:4" x14ac:dyDescent="0.3">
      <c r="C5242" s="35">
        <f t="shared" si="82"/>
        <v>0</v>
      </c>
      <c r="D5242" s="30" t="str">
        <f>IFERROR(VLOOKUP(C5242,소속부서!$A$2:$B$20,2,FALSE), "")</f>
        <v/>
      </c>
    </row>
    <row r="5243" spans="3:4" x14ac:dyDescent="0.3">
      <c r="C5243" s="35">
        <f t="shared" si="82"/>
        <v>0</v>
      </c>
      <c r="D5243" s="30" t="str">
        <f>IFERROR(VLOOKUP(C5243,소속부서!$A$2:$B$20,2,FALSE), "")</f>
        <v/>
      </c>
    </row>
    <row r="5244" spans="3:4" x14ac:dyDescent="0.3">
      <c r="C5244" s="35">
        <f t="shared" si="82"/>
        <v>0</v>
      </c>
      <c r="D5244" s="30" t="str">
        <f>IFERROR(VLOOKUP(C5244,소속부서!$A$2:$B$20,2,FALSE), "")</f>
        <v/>
      </c>
    </row>
    <row r="5245" spans="3:4" x14ac:dyDescent="0.3">
      <c r="C5245" s="35">
        <f t="shared" si="82"/>
        <v>0</v>
      </c>
      <c r="D5245" s="30" t="str">
        <f>IFERROR(VLOOKUP(C5245,소속부서!$A$2:$B$20,2,FALSE), "")</f>
        <v/>
      </c>
    </row>
    <row r="5246" spans="3:4" x14ac:dyDescent="0.3">
      <c r="C5246" s="35">
        <f t="shared" si="82"/>
        <v>0</v>
      </c>
      <c r="D5246" s="30" t="str">
        <f>IFERROR(VLOOKUP(C5246,소속부서!$A$2:$B$20,2,FALSE), "")</f>
        <v/>
      </c>
    </row>
    <row r="5247" spans="3:4" x14ac:dyDescent="0.3">
      <c r="C5247" s="35">
        <f t="shared" si="82"/>
        <v>0</v>
      </c>
      <c r="D5247" s="30" t="str">
        <f>IFERROR(VLOOKUP(C5247,소속부서!$A$2:$B$20,2,FALSE), "")</f>
        <v/>
      </c>
    </row>
    <row r="5248" spans="3:4" x14ac:dyDescent="0.3">
      <c r="C5248" s="35">
        <f t="shared" si="82"/>
        <v>0</v>
      </c>
      <c r="D5248" s="30" t="str">
        <f>IFERROR(VLOOKUP(C5248,소속부서!$A$2:$B$20,2,FALSE), "")</f>
        <v/>
      </c>
    </row>
    <row r="5249" spans="3:4" x14ac:dyDescent="0.3">
      <c r="C5249" s="35">
        <f t="shared" si="82"/>
        <v>0</v>
      </c>
      <c r="D5249" s="30" t="str">
        <f>IFERROR(VLOOKUP(C5249,소속부서!$A$2:$B$20,2,FALSE), "")</f>
        <v/>
      </c>
    </row>
    <row r="5250" spans="3:4" x14ac:dyDescent="0.3">
      <c r="C5250" s="35">
        <f t="shared" si="82"/>
        <v>0</v>
      </c>
      <c r="D5250" s="30" t="str">
        <f>IFERROR(VLOOKUP(C5250,소속부서!$A$2:$B$20,2,FALSE), "")</f>
        <v/>
      </c>
    </row>
    <row r="5251" spans="3:4" x14ac:dyDescent="0.3">
      <c r="C5251" s="35">
        <f t="shared" si="82"/>
        <v>0</v>
      </c>
      <c r="D5251" s="30" t="str">
        <f>IFERROR(VLOOKUP(C5251,소속부서!$A$2:$B$20,2,FALSE), "")</f>
        <v/>
      </c>
    </row>
    <row r="5252" spans="3:4" x14ac:dyDescent="0.3">
      <c r="C5252" s="35">
        <f t="shared" ref="C5252:C5315" si="83">E5252</f>
        <v>0</v>
      </c>
      <c r="D5252" s="30" t="str">
        <f>IFERROR(VLOOKUP(C5252,소속부서!$A$2:$B$20,2,FALSE), "")</f>
        <v/>
      </c>
    </row>
    <row r="5253" spans="3:4" x14ac:dyDescent="0.3">
      <c r="C5253" s="35">
        <f t="shared" si="83"/>
        <v>0</v>
      </c>
      <c r="D5253" s="30" t="str">
        <f>IFERROR(VLOOKUP(C5253,소속부서!$A$2:$B$20,2,FALSE), "")</f>
        <v/>
      </c>
    </row>
    <row r="5254" spans="3:4" x14ac:dyDescent="0.3">
      <c r="C5254" s="35">
        <f t="shared" si="83"/>
        <v>0</v>
      </c>
      <c r="D5254" s="30" t="str">
        <f>IFERROR(VLOOKUP(C5254,소속부서!$A$2:$B$20,2,FALSE), "")</f>
        <v/>
      </c>
    </row>
    <row r="5255" spans="3:4" x14ac:dyDescent="0.3">
      <c r="C5255" s="35">
        <f t="shared" si="83"/>
        <v>0</v>
      </c>
      <c r="D5255" s="30" t="str">
        <f>IFERROR(VLOOKUP(C5255,소속부서!$A$2:$B$20,2,FALSE), "")</f>
        <v/>
      </c>
    </row>
    <row r="5256" spans="3:4" x14ac:dyDescent="0.3">
      <c r="C5256" s="35">
        <f t="shared" si="83"/>
        <v>0</v>
      </c>
      <c r="D5256" s="30" t="str">
        <f>IFERROR(VLOOKUP(C5256,소속부서!$A$2:$B$20,2,FALSE), "")</f>
        <v/>
      </c>
    </row>
    <row r="5257" spans="3:4" x14ac:dyDescent="0.3">
      <c r="C5257" s="35">
        <f t="shared" si="83"/>
        <v>0</v>
      </c>
      <c r="D5257" s="30" t="str">
        <f>IFERROR(VLOOKUP(C5257,소속부서!$A$2:$B$20,2,FALSE), "")</f>
        <v/>
      </c>
    </row>
    <row r="5258" spans="3:4" x14ac:dyDescent="0.3">
      <c r="C5258" s="35">
        <f t="shared" si="83"/>
        <v>0</v>
      </c>
      <c r="D5258" s="30" t="str">
        <f>IFERROR(VLOOKUP(C5258,소속부서!$A$2:$B$20,2,FALSE), "")</f>
        <v/>
      </c>
    </row>
    <row r="5259" spans="3:4" x14ac:dyDescent="0.3">
      <c r="C5259" s="35">
        <f t="shared" si="83"/>
        <v>0</v>
      </c>
      <c r="D5259" s="30" t="str">
        <f>IFERROR(VLOOKUP(C5259,소속부서!$A$2:$B$20,2,FALSE), "")</f>
        <v/>
      </c>
    </row>
    <row r="5260" spans="3:4" x14ac:dyDescent="0.3">
      <c r="C5260" s="35">
        <f t="shared" si="83"/>
        <v>0</v>
      </c>
      <c r="D5260" s="30" t="str">
        <f>IFERROR(VLOOKUP(C5260,소속부서!$A$2:$B$20,2,FALSE), "")</f>
        <v/>
      </c>
    </row>
    <row r="5261" spans="3:4" x14ac:dyDescent="0.3">
      <c r="C5261" s="35">
        <f t="shared" si="83"/>
        <v>0</v>
      </c>
      <c r="D5261" s="30" t="str">
        <f>IFERROR(VLOOKUP(C5261,소속부서!$A$2:$B$20,2,FALSE), "")</f>
        <v/>
      </c>
    </row>
    <row r="5262" spans="3:4" x14ac:dyDescent="0.3">
      <c r="C5262" s="35">
        <f t="shared" si="83"/>
        <v>0</v>
      </c>
      <c r="D5262" s="30" t="str">
        <f>IFERROR(VLOOKUP(C5262,소속부서!$A$2:$B$20,2,FALSE), "")</f>
        <v/>
      </c>
    </row>
    <row r="5263" spans="3:4" x14ac:dyDescent="0.3">
      <c r="C5263" s="35">
        <f t="shared" si="83"/>
        <v>0</v>
      </c>
      <c r="D5263" s="30" t="str">
        <f>IFERROR(VLOOKUP(C5263,소속부서!$A$2:$B$20,2,FALSE), "")</f>
        <v/>
      </c>
    </row>
    <row r="5264" spans="3:4" x14ac:dyDescent="0.3">
      <c r="C5264" s="35">
        <f t="shared" si="83"/>
        <v>0</v>
      </c>
      <c r="D5264" s="30" t="str">
        <f>IFERROR(VLOOKUP(C5264,소속부서!$A$2:$B$20,2,FALSE), "")</f>
        <v/>
      </c>
    </row>
    <row r="5265" spans="3:4" x14ac:dyDescent="0.3">
      <c r="C5265" s="35">
        <f t="shared" si="83"/>
        <v>0</v>
      </c>
      <c r="D5265" s="30" t="str">
        <f>IFERROR(VLOOKUP(C5265,소속부서!$A$2:$B$20,2,FALSE), "")</f>
        <v/>
      </c>
    </row>
    <row r="5266" spans="3:4" x14ac:dyDescent="0.3">
      <c r="C5266" s="35">
        <f t="shared" si="83"/>
        <v>0</v>
      </c>
      <c r="D5266" s="30" t="str">
        <f>IFERROR(VLOOKUP(C5266,소속부서!$A$2:$B$20,2,FALSE), "")</f>
        <v/>
      </c>
    </row>
    <row r="5267" spans="3:4" x14ac:dyDescent="0.3">
      <c r="C5267" s="35">
        <f t="shared" si="83"/>
        <v>0</v>
      </c>
      <c r="D5267" s="30" t="str">
        <f>IFERROR(VLOOKUP(C5267,소속부서!$A$2:$B$20,2,FALSE), "")</f>
        <v/>
      </c>
    </row>
    <row r="5268" spans="3:4" x14ac:dyDescent="0.3">
      <c r="C5268" s="35">
        <f t="shared" si="83"/>
        <v>0</v>
      </c>
      <c r="D5268" s="30" t="str">
        <f>IFERROR(VLOOKUP(C5268,소속부서!$A$2:$B$20,2,FALSE), "")</f>
        <v/>
      </c>
    </row>
    <row r="5269" spans="3:4" x14ac:dyDescent="0.3">
      <c r="C5269" s="35">
        <f t="shared" si="83"/>
        <v>0</v>
      </c>
      <c r="D5269" s="30" t="str">
        <f>IFERROR(VLOOKUP(C5269,소속부서!$A$2:$B$20,2,FALSE), "")</f>
        <v/>
      </c>
    </row>
    <row r="5270" spans="3:4" x14ac:dyDescent="0.3">
      <c r="C5270" s="35">
        <f t="shared" si="83"/>
        <v>0</v>
      </c>
      <c r="D5270" s="30" t="str">
        <f>IFERROR(VLOOKUP(C5270,소속부서!$A$2:$B$20,2,FALSE), "")</f>
        <v/>
      </c>
    </row>
    <row r="5271" spans="3:4" x14ac:dyDescent="0.3">
      <c r="C5271" s="35">
        <f t="shared" si="83"/>
        <v>0</v>
      </c>
      <c r="D5271" s="30" t="str">
        <f>IFERROR(VLOOKUP(C5271,소속부서!$A$2:$B$20,2,FALSE), "")</f>
        <v/>
      </c>
    </row>
    <row r="5272" spans="3:4" x14ac:dyDescent="0.3">
      <c r="C5272" s="35">
        <f t="shared" si="83"/>
        <v>0</v>
      </c>
      <c r="D5272" s="30" t="str">
        <f>IFERROR(VLOOKUP(C5272,소속부서!$A$2:$B$20,2,FALSE), "")</f>
        <v/>
      </c>
    </row>
    <row r="5273" spans="3:4" x14ac:dyDescent="0.3">
      <c r="C5273" s="35">
        <f t="shared" si="83"/>
        <v>0</v>
      </c>
      <c r="D5273" s="30" t="str">
        <f>IFERROR(VLOOKUP(C5273,소속부서!$A$2:$B$20,2,FALSE), "")</f>
        <v/>
      </c>
    </row>
    <row r="5274" spans="3:4" x14ac:dyDescent="0.3">
      <c r="C5274" s="35">
        <f t="shared" si="83"/>
        <v>0</v>
      </c>
      <c r="D5274" s="30" t="str">
        <f>IFERROR(VLOOKUP(C5274,소속부서!$A$2:$B$20,2,FALSE), "")</f>
        <v/>
      </c>
    </row>
    <row r="5275" spans="3:4" x14ac:dyDescent="0.3">
      <c r="C5275" s="35">
        <f t="shared" si="83"/>
        <v>0</v>
      </c>
      <c r="D5275" s="30" t="str">
        <f>IFERROR(VLOOKUP(C5275,소속부서!$A$2:$B$20,2,FALSE), "")</f>
        <v/>
      </c>
    </row>
    <row r="5276" spans="3:4" x14ac:dyDescent="0.3">
      <c r="C5276" s="35">
        <f t="shared" si="83"/>
        <v>0</v>
      </c>
      <c r="D5276" s="30" t="str">
        <f>IFERROR(VLOOKUP(C5276,소속부서!$A$2:$B$20,2,FALSE), "")</f>
        <v/>
      </c>
    </row>
    <row r="5277" spans="3:4" x14ac:dyDescent="0.3">
      <c r="C5277" s="35">
        <f t="shared" si="83"/>
        <v>0</v>
      </c>
      <c r="D5277" s="30" t="str">
        <f>IFERROR(VLOOKUP(C5277,소속부서!$A$2:$B$20,2,FALSE), "")</f>
        <v/>
      </c>
    </row>
    <row r="5278" spans="3:4" x14ac:dyDescent="0.3">
      <c r="C5278" s="35">
        <f t="shared" si="83"/>
        <v>0</v>
      </c>
      <c r="D5278" s="30" t="str">
        <f>IFERROR(VLOOKUP(C5278,소속부서!$A$2:$B$20,2,FALSE), "")</f>
        <v/>
      </c>
    </row>
    <row r="5279" spans="3:4" x14ac:dyDescent="0.3">
      <c r="C5279" s="35">
        <f t="shared" si="83"/>
        <v>0</v>
      </c>
      <c r="D5279" s="30" t="str">
        <f>IFERROR(VLOOKUP(C5279,소속부서!$A$2:$B$20,2,FALSE), "")</f>
        <v/>
      </c>
    </row>
    <row r="5280" spans="3:4" x14ac:dyDescent="0.3">
      <c r="C5280" s="35">
        <f t="shared" si="83"/>
        <v>0</v>
      </c>
      <c r="D5280" s="30" t="str">
        <f>IFERROR(VLOOKUP(C5280,소속부서!$A$2:$B$20,2,FALSE), "")</f>
        <v/>
      </c>
    </row>
    <row r="5281" spans="3:4" x14ac:dyDescent="0.3">
      <c r="C5281" s="35">
        <f t="shared" si="83"/>
        <v>0</v>
      </c>
      <c r="D5281" s="30" t="str">
        <f>IFERROR(VLOOKUP(C5281,소속부서!$A$2:$B$20,2,FALSE), "")</f>
        <v/>
      </c>
    </row>
    <row r="5282" spans="3:4" x14ac:dyDescent="0.3">
      <c r="C5282" s="35">
        <f t="shared" si="83"/>
        <v>0</v>
      </c>
      <c r="D5282" s="30" t="str">
        <f>IFERROR(VLOOKUP(C5282,소속부서!$A$2:$B$20,2,FALSE), "")</f>
        <v/>
      </c>
    </row>
    <row r="5283" spans="3:4" x14ac:dyDescent="0.3">
      <c r="C5283" s="35">
        <f t="shared" si="83"/>
        <v>0</v>
      </c>
      <c r="D5283" s="30" t="str">
        <f>IFERROR(VLOOKUP(C5283,소속부서!$A$2:$B$20,2,FALSE), "")</f>
        <v/>
      </c>
    </row>
    <row r="5284" spans="3:4" x14ac:dyDescent="0.3">
      <c r="C5284" s="35">
        <f t="shared" si="83"/>
        <v>0</v>
      </c>
      <c r="D5284" s="30" t="str">
        <f>IFERROR(VLOOKUP(C5284,소속부서!$A$2:$B$20,2,FALSE), "")</f>
        <v/>
      </c>
    </row>
    <row r="5285" spans="3:4" x14ac:dyDescent="0.3">
      <c r="C5285" s="35">
        <f t="shared" si="83"/>
        <v>0</v>
      </c>
      <c r="D5285" s="30" t="str">
        <f>IFERROR(VLOOKUP(C5285,소속부서!$A$2:$B$20,2,FALSE), "")</f>
        <v/>
      </c>
    </row>
    <row r="5286" spans="3:4" x14ac:dyDescent="0.3">
      <c r="C5286" s="35">
        <f t="shared" si="83"/>
        <v>0</v>
      </c>
      <c r="D5286" s="30" t="str">
        <f>IFERROR(VLOOKUP(C5286,소속부서!$A$2:$B$20,2,FALSE), "")</f>
        <v/>
      </c>
    </row>
    <row r="5287" spans="3:4" x14ac:dyDescent="0.3">
      <c r="C5287" s="35">
        <f t="shared" si="83"/>
        <v>0</v>
      </c>
      <c r="D5287" s="30" t="str">
        <f>IFERROR(VLOOKUP(C5287,소속부서!$A$2:$B$20,2,FALSE), "")</f>
        <v/>
      </c>
    </row>
    <row r="5288" spans="3:4" x14ac:dyDescent="0.3">
      <c r="C5288" s="35">
        <f t="shared" si="83"/>
        <v>0</v>
      </c>
      <c r="D5288" s="30" t="str">
        <f>IFERROR(VLOOKUP(C5288,소속부서!$A$2:$B$20,2,FALSE), "")</f>
        <v/>
      </c>
    </row>
    <row r="5289" spans="3:4" x14ac:dyDescent="0.3">
      <c r="C5289" s="35">
        <f t="shared" si="83"/>
        <v>0</v>
      </c>
      <c r="D5289" s="30" t="str">
        <f>IFERROR(VLOOKUP(C5289,소속부서!$A$2:$B$20,2,FALSE), "")</f>
        <v/>
      </c>
    </row>
    <row r="5290" spans="3:4" x14ac:dyDescent="0.3">
      <c r="C5290" s="35">
        <f t="shared" si="83"/>
        <v>0</v>
      </c>
      <c r="D5290" s="30" t="str">
        <f>IFERROR(VLOOKUP(C5290,소속부서!$A$2:$B$20,2,FALSE), "")</f>
        <v/>
      </c>
    </row>
    <row r="5291" spans="3:4" x14ac:dyDescent="0.3">
      <c r="C5291" s="35">
        <f t="shared" si="83"/>
        <v>0</v>
      </c>
      <c r="D5291" s="30" t="str">
        <f>IFERROR(VLOOKUP(C5291,소속부서!$A$2:$B$20,2,FALSE), "")</f>
        <v/>
      </c>
    </row>
    <row r="5292" spans="3:4" x14ac:dyDescent="0.3">
      <c r="C5292" s="35">
        <f t="shared" si="83"/>
        <v>0</v>
      </c>
      <c r="D5292" s="30" t="str">
        <f>IFERROR(VLOOKUP(C5292,소속부서!$A$2:$B$20,2,FALSE), "")</f>
        <v/>
      </c>
    </row>
    <row r="5293" spans="3:4" x14ac:dyDescent="0.3">
      <c r="C5293" s="35">
        <f t="shared" si="83"/>
        <v>0</v>
      </c>
      <c r="D5293" s="30" t="str">
        <f>IFERROR(VLOOKUP(C5293,소속부서!$A$2:$B$20,2,FALSE), "")</f>
        <v/>
      </c>
    </row>
    <row r="5294" spans="3:4" x14ac:dyDescent="0.3">
      <c r="C5294" s="35">
        <f t="shared" si="83"/>
        <v>0</v>
      </c>
      <c r="D5294" s="30" t="str">
        <f>IFERROR(VLOOKUP(C5294,소속부서!$A$2:$B$20,2,FALSE), "")</f>
        <v/>
      </c>
    </row>
    <row r="5295" spans="3:4" x14ac:dyDescent="0.3">
      <c r="C5295" s="35">
        <f t="shared" si="83"/>
        <v>0</v>
      </c>
      <c r="D5295" s="30" t="str">
        <f>IFERROR(VLOOKUP(C5295,소속부서!$A$2:$B$20,2,FALSE), "")</f>
        <v/>
      </c>
    </row>
    <row r="5296" spans="3:4" x14ac:dyDescent="0.3">
      <c r="C5296" s="35">
        <f t="shared" si="83"/>
        <v>0</v>
      </c>
      <c r="D5296" s="30" t="str">
        <f>IFERROR(VLOOKUP(C5296,소속부서!$A$2:$B$20,2,FALSE), "")</f>
        <v/>
      </c>
    </row>
    <row r="5297" spans="3:4" x14ac:dyDescent="0.3">
      <c r="C5297" s="35">
        <f t="shared" si="83"/>
        <v>0</v>
      </c>
      <c r="D5297" s="30" t="str">
        <f>IFERROR(VLOOKUP(C5297,소속부서!$A$2:$B$20,2,FALSE), "")</f>
        <v/>
      </c>
    </row>
    <row r="5298" spans="3:4" x14ac:dyDescent="0.3">
      <c r="C5298" s="35">
        <f t="shared" si="83"/>
        <v>0</v>
      </c>
      <c r="D5298" s="30" t="str">
        <f>IFERROR(VLOOKUP(C5298,소속부서!$A$2:$B$20,2,FALSE), "")</f>
        <v/>
      </c>
    </row>
    <row r="5299" spans="3:4" x14ac:dyDescent="0.3">
      <c r="C5299" s="35">
        <f t="shared" si="83"/>
        <v>0</v>
      </c>
      <c r="D5299" s="30" t="str">
        <f>IFERROR(VLOOKUP(C5299,소속부서!$A$2:$B$20,2,FALSE), "")</f>
        <v/>
      </c>
    </row>
    <row r="5300" spans="3:4" x14ac:dyDescent="0.3">
      <c r="C5300" s="35">
        <f t="shared" si="83"/>
        <v>0</v>
      </c>
      <c r="D5300" s="30" t="str">
        <f>IFERROR(VLOOKUP(C5300,소속부서!$A$2:$B$20,2,FALSE), "")</f>
        <v/>
      </c>
    </row>
    <row r="5301" spans="3:4" x14ac:dyDescent="0.3">
      <c r="C5301" s="35">
        <f t="shared" si="83"/>
        <v>0</v>
      </c>
      <c r="D5301" s="30" t="str">
        <f>IFERROR(VLOOKUP(C5301,소속부서!$A$2:$B$20,2,FALSE), "")</f>
        <v/>
      </c>
    </row>
    <row r="5302" spans="3:4" x14ac:dyDescent="0.3">
      <c r="C5302" s="35">
        <f t="shared" si="83"/>
        <v>0</v>
      </c>
      <c r="D5302" s="30" t="str">
        <f>IFERROR(VLOOKUP(C5302,소속부서!$A$2:$B$20,2,FALSE), "")</f>
        <v/>
      </c>
    </row>
    <row r="5303" spans="3:4" x14ac:dyDescent="0.3">
      <c r="C5303" s="35">
        <f t="shared" si="83"/>
        <v>0</v>
      </c>
      <c r="D5303" s="30" t="str">
        <f>IFERROR(VLOOKUP(C5303,소속부서!$A$2:$B$20,2,FALSE), "")</f>
        <v/>
      </c>
    </row>
    <row r="5304" spans="3:4" x14ac:dyDescent="0.3">
      <c r="C5304" s="35">
        <f t="shared" si="83"/>
        <v>0</v>
      </c>
      <c r="D5304" s="30" t="str">
        <f>IFERROR(VLOOKUP(C5304,소속부서!$A$2:$B$20,2,FALSE), "")</f>
        <v/>
      </c>
    </row>
    <row r="5305" spans="3:4" x14ac:dyDescent="0.3">
      <c r="C5305" s="35">
        <f t="shared" si="83"/>
        <v>0</v>
      </c>
      <c r="D5305" s="30" t="str">
        <f>IFERROR(VLOOKUP(C5305,소속부서!$A$2:$B$20,2,FALSE), "")</f>
        <v/>
      </c>
    </row>
    <row r="5306" spans="3:4" x14ac:dyDescent="0.3">
      <c r="C5306" s="35">
        <f t="shared" si="83"/>
        <v>0</v>
      </c>
      <c r="D5306" s="30" t="str">
        <f>IFERROR(VLOOKUP(C5306,소속부서!$A$2:$B$20,2,FALSE), "")</f>
        <v/>
      </c>
    </row>
    <row r="5307" spans="3:4" x14ac:dyDescent="0.3">
      <c r="C5307" s="35">
        <f t="shared" si="83"/>
        <v>0</v>
      </c>
      <c r="D5307" s="30" t="str">
        <f>IFERROR(VLOOKUP(C5307,소속부서!$A$2:$B$20,2,FALSE), "")</f>
        <v/>
      </c>
    </row>
    <row r="5308" spans="3:4" x14ac:dyDescent="0.3">
      <c r="C5308" s="35">
        <f t="shared" si="83"/>
        <v>0</v>
      </c>
      <c r="D5308" s="30" t="str">
        <f>IFERROR(VLOOKUP(C5308,소속부서!$A$2:$B$20,2,FALSE), "")</f>
        <v/>
      </c>
    </row>
    <row r="5309" spans="3:4" x14ac:dyDescent="0.3">
      <c r="C5309" s="35">
        <f t="shared" si="83"/>
        <v>0</v>
      </c>
      <c r="D5309" s="30" t="str">
        <f>IFERROR(VLOOKUP(C5309,소속부서!$A$2:$B$20,2,FALSE), "")</f>
        <v/>
      </c>
    </row>
    <row r="5310" spans="3:4" x14ac:dyDescent="0.3">
      <c r="C5310" s="35">
        <f t="shared" si="83"/>
        <v>0</v>
      </c>
      <c r="D5310" s="30" t="str">
        <f>IFERROR(VLOOKUP(C5310,소속부서!$A$2:$B$20,2,FALSE), "")</f>
        <v/>
      </c>
    </row>
    <row r="5311" spans="3:4" x14ac:dyDescent="0.3">
      <c r="C5311" s="35">
        <f t="shared" si="83"/>
        <v>0</v>
      </c>
      <c r="D5311" s="30" t="str">
        <f>IFERROR(VLOOKUP(C5311,소속부서!$A$2:$B$20,2,FALSE), "")</f>
        <v/>
      </c>
    </row>
    <row r="5312" spans="3:4" x14ac:dyDescent="0.3">
      <c r="C5312" s="35">
        <f t="shared" si="83"/>
        <v>0</v>
      </c>
      <c r="D5312" s="30" t="str">
        <f>IFERROR(VLOOKUP(C5312,소속부서!$A$2:$B$20,2,FALSE), "")</f>
        <v/>
      </c>
    </row>
    <row r="5313" spans="3:4" x14ac:dyDescent="0.3">
      <c r="C5313" s="35">
        <f t="shared" si="83"/>
        <v>0</v>
      </c>
      <c r="D5313" s="30" t="str">
        <f>IFERROR(VLOOKUP(C5313,소속부서!$A$2:$B$20,2,FALSE), "")</f>
        <v/>
      </c>
    </row>
    <row r="5314" spans="3:4" x14ac:dyDescent="0.3">
      <c r="C5314" s="35">
        <f t="shared" si="83"/>
        <v>0</v>
      </c>
      <c r="D5314" s="30" t="str">
        <f>IFERROR(VLOOKUP(C5314,소속부서!$A$2:$B$20,2,FALSE), "")</f>
        <v/>
      </c>
    </row>
    <row r="5315" spans="3:4" x14ac:dyDescent="0.3">
      <c r="C5315" s="35">
        <f t="shared" si="83"/>
        <v>0</v>
      </c>
      <c r="D5315" s="30" t="str">
        <f>IFERROR(VLOOKUP(C5315,소속부서!$A$2:$B$20,2,FALSE), "")</f>
        <v/>
      </c>
    </row>
    <row r="5316" spans="3:4" x14ac:dyDescent="0.3">
      <c r="C5316" s="35">
        <f t="shared" ref="C5316:C5379" si="84">E5316</f>
        <v>0</v>
      </c>
      <c r="D5316" s="30" t="str">
        <f>IFERROR(VLOOKUP(C5316,소속부서!$A$2:$B$20,2,FALSE), "")</f>
        <v/>
      </c>
    </row>
    <row r="5317" spans="3:4" x14ac:dyDescent="0.3">
      <c r="C5317" s="35">
        <f t="shared" si="84"/>
        <v>0</v>
      </c>
      <c r="D5317" s="30" t="str">
        <f>IFERROR(VLOOKUP(C5317,소속부서!$A$2:$B$20,2,FALSE), "")</f>
        <v/>
      </c>
    </row>
    <row r="5318" spans="3:4" x14ac:dyDescent="0.3">
      <c r="C5318" s="35">
        <f t="shared" si="84"/>
        <v>0</v>
      </c>
      <c r="D5318" s="30" t="str">
        <f>IFERROR(VLOOKUP(C5318,소속부서!$A$2:$B$20,2,FALSE), "")</f>
        <v/>
      </c>
    </row>
    <row r="5319" spans="3:4" x14ac:dyDescent="0.3">
      <c r="C5319" s="35">
        <f t="shared" si="84"/>
        <v>0</v>
      </c>
      <c r="D5319" s="30" t="str">
        <f>IFERROR(VLOOKUP(C5319,소속부서!$A$2:$B$20,2,FALSE), "")</f>
        <v/>
      </c>
    </row>
    <row r="5320" spans="3:4" x14ac:dyDescent="0.3">
      <c r="C5320" s="35">
        <f t="shared" si="84"/>
        <v>0</v>
      </c>
      <c r="D5320" s="30" t="str">
        <f>IFERROR(VLOOKUP(C5320,소속부서!$A$2:$B$20,2,FALSE), "")</f>
        <v/>
      </c>
    </row>
    <row r="5321" spans="3:4" x14ac:dyDescent="0.3">
      <c r="C5321" s="35">
        <f t="shared" si="84"/>
        <v>0</v>
      </c>
      <c r="D5321" s="30" t="str">
        <f>IFERROR(VLOOKUP(C5321,소속부서!$A$2:$B$20,2,FALSE), "")</f>
        <v/>
      </c>
    </row>
    <row r="5322" spans="3:4" x14ac:dyDescent="0.3">
      <c r="C5322" s="35">
        <f t="shared" si="84"/>
        <v>0</v>
      </c>
      <c r="D5322" s="30" t="str">
        <f>IFERROR(VLOOKUP(C5322,소속부서!$A$2:$B$20,2,FALSE), "")</f>
        <v/>
      </c>
    </row>
    <row r="5323" spans="3:4" x14ac:dyDescent="0.3">
      <c r="C5323" s="35">
        <f t="shared" si="84"/>
        <v>0</v>
      </c>
      <c r="D5323" s="30" t="str">
        <f>IFERROR(VLOOKUP(C5323,소속부서!$A$2:$B$20,2,FALSE), "")</f>
        <v/>
      </c>
    </row>
    <row r="5324" spans="3:4" x14ac:dyDescent="0.3">
      <c r="C5324" s="35">
        <f t="shared" si="84"/>
        <v>0</v>
      </c>
      <c r="D5324" s="30" t="str">
        <f>IFERROR(VLOOKUP(C5324,소속부서!$A$2:$B$20,2,FALSE), "")</f>
        <v/>
      </c>
    </row>
    <row r="5325" spans="3:4" x14ac:dyDescent="0.3">
      <c r="C5325" s="35">
        <f t="shared" si="84"/>
        <v>0</v>
      </c>
      <c r="D5325" s="30" t="str">
        <f>IFERROR(VLOOKUP(C5325,소속부서!$A$2:$B$20,2,FALSE), "")</f>
        <v/>
      </c>
    </row>
    <row r="5326" spans="3:4" x14ac:dyDescent="0.3">
      <c r="C5326" s="35">
        <f t="shared" si="84"/>
        <v>0</v>
      </c>
      <c r="D5326" s="30" t="str">
        <f>IFERROR(VLOOKUP(C5326,소속부서!$A$2:$B$20,2,FALSE), "")</f>
        <v/>
      </c>
    </row>
    <row r="5327" spans="3:4" x14ac:dyDescent="0.3">
      <c r="C5327" s="35">
        <f t="shared" si="84"/>
        <v>0</v>
      </c>
      <c r="D5327" s="30" t="str">
        <f>IFERROR(VLOOKUP(C5327,소속부서!$A$2:$B$20,2,FALSE), "")</f>
        <v/>
      </c>
    </row>
    <row r="5328" spans="3:4" x14ac:dyDescent="0.3">
      <c r="C5328" s="35">
        <f t="shared" si="84"/>
        <v>0</v>
      </c>
      <c r="D5328" s="30" t="str">
        <f>IFERROR(VLOOKUP(C5328,소속부서!$A$2:$B$20,2,FALSE), "")</f>
        <v/>
      </c>
    </row>
    <row r="5329" spans="3:4" x14ac:dyDescent="0.3">
      <c r="C5329" s="35">
        <f t="shared" si="84"/>
        <v>0</v>
      </c>
      <c r="D5329" s="30" t="str">
        <f>IFERROR(VLOOKUP(C5329,소속부서!$A$2:$B$20,2,FALSE), "")</f>
        <v/>
      </c>
    </row>
    <row r="5330" spans="3:4" x14ac:dyDescent="0.3">
      <c r="C5330" s="35">
        <f t="shared" si="84"/>
        <v>0</v>
      </c>
      <c r="D5330" s="30" t="str">
        <f>IFERROR(VLOOKUP(C5330,소속부서!$A$2:$B$20,2,FALSE), "")</f>
        <v/>
      </c>
    </row>
    <row r="5331" spans="3:4" x14ac:dyDescent="0.3">
      <c r="C5331" s="35">
        <f t="shared" si="84"/>
        <v>0</v>
      </c>
      <c r="D5331" s="30" t="str">
        <f>IFERROR(VLOOKUP(C5331,소속부서!$A$2:$B$20,2,FALSE), "")</f>
        <v/>
      </c>
    </row>
    <row r="5332" spans="3:4" x14ac:dyDescent="0.3">
      <c r="C5332" s="35">
        <f t="shared" si="84"/>
        <v>0</v>
      </c>
      <c r="D5332" s="30" t="str">
        <f>IFERROR(VLOOKUP(C5332,소속부서!$A$2:$B$20,2,FALSE), "")</f>
        <v/>
      </c>
    </row>
    <row r="5333" spans="3:4" x14ac:dyDescent="0.3">
      <c r="C5333" s="35">
        <f t="shared" si="84"/>
        <v>0</v>
      </c>
      <c r="D5333" s="30" t="str">
        <f>IFERROR(VLOOKUP(C5333,소속부서!$A$2:$B$20,2,FALSE), "")</f>
        <v/>
      </c>
    </row>
    <row r="5334" spans="3:4" x14ac:dyDescent="0.3">
      <c r="C5334" s="35">
        <f t="shared" si="84"/>
        <v>0</v>
      </c>
      <c r="D5334" s="30" t="str">
        <f>IFERROR(VLOOKUP(C5334,소속부서!$A$2:$B$20,2,FALSE), "")</f>
        <v/>
      </c>
    </row>
    <row r="5335" spans="3:4" x14ac:dyDescent="0.3">
      <c r="C5335" s="35">
        <f t="shared" si="84"/>
        <v>0</v>
      </c>
      <c r="D5335" s="30" t="str">
        <f>IFERROR(VLOOKUP(C5335,소속부서!$A$2:$B$20,2,FALSE), "")</f>
        <v/>
      </c>
    </row>
    <row r="5336" spans="3:4" x14ac:dyDescent="0.3">
      <c r="C5336" s="35">
        <f t="shared" si="84"/>
        <v>0</v>
      </c>
      <c r="D5336" s="30" t="str">
        <f>IFERROR(VLOOKUP(C5336,소속부서!$A$2:$B$20,2,FALSE), "")</f>
        <v/>
      </c>
    </row>
    <row r="5337" spans="3:4" x14ac:dyDescent="0.3">
      <c r="C5337" s="35">
        <f t="shared" si="84"/>
        <v>0</v>
      </c>
      <c r="D5337" s="30" t="str">
        <f>IFERROR(VLOOKUP(C5337,소속부서!$A$2:$B$20,2,FALSE), "")</f>
        <v/>
      </c>
    </row>
    <row r="5338" spans="3:4" x14ac:dyDescent="0.3">
      <c r="C5338" s="35">
        <f t="shared" si="84"/>
        <v>0</v>
      </c>
      <c r="D5338" s="30" t="str">
        <f>IFERROR(VLOOKUP(C5338,소속부서!$A$2:$B$20,2,FALSE), "")</f>
        <v/>
      </c>
    </row>
    <row r="5339" spans="3:4" x14ac:dyDescent="0.3">
      <c r="C5339" s="35">
        <f t="shared" si="84"/>
        <v>0</v>
      </c>
      <c r="D5339" s="30" t="str">
        <f>IFERROR(VLOOKUP(C5339,소속부서!$A$2:$B$20,2,FALSE), "")</f>
        <v/>
      </c>
    </row>
    <row r="5340" spans="3:4" x14ac:dyDescent="0.3">
      <c r="C5340" s="35">
        <f t="shared" si="84"/>
        <v>0</v>
      </c>
      <c r="D5340" s="30" t="str">
        <f>IFERROR(VLOOKUP(C5340,소속부서!$A$2:$B$20,2,FALSE), "")</f>
        <v/>
      </c>
    </row>
    <row r="5341" spans="3:4" x14ac:dyDescent="0.3">
      <c r="C5341" s="35">
        <f t="shared" si="84"/>
        <v>0</v>
      </c>
      <c r="D5341" s="30" t="str">
        <f>IFERROR(VLOOKUP(C5341,소속부서!$A$2:$B$20,2,FALSE), "")</f>
        <v/>
      </c>
    </row>
    <row r="5342" spans="3:4" x14ac:dyDescent="0.3">
      <c r="C5342" s="35">
        <f t="shared" si="84"/>
        <v>0</v>
      </c>
      <c r="D5342" s="30" t="str">
        <f>IFERROR(VLOOKUP(C5342,소속부서!$A$2:$B$20,2,FALSE), "")</f>
        <v/>
      </c>
    </row>
    <row r="5343" spans="3:4" x14ac:dyDescent="0.3">
      <c r="C5343" s="35">
        <f t="shared" si="84"/>
        <v>0</v>
      </c>
      <c r="D5343" s="30" t="str">
        <f>IFERROR(VLOOKUP(C5343,소속부서!$A$2:$B$20,2,FALSE), "")</f>
        <v/>
      </c>
    </row>
    <row r="5344" spans="3:4" x14ac:dyDescent="0.3">
      <c r="C5344" s="35">
        <f t="shared" si="84"/>
        <v>0</v>
      </c>
      <c r="D5344" s="30" t="str">
        <f>IFERROR(VLOOKUP(C5344,소속부서!$A$2:$B$20,2,FALSE), "")</f>
        <v/>
      </c>
    </row>
    <row r="5345" spans="3:4" x14ac:dyDescent="0.3">
      <c r="C5345" s="35">
        <f t="shared" si="84"/>
        <v>0</v>
      </c>
      <c r="D5345" s="30" t="str">
        <f>IFERROR(VLOOKUP(C5345,소속부서!$A$2:$B$20,2,FALSE), "")</f>
        <v/>
      </c>
    </row>
    <row r="5346" spans="3:4" x14ac:dyDescent="0.3">
      <c r="C5346" s="35">
        <f t="shared" si="84"/>
        <v>0</v>
      </c>
      <c r="D5346" s="30" t="str">
        <f>IFERROR(VLOOKUP(C5346,소속부서!$A$2:$B$20,2,FALSE), "")</f>
        <v/>
      </c>
    </row>
    <row r="5347" spans="3:4" x14ac:dyDescent="0.3">
      <c r="C5347" s="35">
        <f t="shared" si="84"/>
        <v>0</v>
      </c>
      <c r="D5347" s="30" t="str">
        <f>IFERROR(VLOOKUP(C5347,소속부서!$A$2:$B$20,2,FALSE), "")</f>
        <v/>
      </c>
    </row>
    <row r="5348" spans="3:4" x14ac:dyDescent="0.3">
      <c r="C5348" s="35">
        <f t="shared" si="84"/>
        <v>0</v>
      </c>
      <c r="D5348" s="30" t="str">
        <f>IFERROR(VLOOKUP(C5348,소속부서!$A$2:$B$20,2,FALSE), "")</f>
        <v/>
      </c>
    </row>
    <row r="5349" spans="3:4" x14ac:dyDescent="0.3">
      <c r="C5349" s="35">
        <f t="shared" si="84"/>
        <v>0</v>
      </c>
      <c r="D5349" s="30" t="str">
        <f>IFERROR(VLOOKUP(C5349,소속부서!$A$2:$B$20,2,FALSE), "")</f>
        <v/>
      </c>
    </row>
    <row r="5350" spans="3:4" x14ac:dyDescent="0.3">
      <c r="C5350" s="35">
        <f t="shared" si="84"/>
        <v>0</v>
      </c>
      <c r="D5350" s="30" t="str">
        <f>IFERROR(VLOOKUP(C5350,소속부서!$A$2:$B$20,2,FALSE), "")</f>
        <v/>
      </c>
    </row>
    <row r="5351" spans="3:4" x14ac:dyDescent="0.3">
      <c r="C5351" s="35">
        <f t="shared" si="84"/>
        <v>0</v>
      </c>
      <c r="D5351" s="30" t="str">
        <f>IFERROR(VLOOKUP(C5351,소속부서!$A$2:$B$20,2,FALSE), "")</f>
        <v/>
      </c>
    </row>
    <row r="5352" spans="3:4" x14ac:dyDescent="0.3">
      <c r="C5352" s="35">
        <f t="shared" si="84"/>
        <v>0</v>
      </c>
      <c r="D5352" s="30" t="str">
        <f>IFERROR(VLOOKUP(C5352,소속부서!$A$2:$B$20,2,FALSE), "")</f>
        <v/>
      </c>
    </row>
    <row r="5353" spans="3:4" x14ac:dyDescent="0.3">
      <c r="C5353" s="35">
        <f t="shared" si="84"/>
        <v>0</v>
      </c>
      <c r="D5353" s="30" t="str">
        <f>IFERROR(VLOOKUP(C5353,소속부서!$A$2:$B$20,2,FALSE), "")</f>
        <v/>
      </c>
    </row>
    <row r="5354" spans="3:4" x14ac:dyDescent="0.3">
      <c r="C5354" s="35">
        <f t="shared" si="84"/>
        <v>0</v>
      </c>
      <c r="D5354" s="30" t="str">
        <f>IFERROR(VLOOKUP(C5354,소속부서!$A$2:$B$20,2,FALSE), "")</f>
        <v/>
      </c>
    </row>
    <row r="5355" spans="3:4" x14ac:dyDescent="0.3">
      <c r="C5355" s="35">
        <f t="shared" si="84"/>
        <v>0</v>
      </c>
      <c r="D5355" s="30" t="str">
        <f>IFERROR(VLOOKUP(C5355,소속부서!$A$2:$B$20,2,FALSE), "")</f>
        <v/>
      </c>
    </row>
    <row r="5356" spans="3:4" x14ac:dyDescent="0.3">
      <c r="C5356" s="35">
        <f t="shared" si="84"/>
        <v>0</v>
      </c>
      <c r="D5356" s="30" t="str">
        <f>IFERROR(VLOOKUP(C5356,소속부서!$A$2:$B$20,2,FALSE), "")</f>
        <v/>
      </c>
    </row>
    <row r="5357" spans="3:4" x14ac:dyDescent="0.3">
      <c r="C5357" s="35">
        <f t="shared" si="84"/>
        <v>0</v>
      </c>
      <c r="D5357" s="30" t="str">
        <f>IFERROR(VLOOKUP(C5357,소속부서!$A$2:$B$20,2,FALSE), "")</f>
        <v/>
      </c>
    </row>
    <row r="5358" spans="3:4" x14ac:dyDescent="0.3">
      <c r="C5358" s="35">
        <f t="shared" si="84"/>
        <v>0</v>
      </c>
      <c r="D5358" s="30" t="str">
        <f>IFERROR(VLOOKUP(C5358,소속부서!$A$2:$B$20,2,FALSE), "")</f>
        <v/>
      </c>
    </row>
    <row r="5359" spans="3:4" x14ac:dyDescent="0.3">
      <c r="C5359" s="35">
        <f t="shared" si="84"/>
        <v>0</v>
      </c>
      <c r="D5359" s="30" t="str">
        <f>IFERROR(VLOOKUP(C5359,소속부서!$A$2:$B$20,2,FALSE), "")</f>
        <v/>
      </c>
    </row>
    <row r="5360" spans="3:4" x14ac:dyDescent="0.3">
      <c r="C5360" s="35">
        <f t="shared" si="84"/>
        <v>0</v>
      </c>
      <c r="D5360" s="30" t="str">
        <f>IFERROR(VLOOKUP(C5360,소속부서!$A$2:$B$20,2,FALSE), "")</f>
        <v/>
      </c>
    </row>
    <row r="5361" spans="3:4" x14ac:dyDescent="0.3">
      <c r="C5361" s="35">
        <f t="shared" si="84"/>
        <v>0</v>
      </c>
      <c r="D5361" s="30" t="str">
        <f>IFERROR(VLOOKUP(C5361,소속부서!$A$2:$B$20,2,FALSE), "")</f>
        <v/>
      </c>
    </row>
    <row r="5362" spans="3:4" x14ac:dyDescent="0.3">
      <c r="C5362" s="35">
        <f t="shared" si="84"/>
        <v>0</v>
      </c>
      <c r="D5362" s="30" t="str">
        <f>IFERROR(VLOOKUP(C5362,소속부서!$A$2:$B$20,2,FALSE), "")</f>
        <v/>
      </c>
    </row>
    <row r="5363" spans="3:4" x14ac:dyDescent="0.3">
      <c r="C5363" s="35">
        <f t="shared" si="84"/>
        <v>0</v>
      </c>
      <c r="D5363" s="30" t="str">
        <f>IFERROR(VLOOKUP(C5363,소속부서!$A$2:$B$20,2,FALSE), "")</f>
        <v/>
      </c>
    </row>
    <row r="5364" spans="3:4" x14ac:dyDescent="0.3">
      <c r="C5364" s="35">
        <f t="shared" si="84"/>
        <v>0</v>
      </c>
      <c r="D5364" s="30" t="str">
        <f>IFERROR(VLOOKUP(C5364,소속부서!$A$2:$B$20,2,FALSE), "")</f>
        <v/>
      </c>
    </row>
    <row r="5365" spans="3:4" x14ac:dyDescent="0.3">
      <c r="C5365" s="35">
        <f t="shared" si="84"/>
        <v>0</v>
      </c>
      <c r="D5365" s="30" t="str">
        <f>IFERROR(VLOOKUP(C5365,소속부서!$A$2:$B$20,2,FALSE), "")</f>
        <v/>
      </c>
    </row>
    <row r="5366" spans="3:4" x14ac:dyDescent="0.3">
      <c r="C5366" s="35">
        <f t="shared" si="84"/>
        <v>0</v>
      </c>
      <c r="D5366" s="30" t="str">
        <f>IFERROR(VLOOKUP(C5366,소속부서!$A$2:$B$20,2,FALSE), "")</f>
        <v/>
      </c>
    </row>
    <row r="5367" spans="3:4" x14ac:dyDescent="0.3">
      <c r="C5367" s="35">
        <f t="shared" si="84"/>
        <v>0</v>
      </c>
      <c r="D5367" s="30" t="str">
        <f>IFERROR(VLOOKUP(C5367,소속부서!$A$2:$B$20,2,FALSE), "")</f>
        <v/>
      </c>
    </row>
    <row r="5368" spans="3:4" x14ac:dyDescent="0.3">
      <c r="C5368" s="35">
        <f t="shared" si="84"/>
        <v>0</v>
      </c>
      <c r="D5368" s="30" t="str">
        <f>IFERROR(VLOOKUP(C5368,소속부서!$A$2:$B$20,2,FALSE), "")</f>
        <v/>
      </c>
    </row>
    <row r="5369" spans="3:4" x14ac:dyDescent="0.3">
      <c r="C5369" s="35">
        <f t="shared" si="84"/>
        <v>0</v>
      </c>
      <c r="D5369" s="30" t="str">
        <f>IFERROR(VLOOKUP(C5369,소속부서!$A$2:$B$20,2,FALSE), "")</f>
        <v/>
      </c>
    </row>
    <row r="5370" spans="3:4" x14ac:dyDescent="0.3">
      <c r="C5370" s="35">
        <f t="shared" si="84"/>
        <v>0</v>
      </c>
      <c r="D5370" s="30" t="str">
        <f>IFERROR(VLOOKUP(C5370,소속부서!$A$2:$B$20,2,FALSE), "")</f>
        <v/>
      </c>
    </row>
    <row r="5371" spans="3:4" x14ac:dyDescent="0.3">
      <c r="C5371" s="35">
        <f t="shared" si="84"/>
        <v>0</v>
      </c>
      <c r="D5371" s="30" t="str">
        <f>IFERROR(VLOOKUP(C5371,소속부서!$A$2:$B$20,2,FALSE), "")</f>
        <v/>
      </c>
    </row>
    <row r="5372" spans="3:4" x14ac:dyDescent="0.3">
      <c r="C5372" s="35">
        <f t="shared" si="84"/>
        <v>0</v>
      </c>
      <c r="D5372" s="30" t="str">
        <f>IFERROR(VLOOKUP(C5372,소속부서!$A$2:$B$20,2,FALSE), "")</f>
        <v/>
      </c>
    </row>
    <row r="5373" spans="3:4" x14ac:dyDescent="0.3">
      <c r="C5373" s="35">
        <f t="shared" si="84"/>
        <v>0</v>
      </c>
      <c r="D5373" s="30" t="str">
        <f>IFERROR(VLOOKUP(C5373,소속부서!$A$2:$B$20,2,FALSE), "")</f>
        <v/>
      </c>
    </row>
    <row r="5374" spans="3:4" x14ac:dyDescent="0.3">
      <c r="C5374" s="35">
        <f t="shared" si="84"/>
        <v>0</v>
      </c>
      <c r="D5374" s="30" t="str">
        <f>IFERROR(VLOOKUP(C5374,소속부서!$A$2:$B$20,2,FALSE), "")</f>
        <v/>
      </c>
    </row>
    <row r="5375" spans="3:4" x14ac:dyDescent="0.3">
      <c r="C5375" s="35">
        <f t="shared" si="84"/>
        <v>0</v>
      </c>
      <c r="D5375" s="30" t="str">
        <f>IFERROR(VLOOKUP(C5375,소속부서!$A$2:$B$20,2,FALSE), "")</f>
        <v/>
      </c>
    </row>
    <row r="5376" spans="3:4" x14ac:dyDescent="0.3">
      <c r="C5376" s="35">
        <f t="shared" si="84"/>
        <v>0</v>
      </c>
      <c r="D5376" s="30" t="str">
        <f>IFERROR(VLOOKUP(C5376,소속부서!$A$2:$B$20,2,FALSE), "")</f>
        <v/>
      </c>
    </row>
    <row r="5377" spans="3:4" x14ac:dyDescent="0.3">
      <c r="C5377" s="35">
        <f t="shared" si="84"/>
        <v>0</v>
      </c>
      <c r="D5377" s="30" t="str">
        <f>IFERROR(VLOOKUP(C5377,소속부서!$A$2:$B$20,2,FALSE), "")</f>
        <v/>
      </c>
    </row>
    <row r="5378" spans="3:4" x14ac:dyDescent="0.3">
      <c r="C5378" s="35">
        <f t="shared" si="84"/>
        <v>0</v>
      </c>
      <c r="D5378" s="30" t="str">
        <f>IFERROR(VLOOKUP(C5378,소속부서!$A$2:$B$20,2,FALSE), "")</f>
        <v/>
      </c>
    </row>
    <row r="5379" spans="3:4" x14ac:dyDescent="0.3">
      <c r="C5379" s="35">
        <f t="shared" si="84"/>
        <v>0</v>
      </c>
      <c r="D5379" s="30" t="str">
        <f>IFERROR(VLOOKUP(C5379,소속부서!$A$2:$B$20,2,FALSE), "")</f>
        <v/>
      </c>
    </row>
    <row r="5380" spans="3:4" x14ac:dyDescent="0.3">
      <c r="C5380" s="35">
        <f t="shared" ref="C5380:C5443" si="85">E5380</f>
        <v>0</v>
      </c>
      <c r="D5380" s="30" t="str">
        <f>IFERROR(VLOOKUP(C5380,소속부서!$A$2:$B$20,2,FALSE), "")</f>
        <v/>
      </c>
    </row>
    <row r="5381" spans="3:4" x14ac:dyDescent="0.3">
      <c r="C5381" s="35">
        <f t="shared" si="85"/>
        <v>0</v>
      </c>
      <c r="D5381" s="30" t="str">
        <f>IFERROR(VLOOKUP(C5381,소속부서!$A$2:$B$20,2,FALSE), "")</f>
        <v/>
      </c>
    </row>
    <row r="5382" spans="3:4" x14ac:dyDescent="0.3">
      <c r="C5382" s="35">
        <f t="shared" si="85"/>
        <v>0</v>
      </c>
      <c r="D5382" s="30" t="str">
        <f>IFERROR(VLOOKUP(C5382,소속부서!$A$2:$B$20,2,FALSE), "")</f>
        <v/>
      </c>
    </row>
    <row r="5383" spans="3:4" x14ac:dyDescent="0.3">
      <c r="C5383" s="35">
        <f t="shared" si="85"/>
        <v>0</v>
      </c>
      <c r="D5383" s="30" t="str">
        <f>IFERROR(VLOOKUP(C5383,소속부서!$A$2:$B$20,2,FALSE), "")</f>
        <v/>
      </c>
    </row>
    <row r="5384" spans="3:4" x14ac:dyDescent="0.3">
      <c r="C5384" s="35">
        <f t="shared" si="85"/>
        <v>0</v>
      </c>
      <c r="D5384" s="30" t="str">
        <f>IFERROR(VLOOKUP(C5384,소속부서!$A$2:$B$20,2,FALSE), "")</f>
        <v/>
      </c>
    </row>
    <row r="5385" spans="3:4" x14ac:dyDescent="0.3">
      <c r="C5385" s="35">
        <f t="shared" si="85"/>
        <v>0</v>
      </c>
      <c r="D5385" s="30" t="str">
        <f>IFERROR(VLOOKUP(C5385,소속부서!$A$2:$B$20,2,FALSE), "")</f>
        <v/>
      </c>
    </row>
    <row r="5386" spans="3:4" x14ac:dyDescent="0.3">
      <c r="C5386" s="35">
        <f t="shared" si="85"/>
        <v>0</v>
      </c>
      <c r="D5386" s="30" t="str">
        <f>IFERROR(VLOOKUP(C5386,소속부서!$A$2:$B$20,2,FALSE), "")</f>
        <v/>
      </c>
    </row>
    <row r="5387" spans="3:4" x14ac:dyDescent="0.3">
      <c r="C5387" s="35">
        <f t="shared" si="85"/>
        <v>0</v>
      </c>
      <c r="D5387" s="30" t="str">
        <f>IFERROR(VLOOKUP(C5387,소속부서!$A$2:$B$20,2,FALSE), "")</f>
        <v/>
      </c>
    </row>
    <row r="5388" spans="3:4" x14ac:dyDescent="0.3">
      <c r="C5388" s="35">
        <f t="shared" si="85"/>
        <v>0</v>
      </c>
      <c r="D5388" s="30" t="str">
        <f>IFERROR(VLOOKUP(C5388,소속부서!$A$2:$B$20,2,FALSE), "")</f>
        <v/>
      </c>
    </row>
    <row r="5389" spans="3:4" x14ac:dyDescent="0.3">
      <c r="C5389" s="35">
        <f t="shared" si="85"/>
        <v>0</v>
      </c>
      <c r="D5389" s="30" t="str">
        <f>IFERROR(VLOOKUP(C5389,소속부서!$A$2:$B$20,2,FALSE), "")</f>
        <v/>
      </c>
    </row>
    <row r="5390" spans="3:4" x14ac:dyDescent="0.3">
      <c r="C5390" s="35">
        <f t="shared" si="85"/>
        <v>0</v>
      </c>
      <c r="D5390" s="30" t="str">
        <f>IFERROR(VLOOKUP(C5390,소속부서!$A$2:$B$20,2,FALSE), "")</f>
        <v/>
      </c>
    </row>
    <row r="5391" spans="3:4" x14ac:dyDescent="0.3">
      <c r="C5391" s="35">
        <f t="shared" si="85"/>
        <v>0</v>
      </c>
      <c r="D5391" s="30" t="str">
        <f>IFERROR(VLOOKUP(C5391,소속부서!$A$2:$B$20,2,FALSE), "")</f>
        <v/>
      </c>
    </row>
    <row r="5392" spans="3:4" x14ac:dyDescent="0.3">
      <c r="C5392" s="35">
        <f t="shared" si="85"/>
        <v>0</v>
      </c>
      <c r="D5392" s="30" t="str">
        <f>IFERROR(VLOOKUP(C5392,소속부서!$A$2:$B$20,2,FALSE), "")</f>
        <v/>
      </c>
    </row>
    <row r="5393" spans="3:4" x14ac:dyDescent="0.3">
      <c r="C5393" s="35">
        <f t="shared" si="85"/>
        <v>0</v>
      </c>
      <c r="D5393" s="30" t="str">
        <f>IFERROR(VLOOKUP(C5393,소속부서!$A$2:$B$20,2,FALSE), "")</f>
        <v/>
      </c>
    </row>
    <row r="5394" spans="3:4" x14ac:dyDescent="0.3">
      <c r="C5394" s="35">
        <f t="shared" si="85"/>
        <v>0</v>
      </c>
      <c r="D5394" s="30" t="str">
        <f>IFERROR(VLOOKUP(C5394,소속부서!$A$2:$B$20,2,FALSE), "")</f>
        <v/>
      </c>
    </row>
    <row r="5395" spans="3:4" x14ac:dyDescent="0.3">
      <c r="C5395" s="35">
        <f t="shared" si="85"/>
        <v>0</v>
      </c>
      <c r="D5395" s="30" t="str">
        <f>IFERROR(VLOOKUP(C5395,소속부서!$A$2:$B$20,2,FALSE), "")</f>
        <v/>
      </c>
    </row>
    <row r="5396" spans="3:4" x14ac:dyDescent="0.3">
      <c r="C5396" s="35">
        <f t="shared" si="85"/>
        <v>0</v>
      </c>
      <c r="D5396" s="30" t="str">
        <f>IFERROR(VLOOKUP(C5396,소속부서!$A$2:$B$20,2,FALSE), "")</f>
        <v/>
      </c>
    </row>
    <row r="5397" spans="3:4" x14ac:dyDescent="0.3">
      <c r="C5397" s="35">
        <f t="shared" si="85"/>
        <v>0</v>
      </c>
      <c r="D5397" s="30" t="str">
        <f>IFERROR(VLOOKUP(C5397,소속부서!$A$2:$B$20,2,FALSE), "")</f>
        <v/>
      </c>
    </row>
    <row r="5398" spans="3:4" x14ac:dyDescent="0.3">
      <c r="C5398" s="35">
        <f t="shared" si="85"/>
        <v>0</v>
      </c>
      <c r="D5398" s="30" t="str">
        <f>IFERROR(VLOOKUP(C5398,소속부서!$A$2:$B$20,2,FALSE), "")</f>
        <v/>
      </c>
    </row>
    <row r="5399" spans="3:4" x14ac:dyDescent="0.3">
      <c r="C5399" s="35">
        <f t="shared" si="85"/>
        <v>0</v>
      </c>
      <c r="D5399" s="30" t="str">
        <f>IFERROR(VLOOKUP(C5399,소속부서!$A$2:$B$20,2,FALSE), "")</f>
        <v/>
      </c>
    </row>
    <row r="5400" spans="3:4" x14ac:dyDescent="0.3">
      <c r="C5400" s="35">
        <f t="shared" si="85"/>
        <v>0</v>
      </c>
      <c r="D5400" s="30" t="str">
        <f>IFERROR(VLOOKUP(C5400,소속부서!$A$2:$B$20,2,FALSE), "")</f>
        <v/>
      </c>
    </row>
    <row r="5401" spans="3:4" x14ac:dyDescent="0.3">
      <c r="C5401" s="35">
        <f t="shared" si="85"/>
        <v>0</v>
      </c>
      <c r="D5401" s="30" t="str">
        <f>IFERROR(VLOOKUP(C5401,소속부서!$A$2:$B$20,2,FALSE), "")</f>
        <v/>
      </c>
    </row>
    <row r="5402" spans="3:4" x14ac:dyDescent="0.3">
      <c r="C5402" s="35">
        <f t="shared" si="85"/>
        <v>0</v>
      </c>
      <c r="D5402" s="30" t="str">
        <f>IFERROR(VLOOKUP(C5402,소속부서!$A$2:$B$20,2,FALSE), "")</f>
        <v/>
      </c>
    </row>
    <row r="5403" spans="3:4" x14ac:dyDescent="0.3">
      <c r="C5403" s="35">
        <f t="shared" si="85"/>
        <v>0</v>
      </c>
      <c r="D5403" s="30" t="str">
        <f>IFERROR(VLOOKUP(C5403,소속부서!$A$2:$B$20,2,FALSE), "")</f>
        <v/>
      </c>
    </row>
    <row r="5404" spans="3:4" x14ac:dyDescent="0.3">
      <c r="C5404" s="35">
        <f t="shared" si="85"/>
        <v>0</v>
      </c>
      <c r="D5404" s="30" t="str">
        <f>IFERROR(VLOOKUP(C5404,소속부서!$A$2:$B$20,2,FALSE), "")</f>
        <v/>
      </c>
    </row>
    <row r="5405" spans="3:4" x14ac:dyDescent="0.3">
      <c r="C5405" s="35">
        <f t="shared" si="85"/>
        <v>0</v>
      </c>
      <c r="D5405" s="30" t="str">
        <f>IFERROR(VLOOKUP(C5405,소속부서!$A$2:$B$20,2,FALSE), "")</f>
        <v/>
      </c>
    </row>
    <row r="5406" spans="3:4" x14ac:dyDescent="0.3">
      <c r="C5406" s="35">
        <f t="shared" si="85"/>
        <v>0</v>
      </c>
      <c r="D5406" s="30" t="str">
        <f>IFERROR(VLOOKUP(C5406,소속부서!$A$2:$B$20,2,FALSE), "")</f>
        <v/>
      </c>
    </row>
    <row r="5407" spans="3:4" x14ac:dyDescent="0.3">
      <c r="C5407" s="35">
        <f t="shared" si="85"/>
        <v>0</v>
      </c>
      <c r="D5407" s="30" t="str">
        <f>IFERROR(VLOOKUP(C5407,소속부서!$A$2:$B$20,2,FALSE), "")</f>
        <v/>
      </c>
    </row>
    <row r="5408" spans="3:4" x14ac:dyDescent="0.3">
      <c r="C5408" s="35">
        <f t="shared" si="85"/>
        <v>0</v>
      </c>
      <c r="D5408" s="30" t="str">
        <f>IFERROR(VLOOKUP(C5408,소속부서!$A$2:$B$20,2,FALSE), "")</f>
        <v/>
      </c>
    </row>
    <row r="5409" spans="3:4" x14ac:dyDescent="0.3">
      <c r="C5409" s="35">
        <f t="shared" si="85"/>
        <v>0</v>
      </c>
      <c r="D5409" s="30" t="str">
        <f>IFERROR(VLOOKUP(C5409,소속부서!$A$2:$B$20,2,FALSE), "")</f>
        <v/>
      </c>
    </row>
    <row r="5410" spans="3:4" x14ac:dyDescent="0.3">
      <c r="C5410" s="35">
        <f t="shared" si="85"/>
        <v>0</v>
      </c>
      <c r="D5410" s="30" t="str">
        <f>IFERROR(VLOOKUP(C5410,소속부서!$A$2:$B$20,2,FALSE), "")</f>
        <v/>
      </c>
    </row>
    <row r="5411" spans="3:4" x14ac:dyDescent="0.3">
      <c r="C5411" s="35">
        <f t="shared" si="85"/>
        <v>0</v>
      </c>
      <c r="D5411" s="30" t="str">
        <f>IFERROR(VLOOKUP(C5411,소속부서!$A$2:$B$20,2,FALSE), "")</f>
        <v/>
      </c>
    </row>
    <row r="5412" spans="3:4" x14ac:dyDescent="0.3">
      <c r="C5412" s="35">
        <f t="shared" si="85"/>
        <v>0</v>
      </c>
      <c r="D5412" s="30" t="str">
        <f>IFERROR(VLOOKUP(C5412,소속부서!$A$2:$B$20,2,FALSE), "")</f>
        <v/>
      </c>
    </row>
    <row r="5413" spans="3:4" x14ac:dyDescent="0.3">
      <c r="C5413" s="35">
        <f t="shared" si="85"/>
        <v>0</v>
      </c>
      <c r="D5413" s="30" t="str">
        <f>IFERROR(VLOOKUP(C5413,소속부서!$A$2:$B$20,2,FALSE), "")</f>
        <v/>
      </c>
    </row>
    <row r="5414" spans="3:4" x14ac:dyDescent="0.3">
      <c r="C5414" s="35">
        <f t="shared" si="85"/>
        <v>0</v>
      </c>
      <c r="D5414" s="30" t="str">
        <f>IFERROR(VLOOKUP(C5414,소속부서!$A$2:$B$20,2,FALSE), "")</f>
        <v/>
      </c>
    </row>
    <row r="5415" spans="3:4" x14ac:dyDescent="0.3">
      <c r="C5415" s="35">
        <f t="shared" si="85"/>
        <v>0</v>
      </c>
      <c r="D5415" s="30" t="str">
        <f>IFERROR(VLOOKUP(C5415,소속부서!$A$2:$B$20,2,FALSE), "")</f>
        <v/>
      </c>
    </row>
    <row r="5416" spans="3:4" x14ac:dyDescent="0.3">
      <c r="C5416" s="35">
        <f t="shared" si="85"/>
        <v>0</v>
      </c>
      <c r="D5416" s="30" t="str">
        <f>IFERROR(VLOOKUP(C5416,소속부서!$A$2:$B$20,2,FALSE), "")</f>
        <v/>
      </c>
    </row>
    <row r="5417" spans="3:4" x14ac:dyDescent="0.3">
      <c r="C5417" s="35">
        <f t="shared" si="85"/>
        <v>0</v>
      </c>
      <c r="D5417" s="30" t="str">
        <f>IFERROR(VLOOKUP(C5417,소속부서!$A$2:$B$20,2,FALSE), "")</f>
        <v/>
      </c>
    </row>
    <row r="5418" spans="3:4" x14ac:dyDescent="0.3">
      <c r="C5418" s="35">
        <f t="shared" si="85"/>
        <v>0</v>
      </c>
      <c r="D5418" s="30" t="str">
        <f>IFERROR(VLOOKUP(C5418,소속부서!$A$2:$B$20,2,FALSE), "")</f>
        <v/>
      </c>
    </row>
    <row r="5419" spans="3:4" x14ac:dyDescent="0.3">
      <c r="C5419" s="35">
        <f t="shared" si="85"/>
        <v>0</v>
      </c>
      <c r="D5419" s="30" t="str">
        <f>IFERROR(VLOOKUP(C5419,소속부서!$A$2:$B$20,2,FALSE), "")</f>
        <v/>
      </c>
    </row>
    <row r="5420" spans="3:4" x14ac:dyDescent="0.3">
      <c r="C5420" s="35">
        <f t="shared" si="85"/>
        <v>0</v>
      </c>
      <c r="D5420" s="30" t="str">
        <f>IFERROR(VLOOKUP(C5420,소속부서!$A$2:$B$20,2,FALSE), "")</f>
        <v/>
      </c>
    </row>
    <row r="5421" spans="3:4" x14ac:dyDescent="0.3">
      <c r="C5421" s="35">
        <f t="shared" si="85"/>
        <v>0</v>
      </c>
      <c r="D5421" s="30" t="str">
        <f>IFERROR(VLOOKUP(C5421,소속부서!$A$2:$B$20,2,FALSE), "")</f>
        <v/>
      </c>
    </row>
    <row r="5422" spans="3:4" x14ac:dyDescent="0.3">
      <c r="C5422" s="35">
        <f t="shared" si="85"/>
        <v>0</v>
      </c>
      <c r="D5422" s="30" t="str">
        <f>IFERROR(VLOOKUP(C5422,소속부서!$A$2:$B$20,2,FALSE), "")</f>
        <v/>
      </c>
    </row>
    <row r="5423" spans="3:4" x14ac:dyDescent="0.3">
      <c r="C5423" s="35">
        <f t="shared" si="85"/>
        <v>0</v>
      </c>
      <c r="D5423" s="30" t="str">
        <f>IFERROR(VLOOKUP(C5423,소속부서!$A$2:$B$20,2,FALSE), "")</f>
        <v/>
      </c>
    </row>
    <row r="5424" spans="3:4" x14ac:dyDescent="0.3">
      <c r="C5424" s="35">
        <f t="shared" si="85"/>
        <v>0</v>
      </c>
      <c r="D5424" s="30" t="str">
        <f>IFERROR(VLOOKUP(C5424,소속부서!$A$2:$B$20,2,FALSE), "")</f>
        <v/>
      </c>
    </row>
    <row r="5425" spans="3:4" x14ac:dyDescent="0.3">
      <c r="C5425" s="35">
        <f t="shared" si="85"/>
        <v>0</v>
      </c>
      <c r="D5425" s="30" t="str">
        <f>IFERROR(VLOOKUP(C5425,소속부서!$A$2:$B$20,2,FALSE), "")</f>
        <v/>
      </c>
    </row>
    <row r="5426" spans="3:4" x14ac:dyDescent="0.3">
      <c r="C5426" s="35">
        <f t="shared" si="85"/>
        <v>0</v>
      </c>
      <c r="D5426" s="30" t="str">
        <f>IFERROR(VLOOKUP(C5426,소속부서!$A$2:$B$20,2,FALSE), "")</f>
        <v/>
      </c>
    </row>
    <row r="5427" spans="3:4" x14ac:dyDescent="0.3">
      <c r="C5427" s="35">
        <f t="shared" si="85"/>
        <v>0</v>
      </c>
      <c r="D5427" s="30" t="str">
        <f>IFERROR(VLOOKUP(C5427,소속부서!$A$2:$B$20,2,FALSE), "")</f>
        <v/>
      </c>
    </row>
    <row r="5428" spans="3:4" x14ac:dyDescent="0.3">
      <c r="C5428" s="35">
        <f t="shared" si="85"/>
        <v>0</v>
      </c>
      <c r="D5428" s="30" t="str">
        <f>IFERROR(VLOOKUP(C5428,소속부서!$A$2:$B$20,2,FALSE), "")</f>
        <v/>
      </c>
    </row>
    <row r="5429" spans="3:4" x14ac:dyDescent="0.3">
      <c r="C5429" s="35">
        <f t="shared" si="85"/>
        <v>0</v>
      </c>
      <c r="D5429" s="30" t="str">
        <f>IFERROR(VLOOKUP(C5429,소속부서!$A$2:$B$20,2,FALSE), "")</f>
        <v/>
      </c>
    </row>
    <row r="5430" spans="3:4" x14ac:dyDescent="0.3">
      <c r="C5430" s="35">
        <f t="shared" si="85"/>
        <v>0</v>
      </c>
      <c r="D5430" s="30" t="str">
        <f>IFERROR(VLOOKUP(C5430,소속부서!$A$2:$B$20,2,FALSE), "")</f>
        <v/>
      </c>
    </row>
    <row r="5431" spans="3:4" x14ac:dyDescent="0.3">
      <c r="C5431" s="35">
        <f t="shared" si="85"/>
        <v>0</v>
      </c>
      <c r="D5431" s="30" t="str">
        <f>IFERROR(VLOOKUP(C5431,소속부서!$A$2:$B$20,2,FALSE), "")</f>
        <v/>
      </c>
    </row>
    <row r="5432" spans="3:4" x14ac:dyDescent="0.3">
      <c r="C5432" s="35">
        <f t="shared" si="85"/>
        <v>0</v>
      </c>
      <c r="D5432" s="30" t="str">
        <f>IFERROR(VLOOKUP(C5432,소속부서!$A$2:$B$20,2,FALSE), "")</f>
        <v/>
      </c>
    </row>
    <row r="5433" spans="3:4" x14ac:dyDescent="0.3">
      <c r="C5433" s="35">
        <f t="shared" si="85"/>
        <v>0</v>
      </c>
      <c r="D5433" s="30" t="str">
        <f>IFERROR(VLOOKUP(C5433,소속부서!$A$2:$B$20,2,FALSE), "")</f>
        <v/>
      </c>
    </row>
    <row r="5434" spans="3:4" x14ac:dyDescent="0.3">
      <c r="C5434" s="35">
        <f t="shared" si="85"/>
        <v>0</v>
      </c>
      <c r="D5434" s="30" t="str">
        <f>IFERROR(VLOOKUP(C5434,소속부서!$A$2:$B$20,2,FALSE), "")</f>
        <v/>
      </c>
    </row>
    <row r="5435" spans="3:4" x14ac:dyDescent="0.3">
      <c r="C5435" s="35">
        <f t="shared" si="85"/>
        <v>0</v>
      </c>
      <c r="D5435" s="30" t="str">
        <f>IFERROR(VLOOKUP(C5435,소속부서!$A$2:$B$20,2,FALSE), "")</f>
        <v/>
      </c>
    </row>
    <row r="5436" spans="3:4" x14ac:dyDescent="0.3">
      <c r="C5436" s="35">
        <f t="shared" si="85"/>
        <v>0</v>
      </c>
      <c r="D5436" s="30" t="str">
        <f>IFERROR(VLOOKUP(C5436,소속부서!$A$2:$B$20,2,FALSE), "")</f>
        <v/>
      </c>
    </row>
    <row r="5437" spans="3:4" x14ac:dyDescent="0.3">
      <c r="C5437" s="35">
        <f t="shared" si="85"/>
        <v>0</v>
      </c>
      <c r="D5437" s="30" t="str">
        <f>IFERROR(VLOOKUP(C5437,소속부서!$A$2:$B$20,2,FALSE), "")</f>
        <v/>
      </c>
    </row>
    <row r="5438" spans="3:4" x14ac:dyDescent="0.3">
      <c r="C5438" s="35">
        <f t="shared" si="85"/>
        <v>0</v>
      </c>
      <c r="D5438" s="30" t="str">
        <f>IFERROR(VLOOKUP(C5438,소속부서!$A$2:$B$20,2,FALSE), "")</f>
        <v/>
      </c>
    </row>
    <row r="5439" spans="3:4" x14ac:dyDescent="0.3">
      <c r="C5439" s="35">
        <f t="shared" si="85"/>
        <v>0</v>
      </c>
      <c r="D5439" s="30" t="str">
        <f>IFERROR(VLOOKUP(C5439,소속부서!$A$2:$B$20,2,FALSE), "")</f>
        <v/>
      </c>
    </row>
    <row r="5440" spans="3:4" x14ac:dyDescent="0.3">
      <c r="C5440" s="35">
        <f t="shared" si="85"/>
        <v>0</v>
      </c>
      <c r="D5440" s="30" t="str">
        <f>IFERROR(VLOOKUP(C5440,소속부서!$A$2:$B$20,2,FALSE), "")</f>
        <v/>
      </c>
    </row>
    <row r="5441" spans="3:4" x14ac:dyDescent="0.3">
      <c r="C5441" s="35">
        <f t="shared" si="85"/>
        <v>0</v>
      </c>
      <c r="D5441" s="30" t="str">
        <f>IFERROR(VLOOKUP(C5441,소속부서!$A$2:$B$20,2,FALSE), "")</f>
        <v/>
      </c>
    </row>
    <row r="5442" spans="3:4" x14ac:dyDescent="0.3">
      <c r="C5442" s="35">
        <f t="shared" si="85"/>
        <v>0</v>
      </c>
      <c r="D5442" s="30" t="str">
        <f>IFERROR(VLOOKUP(C5442,소속부서!$A$2:$B$20,2,FALSE), "")</f>
        <v/>
      </c>
    </row>
    <row r="5443" spans="3:4" x14ac:dyDescent="0.3">
      <c r="C5443" s="35">
        <f t="shared" si="85"/>
        <v>0</v>
      </c>
      <c r="D5443" s="30" t="str">
        <f>IFERROR(VLOOKUP(C5443,소속부서!$A$2:$B$20,2,FALSE), "")</f>
        <v/>
      </c>
    </row>
    <row r="5444" spans="3:4" x14ac:dyDescent="0.3">
      <c r="C5444" s="35">
        <f t="shared" ref="C5444:C5507" si="86">E5444</f>
        <v>0</v>
      </c>
      <c r="D5444" s="30" t="str">
        <f>IFERROR(VLOOKUP(C5444,소속부서!$A$2:$B$20,2,FALSE), "")</f>
        <v/>
      </c>
    </row>
    <row r="5445" spans="3:4" x14ac:dyDescent="0.3">
      <c r="C5445" s="35">
        <f t="shared" si="86"/>
        <v>0</v>
      </c>
      <c r="D5445" s="30" t="str">
        <f>IFERROR(VLOOKUP(C5445,소속부서!$A$2:$B$20,2,FALSE), "")</f>
        <v/>
      </c>
    </row>
    <row r="5446" spans="3:4" x14ac:dyDescent="0.3">
      <c r="C5446" s="35">
        <f t="shared" si="86"/>
        <v>0</v>
      </c>
      <c r="D5446" s="30" t="str">
        <f>IFERROR(VLOOKUP(C5446,소속부서!$A$2:$B$20,2,FALSE), "")</f>
        <v/>
      </c>
    </row>
    <row r="5447" spans="3:4" x14ac:dyDescent="0.3">
      <c r="C5447" s="35">
        <f t="shared" si="86"/>
        <v>0</v>
      </c>
      <c r="D5447" s="30" t="str">
        <f>IFERROR(VLOOKUP(C5447,소속부서!$A$2:$B$20,2,FALSE), "")</f>
        <v/>
      </c>
    </row>
    <row r="5448" spans="3:4" x14ac:dyDescent="0.3">
      <c r="C5448" s="35">
        <f t="shared" si="86"/>
        <v>0</v>
      </c>
      <c r="D5448" s="30" t="str">
        <f>IFERROR(VLOOKUP(C5448,소속부서!$A$2:$B$20,2,FALSE), "")</f>
        <v/>
      </c>
    </row>
    <row r="5449" spans="3:4" x14ac:dyDescent="0.3">
      <c r="C5449" s="35">
        <f t="shared" si="86"/>
        <v>0</v>
      </c>
      <c r="D5449" s="30" t="str">
        <f>IFERROR(VLOOKUP(C5449,소속부서!$A$2:$B$20,2,FALSE), "")</f>
        <v/>
      </c>
    </row>
    <row r="5450" spans="3:4" x14ac:dyDescent="0.3">
      <c r="C5450" s="35">
        <f t="shared" si="86"/>
        <v>0</v>
      </c>
      <c r="D5450" s="30" t="str">
        <f>IFERROR(VLOOKUP(C5450,소속부서!$A$2:$B$20,2,FALSE), "")</f>
        <v/>
      </c>
    </row>
    <row r="5451" spans="3:4" x14ac:dyDescent="0.3">
      <c r="C5451" s="35">
        <f t="shared" si="86"/>
        <v>0</v>
      </c>
      <c r="D5451" s="30" t="str">
        <f>IFERROR(VLOOKUP(C5451,소속부서!$A$2:$B$20,2,FALSE), "")</f>
        <v/>
      </c>
    </row>
    <row r="5452" spans="3:4" x14ac:dyDescent="0.3">
      <c r="C5452" s="35">
        <f t="shared" si="86"/>
        <v>0</v>
      </c>
      <c r="D5452" s="30" t="str">
        <f>IFERROR(VLOOKUP(C5452,소속부서!$A$2:$B$20,2,FALSE), "")</f>
        <v/>
      </c>
    </row>
    <row r="5453" spans="3:4" x14ac:dyDescent="0.3">
      <c r="C5453" s="35">
        <f t="shared" si="86"/>
        <v>0</v>
      </c>
      <c r="D5453" s="30" t="str">
        <f>IFERROR(VLOOKUP(C5453,소속부서!$A$2:$B$20,2,FALSE), "")</f>
        <v/>
      </c>
    </row>
    <row r="5454" spans="3:4" x14ac:dyDescent="0.3">
      <c r="C5454" s="35">
        <f t="shared" si="86"/>
        <v>0</v>
      </c>
      <c r="D5454" s="30" t="str">
        <f>IFERROR(VLOOKUP(C5454,소속부서!$A$2:$B$20,2,FALSE), "")</f>
        <v/>
      </c>
    </row>
    <row r="5455" spans="3:4" x14ac:dyDescent="0.3">
      <c r="C5455" s="35">
        <f t="shared" si="86"/>
        <v>0</v>
      </c>
      <c r="D5455" s="30" t="str">
        <f>IFERROR(VLOOKUP(C5455,소속부서!$A$2:$B$20,2,FALSE), "")</f>
        <v/>
      </c>
    </row>
    <row r="5456" spans="3:4" x14ac:dyDescent="0.3">
      <c r="C5456" s="35">
        <f t="shared" si="86"/>
        <v>0</v>
      </c>
      <c r="D5456" s="30" t="str">
        <f>IFERROR(VLOOKUP(C5456,소속부서!$A$2:$B$20,2,FALSE), "")</f>
        <v/>
      </c>
    </row>
    <row r="5457" spans="3:4" x14ac:dyDescent="0.3">
      <c r="C5457" s="35">
        <f t="shared" si="86"/>
        <v>0</v>
      </c>
      <c r="D5457" s="30" t="str">
        <f>IFERROR(VLOOKUP(C5457,소속부서!$A$2:$B$20,2,FALSE), "")</f>
        <v/>
      </c>
    </row>
    <row r="5458" spans="3:4" x14ac:dyDescent="0.3">
      <c r="C5458" s="35">
        <f t="shared" si="86"/>
        <v>0</v>
      </c>
      <c r="D5458" s="30" t="str">
        <f>IFERROR(VLOOKUP(C5458,소속부서!$A$2:$B$20,2,FALSE), "")</f>
        <v/>
      </c>
    </row>
    <row r="5459" spans="3:4" x14ac:dyDescent="0.3">
      <c r="C5459" s="35">
        <f t="shared" si="86"/>
        <v>0</v>
      </c>
      <c r="D5459" s="30" t="str">
        <f>IFERROR(VLOOKUP(C5459,소속부서!$A$2:$B$20,2,FALSE), "")</f>
        <v/>
      </c>
    </row>
    <row r="5460" spans="3:4" x14ac:dyDescent="0.3">
      <c r="C5460" s="35">
        <f t="shared" si="86"/>
        <v>0</v>
      </c>
      <c r="D5460" s="30" t="str">
        <f>IFERROR(VLOOKUP(C5460,소속부서!$A$2:$B$20,2,FALSE), "")</f>
        <v/>
      </c>
    </row>
    <row r="5461" spans="3:4" x14ac:dyDescent="0.3">
      <c r="C5461" s="35">
        <f t="shared" si="86"/>
        <v>0</v>
      </c>
      <c r="D5461" s="30" t="str">
        <f>IFERROR(VLOOKUP(C5461,소속부서!$A$2:$B$20,2,FALSE), "")</f>
        <v/>
      </c>
    </row>
    <row r="5462" spans="3:4" x14ac:dyDescent="0.3">
      <c r="C5462" s="35">
        <f t="shared" si="86"/>
        <v>0</v>
      </c>
      <c r="D5462" s="30" t="str">
        <f>IFERROR(VLOOKUP(C5462,소속부서!$A$2:$B$20,2,FALSE), "")</f>
        <v/>
      </c>
    </row>
    <row r="5463" spans="3:4" x14ac:dyDescent="0.3">
      <c r="C5463" s="35">
        <f t="shared" si="86"/>
        <v>0</v>
      </c>
      <c r="D5463" s="30" t="str">
        <f>IFERROR(VLOOKUP(C5463,소속부서!$A$2:$B$20,2,FALSE), "")</f>
        <v/>
      </c>
    </row>
    <row r="5464" spans="3:4" x14ac:dyDescent="0.3">
      <c r="C5464" s="35">
        <f t="shared" si="86"/>
        <v>0</v>
      </c>
      <c r="D5464" s="30" t="str">
        <f>IFERROR(VLOOKUP(C5464,소속부서!$A$2:$B$20,2,FALSE), "")</f>
        <v/>
      </c>
    </row>
    <row r="5465" spans="3:4" x14ac:dyDescent="0.3">
      <c r="C5465" s="35">
        <f t="shared" si="86"/>
        <v>0</v>
      </c>
      <c r="D5465" s="30" t="str">
        <f>IFERROR(VLOOKUP(C5465,소속부서!$A$2:$B$20,2,FALSE), "")</f>
        <v/>
      </c>
    </row>
    <row r="5466" spans="3:4" x14ac:dyDescent="0.3">
      <c r="C5466" s="35">
        <f t="shared" si="86"/>
        <v>0</v>
      </c>
      <c r="D5466" s="30" t="str">
        <f>IFERROR(VLOOKUP(C5466,소속부서!$A$2:$B$20,2,FALSE), "")</f>
        <v/>
      </c>
    </row>
    <row r="5467" spans="3:4" x14ac:dyDescent="0.3">
      <c r="C5467" s="35">
        <f t="shared" si="86"/>
        <v>0</v>
      </c>
      <c r="D5467" s="30" t="str">
        <f>IFERROR(VLOOKUP(C5467,소속부서!$A$2:$B$20,2,FALSE), "")</f>
        <v/>
      </c>
    </row>
    <row r="5468" spans="3:4" x14ac:dyDescent="0.3">
      <c r="C5468" s="35">
        <f t="shared" si="86"/>
        <v>0</v>
      </c>
      <c r="D5468" s="30" t="str">
        <f>IFERROR(VLOOKUP(C5468,소속부서!$A$2:$B$20,2,FALSE), "")</f>
        <v/>
      </c>
    </row>
    <row r="5469" spans="3:4" x14ac:dyDescent="0.3">
      <c r="C5469" s="35">
        <f t="shared" si="86"/>
        <v>0</v>
      </c>
      <c r="D5469" s="30" t="str">
        <f>IFERROR(VLOOKUP(C5469,소속부서!$A$2:$B$20,2,FALSE), "")</f>
        <v/>
      </c>
    </row>
    <row r="5470" spans="3:4" x14ac:dyDescent="0.3">
      <c r="C5470" s="35">
        <f t="shared" si="86"/>
        <v>0</v>
      </c>
      <c r="D5470" s="30" t="str">
        <f>IFERROR(VLOOKUP(C5470,소속부서!$A$2:$B$20,2,FALSE), "")</f>
        <v/>
      </c>
    </row>
    <row r="5471" spans="3:4" x14ac:dyDescent="0.3">
      <c r="C5471" s="35">
        <f t="shared" si="86"/>
        <v>0</v>
      </c>
      <c r="D5471" s="30" t="str">
        <f>IFERROR(VLOOKUP(C5471,소속부서!$A$2:$B$20,2,FALSE), "")</f>
        <v/>
      </c>
    </row>
    <row r="5472" spans="3:4" x14ac:dyDescent="0.3">
      <c r="C5472" s="35">
        <f t="shared" si="86"/>
        <v>0</v>
      </c>
      <c r="D5472" s="30" t="str">
        <f>IFERROR(VLOOKUP(C5472,소속부서!$A$2:$B$20,2,FALSE), "")</f>
        <v/>
      </c>
    </row>
    <row r="5473" spans="3:4" x14ac:dyDescent="0.3">
      <c r="C5473" s="35">
        <f t="shared" si="86"/>
        <v>0</v>
      </c>
      <c r="D5473" s="30" t="str">
        <f>IFERROR(VLOOKUP(C5473,소속부서!$A$2:$B$20,2,FALSE), "")</f>
        <v/>
      </c>
    </row>
    <row r="5474" spans="3:4" x14ac:dyDescent="0.3">
      <c r="C5474" s="35">
        <f t="shared" si="86"/>
        <v>0</v>
      </c>
      <c r="D5474" s="30" t="str">
        <f>IFERROR(VLOOKUP(C5474,소속부서!$A$2:$B$20,2,FALSE), "")</f>
        <v/>
      </c>
    </row>
    <row r="5475" spans="3:4" x14ac:dyDescent="0.3">
      <c r="C5475" s="35">
        <f t="shared" si="86"/>
        <v>0</v>
      </c>
      <c r="D5475" s="30" t="str">
        <f>IFERROR(VLOOKUP(C5475,소속부서!$A$2:$B$20,2,FALSE), "")</f>
        <v/>
      </c>
    </row>
    <row r="5476" spans="3:4" x14ac:dyDescent="0.3">
      <c r="C5476" s="35">
        <f t="shared" si="86"/>
        <v>0</v>
      </c>
      <c r="D5476" s="30" t="str">
        <f>IFERROR(VLOOKUP(C5476,소속부서!$A$2:$B$20,2,FALSE), "")</f>
        <v/>
      </c>
    </row>
    <row r="5477" spans="3:4" x14ac:dyDescent="0.3">
      <c r="C5477" s="35">
        <f t="shared" si="86"/>
        <v>0</v>
      </c>
      <c r="D5477" s="30" t="str">
        <f>IFERROR(VLOOKUP(C5477,소속부서!$A$2:$B$20,2,FALSE), "")</f>
        <v/>
      </c>
    </row>
    <row r="5478" spans="3:4" x14ac:dyDescent="0.3">
      <c r="C5478" s="35">
        <f t="shared" si="86"/>
        <v>0</v>
      </c>
      <c r="D5478" s="30" t="str">
        <f>IFERROR(VLOOKUP(C5478,소속부서!$A$2:$B$20,2,FALSE), "")</f>
        <v/>
      </c>
    </row>
    <row r="5479" spans="3:4" x14ac:dyDescent="0.3">
      <c r="C5479" s="35">
        <f t="shared" si="86"/>
        <v>0</v>
      </c>
      <c r="D5479" s="30" t="str">
        <f>IFERROR(VLOOKUP(C5479,소속부서!$A$2:$B$20,2,FALSE), "")</f>
        <v/>
      </c>
    </row>
    <row r="5480" spans="3:4" x14ac:dyDescent="0.3">
      <c r="C5480" s="35">
        <f t="shared" si="86"/>
        <v>0</v>
      </c>
      <c r="D5480" s="30" t="str">
        <f>IFERROR(VLOOKUP(C5480,소속부서!$A$2:$B$20,2,FALSE), "")</f>
        <v/>
      </c>
    </row>
    <row r="5481" spans="3:4" x14ac:dyDescent="0.3">
      <c r="C5481" s="35">
        <f t="shared" si="86"/>
        <v>0</v>
      </c>
      <c r="D5481" s="30" t="str">
        <f>IFERROR(VLOOKUP(C5481,소속부서!$A$2:$B$20,2,FALSE), "")</f>
        <v/>
      </c>
    </row>
    <row r="5482" spans="3:4" x14ac:dyDescent="0.3">
      <c r="C5482" s="35">
        <f t="shared" si="86"/>
        <v>0</v>
      </c>
      <c r="D5482" s="30" t="str">
        <f>IFERROR(VLOOKUP(C5482,소속부서!$A$2:$B$20,2,FALSE), "")</f>
        <v/>
      </c>
    </row>
    <row r="5483" spans="3:4" x14ac:dyDescent="0.3">
      <c r="C5483" s="35">
        <f t="shared" si="86"/>
        <v>0</v>
      </c>
      <c r="D5483" s="30" t="str">
        <f>IFERROR(VLOOKUP(C5483,소속부서!$A$2:$B$20,2,FALSE), "")</f>
        <v/>
      </c>
    </row>
    <row r="5484" spans="3:4" x14ac:dyDescent="0.3">
      <c r="C5484" s="35">
        <f t="shared" si="86"/>
        <v>0</v>
      </c>
      <c r="D5484" s="30" t="str">
        <f>IFERROR(VLOOKUP(C5484,소속부서!$A$2:$B$20,2,FALSE), "")</f>
        <v/>
      </c>
    </row>
    <row r="5485" spans="3:4" x14ac:dyDescent="0.3">
      <c r="C5485" s="35">
        <f t="shared" si="86"/>
        <v>0</v>
      </c>
      <c r="D5485" s="30" t="str">
        <f>IFERROR(VLOOKUP(C5485,소속부서!$A$2:$B$20,2,FALSE), "")</f>
        <v/>
      </c>
    </row>
    <row r="5486" spans="3:4" x14ac:dyDescent="0.3">
      <c r="C5486" s="35">
        <f t="shared" si="86"/>
        <v>0</v>
      </c>
      <c r="D5486" s="30" t="str">
        <f>IFERROR(VLOOKUP(C5486,소속부서!$A$2:$B$20,2,FALSE), "")</f>
        <v/>
      </c>
    </row>
    <row r="5487" spans="3:4" x14ac:dyDescent="0.3">
      <c r="C5487" s="35">
        <f t="shared" si="86"/>
        <v>0</v>
      </c>
      <c r="D5487" s="30" t="str">
        <f>IFERROR(VLOOKUP(C5487,소속부서!$A$2:$B$20,2,FALSE), "")</f>
        <v/>
      </c>
    </row>
    <row r="5488" spans="3:4" x14ac:dyDescent="0.3">
      <c r="C5488" s="35">
        <f t="shared" si="86"/>
        <v>0</v>
      </c>
      <c r="D5488" s="30" t="str">
        <f>IFERROR(VLOOKUP(C5488,소속부서!$A$2:$B$20,2,FALSE), "")</f>
        <v/>
      </c>
    </row>
    <row r="5489" spans="3:4" x14ac:dyDescent="0.3">
      <c r="C5489" s="35">
        <f t="shared" si="86"/>
        <v>0</v>
      </c>
      <c r="D5489" s="30" t="str">
        <f>IFERROR(VLOOKUP(C5489,소속부서!$A$2:$B$20,2,FALSE), "")</f>
        <v/>
      </c>
    </row>
    <row r="5490" spans="3:4" x14ac:dyDescent="0.3">
      <c r="C5490" s="35">
        <f t="shared" si="86"/>
        <v>0</v>
      </c>
      <c r="D5490" s="30" t="str">
        <f>IFERROR(VLOOKUP(C5490,소속부서!$A$2:$B$20,2,FALSE), "")</f>
        <v/>
      </c>
    </row>
    <row r="5491" spans="3:4" x14ac:dyDescent="0.3">
      <c r="C5491" s="35">
        <f t="shared" si="86"/>
        <v>0</v>
      </c>
      <c r="D5491" s="30" t="str">
        <f>IFERROR(VLOOKUP(C5491,소속부서!$A$2:$B$20,2,FALSE), "")</f>
        <v/>
      </c>
    </row>
    <row r="5492" spans="3:4" x14ac:dyDescent="0.3">
      <c r="C5492" s="35">
        <f t="shared" si="86"/>
        <v>0</v>
      </c>
      <c r="D5492" s="30" t="str">
        <f>IFERROR(VLOOKUP(C5492,소속부서!$A$2:$B$20,2,FALSE), "")</f>
        <v/>
      </c>
    </row>
    <row r="5493" spans="3:4" x14ac:dyDescent="0.3">
      <c r="C5493" s="35">
        <f t="shared" si="86"/>
        <v>0</v>
      </c>
      <c r="D5493" s="30" t="str">
        <f>IFERROR(VLOOKUP(C5493,소속부서!$A$2:$B$20,2,FALSE), "")</f>
        <v/>
      </c>
    </row>
    <row r="5494" spans="3:4" x14ac:dyDescent="0.3">
      <c r="C5494" s="35">
        <f t="shared" si="86"/>
        <v>0</v>
      </c>
      <c r="D5494" s="30" t="str">
        <f>IFERROR(VLOOKUP(C5494,소속부서!$A$2:$B$20,2,FALSE), "")</f>
        <v/>
      </c>
    </row>
    <row r="5495" spans="3:4" x14ac:dyDescent="0.3">
      <c r="C5495" s="35">
        <f t="shared" si="86"/>
        <v>0</v>
      </c>
      <c r="D5495" s="30" t="str">
        <f>IFERROR(VLOOKUP(C5495,소속부서!$A$2:$B$20,2,FALSE), "")</f>
        <v/>
      </c>
    </row>
    <row r="5496" spans="3:4" x14ac:dyDescent="0.3">
      <c r="C5496" s="35">
        <f t="shared" si="86"/>
        <v>0</v>
      </c>
      <c r="D5496" s="30" t="str">
        <f>IFERROR(VLOOKUP(C5496,소속부서!$A$2:$B$20,2,FALSE), "")</f>
        <v/>
      </c>
    </row>
    <row r="5497" spans="3:4" x14ac:dyDescent="0.3">
      <c r="C5497" s="35">
        <f t="shared" si="86"/>
        <v>0</v>
      </c>
      <c r="D5497" s="30" t="str">
        <f>IFERROR(VLOOKUP(C5497,소속부서!$A$2:$B$20,2,FALSE), "")</f>
        <v/>
      </c>
    </row>
    <row r="5498" spans="3:4" x14ac:dyDescent="0.3">
      <c r="C5498" s="35">
        <f t="shared" si="86"/>
        <v>0</v>
      </c>
      <c r="D5498" s="30" t="str">
        <f>IFERROR(VLOOKUP(C5498,소속부서!$A$2:$B$20,2,FALSE), "")</f>
        <v/>
      </c>
    </row>
    <row r="5499" spans="3:4" x14ac:dyDescent="0.3">
      <c r="C5499" s="35">
        <f t="shared" si="86"/>
        <v>0</v>
      </c>
      <c r="D5499" s="30" t="str">
        <f>IFERROR(VLOOKUP(C5499,소속부서!$A$2:$B$20,2,FALSE), "")</f>
        <v/>
      </c>
    </row>
    <row r="5500" spans="3:4" x14ac:dyDescent="0.3">
      <c r="C5500" s="35">
        <f t="shared" si="86"/>
        <v>0</v>
      </c>
      <c r="D5500" s="30" t="str">
        <f>IFERROR(VLOOKUP(C5500,소속부서!$A$2:$B$20,2,FALSE), "")</f>
        <v/>
      </c>
    </row>
    <row r="5501" spans="3:4" x14ac:dyDescent="0.3">
      <c r="C5501" s="35">
        <f t="shared" si="86"/>
        <v>0</v>
      </c>
      <c r="D5501" s="30" t="str">
        <f>IFERROR(VLOOKUP(C5501,소속부서!$A$2:$B$20,2,FALSE), "")</f>
        <v/>
      </c>
    </row>
    <row r="5502" spans="3:4" x14ac:dyDescent="0.3">
      <c r="C5502" s="35">
        <f t="shared" si="86"/>
        <v>0</v>
      </c>
      <c r="D5502" s="30" t="str">
        <f>IFERROR(VLOOKUP(C5502,소속부서!$A$2:$B$20,2,FALSE), "")</f>
        <v/>
      </c>
    </row>
    <row r="5503" spans="3:4" x14ac:dyDescent="0.3">
      <c r="C5503" s="35">
        <f t="shared" si="86"/>
        <v>0</v>
      </c>
      <c r="D5503" s="30" t="str">
        <f>IFERROR(VLOOKUP(C5503,소속부서!$A$2:$B$20,2,FALSE), "")</f>
        <v/>
      </c>
    </row>
    <row r="5504" spans="3:4" x14ac:dyDescent="0.3">
      <c r="C5504" s="35">
        <f t="shared" si="86"/>
        <v>0</v>
      </c>
      <c r="D5504" s="30" t="str">
        <f>IFERROR(VLOOKUP(C5504,소속부서!$A$2:$B$20,2,FALSE), "")</f>
        <v/>
      </c>
    </row>
    <row r="5505" spans="3:4" x14ac:dyDescent="0.3">
      <c r="C5505" s="35">
        <f t="shared" si="86"/>
        <v>0</v>
      </c>
      <c r="D5505" s="30" t="str">
        <f>IFERROR(VLOOKUP(C5505,소속부서!$A$2:$B$20,2,FALSE), "")</f>
        <v/>
      </c>
    </row>
    <row r="5506" spans="3:4" x14ac:dyDescent="0.3">
      <c r="C5506" s="35">
        <f t="shared" si="86"/>
        <v>0</v>
      </c>
      <c r="D5506" s="30" t="str">
        <f>IFERROR(VLOOKUP(C5506,소속부서!$A$2:$B$20,2,FALSE), "")</f>
        <v/>
      </c>
    </row>
    <row r="5507" spans="3:4" x14ac:dyDescent="0.3">
      <c r="C5507" s="35">
        <f t="shared" si="86"/>
        <v>0</v>
      </c>
      <c r="D5507" s="30" t="str">
        <f>IFERROR(VLOOKUP(C5507,소속부서!$A$2:$B$20,2,FALSE), "")</f>
        <v/>
      </c>
    </row>
    <row r="5508" spans="3:4" x14ac:dyDescent="0.3">
      <c r="C5508" s="35">
        <f t="shared" ref="C5508:C5548" si="87">E5508</f>
        <v>0</v>
      </c>
      <c r="D5508" s="30" t="str">
        <f>IFERROR(VLOOKUP(C5508,소속부서!$A$2:$B$20,2,FALSE), "")</f>
        <v/>
      </c>
    </row>
    <row r="5509" spans="3:4" x14ac:dyDescent="0.3">
      <c r="C5509" s="35">
        <f t="shared" si="87"/>
        <v>0</v>
      </c>
      <c r="D5509" s="30" t="str">
        <f>IFERROR(VLOOKUP(C5509,소속부서!$A$2:$B$20,2,FALSE), "")</f>
        <v/>
      </c>
    </row>
    <row r="5510" spans="3:4" x14ac:dyDescent="0.3">
      <c r="C5510" s="35">
        <f t="shared" si="87"/>
        <v>0</v>
      </c>
      <c r="D5510" s="30" t="str">
        <f>IFERROR(VLOOKUP(C5510,소속부서!$A$2:$B$20,2,FALSE), "")</f>
        <v/>
      </c>
    </row>
    <row r="5511" spans="3:4" x14ac:dyDescent="0.3">
      <c r="C5511" s="35">
        <f t="shared" si="87"/>
        <v>0</v>
      </c>
      <c r="D5511" s="30" t="str">
        <f>IFERROR(VLOOKUP(C5511,소속부서!$A$2:$B$20,2,FALSE), "")</f>
        <v/>
      </c>
    </row>
    <row r="5512" spans="3:4" x14ac:dyDescent="0.3">
      <c r="C5512" s="35">
        <f t="shared" si="87"/>
        <v>0</v>
      </c>
      <c r="D5512" s="30" t="str">
        <f>IFERROR(VLOOKUP(C5512,소속부서!$A$2:$B$20,2,FALSE), "")</f>
        <v/>
      </c>
    </row>
    <row r="5513" spans="3:4" x14ac:dyDescent="0.3">
      <c r="C5513" s="35">
        <f t="shared" si="87"/>
        <v>0</v>
      </c>
      <c r="D5513" s="30" t="str">
        <f>IFERROR(VLOOKUP(C5513,소속부서!$A$2:$B$20,2,FALSE), "")</f>
        <v/>
      </c>
    </row>
    <row r="5514" spans="3:4" x14ac:dyDescent="0.3">
      <c r="C5514" s="35">
        <f t="shared" si="87"/>
        <v>0</v>
      </c>
      <c r="D5514" s="30" t="str">
        <f>IFERROR(VLOOKUP(C5514,소속부서!$A$2:$B$20,2,FALSE), "")</f>
        <v/>
      </c>
    </row>
    <row r="5515" spans="3:4" x14ac:dyDescent="0.3">
      <c r="C5515" s="35">
        <f t="shared" si="87"/>
        <v>0</v>
      </c>
      <c r="D5515" s="30" t="str">
        <f>IFERROR(VLOOKUP(C5515,소속부서!$A$2:$B$20,2,FALSE), "")</f>
        <v/>
      </c>
    </row>
    <row r="5516" spans="3:4" x14ac:dyDescent="0.3">
      <c r="C5516" s="35">
        <f t="shared" si="87"/>
        <v>0</v>
      </c>
      <c r="D5516" s="30" t="str">
        <f>IFERROR(VLOOKUP(C5516,소속부서!$A$2:$B$20,2,FALSE), "")</f>
        <v/>
      </c>
    </row>
    <row r="5517" spans="3:4" x14ac:dyDescent="0.3">
      <c r="C5517" s="35">
        <f t="shared" si="87"/>
        <v>0</v>
      </c>
      <c r="D5517" s="30" t="str">
        <f>IFERROR(VLOOKUP(C5517,소속부서!$A$2:$B$20,2,FALSE), "")</f>
        <v/>
      </c>
    </row>
    <row r="5518" spans="3:4" x14ac:dyDescent="0.3">
      <c r="C5518" s="35">
        <f t="shared" si="87"/>
        <v>0</v>
      </c>
      <c r="D5518" s="30" t="str">
        <f>IFERROR(VLOOKUP(C5518,소속부서!$A$2:$B$20,2,FALSE), "")</f>
        <v/>
      </c>
    </row>
    <row r="5519" spans="3:4" x14ac:dyDescent="0.3">
      <c r="C5519" s="35">
        <f t="shared" si="87"/>
        <v>0</v>
      </c>
      <c r="D5519" s="30" t="str">
        <f>IFERROR(VLOOKUP(C5519,소속부서!$A$2:$B$20,2,FALSE), "")</f>
        <v/>
      </c>
    </row>
    <row r="5520" spans="3:4" x14ac:dyDescent="0.3">
      <c r="C5520" s="35">
        <f t="shared" si="87"/>
        <v>0</v>
      </c>
      <c r="D5520" s="30" t="str">
        <f>IFERROR(VLOOKUP(C5520,소속부서!$A$2:$B$20,2,FALSE), "")</f>
        <v/>
      </c>
    </row>
    <row r="5521" spans="3:4" x14ac:dyDescent="0.3">
      <c r="C5521" s="35">
        <f t="shared" si="87"/>
        <v>0</v>
      </c>
      <c r="D5521" s="30" t="str">
        <f>IFERROR(VLOOKUP(C5521,소속부서!$A$2:$B$20,2,FALSE), "")</f>
        <v/>
      </c>
    </row>
    <row r="5522" spans="3:4" x14ac:dyDescent="0.3">
      <c r="C5522" s="35">
        <f t="shared" si="87"/>
        <v>0</v>
      </c>
      <c r="D5522" s="30" t="str">
        <f>IFERROR(VLOOKUP(C5522,소속부서!$A$2:$B$20,2,FALSE), "")</f>
        <v/>
      </c>
    </row>
    <row r="5523" spans="3:4" x14ac:dyDescent="0.3">
      <c r="C5523" s="35">
        <f t="shared" si="87"/>
        <v>0</v>
      </c>
      <c r="D5523" s="30" t="str">
        <f>IFERROR(VLOOKUP(C5523,소속부서!$A$2:$B$20,2,FALSE), "")</f>
        <v/>
      </c>
    </row>
    <row r="5524" spans="3:4" x14ac:dyDescent="0.3">
      <c r="C5524" s="35">
        <f t="shared" si="87"/>
        <v>0</v>
      </c>
      <c r="D5524" s="30" t="str">
        <f>IFERROR(VLOOKUP(C5524,소속부서!$A$2:$B$20,2,FALSE), "")</f>
        <v/>
      </c>
    </row>
    <row r="5525" spans="3:4" x14ac:dyDescent="0.3">
      <c r="C5525" s="35">
        <f t="shared" si="87"/>
        <v>0</v>
      </c>
      <c r="D5525" s="30" t="str">
        <f>IFERROR(VLOOKUP(C5525,소속부서!$A$2:$B$20,2,FALSE), "")</f>
        <v/>
      </c>
    </row>
    <row r="5526" spans="3:4" x14ac:dyDescent="0.3">
      <c r="C5526" s="35">
        <f t="shared" si="87"/>
        <v>0</v>
      </c>
      <c r="D5526" s="30" t="str">
        <f>IFERROR(VLOOKUP(C5526,소속부서!$A$2:$B$20,2,FALSE), "")</f>
        <v/>
      </c>
    </row>
    <row r="5527" spans="3:4" x14ac:dyDescent="0.3">
      <c r="C5527" s="35">
        <f t="shared" si="87"/>
        <v>0</v>
      </c>
      <c r="D5527" s="30" t="str">
        <f>IFERROR(VLOOKUP(C5527,소속부서!$A$2:$B$20,2,FALSE), "")</f>
        <v/>
      </c>
    </row>
    <row r="5528" spans="3:4" x14ac:dyDescent="0.3">
      <c r="C5528" s="35">
        <f t="shared" si="87"/>
        <v>0</v>
      </c>
      <c r="D5528" s="30" t="str">
        <f>IFERROR(VLOOKUP(C5528,소속부서!$A$2:$B$20,2,FALSE), "")</f>
        <v/>
      </c>
    </row>
    <row r="5529" spans="3:4" x14ac:dyDescent="0.3">
      <c r="C5529" s="35">
        <f t="shared" si="87"/>
        <v>0</v>
      </c>
      <c r="D5529" s="30" t="str">
        <f>IFERROR(VLOOKUP(C5529,소속부서!$A$2:$B$20,2,FALSE), "")</f>
        <v/>
      </c>
    </row>
    <row r="5530" spans="3:4" x14ac:dyDescent="0.3">
      <c r="C5530" s="35">
        <f t="shared" si="87"/>
        <v>0</v>
      </c>
      <c r="D5530" s="30" t="str">
        <f>IFERROR(VLOOKUP(C5530,소속부서!$A$2:$B$20,2,FALSE), "")</f>
        <v/>
      </c>
    </row>
    <row r="5531" spans="3:4" x14ac:dyDescent="0.3">
      <c r="C5531" s="35">
        <f t="shared" si="87"/>
        <v>0</v>
      </c>
      <c r="D5531" s="30" t="str">
        <f>IFERROR(VLOOKUP(C5531,소속부서!$A$2:$B$20,2,FALSE), "")</f>
        <v/>
      </c>
    </row>
    <row r="5532" spans="3:4" x14ac:dyDescent="0.3">
      <c r="C5532" s="35">
        <f t="shared" si="87"/>
        <v>0</v>
      </c>
      <c r="D5532" s="30" t="str">
        <f>IFERROR(VLOOKUP(C5532,소속부서!$A$2:$B$20,2,FALSE), "")</f>
        <v/>
      </c>
    </row>
    <row r="5533" spans="3:4" x14ac:dyDescent="0.3">
      <c r="C5533" s="35">
        <f t="shared" si="87"/>
        <v>0</v>
      </c>
      <c r="D5533" s="30" t="str">
        <f>IFERROR(VLOOKUP(C5533,소속부서!$A$2:$B$20,2,FALSE), "")</f>
        <v/>
      </c>
    </row>
    <row r="5534" spans="3:4" x14ac:dyDescent="0.3">
      <c r="C5534" s="35">
        <f t="shared" si="87"/>
        <v>0</v>
      </c>
      <c r="D5534" s="30" t="str">
        <f>IFERROR(VLOOKUP(C5534,소속부서!$A$2:$B$20,2,FALSE), "")</f>
        <v/>
      </c>
    </row>
    <row r="5535" spans="3:4" x14ac:dyDescent="0.3">
      <c r="C5535" s="35">
        <f t="shared" si="87"/>
        <v>0</v>
      </c>
      <c r="D5535" s="30" t="str">
        <f>IFERROR(VLOOKUP(C5535,소속부서!$A$2:$B$20,2,FALSE), "")</f>
        <v/>
      </c>
    </row>
    <row r="5536" spans="3:4" x14ac:dyDescent="0.3">
      <c r="C5536" s="35">
        <f t="shared" si="87"/>
        <v>0</v>
      </c>
      <c r="D5536" s="30" t="str">
        <f>IFERROR(VLOOKUP(C5536,소속부서!$A$2:$B$20,2,FALSE), "")</f>
        <v/>
      </c>
    </row>
    <row r="5537" spans="3:4" x14ac:dyDescent="0.3">
      <c r="C5537" s="35">
        <f t="shared" si="87"/>
        <v>0</v>
      </c>
      <c r="D5537" s="30" t="str">
        <f>IFERROR(VLOOKUP(C5537,소속부서!$A$2:$B$20,2,FALSE), "")</f>
        <v/>
      </c>
    </row>
    <row r="5538" spans="3:4" x14ac:dyDescent="0.3">
      <c r="C5538" s="35">
        <f t="shared" si="87"/>
        <v>0</v>
      </c>
      <c r="D5538" s="30" t="str">
        <f>IFERROR(VLOOKUP(C5538,소속부서!$A$2:$B$20,2,FALSE), "")</f>
        <v/>
      </c>
    </row>
    <row r="5539" spans="3:4" x14ac:dyDescent="0.3">
      <c r="C5539" s="35">
        <f t="shared" si="87"/>
        <v>0</v>
      </c>
      <c r="D5539" s="30" t="str">
        <f>IFERROR(VLOOKUP(C5539,소속부서!$A$2:$B$20,2,FALSE), "")</f>
        <v/>
      </c>
    </row>
    <row r="5540" spans="3:4" x14ac:dyDescent="0.3">
      <c r="C5540" s="35">
        <f t="shared" si="87"/>
        <v>0</v>
      </c>
      <c r="D5540" s="30" t="str">
        <f>IFERROR(VLOOKUP(C5540,소속부서!$A$2:$B$20,2,FALSE), "")</f>
        <v/>
      </c>
    </row>
    <row r="5541" spans="3:4" x14ac:dyDescent="0.3">
      <c r="C5541" s="35">
        <f t="shared" si="87"/>
        <v>0</v>
      </c>
      <c r="D5541" s="30" t="str">
        <f>IFERROR(VLOOKUP(C5541,소속부서!$A$2:$B$20,2,FALSE), "")</f>
        <v/>
      </c>
    </row>
    <row r="5542" spans="3:4" x14ac:dyDescent="0.3">
      <c r="C5542" s="35">
        <f t="shared" si="87"/>
        <v>0</v>
      </c>
      <c r="D5542" s="30" t="str">
        <f>IFERROR(VLOOKUP(C5542,소속부서!$A$2:$B$20,2,FALSE), "")</f>
        <v/>
      </c>
    </row>
    <row r="5543" spans="3:4" x14ac:dyDescent="0.3">
      <c r="C5543" s="35">
        <f t="shared" si="87"/>
        <v>0</v>
      </c>
      <c r="D5543" s="30" t="str">
        <f>IFERROR(VLOOKUP(C5543,소속부서!$A$2:$B$20,2,FALSE), "")</f>
        <v/>
      </c>
    </row>
    <row r="5544" spans="3:4" x14ac:dyDescent="0.3">
      <c r="C5544" s="35">
        <f t="shared" si="87"/>
        <v>0</v>
      </c>
      <c r="D5544" s="30" t="str">
        <f>IFERROR(VLOOKUP(C5544,소속부서!$A$2:$B$20,2,FALSE), "")</f>
        <v/>
      </c>
    </row>
    <row r="5545" spans="3:4" x14ac:dyDescent="0.3">
      <c r="C5545" s="35">
        <f t="shared" si="87"/>
        <v>0</v>
      </c>
      <c r="D5545" s="30" t="str">
        <f>IFERROR(VLOOKUP(C5545,소속부서!$A$2:$B$20,2,FALSE), "")</f>
        <v/>
      </c>
    </row>
    <row r="5546" spans="3:4" x14ac:dyDescent="0.3">
      <c r="C5546" s="35">
        <f t="shared" si="87"/>
        <v>0</v>
      </c>
      <c r="D5546" s="30" t="str">
        <f>IFERROR(VLOOKUP(C5546,소속부서!$A$2:$B$20,2,FALSE), "")</f>
        <v/>
      </c>
    </row>
    <row r="5547" spans="3:4" x14ac:dyDescent="0.3">
      <c r="C5547" s="35">
        <f t="shared" si="87"/>
        <v>0</v>
      </c>
      <c r="D5547" s="30" t="str">
        <f>IFERROR(VLOOKUP(C5547,소속부서!$A$2:$B$20,2,FALSE), "")</f>
        <v/>
      </c>
    </row>
    <row r="5548" spans="3:4" x14ac:dyDescent="0.3">
      <c r="C5548" s="35">
        <f t="shared" si="87"/>
        <v>0</v>
      </c>
      <c r="D5548" s="30" t="str">
        <f>IFERROR(VLOOKUP(C5548,소속부서!$A$2:$B$20,2,FALSE), "")</f>
        <v/>
      </c>
    </row>
  </sheetData>
  <autoFilter ref="A1:O5548">
    <sortState ref="A2:O5546">
      <sortCondition ref="I1:I44"/>
    </sortState>
  </autoFilter>
  <sortState ref="H2:M29">
    <sortCondition descending="1" ref="M2:M29"/>
  </sortState>
  <phoneticPr fontId="3" type="noConversion"/>
  <pageMargins left="0.39370078740157483" right="0.39370078740157483" top="0.39370078740157483" bottom="0.39370078740157483" header="0.31496062992125984" footer="0.31496062992125984"/>
  <pageSetup paperSize="9" scale="70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22"/>
  <sheetViews>
    <sheetView workbookViewId="0">
      <selection activeCell="D24" sqref="D24"/>
    </sheetView>
  </sheetViews>
  <sheetFormatPr defaultRowHeight="16.5" x14ac:dyDescent="0.3"/>
  <cols>
    <col min="1" max="1" width="19.125" bestFit="1" customWidth="1"/>
  </cols>
  <sheetData>
    <row r="3" spans="1:1" x14ac:dyDescent="0.3">
      <c r="A3" s="23" t="s">
        <v>85</v>
      </c>
    </row>
    <row r="4" spans="1:1" x14ac:dyDescent="0.3">
      <c r="A4" s="24" t="s">
        <v>9</v>
      </c>
    </row>
    <row r="5" spans="1:1" x14ac:dyDescent="0.3">
      <c r="A5" s="24" t="s">
        <v>10</v>
      </c>
    </row>
    <row r="6" spans="1:1" x14ac:dyDescent="0.3">
      <c r="A6" s="24" t="s">
        <v>11</v>
      </c>
    </row>
    <row r="7" spans="1:1" x14ac:dyDescent="0.3">
      <c r="A7" s="24" t="s">
        <v>86</v>
      </c>
    </row>
    <row r="8" spans="1:1" x14ac:dyDescent="0.3">
      <c r="A8" s="24" t="s">
        <v>87</v>
      </c>
    </row>
    <row r="9" spans="1:1" x14ac:dyDescent="0.3">
      <c r="A9" s="24" t="s">
        <v>15</v>
      </c>
    </row>
    <row r="10" spans="1:1" x14ac:dyDescent="0.3">
      <c r="A10" s="24" t="s">
        <v>16</v>
      </c>
    </row>
    <row r="11" spans="1:1" x14ac:dyDescent="0.3">
      <c r="A11" s="24" t="s">
        <v>17</v>
      </c>
    </row>
    <row r="12" spans="1:1" x14ac:dyDescent="0.3">
      <c r="A12" s="24" t="s">
        <v>18</v>
      </c>
    </row>
    <row r="13" spans="1:1" x14ac:dyDescent="0.3">
      <c r="A13" s="24" t="s">
        <v>88</v>
      </c>
    </row>
    <row r="14" spans="1:1" x14ac:dyDescent="0.3">
      <c r="A14" s="24" t="s">
        <v>20</v>
      </c>
    </row>
    <row r="15" spans="1:1" x14ac:dyDescent="0.3">
      <c r="A15" s="24" t="s">
        <v>21</v>
      </c>
    </row>
    <row r="16" spans="1:1" x14ac:dyDescent="0.3">
      <c r="A16" s="24" t="s">
        <v>22</v>
      </c>
    </row>
    <row r="17" spans="1:1" x14ac:dyDescent="0.3">
      <c r="A17" s="24" t="s">
        <v>89</v>
      </c>
    </row>
    <row r="18" spans="1:1" x14ac:dyDescent="0.3">
      <c r="A18" s="24" t="s">
        <v>12</v>
      </c>
    </row>
    <row r="19" spans="1:1" x14ac:dyDescent="0.3">
      <c r="A19" s="24" t="s">
        <v>13</v>
      </c>
    </row>
    <row r="20" spans="1:1" x14ac:dyDescent="0.3">
      <c r="A20" s="24" t="s">
        <v>77</v>
      </c>
    </row>
    <row r="21" spans="1:1" x14ac:dyDescent="0.3">
      <c r="A21" s="24" t="s">
        <v>52</v>
      </c>
    </row>
    <row r="22" spans="1:1" x14ac:dyDescent="0.3">
      <c r="A22" s="24" t="s">
        <v>90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87"/>
  <sheetViews>
    <sheetView workbookViewId="0">
      <selection activeCell="E19" sqref="E19"/>
    </sheetView>
  </sheetViews>
  <sheetFormatPr defaultColWidth="9" defaultRowHeight="12" x14ac:dyDescent="0.3"/>
  <cols>
    <col min="1" max="1" width="9" style="14"/>
    <col min="2" max="2" width="28.5" style="14" customWidth="1"/>
    <col min="3" max="3" width="15.875" style="14" customWidth="1"/>
    <col min="4" max="4" width="29.625" style="14" bestFit="1" customWidth="1"/>
    <col min="5" max="5" width="15.75" style="14" customWidth="1"/>
    <col min="6" max="6" width="15.125" style="14" customWidth="1"/>
    <col min="7" max="7" width="14.375" style="14" bestFit="1" customWidth="1"/>
    <col min="8" max="8" width="31.125" style="14" bestFit="1" customWidth="1"/>
    <col min="9" max="9" width="14.375" style="14" bestFit="1" customWidth="1"/>
    <col min="10" max="10" width="16.125" style="14" bestFit="1" customWidth="1"/>
    <col min="11" max="16384" width="9" style="14"/>
  </cols>
  <sheetData>
    <row r="1" spans="2:6" x14ac:dyDescent="0.3">
      <c r="B1" s="13"/>
      <c r="C1" s="13"/>
      <c r="D1" s="13"/>
      <c r="E1" s="13"/>
      <c r="F1" s="13"/>
    </row>
    <row r="2" spans="2:6" x14ac:dyDescent="0.3">
      <c r="B2" s="15" t="s">
        <v>0</v>
      </c>
      <c r="C2" s="15" t="s">
        <v>1</v>
      </c>
      <c r="D2" s="15" t="s">
        <v>2</v>
      </c>
      <c r="E2" s="15" t="s">
        <v>3</v>
      </c>
      <c r="F2" s="15" t="s">
        <v>27</v>
      </c>
    </row>
    <row r="3" spans="2:6" x14ac:dyDescent="0.3">
      <c r="B3" s="1">
        <v>1</v>
      </c>
      <c r="C3" s="9" t="s">
        <v>7</v>
      </c>
      <c r="D3" s="9" t="s">
        <v>8</v>
      </c>
      <c r="E3" s="11" t="s">
        <v>9</v>
      </c>
      <c r="F3" s="13"/>
    </row>
    <row r="4" spans="2:6" x14ac:dyDescent="0.3">
      <c r="B4" s="1">
        <v>2</v>
      </c>
      <c r="C4" s="7" t="s">
        <v>7</v>
      </c>
      <c r="D4" s="7" t="s">
        <v>8</v>
      </c>
      <c r="E4" s="7" t="s">
        <v>10</v>
      </c>
      <c r="F4" s="13"/>
    </row>
    <row r="5" spans="2:6" x14ac:dyDescent="0.3">
      <c r="B5" s="1">
        <v>3</v>
      </c>
      <c r="C5" s="9" t="s">
        <v>7</v>
      </c>
      <c r="D5" s="9" t="s">
        <v>8</v>
      </c>
      <c r="E5" s="11" t="s">
        <v>11</v>
      </c>
      <c r="F5" s="13"/>
    </row>
    <row r="6" spans="2:6" x14ac:dyDescent="0.3">
      <c r="B6" s="1">
        <v>4</v>
      </c>
      <c r="C6" s="7" t="s">
        <v>7</v>
      </c>
      <c r="D6" s="7" t="s">
        <v>8</v>
      </c>
      <c r="E6" s="7" t="s">
        <v>51</v>
      </c>
      <c r="F6" s="13"/>
    </row>
    <row r="7" spans="2:6" x14ac:dyDescent="0.3">
      <c r="B7" s="1">
        <v>5</v>
      </c>
      <c r="C7" s="9" t="s">
        <v>7</v>
      </c>
      <c r="D7" s="9" t="s">
        <v>8</v>
      </c>
      <c r="E7" s="31" t="s">
        <v>12</v>
      </c>
      <c r="F7" s="13"/>
    </row>
    <row r="8" spans="2:6" x14ac:dyDescent="0.3">
      <c r="B8" s="1">
        <v>6</v>
      </c>
      <c r="C8" s="7" t="s">
        <v>7</v>
      </c>
      <c r="D8" s="7" t="s">
        <v>8</v>
      </c>
      <c r="E8" s="30" t="s">
        <v>13</v>
      </c>
      <c r="F8" s="13"/>
    </row>
    <row r="9" spans="2:6" x14ac:dyDescent="0.3">
      <c r="B9" s="1">
        <v>7</v>
      </c>
      <c r="C9" s="7" t="s">
        <v>7</v>
      </c>
      <c r="D9" s="7" t="s">
        <v>8</v>
      </c>
      <c r="E9" s="31" t="s">
        <v>28</v>
      </c>
      <c r="F9" s="13"/>
    </row>
    <row r="10" spans="2:6" x14ac:dyDescent="0.3">
      <c r="B10" s="1">
        <v>8</v>
      </c>
      <c r="C10" s="7" t="s">
        <v>29</v>
      </c>
      <c r="D10" s="7" t="s">
        <v>30</v>
      </c>
      <c r="E10" s="30" t="s">
        <v>31</v>
      </c>
      <c r="F10" s="13"/>
    </row>
    <row r="11" spans="2:6" x14ac:dyDescent="0.3">
      <c r="B11" s="1">
        <v>9</v>
      </c>
      <c r="C11" s="9" t="s">
        <v>7</v>
      </c>
      <c r="D11" s="9" t="s">
        <v>14</v>
      </c>
      <c r="E11" s="11" t="s">
        <v>32</v>
      </c>
      <c r="F11" s="13"/>
    </row>
    <row r="12" spans="2:6" x14ac:dyDescent="0.3">
      <c r="B12" s="1">
        <v>10</v>
      </c>
      <c r="C12" s="7" t="s">
        <v>7</v>
      </c>
      <c r="D12" s="7" t="s">
        <v>14</v>
      </c>
      <c r="E12" s="7" t="s">
        <v>15</v>
      </c>
      <c r="F12" s="13"/>
    </row>
    <row r="13" spans="2:6" x14ac:dyDescent="0.3">
      <c r="B13" s="1">
        <v>11</v>
      </c>
      <c r="C13" s="10" t="s">
        <v>7</v>
      </c>
      <c r="D13" s="10" t="s">
        <v>14</v>
      </c>
      <c r="E13" s="12" t="s">
        <v>16</v>
      </c>
      <c r="F13" s="13"/>
    </row>
    <row r="14" spans="2:6" x14ac:dyDescent="0.3">
      <c r="B14" s="1">
        <v>12</v>
      </c>
      <c r="C14" s="7" t="s">
        <v>7</v>
      </c>
      <c r="D14" s="7" t="s">
        <v>14</v>
      </c>
      <c r="E14" s="7" t="s">
        <v>17</v>
      </c>
      <c r="F14" s="13"/>
    </row>
    <row r="15" spans="2:6" x14ac:dyDescent="0.3">
      <c r="B15" s="1">
        <v>13</v>
      </c>
      <c r="C15" s="7" t="s">
        <v>7</v>
      </c>
      <c r="D15" s="7" t="s">
        <v>14</v>
      </c>
      <c r="E15" s="16" t="s">
        <v>92</v>
      </c>
      <c r="F15" s="13"/>
    </row>
    <row r="16" spans="2:6" x14ac:dyDescent="0.3">
      <c r="B16" s="27">
        <v>14</v>
      </c>
      <c r="C16" s="7" t="s">
        <v>7</v>
      </c>
      <c r="D16" s="7" t="s">
        <v>14</v>
      </c>
      <c r="E16" s="16" t="s">
        <v>91</v>
      </c>
      <c r="F16" s="13"/>
    </row>
    <row r="17" spans="1:6" x14ac:dyDescent="0.3">
      <c r="B17" s="1">
        <v>15</v>
      </c>
      <c r="C17" s="7" t="s">
        <v>7</v>
      </c>
      <c r="D17" s="7" t="s">
        <v>19</v>
      </c>
      <c r="E17" s="7" t="s">
        <v>20</v>
      </c>
      <c r="F17" s="13"/>
    </row>
    <row r="18" spans="1:6" x14ac:dyDescent="0.3">
      <c r="B18" s="1">
        <v>16</v>
      </c>
      <c r="C18" s="17" t="s">
        <v>7</v>
      </c>
      <c r="D18" s="17" t="s">
        <v>19</v>
      </c>
      <c r="E18" s="11" t="s">
        <v>21</v>
      </c>
      <c r="F18" s="13"/>
    </row>
    <row r="19" spans="1:6" x14ac:dyDescent="0.3">
      <c r="B19" s="1">
        <v>17</v>
      </c>
      <c r="C19" s="7" t="s">
        <v>7</v>
      </c>
      <c r="D19" s="7" t="s">
        <v>19</v>
      </c>
      <c r="E19" s="7" t="s">
        <v>22</v>
      </c>
      <c r="F19" s="13"/>
    </row>
    <row r="20" spans="1:6" x14ac:dyDescent="0.3">
      <c r="B20" s="1">
        <v>18</v>
      </c>
      <c r="C20" s="29" t="s">
        <v>7</v>
      </c>
      <c r="D20" s="29" t="s">
        <v>19</v>
      </c>
      <c r="E20" s="30" t="s">
        <v>33</v>
      </c>
      <c r="F20" s="13"/>
    </row>
    <row r="21" spans="1:6" x14ac:dyDescent="0.3">
      <c r="B21" s="1">
        <v>19</v>
      </c>
      <c r="C21" s="7"/>
      <c r="D21" s="7"/>
      <c r="E21" s="13"/>
      <c r="F21" s="13"/>
    </row>
    <row r="22" spans="1:6" x14ac:dyDescent="0.3">
      <c r="B22" s="1">
        <v>20</v>
      </c>
      <c r="C22" s="13"/>
      <c r="D22" s="13"/>
      <c r="E22" s="13"/>
      <c r="F22" s="13"/>
    </row>
    <row r="23" spans="1:6" x14ac:dyDescent="0.3">
      <c r="B23" s="1">
        <v>21</v>
      </c>
      <c r="C23" s="13"/>
      <c r="D23" s="13"/>
      <c r="E23" s="13"/>
      <c r="F23" s="13"/>
    </row>
    <row r="24" spans="1:6" x14ac:dyDescent="0.3">
      <c r="B24" s="1">
        <v>22</v>
      </c>
      <c r="C24" s="13"/>
      <c r="D24" s="13"/>
      <c r="E24" s="13"/>
      <c r="F24" s="13"/>
    </row>
    <row r="26" spans="1:6" ht="22.5" customHeight="1" x14ac:dyDescent="0.3">
      <c r="A26" s="65" t="s">
        <v>53</v>
      </c>
      <c r="B26" s="65"/>
      <c r="C26" s="65"/>
      <c r="D26" s="65"/>
      <c r="E26" s="18"/>
      <c r="F26" s="18"/>
    </row>
    <row r="27" spans="1:6" x14ac:dyDescent="0.3">
      <c r="B27" s="13" t="s">
        <v>34</v>
      </c>
      <c r="C27" s="13"/>
      <c r="D27" s="13"/>
      <c r="E27" s="13"/>
    </row>
    <row r="28" spans="1:6" x14ac:dyDescent="0.3">
      <c r="B28" s="8" t="s">
        <v>23</v>
      </c>
      <c r="C28" s="8" t="s">
        <v>35</v>
      </c>
      <c r="D28" s="13" t="s">
        <v>36</v>
      </c>
      <c r="E28" s="13"/>
    </row>
    <row r="29" spans="1:6" x14ac:dyDescent="0.3">
      <c r="B29" s="8" t="s">
        <v>37</v>
      </c>
      <c r="C29" s="13"/>
      <c r="D29" s="13"/>
      <c r="E29" s="13"/>
    </row>
    <row r="30" spans="1:6" x14ac:dyDescent="0.3">
      <c r="B30" s="8" t="s">
        <v>45</v>
      </c>
      <c r="C30" s="13"/>
      <c r="D30" s="13"/>
      <c r="E30" s="13"/>
    </row>
    <row r="31" spans="1:6" x14ac:dyDescent="0.3">
      <c r="B31" s="8" t="s">
        <v>24</v>
      </c>
      <c r="C31" s="13"/>
      <c r="D31" s="13"/>
      <c r="E31" s="13"/>
    </row>
    <row r="32" spans="1:6" x14ac:dyDescent="0.3">
      <c r="B32" s="8" t="s">
        <v>38</v>
      </c>
      <c r="C32" s="13"/>
      <c r="D32" s="13"/>
      <c r="E32" s="13"/>
    </row>
    <row r="33" spans="1:16384" x14ac:dyDescent="0.3">
      <c r="B33" s="8" t="s">
        <v>39</v>
      </c>
      <c r="C33" s="13"/>
      <c r="D33" s="13"/>
      <c r="E33" s="13"/>
    </row>
    <row r="34" spans="1:16384" x14ac:dyDescent="0.3">
      <c r="B34" s="8" t="s">
        <v>40</v>
      </c>
      <c r="C34" s="13" t="s">
        <v>41</v>
      </c>
      <c r="D34" s="13"/>
      <c r="E34" s="13"/>
    </row>
    <row r="35" spans="1:16384" x14ac:dyDescent="0.3">
      <c r="B35" s="8" t="s">
        <v>25</v>
      </c>
      <c r="C35" s="8" t="s">
        <v>26</v>
      </c>
      <c r="E35" s="13"/>
    </row>
    <row r="36" spans="1:16384" x14ac:dyDescent="0.3">
      <c r="B36" s="8" t="s">
        <v>46</v>
      </c>
      <c r="C36" s="13" t="s">
        <v>42</v>
      </c>
      <c r="D36" s="13" t="s">
        <v>48</v>
      </c>
      <c r="E36" s="13" t="s">
        <v>43</v>
      </c>
      <c r="F36" s="13" t="s">
        <v>47</v>
      </c>
    </row>
    <row r="37" spans="1:16384" x14ac:dyDescent="0.3">
      <c r="B37" s="13" t="s">
        <v>44</v>
      </c>
      <c r="C37" s="19"/>
      <c r="E37" s="13"/>
    </row>
    <row r="38" spans="1:16384" x14ac:dyDescent="0.3">
      <c r="B38" s="8" t="s">
        <v>50</v>
      </c>
      <c r="C38" s="13"/>
      <c r="D38" s="13"/>
      <c r="E38" s="13"/>
    </row>
    <row r="39" spans="1:16384" x14ac:dyDescent="0.3">
      <c r="A39" s="8"/>
      <c r="B39" s="8" t="s">
        <v>49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  <c r="FJ39" s="8"/>
      <c r="FK39" s="8"/>
      <c r="FL39" s="8"/>
      <c r="FM39" s="8"/>
      <c r="FN39" s="8"/>
      <c r="FO39" s="8"/>
      <c r="FP39" s="8"/>
      <c r="FQ39" s="8"/>
      <c r="FR39" s="8"/>
      <c r="FS39" s="8"/>
      <c r="FT39" s="8"/>
      <c r="FU39" s="8"/>
      <c r="FV39" s="8"/>
      <c r="FW39" s="8"/>
      <c r="FX39" s="8"/>
      <c r="FY39" s="8"/>
      <c r="FZ39" s="8"/>
      <c r="GA39" s="8"/>
      <c r="GB39" s="8"/>
      <c r="GC39" s="8"/>
      <c r="GD39" s="8"/>
      <c r="GE39" s="8"/>
      <c r="GF39" s="8"/>
      <c r="GG39" s="8"/>
      <c r="GH39" s="8"/>
      <c r="GI39" s="8"/>
      <c r="GJ39" s="8"/>
      <c r="GK39" s="8"/>
      <c r="GL39" s="8"/>
      <c r="GM39" s="8"/>
      <c r="GN39" s="8"/>
      <c r="GO39" s="8"/>
      <c r="GP39" s="8"/>
      <c r="GQ39" s="8"/>
      <c r="GR39" s="8"/>
      <c r="GS39" s="8"/>
      <c r="GT39" s="8"/>
      <c r="GU39" s="8"/>
      <c r="GV39" s="8"/>
      <c r="GW39" s="8"/>
      <c r="GX39" s="8"/>
      <c r="GY39" s="8"/>
      <c r="GZ39" s="8"/>
      <c r="HA39" s="8"/>
      <c r="HB39" s="8"/>
      <c r="HC39" s="8"/>
      <c r="HD39" s="8"/>
      <c r="HE39" s="8"/>
      <c r="HF39" s="8"/>
      <c r="HG39" s="8"/>
      <c r="HH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8"/>
      <c r="HV39" s="8"/>
      <c r="HW39" s="8"/>
      <c r="HX39" s="8"/>
      <c r="HY39" s="8"/>
      <c r="HZ39" s="8"/>
      <c r="IA39" s="8"/>
      <c r="IB39" s="8"/>
      <c r="IC39" s="8"/>
      <c r="ID39" s="8"/>
      <c r="IE39" s="8"/>
      <c r="IF39" s="8"/>
      <c r="IG39" s="8"/>
      <c r="IH39" s="8"/>
      <c r="II39" s="8"/>
      <c r="IJ39" s="8"/>
      <c r="IK39" s="8"/>
      <c r="IL39" s="8"/>
      <c r="IM39" s="8"/>
      <c r="IN39" s="8"/>
      <c r="IO39" s="8"/>
      <c r="IP39" s="8"/>
      <c r="IQ39" s="8"/>
      <c r="IR39" s="8"/>
      <c r="IS39" s="8"/>
      <c r="IT39" s="8"/>
      <c r="IU39" s="8"/>
      <c r="IV39" s="8"/>
      <c r="IW39" s="8"/>
      <c r="IX39" s="8"/>
      <c r="IY39" s="8"/>
      <c r="IZ39" s="8"/>
      <c r="JA39" s="8"/>
      <c r="JB39" s="8"/>
      <c r="JC39" s="8"/>
      <c r="JD39" s="8"/>
      <c r="JE39" s="8"/>
      <c r="JF39" s="8"/>
      <c r="JG39" s="8"/>
      <c r="JH39" s="8"/>
      <c r="JI39" s="8"/>
      <c r="JJ39" s="8"/>
      <c r="JK39" s="8"/>
      <c r="JL39" s="8"/>
      <c r="JM39" s="8"/>
      <c r="JN39" s="8"/>
      <c r="JO39" s="8"/>
      <c r="JP39" s="8"/>
      <c r="JQ39" s="8"/>
      <c r="JR39" s="8"/>
      <c r="JS39" s="8"/>
      <c r="JT39" s="8"/>
      <c r="JU39" s="8"/>
      <c r="JV39" s="8"/>
      <c r="JW39" s="8"/>
      <c r="JX39" s="8"/>
      <c r="JY39" s="8"/>
      <c r="JZ39" s="8"/>
      <c r="KA39" s="8"/>
      <c r="KB39" s="8"/>
      <c r="KC39" s="8"/>
      <c r="KD39" s="8"/>
      <c r="KE39" s="8"/>
      <c r="KF39" s="8"/>
      <c r="KG39" s="8"/>
      <c r="KH39" s="8"/>
      <c r="KI39" s="8"/>
      <c r="KJ39" s="8"/>
      <c r="KK39" s="8"/>
      <c r="KL39" s="8"/>
      <c r="KM39" s="8"/>
      <c r="KN39" s="8"/>
      <c r="KO39" s="8"/>
      <c r="KP39" s="8"/>
      <c r="KQ39" s="8"/>
      <c r="KR39" s="8"/>
      <c r="KS39" s="8"/>
      <c r="KT39" s="8"/>
      <c r="KU39" s="8"/>
      <c r="KV39" s="8"/>
      <c r="KW39" s="8"/>
      <c r="KX39" s="8"/>
      <c r="KY39" s="8"/>
      <c r="KZ39" s="8"/>
      <c r="LA39" s="8"/>
      <c r="LB39" s="8"/>
      <c r="LC39" s="8"/>
      <c r="LD39" s="8"/>
      <c r="LE39" s="8"/>
      <c r="LF39" s="8"/>
      <c r="LG39" s="8"/>
      <c r="LH39" s="8"/>
      <c r="LI39" s="8"/>
      <c r="LJ39" s="8"/>
      <c r="LK39" s="8"/>
      <c r="LL39" s="8"/>
      <c r="LM39" s="8"/>
      <c r="LN39" s="8"/>
      <c r="LO39" s="8"/>
      <c r="LP39" s="8"/>
      <c r="LQ39" s="8"/>
      <c r="LR39" s="8"/>
      <c r="LS39" s="8"/>
      <c r="LT39" s="8"/>
      <c r="LU39" s="8"/>
      <c r="LV39" s="8"/>
      <c r="LW39" s="8"/>
      <c r="LX39" s="8"/>
      <c r="LY39" s="8"/>
      <c r="LZ39" s="8"/>
      <c r="MA39" s="8"/>
      <c r="MB39" s="8"/>
      <c r="MC39" s="8"/>
      <c r="MD39" s="8"/>
      <c r="ME39" s="8"/>
      <c r="MF39" s="8"/>
      <c r="MG39" s="8"/>
      <c r="MH39" s="8"/>
      <c r="MI39" s="8"/>
      <c r="MJ39" s="8"/>
      <c r="MK39" s="8"/>
      <c r="ML39" s="8"/>
      <c r="MM39" s="8"/>
      <c r="MN39" s="8"/>
      <c r="MO39" s="8"/>
      <c r="MP39" s="8"/>
      <c r="MQ39" s="8"/>
      <c r="MR39" s="8"/>
      <c r="MS39" s="8"/>
      <c r="MT39" s="8"/>
      <c r="MU39" s="8"/>
      <c r="MV39" s="8"/>
      <c r="MW39" s="8"/>
      <c r="MX39" s="8"/>
      <c r="MY39" s="8"/>
      <c r="MZ39" s="8"/>
      <c r="NA39" s="8"/>
      <c r="NB39" s="8"/>
      <c r="NC39" s="8"/>
      <c r="ND39" s="8"/>
      <c r="NE39" s="8"/>
      <c r="NF39" s="8"/>
      <c r="NG39" s="8"/>
      <c r="NH39" s="8"/>
      <c r="NI39" s="8"/>
      <c r="NJ39" s="8"/>
      <c r="NK39" s="8"/>
      <c r="NL39" s="8"/>
      <c r="NM39" s="8"/>
      <c r="NN39" s="8"/>
      <c r="NO39" s="8"/>
      <c r="NP39" s="8"/>
      <c r="NQ39" s="8"/>
      <c r="NR39" s="8"/>
      <c r="NS39" s="8"/>
      <c r="NT39" s="8"/>
      <c r="NU39" s="8"/>
      <c r="NV39" s="8"/>
      <c r="NW39" s="8"/>
      <c r="NX39" s="8"/>
      <c r="NY39" s="8"/>
      <c r="NZ39" s="8"/>
      <c r="OA39" s="8"/>
      <c r="OB39" s="8"/>
      <c r="OC39" s="8"/>
      <c r="OD39" s="8"/>
      <c r="OE39" s="8"/>
      <c r="OF39" s="8"/>
      <c r="OG39" s="8"/>
      <c r="OH39" s="8"/>
      <c r="OI39" s="8"/>
      <c r="OJ39" s="8"/>
      <c r="OK39" s="8"/>
      <c r="OL39" s="8"/>
      <c r="OM39" s="8"/>
      <c r="ON39" s="8"/>
      <c r="OO39" s="8"/>
      <c r="OP39" s="8"/>
      <c r="OQ39" s="8"/>
      <c r="OR39" s="8"/>
      <c r="OS39" s="8"/>
      <c r="OT39" s="8"/>
      <c r="OU39" s="8"/>
      <c r="OV39" s="8"/>
      <c r="OW39" s="8"/>
      <c r="OX39" s="8"/>
      <c r="OY39" s="8"/>
      <c r="OZ39" s="8"/>
      <c r="PA39" s="8"/>
      <c r="PB39" s="8"/>
      <c r="PC39" s="8"/>
      <c r="PD39" s="8"/>
      <c r="PE39" s="8"/>
      <c r="PF39" s="8"/>
      <c r="PG39" s="8"/>
      <c r="PH39" s="8"/>
      <c r="PI39" s="8"/>
      <c r="PJ39" s="8"/>
      <c r="PK39" s="8"/>
      <c r="PL39" s="8"/>
      <c r="PM39" s="8"/>
      <c r="PN39" s="8"/>
      <c r="PO39" s="8"/>
      <c r="PP39" s="8"/>
      <c r="PQ39" s="8"/>
      <c r="PR39" s="8"/>
      <c r="PS39" s="8"/>
      <c r="PT39" s="8"/>
      <c r="PU39" s="8"/>
      <c r="PV39" s="8"/>
      <c r="PW39" s="8"/>
      <c r="PX39" s="8"/>
      <c r="PY39" s="8"/>
      <c r="PZ39" s="8"/>
      <c r="QA39" s="8"/>
      <c r="QB39" s="8"/>
      <c r="QC39" s="8"/>
      <c r="QD39" s="8"/>
      <c r="QE39" s="8"/>
      <c r="QF39" s="8"/>
      <c r="QG39" s="8"/>
      <c r="QH39" s="8"/>
      <c r="QI39" s="8"/>
      <c r="QJ39" s="8"/>
      <c r="QK39" s="8"/>
      <c r="QL39" s="8"/>
      <c r="QM39" s="8"/>
      <c r="QN39" s="8"/>
      <c r="QO39" s="8"/>
      <c r="QP39" s="8"/>
      <c r="QQ39" s="8"/>
      <c r="QR39" s="8"/>
      <c r="QS39" s="8"/>
      <c r="QT39" s="8"/>
      <c r="QU39" s="8"/>
      <c r="QV39" s="8"/>
      <c r="QW39" s="8"/>
      <c r="QX39" s="8"/>
      <c r="QY39" s="8"/>
      <c r="QZ39" s="8"/>
      <c r="RA39" s="8"/>
      <c r="RB39" s="8"/>
      <c r="RC39" s="8"/>
      <c r="RD39" s="8"/>
      <c r="RE39" s="8"/>
      <c r="RF39" s="8"/>
      <c r="RG39" s="8"/>
      <c r="RH39" s="8"/>
      <c r="RI39" s="8"/>
      <c r="RJ39" s="8"/>
      <c r="RK39" s="8"/>
      <c r="RL39" s="8"/>
      <c r="RM39" s="8"/>
      <c r="RN39" s="8"/>
      <c r="RO39" s="8"/>
      <c r="RP39" s="8"/>
      <c r="RQ39" s="8"/>
      <c r="RR39" s="8"/>
      <c r="RS39" s="8"/>
      <c r="RT39" s="8"/>
      <c r="RU39" s="8"/>
      <c r="RV39" s="8"/>
      <c r="RW39" s="8"/>
      <c r="RX39" s="8"/>
      <c r="RY39" s="8"/>
      <c r="RZ39" s="8"/>
      <c r="SA39" s="8"/>
      <c r="SB39" s="8"/>
      <c r="SC39" s="8"/>
      <c r="SD39" s="8"/>
      <c r="SE39" s="8"/>
      <c r="SF39" s="8"/>
      <c r="SG39" s="8"/>
      <c r="SH39" s="8"/>
      <c r="SI39" s="8"/>
      <c r="SJ39" s="8"/>
      <c r="SK39" s="8"/>
      <c r="SL39" s="8"/>
      <c r="SM39" s="8"/>
      <c r="SN39" s="8"/>
      <c r="SO39" s="8"/>
      <c r="SP39" s="8"/>
      <c r="SQ39" s="8"/>
      <c r="SR39" s="8"/>
      <c r="SS39" s="8"/>
      <c r="ST39" s="8"/>
      <c r="SU39" s="8"/>
      <c r="SV39" s="8"/>
      <c r="SW39" s="8"/>
      <c r="SX39" s="8"/>
      <c r="SY39" s="8"/>
      <c r="SZ39" s="8"/>
      <c r="TA39" s="8"/>
      <c r="TB39" s="8"/>
      <c r="TC39" s="8"/>
      <c r="TD39" s="8"/>
      <c r="TE39" s="8"/>
      <c r="TF39" s="8"/>
      <c r="TG39" s="8"/>
      <c r="TH39" s="8"/>
      <c r="TI39" s="8"/>
      <c r="TJ39" s="8"/>
      <c r="TK39" s="8"/>
      <c r="TL39" s="8"/>
      <c r="TM39" s="8"/>
      <c r="TN39" s="8"/>
      <c r="TO39" s="8"/>
      <c r="TP39" s="8"/>
      <c r="TQ39" s="8"/>
      <c r="TR39" s="8"/>
      <c r="TS39" s="8"/>
      <c r="TT39" s="8"/>
      <c r="TU39" s="8"/>
      <c r="TV39" s="8"/>
      <c r="TW39" s="8"/>
      <c r="TX39" s="8"/>
      <c r="TY39" s="8"/>
      <c r="TZ39" s="8"/>
      <c r="UA39" s="8"/>
      <c r="UB39" s="8"/>
      <c r="UC39" s="8"/>
      <c r="UD39" s="8"/>
      <c r="UE39" s="8"/>
      <c r="UF39" s="8"/>
      <c r="UG39" s="8"/>
      <c r="UH39" s="8"/>
      <c r="UI39" s="8"/>
      <c r="UJ39" s="8"/>
      <c r="UK39" s="8"/>
      <c r="UL39" s="8"/>
      <c r="UM39" s="8"/>
      <c r="UN39" s="8"/>
      <c r="UO39" s="8"/>
      <c r="UP39" s="8"/>
      <c r="UQ39" s="8"/>
      <c r="UR39" s="8"/>
      <c r="US39" s="8"/>
      <c r="UT39" s="8"/>
      <c r="UU39" s="8"/>
      <c r="UV39" s="8"/>
      <c r="UW39" s="8"/>
      <c r="UX39" s="8"/>
      <c r="UY39" s="8"/>
      <c r="UZ39" s="8"/>
      <c r="VA39" s="8"/>
      <c r="VB39" s="8"/>
      <c r="VC39" s="8"/>
      <c r="VD39" s="8"/>
      <c r="VE39" s="8"/>
      <c r="VF39" s="8"/>
      <c r="VG39" s="8"/>
      <c r="VH39" s="8"/>
      <c r="VI39" s="8"/>
      <c r="VJ39" s="8"/>
      <c r="VK39" s="8"/>
      <c r="VL39" s="8"/>
      <c r="VM39" s="8"/>
      <c r="VN39" s="8"/>
      <c r="VO39" s="8"/>
      <c r="VP39" s="8"/>
      <c r="VQ39" s="8"/>
      <c r="VR39" s="8"/>
      <c r="VS39" s="8"/>
      <c r="VT39" s="8"/>
      <c r="VU39" s="8"/>
      <c r="VV39" s="8"/>
      <c r="VW39" s="8"/>
      <c r="VX39" s="8"/>
      <c r="VY39" s="8"/>
      <c r="VZ39" s="8"/>
      <c r="WA39" s="8"/>
      <c r="WB39" s="8"/>
      <c r="WC39" s="8"/>
      <c r="WD39" s="8"/>
      <c r="WE39" s="8"/>
      <c r="WF39" s="8"/>
      <c r="WG39" s="8"/>
      <c r="WH39" s="8"/>
      <c r="WI39" s="8"/>
      <c r="WJ39" s="8"/>
      <c r="WK39" s="8"/>
      <c r="WL39" s="8"/>
      <c r="WM39" s="8"/>
      <c r="WN39" s="8"/>
      <c r="WO39" s="8"/>
      <c r="WP39" s="8"/>
      <c r="WQ39" s="8"/>
      <c r="WR39" s="8"/>
      <c r="WS39" s="8"/>
      <c r="WT39" s="8"/>
      <c r="WU39" s="8"/>
      <c r="WV39" s="8"/>
      <c r="WW39" s="8"/>
      <c r="WX39" s="8"/>
      <c r="WY39" s="8"/>
      <c r="WZ39" s="8"/>
      <c r="XA39" s="8"/>
      <c r="XB39" s="8"/>
      <c r="XC39" s="8"/>
      <c r="XD39" s="8"/>
      <c r="XE39" s="8"/>
      <c r="XF39" s="8"/>
      <c r="XG39" s="8"/>
      <c r="XH39" s="8"/>
      <c r="XI39" s="8"/>
      <c r="XJ39" s="8"/>
      <c r="XK39" s="8"/>
      <c r="XL39" s="8"/>
      <c r="XM39" s="8"/>
      <c r="XN39" s="8"/>
      <c r="XO39" s="8"/>
      <c r="XP39" s="8"/>
      <c r="XQ39" s="8"/>
      <c r="XR39" s="8"/>
      <c r="XS39" s="8"/>
      <c r="XT39" s="8"/>
      <c r="XU39" s="8"/>
      <c r="XV39" s="8"/>
      <c r="XW39" s="8"/>
      <c r="XX39" s="8"/>
      <c r="XY39" s="8"/>
      <c r="XZ39" s="8"/>
      <c r="YA39" s="8"/>
      <c r="YB39" s="8"/>
      <c r="YC39" s="8"/>
      <c r="YD39" s="8"/>
      <c r="YE39" s="8"/>
      <c r="YF39" s="8"/>
      <c r="YG39" s="8"/>
      <c r="YH39" s="8"/>
      <c r="YI39" s="8"/>
      <c r="YJ39" s="8"/>
      <c r="YK39" s="8"/>
      <c r="YL39" s="8"/>
      <c r="YM39" s="8"/>
      <c r="YN39" s="8"/>
      <c r="YO39" s="8"/>
      <c r="YP39" s="8"/>
      <c r="YQ39" s="8"/>
      <c r="YR39" s="8"/>
      <c r="YS39" s="8"/>
      <c r="YT39" s="8"/>
      <c r="YU39" s="8"/>
      <c r="YV39" s="8"/>
      <c r="YW39" s="8"/>
      <c r="YX39" s="8"/>
      <c r="YY39" s="8"/>
      <c r="YZ39" s="8"/>
      <c r="ZA39" s="8"/>
      <c r="ZB39" s="8"/>
      <c r="ZC39" s="8"/>
      <c r="ZD39" s="8"/>
      <c r="ZE39" s="8"/>
      <c r="ZF39" s="8"/>
      <c r="ZG39" s="8"/>
      <c r="ZH39" s="8"/>
      <c r="ZI39" s="8"/>
      <c r="ZJ39" s="8"/>
      <c r="ZK39" s="8"/>
      <c r="ZL39" s="8"/>
      <c r="ZM39" s="8"/>
      <c r="ZN39" s="8"/>
      <c r="ZO39" s="8"/>
      <c r="ZP39" s="8"/>
      <c r="ZQ39" s="8"/>
      <c r="ZR39" s="8"/>
      <c r="ZS39" s="8"/>
      <c r="ZT39" s="8"/>
      <c r="ZU39" s="8"/>
      <c r="ZV39" s="8"/>
      <c r="ZW39" s="8"/>
      <c r="ZX39" s="8"/>
      <c r="ZY39" s="8"/>
      <c r="ZZ39" s="8"/>
      <c r="AAA39" s="8"/>
      <c r="AAB39" s="8"/>
      <c r="AAC39" s="8"/>
      <c r="AAD39" s="8"/>
      <c r="AAE39" s="8"/>
      <c r="AAF39" s="8"/>
      <c r="AAG39" s="8"/>
      <c r="AAH39" s="8"/>
      <c r="AAI39" s="8"/>
      <c r="AAJ39" s="8"/>
      <c r="AAK39" s="8"/>
      <c r="AAL39" s="8"/>
      <c r="AAM39" s="8"/>
      <c r="AAN39" s="8"/>
      <c r="AAO39" s="8"/>
      <c r="AAP39" s="8"/>
      <c r="AAQ39" s="8"/>
      <c r="AAR39" s="8"/>
      <c r="AAS39" s="8"/>
      <c r="AAT39" s="8"/>
      <c r="AAU39" s="8"/>
      <c r="AAV39" s="8"/>
      <c r="AAW39" s="8"/>
      <c r="AAX39" s="8"/>
      <c r="AAY39" s="8"/>
      <c r="AAZ39" s="8"/>
      <c r="ABA39" s="8"/>
      <c r="ABB39" s="8"/>
      <c r="ABC39" s="8"/>
      <c r="ABD39" s="8"/>
      <c r="ABE39" s="8"/>
      <c r="ABF39" s="8"/>
      <c r="ABG39" s="8"/>
      <c r="ABH39" s="8"/>
      <c r="ABI39" s="8"/>
      <c r="ABJ39" s="8"/>
      <c r="ABK39" s="8"/>
      <c r="ABL39" s="8"/>
      <c r="ABM39" s="8"/>
      <c r="ABN39" s="8"/>
      <c r="ABO39" s="8"/>
      <c r="ABP39" s="8"/>
      <c r="ABQ39" s="8"/>
      <c r="ABR39" s="8"/>
      <c r="ABS39" s="8"/>
      <c r="ABT39" s="8"/>
      <c r="ABU39" s="8"/>
      <c r="ABV39" s="8"/>
      <c r="ABW39" s="8"/>
      <c r="ABX39" s="8"/>
      <c r="ABY39" s="8"/>
      <c r="ABZ39" s="8"/>
      <c r="ACA39" s="8"/>
      <c r="ACB39" s="8"/>
      <c r="ACC39" s="8"/>
      <c r="ACD39" s="8"/>
      <c r="ACE39" s="8"/>
      <c r="ACF39" s="8"/>
      <c r="ACG39" s="8"/>
      <c r="ACH39" s="8"/>
      <c r="ACI39" s="8"/>
      <c r="ACJ39" s="8"/>
      <c r="ACK39" s="8"/>
      <c r="ACL39" s="8"/>
      <c r="ACM39" s="8"/>
      <c r="ACN39" s="8"/>
      <c r="ACO39" s="8"/>
      <c r="ACP39" s="8"/>
      <c r="ACQ39" s="8"/>
      <c r="ACR39" s="8"/>
      <c r="ACS39" s="8"/>
      <c r="ACT39" s="8"/>
      <c r="ACU39" s="8"/>
      <c r="ACV39" s="8"/>
      <c r="ACW39" s="8"/>
      <c r="ACX39" s="8"/>
      <c r="ACY39" s="8"/>
      <c r="ACZ39" s="8"/>
      <c r="ADA39" s="8"/>
      <c r="ADB39" s="8"/>
      <c r="ADC39" s="8"/>
      <c r="ADD39" s="8"/>
      <c r="ADE39" s="8"/>
      <c r="ADF39" s="8"/>
      <c r="ADG39" s="8"/>
      <c r="ADH39" s="8"/>
      <c r="ADI39" s="8"/>
      <c r="ADJ39" s="8"/>
      <c r="ADK39" s="8"/>
      <c r="ADL39" s="8"/>
      <c r="ADM39" s="8"/>
      <c r="ADN39" s="8"/>
      <c r="ADO39" s="8"/>
      <c r="ADP39" s="8"/>
      <c r="ADQ39" s="8"/>
      <c r="ADR39" s="8"/>
      <c r="ADS39" s="8"/>
      <c r="ADT39" s="8"/>
      <c r="ADU39" s="8"/>
      <c r="ADV39" s="8"/>
      <c r="ADW39" s="8"/>
      <c r="ADX39" s="8"/>
      <c r="ADY39" s="8"/>
      <c r="ADZ39" s="8"/>
      <c r="AEA39" s="8"/>
      <c r="AEB39" s="8"/>
      <c r="AEC39" s="8"/>
      <c r="AED39" s="8"/>
      <c r="AEE39" s="8"/>
      <c r="AEF39" s="8"/>
      <c r="AEG39" s="8"/>
      <c r="AEH39" s="8"/>
      <c r="AEI39" s="8"/>
      <c r="AEJ39" s="8"/>
      <c r="AEK39" s="8"/>
      <c r="AEL39" s="8"/>
      <c r="AEM39" s="8"/>
      <c r="AEN39" s="8"/>
      <c r="AEO39" s="8"/>
      <c r="AEP39" s="8"/>
      <c r="AEQ39" s="8"/>
      <c r="AER39" s="8"/>
      <c r="AES39" s="8"/>
      <c r="AET39" s="8"/>
      <c r="AEU39" s="8"/>
      <c r="AEV39" s="8"/>
      <c r="AEW39" s="8"/>
      <c r="AEX39" s="8"/>
      <c r="AEY39" s="8"/>
      <c r="AEZ39" s="8"/>
      <c r="AFA39" s="8"/>
      <c r="AFB39" s="8"/>
      <c r="AFC39" s="8"/>
      <c r="AFD39" s="8"/>
      <c r="AFE39" s="8"/>
      <c r="AFF39" s="8"/>
      <c r="AFG39" s="8"/>
      <c r="AFH39" s="8"/>
      <c r="AFI39" s="8"/>
      <c r="AFJ39" s="8"/>
      <c r="AFK39" s="8"/>
      <c r="AFL39" s="8"/>
      <c r="AFM39" s="8"/>
      <c r="AFN39" s="8"/>
      <c r="AFO39" s="8"/>
      <c r="AFP39" s="8"/>
      <c r="AFQ39" s="8"/>
      <c r="AFR39" s="8"/>
      <c r="AFS39" s="8"/>
      <c r="AFT39" s="8"/>
      <c r="AFU39" s="8"/>
      <c r="AFV39" s="8"/>
      <c r="AFW39" s="8"/>
      <c r="AFX39" s="8"/>
      <c r="AFY39" s="8"/>
      <c r="AFZ39" s="8"/>
      <c r="AGA39" s="8"/>
      <c r="AGB39" s="8"/>
      <c r="AGC39" s="8"/>
      <c r="AGD39" s="8"/>
      <c r="AGE39" s="8"/>
      <c r="AGF39" s="8"/>
      <c r="AGG39" s="8"/>
      <c r="AGH39" s="8"/>
      <c r="AGI39" s="8"/>
      <c r="AGJ39" s="8"/>
      <c r="AGK39" s="8"/>
      <c r="AGL39" s="8"/>
      <c r="AGM39" s="8"/>
      <c r="AGN39" s="8"/>
      <c r="AGO39" s="8"/>
      <c r="AGP39" s="8"/>
      <c r="AGQ39" s="8"/>
      <c r="AGR39" s="8"/>
      <c r="AGS39" s="8"/>
      <c r="AGT39" s="8"/>
      <c r="AGU39" s="8"/>
      <c r="AGV39" s="8"/>
      <c r="AGW39" s="8"/>
      <c r="AGX39" s="8"/>
      <c r="AGY39" s="8"/>
      <c r="AGZ39" s="8"/>
      <c r="AHA39" s="8"/>
      <c r="AHB39" s="8"/>
      <c r="AHC39" s="8"/>
      <c r="AHD39" s="8"/>
      <c r="AHE39" s="8"/>
      <c r="AHF39" s="8"/>
      <c r="AHG39" s="8"/>
      <c r="AHH39" s="8"/>
      <c r="AHI39" s="8"/>
      <c r="AHJ39" s="8"/>
      <c r="AHK39" s="8"/>
      <c r="AHL39" s="8"/>
      <c r="AHM39" s="8"/>
      <c r="AHN39" s="8"/>
      <c r="AHO39" s="8"/>
      <c r="AHP39" s="8"/>
      <c r="AHQ39" s="8"/>
      <c r="AHR39" s="8"/>
      <c r="AHS39" s="8"/>
      <c r="AHT39" s="8"/>
      <c r="AHU39" s="8"/>
      <c r="AHV39" s="8"/>
      <c r="AHW39" s="8"/>
      <c r="AHX39" s="8"/>
      <c r="AHY39" s="8"/>
      <c r="AHZ39" s="8"/>
      <c r="AIA39" s="8"/>
      <c r="AIB39" s="8"/>
      <c r="AIC39" s="8"/>
      <c r="AID39" s="8"/>
      <c r="AIE39" s="8"/>
      <c r="AIF39" s="8"/>
      <c r="AIG39" s="8"/>
      <c r="AIH39" s="8"/>
      <c r="AII39" s="8"/>
      <c r="AIJ39" s="8"/>
      <c r="AIK39" s="8"/>
      <c r="AIL39" s="8"/>
      <c r="AIM39" s="8"/>
      <c r="AIN39" s="8"/>
      <c r="AIO39" s="8"/>
      <c r="AIP39" s="8"/>
      <c r="AIQ39" s="8"/>
      <c r="AIR39" s="8"/>
      <c r="AIS39" s="8"/>
      <c r="AIT39" s="8"/>
      <c r="AIU39" s="8"/>
      <c r="AIV39" s="8"/>
      <c r="AIW39" s="8"/>
      <c r="AIX39" s="8"/>
      <c r="AIY39" s="8"/>
      <c r="AIZ39" s="8"/>
      <c r="AJA39" s="8"/>
      <c r="AJB39" s="8"/>
      <c r="AJC39" s="8"/>
      <c r="AJD39" s="8"/>
      <c r="AJE39" s="8"/>
      <c r="AJF39" s="8"/>
      <c r="AJG39" s="8"/>
      <c r="AJH39" s="8"/>
      <c r="AJI39" s="8"/>
      <c r="AJJ39" s="8"/>
      <c r="AJK39" s="8"/>
      <c r="AJL39" s="8"/>
      <c r="AJM39" s="8"/>
      <c r="AJN39" s="8"/>
      <c r="AJO39" s="8"/>
      <c r="AJP39" s="8"/>
      <c r="AJQ39" s="8"/>
      <c r="AJR39" s="8"/>
      <c r="AJS39" s="8"/>
      <c r="AJT39" s="8"/>
      <c r="AJU39" s="8"/>
      <c r="AJV39" s="8"/>
      <c r="AJW39" s="8"/>
      <c r="AJX39" s="8"/>
      <c r="AJY39" s="8"/>
      <c r="AJZ39" s="8"/>
      <c r="AKA39" s="8"/>
      <c r="AKB39" s="8"/>
      <c r="AKC39" s="8"/>
      <c r="AKD39" s="8"/>
      <c r="AKE39" s="8"/>
      <c r="AKF39" s="8"/>
      <c r="AKG39" s="8"/>
      <c r="AKH39" s="8"/>
      <c r="AKI39" s="8"/>
      <c r="AKJ39" s="8"/>
      <c r="AKK39" s="8"/>
      <c r="AKL39" s="8"/>
      <c r="AKM39" s="8"/>
      <c r="AKN39" s="8"/>
      <c r="AKO39" s="8"/>
      <c r="AKP39" s="8"/>
      <c r="AKQ39" s="8"/>
      <c r="AKR39" s="8"/>
      <c r="AKS39" s="8"/>
      <c r="AKT39" s="8"/>
      <c r="AKU39" s="8"/>
      <c r="AKV39" s="8"/>
      <c r="AKW39" s="8"/>
      <c r="AKX39" s="8"/>
      <c r="AKY39" s="8"/>
      <c r="AKZ39" s="8"/>
      <c r="ALA39" s="8"/>
      <c r="ALB39" s="8"/>
      <c r="ALC39" s="8"/>
      <c r="ALD39" s="8"/>
      <c r="ALE39" s="8"/>
      <c r="ALF39" s="8"/>
      <c r="ALG39" s="8"/>
      <c r="ALH39" s="8"/>
      <c r="ALI39" s="8"/>
      <c r="ALJ39" s="8"/>
      <c r="ALK39" s="8"/>
      <c r="ALL39" s="8"/>
      <c r="ALM39" s="8"/>
      <c r="ALN39" s="8"/>
      <c r="ALO39" s="8"/>
      <c r="ALP39" s="8"/>
      <c r="ALQ39" s="8"/>
      <c r="ALR39" s="8"/>
      <c r="ALS39" s="8"/>
      <c r="ALT39" s="8"/>
      <c r="ALU39" s="8"/>
      <c r="ALV39" s="8"/>
      <c r="ALW39" s="8"/>
      <c r="ALX39" s="8"/>
      <c r="ALY39" s="8"/>
      <c r="ALZ39" s="8"/>
      <c r="AMA39" s="8"/>
      <c r="AMB39" s="8"/>
      <c r="AMC39" s="8"/>
      <c r="AMD39" s="8"/>
      <c r="AME39" s="8"/>
      <c r="AMF39" s="8"/>
      <c r="AMG39" s="8"/>
      <c r="AMH39" s="8"/>
      <c r="AMI39" s="8"/>
      <c r="AMJ39" s="8"/>
      <c r="AMK39" s="8"/>
      <c r="AML39" s="8"/>
      <c r="AMM39" s="8"/>
      <c r="AMN39" s="8"/>
      <c r="AMO39" s="8"/>
      <c r="AMP39" s="8"/>
      <c r="AMQ39" s="8"/>
      <c r="AMR39" s="8"/>
      <c r="AMS39" s="8"/>
      <c r="AMT39" s="8"/>
      <c r="AMU39" s="8"/>
      <c r="AMV39" s="8"/>
      <c r="AMW39" s="8"/>
      <c r="AMX39" s="8"/>
      <c r="AMY39" s="8"/>
      <c r="AMZ39" s="8"/>
      <c r="ANA39" s="8"/>
      <c r="ANB39" s="8"/>
      <c r="ANC39" s="8"/>
      <c r="AND39" s="8"/>
      <c r="ANE39" s="8"/>
      <c r="ANF39" s="8"/>
      <c r="ANG39" s="8"/>
      <c r="ANH39" s="8"/>
      <c r="ANI39" s="8"/>
      <c r="ANJ39" s="8"/>
      <c r="ANK39" s="8"/>
      <c r="ANL39" s="8"/>
      <c r="ANM39" s="8"/>
      <c r="ANN39" s="8"/>
      <c r="ANO39" s="8"/>
      <c r="ANP39" s="8"/>
      <c r="ANQ39" s="8"/>
      <c r="ANR39" s="8"/>
      <c r="ANS39" s="8"/>
      <c r="ANT39" s="8"/>
      <c r="ANU39" s="8"/>
      <c r="ANV39" s="8"/>
      <c r="ANW39" s="8"/>
      <c r="ANX39" s="8"/>
      <c r="ANY39" s="8"/>
      <c r="ANZ39" s="8"/>
      <c r="AOA39" s="8"/>
      <c r="AOB39" s="8"/>
      <c r="AOC39" s="8"/>
      <c r="AOD39" s="8"/>
      <c r="AOE39" s="8"/>
      <c r="AOF39" s="8"/>
      <c r="AOG39" s="8"/>
      <c r="AOH39" s="8"/>
      <c r="AOI39" s="8"/>
      <c r="AOJ39" s="8"/>
      <c r="AOK39" s="8"/>
      <c r="AOL39" s="8"/>
      <c r="AOM39" s="8"/>
      <c r="AON39" s="8"/>
      <c r="AOO39" s="8"/>
      <c r="AOP39" s="8"/>
      <c r="AOQ39" s="8"/>
      <c r="AOR39" s="8"/>
      <c r="AOS39" s="8"/>
      <c r="AOT39" s="8"/>
      <c r="AOU39" s="8"/>
      <c r="AOV39" s="8"/>
      <c r="AOW39" s="8"/>
      <c r="AOX39" s="8"/>
      <c r="AOY39" s="8"/>
      <c r="AOZ39" s="8"/>
      <c r="APA39" s="8"/>
      <c r="APB39" s="8"/>
      <c r="APC39" s="8"/>
      <c r="APD39" s="8"/>
      <c r="APE39" s="8"/>
      <c r="APF39" s="8"/>
      <c r="APG39" s="8"/>
      <c r="APH39" s="8"/>
      <c r="API39" s="8"/>
      <c r="APJ39" s="8"/>
      <c r="APK39" s="8"/>
      <c r="APL39" s="8"/>
      <c r="APM39" s="8"/>
      <c r="APN39" s="8"/>
      <c r="APO39" s="8"/>
      <c r="APP39" s="8"/>
      <c r="APQ39" s="8"/>
      <c r="APR39" s="8"/>
      <c r="APS39" s="8"/>
      <c r="APT39" s="8"/>
      <c r="APU39" s="8"/>
      <c r="APV39" s="8"/>
      <c r="APW39" s="8"/>
      <c r="APX39" s="8"/>
      <c r="APY39" s="8"/>
      <c r="APZ39" s="8"/>
      <c r="AQA39" s="8"/>
      <c r="AQB39" s="8"/>
      <c r="AQC39" s="8"/>
      <c r="AQD39" s="8"/>
      <c r="AQE39" s="8"/>
      <c r="AQF39" s="8"/>
      <c r="AQG39" s="8"/>
      <c r="AQH39" s="8"/>
      <c r="AQI39" s="8"/>
      <c r="AQJ39" s="8"/>
      <c r="AQK39" s="8"/>
      <c r="AQL39" s="8"/>
      <c r="AQM39" s="8"/>
      <c r="AQN39" s="8"/>
      <c r="AQO39" s="8"/>
      <c r="AQP39" s="8"/>
      <c r="AQQ39" s="8"/>
      <c r="AQR39" s="8"/>
      <c r="AQS39" s="8"/>
      <c r="AQT39" s="8"/>
      <c r="AQU39" s="8"/>
      <c r="AQV39" s="8"/>
      <c r="AQW39" s="8"/>
      <c r="AQX39" s="8"/>
      <c r="AQY39" s="8"/>
      <c r="AQZ39" s="8"/>
      <c r="ARA39" s="8"/>
      <c r="ARB39" s="8"/>
      <c r="ARC39" s="8"/>
      <c r="ARD39" s="8"/>
      <c r="ARE39" s="8"/>
      <c r="ARF39" s="8"/>
      <c r="ARG39" s="8"/>
      <c r="ARH39" s="8"/>
      <c r="ARI39" s="8"/>
      <c r="ARJ39" s="8"/>
      <c r="ARK39" s="8"/>
      <c r="ARL39" s="8"/>
      <c r="ARM39" s="8"/>
      <c r="ARN39" s="8"/>
      <c r="ARO39" s="8"/>
      <c r="ARP39" s="8"/>
      <c r="ARQ39" s="8"/>
      <c r="ARR39" s="8"/>
      <c r="ARS39" s="8"/>
      <c r="ART39" s="8"/>
      <c r="ARU39" s="8"/>
      <c r="ARV39" s="8"/>
      <c r="ARW39" s="8"/>
      <c r="ARX39" s="8"/>
      <c r="ARY39" s="8"/>
      <c r="ARZ39" s="8"/>
      <c r="ASA39" s="8"/>
      <c r="ASB39" s="8"/>
      <c r="ASC39" s="8"/>
      <c r="ASD39" s="8"/>
      <c r="ASE39" s="8"/>
      <c r="ASF39" s="8"/>
      <c r="ASG39" s="8"/>
      <c r="ASH39" s="8"/>
      <c r="ASI39" s="8"/>
      <c r="ASJ39" s="8"/>
      <c r="ASK39" s="8"/>
      <c r="ASL39" s="8"/>
      <c r="ASM39" s="8"/>
      <c r="ASN39" s="8"/>
      <c r="ASO39" s="8"/>
      <c r="ASP39" s="8"/>
      <c r="ASQ39" s="8"/>
      <c r="ASR39" s="8"/>
      <c r="ASS39" s="8"/>
      <c r="AST39" s="8"/>
      <c r="ASU39" s="8"/>
      <c r="ASV39" s="8"/>
      <c r="ASW39" s="8"/>
      <c r="ASX39" s="8"/>
      <c r="ASY39" s="8"/>
      <c r="ASZ39" s="8"/>
      <c r="ATA39" s="8"/>
      <c r="ATB39" s="8"/>
      <c r="ATC39" s="8"/>
      <c r="ATD39" s="8"/>
      <c r="ATE39" s="8"/>
      <c r="ATF39" s="8"/>
      <c r="ATG39" s="8"/>
      <c r="ATH39" s="8"/>
      <c r="ATI39" s="8"/>
      <c r="ATJ39" s="8"/>
      <c r="ATK39" s="8"/>
      <c r="ATL39" s="8"/>
      <c r="ATM39" s="8"/>
      <c r="ATN39" s="8"/>
      <c r="ATO39" s="8"/>
      <c r="ATP39" s="8"/>
      <c r="ATQ39" s="8"/>
      <c r="ATR39" s="8"/>
      <c r="ATS39" s="8"/>
      <c r="ATT39" s="8"/>
      <c r="ATU39" s="8"/>
      <c r="ATV39" s="8"/>
      <c r="ATW39" s="8"/>
      <c r="ATX39" s="8"/>
      <c r="ATY39" s="8"/>
      <c r="ATZ39" s="8"/>
      <c r="AUA39" s="8"/>
      <c r="AUB39" s="8"/>
      <c r="AUC39" s="8"/>
      <c r="AUD39" s="8"/>
      <c r="AUE39" s="8"/>
      <c r="AUF39" s="8"/>
      <c r="AUG39" s="8"/>
      <c r="AUH39" s="8"/>
      <c r="AUI39" s="8"/>
      <c r="AUJ39" s="8"/>
      <c r="AUK39" s="8"/>
      <c r="AUL39" s="8"/>
      <c r="AUM39" s="8"/>
      <c r="AUN39" s="8"/>
      <c r="AUO39" s="8"/>
      <c r="AUP39" s="8"/>
      <c r="AUQ39" s="8"/>
      <c r="AUR39" s="8"/>
      <c r="AUS39" s="8"/>
      <c r="AUT39" s="8"/>
      <c r="AUU39" s="8"/>
      <c r="AUV39" s="8"/>
      <c r="AUW39" s="8"/>
      <c r="AUX39" s="8"/>
      <c r="AUY39" s="8"/>
      <c r="AUZ39" s="8"/>
      <c r="AVA39" s="8"/>
      <c r="AVB39" s="8"/>
      <c r="AVC39" s="8"/>
      <c r="AVD39" s="8"/>
      <c r="AVE39" s="8"/>
      <c r="AVF39" s="8"/>
      <c r="AVG39" s="8"/>
      <c r="AVH39" s="8"/>
      <c r="AVI39" s="8"/>
      <c r="AVJ39" s="8"/>
      <c r="AVK39" s="8"/>
      <c r="AVL39" s="8"/>
      <c r="AVM39" s="8"/>
      <c r="AVN39" s="8"/>
      <c r="AVO39" s="8"/>
      <c r="AVP39" s="8"/>
      <c r="AVQ39" s="8"/>
      <c r="AVR39" s="8"/>
      <c r="AVS39" s="8"/>
      <c r="AVT39" s="8"/>
      <c r="AVU39" s="8"/>
      <c r="AVV39" s="8"/>
      <c r="AVW39" s="8"/>
      <c r="AVX39" s="8"/>
      <c r="AVY39" s="8"/>
      <c r="AVZ39" s="8"/>
      <c r="AWA39" s="8"/>
      <c r="AWB39" s="8"/>
      <c r="AWC39" s="8"/>
      <c r="AWD39" s="8"/>
      <c r="AWE39" s="8"/>
      <c r="AWF39" s="8"/>
      <c r="AWG39" s="8"/>
      <c r="AWH39" s="8"/>
      <c r="AWI39" s="8"/>
      <c r="AWJ39" s="8"/>
      <c r="AWK39" s="8"/>
      <c r="AWL39" s="8"/>
      <c r="AWM39" s="8"/>
      <c r="AWN39" s="8"/>
      <c r="AWO39" s="8"/>
      <c r="AWP39" s="8"/>
      <c r="AWQ39" s="8"/>
      <c r="AWR39" s="8"/>
      <c r="AWS39" s="8"/>
      <c r="AWT39" s="8"/>
      <c r="AWU39" s="8"/>
      <c r="AWV39" s="8"/>
      <c r="AWW39" s="8"/>
      <c r="AWX39" s="8"/>
      <c r="AWY39" s="8"/>
      <c r="AWZ39" s="8"/>
      <c r="AXA39" s="8"/>
      <c r="AXB39" s="8"/>
      <c r="AXC39" s="8"/>
      <c r="AXD39" s="8"/>
      <c r="AXE39" s="8"/>
      <c r="AXF39" s="8"/>
      <c r="AXG39" s="8"/>
      <c r="AXH39" s="8"/>
      <c r="AXI39" s="8"/>
      <c r="AXJ39" s="8"/>
      <c r="AXK39" s="8"/>
      <c r="AXL39" s="8"/>
      <c r="AXM39" s="8"/>
      <c r="AXN39" s="8"/>
      <c r="AXO39" s="8"/>
      <c r="AXP39" s="8"/>
      <c r="AXQ39" s="8"/>
      <c r="AXR39" s="8"/>
      <c r="AXS39" s="8"/>
      <c r="AXT39" s="8"/>
      <c r="AXU39" s="8"/>
      <c r="AXV39" s="8"/>
      <c r="AXW39" s="8"/>
      <c r="AXX39" s="8"/>
      <c r="AXY39" s="8"/>
      <c r="AXZ39" s="8"/>
      <c r="AYA39" s="8"/>
      <c r="AYB39" s="8"/>
      <c r="AYC39" s="8"/>
      <c r="AYD39" s="8"/>
      <c r="AYE39" s="8"/>
      <c r="AYF39" s="8"/>
      <c r="AYG39" s="8"/>
      <c r="AYH39" s="8"/>
      <c r="AYI39" s="8"/>
      <c r="AYJ39" s="8"/>
      <c r="AYK39" s="8"/>
      <c r="AYL39" s="8"/>
      <c r="AYM39" s="8"/>
      <c r="AYN39" s="8"/>
      <c r="AYO39" s="8"/>
      <c r="AYP39" s="8"/>
      <c r="AYQ39" s="8"/>
      <c r="AYR39" s="8"/>
      <c r="AYS39" s="8"/>
      <c r="AYT39" s="8"/>
      <c r="AYU39" s="8"/>
      <c r="AYV39" s="8"/>
      <c r="AYW39" s="8"/>
      <c r="AYX39" s="8"/>
      <c r="AYY39" s="8"/>
      <c r="AYZ39" s="8"/>
      <c r="AZA39" s="8"/>
      <c r="AZB39" s="8"/>
      <c r="AZC39" s="8"/>
      <c r="AZD39" s="8"/>
      <c r="AZE39" s="8"/>
      <c r="AZF39" s="8"/>
      <c r="AZG39" s="8"/>
      <c r="AZH39" s="8"/>
      <c r="AZI39" s="8"/>
      <c r="AZJ39" s="8"/>
      <c r="AZK39" s="8"/>
      <c r="AZL39" s="8"/>
      <c r="AZM39" s="8"/>
      <c r="AZN39" s="8"/>
      <c r="AZO39" s="8"/>
      <c r="AZP39" s="8"/>
      <c r="AZQ39" s="8"/>
      <c r="AZR39" s="8"/>
      <c r="AZS39" s="8"/>
      <c r="AZT39" s="8"/>
      <c r="AZU39" s="8"/>
      <c r="AZV39" s="8"/>
      <c r="AZW39" s="8"/>
      <c r="AZX39" s="8"/>
      <c r="AZY39" s="8"/>
      <c r="AZZ39" s="8"/>
      <c r="BAA39" s="8"/>
      <c r="BAB39" s="8"/>
      <c r="BAC39" s="8"/>
      <c r="BAD39" s="8"/>
      <c r="BAE39" s="8"/>
      <c r="BAF39" s="8"/>
      <c r="BAG39" s="8"/>
      <c r="BAH39" s="8"/>
      <c r="BAI39" s="8"/>
      <c r="BAJ39" s="8"/>
      <c r="BAK39" s="8"/>
      <c r="BAL39" s="8"/>
      <c r="BAM39" s="8"/>
      <c r="BAN39" s="8"/>
      <c r="BAO39" s="8"/>
      <c r="BAP39" s="8"/>
      <c r="BAQ39" s="8"/>
      <c r="BAR39" s="8"/>
      <c r="BAS39" s="8"/>
      <c r="BAT39" s="8"/>
      <c r="BAU39" s="8"/>
      <c r="BAV39" s="8"/>
      <c r="BAW39" s="8"/>
      <c r="BAX39" s="8"/>
      <c r="BAY39" s="8"/>
      <c r="BAZ39" s="8"/>
      <c r="BBA39" s="8"/>
      <c r="BBB39" s="8"/>
      <c r="BBC39" s="8"/>
      <c r="BBD39" s="8"/>
      <c r="BBE39" s="8"/>
      <c r="BBF39" s="8"/>
      <c r="BBG39" s="8"/>
      <c r="BBH39" s="8"/>
      <c r="BBI39" s="8"/>
      <c r="BBJ39" s="8"/>
      <c r="BBK39" s="8"/>
      <c r="BBL39" s="8"/>
      <c r="BBM39" s="8"/>
      <c r="BBN39" s="8"/>
      <c r="BBO39" s="8"/>
      <c r="BBP39" s="8"/>
      <c r="BBQ39" s="8"/>
      <c r="BBR39" s="8"/>
      <c r="BBS39" s="8"/>
      <c r="BBT39" s="8"/>
      <c r="BBU39" s="8"/>
      <c r="BBV39" s="8"/>
      <c r="BBW39" s="8"/>
      <c r="BBX39" s="8"/>
      <c r="BBY39" s="8"/>
      <c r="BBZ39" s="8"/>
      <c r="BCA39" s="8"/>
      <c r="BCB39" s="8"/>
      <c r="BCC39" s="8"/>
      <c r="BCD39" s="8"/>
      <c r="BCE39" s="8"/>
      <c r="BCF39" s="8"/>
      <c r="BCG39" s="8"/>
      <c r="BCH39" s="8"/>
      <c r="BCI39" s="8"/>
      <c r="BCJ39" s="8"/>
      <c r="BCK39" s="8"/>
      <c r="BCL39" s="8"/>
      <c r="BCM39" s="8"/>
      <c r="BCN39" s="8"/>
      <c r="BCO39" s="8"/>
      <c r="BCP39" s="8"/>
      <c r="BCQ39" s="8"/>
      <c r="BCR39" s="8"/>
      <c r="BCS39" s="8"/>
      <c r="BCT39" s="8"/>
      <c r="BCU39" s="8"/>
      <c r="BCV39" s="8"/>
      <c r="BCW39" s="8"/>
      <c r="BCX39" s="8"/>
      <c r="BCY39" s="8"/>
      <c r="BCZ39" s="8"/>
      <c r="BDA39" s="8"/>
      <c r="BDB39" s="8"/>
      <c r="BDC39" s="8"/>
      <c r="BDD39" s="8"/>
      <c r="BDE39" s="8"/>
      <c r="BDF39" s="8"/>
      <c r="BDG39" s="8"/>
      <c r="BDH39" s="8"/>
      <c r="BDI39" s="8"/>
      <c r="BDJ39" s="8"/>
      <c r="BDK39" s="8"/>
      <c r="BDL39" s="8"/>
      <c r="BDM39" s="8"/>
      <c r="BDN39" s="8"/>
      <c r="BDO39" s="8"/>
      <c r="BDP39" s="8"/>
      <c r="BDQ39" s="8"/>
      <c r="BDR39" s="8"/>
      <c r="BDS39" s="8"/>
      <c r="BDT39" s="8"/>
      <c r="BDU39" s="8"/>
      <c r="BDV39" s="8"/>
      <c r="BDW39" s="8"/>
      <c r="BDX39" s="8"/>
      <c r="BDY39" s="8"/>
      <c r="BDZ39" s="8"/>
      <c r="BEA39" s="8"/>
      <c r="BEB39" s="8"/>
      <c r="BEC39" s="8"/>
      <c r="BED39" s="8"/>
      <c r="BEE39" s="8"/>
      <c r="BEF39" s="8"/>
      <c r="BEG39" s="8"/>
      <c r="BEH39" s="8"/>
      <c r="BEI39" s="8"/>
      <c r="BEJ39" s="8"/>
      <c r="BEK39" s="8"/>
      <c r="BEL39" s="8"/>
      <c r="BEM39" s="8"/>
      <c r="BEN39" s="8"/>
      <c r="BEO39" s="8"/>
      <c r="BEP39" s="8"/>
      <c r="BEQ39" s="8"/>
      <c r="BER39" s="8"/>
      <c r="BES39" s="8"/>
      <c r="BET39" s="8"/>
      <c r="BEU39" s="8"/>
      <c r="BEV39" s="8"/>
      <c r="BEW39" s="8"/>
      <c r="BEX39" s="8"/>
      <c r="BEY39" s="8"/>
      <c r="BEZ39" s="8"/>
      <c r="BFA39" s="8"/>
      <c r="BFB39" s="8"/>
      <c r="BFC39" s="8"/>
      <c r="BFD39" s="8"/>
      <c r="BFE39" s="8"/>
      <c r="BFF39" s="8"/>
      <c r="BFG39" s="8"/>
      <c r="BFH39" s="8"/>
      <c r="BFI39" s="8"/>
      <c r="BFJ39" s="8"/>
      <c r="BFK39" s="8"/>
      <c r="BFL39" s="8"/>
      <c r="BFM39" s="8"/>
      <c r="BFN39" s="8"/>
      <c r="BFO39" s="8"/>
      <c r="BFP39" s="8"/>
      <c r="BFQ39" s="8"/>
      <c r="BFR39" s="8"/>
      <c r="BFS39" s="8"/>
      <c r="BFT39" s="8"/>
      <c r="BFU39" s="8"/>
      <c r="BFV39" s="8"/>
      <c r="BFW39" s="8"/>
      <c r="BFX39" s="8"/>
      <c r="BFY39" s="8"/>
      <c r="BFZ39" s="8"/>
      <c r="BGA39" s="8"/>
      <c r="BGB39" s="8"/>
      <c r="BGC39" s="8"/>
      <c r="BGD39" s="8"/>
      <c r="BGE39" s="8"/>
      <c r="BGF39" s="8"/>
      <c r="BGG39" s="8"/>
      <c r="BGH39" s="8"/>
      <c r="BGI39" s="8"/>
      <c r="BGJ39" s="8"/>
      <c r="BGK39" s="8"/>
      <c r="BGL39" s="8"/>
      <c r="BGM39" s="8"/>
      <c r="BGN39" s="8"/>
      <c r="BGO39" s="8"/>
      <c r="BGP39" s="8"/>
      <c r="BGQ39" s="8"/>
      <c r="BGR39" s="8"/>
      <c r="BGS39" s="8"/>
      <c r="BGT39" s="8"/>
      <c r="BGU39" s="8"/>
      <c r="BGV39" s="8"/>
      <c r="BGW39" s="8"/>
      <c r="BGX39" s="8"/>
      <c r="BGY39" s="8"/>
      <c r="BGZ39" s="8"/>
      <c r="BHA39" s="8"/>
      <c r="BHB39" s="8"/>
      <c r="BHC39" s="8"/>
      <c r="BHD39" s="8"/>
      <c r="BHE39" s="8"/>
      <c r="BHF39" s="8"/>
      <c r="BHG39" s="8"/>
      <c r="BHH39" s="8"/>
      <c r="BHI39" s="8"/>
      <c r="BHJ39" s="8"/>
      <c r="BHK39" s="8"/>
      <c r="BHL39" s="8"/>
      <c r="BHM39" s="8"/>
      <c r="BHN39" s="8"/>
      <c r="BHO39" s="8"/>
      <c r="BHP39" s="8"/>
      <c r="BHQ39" s="8"/>
      <c r="BHR39" s="8"/>
      <c r="BHS39" s="8"/>
      <c r="BHT39" s="8"/>
      <c r="BHU39" s="8"/>
      <c r="BHV39" s="8"/>
      <c r="BHW39" s="8"/>
      <c r="BHX39" s="8"/>
      <c r="BHY39" s="8"/>
      <c r="BHZ39" s="8"/>
      <c r="BIA39" s="8"/>
      <c r="BIB39" s="8"/>
      <c r="BIC39" s="8"/>
      <c r="BID39" s="8"/>
      <c r="BIE39" s="8"/>
      <c r="BIF39" s="8"/>
      <c r="BIG39" s="8"/>
      <c r="BIH39" s="8"/>
      <c r="BII39" s="8"/>
      <c r="BIJ39" s="8"/>
      <c r="BIK39" s="8"/>
      <c r="BIL39" s="8"/>
      <c r="BIM39" s="8"/>
      <c r="BIN39" s="8"/>
      <c r="BIO39" s="8"/>
      <c r="BIP39" s="8"/>
      <c r="BIQ39" s="8"/>
      <c r="BIR39" s="8"/>
      <c r="BIS39" s="8"/>
      <c r="BIT39" s="8"/>
      <c r="BIU39" s="8"/>
      <c r="BIV39" s="8"/>
      <c r="BIW39" s="8"/>
      <c r="BIX39" s="8"/>
      <c r="BIY39" s="8"/>
      <c r="BIZ39" s="8"/>
      <c r="BJA39" s="8"/>
      <c r="BJB39" s="8"/>
      <c r="BJC39" s="8"/>
      <c r="BJD39" s="8"/>
      <c r="BJE39" s="8"/>
      <c r="BJF39" s="8"/>
      <c r="BJG39" s="8"/>
      <c r="BJH39" s="8"/>
      <c r="BJI39" s="8"/>
      <c r="BJJ39" s="8"/>
      <c r="BJK39" s="8"/>
      <c r="BJL39" s="8"/>
      <c r="BJM39" s="8"/>
      <c r="BJN39" s="8"/>
      <c r="BJO39" s="8"/>
      <c r="BJP39" s="8"/>
      <c r="BJQ39" s="8"/>
      <c r="BJR39" s="8"/>
      <c r="BJS39" s="8"/>
      <c r="BJT39" s="8"/>
      <c r="BJU39" s="8"/>
      <c r="BJV39" s="8"/>
      <c r="BJW39" s="8"/>
      <c r="BJX39" s="8"/>
      <c r="BJY39" s="8"/>
      <c r="BJZ39" s="8"/>
      <c r="BKA39" s="8"/>
      <c r="BKB39" s="8"/>
      <c r="BKC39" s="8"/>
      <c r="BKD39" s="8"/>
      <c r="BKE39" s="8"/>
      <c r="BKF39" s="8"/>
      <c r="BKG39" s="8"/>
      <c r="BKH39" s="8"/>
      <c r="BKI39" s="8"/>
      <c r="BKJ39" s="8"/>
      <c r="BKK39" s="8"/>
      <c r="BKL39" s="8"/>
      <c r="BKM39" s="8"/>
      <c r="BKN39" s="8"/>
      <c r="BKO39" s="8"/>
      <c r="BKP39" s="8"/>
      <c r="BKQ39" s="8"/>
      <c r="BKR39" s="8"/>
      <c r="BKS39" s="8"/>
      <c r="BKT39" s="8"/>
      <c r="BKU39" s="8"/>
      <c r="BKV39" s="8"/>
      <c r="BKW39" s="8"/>
      <c r="BKX39" s="8"/>
      <c r="BKY39" s="8"/>
      <c r="BKZ39" s="8"/>
      <c r="BLA39" s="8"/>
      <c r="BLB39" s="8"/>
      <c r="BLC39" s="8"/>
      <c r="BLD39" s="8"/>
      <c r="BLE39" s="8"/>
      <c r="BLF39" s="8"/>
      <c r="BLG39" s="8"/>
      <c r="BLH39" s="8"/>
      <c r="BLI39" s="8"/>
      <c r="BLJ39" s="8"/>
      <c r="BLK39" s="8"/>
      <c r="BLL39" s="8"/>
      <c r="BLM39" s="8"/>
      <c r="BLN39" s="8"/>
      <c r="BLO39" s="8"/>
      <c r="BLP39" s="8"/>
      <c r="BLQ39" s="8"/>
      <c r="BLR39" s="8"/>
      <c r="BLS39" s="8"/>
      <c r="BLT39" s="8"/>
      <c r="BLU39" s="8"/>
      <c r="BLV39" s="8"/>
      <c r="BLW39" s="8"/>
      <c r="BLX39" s="8"/>
      <c r="BLY39" s="8"/>
      <c r="BLZ39" s="8"/>
      <c r="BMA39" s="8"/>
      <c r="BMB39" s="8"/>
      <c r="BMC39" s="8"/>
      <c r="BMD39" s="8"/>
      <c r="BME39" s="8"/>
      <c r="BMF39" s="8"/>
      <c r="BMG39" s="8"/>
      <c r="BMH39" s="8"/>
      <c r="BMI39" s="8"/>
      <c r="BMJ39" s="8"/>
      <c r="BMK39" s="8"/>
      <c r="BML39" s="8"/>
      <c r="BMM39" s="8"/>
      <c r="BMN39" s="8"/>
      <c r="BMO39" s="8"/>
      <c r="BMP39" s="8"/>
      <c r="BMQ39" s="8"/>
      <c r="BMR39" s="8"/>
      <c r="BMS39" s="8"/>
      <c r="BMT39" s="8"/>
      <c r="BMU39" s="8"/>
      <c r="BMV39" s="8"/>
      <c r="BMW39" s="8"/>
      <c r="BMX39" s="8"/>
      <c r="BMY39" s="8"/>
      <c r="BMZ39" s="8"/>
      <c r="BNA39" s="8"/>
      <c r="BNB39" s="8"/>
      <c r="BNC39" s="8"/>
      <c r="BND39" s="8"/>
      <c r="BNE39" s="8"/>
      <c r="BNF39" s="8"/>
      <c r="BNG39" s="8"/>
      <c r="BNH39" s="8"/>
      <c r="BNI39" s="8"/>
      <c r="BNJ39" s="8"/>
      <c r="BNK39" s="8"/>
      <c r="BNL39" s="8"/>
      <c r="BNM39" s="8"/>
      <c r="BNN39" s="8"/>
      <c r="BNO39" s="8"/>
      <c r="BNP39" s="8"/>
      <c r="BNQ39" s="8"/>
      <c r="BNR39" s="8"/>
      <c r="BNS39" s="8"/>
      <c r="BNT39" s="8"/>
      <c r="BNU39" s="8"/>
      <c r="BNV39" s="8"/>
      <c r="BNW39" s="8"/>
      <c r="BNX39" s="8"/>
      <c r="BNY39" s="8"/>
      <c r="BNZ39" s="8"/>
      <c r="BOA39" s="8"/>
      <c r="BOB39" s="8"/>
      <c r="BOC39" s="8"/>
      <c r="BOD39" s="8"/>
      <c r="BOE39" s="8"/>
      <c r="BOF39" s="8"/>
      <c r="BOG39" s="8"/>
      <c r="BOH39" s="8"/>
      <c r="BOI39" s="8"/>
      <c r="BOJ39" s="8"/>
      <c r="BOK39" s="8"/>
      <c r="BOL39" s="8"/>
      <c r="BOM39" s="8"/>
      <c r="BON39" s="8"/>
      <c r="BOO39" s="8"/>
      <c r="BOP39" s="8"/>
      <c r="BOQ39" s="8"/>
      <c r="BOR39" s="8"/>
      <c r="BOS39" s="8"/>
      <c r="BOT39" s="8"/>
      <c r="BOU39" s="8"/>
      <c r="BOV39" s="8"/>
      <c r="BOW39" s="8"/>
      <c r="BOX39" s="8"/>
      <c r="BOY39" s="8"/>
      <c r="BOZ39" s="8"/>
      <c r="BPA39" s="8"/>
      <c r="BPB39" s="8"/>
      <c r="BPC39" s="8"/>
      <c r="BPD39" s="8"/>
      <c r="BPE39" s="8"/>
      <c r="BPF39" s="8"/>
      <c r="BPG39" s="8"/>
      <c r="BPH39" s="8"/>
      <c r="BPI39" s="8"/>
      <c r="BPJ39" s="8"/>
      <c r="BPK39" s="8"/>
      <c r="BPL39" s="8"/>
      <c r="BPM39" s="8"/>
      <c r="BPN39" s="8"/>
      <c r="BPO39" s="8"/>
      <c r="BPP39" s="8"/>
      <c r="BPQ39" s="8"/>
      <c r="BPR39" s="8"/>
      <c r="BPS39" s="8"/>
      <c r="BPT39" s="8"/>
      <c r="BPU39" s="8"/>
      <c r="BPV39" s="8"/>
      <c r="BPW39" s="8"/>
      <c r="BPX39" s="8"/>
      <c r="BPY39" s="8"/>
      <c r="BPZ39" s="8"/>
      <c r="BQA39" s="8"/>
      <c r="BQB39" s="8"/>
      <c r="BQC39" s="8"/>
      <c r="BQD39" s="8"/>
      <c r="BQE39" s="8"/>
      <c r="BQF39" s="8"/>
      <c r="BQG39" s="8"/>
      <c r="BQH39" s="8"/>
      <c r="BQI39" s="8"/>
      <c r="BQJ39" s="8"/>
      <c r="BQK39" s="8"/>
      <c r="BQL39" s="8"/>
      <c r="BQM39" s="8"/>
      <c r="BQN39" s="8"/>
      <c r="BQO39" s="8"/>
      <c r="BQP39" s="8"/>
      <c r="BQQ39" s="8"/>
      <c r="BQR39" s="8"/>
      <c r="BQS39" s="8"/>
      <c r="BQT39" s="8"/>
      <c r="BQU39" s="8"/>
      <c r="BQV39" s="8"/>
      <c r="BQW39" s="8"/>
      <c r="BQX39" s="8"/>
      <c r="BQY39" s="8"/>
      <c r="BQZ39" s="8"/>
      <c r="BRA39" s="8"/>
      <c r="BRB39" s="8"/>
      <c r="BRC39" s="8"/>
      <c r="BRD39" s="8"/>
      <c r="BRE39" s="8"/>
      <c r="BRF39" s="8"/>
      <c r="BRG39" s="8"/>
      <c r="BRH39" s="8"/>
      <c r="BRI39" s="8"/>
      <c r="BRJ39" s="8"/>
      <c r="BRK39" s="8"/>
      <c r="BRL39" s="8"/>
      <c r="BRM39" s="8"/>
      <c r="BRN39" s="8"/>
      <c r="BRO39" s="8"/>
      <c r="BRP39" s="8"/>
      <c r="BRQ39" s="8"/>
      <c r="BRR39" s="8"/>
      <c r="BRS39" s="8"/>
      <c r="BRT39" s="8"/>
      <c r="BRU39" s="8"/>
      <c r="BRV39" s="8"/>
      <c r="BRW39" s="8"/>
      <c r="BRX39" s="8"/>
      <c r="BRY39" s="8"/>
      <c r="BRZ39" s="8"/>
      <c r="BSA39" s="8"/>
      <c r="BSB39" s="8"/>
      <c r="BSC39" s="8"/>
      <c r="BSD39" s="8"/>
      <c r="BSE39" s="8"/>
      <c r="BSF39" s="8"/>
      <c r="BSG39" s="8"/>
      <c r="BSH39" s="8"/>
      <c r="BSI39" s="8"/>
      <c r="BSJ39" s="8"/>
      <c r="BSK39" s="8"/>
      <c r="BSL39" s="8"/>
      <c r="BSM39" s="8"/>
      <c r="BSN39" s="8"/>
      <c r="BSO39" s="8"/>
      <c r="BSP39" s="8"/>
      <c r="BSQ39" s="8"/>
      <c r="BSR39" s="8"/>
      <c r="BSS39" s="8"/>
      <c r="BST39" s="8"/>
      <c r="BSU39" s="8"/>
      <c r="BSV39" s="8"/>
      <c r="BSW39" s="8"/>
      <c r="BSX39" s="8"/>
      <c r="BSY39" s="8"/>
      <c r="BSZ39" s="8"/>
      <c r="BTA39" s="8"/>
      <c r="BTB39" s="8"/>
      <c r="BTC39" s="8"/>
      <c r="BTD39" s="8"/>
      <c r="BTE39" s="8"/>
      <c r="BTF39" s="8"/>
      <c r="BTG39" s="8"/>
      <c r="BTH39" s="8"/>
      <c r="BTI39" s="8"/>
      <c r="BTJ39" s="8"/>
      <c r="BTK39" s="8"/>
      <c r="BTL39" s="8"/>
      <c r="BTM39" s="8"/>
      <c r="BTN39" s="8"/>
      <c r="BTO39" s="8"/>
      <c r="BTP39" s="8"/>
      <c r="BTQ39" s="8"/>
      <c r="BTR39" s="8"/>
      <c r="BTS39" s="8"/>
      <c r="BTT39" s="8"/>
      <c r="BTU39" s="8"/>
      <c r="BTV39" s="8"/>
      <c r="BTW39" s="8"/>
      <c r="BTX39" s="8"/>
      <c r="BTY39" s="8"/>
      <c r="BTZ39" s="8"/>
      <c r="BUA39" s="8"/>
      <c r="BUB39" s="8"/>
      <c r="BUC39" s="8"/>
      <c r="BUD39" s="8"/>
      <c r="BUE39" s="8"/>
      <c r="BUF39" s="8"/>
      <c r="BUG39" s="8"/>
      <c r="BUH39" s="8"/>
      <c r="BUI39" s="8"/>
      <c r="BUJ39" s="8"/>
      <c r="BUK39" s="8"/>
      <c r="BUL39" s="8"/>
      <c r="BUM39" s="8"/>
      <c r="BUN39" s="8"/>
      <c r="BUO39" s="8"/>
      <c r="BUP39" s="8"/>
      <c r="BUQ39" s="8"/>
      <c r="BUR39" s="8"/>
      <c r="BUS39" s="8"/>
      <c r="BUT39" s="8"/>
      <c r="BUU39" s="8"/>
      <c r="BUV39" s="8"/>
      <c r="BUW39" s="8"/>
      <c r="BUX39" s="8"/>
      <c r="BUY39" s="8"/>
      <c r="BUZ39" s="8"/>
      <c r="BVA39" s="8"/>
      <c r="BVB39" s="8"/>
      <c r="BVC39" s="8"/>
      <c r="BVD39" s="8"/>
      <c r="BVE39" s="8"/>
      <c r="BVF39" s="8"/>
      <c r="BVG39" s="8"/>
      <c r="BVH39" s="8"/>
      <c r="BVI39" s="8"/>
      <c r="BVJ39" s="8"/>
      <c r="BVK39" s="8"/>
      <c r="BVL39" s="8"/>
      <c r="BVM39" s="8"/>
      <c r="BVN39" s="8"/>
      <c r="BVO39" s="8"/>
      <c r="BVP39" s="8"/>
      <c r="BVQ39" s="8"/>
      <c r="BVR39" s="8"/>
      <c r="BVS39" s="8"/>
      <c r="BVT39" s="8"/>
      <c r="BVU39" s="8"/>
      <c r="BVV39" s="8"/>
      <c r="BVW39" s="8"/>
      <c r="BVX39" s="8"/>
      <c r="BVY39" s="8"/>
      <c r="BVZ39" s="8"/>
      <c r="BWA39" s="8"/>
      <c r="BWB39" s="8"/>
      <c r="BWC39" s="8"/>
      <c r="BWD39" s="8"/>
      <c r="BWE39" s="8"/>
      <c r="BWF39" s="8"/>
      <c r="BWG39" s="8"/>
      <c r="BWH39" s="8"/>
      <c r="BWI39" s="8"/>
      <c r="BWJ39" s="8"/>
      <c r="BWK39" s="8"/>
      <c r="BWL39" s="8"/>
      <c r="BWM39" s="8"/>
      <c r="BWN39" s="8"/>
      <c r="BWO39" s="8"/>
      <c r="BWP39" s="8"/>
      <c r="BWQ39" s="8"/>
      <c r="BWR39" s="8"/>
      <c r="BWS39" s="8"/>
      <c r="BWT39" s="8"/>
      <c r="BWU39" s="8"/>
      <c r="BWV39" s="8"/>
      <c r="BWW39" s="8"/>
      <c r="BWX39" s="8"/>
      <c r="BWY39" s="8"/>
      <c r="BWZ39" s="8"/>
      <c r="BXA39" s="8"/>
      <c r="BXB39" s="8"/>
      <c r="BXC39" s="8"/>
      <c r="BXD39" s="8"/>
      <c r="BXE39" s="8"/>
      <c r="BXF39" s="8"/>
      <c r="BXG39" s="8"/>
      <c r="BXH39" s="8"/>
      <c r="BXI39" s="8"/>
      <c r="BXJ39" s="8"/>
      <c r="BXK39" s="8"/>
      <c r="BXL39" s="8"/>
      <c r="BXM39" s="8"/>
      <c r="BXN39" s="8"/>
      <c r="BXO39" s="8"/>
      <c r="BXP39" s="8"/>
      <c r="BXQ39" s="8"/>
      <c r="BXR39" s="8"/>
      <c r="BXS39" s="8"/>
      <c r="BXT39" s="8"/>
      <c r="BXU39" s="8"/>
      <c r="BXV39" s="8"/>
      <c r="BXW39" s="8"/>
      <c r="BXX39" s="8"/>
      <c r="BXY39" s="8"/>
      <c r="BXZ39" s="8"/>
      <c r="BYA39" s="8"/>
      <c r="BYB39" s="8"/>
      <c r="BYC39" s="8"/>
      <c r="BYD39" s="8"/>
      <c r="BYE39" s="8"/>
      <c r="BYF39" s="8"/>
      <c r="BYG39" s="8"/>
      <c r="BYH39" s="8"/>
      <c r="BYI39" s="8"/>
      <c r="BYJ39" s="8"/>
      <c r="BYK39" s="8"/>
      <c r="BYL39" s="8"/>
      <c r="BYM39" s="8"/>
      <c r="BYN39" s="8"/>
      <c r="BYO39" s="8"/>
      <c r="BYP39" s="8"/>
      <c r="BYQ39" s="8"/>
      <c r="BYR39" s="8"/>
      <c r="BYS39" s="8"/>
      <c r="BYT39" s="8"/>
      <c r="BYU39" s="8"/>
      <c r="BYV39" s="8"/>
      <c r="BYW39" s="8"/>
      <c r="BYX39" s="8"/>
      <c r="BYY39" s="8"/>
      <c r="BYZ39" s="8"/>
      <c r="BZA39" s="8"/>
      <c r="BZB39" s="8"/>
      <c r="BZC39" s="8"/>
      <c r="BZD39" s="8"/>
      <c r="BZE39" s="8"/>
      <c r="BZF39" s="8"/>
      <c r="BZG39" s="8"/>
      <c r="BZH39" s="8"/>
      <c r="BZI39" s="8"/>
      <c r="BZJ39" s="8"/>
      <c r="BZK39" s="8"/>
      <c r="BZL39" s="8"/>
      <c r="BZM39" s="8"/>
      <c r="BZN39" s="8"/>
      <c r="BZO39" s="8"/>
      <c r="BZP39" s="8"/>
      <c r="BZQ39" s="8"/>
      <c r="BZR39" s="8"/>
      <c r="BZS39" s="8"/>
      <c r="BZT39" s="8"/>
      <c r="BZU39" s="8"/>
      <c r="BZV39" s="8"/>
      <c r="BZW39" s="8"/>
      <c r="BZX39" s="8"/>
      <c r="BZY39" s="8"/>
      <c r="BZZ39" s="8"/>
      <c r="CAA39" s="8"/>
      <c r="CAB39" s="8"/>
      <c r="CAC39" s="8"/>
      <c r="CAD39" s="8"/>
      <c r="CAE39" s="8"/>
      <c r="CAF39" s="8"/>
      <c r="CAG39" s="8"/>
      <c r="CAH39" s="8"/>
      <c r="CAI39" s="8"/>
      <c r="CAJ39" s="8"/>
      <c r="CAK39" s="8"/>
      <c r="CAL39" s="8"/>
      <c r="CAM39" s="8"/>
      <c r="CAN39" s="8"/>
      <c r="CAO39" s="8"/>
      <c r="CAP39" s="8"/>
      <c r="CAQ39" s="8"/>
      <c r="CAR39" s="8"/>
      <c r="CAS39" s="8"/>
      <c r="CAT39" s="8"/>
      <c r="CAU39" s="8"/>
      <c r="CAV39" s="8"/>
      <c r="CAW39" s="8"/>
      <c r="CAX39" s="8"/>
      <c r="CAY39" s="8"/>
      <c r="CAZ39" s="8"/>
      <c r="CBA39" s="8"/>
      <c r="CBB39" s="8"/>
      <c r="CBC39" s="8"/>
      <c r="CBD39" s="8"/>
      <c r="CBE39" s="8"/>
      <c r="CBF39" s="8"/>
      <c r="CBG39" s="8"/>
      <c r="CBH39" s="8"/>
      <c r="CBI39" s="8"/>
      <c r="CBJ39" s="8"/>
      <c r="CBK39" s="8"/>
      <c r="CBL39" s="8"/>
      <c r="CBM39" s="8"/>
      <c r="CBN39" s="8"/>
      <c r="CBO39" s="8"/>
      <c r="CBP39" s="8"/>
      <c r="CBQ39" s="8"/>
      <c r="CBR39" s="8"/>
      <c r="CBS39" s="8"/>
      <c r="CBT39" s="8"/>
      <c r="CBU39" s="8"/>
      <c r="CBV39" s="8"/>
      <c r="CBW39" s="8"/>
      <c r="CBX39" s="8"/>
      <c r="CBY39" s="8"/>
      <c r="CBZ39" s="8"/>
      <c r="CCA39" s="8"/>
      <c r="CCB39" s="8"/>
      <c r="CCC39" s="8"/>
      <c r="CCD39" s="8"/>
      <c r="CCE39" s="8"/>
      <c r="CCF39" s="8"/>
      <c r="CCG39" s="8"/>
      <c r="CCH39" s="8"/>
      <c r="CCI39" s="8"/>
      <c r="CCJ39" s="8"/>
      <c r="CCK39" s="8"/>
      <c r="CCL39" s="8"/>
      <c r="CCM39" s="8"/>
      <c r="CCN39" s="8"/>
      <c r="CCO39" s="8"/>
      <c r="CCP39" s="8"/>
      <c r="CCQ39" s="8"/>
      <c r="CCR39" s="8"/>
      <c r="CCS39" s="8"/>
      <c r="CCT39" s="8"/>
      <c r="CCU39" s="8"/>
      <c r="CCV39" s="8"/>
      <c r="CCW39" s="8"/>
      <c r="CCX39" s="8"/>
      <c r="CCY39" s="8"/>
      <c r="CCZ39" s="8"/>
      <c r="CDA39" s="8"/>
      <c r="CDB39" s="8"/>
      <c r="CDC39" s="8"/>
      <c r="CDD39" s="8"/>
      <c r="CDE39" s="8"/>
      <c r="CDF39" s="8"/>
      <c r="CDG39" s="8"/>
      <c r="CDH39" s="8"/>
      <c r="CDI39" s="8"/>
      <c r="CDJ39" s="8"/>
      <c r="CDK39" s="8"/>
      <c r="CDL39" s="8"/>
      <c r="CDM39" s="8"/>
      <c r="CDN39" s="8"/>
      <c r="CDO39" s="8"/>
      <c r="CDP39" s="8"/>
      <c r="CDQ39" s="8"/>
      <c r="CDR39" s="8"/>
      <c r="CDS39" s="8"/>
      <c r="CDT39" s="8"/>
      <c r="CDU39" s="8"/>
      <c r="CDV39" s="8"/>
      <c r="CDW39" s="8"/>
      <c r="CDX39" s="8"/>
      <c r="CDY39" s="8"/>
      <c r="CDZ39" s="8"/>
      <c r="CEA39" s="8"/>
      <c r="CEB39" s="8"/>
      <c r="CEC39" s="8"/>
      <c r="CED39" s="8"/>
      <c r="CEE39" s="8"/>
      <c r="CEF39" s="8"/>
      <c r="CEG39" s="8"/>
      <c r="CEH39" s="8"/>
      <c r="CEI39" s="8"/>
      <c r="CEJ39" s="8"/>
      <c r="CEK39" s="8"/>
      <c r="CEL39" s="8"/>
      <c r="CEM39" s="8"/>
      <c r="CEN39" s="8"/>
      <c r="CEO39" s="8"/>
      <c r="CEP39" s="8"/>
      <c r="CEQ39" s="8"/>
      <c r="CER39" s="8"/>
      <c r="CES39" s="8"/>
      <c r="CET39" s="8"/>
      <c r="CEU39" s="8"/>
      <c r="CEV39" s="8"/>
      <c r="CEW39" s="8"/>
      <c r="CEX39" s="8"/>
      <c r="CEY39" s="8"/>
      <c r="CEZ39" s="8"/>
      <c r="CFA39" s="8"/>
      <c r="CFB39" s="8"/>
      <c r="CFC39" s="8"/>
      <c r="CFD39" s="8"/>
      <c r="CFE39" s="8"/>
      <c r="CFF39" s="8"/>
      <c r="CFG39" s="8"/>
      <c r="CFH39" s="8"/>
      <c r="CFI39" s="8"/>
      <c r="CFJ39" s="8"/>
      <c r="CFK39" s="8"/>
      <c r="CFL39" s="8"/>
      <c r="CFM39" s="8"/>
      <c r="CFN39" s="8"/>
      <c r="CFO39" s="8"/>
      <c r="CFP39" s="8"/>
      <c r="CFQ39" s="8"/>
      <c r="CFR39" s="8"/>
      <c r="CFS39" s="8"/>
      <c r="CFT39" s="8"/>
      <c r="CFU39" s="8"/>
      <c r="CFV39" s="8"/>
      <c r="CFW39" s="8"/>
      <c r="CFX39" s="8"/>
      <c r="CFY39" s="8"/>
      <c r="CFZ39" s="8"/>
      <c r="CGA39" s="8"/>
      <c r="CGB39" s="8"/>
      <c r="CGC39" s="8"/>
      <c r="CGD39" s="8"/>
      <c r="CGE39" s="8"/>
      <c r="CGF39" s="8"/>
      <c r="CGG39" s="8"/>
      <c r="CGH39" s="8"/>
      <c r="CGI39" s="8"/>
      <c r="CGJ39" s="8"/>
      <c r="CGK39" s="8"/>
      <c r="CGL39" s="8"/>
      <c r="CGM39" s="8"/>
      <c r="CGN39" s="8"/>
      <c r="CGO39" s="8"/>
      <c r="CGP39" s="8"/>
      <c r="CGQ39" s="8"/>
      <c r="CGR39" s="8"/>
      <c r="CGS39" s="8"/>
      <c r="CGT39" s="8"/>
      <c r="CGU39" s="8"/>
      <c r="CGV39" s="8"/>
      <c r="CGW39" s="8"/>
      <c r="CGX39" s="8"/>
      <c r="CGY39" s="8"/>
      <c r="CGZ39" s="8"/>
      <c r="CHA39" s="8"/>
      <c r="CHB39" s="8"/>
      <c r="CHC39" s="8"/>
      <c r="CHD39" s="8"/>
      <c r="CHE39" s="8"/>
      <c r="CHF39" s="8"/>
      <c r="CHG39" s="8"/>
      <c r="CHH39" s="8"/>
      <c r="CHI39" s="8"/>
      <c r="CHJ39" s="8"/>
      <c r="CHK39" s="8"/>
      <c r="CHL39" s="8"/>
      <c r="CHM39" s="8"/>
      <c r="CHN39" s="8"/>
      <c r="CHO39" s="8"/>
      <c r="CHP39" s="8"/>
      <c r="CHQ39" s="8"/>
      <c r="CHR39" s="8"/>
      <c r="CHS39" s="8"/>
      <c r="CHT39" s="8"/>
      <c r="CHU39" s="8"/>
      <c r="CHV39" s="8"/>
      <c r="CHW39" s="8"/>
      <c r="CHX39" s="8"/>
      <c r="CHY39" s="8"/>
      <c r="CHZ39" s="8"/>
      <c r="CIA39" s="8"/>
      <c r="CIB39" s="8"/>
      <c r="CIC39" s="8"/>
      <c r="CID39" s="8"/>
      <c r="CIE39" s="8"/>
      <c r="CIF39" s="8"/>
      <c r="CIG39" s="8"/>
      <c r="CIH39" s="8"/>
      <c r="CII39" s="8"/>
      <c r="CIJ39" s="8"/>
      <c r="CIK39" s="8"/>
      <c r="CIL39" s="8"/>
      <c r="CIM39" s="8"/>
      <c r="CIN39" s="8"/>
      <c r="CIO39" s="8"/>
      <c r="CIP39" s="8"/>
      <c r="CIQ39" s="8"/>
      <c r="CIR39" s="8"/>
      <c r="CIS39" s="8"/>
      <c r="CIT39" s="8"/>
      <c r="CIU39" s="8"/>
      <c r="CIV39" s="8"/>
      <c r="CIW39" s="8"/>
      <c r="CIX39" s="8"/>
      <c r="CIY39" s="8"/>
      <c r="CIZ39" s="8"/>
      <c r="CJA39" s="8"/>
      <c r="CJB39" s="8"/>
      <c r="CJC39" s="8"/>
      <c r="CJD39" s="8"/>
      <c r="CJE39" s="8"/>
      <c r="CJF39" s="8"/>
      <c r="CJG39" s="8"/>
      <c r="CJH39" s="8"/>
      <c r="CJI39" s="8"/>
      <c r="CJJ39" s="8"/>
      <c r="CJK39" s="8"/>
      <c r="CJL39" s="8"/>
      <c r="CJM39" s="8"/>
      <c r="CJN39" s="8"/>
      <c r="CJO39" s="8"/>
      <c r="CJP39" s="8"/>
      <c r="CJQ39" s="8"/>
      <c r="CJR39" s="8"/>
      <c r="CJS39" s="8"/>
      <c r="CJT39" s="8"/>
      <c r="CJU39" s="8"/>
      <c r="CJV39" s="8"/>
      <c r="CJW39" s="8"/>
      <c r="CJX39" s="8"/>
      <c r="CJY39" s="8"/>
      <c r="CJZ39" s="8"/>
      <c r="CKA39" s="8"/>
      <c r="CKB39" s="8"/>
      <c r="CKC39" s="8"/>
      <c r="CKD39" s="8"/>
      <c r="CKE39" s="8"/>
      <c r="CKF39" s="8"/>
      <c r="CKG39" s="8"/>
      <c r="CKH39" s="8"/>
      <c r="CKI39" s="8"/>
      <c r="CKJ39" s="8"/>
      <c r="CKK39" s="8"/>
      <c r="CKL39" s="8"/>
      <c r="CKM39" s="8"/>
      <c r="CKN39" s="8"/>
      <c r="CKO39" s="8"/>
      <c r="CKP39" s="8"/>
      <c r="CKQ39" s="8"/>
      <c r="CKR39" s="8"/>
      <c r="CKS39" s="8"/>
      <c r="CKT39" s="8"/>
      <c r="CKU39" s="8"/>
      <c r="CKV39" s="8"/>
      <c r="CKW39" s="8"/>
      <c r="CKX39" s="8"/>
      <c r="CKY39" s="8"/>
      <c r="CKZ39" s="8"/>
      <c r="CLA39" s="8"/>
      <c r="CLB39" s="8"/>
      <c r="CLC39" s="8"/>
      <c r="CLD39" s="8"/>
      <c r="CLE39" s="8"/>
      <c r="CLF39" s="8"/>
      <c r="CLG39" s="8"/>
      <c r="CLH39" s="8"/>
      <c r="CLI39" s="8"/>
      <c r="CLJ39" s="8"/>
      <c r="CLK39" s="8"/>
      <c r="CLL39" s="8"/>
      <c r="CLM39" s="8"/>
      <c r="CLN39" s="8"/>
      <c r="CLO39" s="8"/>
      <c r="CLP39" s="8"/>
      <c r="CLQ39" s="8"/>
      <c r="CLR39" s="8"/>
      <c r="CLS39" s="8"/>
      <c r="CLT39" s="8"/>
      <c r="CLU39" s="8"/>
      <c r="CLV39" s="8"/>
      <c r="CLW39" s="8"/>
      <c r="CLX39" s="8"/>
      <c r="CLY39" s="8"/>
      <c r="CLZ39" s="8"/>
      <c r="CMA39" s="8"/>
      <c r="CMB39" s="8"/>
      <c r="CMC39" s="8"/>
      <c r="CMD39" s="8"/>
      <c r="CME39" s="8"/>
      <c r="CMF39" s="8"/>
      <c r="CMG39" s="8"/>
      <c r="CMH39" s="8"/>
      <c r="CMI39" s="8"/>
      <c r="CMJ39" s="8"/>
      <c r="CMK39" s="8"/>
      <c r="CML39" s="8"/>
      <c r="CMM39" s="8"/>
      <c r="CMN39" s="8"/>
      <c r="CMO39" s="8"/>
      <c r="CMP39" s="8"/>
      <c r="CMQ39" s="8"/>
      <c r="CMR39" s="8"/>
      <c r="CMS39" s="8"/>
      <c r="CMT39" s="8"/>
      <c r="CMU39" s="8"/>
      <c r="CMV39" s="8"/>
      <c r="CMW39" s="8"/>
      <c r="CMX39" s="8"/>
      <c r="CMY39" s="8"/>
      <c r="CMZ39" s="8"/>
      <c r="CNA39" s="8"/>
      <c r="CNB39" s="8"/>
      <c r="CNC39" s="8"/>
      <c r="CND39" s="8"/>
      <c r="CNE39" s="8"/>
      <c r="CNF39" s="8"/>
      <c r="CNG39" s="8"/>
      <c r="CNH39" s="8"/>
      <c r="CNI39" s="8"/>
      <c r="CNJ39" s="8"/>
      <c r="CNK39" s="8"/>
      <c r="CNL39" s="8"/>
      <c r="CNM39" s="8"/>
      <c r="CNN39" s="8"/>
      <c r="CNO39" s="8"/>
      <c r="CNP39" s="8"/>
      <c r="CNQ39" s="8"/>
      <c r="CNR39" s="8"/>
      <c r="CNS39" s="8"/>
      <c r="CNT39" s="8"/>
      <c r="CNU39" s="8"/>
      <c r="CNV39" s="8"/>
      <c r="CNW39" s="8"/>
      <c r="CNX39" s="8"/>
      <c r="CNY39" s="8"/>
      <c r="CNZ39" s="8"/>
      <c r="COA39" s="8"/>
      <c r="COB39" s="8"/>
      <c r="COC39" s="8"/>
      <c r="COD39" s="8"/>
      <c r="COE39" s="8"/>
      <c r="COF39" s="8"/>
      <c r="COG39" s="8"/>
      <c r="COH39" s="8"/>
      <c r="COI39" s="8"/>
      <c r="COJ39" s="8"/>
      <c r="COK39" s="8"/>
      <c r="COL39" s="8"/>
      <c r="COM39" s="8"/>
      <c r="CON39" s="8"/>
      <c r="COO39" s="8"/>
      <c r="COP39" s="8"/>
      <c r="COQ39" s="8"/>
      <c r="COR39" s="8"/>
      <c r="COS39" s="8"/>
      <c r="COT39" s="8"/>
      <c r="COU39" s="8"/>
      <c r="COV39" s="8"/>
      <c r="COW39" s="8"/>
      <c r="COX39" s="8"/>
      <c r="COY39" s="8"/>
      <c r="COZ39" s="8"/>
      <c r="CPA39" s="8"/>
      <c r="CPB39" s="8"/>
      <c r="CPC39" s="8"/>
      <c r="CPD39" s="8"/>
      <c r="CPE39" s="8"/>
      <c r="CPF39" s="8"/>
      <c r="CPG39" s="8"/>
      <c r="CPH39" s="8"/>
      <c r="CPI39" s="8"/>
      <c r="CPJ39" s="8"/>
      <c r="CPK39" s="8"/>
      <c r="CPL39" s="8"/>
      <c r="CPM39" s="8"/>
      <c r="CPN39" s="8"/>
      <c r="CPO39" s="8"/>
      <c r="CPP39" s="8"/>
      <c r="CPQ39" s="8"/>
      <c r="CPR39" s="8"/>
      <c r="CPS39" s="8"/>
      <c r="CPT39" s="8"/>
      <c r="CPU39" s="8"/>
      <c r="CPV39" s="8"/>
      <c r="CPW39" s="8"/>
      <c r="CPX39" s="8"/>
      <c r="CPY39" s="8"/>
      <c r="CPZ39" s="8"/>
      <c r="CQA39" s="8"/>
      <c r="CQB39" s="8"/>
      <c r="CQC39" s="8"/>
      <c r="CQD39" s="8"/>
      <c r="CQE39" s="8"/>
      <c r="CQF39" s="8"/>
      <c r="CQG39" s="8"/>
      <c r="CQH39" s="8"/>
      <c r="CQI39" s="8"/>
      <c r="CQJ39" s="8"/>
      <c r="CQK39" s="8"/>
      <c r="CQL39" s="8"/>
      <c r="CQM39" s="8"/>
      <c r="CQN39" s="8"/>
      <c r="CQO39" s="8"/>
      <c r="CQP39" s="8"/>
      <c r="CQQ39" s="8"/>
      <c r="CQR39" s="8"/>
      <c r="CQS39" s="8"/>
      <c r="CQT39" s="8"/>
      <c r="CQU39" s="8"/>
      <c r="CQV39" s="8"/>
      <c r="CQW39" s="8"/>
      <c r="CQX39" s="8"/>
      <c r="CQY39" s="8"/>
      <c r="CQZ39" s="8"/>
      <c r="CRA39" s="8"/>
      <c r="CRB39" s="8"/>
      <c r="CRC39" s="8"/>
      <c r="CRD39" s="8"/>
      <c r="CRE39" s="8"/>
      <c r="CRF39" s="8"/>
      <c r="CRG39" s="8"/>
      <c r="CRH39" s="8"/>
      <c r="CRI39" s="8"/>
      <c r="CRJ39" s="8"/>
      <c r="CRK39" s="8"/>
      <c r="CRL39" s="8"/>
      <c r="CRM39" s="8"/>
      <c r="CRN39" s="8"/>
      <c r="CRO39" s="8"/>
      <c r="CRP39" s="8"/>
      <c r="CRQ39" s="8"/>
      <c r="CRR39" s="8"/>
      <c r="CRS39" s="8"/>
      <c r="CRT39" s="8"/>
      <c r="CRU39" s="8"/>
      <c r="CRV39" s="8"/>
      <c r="CRW39" s="8"/>
      <c r="CRX39" s="8"/>
      <c r="CRY39" s="8"/>
      <c r="CRZ39" s="8"/>
      <c r="CSA39" s="8"/>
      <c r="CSB39" s="8"/>
      <c r="CSC39" s="8"/>
      <c r="CSD39" s="8"/>
      <c r="CSE39" s="8"/>
      <c r="CSF39" s="8"/>
      <c r="CSG39" s="8"/>
      <c r="CSH39" s="8"/>
      <c r="CSI39" s="8"/>
      <c r="CSJ39" s="8"/>
      <c r="CSK39" s="8"/>
      <c r="CSL39" s="8"/>
      <c r="CSM39" s="8"/>
      <c r="CSN39" s="8"/>
      <c r="CSO39" s="8"/>
      <c r="CSP39" s="8"/>
      <c r="CSQ39" s="8"/>
      <c r="CSR39" s="8"/>
      <c r="CSS39" s="8"/>
      <c r="CST39" s="8"/>
      <c r="CSU39" s="8"/>
      <c r="CSV39" s="8"/>
      <c r="CSW39" s="8"/>
      <c r="CSX39" s="8"/>
      <c r="CSY39" s="8"/>
      <c r="CSZ39" s="8"/>
      <c r="CTA39" s="8"/>
      <c r="CTB39" s="8"/>
      <c r="CTC39" s="8"/>
      <c r="CTD39" s="8"/>
      <c r="CTE39" s="8"/>
      <c r="CTF39" s="8"/>
      <c r="CTG39" s="8"/>
      <c r="CTH39" s="8"/>
      <c r="CTI39" s="8"/>
      <c r="CTJ39" s="8"/>
      <c r="CTK39" s="8"/>
      <c r="CTL39" s="8"/>
      <c r="CTM39" s="8"/>
      <c r="CTN39" s="8"/>
      <c r="CTO39" s="8"/>
      <c r="CTP39" s="8"/>
      <c r="CTQ39" s="8"/>
      <c r="CTR39" s="8"/>
      <c r="CTS39" s="8"/>
      <c r="CTT39" s="8"/>
      <c r="CTU39" s="8"/>
      <c r="CTV39" s="8"/>
      <c r="CTW39" s="8"/>
      <c r="CTX39" s="8"/>
      <c r="CTY39" s="8"/>
      <c r="CTZ39" s="8"/>
      <c r="CUA39" s="8"/>
      <c r="CUB39" s="8"/>
      <c r="CUC39" s="8"/>
      <c r="CUD39" s="8"/>
      <c r="CUE39" s="8"/>
      <c r="CUF39" s="8"/>
      <c r="CUG39" s="8"/>
      <c r="CUH39" s="8"/>
      <c r="CUI39" s="8"/>
      <c r="CUJ39" s="8"/>
      <c r="CUK39" s="8"/>
      <c r="CUL39" s="8"/>
      <c r="CUM39" s="8"/>
      <c r="CUN39" s="8"/>
      <c r="CUO39" s="8"/>
      <c r="CUP39" s="8"/>
      <c r="CUQ39" s="8"/>
      <c r="CUR39" s="8"/>
      <c r="CUS39" s="8"/>
      <c r="CUT39" s="8"/>
      <c r="CUU39" s="8"/>
      <c r="CUV39" s="8"/>
      <c r="CUW39" s="8"/>
      <c r="CUX39" s="8"/>
      <c r="CUY39" s="8"/>
      <c r="CUZ39" s="8"/>
      <c r="CVA39" s="8"/>
      <c r="CVB39" s="8"/>
      <c r="CVC39" s="8"/>
      <c r="CVD39" s="8"/>
      <c r="CVE39" s="8"/>
      <c r="CVF39" s="8"/>
      <c r="CVG39" s="8"/>
      <c r="CVH39" s="8"/>
      <c r="CVI39" s="8"/>
      <c r="CVJ39" s="8"/>
      <c r="CVK39" s="8"/>
      <c r="CVL39" s="8"/>
      <c r="CVM39" s="8"/>
      <c r="CVN39" s="8"/>
      <c r="CVO39" s="8"/>
      <c r="CVP39" s="8"/>
      <c r="CVQ39" s="8"/>
      <c r="CVR39" s="8"/>
      <c r="CVS39" s="8"/>
      <c r="CVT39" s="8"/>
      <c r="CVU39" s="8"/>
      <c r="CVV39" s="8"/>
      <c r="CVW39" s="8"/>
      <c r="CVX39" s="8"/>
      <c r="CVY39" s="8"/>
      <c r="CVZ39" s="8"/>
      <c r="CWA39" s="8"/>
      <c r="CWB39" s="8"/>
      <c r="CWC39" s="8"/>
      <c r="CWD39" s="8"/>
      <c r="CWE39" s="8"/>
      <c r="CWF39" s="8"/>
      <c r="CWG39" s="8"/>
      <c r="CWH39" s="8"/>
      <c r="CWI39" s="8"/>
      <c r="CWJ39" s="8"/>
      <c r="CWK39" s="8"/>
      <c r="CWL39" s="8"/>
      <c r="CWM39" s="8"/>
      <c r="CWN39" s="8"/>
      <c r="CWO39" s="8"/>
      <c r="CWP39" s="8"/>
      <c r="CWQ39" s="8"/>
      <c r="CWR39" s="8"/>
      <c r="CWS39" s="8"/>
      <c r="CWT39" s="8"/>
      <c r="CWU39" s="8"/>
      <c r="CWV39" s="8"/>
      <c r="CWW39" s="8"/>
      <c r="CWX39" s="8"/>
      <c r="CWY39" s="8"/>
      <c r="CWZ39" s="8"/>
      <c r="CXA39" s="8"/>
      <c r="CXB39" s="8"/>
      <c r="CXC39" s="8"/>
      <c r="CXD39" s="8"/>
      <c r="CXE39" s="8"/>
      <c r="CXF39" s="8"/>
      <c r="CXG39" s="8"/>
      <c r="CXH39" s="8"/>
      <c r="CXI39" s="8"/>
      <c r="CXJ39" s="8"/>
      <c r="CXK39" s="8"/>
      <c r="CXL39" s="8"/>
      <c r="CXM39" s="8"/>
      <c r="CXN39" s="8"/>
      <c r="CXO39" s="8"/>
      <c r="CXP39" s="8"/>
      <c r="CXQ39" s="8"/>
      <c r="CXR39" s="8"/>
      <c r="CXS39" s="8"/>
      <c r="CXT39" s="8"/>
      <c r="CXU39" s="8"/>
      <c r="CXV39" s="8"/>
      <c r="CXW39" s="8"/>
      <c r="CXX39" s="8"/>
      <c r="CXY39" s="8"/>
      <c r="CXZ39" s="8"/>
      <c r="CYA39" s="8"/>
      <c r="CYB39" s="8"/>
      <c r="CYC39" s="8"/>
      <c r="CYD39" s="8"/>
      <c r="CYE39" s="8"/>
      <c r="CYF39" s="8"/>
      <c r="CYG39" s="8"/>
      <c r="CYH39" s="8"/>
      <c r="CYI39" s="8"/>
      <c r="CYJ39" s="8"/>
      <c r="CYK39" s="8"/>
      <c r="CYL39" s="8"/>
      <c r="CYM39" s="8"/>
      <c r="CYN39" s="8"/>
      <c r="CYO39" s="8"/>
      <c r="CYP39" s="8"/>
      <c r="CYQ39" s="8"/>
      <c r="CYR39" s="8"/>
      <c r="CYS39" s="8"/>
      <c r="CYT39" s="8"/>
      <c r="CYU39" s="8"/>
      <c r="CYV39" s="8"/>
      <c r="CYW39" s="8"/>
      <c r="CYX39" s="8"/>
      <c r="CYY39" s="8"/>
      <c r="CYZ39" s="8"/>
      <c r="CZA39" s="8"/>
      <c r="CZB39" s="8"/>
      <c r="CZC39" s="8"/>
      <c r="CZD39" s="8"/>
      <c r="CZE39" s="8"/>
      <c r="CZF39" s="8"/>
      <c r="CZG39" s="8"/>
      <c r="CZH39" s="8"/>
      <c r="CZI39" s="8"/>
      <c r="CZJ39" s="8"/>
      <c r="CZK39" s="8"/>
      <c r="CZL39" s="8"/>
      <c r="CZM39" s="8"/>
      <c r="CZN39" s="8"/>
      <c r="CZO39" s="8"/>
      <c r="CZP39" s="8"/>
      <c r="CZQ39" s="8"/>
      <c r="CZR39" s="8"/>
      <c r="CZS39" s="8"/>
      <c r="CZT39" s="8"/>
      <c r="CZU39" s="8"/>
      <c r="CZV39" s="8"/>
      <c r="CZW39" s="8"/>
      <c r="CZX39" s="8"/>
      <c r="CZY39" s="8"/>
      <c r="CZZ39" s="8"/>
      <c r="DAA39" s="8"/>
      <c r="DAB39" s="8"/>
      <c r="DAC39" s="8"/>
      <c r="DAD39" s="8"/>
      <c r="DAE39" s="8"/>
      <c r="DAF39" s="8"/>
      <c r="DAG39" s="8"/>
      <c r="DAH39" s="8"/>
      <c r="DAI39" s="8"/>
      <c r="DAJ39" s="8"/>
      <c r="DAK39" s="8"/>
      <c r="DAL39" s="8"/>
      <c r="DAM39" s="8"/>
      <c r="DAN39" s="8"/>
      <c r="DAO39" s="8"/>
      <c r="DAP39" s="8"/>
      <c r="DAQ39" s="8"/>
      <c r="DAR39" s="8"/>
      <c r="DAS39" s="8"/>
      <c r="DAT39" s="8"/>
      <c r="DAU39" s="8"/>
      <c r="DAV39" s="8"/>
      <c r="DAW39" s="8"/>
      <c r="DAX39" s="8"/>
      <c r="DAY39" s="8"/>
      <c r="DAZ39" s="8"/>
      <c r="DBA39" s="8"/>
      <c r="DBB39" s="8"/>
      <c r="DBC39" s="8"/>
      <c r="DBD39" s="8"/>
      <c r="DBE39" s="8"/>
      <c r="DBF39" s="8"/>
      <c r="DBG39" s="8"/>
      <c r="DBH39" s="8"/>
      <c r="DBI39" s="8"/>
      <c r="DBJ39" s="8"/>
      <c r="DBK39" s="8"/>
      <c r="DBL39" s="8"/>
      <c r="DBM39" s="8"/>
      <c r="DBN39" s="8"/>
      <c r="DBO39" s="8"/>
      <c r="DBP39" s="8"/>
      <c r="DBQ39" s="8"/>
      <c r="DBR39" s="8"/>
      <c r="DBS39" s="8"/>
      <c r="DBT39" s="8"/>
      <c r="DBU39" s="8"/>
      <c r="DBV39" s="8"/>
      <c r="DBW39" s="8"/>
      <c r="DBX39" s="8"/>
      <c r="DBY39" s="8"/>
      <c r="DBZ39" s="8"/>
      <c r="DCA39" s="8"/>
      <c r="DCB39" s="8"/>
      <c r="DCC39" s="8"/>
      <c r="DCD39" s="8"/>
      <c r="DCE39" s="8"/>
      <c r="DCF39" s="8"/>
      <c r="DCG39" s="8"/>
      <c r="DCH39" s="8"/>
      <c r="DCI39" s="8"/>
      <c r="DCJ39" s="8"/>
      <c r="DCK39" s="8"/>
      <c r="DCL39" s="8"/>
      <c r="DCM39" s="8"/>
      <c r="DCN39" s="8"/>
      <c r="DCO39" s="8"/>
      <c r="DCP39" s="8"/>
      <c r="DCQ39" s="8"/>
      <c r="DCR39" s="8"/>
      <c r="DCS39" s="8"/>
      <c r="DCT39" s="8"/>
      <c r="DCU39" s="8"/>
      <c r="DCV39" s="8"/>
      <c r="DCW39" s="8"/>
      <c r="DCX39" s="8"/>
      <c r="DCY39" s="8"/>
      <c r="DCZ39" s="8"/>
      <c r="DDA39" s="8"/>
      <c r="DDB39" s="8"/>
      <c r="DDC39" s="8"/>
      <c r="DDD39" s="8"/>
      <c r="DDE39" s="8"/>
      <c r="DDF39" s="8"/>
      <c r="DDG39" s="8"/>
      <c r="DDH39" s="8"/>
      <c r="DDI39" s="8"/>
      <c r="DDJ39" s="8"/>
      <c r="DDK39" s="8"/>
      <c r="DDL39" s="8"/>
      <c r="DDM39" s="8"/>
      <c r="DDN39" s="8"/>
      <c r="DDO39" s="8"/>
      <c r="DDP39" s="8"/>
      <c r="DDQ39" s="8"/>
      <c r="DDR39" s="8"/>
      <c r="DDS39" s="8"/>
      <c r="DDT39" s="8"/>
      <c r="DDU39" s="8"/>
      <c r="DDV39" s="8"/>
      <c r="DDW39" s="8"/>
      <c r="DDX39" s="8"/>
      <c r="DDY39" s="8"/>
      <c r="DDZ39" s="8"/>
      <c r="DEA39" s="8"/>
      <c r="DEB39" s="8"/>
      <c r="DEC39" s="8"/>
      <c r="DED39" s="8"/>
      <c r="DEE39" s="8"/>
      <c r="DEF39" s="8"/>
      <c r="DEG39" s="8"/>
      <c r="DEH39" s="8"/>
      <c r="DEI39" s="8"/>
      <c r="DEJ39" s="8"/>
      <c r="DEK39" s="8"/>
      <c r="DEL39" s="8"/>
      <c r="DEM39" s="8"/>
      <c r="DEN39" s="8"/>
      <c r="DEO39" s="8"/>
      <c r="DEP39" s="8"/>
      <c r="DEQ39" s="8"/>
      <c r="DER39" s="8"/>
      <c r="DES39" s="8"/>
      <c r="DET39" s="8"/>
      <c r="DEU39" s="8"/>
      <c r="DEV39" s="8"/>
      <c r="DEW39" s="8"/>
      <c r="DEX39" s="8"/>
      <c r="DEY39" s="8"/>
      <c r="DEZ39" s="8"/>
      <c r="DFA39" s="8"/>
      <c r="DFB39" s="8"/>
      <c r="DFC39" s="8"/>
      <c r="DFD39" s="8"/>
      <c r="DFE39" s="8"/>
      <c r="DFF39" s="8"/>
      <c r="DFG39" s="8"/>
      <c r="DFH39" s="8"/>
      <c r="DFI39" s="8"/>
      <c r="DFJ39" s="8"/>
      <c r="DFK39" s="8"/>
      <c r="DFL39" s="8"/>
      <c r="DFM39" s="8"/>
      <c r="DFN39" s="8"/>
      <c r="DFO39" s="8"/>
      <c r="DFP39" s="8"/>
      <c r="DFQ39" s="8"/>
      <c r="DFR39" s="8"/>
      <c r="DFS39" s="8"/>
      <c r="DFT39" s="8"/>
      <c r="DFU39" s="8"/>
      <c r="DFV39" s="8"/>
      <c r="DFW39" s="8"/>
      <c r="DFX39" s="8"/>
      <c r="DFY39" s="8"/>
      <c r="DFZ39" s="8"/>
      <c r="DGA39" s="8"/>
      <c r="DGB39" s="8"/>
      <c r="DGC39" s="8"/>
      <c r="DGD39" s="8"/>
      <c r="DGE39" s="8"/>
      <c r="DGF39" s="8"/>
      <c r="DGG39" s="8"/>
      <c r="DGH39" s="8"/>
      <c r="DGI39" s="8"/>
      <c r="DGJ39" s="8"/>
      <c r="DGK39" s="8"/>
      <c r="DGL39" s="8"/>
      <c r="DGM39" s="8"/>
      <c r="DGN39" s="8"/>
      <c r="DGO39" s="8"/>
      <c r="DGP39" s="8"/>
      <c r="DGQ39" s="8"/>
      <c r="DGR39" s="8"/>
      <c r="DGS39" s="8"/>
      <c r="DGT39" s="8"/>
      <c r="DGU39" s="8"/>
      <c r="DGV39" s="8"/>
      <c r="DGW39" s="8"/>
      <c r="DGX39" s="8"/>
      <c r="DGY39" s="8"/>
      <c r="DGZ39" s="8"/>
      <c r="DHA39" s="8"/>
      <c r="DHB39" s="8"/>
      <c r="DHC39" s="8"/>
      <c r="DHD39" s="8"/>
      <c r="DHE39" s="8"/>
      <c r="DHF39" s="8"/>
      <c r="DHG39" s="8"/>
      <c r="DHH39" s="8"/>
      <c r="DHI39" s="8"/>
      <c r="DHJ39" s="8"/>
      <c r="DHK39" s="8"/>
      <c r="DHL39" s="8"/>
      <c r="DHM39" s="8"/>
      <c r="DHN39" s="8"/>
      <c r="DHO39" s="8"/>
      <c r="DHP39" s="8"/>
      <c r="DHQ39" s="8"/>
      <c r="DHR39" s="8"/>
      <c r="DHS39" s="8"/>
      <c r="DHT39" s="8"/>
      <c r="DHU39" s="8"/>
      <c r="DHV39" s="8"/>
      <c r="DHW39" s="8"/>
      <c r="DHX39" s="8"/>
      <c r="DHY39" s="8"/>
      <c r="DHZ39" s="8"/>
      <c r="DIA39" s="8"/>
      <c r="DIB39" s="8"/>
      <c r="DIC39" s="8"/>
      <c r="DID39" s="8"/>
      <c r="DIE39" s="8"/>
      <c r="DIF39" s="8"/>
      <c r="DIG39" s="8"/>
      <c r="DIH39" s="8"/>
      <c r="DII39" s="8"/>
      <c r="DIJ39" s="8"/>
      <c r="DIK39" s="8"/>
      <c r="DIL39" s="8"/>
      <c r="DIM39" s="8"/>
      <c r="DIN39" s="8"/>
      <c r="DIO39" s="8"/>
      <c r="DIP39" s="8"/>
      <c r="DIQ39" s="8"/>
      <c r="DIR39" s="8"/>
      <c r="DIS39" s="8"/>
      <c r="DIT39" s="8"/>
      <c r="DIU39" s="8"/>
      <c r="DIV39" s="8"/>
      <c r="DIW39" s="8"/>
      <c r="DIX39" s="8"/>
      <c r="DIY39" s="8"/>
      <c r="DIZ39" s="8"/>
      <c r="DJA39" s="8"/>
      <c r="DJB39" s="8"/>
      <c r="DJC39" s="8"/>
      <c r="DJD39" s="8"/>
      <c r="DJE39" s="8"/>
      <c r="DJF39" s="8"/>
      <c r="DJG39" s="8"/>
      <c r="DJH39" s="8"/>
      <c r="DJI39" s="8"/>
      <c r="DJJ39" s="8"/>
      <c r="DJK39" s="8"/>
      <c r="DJL39" s="8"/>
      <c r="DJM39" s="8"/>
      <c r="DJN39" s="8"/>
      <c r="DJO39" s="8"/>
      <c r="DJP39" s="8"/>
      <c r="DJQ39" s="8"/>
      <c r="DJR39" s="8"/>
      <c r="DJS39" s="8"/>
      <c r="DJT39" s="8"/>
      <c r="DJU39" s="8"/>
      <c r="DJV39" s="8"/>
      <c r="DJW39" s="8"/>
      <c r="DJX39" s="8"/>
      <c r="DJY39" s="8"/>
      <c r="DJZ39" s="8"/>
      <c r="DKA39" s="8"/>
      <c r="DKB39" s="8"/>
      <c r="DKC39" s="8"/>
      <c r="DKD39" s="8"/>
      <c r="DKE39" s="8"/>
      <c r="DKF39" s="8"/>
      <c r="DKG39" s="8"/>
      <c r="DKH39" s="8"/>
      <c r="DKI39" s="8"/>
      <c r="DKJ39" s="8"/>
      <c r="DKK39" s="8"/>
      <c r="DKL39" s="8"/>
      <c r="DKM39" s="8"/>
      <c r="DKN39" s="8"/>
      <c r="DKO39" s="8"/>
      <c r="DKP39" s="8"/>
      <c r="DKQ39" s="8"/>
      <c r="DKR39" s="8"/>
      <c r="DKS39" s="8"/>
      <c r="DKT39" s="8"/>
      <c r="DKU39" s="8"/>
      <c r="DKV39" s="8"/>
      <c r="DKW39" s="8"/>
      <c r="DKX39" s="8"/>
      <c r="DKY39" s="8"/>
      <c r="DKZ39" s="8"/>
      <c r="DLA39" s="8"/>
      <c r="DLB39" s="8"/>
      <c r="DLC39" s="8"/>
      <c r="DLD39" s="8"/>
      <c r="DLE39" s="8"/>
      <c r="DLF39" s="8"/>
      <c r="DLG39" s="8"/>
      <c r="DLH39" s="8"/>
      <c r="DLI39" s="8"/>
      <c r="DLJ39" s="8"/>
      <c r="DLK39" s="8"/>
      <c r="DLL39" s="8"/>
      <c r="DLM39" s="8"/>
      <c r="DLN39" s="8"/>
      <c r="DLO39" s="8"/>
      <c r="DLP39" s="8"/>
      <c r="DLQ39" s="8"/>
      <c r="DLR39" s="8"/>
      <c r="DLS39" s="8"/>
      <c r="DLT39" s="8"/>
      <c r="DLU39" s="8"/>
      <c r="DLV39" s="8"/>
      <c r="DLW39" s="8"/>
      <c r="DLX39" s="8"/>
      <c r="DLY39" s="8"/>
      <c r="DLZ39" s="8"/>
      <c r="DMA39" s="8"/>
      <c r="DMB39" s="8"/>
      <c r="DMC39" s="8"/>
      <c r="DMD39" s="8"/>
      <c r="DME39" s="8"/>
      <c r="DMF39" s="8"/>
      <c r="DMG39" s="8"/>
      <c r="DMH39" s="8"/>
      <c r="DMI39" s="8"/>
      <c r="DMJ39" s="8"/>
      <c r="DMK39" s="8"/>
      <c r="DML39" s="8"/>
      <c r="DMM39" s="8"/>
      <c r="DMN39" s="8"/>
      <c r="DMO39" s="8"/>
      <c r="DMP39" s="8"/>
      <c r="DMQ39" s="8"/>
      <c r="DMR39" s="8"/>
      <c r="DMS39" s="8"/>
      <c r="DMT39" s="8"/>
      <c r="DMU39" s="8"/>
      <c r="DMV39" s="8"/>
      <c r="DMW39" s="8"/>
      <c r="DMX39" s="8"/>
      <c r="DMY39" s="8"/>
      <c r="DMZ39" s="8"/>
      <c r="DNA39" s="8"/>
      <c r="DNB39" s="8"/>
      <c r="DNC39" s="8"/>
      <c r="DND39" s="8"/>
      <c r="DNE39" s="8"/>
      <c r="DNF39" s="8"/>
      <c r="DNG39" s="8"/>
      <c r="DNH39" s="8"/>
      <c r="DNI39" s="8"/>
      <c r="DNJ39" s="8"/>
      <c r="DNK39" s="8"/>
      <c r="DNL39" s="8"/>
      <c r="DNM39" s="8"/>
      <c r="DNN39" s="8"/>
      <c r="DNO39" s="8"/>
      <c r="DNP39" s="8"/>
      <c r="DNQ39" s="8"/>
      <c r="DNR39" s="8"/>
      <c r="DNS39" s="8"/>
      <c r="DNT39" s="8"/>
      <c r="DNU39" s="8"/>
      <c r="DNV39" s="8"/>
      <c r="DNW39" s="8"/>
      <c r="DNX39" s="8"/>
      <c r="DNY39" s="8"/>
      <c r="DNZ39" s="8"/>
      <c r="DOA39" s="8"/>
      <c r="DOB39" s="8"/>
      <c r="DOC39" s="8"/>
      <c r="DOD39" s="8"/>
      <c r="DOE39" s="8"/>
      <c r="DOF39" s="8"/>
      <c r="DOG39" s="8"/>
      <c r="DOH39" s="8"/>
      <c r="DOI39" s="8"/>
      <c r="DOJ39" s="8"/>
      <c r="DOK39" s="8"/>
      <c r="DOL39" s="8"/>
      <c r="DOM39" s="8"/>
      <c r="DON39" s="8"/>
      <c r="DOO39" s="8"/>
      <c r="DOP39" s="8"/>
      <c r="DOQ39" s="8"/>
      <c r="DOR39" s="8"/>
      <c r="DOS39" s="8"/>
      <c r="DOT39" s="8"/>
      <c r="DOU39" s="8"/>
      <c r="DOV39" s="8"/>
      <c r="DOW39" s="8"/>
      <c r="DOX39" s="8"/>
      <c r="DOY39" s="8"/>
      <c r="DOZ39" s="8"/>
      <c r="DPA39" s="8"/>
      <c r="DPB39" s="8"/>
      <c r="DPC39" s="8"/>
      <c r="DPD39" s="8"/>
      <c r="DPE39" s="8"/>
      <c r="DPF39" s="8"/>
      <c r="DPG39" s="8"/>
      <c r="DPH39" s="8"/>
      <c r="DPI39" s="8"/>
      <c r="DPJ39" s="8"/>
      <c r="DPK39" s="8"/>
      <c r="DPL39" s="8"/>
      <c r="DPM39" s="8"/>
      <c r="DPN39" s="8"/>
      <c r="DPO39" s="8"/>
      <c r="DPP39" s="8"/>
      <c r="DPQ39" s="8"/>
      <c r="DPR39" s="8"/>
      <c r="DPS39" s="8"/>
      <c r="DPT39" s="8"/>
      <c r="DPU39" s="8"/>
      <c r="DPV39" s="8"/>
      <c r="DPW39" s="8"/>
      <c r="DPX39" s="8"/>
      <c r="DPY39" s="8"/>
      <c r="DPZ39" s="8"/>
      <c r="DQA39" s="8"/>
      <c r="DQB39" s="8"/>
      <c r="DQC39" s="8"/>
      <c r="DQD39" s="8"/>
      <c r="DQE39" s="8"/>
      <c r="DQF39" s="8"/>
      <c r="DQG39" s="8"/>
      <c r="DQH39" s="8"/>
      <c r="DQI39" s="8"/>
      <c r="DQJ39" s="8"/>
      <c r="DQK39" s="8"/>
      <c r="DQL39" s="8"/>
      <c r="DQM39" s="8"/>
      <c r="DQN39" s="8"/>
      <c r="DQO39" s="8"/>
      <c r="DQP39" s="8"/>
      <c r="DQQ39" s="8"/>
      <c r="DQR39" s="8"/>
      <c r="DQS39" s="8"/>
      <c r="DQT39" s="8"/>
      <c r="DQU39" s="8"/>
      <c r="DQV39" s="8"/>
      <c r="DQW39" s="8"/>
      <c r="DQX39" s="8"/>
      <c r="DQY39" s="8"/>
      <c r="DQZ39" s="8"/>
      <c r="DRA39" s="8"/>
      <c r="DRB39" s="8"/>
      <c r="DRC39" s="8"/>
      <c r="DRD39" s="8"/>
      <c r="DRE39" s="8"/>
      <c r="DRF39" s="8"/>
      <c r="DRG39" s="8"/>
      <c r="DRH39" s="8"/>
      <c r="DRI39" s="8"/>
      <c r="DRJ39" s="8"/>
      <c r="DRK39" s="8"/>
      <c r="DRL39" s="8"/>
      <c r="DRM39" s="8"/>
      <c r="DRN39" s="8"/>
      <c r="DRO39" s="8"/>
      <c r="DRP39" s="8"/>
      <c r="DRQ39" s="8"/>
      <c r="DRR39" s="8"/>
      <c r="DRS39" s="8"/>
      <c r="DRT39" s="8"/>
      <c r="DRU39" s="8"/>
      <c r="DRV39" s="8"/>
      <c r="DRW39" s="8"/>
      <c r="DRX39" s="8"/>
      <c r="DRY39" s="8"/>
      <c r="DRZ39" s="8"/>
      <c r="DSA39" s="8"/>
      <c r="DSB39" s="8"/>
      <c r="DSC39" s="8"/>
      <c r="DSD39" s="8"/>
      <c r="DSE39" s="8"/>
      <c r="DSF39" s="8"/>
      <c r="DSG39" s="8"/>
      <c r="DSH39" s="8"/>
      <c r="DSI39" s="8"/>
      <c r="DSJ39" s="8"/>
      <c r="DSK39" s="8"/>
      <c r="DSL39" s="8"/>
      <c r="DSM39" s="8"/>
      <c r="DSN39" s="8"/>
      <c r="DSO39" s="8"/>
      <c r="DSP39" s="8"/>
      <c r="DSQ39" s="8"/>
      <c r="DSR39" s="8"/>
      <c r="DSS39" s="8"/>
      <c r="DST39" s="8"/>
      <c r="DSU39" s="8"/>
      <c r="DSV39" s="8"/>
      <c r="DSW39" s="8"/>
      <c r="DSX39" s="8"/>
      <c r="DSY39" s="8"/>
      <c r="DSZ39" s="8"/>
      <c r="DTA39" s="8"/>
      <c r="DTB39" s="8"/>
      <c r="DTC39" s="8"/>
      <c r="DTD39" s="8"/>
      <c r="DTE39" s="8"/>
      <c r="DTF39" s="8"/>
      <c r="DTG39" s="8"/>
      <c r="DTH39" s="8"/>
      <c r="DTI39" s="8"/>
      <c r="DTJ39" s="8"/>
      <c r="DTK39" s="8"/>
      <c r="DTL39" s="8"/>
      <c r="DTM39" s="8"/>
      <c r="DTN39" s="8"/>
      <c r="DTO39" s="8"/>
      <c r="DTP39" s="8"/>
      <c r="DTQ39" s="8"/>
      <c r="DTR39" s="8"/>
      <c r="DTS39" s="8"/>
      <c r="DTT39" s="8"/>
      <c r="DTU39" s="8"/>
      <c r="DTV39" s="8"/>
      <c r="DTW39" s="8"/>
      <c r="DTX39" s="8"/>
      <c r="DTY39" s="8"/>
      <c r="DTZ39" s="8"/>
      <c r="DUA39" s="8"/>
      <c r="DUB39" s="8"/>
      <c r="DUC39" s="8"/>
      <c r="DUD39" s="8"/>
      <c r="DUE39" s="8"/>
      <c r="DUF39" s="8"/>
      <c r="DUG39" s="8"/>
      <c r="DUH39" s="8"/>
      <c r="DUI39" s="8"/>
      <c r="DUJ39" s="8"/>
      <c r="DUK39" s="8"/>
      <c r="DUL39" s="8"/>
      <c r="DUM39" s="8"/>
      <c r="DUN39" s="8"/>
      <c r="DUO39" s="8"/>
      <c r="DUP39" s="8"/>
      <c r="DUQ39" s="8"/>
      <c r="DUR39" s="8"/>
      <c r="DUS39" s="8"/>
      <c r="DUT39" s="8"/>
      <c r="DUU39" s="8"/>
      <c r="DUV39" s="8"/>
      <c r="DUW39" s="8"/>
      <c r="DUX39" s="8"/>
      <c r="DUY39" s="8"/>
      <c r="DUZ39" s="8"/>
      <c r="DVA39" s="8"/>
      <c r="DVB39" s="8"/>
      <c r="DVC39" s="8"/>
      <c r="DVD39" s="8"/>
      <c r="DVE39" s="8"/>
      <c r="DVF39" s="8"/>
      <c r="DVG39" s="8"/>
      <c r="DVH39" s="8"/>
      <c r="DVI39" s="8"/>
      <c r="DVJ39" s="8"/>
      <c r="DVK39" s="8"/>
      <c r="DVL39" s="8"/>
      <c r="DVM39" s="8"/>
      <c r="DVN39" s="8"/>
      <c r="DVO39" s="8"/>
      <c r="DVP39" s="8"/>
      <c r="DVQ39" s="8"/>
      <c r="DVR39" s="8"/>
      <c r="DVS39" s="8"/>
      <c r="DVT39" s="8"/>
      <c r="DVU39" s="8"/>
      <c r="DVV39" s="8"/>
      <c r="DVW39" s="8"/>
      <c r="DVX39" s="8"/>
      <c r="DVY39" s="8"/>
      <c r="DVZ39" s="8"/>
      <c r="DWA39" s="8"/>
      <c r="DWB39" s="8"/>
      <c r="DWC39" s="8"/>
      <c r="DWD39" s="8"/>
      <c r="DWE39" s="8"/>
      <c r="DWF39" s="8"/>
      <c r="DWG39" s="8"/>
      <c r="DWH39" s="8"/>
      <c r="DWI39" s="8"/>
      <c r="DWJ39" s="8"/>
      <c r="DWK39" s="8"/>
      <c r="DWL39" s="8"/>
      <c r="DWM39" s="8"/>
      <c r="DWN39" s="8"/>
      <c r="DWO39" s="8"/>
      <c r="DWP39" s="8"/>
      <c r="DWQ39" s="8"/>
      <c r="DWR39" s="8"/>
      <c r="DWS39" s="8"/>
      <c r="DWT39" s="8"/>
      <c r="DWU39" s="8"/>
      <c r="DWV39" s="8"/>
      <c r="DWW39" s="8"/>
      <c r="DWX39" s="8"/>
      <c r="DWY39" s="8"/>
      <c r="DWZ39" s="8"/>
      <c r="DXA39" s="8"/>
      <c r="DXB39" s="8"/>
      <c r="DXC39" s="8"/>
      <c r="DXD39" s="8"/>
      <c r="DXE39" s="8"/>
      <c r="DXF39" s="8"/>
      <c r="DXG39" s="8"/>
      <c r="DXH39" s="8"/>
      <c r="DXI39" s="8"/>
      <c r="DXJ39" s="8"/>
      <c r="DXK39" s="8"/>
      <c r="DXL39" s="8"/>
      <c r="DXM39" s="8"/>
      <c r="DXN39" s="8"/>
      <c r="DXO39" s="8"/>
      <c r="DXP39" s="8"/>
      <c r="DXQ39" s="8"/>
      <c r="DXR39" s="8"/>
      <c r="DXS39" s="8"/>
      <c r="DXT39" s="8"/>
      <c r="DXU39" s="8"/>
      <c r="DXV39" s="8"/>
      <c r="DXW39" s="8"/>
      <c r="DXX39" s="8"/>
      <c r="DXY39" s="8"/>
      <c r="DXZ39" s="8"/>
      <c r="DYA39" s="8"/>
      <c r="DYB39" s="8"/>
      <c r="DYC39" s="8"/>
      <c r="DYD39" s="8"/>
      <c r="DYE39" s="8"/>
      <c r="DYF39" s="8"/>
      <c r="DYG39" s="8"/>
      <c r="DYH39" s="8"/>
      <c r="DYI39" s="8"/>
      <c r="DYJ39" s="8"/>
      <c r="DYK39" s="8"/>
      <c r="DYL39" s="8"/>
      <c r="DYM39" s="8"/>
      <c r="DYN39" s="8"/>
      <c r="DYO39" s="8"/>
      <c r="DYP39" s="8"/>
      <c r="DYQ39" s="8"/>
      <c r="DYR39" s="8"/>
      <c r="DYS39" s="8"/>
      <c r="DYT39" s="8"/>
      <c r="DYU39" s="8"/>
      <c r="DYV39" s="8"/>
      <c r="DYW39" s="8"/>
      <c r="DYX39" s="8"/>
      <c r="DYY39" s="8"/>
      <c r="DYZ39" s="8"/>
      <c r="DZA39" s="8"/>
      <c r="DZB39" s="8"/>
      <c r="DZC39" s="8"/>
      <c r="DZD39" s="8"/>
      <c r="DZE39" s="8"/>
      <c r="DZF39" s="8"/>
      <c r="DZG39" s="8"/>
      <c r="DZH39" s="8"/>
      <c r="DZI39" s="8"/>
      <c r="DZJ39" s="8"/>
      <c r="DZK39" s="8"/>
      <c r="DZL39" s="8"/>
      <c r="DZM39" s="8"/>
      <c r="DZN39" s="8"/>
      <c r="DZO39" s="8"/>
      <c r="DZP39" s="8"/>
      <c r="DZQ39" s="8"/>
      <c r="DZR39" s="8"/>
      <c r="DZS39" s="8"/>
      <c r="DZT39" s="8"/>
      <c r="DZU39" s="8"/>
      <c r="DZV39" s="8"/>
      <c r="DZW39" s="8"/>
      <c r="DZX39" s="8"/>
      <c r="DZY39" s="8"/>
      <c r="DZZ39" s="8"/>
      <c r="EAA39" s="8"/>
      <c r="EAB39" s="8"/>
      <c r="EAC39" s="8"/>
      <c r="EAD39" s="8"/>
      <c r="EAE39" s="8"/>
      <c r="EAF39" s="8"/>
      <c r="EAG39" s="8"/>
      <c r="EAH39" s="8"/>
      <c r="EAI39" s="8"/>
      <c r="EAJ39" s="8"/>
      <c r="EAK39" s="8"/>
      <c r="EAL39" s="8"/>
      <c r="EAM39" s="8"/>
      <c r="EAN39" s="8"/>
      <c r="EAO39" s="8"/>
      <c r="EAP39" s="8"/>
      <c r="EAQ39" s="8"/>
      <c r="EAR39" s="8"/>
      <c r="EAS39" s="8"/>
      <c r="EAT39" s="8"/>
      <c r="EAU39" s="8"/>
      <c r="EAV39" s="8"/>
      <c r="EAW39" s="8"/>
      <c r="EAX39" s="8"/>
      <c r="EAY39" s="8"/>
      <c r="EAZ39" s="8"/>
      <c r="EBA39" s="8"/>
      <c r="EBB39" s="8"/>
      <c r="EBC39" s="8"/>
      <c r="EBD39" s="8"/>
      <c r="EBE39" s="8"/>
      <c r="EBF39" s="8"/>
      <c r="EBG39" s="8"/>
      <c r="EBH39" s="8"/>
      <c r="EBI39" s="8"/>
      <c r="EBJ39" s="8"/>
      <c r="EBK39" s="8"/>
      <c r="EBL39" s="8"/>
      <c r="EBM39" s="8"/>
      <c r="EBN39" s="8"/>
      <c r="EBO39" s="8"/>
      <c r="EBP39" s="8"/>
      <c r="EBQ39" s="8"/>
      <c r="EBR39" s="8"/>
      <c r="EBS39" s="8"/>
      <c r="EBT39" s="8"/>
      <c r="EBU39" s="8"/>
      <c r="EBV39" s="8"/>
      <c r="EBW39" s="8"/>
      <c r="EBX39" s="8"/>
      <c r="EBY39" s="8"/>
      <c r="EBZ39" s="8"/>
      <c r="ECA39" s="8"/>
      <c r="ECB39" s="8"/>
      <c r="ECC39" s="8"/>
      <c r="ECD39" s="8"/>
      <c r="ECE39" s="8"/>
      <c r="ECF39" s="8"/>
      <c r="ECG39" s="8"/>
      <c r="ECH39" s="8"/>
      <c r="ECI39" s="8"/>
      <c r="ECJ39" s="8"/>
      <c r="ECK39" s="8"/>
      <c r="ECL39" s="8"/>
      <c r="ECM39" s="8"/>
      <c r="ECN39" s="8"/>
      <c r="ECO39" s="8"/>
      <c r="ECP39" s="8"/>
      <c r="ECQ39" s="8"/>
      <c r="ECR39" s="8"/>
      <c r="ECS39" s="8"/>
      <c r="ECT39" s="8"/>
      <c r="ECU39" s="8"/>
      <c r="ECV39" s="8"/>
      <c r="ECW39" s="8"/>
      <c r="ECX39" s="8"/>
      <c r="ECY39" s="8"/>
      <c r="ECZ39" s="8"/>
      <c r="EDA39" s="8"/>
      <c r="EDB39" s="8"/>
      <c r="EDC39" s="8"/>
      <c r="EDD39" s="8"/>
      <c r="EDE39" s="8"/>
      <c r="EDF39" s="8"/>
      <c r="EDG39" s="8"/>
      <c r="EDH39" s="8"/>
      <c r="EDI39" s="8"/>
      <c r="EDJ39" s="8"/>
      <c r="EDK39" s="8"/>
      <c r="EDL39" s="8"/>
      <c r="EDM39" s="8"/>
      <c r="EDN39" s="8"/>
      <c r="EDO39" s="8"/>
      <c r="EDP39" s="8"/>
      <c r="EDQ39" s="8"/>
      <c r="EDR39" s="8"/>
      <c r="EDS39" s="8"/>
      <c r="EDT39" s="8"/>
      <c r="EDU39" s="8"/>
      <c r="EDV39" s="8"/>
      <c r="EDW39" s="8"/>
      <c r="EDX39" s="8"/>
      <c r="EDY39" s="8"/>
      <c r="EDZ39" s="8"/>
      <c r="EEA39" s="8"/>
      <c r="EEB39" s="8"/>
      <c r="EEC39" s="8"/>
      <c r="EED39" s="8"/>
      <c r="EEE39" s="8"/>
      <c r="EEF39" s="8"/>
      <c r="EEG39" s="8"/>
      <c r="EEH39" s="8"/>
      <c r="EEI39" s="8"/>
      <c r="EEJ39" s="8"/>
      <c r="EEK39" s="8"/>
      <c r="EEL39" s="8"/>
      <c r="EEM39" s="8"/>
      <c r="EEN39" s="8"/>
      <c r="EEO39" s="8"/>
      <c r="EEP39" s="8"/>
      <c r="EEQ39" s="8"/>
      <c r="EER39" s="8"/>
      <c r="EES39" s="8"/>
      <c r="EET39" s="8"/>
      <c r="EEU39" s="8"/>
      <c r="EEV39" s="8"/>
      <c r="EEW39" s="8"/>
      <c r="EEX39" s="8"/>
      <c r="EEY39" s="8"/>
      <c r="EEZ39" s="8"/>
      <c r="EFA39" s="8"/>
      <c r="EFB39" s="8"/>
      <c r="EFC39" s="8"/>
      <c r="EFD39" s="8"/>
      <c r="EFE39" s="8"/>
      <c r="EFF39" s="8"/>
      <c r="EFG39" s="8"/>
      <c r="EFH39" s="8"/>
      <c r="EFI39" s="8"/>
      <c r="EFJ39" s="8"/>
      <c r="EFK39" s="8"/>
      <c r="EFL39" s="8"/>
      <c r="EFM39" s="8"/>
      <c r="EFN39" s="8"/>
      <c r="EFO39" s="8"/>
      <c r="EFP39" s="8"/>
      <c r="EFQ39" s="8"/>
      <c r="EFR39" s="8"/>
      <c r="EFS39" s="8"/>
      <c r="EFT39" s="8"/>
      <c r="EFU39" s="8"/>
      <c r="EFV39" s="8"/>
      <c r="EFW39" s="8"/>
      <c r="EFX39" s="8"/>
      <c r="EFY39" s="8"/>
      <c r="EFZ39" s="8"/>
      <c r="EGA39" s="8"/>
      <c r="EGB39" s="8"/>
      <c r="EGC39" s="8"/>
      <c r="EGD39" s="8"/>
      <c r="EGE39" s="8"/>
      <c r="EGF39" s="8"/>
      <c r="EGG39" s="8"/>
      <c r="EGH39" s="8"/>
      <c r="EGI39" s="8"/>
      <c r="EGJ39" s="8"/>
      <c r="EGK39" s="8"/>
      <c r="EGL39" s="8"/>
      <c r="EGM39" s="8"/>
      <c r="EGN39" s="8"/>
      <c r="EGO39" s="8"/>
      <c r="EGP39" s="8"/>
      <c r="EGQ39" s="8"/>
      <c r="EGR39" s="8"/>
      <c r="EGS39" s="8"/>
      <c r="EGT39" s="8"/>
      <c r="EGU39" s="8"/>
      <c r="EGV39" s="8"/>
      <c r="EGW39" s="8"/>
      <c r="EGX39" s="8"/>
      <c r="EGY39" s="8"/>
      <c r="EGZ39" s="8"/>
      <c r="EHA39" s="8"/>
      <c r="EHB39" s="8"/>
      <c r="EHC39" s="8"/>
      <c r="EHD39" s="8"/>
      <c r="EHE39" s="8"/>
      <c r="EHF39" s="8"/>
      <c r="EHG39" s="8"/>
      <c r="EHH39" s="8"/>
      <c r="EHI39" s="8"/>
      <c r="EHJ39" s="8"/>
      <c r="EHK39" s="8"/>
      <c r="EHL39" s="8"/>
      <c r="EHM39" s="8"/>
      <c r="EHN39" s="8"/>
      <c r="EHO39" s="8"/>
      <c r="EHP39" s="8"/>
      <c r="EHQ39" s="8"/>
      <c r="EHR39" s="8"/>
      <c r="EHS39" s="8"/>
      <c r="EHT39" s="8"/>
      <c r="EHU39" s="8"/>
      <c r="EHV39" s="8"/>
      <c r="EHW39" s="8"/>
      <c r="EHX39" s="8"/>
      <c r="EHY39" s="8"/>
      <c r="EHZ39" s="8"/>
      <c r="EIA39" s="8"/>
      <c r="EIB39" s="8"/>
      <c r="EIC39" s="8"/>
      <c r="EID39" s="8"/>
      <c r="EIE39" s="8"/>
      <c r="EIF39" s="8"/>
      <c r="EIG39" s="8"/>
      <c r="EIH39" s="8"/>
      <c r="EII39" s="8"/>
      <c r="EIJ39" s="8"/>
      <c r="EIK39" s="8"/>
      <c r="EIL39" s="8"/>
      <c r="EIM39" s="8"/>
      <c r="EIN39" s="8"/>
      <c r="EIO39" s="8"/>
      <c r="EIP39" s="8"/>
      <c r="EIQ39" s="8"/>
      <c r="EIR39" s="8"/>
      <c r="EIS39" s="8"/>
      <c r="EIT39" s="8"/>
      <c r="EIU39" s="8"/>
      <c r="EIV39" s="8"/>
      <c r="EIW39" s="8"/>
      <c r="EIX39" s="8"/>
      <c r="EIY39" s="8"/>
      <c r="EIZ39" s="8"/>
      <c r="EJA39" s="8"/>
      <c r="EJB39" s="8"/>
      <c r="EJC39" s="8"/>
      <c r="EJD39" s="8"/>
      <c r="EJE39" s="8"/>
      <c r="EJF39" s="8"/>
      <c r="EJG39" s="8"/>
      <c r="EJH39" s="8"/>
      <c r="EJI39" s="8"/>
      <c r="EJJ39" s="8"/>
      <c r="EJK39" s="8"/>
      <c r="EJL39" s="8"/>
      <c r="EJM39" s="8"/>
      <c r="EJN39" s="8"/>
      <c r="EJO39" s="8"/>
      <c r="EJP39" s="8"/>
      <c r="EJQ39" s="8"/>
      <c r="EJR39" s="8"/>
      <c r="EJS39" s="8"/>
      <c r="EJT39" s="8"/>
      <c r="EJU39" s="8"/>
      <c r="EJV39" s="8"/>
      <c r="EJW39" s="8"/>
      <c r="EJX39" s="8"/>
      <c r="EJY39" s="8"/>
      <c r="EJZ39" s="8"/>
      <c r="EKA39" s="8"/>
      <c r="EKB39" s="8"/>
      <c r="EKC39" s="8"/>
      <c r="EKD39" s="8"/>
      <c r="EKE39" s="8"/>
      <c r="EKF39" s="8"/>
      <c r="EKG39" s="8"/>
      <c r="EKH39" s="8"/>
      <c r="EKI39" s="8"/>
      <c r="EKJ39" s="8"/>
      <c r="EKK39" s="8"/>
      <c r="EKL39" s="8"/>
      <c r="EKM39" s="8"/>
      <c r="EKN39" s="8"/>
      <c r="EKO39" s="8"/>
      <c r="EKP39" s="8"/>
      <c r="EKQ39" s="8"/>
      <c r="EKR39" s="8"/>
      <c r="EKS39" s="8"/>
      <c r="EKT39" s="8"/>
      <c r="EKU39" s="8"/>
      <c r="EKV39" s="8"/>
      <c r="EKW39" s="8"/>
      <c r="EKX39" s="8"/>
      <c r="EKY39" s="8"/>
      <c r="EKZ39" s="8"/>
      <c r="ELA39" s="8"/>
      <c r="ELB39" s="8"/>
      <c r="ELC39" s="8"/>
      <c r="ELD39" s="8"/>
      <c r="ELE39" s="8"/>
      <c r="ELF39" s="8"/>
      <c r="ELG39" s="8"/>
      <c r="ELH39" s="8"/>
      <c r="ELI39" s="8"/>
      <c r="ELJ39" s="8"/>
      <c r="ELK39" s="8"/>
      <c r="ELL39" s="8"/>
      <c r="ELM39" s="8"/>
      <c r="ELN39" s="8"/>
      <c r="ELO39" s="8"/>
      <c r="ELP39" s="8"/>
      <c r="ELQ39" s="8"/>
      <c r="ELR39" s="8"/>
      <c r="ELS39" s="8"/>
      <c r="ELT39" s="8"/>
      <c r="ELU39" s="8"/>
      <c r="ELV39" s="8"/>
      <c r="ELW39" s="8"/>
      <c r="ELX39" s="8"/>
      <c r="ELY39" s="8"/>
      <c r="ELZ39" s="8"/>
      <c r="EMA39" s="8"/>
      <c r="EMB39" s="8"/>
      <c r="EMC39" s="8"/>
      <c r="EMD39" s="8"/>
      <c r="EME39" s="8"/>
      <c r="EMF39" s="8"/>
      <c r="EMG39" s="8"/>
      <c r="EMH39" s="8"/>
      <c r="EMI39" s="8"/>
      <c r="EMJ39" s="8"/>
      <c r="EMK39" s="8"/>
      <c r="EML39" s="8"/>
      <c r="EMM39" s="8"/>
      <c r="EMN39" s="8"/>
      <c r="EMO39" s="8"/>
      <c r="EMP39" s="8"/>
      <c r="EMQ39" s="8"/>
      <c r="EMR39" s="8"/>
      <c r="EMS39" s="8"/>
      <c r="EMT39" s="8"/>
      <c r="EMU39" s="8"/>
      <c r="EMV39" s="8"/>
      <c r="EMW39" s="8"/>
      <c r="EMX39" s="8"/>
      <c r="EMY39" s="8"/>
      <c r="EMZ39" s="8"/>
      <c r="ENA39" s="8"/>
      <c r="ENB39" s="8"/>
      <c r="ENC39" s="8"/>
      <c r="END39" s="8"/>
      <c r="ENE39" s="8"/>
      <c r="ENF39" s="8"/>
      <c r="ENG39" s="8"/>
      <c r="ENH39" s="8"/>
      <c r="ENI39" s="8"/>
      <c r="ENJ39" s="8"/>
      <c r="ENK39" s="8"/>
      <c r="ENL39" s="8"/>
      <c r="ENM39" s="8"/>
      <c r="ENN39" s="8"/>
      <c r="ENO39" s="8"/>
      <c r="ENP39" s="8"/>
      <c r="ENQ39" s="8"/>
      <c r="ENR39" s="8"/>
      <c r="ENS39" s="8"/>
      <c r="ENT39" s="8"/>
      <c r="ENU39" s="8"/>
      <c r="ENV39" s="8"/>
      <c r="ENW39" s="8"/>
      <c r="ENX39" s="8"/>
      <c r="ENY39" s="8"/>
      <c r="ENZ39" s="8"/>
      <c r="EOA39" s="8"/>
      <c r="EOB39" s="8"/>
      <c r="EOC39" s="8"/>
      <c r="EOD39" s="8"/>
      <c r="EOE39" s="8"/>
      <c r="EOF39" s="8"/>
      <c r="EOG39" s="8"/>
      <c r="EOH39" s="8"/>
      <c r="EOI39" s="8"/>
      <c r="EOJ39" s="8"/>
      <c r="EOK39" s="8"/>
      <c r="EOL39" s="8"/>
      <c r="EOM39" s="8"/>
      <c r="EON39" s="8"/>
      <c r="EOO39" s="8"/>
      <c r="EOP39" s="8"/>
      <c r="EOQ39" s="8"/>
      <c r="EOR39" s="8"/>
      <c r="EOS39" s="8"/>
      <c r="EOT39" s="8"/>
      <c r="EOU39" s="8"/>
      <c r="EOV39" s="8"/>
      <c r="EOW39" s="8"/>
      <c r="EOX39" s="8"/>
      <c r="EOY39" s="8"/>
      <c r="EOZ39" s="8"/>
      <c r="EPA39" s="8"/>
      <c r="EPB39" s="8"/>
      <c r="EPC39" s="8"/>
      <c r="EPD39" s="8"/>
      <c r="EPE39" s="8"/>
      <c r="EPF39" s="8"/>
      <c r="EPG39" s="8"/>
      <c r="EPH39" s="8"/>
      <c r="EPI39" s="8"/>
      <c r="EPJ39" s="8"/>
      <c r="EPK39" s="8"/>
      <c r="EPL39" s="8"/>
      <c r="EPM39" s="8"/>
      <c r="EPN39" s="8"/>
      <c r="EPO39" s="8"/>
      <c r="EPP39" s="8"/>
      <c r="EPQ39" s="8"/>
      <c r="EPR39" s="8"/>
      <c r="EPS39" s="8"/>
      <c r="EPT39" s="8"/>
      <c r="EPU39" s="8"/>
      <c r="EPV39" s="8"/>
      <c r="EPW39" s="8"/>
      <c r="EPX39" s="8"/>
      <c r="EPY39" s="8"/>
      <c r="EPZ39" s="8"/>
      <c r="EQA39" s="8"/>
      <c r="EQB39" s="8"/>
      <c r="EQC39" s="8"/>
      <c r="EQD39" s="8"/>
      <c r="EQE39" s="8"/>
      <c r="EQF39" s="8"/>
      <c r="EQG39" s="8"/>
      <c r="EQH39" s="8"/>
      <c r="EQI39" s="8"/>
      <c r="EQJ39" s="8"/>
      <c r="EQK39" s="8"/>
      <c r="EQL39" s="8"/>
      <c r="EQM39" s="8"/>
      <c r="EQN39" s="8"/>
      <c r="EQO39" s="8"/>
      <c r="EQP39" s="8"/>
      <c r="EQQ39" s="8"/>
      <c r="EQR39" s="8"/>
      <c r="EQS39" s="8"/>
      <c r="EQT39" s="8"/>
      <c r="EQU39" s="8"/>
      <c r="EQV39" s="8"/>
      <c r="EQW39" s="8"/>
      <c r="EQX39" s="8"/>
      <c r="EQY39" s="8"/>
      <c r="EQZ39" s="8"/>
      <c r="ERA39" s="8"/>
      <c r="ERB39" s="8"/>
      <c r="ERC39" s="8"/>
      <c r="ERD39" s="8"/>
      <c r="ERE39" s="8"/>
      <c r="ERF39" s="8"/>
      <c r="ERG39" s="8"/>
      <c r="ERH39" s="8"/>
      <c r="ERI39" s="8"/>
      <c r="ERJ39" s="8"/>
      <c r="ERK39" s="8"/>
      <c r="ERL39" s="8"/>
      <c r="ERM39" s="8"/>
      <c r="ERN39" s="8"/>
      <c r="ERO39" s="8"/>
      <c r="ERP39" s="8"/>
      <c r="ERQ39" s="8"/>
      <c r="ERR39" s="8"/>
      <c r="ERS39" s="8"/>
      <c r="ERT39" s="8"/>
      <c r="ERU39" s="8"/>
      <c r="ERV39" s="8"/>
      <c r="ERW39" s="8"/>
      <c r="ERX39" s="8"/>
      <c r="ERY39" s="8"/>
      <c r="ERZ39" s="8"/>
      <c r="ESA39" s="8"/>
      <c r="ESB39" s="8"/>
      <c r="ESC39" s="8"/>
      <c r="ESD39" s="8"/>
      <c r="ESE39" s="8"/>
      <c r="ESF39" s="8"/>
      <c r="ESG39" s="8"/>
      <c r="ESH39" s="8"/>
      <c r="ESI39" s="8"/>
      <c r="ESJ39" s="8"/>
      <c r="ESK39" s="8"/>
      <c r="ESL39" s="8"/>
      <c r="ESM39" s="8"/>
      <c r="ESN39" s="8"/>
      <c r="ESO39" s="8"/>
      <c r="ESP39" s="8"/>
      <c r="ESQ39" s="8"/>
      <c r="ESR39" s="8"/>
      <c r="ESS39" s="8"/>
      <c r="EST39" s="8"/>
      <c r="ESU39" s="8"/>
      <c r="ESV39" s="8"/>
      <c r="ESW39" s="8"/>
      <c r="ESX39" s="8"/>
      <c r="ESY39" s="8"/>
      <c r="ESZ39" s="8"/>
      <c r="ETA39" s="8"/>
      <c r="ETB39" s="8"/>
      <c r="ETC39" s="8"/>
      <c r="ETD39" s="8"/>
      <c r="ETE39" s="8"/>
      <c r="ETF39" s="8"/>
      <c r="ETG39" s="8"/>
      <c r="ETH39" s="8"/>
      <c r="ETI39" s="8"/>
      <c r="ETJ39" s="8"/>
      <c r="ETK39" s="8"/>
      <c r="ETL39" s="8"/>
      <c r="ETM39" s="8"/>
      <c r="ETN39" s="8"/>
      <c r="ETO39" s="8"/>
      <c r="ETP39" s="8"/>
      <c r="ETQ39" s="8"/>
      <c r="ETR39" s="8"/>
      <c r="ETS39" s="8"/>
      <c r="ETT39" s="8"/>
      <c r="ETU39" s="8"/>
      <c r="ETV39" s="8"/>
      <c r="ETW39" s="8"/>
      <c r="ETX39" s="8"/>
      <c r="ETY39" s="8"/>
      <c r="ETZ39" s="8"/>
      <c r="EUA39" s="8"/>
      <c r="EUB39" s="8"/>
      <c r="EUC39" s="8"/>
      <c r="EUD39" s="8"/>
      <c r="EUE39" s="8"/>
      <c r="EUF39" s="8"/>
      <c r="EUG39" s="8"/>
      <c r="EUH39" s="8"/>
      <c r="EUI39" s="8"/>
      <c r="EUJ39" s="8"/>
      <c r="EUK39" s="8"/>
      <c r="EUL39" s="8"/>
      <c r="EUM39" s="8"/>
      <c r="EUN39" s="8"/>
      <c r="EUO39" s="8"/>
      <c r="EUP39" s="8"/>
      <c r="EUQ39" s="8"/>
      <c r="EUR39" s="8"/>
      <c r="EUS39" s="8"/>
      <c r="EUT39" s="8"/>
      <c r="EUU39" s="8"/>
      <c r="EUV39" s="8"/>
      <c r="EUW39" s="8"/>
      <c r="EUX39" s="8"/>
      <c r="EUY39" s="8"/>
      <c r="EUZ39" s="8"/>
      <c r="EVA39" s="8"/>
      <c r="EVB39" s="8"/>
      <c r="EVC39" s="8"/>
      <c r="EVD39" s="8"/>
      <c r="EVE39" s="8"/>
      <c r="EVF39" s="8"/>
      <c r="EVG39" s="8"/>
      <c r="EVH39" s="8"/>
      <c r="EVI39" s="8"/>
      <c r="EVJ39" s="8"/>
      <c r="EVK39" s="8"/>
      <c r="EVL39" s="8"/>
      <c r="EVM39" s="8"/>
      <c r="EVN39" s="8"/>
      <c r="EVO39" s="8"/>
      <c r="EVP39" s="8"/>
      <c r="EVQ39" s="8"/>
      <c r="EVR39" s="8"/>
      <c r="EVS39" s="8"/>
      <c r="EVT39" s="8"/>
      <c r="EVU39" s="8"/>
      <c r="EVV39" s="8"/>
      <c r="EVW39" s="8"/>
      <c r="EVX39" s="8"/>
      <c r="EVY39" s="8"/>
      <c r="EVZ39" s="8"/>
      <c r="EWA39" s="8"/>
      <c r="EWB39" s="8"/>
      <c r="EWC39" s="8"/>
      <c r="EWD39" s="8"/>
      <c r="EWE39" s="8"/>
      <c r="EWF39" s="8"/>
      <c r="EWG39" s="8"/>
      <c r="EWH39" s="8"/>
      <c r="EWI39" s="8"/>
      <c r="EWJ39" s="8"/>
      <c r="EWK39" s="8"/>
      <c r="EWL39" s="8"/>
      <c r="EWM39" s="8"/>
      <c r="EWN39" s="8"/>
      <c r="EWO39" s="8"/>
      <c r="EWP39" s="8"/>
      <c r="EWQ39" s="8"/>
      <c r="EWR39" s="8"/>
      <c r="EWS39" s="8"/>
      <c r="EWT39" s="8"/>
      <c r="EWU39" s="8"/>
      <c r="EWV39" s="8"/>
      <c r="EWW39" s="8"/>
      <c r="EWX39" s="8"/>
      <c r="EWY39" s="8"/>
      <c r="EWZ39" s="8"/>
      <c r="EXA39" s="8"/>
      <c r="EXB39" s="8"/>
      <c r="EXC39" s="8"/>
      <c r="EXD39" s="8"/>
      <c r="EXE39" s="8"/>
      <c r="EXF39" s="8"/>
      <c r="EXG39" s="8"/>
      <c r="EXH39" s="8"/>
      <c r="EXI39" s="8"/>
      <c r="EXJ39" s="8"/>
      <c r="EXK39" s="8"/>
      <c r="EXL39" s="8"/>
      <c r="EXM39" s="8"/>
      <c r="EXN39" s="8"/>
      <c r="EXO39" s="8"/>
      <c r="EXP39" s="8"/>
      <c r="EXQ39" s="8"/>
      <c r="EXR39" s="8"/>
      <c r="EXS39" s="8"/>
      <c r="EXT39" s="8"/>
      <c r="EXU39" s="8"/>
      <c r="EXV39" s="8"/>
      <c r="EXW39" s="8"/>
      <c r="EXX39" s="8"/>
      <c r="EXY39" s="8"/>
      <c r="EXZ39" s="8"/>
      <c r="EYA39" s="8"/>
      <c r="EYB39" s="8"/>
      <c r="EYC39" s="8"/>
      <c r="EYD39" s="8"/>
      <c r="EYE39" s="8"/>
      <c r="EYF39" s="8"/>
      <c r="EYG39" s="8"/>
      <c r="EYH39" s="8"/>
      <c r="EYI39" s="8"/>
      <c r="EYJ39" s="8"/>
      <c r="EYK39" s="8"/>
      <c r="EYL39" s="8"/>
      <c r="EYM39" s="8"/>
      <c r="EYN39" s="8"/>
      <c r="EYO39" s="8"/>
      <c r="EYP39" s="8"/>
      <c r="EYQ39" s="8"/>
      <c r="EYR39" s="8"/>
      <c r="EYS39" s="8"/>
      <c r="EYT39" s="8"/>
      <c r="EYU39" s="8"/>
      <c r="EYV39" s="8"/>
      <c r="EYW39" s="8"/>
      <c r="EYX39" s="8"/>
      <c r="EYY39" s="8"/>
      <c r="EYZ39" s="8"/>
      <c r="EZA39" s="8"/>
      <c r="EZB39" s="8"/>
      <c r="EZC39" s="8"/>
      <c r="EZD39" s="8"/>
      <c r="EZE39" s="8"/>
      <c r="EZF39" s="8"/>
      <c r="EZG39" s="8"/>
      <c r="EZH39" s="8"/>
      <c r="EZI39" s="8"/>
      <c r="EZJ39" s="8"/>
      <c r="EZK39" s="8"/>
      <c r="EZL39" s="8"/>
      <c r="EZM39" s="8"/>
      <c r="EZN39" s="8"/>
      <c r="EZO39" s="8"/>
      <c r="EZP39" s="8"/>
      <c r="EZQ39" s="8"/>
      <c r="EZR39" s="8"/>
      <c r="EZS39" s="8"/>
      <c r="EZT39" s="8"/>
      <c r="EZU39" s="8"/>
      <c r="EZV39" s="8"/>
      <c r="EZW39" s="8"/>
      <c r="EZX39" s="8"/>
      <c r="EZY39" s="8"/>
      <c r="EZZ39" s="8"/>
      <c r="FAA39" s="8"/>
      <c r="FAB39" s="8"/>
      <c r="FAC39" s="8"/>
      <c r="FAD39" s="8"/>
      <c r="FAE39" s="8"/>
      <c r="FAF39" s="8"/>
      <c r="FAG39" s="8"/>
      <c r="FAH39" s="8"/>
      <c r="FAI39" s="8"/>
      <c r="FAJ39" s="8"/>
      <c r="FAK39" s="8"/>
      <c r="FAL39" s="8"/>
      <c r="FAM39" s="8"/>
      <c r="FAN39" s="8"/>
      <c r="FAO39" s="8"/>
      <c r="FAP39" s="8"/>
      <c r="FAQ39" s="8"/>
      <c r="FAR39" s="8"/>
      <c r="FAS39" s="8"/>
      <c r="FAT39" s="8"/>
      <c r="FAU39" s="8"/>
      <c r="FAV39" s="8"/>
      <c r="FAW39" s="8"/>
      <c r="FAX39" s="8"/>
      <c r="FAY39" s="8"/>
      <c r="FAZ39" s="8"/>
      <c r="FBA39" s="8"/>
      <c r="FBB39" s="8"/>
      <c r="FBC39" s="8"/>
      <c r="FBD39" s="8"/>
      <c r="FBE39" s="8"/>
      <c r="FBF39" s="8"/>
      <c r="FBG39" s="8"/>
      <c r="FBH39" s="8"/>
      <c r="FBI39" s="8"/>
      <c r="FBJ39" s="8"/>
      <c r="FBK39" s="8"/>
      <c r="FBL39" s="8"/>
      <c r="FBM39" s="8"/>
      <c r="FBN39" s="8"/>
      <c r="FBO39" s="8"/>
      <c r="FBP39" s="8"/>
      <c r="FBQ39" s="8"/>
      <c r="FBR39" s="8"/>
      <c r="FBS39" s="8"/>
      <c r="FBT39" s="8"/>
      <c r="FBU39" s="8"/>
      <c r="FBV39" s="8"/>
      <c r="FBW39" s="8"/>
      <c r="FBX39" s="8"/>
      <c r="FBY39" s="8"/>
      <c r="FBZ39" s="8"/>
      <c r="FCA39" s="8"/>
      <c r="FCB39" s="8"/>
      <c r="FCC39" s="8"/>
      <c r="FCD39" s="8"/>
      <c r="FCE39" s="8"/>
      <c r="FCF39" s="8"/>
      <c r="FCG39" s="8"/>
      <c r="FCH39" s="8"/>
      <c r="FCI39" s="8"/>
      <c r="FCJ39" s="8"/>
      <c r="FCK39" s="8"/>
      <c r="FCL39" s="8"/>
      <c r="FCM39" s="8"/>
      <c r="FCN39" s="8"/>
      <c r="FCO39" s="8"/>
      <c r="FCP39" s="8"/>
      <c r="FCQ39" s="8"/>
      <c r="FCR39" s="8"/>
      <c r="FCS39" s="8"/>
      <c r="FCT39" s="8"/>
      <c r="FCU39" s="8"/>
      <c r="FCV39" s="8"/>
      <c r="FCW39" s="8"/>
      <c r="FCX39" s="8"/>
      <c r="FCY39" s="8"/>
      <c r="FCZ39" s="8"/>
      <c r="FDA39" s="8"/>
      <c r="FDB39" s="8"/>
      <c r="FDC39" s="8"/>
      <c r="FDD39" s="8"/>
      <c r="FDE39" s="8"/>
      <c r="FDF39" s="8"/>
      <c r="FDG39" s="8"/>
      <c r="FDH39" s="8"/>
      <c r="FDI39" s="8"/>
      <c r="FDJ39" s="8"/>
      <c r="FDK39" s="8"/>
      <c r="FDL39" s="8"/>
      <c r="FDM39" s="8"/>
      <c r="FDN39" s="8"/>
      <c r="FDO39" s="8"/>
      <c r="FDP39" s="8"/>
      <c r="FDQ39" s="8"/>
      <c r="FDR39" s="8"/>
      <c r="FDS39" s="8"/>
      <c r="FDT39" s="8"/>
      <c r="FDU39" s="8"/>
      <c r="FDV39" s="8"/>
      <c r="FDW39" s="8"/>
      <c r="FDX39" s="8"/>
      <c r="FDY39" s="8"/>
      <c r="FDZ39" s="8"/>
      <c r="FEA39" s="8"/>
      <c r="FEB39" s="8"/>
      <c r="FEC39" s="8"/>
      <c r="FED39" s="8"/>
      <c r="FEE39" s="8"/>
      <c r="FEF39" s="8"/>
      <c r="FEG39" s="8"/>
      <c r="FEH39" s="8"/>
      <c r="FEI39" s="8"/>
      <c r="FEJ39" s="8"/>
      <c r="FEK39" s="8"/>
      <c r="FEL39" s="8"/>
      <c r="FEM39" s="8"/>
      <c r="FEN39" s="8"/>
      <c r="FEO39" s="8"/>
      <c r="FEP39" s="8"/>
      <c r="FEQ39" s="8"/>
      <c r="FER39" s="8"/>
      <c r="FES39" s="8"/>
      <c r="FET39" s="8"/>
      <c r="FEU39" s="8"/>
      <c r="FEV39" s="8"/>
      <c r="FEW39" s="8"/>
      <c r="FEX39" s="8"/>
      <c r="FEY39" s="8"/>
      <c r="FEZ39" s="8"/>
      <c r="FFA39" s="8"/>
      <c r="FFB39" s="8"/>
      <c r="FFC39" s="8"/>
      <c r="FFD39" s="8"/>
      <c r="FFE39" s="8"/>
      <c r="FFF39" s="8"/>
      <c r="FFG39" s="8"/>
      <c r="FFH39" s="8"/>
      <c r="FFI39" s="8"/>
      <c r="FFJ39" s="8"/>
      <c r="FFK39" s="8"/>
      <c r="FFL39" s="8"/>
      <c r="FFM39" s="8"/>
      <c r="FFN39" s="8"/>
      <c r="FFO39" s="8"/>
      <c r="FFP39" s="8"/>
      <c r="FFQ39" s="8"/>
      <c r="FFR39" s="8"/>
      <c r="FFS39" s="8"/>
      <c r="FFT39" s="8"/>
      <c r="FFU39" s="8"/>
      <c r="FFV39" s="8"/>
      <c r="FFW39" s="8"/>
      <c r="FFX39" s="8"/>
      <c r="FFY39" s="8"/>
      <c r="FFZ39" s="8"/>
      <c r="FGA39" s="8"/>
      <c r="FGB39" s="8"/>
      <c r="FGC39" s="8"/>
      <c r="FGD39" s="8"/>
      <c r="FGE39" s="8"/>
      <c r="FGF39" s="8"/>
      <c r="FGG39" s="8"/>
      <c r="FGH39" s="8"/>
      <c r="FGI39" s="8"/>
      <c r="FGJ39" s="8"/>
      <c r="FGK39" s="8"/>
      <c r="FGL39" s="8"/>
      <c r="FGM39" s="8"/>
      <c r="FGN39" s="8"/>
      <c r="FGO39" s="8"/>
      <c r="FGP39" s="8"/>
      <c r="FGQ39" s="8"/>
      <c r="FGR39" s="8"/>
      <c r="FGS39" s="8"/>
      <c r="FGT39" s="8"/>
      <c r="FGU39" s="8"/>
      <c r="FGV39" s="8"/>
      <c r="FGW39" s="8"/>
      <c r="FGX39" s="8"/>
      <c r="FGY39" s="8"/>
      <c r="FGZ39" s="8"/>
      <c r="FHA39" s="8"/>
      <c r="FHB39" s="8"/>
      <c r="FHC39" s="8"/>
      <c r="FHD39" s="8"/>
      <c r="FHE39" s="8"/>
      <c r="FHF39" s="8"/>
      <c r="FHG39" s="8"/>
      <c r="FHH39" s="8"/>
      <c r="FHI39" s="8"/>
      <c r="FHJ39" s="8"/>
      <c r="FHK39" s="8"/>
      <c r="FHL39" s="8"/>
      <c r="FHM39" s="8"/>
      <c r="FHN39" s="8"/>
      <c r="FHO39" s="8"/>
      <c r="FHP39" s="8"/>
      <c r="FHQ39" s="8"/>
      <c r="FHR39" s="8"/>
      <c r="FHS39" s="8"/>
      <c r="FHT39" s="8"/>
      <c r="FHU39" s="8"/>
      <c r="FHV39" s="8"/>
      <c r="FHW39" s="8"/>
      <c r="FHX39" s="8"/>
      <c r="FHY39" s="8"/>
      <c r="FHZ39" s="8"/>
      <c r="FIA39" s="8"/>
      <c r="FIB39" s="8"/>
      <c r="FIC39" s="8"/>
      <c r="FID39" s="8"/>
      <c r="FIE39" s="8"/>
      <c r="FIF39" s="8"/>
      <c r="FIG39" s="8"/>
      <c r="FIH39" s="8"/>
      <c r="FII39" s="8"/>
      <c r="FIJ39" s="8"/>
      <c r="FIK39" s="8"/>
      <c r="FIL39" s="8"/>
      <c r="FIM39" s="8"/>
      <c r="FIN39" s="8"/>
      <c r="FIO39" s="8"/>
      <c r="FIP39" s="8"/>
      <c r="FIQ39" s="8"/>
      <c r="FIR39" s="8"/>
      <c r="FIS39" s="8"/>
      <c r="FIT39" s="8"/>
      <c r="FIU39" s="8"/>
      <c r="FIV39" s="8"/>
      <c r="FIW39" s="8"/>
      <c r="FIX39" s="8"/>
      <c r="FIY39" s="8"/>
      <c r="FIZ39" s="8"/>
      <c r="FJA39" s="8"/>
      <c r="FJB39" s="8"/>
      <c r="FJC39" s="8"/>
      <c r="FJD39" s="8"/>
      <c r="FJE39" s="8"/>
      <c r="FJF39" s="8"/>
      <c r="FJG39" s="8"/>
      <c r="FJH39" s="8"/>
      <c r="FJI39" s="8"/>
      <c r="FJJ39" s="8"/>
      <c r="FJK39" s="8"/>
      <c r="FJL39" s="8"/>
      <c r="FJM39" s="8"/>
      <c r="FJN39" s="8"/>
      <c r="FJO39" s="8"/>
      <c r="FJP39" s="8"/>
      <c r="FJQ39" s="8"/>
      <c r="FJR39" s="8"/>
      <c r="FJS39" s="8"/>
      <c r="FJT39" s="8"/>
      <c r="FJU39" s="8"/>
      <c r="FJV39" s="8"/>
      <c r="FJW39" s="8"/>
      <c r="FJX39" s="8"/>
      <c r="FJY39" s="8"/>
      <c r="FJZ39" s="8"/>
      <c r="FKA39" s="8"/>
      <c r="FKB39" s="8"/>
      <c r="FKC39" s="8"/>
      <c r="FKD39" s="8"/>
      <c r="FKE39" s="8"/>
      <c r="FKF39" s="8"/>
      <c r="FKG39" s="8"/>
      <c r="FKH39" s="8"/>
      <c r="FKI39" s="8"/>
      <c r="FKJ39" s="8"/>
      <c r="FKK39" s="8"/>
      <c r="FKL39" s="8"/>
      <c r="FKM39" s="8"/>
      <c r="FKN39" s="8"/>
      <c r="FKO39" s="8"/>
      <c r="FKP39" s="8"/>
      <c r="FKQ39" s="8"/>
      <c r="FKR39" s="8"/>
      <c r="FKS39" s="8"/>
      <c r="FKT39" s="8"/>
      <c r="FKU39" s="8"/>
      <c r="FKV39" s="8"/>
      <c r="FKW39" s="8"/>
      <c r="FKX39" s="8"/>
      <c r="FKY39" s="8"/>
      <c r="FKZ39" s="8"/>
      <c r="FLA39" s="8"/>
      <c r="FLB39" s="8"/>
      <c r="FLC39" s="8"/>
      <c r="FLD39" s="8"/>
      <c r="FLE39" s="8"/>
      <c r="FLF39" s="8"/>
      <c r="FLG39" s="8"/>
      <c r="FLH39" s="8"/>
      <c r="FLI39" s="8"/>
      <c r="FLJ39" s="8"/>
      <c r="FLK39" s="8"/>
      <c r="FLL39" s="8"/>
      <c r="FLM39" s="8"/>
      <c r="FLN39" s="8"/>
      <c r="FLO39" s="8"/>
      <c r="FLP39" s="8"/>
      <c r="FLQ39" s="8"/>
      <c r="FLR39" s="8"/>
      <c r="FLS39" s="8"/>
      <c r="FLT39" s="8"/>
      <c r="FLU39" s="8"/>
      <c r="FLV39" s="8"/>
      <c r="FLW39" s="8"/>
      <c r="FLX39" s="8"/>
      <c r="FLY39" s="8"/>
      <c r="FLZ39" s="8"/>
      <c r="FMA39" s="8"/>
      <c r="FMB39" s="8"/>
      <c r="FMC39" s="8"/>
      <c r="FMD39" s="8"/>
      <c r="FME39" s="8"/>
      <c r="FMF39" s="8"/>
      <c r="FMG39" s="8"/>
      <c r="FMH39" s="8"/>
      <c r="FMI39" s="8"/>
      <c r="FMJ39" s="8"/>
      <c r="FMK39" s="8"/>
      <c r="FML39" s="8"/>
      <c r="FMM39" s="8"/>
      <c r="FMN39" s="8"/>
      <c r="FMO39" s="8"/>
      <c r="FMP39" s="8"/>
      <c r="FMQ39" s="8"/>
      <c r="FMR39" s="8"/>
      <c r="FMS39" s="8"/>
      <c r="FMT39" s="8"/>
      <c r="FMU39" s="8"/>
      <c r="FMV39" s="8"/>
      <c r="FMW39" s="8"/>
      <c r="FMX39" s="8"/>
      <c r="FMY39" s="8"/>
      <c r="FMZ39" s="8"/>
      <c r="FNA39" s="8"/>
      <c r="FNB39" s="8"/>
      <c r="FNC39" s="8"/>
      <c r="FND39" s="8"/>
      <c r="FNE39" s="8"/>
      <c r="FNF39" s="8"/>
      <c r="FNG39" s="8"/>
      <c r="FNH39" s="8"/>
      <c r="FNI39" s="8"/>
      <c r="FNJ39" s="8"/>
      <c r="FNK39" s="8"/>
      <c r="FNL39" s="8"/>
      <c r="FNM39" s="8"/>
      <c r="FNN39" s="8"/>
      <c r="FNO39" s="8"/>
      <c r="FNP39" s="8"/>
      <c r="FNQ39" s="8"/>
      <c r="FNR39" s="8"/>
      <c r="FNS39" s="8"/>
      <c r="FNT39" s="8"/>
      <c r="FNU39" s="8"/>
      <c r="FNV39" s="8"/>
      <c r="FNW39" s="8"/>
      <c r="FNX39" s="8"/>
      <c r="FNY39" s="8"/>
      <c r="FNZ39" s="8"/>
      <c r="FOA39" s="8"/>
      <c r="FOB39" s="8"/>
      <c r="FOC39" s="8"/>
      <c r="FOD39" s="8"/>
      <c r="FOE39" s="8"/>
      <c r="FOF39" s="8"/>
      <c r="FOG39" s="8"/>
      <c r="FOH39" s="8"/>
      <c r="FOI39" s="8"/>
      <c r="FOJ39" s="8"/>
      <c r="FOK39" s="8"/>
      <c r="FOL39" s="8"/>
      <c r="FOM39" s="8"/>
      <c r="FON39" s="8"/>
      <c r="FOO39" s="8"/>
      <c r="FOP39" s="8"/>
      <c r="FOQ39" s="8"/>
      <c r="FOR39" s="8"/>
      <c r="FOS39" s="8"/>
      <c r="FOT39" s="8"/>
      <c r="FOU39" s="8"/>
      <c r="FOV39" s="8"/>
      <c r="FOW39" s="8"/>
      <c r="FOX39" s="8"/>
      <c r="FOY39" s="8"/>
      <c r="FOZ39" s="8"/>
      <c r="FPA39" s="8"/>
      <c r="FPB39" s="8"/>
      <c r="FPC39" s="8"/>
      <c r="FPD39" s="8"/>
      <c r="FPE39" s="8"/>
      <c r="FPF39" s="8"/>
      <c r="FPG39" s="8"/>
      <c r="FPH39" s="8"/>
      <c r="FPI39" s="8"/>
      <c r="FPJ39" s="8"/>
      <c r="FPK39" s="8"/>
      <c r="FPL39" s="8"/>
      <c r="FPM39" s="8"/>
      <c r="FPN39" s="8"/>
      <c r="FPO39" s="8"/>
      <c r="FPP39" s="8"/>
      <c r="FPQ39" s="8"/>
      <c r="FPR39" s="8"/>
      <c r="FPS39" s="8"/>
      <c r="FPT39" s="8"/>
      <c r="FPU39" s="8"/>
      <c r="FPV39" s="8"/>
      <c r="FPW39" s="8"/>
      <c r="FPX39" s="8"/>
      <c r="FPY39" s="8"/>
      <c r="FPZ39" s="8"/>
      <c r="FQA39" s="8"/>
      <c r="FQB39" s="8"/>
      <c r="FQC39" s="8"/>
      <c r="FQD39" s="8"/>
      <c r="FQE39" s="8"/>
      <c r="FQF39" s="8"/>
      <c r="FQG39" s="8"/>
      <c r="FQH39" s="8"/>
      <c r="FQI39" s="8"/>
      <c r="FQJ39" s="8"/>
      <c r="FQK39" s="8"/>
      <c r="FQL39" s="8"/>
      <c r="FQM39" s="8"/>
      <c r="FQN39" s="8"/>
      <c r="FQO39" s="8"/>
      <c r="FQP39" s="8"/>
      <c r="FQQ39" s="8"/>
      <c r="FQR39" s="8"/>
      <c r="FQS39" s="8"/>
      <c r="FQT39" s="8"/>
      <c r="FQU39" s="8"/>
      <c r="FQV39" s="8"/>
      <c r="FQW39" s="8"/>
      <c r="FQX39" s="8"/>
      <c r="FQY39" s="8"/>
      <c r="FQZ39" s="8"/>
      <c r="FRA39" s="8"/>
      <c r="FRB39" s="8"/>
      <c r="FRC39" s="8"/>
      <c r="FRD39" s="8"/>
      <c r="FRE39" s="8"/>
      <c r="FRF39" s="8"/>
      <c r="FRG39" s="8"/>
      <c r="FRH39" s="8"/>
      <c r="FRI39" s="8"/>
      <c r="FRJ39" s="8"/>
      <c r="FRK39" s="8"/>
      <c r="FRL39" s="8"/>
      <c r="FRM39" s="8"/>
      <c r="FRN39" s="8"/>
      <c r="FRO39" s="8"/>
      <c r="FRP39" s="8"/>
      <c r="FRQ39" s="8"/>
      <c r="FRR39" s="8"/>
      <c r="FRS39" s="8"/>
      <c r="FRT39" s="8"/>
      <c r="FRU39" s="8"/>
      <c r="FRV39" s="8"/>
      <c r="FRW39" s="8"/>
      <c r="FRX39" s="8"/>
      <c r="FRY39" s="8"/>
      <c r="FRZ39" s="8"/>
      <c r="FSA39" s="8"/>
      <c r="FSB39" s="8"/>
      <c r="FSC39" s="8"/>
      <c r="FSD39" s="8"/>
      <c r="FSE39" s="8"/>
      <c r="FSF39" s="8"/>
      <c r="FSG39" s="8"/>
      <c r="FSH39" s="8"/>
      <c r="FSI39" s="8"/>
      <c r="FSJ39" s="8"/>
      <c r="FSK39" s="8"/>
      <c r="FSL39" s="8"/>
      <c r="FSM39" s="8"/>
      <c r="FSN39" s="8"/>
      <c r="FSO39" s="8"/>
      <c r="FSP39" s="8"/>
      <c r="FSQ39" s="8"/>
      <c r="FSR39" s="8"/>
      <c r="FSS39" s="8"/>
      <c r="FST39" s="8"/>
      <c r="FSU39" s="8"/>
      <c r="FSV39" s="8"/>
      <c r="FSW39" s="8"/>
      <c r="FSX39" s="8"/>
      <c r="FSY39" s="8"/>
      <c r="FSZ39" s="8"/>
      <c r="FTA39" s="8"/>
      <c r="FTB39" s="8"/>
      <c r="FTC39" s="8"/>
      <c r="FTD39" s="8"/>
      <c r="FTE39" s="8"/>
      <c r="FTF39" s="8"/>
      <c r="FTG39" s="8"/>
      <c r="FTH39" s="8"/>
      <c r="FTI39" s="8"/>
      <c r="FTJ39" s="8"/>
      <c r="FTK39" s="8"/>
      <c r="FTL39" s="8"/>
      <c r="FTM39" s="8"/>
      <c r="FTN39" s="8"/>
      <c r="FTO39" s="8"/>
      <c r="FTP39" s="8"/>
      <c r="FTQ39" s="8"/>
      <c r="FTR39" s="8"/>
      <c r="FTS39" s="8"/>
      <c r="FTT39" s="8"/>
      <c r="FTU39" s="8"/>
      <c r="FTV39" s="8"/>
      <c r="FTW39" s="8"/>
      <c r="FTX39" s="8"/>
      <c r="FTY39" s="8"/>
      <c r="FTZ39" s="8"/>
      <c r="FUA39" s="8"/>
      <c r="FUB39" s="8"/>
      <c r="FUC39" s="8"/>
      <c r="FUD39" s="8"/>
      <c r="FUE39" s="8"/>
      <c r="FUF39" s="8"/>
      <c r="FUG39" s="8"/>
      <c r="FUH39" s="8"/>
      <c r="FUI39" s="8"/>
      <c r="FUJ39" s="8"/>
      <c r="FUK39" s="8"/>
      <c r="FUL39" s="8"/>
      <c r="FUM39" s="8"/>
      <c r="FUN39" s="8"/>
      <c r="FUO39" s="8"/>
      <c r="FUP39" s="8"/>
      <c r="FUQ39" s="8"/>
      <c r="FUR39" s="8"/>
      <c r="FUS39" s="8"/>
      <c r="FUT39" s="8"/>
      <c r="FUU39" s="8"/>
      <c r="FUV39" s="8"/>
      <c r="FUW39" s="8"/>
      <c r="FUX39" s="8"/>
      <c r="FUY39" s="8"/>
      <c r="FUZ39" s="8"/>
      <c r="FVA39" s="8"/>
      <c r="FVB39" s="8"/>
      <c r="FVC39" s="8"/>
      <c r="FVD39" s="8"/>
      <c r="FVE39" s="8"/>
      <c r="FVF39" s="8"/>
      <c r="FVG39" s="8"/>
      <c r="FVH39" s="8"/>
      <c r="FVI39" s="8"/>
      <c r="FVJ39" s="8"/>
      <c r="FVK39" s="8"/>
      <c r="FVL39" s="8"/>
      <c r="FVM39" s="8"/>
      <c r="FVN39" s="8"/>
      <c r="FVO39" s="8"/>
      <c r="FVP39" s="8"/>
      <c r="FVQ39" s="8"/>
      <c r="FVR39" s="8"/>
      <c r="FVS39" s="8"/>
      <c r="FVT39" s="8"/>
      <c r="FVU39" s="8"/>
      <c r="FVV39" s="8"/>
      <c r="FVW39" s="8"/>
      <c r="FVX39" s="8"/>
      <c r="FVY39" s="8"/>
      <c r="FVZ39" s="8"/>
      <c r="FWA39" s="8"/>
      <c r="FWB39" s="8"/>
      <c r="FWC39" s="8"/>
      <c r="FWD39" s="8"/>
      <c r="FWE39" s="8"/>
      <c r="FWF39" s="8"/>
      <c r="FWG39" s="8"/>
      <c r="FWH39" s="8"/>
      <c r="FWI39" s="8"/>
      <c r="FWJ39" s="8"/>
      <c r="FWK39" s="8"/>
      <c r="FWL39" s="8"/>
      <c r="FWM39" s="8"/>
      <c r="FWN39" s="8"/>
      <c r="FWO39" s="8"/>
      <c r="FWP39" s="8"/>
      <c r="FWQ39" s="8"/>
      <c r="FWR39" s="8"/>
      <c r="FWS39" s="8"/>
      <c r="FWT39" s="8"/>
      <c r="FWU39" s="8"/>
      <c r="FWV39" s="8"/>
      <c r="FWW39" s="8"/>
      <c r="FWX39" s="8"/>
      <c r="FWY39" s="8"/>
      <c r="FWZ39" s="8"/>
      <c r="FXA39" s="8"/>
      <c r="FXB39" s="8"/>
      <c r="FXC39" s="8"/>
      <c r="FXD39" s="8"/>
      <c r="FXE39" s="8"/>
      <c r="FXF39" s="8"/>
      <c r="FXG39" s="8"/>
      <c r="FXH39" s="8"/>
      <c r="FXI39" s="8"/>
      <c r="FXJ39" s="8"/>
      <c r="FXK39" s="8"/>
      <c r="FXL39" s="8"/>
      <c r="FXM39" s="8"/>
      <c r="FXN39" s="8"/>
      <c r="FXO39" s="8"/>
      <c r="FXP39" s="8"/>
      <c r="FXQ39" s="8"/>
      <c r="FXR39" s="8"/>
      <c r="FXS39" s="8"/>
      <c r="FXT39" s="8"/>
      <c r="FXU39" s="8"/>
      <c r="FXV39" s="8"/>
      <c r="FXW39" s="8"/>
      <c r="FXX39" s="8"/>
      <c r="FXY39" s="8"/>
      <c r="FXZ39" s="8"/>
      <c r="FYA39" s="8"/>
      <c r="FYB39" s="8"/>
      <c r="FYC39" s="8"/>
      <c r="FYD39" s="8"/>
      <c r="FYE39" s="8"/>
      <c r="FYF39" s="8"/>
      <c r="FYG39" s="8"/>
      <c r="FYH39" s="8"/>
      <c r="FYI39" s="8"/>
      <c r="FYJ39" s="8"/>
      <c r="FYK39" s="8"/>
      <c r="FYL39" s="8"/>
      <c r="FYM39" s="8"/>
      <c r="FYN39" s="8"/>
      <c r="FYO39" s="8"/>
      <c r="FYP39" s="8"/>
      <c r="FYQ39" s="8"/>
      <c r="FYR39" s="8"/>
      <c r="FYS39" s="8"/>
      <c r="FYT39" s="8"/>
      <c r="FYU39" s="8"/>
      <c r="FYV39" s="8"/>
      <c r="FYW39" s="8"/>
      <c r="FYX39" s="8"/>
      <c r="FYY39" s="8"/>
      <c r="FYZ39" s="8"/>
      <c r="FZA39" s="8"/>
      <c r="FZB39" s="8"/>
      <c r="FZC39" s="8"/>
      <c r="FZD39" s="8"/>
      <c r="FZE39" s="8"/>
      <c r="FZF39" s="8"/>
      <c r="FZG39" s="8"/>
      <c r="FZH39" s="8"/>
      <c r="FZI39" s="8"/>
      <c r="FZJ39" s="8"/>
      <c r="FZK39" s="8"/>
      <c r="FZL39" s="8"/>
      <c r="FZM39" s="8"/>
      <c r="FZN39" s="8"/>
      <c r="FZO39" s="8"/>
      <c r="FZP39" s="8"/>
      <c r="FZQ39" s="8"/>
      <c r="FZR39" s="8"/>
      <c r="FZS39" s="8"/>
      <c r="FZT39" s="8"/>
      <c r="FZU39" s="8"/>
      <c r="FZV39" s="8"/>
      <c r="FZW39" s="8"/>
      <c r="FZX39" s="8"/>
      <c r="FZY39" s="8"/>
      <c r="FZZ39" s="8"/>
      <c r="GAA39" s="8"/>
      <c r="GAB39" s="8"/>
      <c r="GAC39" s="8"/>
      <c r="GAD39" s="8"/>
      <c r="GAE39" s="8"/>
      <c r="GAF39" s="8"/>
      <c r="GAG39" s="8"/>
      <c r="GAH39" s="8"/>
      <c r="GAI39" s="8"/>
      <c r="GAJ39" s="8"/>
      <c r="GAK39" s="8"/>
      <c r="GAL39" s="8"/>
      <c r="GAM39" s="8"/>
      <c r="GAN39" s="8"/>
      <c r="GAO39" s="8"/>
      <c r="GAP39" s="8"/>
      <c r="GAQ39" s="8"/>
      <c r="GAR39" s="8"/>
      <c r="GAS39" s="8"/>
      <c r="GAT39" s="8"/>
      <c r="GAU39" s="8"/>
      <c r="GAV39" s="8"/>
      <c r="GAW39" s="8"/>
      <c r="GAX39" s="8"/>
      <c r="GAY39" s="8"/>
      <c r="GAZ39" s="8"/>
      <c r="GBA39" s="8"/>
      <c r="GBB39" s="8"/>
      <c r="GBC39" s="8"/>
      <c r="GBD39" s="8"/>
      <c r="GBE39" s="8"/>
      <c r="GBF39" s="8"/>
      <c r="GBG39" s="8"/>
      <c r="GBH39" s="8"/>
      <c r="GBI39" s="8"/>
      <c r="GBJ39" s="8"/>
      <c r="GBK39" s="8"/>
      <c r="GBL39" s="8"/>
      <c r="GBM39" s="8"/>
      <c r="GBN39" s="8"/>
      <c r="GBO39" s="8"/>
      <c r="GBP39" s="8"/>
      <c r="GBQ39" s="8"/>
      <c r="GBR39" s="8"/>
      <c r="GBS39" s="8"/>
      <c r="GBT39" s="8"/>
      <c r="GBU39" s="8"/>
      <c r="GBV39" s="8"/>
      <c r="GBW39" s="8"/>
      <c r="GBX39" s="8"/>
      <c r="GBY39" s="8"/>
      <c r="GBZ39" s="8"/>
      <c r="GCA39" s="8"/>
      <c r="GCB39" s="8"/>
      <c r="GCC39" s="8"/>
      <c r="GCD39" s="8"/>
      <c r="GCE39" s="8"/>
      <c r="GCF39" s="8"/>
      <c r="GCG39" s="8"/>
      <c r="GCH39" s="8"/>
      <c r="GCI39" s="8"/>
      <c r="GCJ39" s="8"/>
      <c r="GCK39" s="8"/>
      <c r="GCL39" s="8"/>
      <c r="GCM39" s="8"/>
      <c r="GCN39" s="8"/>
      <c r="GCO39" s="8"/>
      <c r="GCP39" s="8"/>
      <c r="GCQ39" s="8"/>
      <c r="GCR39" s="8"/>
      <c r="GCS39" s="8"/>
      <c r="GCT39" s="8"/>
      <c r="GCU39" s="8"/>
      <c r="GCV39" s="8"/>
      <c r="GCW39" s="8"/>
      <c r="GCX39" s="8"/>
      <c r="GCY39" s="8"/>
      <c r="GCZ39" s="8"/>
      <c r="GDA39" s="8"/>
      <c r="GDB39" s="8"/>
      <c r="GDC39" s="8"/>
      <c r="GDD39" s="8"/>
      <c r="GDE39" s="8"/>
      <c r="GDF39" s="8"/>
      <c r="GDG39" s="8"/>
      <c r="GDH39" s="8"/>
      <c r="GDI39" s="8"/>
      <c r="GDJ39" s="8"/>
      <c r="GDK39" s="8"/>
      <c r="GDL39" s="8"/>
      <c r="GDM39" s="8"/>
      <c r="GDN39" s="8"/>
      <c r="GDO39" s="8"/>
      <c r="GDP39" s="8"/>
      <c r="GDQ39" s="8"/>
      <c r="GDR39" s="8"/>
      <c r="GDS39" s="8"/>
      <c r="GDT39" s="8"/>
      <c r="GDU39" s="8"/>
      <c r="GDV39" s="8"/>
      <c r="GDW39" s="8"/>
      <c r="GDX39" s="8"/>
      <c r="GDY39" s="8"/>
      <c r="GDZ39" s="8"/>
      <c r="GEA39" s="8"/>
      <c r="GEB39" s="8"/>
      <c r="GEC39" s="8"/>
      <c r="GED39" s="8"/>
      <c r="GEE39" s="8"/>
      <c r="GEF39" s="8"/>
      <c r="GEG39" s="8"/>
      <c r="GEH39" s="8"/>
      <c r="GEI39" s="8"/>
      <c r="GEJ39" s="8"/>
      <c r="GEK39" s="8"/>
      <c r="GEL39" s="8"/>
      <c r="GEM39" s="8"/>
      <c r="GEN39" s="8"/>
      <c r="GEO39" s="8"/>
      <c r="GEP39" s="8"/>
      <c r="GEQ39" s="8"/>
      <c r="GER39" s="8"/>
      <c r="GES39" s="8"/>
      <c r="GET39" s="8"/>
      <c r="GEU39" s="8"/>
      <c r="GEV39" s="8"/>
      <c r="GEW39" s="8"/>
      <c r="GEX39" s="8"/>
      <c r="GEY39" s="8"/>
      <c r="GEZ39" s="8"/>
      <c r="GFA39" s="8"/>
      <c r="GFB39" s="8"/>
      <c r="GFC39" s="8"/>
      <c r="GFD39" s="8"/>
      <c r="GFE39" s="8"/>
      <c r="GFF39" s="8"/>
      <c r="GFG39" s="8"/>
      <c r="GFH39" s="8"/>
      <c r="GFI39" s="8"/>
      <c r="GFJ39" s="8"/>
      <c r="GFK39" s="8"/>
      <c r="GFL39" s="8"/>
      <c r="GFM39" s="8"/>
      <c r="GFN39" s="8"/>
      <c r="GFO39" s="8"/>
      <c r="GFP39" s="8"/>
      <c r="GFQ39" s="8"/>
      <c r="GFR39" s="8"/>
      <c r="GFS39" s="8"/>
      <c r="GFT39" s="8"/>
      <c r="GFU39" s="8"/>
      <c r="GFV39" s="8"/>
      <c r="GFW39" s="8"/>
      <c r="GFX39" s="8"/>
      <c r="GFY39" s="8"/>
      <c r="GFZ39" s="8"/>
      <c r="GGA39" s="8"/>
      <c r="GGB39" s="8"/>
      <c r="GGC39" s="8"/>
      <c r="GGD39" s="8"/>
      <c r="GGE39" s="8"/>
      <c r="GGF39" s="8"/>
      <c r="GGG39" s="8"/>
      <c r="GGH39" s="8"/>
      <c r="GGI39" s="8"/>
      <c r="GGJ39" s="8"/>
      <c r="GGK39" s="8"/>
      <c r="GGL39" s="8"/>
      <c r="GGM39" s="8"/>
      <c r="GGN39" s="8"/>
      <c r="GGO39" s="8"/>
      <c r="GGP39" s="8"/>
      <c r="GGQ39" s="8"/>
      <c r="GGR39" s="8"/>
      <c r="GGS39" s="8"/>
      <c r="GGT39" s="8"/>
      <c r="GGU39" s="8"/>
      <c r="GGV39" s="8"/>
      <c r="GGW39" s="8"/>
      <c r="GGX39" s="8"/>
      <c r="GGY39" s="8"/>
      <c r="GGZ39" s="8"/>
      <c r="GHA39" s="8"/>
      <c r="GHB39" s="8"/>
      <c r="GHC39" s="8"/>
      <c r="GHD39" s="8"/>
      <c r="GHE39" s="8"/>
      <c r="GHF39" s="8"/>
      <c r="GHG39" s="8"/>
      <c r="GHH39" s="8"/>
      <c r="GHI39" s="8"/>
      <c r="GHJ39" s="8"/>
      <c r="GHK39" s="8"/>
      <c r="GHL39" s="8"/>
      <c r="GHM39" s="8"/>
      <c r="GHN39" s="8"/>
      <c r="GHO39" s="8"/>
      <c r="GHP39" s="8"/>
      <c r="GHQ39" s="8"/>
      <c r="GHR39" s="8"/>
      <c r="GHS39" s="8"/>
      <c r="GHT39" s="8"/>
      <c r="GHU39" s="8"/>
      <c r="GHV39" s="8"/>
      <c r="GHW39" s="8"/>
      <c r="GHX39" s="8"/>
      <c r="GHY39" s="8"/>
      <c r="GHZ39" s="8"/>
      <c r="GIA39" s="8"/>
      <c r="GIB39" s="8"/>
      <c r="GIC39" s="8"/>
      <c r="GID39" s="8"/>
      <c r="GIE39" s="8"/>
      <c r="GIF39" s="8"/>
      <c r="GIG39" s="8"/>
      <c r="GIH39" s="8"/>
      <c r="GII39" s="8"/>
      <c r="GIJ39" s="8"/>
      <c r="GIK39" s="8"/>
      <c r="GIL39" s="8"/>
      <c r="GIM39" s="8"/>
      <c r="GIN39" s="8"/>
      <c r="GIO39" s="8"/>
      <c r="GIP39" s="8"/>
      <c r="GIQ39" s="8"/>
      <c r="GIR39" s="8"/>
      <c r="GIS39" s="8"/>
      <c r="GIT39" s="8"/>
      <c r="GIU39" s="8"/>
      <c r="GIV39" s="8"/>
      <c r="GIW39" s="8"/>
      <c r="GIX39" s="8"/>
      <c r="GIY39" s="8"/>
      <c r="GIZ39" s="8"/>
      <c r="GJA39" s="8"/>
      <c r="GJB39" s="8"/>
      <c r="GJC39" s="8"/>
      <c r="GJD39" s="8"/>
      <c r="GJE39" s="8"/>
      <c r="GJF39" s="8"/>
      <c r="GJG39" s="8"/>
      <c r="GJH39" s="8"/>
      <c r="GJI39" s="8"/>
      <c r="GJJ39" s="8"/>
      <c r="GJK39" s="8"/>
      <c r="GJL39" s="8"/>
      <c r="GJM39" s="8"/>
      <c r="GJN39" s="8"/>
      <c r="GJO39" s="8"/>
      <c r="GJP39" s="8"/>
      <c r="GJQ39" s="8"/>
      <c r="GJR39" s="8"/>
      <c r="GJS39" s="8"/>
      <c r="GJT39" s="8"/>
      <c r="GJU39" s="8"/>
      <c r="GJV39" s="8"/>
      <c r="GJW39" s="8"/>
      <c r="GJX39" s="8"/>
      <c r="GJY39" s="8"/>
      <c r="GJZ39" s="8"/>
      <c r="GKA39" s="8"/>
      <c r="GKB39" s="8"/>
      <c r="GKC39" s="8"/>
      <c r="GKD39" s="8"/>
      <c r="GKE39" s="8"/>
      <c r="GKF39" s="8"/>
      <c r="GKG39" s="8"/>
      <c r="GKH39" s="8"/>
      <c r="GKI39" s="8"/>
      <c r="GKJ39" s="8"/>
      <c r="GKK39" s="8"/>
      <c r="GKL39" s="8"/>
      <c r="GKM39" s="8"/>
      <c r="GKN39" s="8"/>
      <c r="GKO39" s="8"/>
      <c r="GKP39" s="8"/>
      <c r="GKQ39" s="8"/>
      <c r="GKR39" s="8"/>
      <c r="GKS39" s="8"/>
      <c r="GKT39" s="8"/>
      <c r="GKU39" s="8"/>
      <c r="GKV39" s="8"/>
      <c r="GKW39" s="8"/>
      <c r="GKX39" s="8"/>
      <c r="GKY39" s="8"/>
      <c r="GKZ39" s="8"/>
      <c r="GLA39" s="8"/>
      <c r="GLB39" s="8"/>
      <c r="GLC39" s="8"/>
      <c r="GLD39" s="8"/>
      <c r="GLE39" s="8"/>
      <c r="GLF39" s="8"/>
      <c r="GLG39" s="8"/>
      <c r="GLH39" s="8"/>
      <c r="GLI39" s="8"/>
      <c r="GLJ39" s="8"/>
      <c r="GLK39" s="8"/>
      <c r="GLL39" s="8"/>
      <c r="GLM39" s="8"/>
      <c r="GLN39" s="8"/>
      <c r="GLO39" s="8"/>
      <c r="GLP39" s="8"/>
      <c r="GLQ39" s="8"/>
      <c r="GLR39" s="8"/>
      <c r="GLS39" s="8"/>
      <c r="GLT39" s="8"/>
      <c r="GLU39" s="8"/>
      <c r="GLV39" s="8"/>
      <c r="GLW39" s="8"/>
      <c r="GLX39" s="8"/>
      <c r="GLY39" s="8"/>
      <c r="GLZ39" s="8"/>
      <c r="GMA39" s="8"/>
      <c r="GMB39" s="8"/>
      <c r="GMC39" s="8"/>
      <c r="GMD39" s="8"/>
      <c r="GME39" s="8"/>
      <c r="GMF39" s="8"/>
      <c r="GMG39" s="8"/>
      <c r="GMH39" s="8"/>
      <c r="GMI39" s="8"/>
      <c r="GMJ39" s="8"/>
      <c r="GMK39" s="8"/>
      <c r="GML39" s="8"/>
      <c r="GMM39" s="8"/>
      <c r="GMN39" s="8"/>
      <c r="GMO39" s="8"/>
      <c r="GMP39" s="8"/>
      <c r="GMQ39" s="8"/>
      <c r="GMR39" s="8"/>
      <c r="GMS39" s="8"/>
      <c r="GMT39" s="8"/>
      <c r="GMU39" s="8"/>
      <c r="GMV39" s="8"/>
      <c r="GMW39" s="8"/>
      <c r="GMX39" s="8"/>
      <c r="GMY39" s="8"/>
      <c r="GMZ39" s="8"/>
      <c r="GNA39" s="8"/>
      <c r="GNB39" s="8"/>
      <c r="GNC39" s="8"/>
      <c r="GND39" s="8"/>
      <c r="GNE39" s="8"/>
      <c r="GNF39" s="8"/>
      <c r="GNG39" s="8"/>
      <c r="GNH39" s="8"/>
      <c r="GNI39" s="8"/>
      <c r="GNJ39" s="8"/>
      <c r="GNK39" s="8"/>
      <c r="GNL39" s="8"/>
      <c r="GNM39" s="8"/>
      <c r="GNN39" s="8"/>
      <c r="GNO39" s="8"/>
      <c r="GNP39" s="8"/>
      <c r="GNQ39" s="8"/>
      <c r="GNR39" s="8"/>
      <c r="GNS39" s="8"/>
      <c r="GNT39" s="8"/>
      <c r="GNU39" s="8"/>
      <c r="GNV39" s="8"/>
      <c r="GNW39" s="8"/>
      <c r="GNX39" s="8"/>
      <c r="GNY39" s="8"/>
      <c r="GNZ39" s="8"/>
      <c r="GOA39" s="8"/>
      <c r="GOB39" s="8"/>
      <c r="GOC39" s="8"/>
      <c r="GOD39" s="8"/>
      <c r="GOE39" s="8"/>
      <c r="GOF39" s="8"/>
      <c r="GOG39" s="8"/>
      <c r="GOH39" s="8"/>
      <c r="GOI39" s="8"/>
      <c r="GOJ39" s="8"/>
      <c r="GOK39" s="8"/>
      <c r="GOL39" s="8"/>
      <c r="GOM39" s="8"/>
      <c r="GON39" s="8"/>
      <c r="GOO39" s="8"/>
      <c r="GOP39" s="8"/>
      <c r="GOQ39" s="8"/>
      <c r="GOR39" s="8"/>
      <c r="GOS39" s="8"/>
      <c r="GOT39" s="8"/>
      <c r="GOU39" s="8"/>
      <c r="GOV39" s="8"/>
      <c r="GOW39" s="8"/>
      <c r="GOX39" s="8"/>
      <c r="GOY39" s="8"/>
      <c r="GOZ39" s="8"/>
      <c r="GPA39" s="8"/>
      <c r="GPB39" s="8"/>
      <c r="GPC39" s="8"/>
      <c r="GPD39" s="8"/>
      <c r="GPE39" s="8"/>
      <c r="GPF39" s="8"/>
      <c r="GPG39" s="8"/>
      <c r="GPH39" s="8"/>
      <c r="GPI39" s="8"/>
      <c r="GPJ39" s="8"/>
      <c r="GPK39" s="8"/>
      <c r="GPL39" s="8"/>
      <c r="GPM39" s="8"/>
      <c r="GPN39" s="8"/>
      <c r="GPO39" s="8"/>
      <c r="GPP39" s="8"/>
      <c r="GPQ39" s="8"/>
      <c r="GPR39" s="8"/>
      <c r="GPS39" s="8"/>
      <c r="GPT39" s="8"/>
      <c r="GPU39" s="8"/>
      <c r="GPV39" s="8"/>
      <c r="GPW39" s="8"/>
      <c r="GPX39" s="8"/>
      <c r="GPY39" s="8"/>
      <c r="GPZ39" s="8"/>
      <c r="GQA39" s="8"/>
      <c r="GQB39" s="8"/>
      <c r="GQC39" s="8"/>
      <c r="GQD39" s="8"/>
      <c r="GQE39" s="8"/>
      <c r="GQF39" s="8"/>
      <c r="GQG39" s="8"/>
      <c r="GQH39" s="8"/>
      <c r="GQI39" s="8"/>
      <c r="GQJ39" s="8"/>
      <c r="GQK39" s="8"/>
      <c r="GQL39" s="8"/>
      <c r="GQM39" s="8"/>
      <c r="GQN39" s="8"/>
      <c r="GQO39" s="8"/>
      <c r="GQP39" s="8"/>
      <c r="GQQ39" s="8"/>
      <c r="GQR39" s="8"/>
      <c r="GQS39" s="8"/>
      <c r="GQT39" s="8"/>
      <c r="GQU39" s="8"/>
      <c r="GQV39" s="8"/>
      <c r="GQW39" s="8"/>
      <c r="GQX39" s="8"/>
      <c r="GQY39" s="8"/>
      <c r="GQZ39" s="8"/>
      <c r="GRA39" s="8"/>
      <c r="GRB39" s="8"/>
      <c r="GRC39" s="8"/>
      <c r="GRD39" s="8"/>
      <c r="GRE39" s="8"/>
      <c r="GRF39" s="8"/>
      <c r="GRG39" s="8"/>
      <c r="GRH39" s="8"/>
      <c r="GRI39" s="8"/>
      <c r="GRJ39" s="8"/>
      <c r="GRK39" s="8"/>
      <c r="GRL39" s="8"/>
      <c r="GRM39" s="8"/>
      <c r="GRN39" s="8"/>
      <c r="GRO39" s="8"/>
      <c r="GRP39" s="8"/>
      <c r="GRQ39" s="8"/>
      <c r="GRR39" s="8"/>
      <c r="GRS39" s="8"/>
      <c r="GRT39" s="8"/>
      <c r="GRU39" s="8"/>
      <c r="GRV39" s="8"/>
      <c r="GRW39" s="8"/>
      <c r="GRX39" s="8"/>
      <c r="GRY39" s="8"/>
      <c r="GRZ39" s="8"/>
      <c r="GSA39" s="8"/>
      <c r="GSB39" s="8"/>
      <c r="GSC39" s="8"/>
      <c r="GSD39" s="8"/>
      <c r="GSE39" s="8"/>
      <c r="GSF39" s="8"/>
      <c r="GSG39" s="8"/>
      <c r="GSH39" s="8"/>
      <c r="GSI39" s="8"/>
      <c r="GSJ39" s="8"/>
      <c r="GSK39" s="8"/>
      <c r="GSL39" s="8"/>
      <c r="GSM39" s="8"/>
      <c r="GSN39" s="8"/>
      <c r="GSO39" s="8"/>
      <c r="GSP39" s="8"/>
      <c r="GSQ39" s="8"/>
      <c r="GSR39" s="8"/>
      <c r="GSS39" s="8"/>
      <c r="GST39" s="8"/>
      <c r="GSU39" s="8"/>
      <c r="GSV39" s="8"/>
      <c r="GSW39" s="8"/>
      <c r="GSX39" s="8"/>
      <c r="GSY39" s="8"/>
      <c r="GSZ39" s="8"/>
      <c r="GTA39" s="8"/>
      <c r="GTB39" s="8"/>
      <c r="GTC39" s="8"/>
      <c r="GTD39" s="8"/>
      <c r="GTE39" s="8"/>
      <c r="GTF39" s="8"/>
      <c r="GTG39" s="8"/>
      <c r="GTH39" s="8"/>
      <c r="GTI39" s="8"/>
      <c r="GTJ39" s="8"/>
      <c r="GTK39" s="8"/>
      <c r="GTL39" s="8"/>
      <c r="GTM39" s="8"/>
      <c r="GTN39" s="8"/>
      <c r="GTO39" s="8"/>
      <c r="GTP39" s="8"/>
      <c r="GTQ39" s="8"/>
      <c r="GTR39" s="8"/>
      <c r="GTS39" s="8"/>
      <c r="GTT39" s="8"/>
      <c r="GTU39" s="8"/>
      <c r="GTV39" s="8"/>
      <c r="GTW39" s="8"/>
      <c r="GTX39" s="8"/>
      <c r="GTY39" s="8"/>
      <c r="GTZ39" s="8"/>
      <c r="GUA39" s="8"/>
      <c r="GUB39" s="8"/>
      <c r="GUC39" s="8"/>
      <c r="GUD39" s="8"/>
      <c r="GUE39" s="8"/>
      <c r="GUF39" s="8"/>
      <c r="GUG39" s="8"/>
      <c r="GUH39" s="8"/>
      <c r="GUI39" s="8"/>
      <c r="GUJ39" s="8"/>
      <c r="GUK39" s="8"/>
      <c r="GUL39" s="8"/>
      <c r="GUM39" s="8"/>
      <c r="GUN39" s="8"/>
      <c r="GUO39" s="8"/>
      <c r="GUP39" s="8"/>
      <c r="GUQ39" s="8"/>
      <c r="GUR39" s="8"/>
      <c r="GUS39" s="8"/>
      <c r="GUT39" s="8"/>
      <c r="GUU39" s="8"/>
      <c r="GUV39" s="8"/>
      <c r="GUW39" s="8"/>
      <c r="GUX39" s="8"/>
      <c r="GUY39" s="8"/>
      <c r="GUZ39" s="8"/>
      <c r="GVA39" s="8"/>
      <c r="GVB39" s="8"/>
      <c r="GVC39" s="8"/>
      <c r="GVD39" s="8"/>
      <c r="GVE39" s="8"/>
      <c r="GVF39" s="8"/>
      <c r="GVG39" s="8"/>
      <c r="GVH39" s="8"/>
      <c r="GVI39" s="8"/>
      <c r="GVJ39" s="8"/>
      <c r="GVK39" s="8"/>
      <c r="GVL39" s="8"/>
      <c r="GVM39" s="8"/>
      <c r="GVN39" s="8"/>
      <c r="GVO39" s="8"/>
      <c r="GVP39" s="8"/>
      <c r="GVQ39" s="8"/>
      <c r="GVR39" s="8"/>
      <c r="GVS39" s="8"/>
      <c r="GVT39" s="8"/>
      <c r="GVU39" s="8"/>
      <c r="GVV39" s="8"/>
      <c r="GVW39" s="8"/>
      <c r="GVX39" s="8"/>
      <c r="GVY39" s="8"/>
      <c r="GVZ39" s="8"/>
      <c r="GWA39" s="8"/>
      <c r="GWB39" s="8"/>
      <c r="GWC39" s="8"/>
      <c r="GWD39" s="8"/>
      <c r="GWE39" s="8"/>
      <c r="GWF39" s="8"/>
      <c r="GWG39" s="8"/>
      <c r="GWH39" s="8"/>
      <c r="GWI39" s="8"/>
      <c r="GWJ39" s="8"/>
      <c r="GWK39" s="8"/>
      <c r="GWL39" s="8"/>
      <c r="GWM39" s="8"/>
      <c r="GWN39" s="8"/>
      <c r="GWO39" s="8"/>
      <c r="GWP39" s="8"/>
      <c r="GWQ39" s="8"/>
      <c r="GWR39" s="8"/>
      <c r="GWS39" s="8"/>
      <c r="GWT39" s="8"/>
      <c r="GWU39" s="8"/>
      <c r="GWV39" s="8"/>
      <c r="GWW39" s="8"/>
      <c r="GWX39" s="8"/>
      <c r="GWY39" s="8"/>
      <c r="GWZ39" s="8"/>
      <c r="GXA39" s="8"/>
      <c r="GXB39" s="8"/>
      <c r="GXC39" s="8"/>
      <c r="GXD39" s="8"/>
      <c r="GXE39" s="8"/>
      <c r="GXF39" s="8"/>
      <c r="GXG39" s="8"/>
      <c r="GXH39" s="8"/>
      <c r="GXI39" s="8"/>
      <c r="GXJ39" s="8"/>
      <c r="GXK39" s="8"/>
      <c r="GXL39" s="8"/>
      <c r="GXM39" s="8"/>
      <c r="GXN39" s="8"/>
      <c r="GXO39" s="8"/>
      <c r="GXP39" s="8"/>
      <c r="GXQ39" s="8"/>
      <c r="GXR39" s="8"/>
      <c r="GXS39" s="8"/>
      <c r="GXT39" s="8"/>
      <c r="GXU39" s="8"/>
      <c r="GXV39" s="8"/>
      <c r="GXW39" s="8"/>
      <c r="GXX39" s="8"/>
      <c r="GXY39" s="8"/>
      <c r="GXZ39" s="8"/>
      <c r="GYA39" s="8"/>
      <c r="GYB39" s="8"/>
      <c r="GYC39" s="8"/>
      <c r="GYD39" s="8"/>
      <c r="GYE39" s="8"/>
      <c r="GYF39" s="8"/>
      <c r="GYG39" s="8"/>
      <c r="GYH39" s="8"/>
      <c r="GYI39" s="8"/>
      <c r="GYJ39" s="8"/>
      <c r="GYK39" s="8"/>
      <c r="GYL39" s="8"/>
      <c r="GYM39" s="8"/>
      <c r="GYN39" s="8"/>
      <c r="GYO39" s="8"/>
      <c r="GYP39" s="8"/>
      <c r="GYQ39" s="8"/>
      <c r="GYR39" s="8"/>
      <c r="GYS39" s="8"/>
      <c r="GYT39" s="8"/>
      <c r="GYU39" s="8"/>
      <c r="GYV39" s="8"/>
      <c r="GYW39" s="8"/>
      <c r="GYX39" s="8"/>
      <c r="GYY39" s="8"/>
      <c r="GYZ39" s="8"/>
      <c r="GZA39" s="8"/>
      <c r="GZB39" s="8"/>
      <c r="GZC39" s="8"/>
      <c r="GZD39" s="8"/>
      <c r="GZE39" s="8"/>
      <c r="GZF39" s="8"/>
      <c r="GZG39" s="8"/>
      <c r="GZH39" s="8"/>
      <c r="GZI39" s="8"/>
      <c r="GZJ39" s="8"/>
      <c r="GZK39" s="8"/>
      <c r="GZL39" s="8"/>
      <c r="GZM39" s="8"/>
      <c r="GZN39" s="8"/>
      <c r="GZO39" s="8"/>
      <c r="GZP39" s="8"/>
      <c r="GZQ39" s="8"/>
      <c r="GZR39" s="8"/>
      <c r="GZS39" s="8"/>
      <c r="GZT39" s="8"/>
      <c r="GZU39" s="8"/>
      <c r="GZV39" s="8"/>
      <c r="GZW39" s="8"/>
      <c r="GZX39" s="8"/>
      <c r="GZY39" s="8"/>
      <c r="GZZ39" s="8"/>
      <c r="HAA39" s="8"/>
      <c r="HAB39" s="8"/>
      <c r="HAC39" s="8"/>
      <c r="HAD39" s="8"/>
      <c r="HAE39" s="8"/>
      <c r="HAF39" s="8"/>
      <c r="HAG39" s="8"/>
      <c r="HAH39" s="8"/>
      <c r="HAI39" s="8"/>
      <c r="HAJ39" s="8"/>
      <c r="HAK39" s="8"/>
      <c r="HAL39" s="8"/>
      <c r="HAM39" s="8"/>
      <c r="HAN39" s="8"/>
      <c r="HAO39" s="8"/>
      <c r="HAP39" s="8"/>
      <c r="HAQ39" s="8"/>
      <c r="HAR39" s="8"/>
      <c r="HAS39" s="8"/>
      <c r="HAT39" s="8"/>
      <c r="HAU39" s="8"/>
      <c r="HAV39" s="8"/>
      <c r="HAW39" s="8"/>
      <c r="HAX39" s="8"/>
      <c r="HAY39" s="8"/>
      <c r="HAZ39" s="8"/>
      <c r="HBA39" s="8"/>
      <c r="HBB39" s="8"/>
      <c r="HBC39" s="8"/>
      <c r="HBD39" s="8"/>
      <c r="HBE39" s="8"/>
      <c r="HBF39" s="8"/>
      <c r="HBG39" s="8"/>
      <c r="HBH39" s="8"/>
      <c r="HBI39" s="8"/>
      <c r="HBJ39" s="8"/>
      <c r="HBK39" s="8"/>
      <c r="HBL39" s="8"/>
      <c r="HBM39" s="8"/>
      <c r="HBN39" s="8"/>
      <c r="HBO39" s="8"/>
      <c r="HBP39" s="8"/>
      <c r="HBQ39" s="8"/>
      <c r="HBR39" s="8"/>
      <c r="HBS39" s="8"/>
      <c r="HBT39" s="8"/>
      <c r="HBU39" s="8"/>
      <c r="HBV39" s="8"/>
      <c r="HBW39" s="8"/>
      <c r="HBX39" s="8"/>
      <c r="HBY39" s="8"/>
      <c r="HBZ39" s="8"/>
      <c r="HCA39" s="8"/>
      <c r="HCB39" s="8"/>
      <c r="HCC39" s="8"/>
      <c r="HCD39" s="8"/>
      <c r="HCE39" s="8"/>
      <c r="HCF39" s="8"/>
      <c r="HCG39" s="8"/>
      <c r="HCH39" s="8"/>
      <c r="HCI39" s="8"/>
      <c r="HCJ39" s="8"/>
      <c r="HCK39" s="8"/>
      <c r="HCL39" s="8"/>
      <c r="HCM39" s="8"/>
      <c r="HCN39" s="8"/>
      <c r="HCO39" s="8"/>
      <c r="HCP39" s="8"/>
      <c r="HCQ39" s="8"/>
      <c r="HCR39" s="8"/>
      <c r="HCS39" s="8"/>
      <c r="HCT39" s="8"/>
      <c r="HCU39" s="8"/>
      <c r="HCV39" s="8"/>
      <c r="HCW39" s="8"/>
      <c r="HCX39" s="8"/>
      <c r="HCY39" s="8"/>
      <c r="HCZ39" s="8"/>
      <c r="HDA39" s="8"/>
      <c r="HDB39" s="8"/>
      <c r="HDC39" s="8"/>
      <c r="HDD39" s="8"/>
      <c r="HDE39" s="8"/>
      <c r="HDF39" s="8"/>
      <c r="HDG39" s="8"/>
      <c r="HDH39" s="8"/>
      <c r="HDI39" s="8"/>
      <c r="HDJ39" s="8"/>
      <c r="HDK39" s="8"/>
      <c r="HDL39" s="8"/>
      <c r="HDM39" s="8"/>
      <c r="HDN39" s="8"/>
      <c r="HDO39" s="8"/>
      <c r="HDP39" s="8"/>
      <c r="HDQ39" s="8"/>
      <c r="HDR39" s="8"/>
      <c r="HDS39" s="8"/>
      <c r="HDT39" s="8"/>
      <c r="HDU39" s="8"/>
      <c r="HDV39" s="8"/>
      <c r="HDW39" s="8"/>
      <c r="HDX39" s="8"/>
      <c r="HDY39" s="8"/>
      <c r="HDZ39" s="8"/>
      <c r="HEA39" s="8"/>
      <c r="HEB39" s="8"/>
      <c r="HEC39" s="8"/>
      <c r="HED39" s="8"/>
      <c r="HEE39" s="8"/>
      <c r="HEF39" s="8"/>
      <c r="HEG39" s="8"/>
      <c r="HEH39" s="8"/>
      <c r="HEI39" s="8"/>
      <c r="HEJ39" s="8"/>
      <c r="HEK39" s="8"/>
      <c r="HEL39" s="8"/>
      <c r="HEM39" s="8"/>
      <c r="HEN39" s="8"/>
      <c r="HEO39" s="8"/>
      <c r="HEP39" s="8"/>
      <c r="HEQ39" s="8"/>
      <c r="HER39" s="8"/>
      <c r="HES39" s="8"/>
      <c r="HET39" s="8"/>
      <c r="HEU39" s="8"/>
      <c r="HEV39" s="8"/>
      <c r="HEW39" s="8"/>
      <c r="HEX39" s="8"/>
      <c r="HEY39" s="8"/>
      <c r="HEZ39" s="8"/>
      <c r="HFA39" s="8"/>
      <c r="HFB39" s="8"/>
      <c r="HFC39" s="8"/>
      <c r="HFD39" s="8"/>
      <c r="HFE39" s="8"/>
      <c r="HFF39" s="8"/>
      <c r="HFG39" s="8"/>
      <c r="HFH39" s="8"/>
      <c r="HFI39" s="8"/>
      <c r="HFJ39" s="8"/>
      <c r="HFK39" s="8"/>
      <c r="HFL39" s="8"/>
      <c r="HFM39" s="8"/>
      <c r="HFN39" s="8"/>
      <c r="HFO39" s="8"/>
      <c r="HFP39" s="8"/>
      <c r="HFQ39" s="8"/>
      <c r="HFR39" s="8"/>
      <c r="HFS39" s="8"/>
      <c r="HFT39" s="8"/>
      <c r="HFU39" s="8"/>
      <c r="HFV39" s="8"/>
      <c r="HFW39" s="8"/>
      <c r="HFX39" s="8"/>
      <c r="HFY39" s="8"/>
      <c r="HFZ39" s="8"/>
      <c r="HGA39" s="8"/>
      <c r="HGB39" s="8"/>
      <c r="HGC39" s="8"/>
      <c r="HGD39" s="8"/>
      <c r="HGE39" s="8"/>
      <c r="HGF39" s="8"/>
      <c r="HGG39" s="8"/>
      <c r="HGH39" s="8"/>
      <c r="HGI39" s="8"/>
      <c r="HGJ39" s="8"/>
      <c r="HGK39" s="8"/>
      <c r="HGL39" s="8"/>
      <c r="HGM39" s="8"/>
      <c r="HGN39" s="8"/>
      <c r="HGO39" s="8"/>
      <c r="HGP39" s="8"/>
      <c r="HGQ39" s="8"/>
      <c r="HGR39" s="8"/>
      <c r="HGS39" s="8"/>
      <c r="HGT39" s="8"/>
      <c r="HGU39" s="8"/>
      <c r="HGV39" s="8"/>
      <c r="HGW39" s="8"/>
      <c r="HGX39" s="8"/>
      <c r="HGY39" s="8"/>
      <c r="HGZ39" s="8"/>
      <c r="HHA39" s="8"/>
      <c r="HHB39" s="8"/>
      <c r="HHC39" s="8"/>
      <c r="HHD39" s="8"/>
      <c r="HHE39" s="8"/>
      <c r="HHF39" s="8"/>
      <c r="HHG39" s="8"/>
      <c r="HHH39" s="8"/>
      <c r="HHI39" s="8"/>
      <c r="HHJ39" s="8"/>
      <c r="HHK39" s="8"/>
      <c r="HHL39" s="8"/>
      <c r="HHM39" s="8"/>
      <c r="HHN39" s="8"/>
      <c r="HHO39" s="8"/>
      <c r="HHP39" s="8"/>
      <c r="HHQ39" s="8"/>
      <c r="HHR39" s="8"/>
      <c r="HHS39" s="8"/>
      <c r="HHT39" s="8"/>
      <c r="HHU39" s="8"/>
      <c r="HHV39" s="8"/>
      <c r="HHW39" s="8"/>
      <c r="HHX39" s="8"/>
      <c r="HHY39" s="8"/>
      <c r="HHZ39" s="8"/>
      <c r="HIA39" s="8"/>
      <c r="HIB39" s="8"/>
      <c r="HIC39" s="8"/>
      <c r="HID39" s="8"/>
      <c r="HIE39" s="8"/>
      <c r="HIF39" s="8"/>
      <c r="HIG39" s="8"/>
      <c r="HIH39" s="8"/>
      <c r="HII39" s="8"/>
      <c r="HIJ39" s="8"/>
      <c r="HIK39" s="8"/>
      <c r="HIL39" s="8"/>
      <c r="HIM39" s="8"/>
      <c r="HIN39" s="8"/>
      <c r="HIO39" s="8"/>
      <c r="HIP39" s="8"/>
      <c r="HIQ39" s="8"/>
      <c r="HIR39" s="8"/>
      <c r="HIS39" s="8"/>
      <c r="HIT39" s="8"/>
      <c r="HIU39" s="8"/>
      <c r="HIV39" s="8"/>
      <c r="HIW39" s="8"/>
      <c r="HIX39" s="8"/>
      <c r="HIY39" s="8"/>
      <c r="HIZ39" s="8"/>
      <c r="HJA39" s="8"/>
      <c r="HJB39" s="8"/>
      <c r="HJC39" s="8"/>
      <c r="HJD39" s="8"/>
      <c r="HJE39" s="8"/>
      <c r="HJF39" s="8"/>
      <c r="HJG39" s="8"/>
      <c r="HJH39" s="8"/>
      <c r="HJI39" s="8"/>
      <c r="HJJ39" s="8"/>
      <c r="HJK39" s="8"/>
      <c r="HJL39" s="8"/>
      <c r="HJM39" s="8"/>
      <c r="HJN39" s="8"/>
      <c r="HJO39" s="8"/>
      <c r="HJP39" s="8"/>
      <c r="HJQ39" s="8"/>
      <c r="HJR39" s="8"/>
      <c r="HJS39" s="8"/>
      <c r="HJT39" s="8"/>
      <c r="HJU39" s="8"/>
      <c r="HJV39" s="8"/>
      <c r="HJW39" s="8"/>
      <c r="HJX39" s="8"/>
      <c r="HJY39" s="8"/>
      <c r="HJZ39" s="8"/>
      <c r="HKA39" s="8"/>
      <c r="HKB39" s="8"/>
      <c r="HKC39" s="8"/>
      <c r="HKD39" s="8"/>
      <c r="HKE39" s="8"/>
      <c r="HKF39" s="8"/>
      <c r="HKG39" s="8"/>
      <c r="HKH39" s="8"/>
      <c r="HKI39" s="8"/>
      <c r="HKJ39" s="8"/>
      <c r="HKK39" s="8"/>
      <c r="HKL39" s="8"/>
      <c r="HKM39" s="8"/>
      <c r="HKN39" s="8"/>
      <c r="HKO39" s="8"/>
      <c r="HKP39" s="8"/>
      <c r="HKQ39" s="8"/>
      <c r="HKR39" s="8"/>
      <c r="HKS39" s="8"/>
      <c r="HKT39" s="8"/>
      <c r="HKU39" s="8"/>
      <c r="HKV39" s="8"/>
      <c r="HKW39" s="8"/>
      <c r="HKX39" s="8"/>
      <c r="HKY39" s="8"/>
      <c r="HKZ39" s="8"/>
      <c r="HLA39" s="8"/>
      <c r="HLB39" s="8"/>
      <c r="HLC39" s="8"/>
      <c r="HLD39" s="8"/>
      <c r="HLE39" s="8"/>
      <c r="HLF39" s="8"/>
      <c r="HLG39" s="8"/>
      <c r="HLH39" s="8"/>
      <c r="HLI39" s="8"/>
      <c r="HLJ39" s="8"/>
      <c r="HLK39" s="8"/>
      <c r="HLL39" s="8"/>
      <c r="HLM39" s="8"/>
      <c r="HLN39" s="8"/>
      <c r="HLO39" s="8"/>
      <c r="HLP39" s="8"/>
      <c r="HLQ39" s="8"/>
      <c r="HLR39" s="8"/>
      <c r="HLS39" s="8"/>
      <c r="HLT39" s="8"/>
      <c r="HLU39" s="8"/>
      <c r="HLV39" s="8"/>
      <c r="HLW39" s="8"/>
      <c r="HLX39" s="8"/>
      <c r="HLY39" s="8"/>
      <c r="HLZ39" s="8"/>
      <c r="HMA39" s="8"/>
      <c r="HMB39" s="8"/>
      <c r="HMC39" s="8"/>
      <c r="HMD39" s="8"/>
      <c r="HME39" s="8"/>
      <c r="HMF39" s="8"/>
      <c r="HMG39" s="8"/>
      <c r="HMH39" s="8"/>
      <c r="HMI39" s="8"/>
      <c r="HMJ39" s="8"/>
      <c r="HMK39" s="8"/>
      <c r="HML39" s="8"/>
      <c r="HMM39" s="8"/>
      <c r="HMN39" s="8"/>
      <c r="HMO39" s="8"/>
      <c r="HMP39" s="8"/>
      <c r="HMQ39" s="8"/>
      <c r="HMR39" s="8"/>
      <c r="HMS39" s="8"/>
      <c r="HMT39" s="8"/>
      <c r="HMU39" s="8"/>
      <c r="HMV39" s="8"/>
      <c r="HMW39" s="8"/>
      <c r="HMX39" s="8"/>
      <c r="HMY39" s="8"/>
      <c r="HMZ39" s="8"/>
      <c r="HNA39" s="8"/>
      <c r="HNB39" s="8"/>
      <c r="HNC39" s="8"/>
      <c r="HND39" s="8"/>
      <c r="HNE39" s="8"/>
      <c r="HNF39" s="8"/>
      <c r="HNG39" s="8"/>
      <c r="HNH39" s="8"/>
      <c r="HNI39" s="8"/>
      <c r="HNJ39" s="8"/>
      <c r="HNK39" s="8"/>
      <c r="HNL39" s="8"/>
      <c r="HNM39" s="8"/>
      <c r="HNN39" s="8"/>
      <c r="HNO39" s="8"/>
      <c r="HNP39" s="8"/>
      <c r="HNQ39" s="8"/>
      <c r="HNR39" s="8"/>
      <c r="HNS39" s="8"/>
      <c r="HNT39" s="8"/>
      <c r="HNU39" s="8"/>
      <c r="HNV39" s="8"/>
      <c r="HNW39" s="8"/>
      <c r="HNX39" s="8"/>
      <c r="HNY39" s="8"/>
      <c r="HNZ39" s="8"/>
      <c r="HOA39" s="8"/>
      <c r="HOB39" s="8"/>
      <c r="HOC39" s="8"/>
      <c r="HOD39" s="8"/>
      <c r="HOE39" s="8"/>
      <c r="HOF39" s="8"/>
      <c r="HOG39" s="8"/>
      <c r="HOH39" s="8"/>
      <c r="HOI39" s="8"/>
      <c r="HOJ39" s="8"/>
      <c r="HOK39" s="8"/>
      <c r="HOL39" s="8"/>
      <c r="HOM39" s="8"/>
      <c r="HON39" s="8"/>
      <c r="HOO39" s="8"/>
      <c r="HOP39" s="8"/>
      <c r="HOQ39" s="8"/>
      <c r="HOR39" s="8"/>
      <c r="HOS39" s="8"/>
      <c r="HOT39" s="8"/>
      <c r="HOU39" s="8"/>
      <c r="HOV39" s="8"/>
      <c r="HOW39" s="8"/>
      <c r="HOX39" s="8"/>
      <c r="HOY39" s="8"/>
      <c r="HOZ39" s="8"/>
      <c r="HPA39" s="8"/>
      <c r="HPB39" s="8"/>
      <c r="HPC39" s="8"/>
      <c r="HPD39" s="8"/>
      <c r="HPE39" s="8"/>
      <c r="HPF39" s="8"/>
      <c r="HPG39" s="8"/>
      <c r="HPH39" s="8"/>
      <c r="HPI39" s="8"/>
      <c r="HPJ39" s="8"/>
      <c r="HPK39" s="8"/>
      <c r="HPL39" s="8"/>
      <c r="HPM39" s="8"/>
      <c r="HPN39" s="8"/>
      <c r="HPO39" s="8"/>
      <c r="HPP39" s="8"/>
      <c r="HPQ39" s="8"/>
      <c r="HPR39" s="8"/>
      <c r="HPS39" s="8"/>
      <c r="HPT39" s="8"/>
      <c r="HPU39" s="8"/>
      <c r="HPV39" s="8"/>
      <c r="HPW39" s="8"/>
      <c r="HPX39" s="8"/>
      <c r="HPY39" s="8"/>
      <c r="HPZ39" s="8"/>
      <c r="HQA39" s="8"/>
      <c r="HQB39" s="8"/>
      <c r="HQC39" s="8"/>
      <c r="HQD39" s="8"/>
      <c r="HQE39" s="8"/>
      <c r="HQF39" s="8"/>
      <c r="HQG39" s="8"/>
      <c r="HQH39" s="8"/>
      <c r="HQI39" s="8"/>
      <c r="HQJ39" s="8"/>
      <c r="HQK39" s="8"/>
      <c r="HQL39" s="8"/>
      <c r="HQM39" s="8"/>
      <c r="HQN39" s="8"/>
      <c r="HQO39" s="8"/>
      <c r="HQP39" s="8"/>
      <c r="HQQ39" s="8"/>
      <c r="HQR39" s="8"/>
      <c r="HQS39" s="8"/>
      <c r="HQT39" s="8"/>
      <c r="HQU39" s="8"/>
      <c r="HQV39" s="8"/>
      <c r="HQW39" s="8"/>
      <c r="HQX39" s="8"/>
      <c r="HQY39" s="8"/>
      <c r="HQZ39" s="8"/>
      <c r="HRA39" s="8"/>
      <c r="HRB39" s="8"/>
      <c r="HRC39" s="8"/>
      <c r="HRD39" s="8"/>
      <c r="HRE39" s="8"/>
      <c r="HRF39" s="8"/>
      <c r="HRG39" s="8"/>
      <c r="HRH39" s="8"/>
      <c r="HRI39" s="8"/>
      <c r="HRJ39" s="8"/>
      <c r="HRK39" s="8"/>
      <c r="HRL39" s="8"/>
      <c r="HRM39" s="8"/>
      <c r="HRN39" s="8"/>
      <c r="HRO39" s="8"/>
      <c r="HRP39" s="8"/>
      <c r="HRQ39" s="8"/>
      <c r="HRR39" s="8"/>
      <c r="HRS39" s="8"/>
      <c r="HRT39" s="8"/>
      <c r="HRU39" s="8"/>
      <c r="HRV39" s="8"/>
      <c r="HRW39" s="8"/>
      <c r="HRX39" s="8"/>
      <c r="HRY39" s="8"/>
      <c r="HRZ39" s="8"/>
      <c r="HSA39" s="8"/>
      <c r="HSB39" s="8"/>
      <c r="HSC39" s="8"/>
      <c r="HSD39" s="8"/>
      <c r="HSE39" s="8"/>
      <c r="HSF39" s="8"/>
      <c r="HSG39" s="8"/>
      <c r="HSH39" s="8"/>
      <c r="HSI39" s="8"/>
      <c r="HSJ39" s="8"/>
      <c r="HSK39" s="8"/>
      <c r="HSL39" s="8"/>
      <c r="HSM39" s="8"/>
      <c r="HSN39" s="8"/>
      <c r="HSO39" s="8"/>
      <c r="HSP39" s="8"/>
      <c r="HSQ39" s="8"/>
      <c r="HSR39" s="8"/>
      <c r="HSS39" s="8"/>
      <c r="HST39" s="8"/>
      <c r="HSU39" s="8"/>
      <c r="HSV39" s="8"/>
      <c r="HSW39" s="8"/>
      <c r="HSX39" s="8"/>
      <c r="HSY39" s="8"/>
      <c r="HSZ39" s="8"/>
      <c r="HTA39" s="8"/>
      <c r="HTB39" s="8"/>
      <c r="HTC39" s="8"/>
      <c r="HTD39" s="8"/>
      <c r="HTE39" s="8"/>
      <c r="HTF39" s="8"/>
      <c r="HTG39" s="8"/>
      <c r="HTH39" s="8"/>
      <c r="HTI39" s="8"/>
      <c r="HTJ39" s="8"/>
      <c r="HTK39" s="8"/>
      <c r="HTL39" s="8"/>
      <c r="HTM39" s="8"/>
      <c r="HTN39" s="8"/>
      <c r="HTO39" s="8"/>
      <c r="HTP39" s="8"/>
      <c r="HTQ39" s="8"/>
      <c r="HTR39" s="8"/>
      <c r="HTS39" s="8"/>
      <c r="HTT39" s="8"/>
      <c r="HTU39" s="8"/>
      <c r="HTV39" s="8"/>
      <c r="HTW39" s="8"/>
      <c r="HTX39" s="8"/>
      <c r="HTY39" s="8"/>
      <c r="HTZ39" s="8"/>
      <c r="HUA39" s="8"/>
      <c r="HUB39" s="8"/>
      <c r="HUC39" s="8"/>
      <c r="HUD39" s="8"/>
      <c r="HUE39" s="8"/>
      <c r="HUF39" s="8"/>
      <c r="HUG39" s="8"/>
      <c r="HUH39" s="8"/>
      <c r="HUI39" s="8"/>
      <c r="HUJ39" s="8"/>
      <c r="HUK39" s="8"/>
      <c r="HUL39" s="8"/>
      <c r="HUM39" s="8"/>
      <c r="HUN39" s="8"/>
      <c r="HUO39" s="8"/>
      <c r="HUP39" s="8"/>
      <c r="HUQ39" s="8"/>
      <c r="HUR39" s="8"/>
      <c r="HUS39" s="8"/>
      <c r="HUT39" s="8"/>
      <c r="HUU39" s="8"/>
      <c r="HUV39" s="8"/>
      <c r="HUW39" s="8"/>
      <c r="HUX39" s="8"/>
      <c r="HUY39" s="8"/>
      <c r="HUZ39" s="8"/>
      <c r="HVA39" s="8"/>
      <c r="HVB39" s="8"/>
      <c r="HVC39" s="8"/>
      <c r="HVD39" s="8"/>
      <c r="HVE39" s="8"/>
      <c r="HVF39" s="8"/>
      <c r="HVG39" s="8"/>
      <c r="HVH39" s="8"/>
      <c r="HVI39" s="8"/>
      <c r="HVJ39" s="8"/>
      <c r="HVK39" s="8"/>
      <c r="HVL39" s="8"/>
      <c r="HVM39" s="8"/>
      <c r="HVN39" s="8"/>
      <c r="HVO39" s="8"/>
      <c r="HVP39" s="8"/>
      <c r="HVQ39" s="8"/>
      <c r="HVR39" s="8"/>
      <c r="HVS39" s="8"/>
      <c r="HVT39" s="8"/>
      <c r="HVU39" s="8"/>
      <c r="HVV39" s="8"/>
      <c r="HVW39" s="8"/>
      <c r="HVX39" s="8"/>
      <c r="HVY39" s="8"/>
      <c r="HVZ39" s="8"/>
      <c r="HWA39" s="8"/>
      <c r="HWB39" s="8"/>
      <c r="HWC39" s="8"/>
      <c r="HWD39" s="8"/>
      <c r="HWE39" s="8"/>
      <c r="HWF39" s="8"/>
      <c r="HWG39" s="8"/>
      <c r="HWH39" s="8"/>
      <c r="HWI39" s="8"/>
      <c r="HWJ39" s="8"/>
      <c r="HWK39" s="8"/>
      <c r="HWL39" s="8"/>
      <c r="HWM39" s="8"/>
      <c r="HWN39" s="8"/>
      <c r="HWO39" s="8"/>
      <c r="HWP39" s="8"/>
      <c r="HWQ39" s="8"/>
      <c r="HWR39" s="8"/>
      <c r="HWS39" s="8"/>
      <c r="HWT39" s="8"/>
      <c r="HWU39" s="8"/>
      <c r="HWV39" s="8"/>
      <c r="HWW39" s="8"/>
      <c r="HWX39" s="8"/>
      <c r="HWY39" s="8"/>
      <c r="HWZ39" s="8"/>
      <c r="HXA39" s="8"/>
      <c r="HXB39" s="8"/>
      <c r="HXC39" s="8"/>
      <c r="HXD39" s="8"/>
      <c r="HXE39" s="8"/>
      <c r="HXF39" s="8"/>
      <c r="HXG39" s="8"/>
      <c r="HXH39" s="8"/>
      <c r="HXI39" s="8"/>
      <c r="HXJ39" s="8"/>
      <c r="HXK39" s="8"/>
      <c r="HXL39" s="8"/>
      <c r="HXM39" s="8"/>
      <c r="HXN39" s="8"/>
      <c r="HXO39" s="8"/>
      <c r="HXP39" s="8"/>
      <c r="HXQ39" s="8"/>
      <c r="HXR39" s="8"/>
      <c r="HXS39" s="8"/>
      <c r="HXT39" s="8"/>
      <c r="HXU39" s="8"/>
      <c r="HXV39" s="8"/>
      <c r="HXW39" s="8"/>
      <c r="HXX39" s="8"/>
      <c r="HXY39" s="8"/>
      <c r="HXZ39" s="8"/>
      <c r="HYA39" s="8"/>
      <c r="HYB39" s="8"/>
      <c r="HYC39" s="8"/>
      <c r="HYD39" s="8"/>
      <c r="HYE39" s="8"/>
      <c r="HYF39" s="8"/>
      <c r="HYG39" s="8"/>
      <c r="HYH39" s="8"/>
      <c r="HYI39" s="8"/>
      <c r="HYJ39" s="8"/>
      <c r="HYK39" s="8"/>
      <c r="HYL39" s="8"/>
      <c r="HYM39" s="8"/>
      <c r="HYN39" s="8"/>
      <c r="HYO39" s="8"/>
      <c r="HYP39" s="8"/>
      <c r="HYQ39" s="8"/>
      <c r="HYR39" s="8"/>
      <c r="HYS39" s="8"/>
      <c r="HYT39" s="8"/>
      <c r="HYU39" s="8"/>
      <c r="HYV39" s="8"/>
      <c r="HYW39" s="8"/>
      <c r="HYX39" s="8"/>
      <c r="HYY39" s="8"/>
      <c r="HYZ39" s="8"/>
      <c r="HZA39" s="8"/>
      <c r="HZB39" s="8"/>
      <c r="HZC39" s="8"/>
      <c r="HZD39" s="8"/>
      <c r="HZE39" s="8"/>
      <c r="HZF39" s="8"/>
      <c r="HZG39" s="8"/>
      <c r="HZH39" s="8"/>
      <c r="HZI39" s="8"/>
      <c r="HZJ39" s="8"/>
      <c r="HZK39" s="8"/>
      <c r="HZL39" s="8"/>
      <c r="HZM39" s="8"/>
      <c r="HZN39" s="8"/>
      <c r="HZO39" s="8"/>
      <c r="HZP39" s="8"/>
      <c r="HZQ39" s="8"/>
      <c r="HZR39" s="8"/>
      <c r="HZS39" s="8"/>
      <c r="HZT39" s="8"/>
      <c r="HZU39" s="8"/>
      <c r="HZV39" s="8"/>
      <c r="HZW39" s="8"/>
      <c r="HZX39" s="8"/>
      <c r="HZY39" s="8"/>
      <c r="HZZ39" s="8"/>
      <c r="IAA39" s="8"/>
      <c r="IAB39" s="8"/>
      <c r="IAC39" s="8"/>
      <c r="IAD39" s="8"/>
      <c r="IAE39" s="8"/>
      <c r="IAF39" s="8"/>
      <c r="IAG39" s="8"/>
      <c r="IAH39" s="8"/>
      <c r="IAI39" s="8"/>
      <c r="IAJ39" s="8"/>
      <c r="IAK39" s="8"/>
      <c r="IAL39" s="8"/>
      <c r="IAM39" s="8"/>
      <c r="IAN39" s="8"/>
      <c r="IAO39" s="8"/>
      <c r="IAP39" s="8"/>
      <c r="IAQ39" s="8"/>
      <c r="IAR39" s="8"/>
      <c r="IAS39" s="8"/>
      <c r="IAT39" s="8"/>
      <c r="IAU39" s="8"/>
      <c r="IAV39" s="8"/>
      <c r="IAW39" s="8"/>
      <c r="IAX39" s="8"/>
      <c r="IAY39" s="8"/>
      <c r="IAZ39" s="8"/>
      <c r="IBA39" s="8"/>
      <c r="IBB39" s="8"/>
      <c r="IBC39" s="8"/>
      <c r="IBD39" s="8"/>
      <c r="IBE39" s="8"/>
      <c r="IBF39" s="8"/>
      <c r="IBG39" s="8"/>
      <c r="IBH39" s="8"/>
      <c r="IBI39" s="8"/>
      <c r="IBJ39" s="8"/>
      <c r="IBK39" s="8"/>
      <c r="IBL39" s="8"/>
      <c r="IBM39" s="8"/>
      <c r="IBN39" s="8"/>
      <c r="IBO39" s="8"/>
      <c r="IBP39" s="8"/>
      <c r="IBQ39" s="8"/>
      <c r="IBR39" s="8"/>
      <c r="IBS39" s="8"/>
      <c r="IBT39" s="8"/>
      <c r="IBU39" s="8"/>
      <c r="IBV39" s="8"/>
      <c r="IBW39" s="8"/>
      <c r="IBX39" s="8"/>
      <c r="IBY39" s="8"/>
      <c r="IBZ39" s="8"/>
      <c r="ICA39" s="8"/>
      <c r="ICB39" s="8"/>
      <c r="ICC39" s="8"/>
      <c r="ICD39" s="8"/>
      <c r="ICE39" s="8"/>
      <c r="ICF39" s="8"/>
      <c r="ICG39" s="8"/>
      <c r="ICH39" s="8"/>
      <c r="ICI39" s="8"/>
      <c r="ICJ39" s="8"/>
      <c r="ICK39" s="8"/>
      <c r="ICL39" s="8"/>
      <c r="ICM39" s="8"/>
      <c r="ICN39" s="8"/>
      <c r="ICO39" s="8"/>
      <c r="ICP39" s="8"/>
      <c r="ICQ39" s="8"/>
      <c r="ICR39" s="8"/>
      <c r="ICS39" s="8"/>
      <c r="ICT39" s="8"/>
      <c r="ICU39" s="8"/>
      <c r="ICV39" s="8"/>
      <c r="ICW39" s="8"/>
      <c r="ICX39" s="8"/>
      <c r="ICY39" s="8"/>
      <c r="ICZ39" s="8"/>
      <c r="IDA39" s="8"/>
      <c r="IDB39" s="8"/>
      <c r="IDC39" s="8"/>
      <c r="IDD39" s="8"/>
      <c r="IDE39" s="8"/>
      <c r="IDF39" s="8"/>
      <c r="IDG39" s="8"/>
      <c r="IDH39" s="8"/>
      <c r="IDI39" s="8"/>
      <c r="IDJ39" s="8"/>
      <c r="IDK39" s="8"/>
      <c r="IDL39" s="8"/>
      <c r="IDM39" s="8"/>
      <c r="IDN39" s="8"/>
      <c r="IDO39" s="8"/>
      <c r="IDP39" s="8"/>
      <c r="IDQ39" s="8"/>
      <c r="IDR39" s="8"/>
      <c r="IDS39" s="8"/>
      <c r="IDT39" s="8"/>
      <c r="IDU39" s="8"/>
      <c r="IDV39" s="8"/>
      <c r="IDW39" s="8"/>
      <c r="IDX39" s="8"/>
      <c r="IDY39" s="8"/>
      <c r="IDZ39" s="8"/>
      <c r="IEA39" s="8"/>
      <c r="IEB39" s="8"/>
      <c r="IEC39" s="8"/>
      <c r="IED39" s="8"/>
      <c r="IEE39" s="8"/>
      <c r="IEF39" s="8"/>
      <c r="IEG39" s="8"/>
      <c r="IEH39" s="8"/>
      <c r="IEI39" s="8"/>
      <c r="IEJ39" s="8"/>
      <c r="IEK39" s="8"/>
      <c r="IEL39" s="8"/>
      <c r="IEM39" s="8"/>
      <c r="IEN39" s="8"/>
      <c r="IEO39" s="8"/>
      <c r="IEP39" s="8"/>
      <c r="IEQ39" s="8"/>
      <c r="IER39" s="8"/>
      <c r="IES39" s="8"/>
      <c r="IET39" s="8"/>
      <c r="IEU39" s="8"/>
      <c r="IEV39" s="8"/>
      <c r="IEW39" s="8"/>
      <c r="IEX39" s="8"/>
      <c r="IEY39" s="8"/>
      <c r="IEZ39" s="8"/>
      <c r="IFA39" s="8"/>
      <c r="IFB39" s="8"/>
      <c r="IFC39" s="8"/>
      <c r="IFD39" s="8"/>
      <c r="IFE39" s="8"/>
      <c r="IFF39" s="8"/>
      <c r="IFG39" s="8"/>
      <c r="IFH39" s="8"/>
      <c r="IFI39" s="8"/>
      <c r="IFJ39" s="8"/>
      <c r="IFK39" s="8"/>
      <c r="IFL39" s="8"/>
      <c r="IFM39" s="8"/>
      <c r="IFN39" s="8"/>
      <c r="IFO39" s="8"/>
      <c r="IFP39" s="8"/>
      <c r="IFQ39" s="8"/>
      <c r="IFR39" s="8"/>
      <c r="IFS39" s="8"/>
      <c r="IFT39" s="8"/>
      <c r="IFU39" s="8"/>
      <c r="IFV39" s="8"/>
      <c r="IFW39" s="8"/>
      <c r="IFX39" s="8"/>
      <c r="IFY39" s="8"/>
      <c r="IFZ39" s="8"/>
      <c r="IGA39" s="8"/>
      <c r="IGB39" s="8"/>
      <c r="IGC39" s="8"/>
      <c r="IGD39" s="8"/>
      <c r="IGE39" s="8"/>
      <c r="IGF39" s="8"/>
      <c r="IGG39" s="8"/>
      <c r="IGH39" s="8"/>
      <c r="IGI39" s="8"/>
      <c r="IGJ39" s="8"/>
      <c r="IGK39" s="8"/>
      <c r="IGL39" s="8"/>
      <c r="IGM39" s="8"/>
      <c r="IGN39" s="8"/>
      <c r="IGO39" s="8"/>
      <c r="IGP39" s="8"/>
      <c r="IGQ39" s="8"/>
      <c r="IGR39" s="8"/>
      <c r="IGS39" s="8"/>
      <c r="IGT39" s="8"/>
      <c r="IGU39" s="8"/>
      <c r="IGV39" s="8"/>
      <c r="IGW39" s="8"/>
      <c r="IGX39" s="8"/>
      <c r="IGY39" s="8"/>
      <c r="IGZ39" s="8"/>
      <c r="IHA39" s="8"/>
      <c r="IHB39" s="8"/>
      <c r="IHC39" s="8"/>
      <c r="IHD39" s="8"/>
      <c r="IHE39" s="8"/>
      <c r="IHF39" s="8"/>
      <c r="IHG39" s="8"/>
      <c r="IHH39" s="8"/>
      <c r="IHI39" s="8"/>
      <c r="IHJ39" s="8"/>
      <c r="IHK39" s="8"/>
      <c r="IHL39" s="8"/>
      <c r="IHM39" s="8"/>
      <c r="IHN39" s="8"/>
      <c r="IHO39" s="8"/>
      <c r="IHP39" s="8"/>
      <c r="IHQ39" s="8"/>
      <c r="IHR39" s="8"/>
      <c r="IHS39" s="8"/>
      <c r="IHT39" s="8"/>
      <c r="IHU39" s="8"/>
      <c r="IHV39" s="8"/>
      <c r="IHW39" s="8"/>
      <c r="IHX39" s="8"/>
      <c r="IHY39" s="8"/>
      <c r="IHZ39" s="8"/>
      <c r="IIA39" s="8"/>
      <c r="IIB39" s="8"/>
      <c r="IIC39" s="8"/>
      <c r="IID39" s="8"/>
      <c r="IIE39" s="8"/>
      <c r="IIF39" s="8"/>
      <c r="IIG39" s="8"/>
      <c r="IIH39" s="8"/>
      <c r="III39" s="8"/>
      <c r="IIJ39" s="8"/>
      <c r="IIK39" s="8"/>
      <c r="IIL39" s="8"/>
      <c r="IIM39" s="8"/>
      <c r="IIN39" s="8"/>
      <c r="IIO39" s="8"/>
      <c r="IIP39" s="8"/>
      <c r="IIQ39" s="8"/>
      <c r="IIR39" s="8"/>
      <c r="IIS39" s="8"/>
      <c r="IIT39" s="8"/>
      <c r="IIU39" s="8"/>
      <c r="IIV39" s="8"/>
      <c r="IIW39" s="8"/>
      <c r="IIX39" s="8"/>
      <c r="IIY39" s="8"/>
      <c r="IIZ39" s="8"/>
      <c r="IJA39" s="8"/>
      <c r="IJB39" s="8"/>
      <c r="IJC39" s="8"/>
      <c r="IJD39" s="8"/>
      <c r="IJE39" s="8"/>
      <c r="IJF39" s="8"/>
      <c r="IJG39" s="8"/>
      <c r="IJH39" s="8"/>
      <c r="IJI39" s="8"/>
      <c r="IJJ39" s="8"/>
      <c r="IJK39" s="8"/>
      <c r="IJL39" s="8"/>
      <c r="IJM39" s="8"/>
      <c r="IJN39" s="8"/>
      <c r="IJO39" s="8"/>
      <c r="IJP39" s="8"/>
      <c r="IJQ39" s="8"/>
      <c r="IJR39" s="8"/>
      <c r="IJS39" s="8"/>
      <c r="IJT39" s="8"/>
      <c r="IJU39" s="8"/>
      <c r="IJV39" s="8"/>
      <c r="IJW39" s="8"/>
      <c r="IJX39" s="8"/>
      <c r="IJY39" s="8"/>
      <c r="IJZ39" s="8"/>
      <c r="IKA39" s="8"/>
      <c r="IKB39" s="8"/>
      <c r="IKC39" s="8"/>
      <c r="IKD39" s="8"/>
      <c r="IKE39" s="8"/>
      <c r="IKF39" s="8"/>
      <c r="IKG39" s="8"/>
      <c r="IKH39" s="8"/>
      <c r="IKI39" s="8"/>
      <c r="IKJ39" s="8"/>
      <c r="IKK39" s="8"/>
      <c r="IKL39" s="8"/>
      <c r="IKM39" s="8"/>
      <c r="IKN39" s="8"/>
      <c r="IKO39" s="8"/>
      <c r="IKP39" s="8"/>
      <c r="IKQ39" s="8"/>
      <c r="IKR39" s="8"/>
      <c r="IKS39" s="8"/>
      <c r="IKT39" s="8"/>
      <c r="IKU39" s="8"/>
      <c r="IKV39" s="8"/>
      <c r="IKW39" s="8"/>
      <c r="IKX39" s="8"/>
      <c r="IKY39" s="8"/>
      <c r="IKZ39" s="8"/>
      <c r="ILA39" s="8"/>
      <c r="ILB39" s="8"/>
      <c r="ILC39" s="8"/>
      <c r="ILD39" s="8"/>
      <c r="ILE39" s="8"/>
      <c r="ILF39" s="8"/>
      <c r="ILG39" s="8"/>
      <c r="ILH39" s="8"/>
      <c r="ILI39" s="8"/>
      <c r="ILJ39" s="8"/>
      <c r="ILK39" s="8"/>
      <c r="ILL39" s="8"/>
      <c r="ILM39" s="8"/>
      <c r="ILN39" s="8"/>
      <c r="ILO39" s="8"/>
      <c r="ILP39" s="8"/>
      <c r="ILQ39" s="8"/>
      <c r="ILR39" s="8"/>
      <c r="ILS39" s="8"/>
      <c r="ILT39" s="8"/>
      <c r="ILU39" s="8"/>
      <c r="ILV39" s="8"/>
      <c r="ILW39" s="8"/>
      <c r="ILX39" s="8"/>
      <c r="ILY39" s="8"/>
      <c r="ILZ39" s="8"/>
      <c r="IMA39" s="8"/>
      <c r="IMB39" s="8"/>
      <c r="IMC39" s="8"/>
      <c r="IMD39" s="8"/>
      <c r="IME39" s="8"/>
      <c r="IMF39" s="8"/>
      <c r="IMG39" s="8"/>
      <c r="IMH39" s="8"/>
      <c r="IMI39" s="8"/>
      <c r="IMJ39" s="8"/>
      <c r="IMK39" s="8"/>
      <c r="IML39" s="8"/>
      <c r="IMM39" s="8"/>
      <c r="IMN39" s="8"/>
      <c r="IMO39" s="8"/>
      <c r="IMP39" s="8"/>
      <c r="IMQ39" s="8"/>
      <c r="IMR39" s="8"/>
      <c r="IMS39" s="8"/>
      <c r="IMT39" s="8"/>
      <c r="IMU39" s="8"/>
      <c r="IMV39" s="8"/>
      <c r="IMW39" s="8"/>
      <c r="IMX39" s="8"/>
      <c r="IMY39" s="8"/>
      <c r="IMZ39" s="8"/>
      <c r="INA39" s="8"/>
      <c r="INB39" s="8"/>
      <c r="INC39" s="8"/>
      <c r="IND39" s="8"/>
      <c r="INE39" s="8"/>
      <c r="INF39" s="8"/>
      <c r="ING39" s="8"/>
      <c r="INH39" s="8"/>
      <c r="INI39" s="8"/>
      <c r="INJ39" s="8"/>
      <c r="INK39" s="8"/>
      <c r="INL39" s="8"/>
      <c r="INM39" s="8"/>
      <c r="INN39" s="8"/>
      <c r="INO39" s="8"/>
      <c r="INP39" s="8"/>
      <c r="INQ39" s="8"/>
      <c r="INR39" s="8"/>
      <c r="INS39" s="8"/>
      <c r="INT39" s="8"/>
      <c r="INU39" s="8"/>
      <c r="INV39" s="8"/>
      <c r="INW39" s="8"/>
      <c r="INX39" s="8"/>
      <c r="INY39" s="8"/>
      <c r="INZ39" s="8"/>
      <c r="IOA39" s="8"/>
      <c r="IOB39" s="8"/>
      <c r="IOC39" s="8"/>
      <c r="IOD39" s="8"/>
      <c r="IOE39" s="8"/>
      <c r="IOF39" s="8"/>
      <c r="IOG39" s="8"/>
      <c r="IOH39" s="8"/>
      <c r="IOI39" s="8"/>
      <c r="IOJ39" s="8"/>
      <c r="IOK39" s="8"/>
      <c r="IOL39" s="8"/>
      <c r="IOM39" s="8"/>
      <c r="ION39" s="8"/>
      <c r="IOO39" s="8"/>
      <c r="IOP39" s="8"/>
      <c r="IOQ39" s="8"/>
      <c r="IOR39" s="8"/>
      <c r="IOS39" s="8"/>
      <c r="IOT39" s="8"/>
      <c r="IOU39" s="8"/>
      <c r="IOV39" s="8"/>
      <c r="IOW39" s="8"/>
      <c r="IOX39" s="8"/>
      <c r="IOY39" s="8"/>
      <c r="IOZ39" s="8"/>
      <c r="IPA39" s="8"/>
      <c r="IPB39" s="8"/>
      <c r="IPC39" s="8"/>
      <c r="IPD39" s="8"/>
      <c r="IPE39" s="8"/>
      <c r="IPF39" s="8"/>
      <c r="IPG39" s="8"/>
      <c r="IPH39" s="8"/>
      <c r="IPI39" s="8"/>
      <c r="IPJ39" s="8"/>
      <c r="IPK39" s="8"/>
      <c r="IPL39" s="8"/>
      <c r="IPM39" s="8"/>
      <c r="IPN39" s="8"/>
      <c r="IPO39" s="8"/>
      <c r="IPP39" s="8"/>
      <c r="IPQ39" s="8"/>
      <c r="IPR39" s="8"/>
      <c r="IPS39" s="8"/>
      <c r="IPT39" s="8"/>
      <c r="IPU39" s="8"/>
      <c r="IPV39" s="8"/>
      <c r="IPW39" s="8"/>
      <c r="IPX39" s="8"/>
      <c r="IPY39" s="8"/>
      <c r="IPZ39" s="8"/>
      <c r="IQA39" s="8"/>
      <c r="IQB39" s="8"/>
      <c r="IQC39" s="8"/>
      <c r="IQD39" s="8"/>
      <c r="IQE39" s="8"/>
      <c r="IQF39" s="8"/>
      <c r="IQG39" s="8"/>
      <c r="IQH39" s="8"/>
      <c r="IQI39" s="8"/>
      <c r="IQJ39" s="8"/>
      <c r="IQK39" s="8"/>
      <c r="IQL39" s="8"/>
      <c r="IQM39" s="8"/>
      <c r="IQN39" s="8"/>
      <c r="IQO39" s="8"/>
      <c r="IQP39" s="8"/>
      <c r="IQQ39" s="8"/>
      <c r="IQR39" s="8"/>
      <c r="IQS39" s="8"/>
      <c r="IQT39" s="8"/>
      <c r="IQU39" s="8"/>
      <c r="IQV39" s="8"/>
      <c r="IQW39" s="8"/>
      <c r="IQX39" s="8"/>
      <c r="IQY39" s="8"/>
      <c r="IQZ39" s="8"/>
      <c r="IRA39" s="8"/>
      <c r="IRB39" s="8"/>
      <c r="IRC39" s="8"/>
      <c r="IRD39" s="8"/>
      <c r="IRE39" s="8"/>
      <c r="IRF39" s="8"/>
      <c r="IRG39" s="8"/>
      <c r="IRH39" s="8"/>
      <c r="IRI39" s="8"/>
      <c r="IRJ39" s="8"/>
      <c r="IRK39" s="8"/>
      <c r="IRL39" s="8"/>
      <c r="IRM39" s="8"/>
      <c r="IRN39" s="8"/>
      <c r="IRO39" s="8"/>
      <c r="IRP39" s="8"/>
      <c r="IRQ39" s="8"/>
      <c r="IRR39" s="8"/>
      <c r="IRS39" s="8"/>
      <c r="IRT39" s="8"/>
      <c r="IRU39" s="8"/>
      <c r="IRV39" s="8"/>
      <c r="IRW39" s="8"/>
      <c r="IRX39" s="8"/>
      <c r="IRY39" s="8"/>
      <c r="IRZ39" s="8"/>
      <c r="ISA39" s="8"/>
      <c r="ISB39" s="8"/>
      <c r="ISC39" s="8"/>
      <c r="ISD39" s="8"/>
      <c r="ISE39" s="8"/>
      <c r="ISF39" s="8"/>
      <c r="ISG39" s="8"/>
      <c r="ISH39" s="8"/>
      <c r="ISI39" s="8"/>
      <c r="ISJ39" s="8"/>
      <c r="ISK39" s="8"/>
      <c r="ISL39" s="8"/>
      <c r="ISM39" s="8"/>
      <c r="ISN39" s="8"/>
      <c r="ISO39" s="8"/>
      <c r="ISP39" s="8"/>
      <c r="ISQ39" s="8"/>
      <c r="ISR39" s="8"/>
      <c r="ISS39" s="8"/>
      <c r="IST39" s="8"/>
      <c r="ISU39" s="8"/>
      <c r="ISV39" s="8"/>
      <c r="ISW39" s="8"/>
      <c r="ISX39" s="8"/>
      <c r="ISY39" s="8"/>
      <c r="ISZ39" s="8"/>
      <c r="ITA39" s="8"/>
      <c r="ITB39" s="8"/>
      <c r="ITC39" s="8"/>
      <c r="ITD39" s="8"/>
      <c r="ITE39" s="8"/>
      <c r="ITF39" s="8"/>
      <c r="ITG39" s="8"/>
      <c r="ITH39" s="8"/>
      <c r="ITI39" s="8"/>
      <c r="ITJ39" s="8"/>
      <c r="ITK39" s="8"/>
      <c r="ITL39" s="8"/>
      <c r="ITM39" s="8"/>
      <c r="ITN39" s="8"/>
      <c r="ITO39" s="8"/>
      <c r="ITP39" s="8"/>
      <c r="ITQ39" s="8"/>
      <c r="ITR39" s="8"/>
      <c r="ITS39" s="8"/>
      <c r="ITT39" s="8"/>
      <c r="ITU39" s="8"/>
      <c r="ITV39" s="8"/>
      <c r="ITW39" s="8"/>
      <c r="ITX39" s="8"/>
      <c r="ITY39" s="8"/>
      <c r="ITZ39" s="8"/>
      <c r="IUA39" s="8"/>
      <c r="IUB39" s="8"/>
      <c r="IUC39" s="8"/>
      <c r="IUD39" s="8"/>
      <c r="IUE39" s="8"/>
      <c r="IUF39" s="8"/>
      <c r="IUG39" s="8"/>
      <c r="IUH39" s="8"/>
      <c r="IUI39" s="8"/>
      <c r="IUJ39" s="8"/>
      <c r="IUK39" s="8"/>
      <c r="IUL39" s="8"/>
      <c r="IUM39" s="8"/>
      <c r="IUN39" s="8"/>
      <c r="IUO39" s="8"/>
      <c r="IUP39" s="8"/>
      <c r="IUQ39" s="8"/>
      <c r="IUR39" s="8"/>
      <c r="IUS39" s="8"/>
      <c r="IUT39" s="8"/>
      <c r="IUU39" s="8"/>
      <c r="IUV39" s="8"/>
      <c r="IUW39" s="8"/>
      <c r="IUX39" s="8"/>
      <c r="IUY39" s="8"/>
      <c r="IUZ39" s="8"/>
      <c r="IVA39" s="8"/>
      <c r="IVB39" s="8"/>
      <c r="IVC39" s="8"/>
      <c r="IVD39" s="8"/>
      <c r="IVE39" s="8"/>
      <c r="IVF39" s="8"/>
      <c r="IVG39" s="8"/>
      <c r="IVH39" s="8"/>
      <c r="IVI39" s="8"/>
      <c r="IVJ39" s="8"/>
      <c r="IVK39" s="8"/>
      <c r="IVL39" s="8"/>
      <c r="IVM39" s="8"/>
      <c r="IVN39" s="8"/>
      <c r="IVO39" s="8"/>
      <c r="IVP39" s="8"/>
      <c r="IVQ39" s="8"/>
      <c r="IVR39" s="8"/>
      <c r="IVS39" s="8"/>
      <c r="IVT39" s="8"/>
      <c r="IVU39" s="8"/>
      <c r="IVV39" s="8"/>
      <c r="IVW39" s="8"/>
      <c r="IVX39" s="8"/>
      <c r="IVY39" s="8"/>
      <c r="IVZ39" s="8"/>
      <c r="IWA39" s="8"/>
      <c r="IWB39" s="8"/>
      <c r="IWC39" s="8"/>
      <c r="IWD39" s="8"/>
      <c r="IWE39" s="8"/>
      <c r="IWF39" s="8"/>
      <c r="IWG39" s="8"/>
      <c r="IWH39" s="8"/>
      <c r="IWI39" s="8"/>
      <c r="IWJ39" s="8"/>
      <c r="IWK39" s="8"/>
      <c r="IWL39" s="8"/>
      <c r="IWM39" s="8"/>
      <c r="IWN39" s="8"/>
      <c r="IWO39" s="8"/>
      <c r="IWP39" s="8"/>
      <c r="IWQ39" s="8"/>
      <c r="IWR39" s="8"/>
      <c r="IWS39" s="8"/>
      <c r="IWT39" s="8"/>
      <c r="IWU39" s="8"/>
      <c r="IWV39" s="8"/>
      <c r="IWW39" s="8"/>
      <c r="IWX39" s="8"/>
      <c r="IWY39" s="8"/>
      <c r="IWZ39" s="8"/>
      <c r="IXA39" s="8"/>
      <c r="IXB39" s="8"/>
      <c r="IXC39" s="8"/>
      <c r="IXD39" s="8"/>
      <c r="IXE39" s="8"/>
      <c r="IXF39" s="8"/>
      <c r="IXG39" s="8"/>
      <c r="IXH39" s="8"/>
      <c r="IXI39" s="8"/>
      <c r="IXJ39" s="8"/>
      <c r="IXK39" s="8"/>
      <c r="IXL39" s="8"/>
      <c r="IXM39" s="8"/>
      <c r="IXN39" s="8"/>
      <c r="IXO39" s="8"/>
      <c r="IXP39" s="8"/>
      <c r="IXQ39" s="8"/>
      <c r="IXR39" s="8"/>
      <c r="IXS39" s="8"/>
      <c r="IXT39" s="8"/>
      <c r="IXU39" s="8"/>
      <c r="IXV39" s="8"/>
      <c r="IXW39" s="8"/>
      <c r="IXX39" s="8"/>
      <c r="IXY39" s="8"/>
      <c r="IXZ39" s="8"/>
      <c r="IYA39" s="8"/>
      <c r="IYB39" s="8"/>
      <c r="IYC39" s="8"/>
      <c r="IYD39" s="8"/>
      <c r="IYE39" s="8"/>
      <c r="IYF39" s="8"/>
      <c r="IYG39" s="8"/>
      <c r="IYH39" s="8"/>
      <c r="IYI39" s="8"/>
      <c r="IYJ39" s="8"/>
      <c r="IYK39" s="8"/>
      <c r="IYL39" s="8"/>
      <c r="IYM39" s="8"/>
      <c r="IYN39" s="8"/>
      <c r="IYO39" s="8"/>
      <c r="IYP39" s="8"/>
      <c r="IYQ39" s="8"/>
      <c r="IYR39" s="8"/>
      <c r="IYS39" s="8"/>
      <c r="IYT39" s="8"/>
      <c r="IYU39" s="8"/>
      <c r="IYV39" s="8"/>
      <c r="IYW39" s="8"/>
      <c r="IYX39" s="8"/>
      <c r="IYY39" s="8"/>
      <c r="IYZ39" s="8"/>
      <c r="IZA39" s="8"/>
      <c r="IZB39" s="8"/>
      <c r="IZC39" s="8"/>
      <c r="IZD39" s="8"/>
      <c r="IZE39" s="8"/>
      <c r="IZF39" s="8"/>
      <c r="IZG39" s="8"/>
      <c r="IZH39" s="8"/>
      <c r="IZI39" s="8"/>
      <c r="IZJ39" s="8"/>
      <c r="IZK39" s="8"/>
      <c r="IZL39" s="8"/>
      <c r="IZM39" s="8"/>
      <c r="IZN39" s="8"/>
      <c r="IZO39" s="8"/>
      <c r="IZP39" s="8"/>
      <c r="IZQ39" s="8"/>
      <c r="IZR39" s="8"/>
      <c r="IZS39" s="8"/>
      <c r="IZT39" s="8"/>
      <c r="IZU39" s="8"/>
      <c r="IZV39" s="8"/>
      <c r="IZW39" s="8"/>
      <c r="IZX39" s="8"/>
      <c r="IZY39" s="8"/>
      <c r="IZZ39" s="8"/>
      <c r="JAA39" s="8"/>
      <c r="JAB39" s="8"/>
      <c r="JAC39" s="8"/>
      <c r="JAD39" s="8"/>
      <c r="JAE39" s="8"/>
      <c r="JAF39" s="8"/>
      <c r="JAG39" s="8"/>
      <c r="JAH39" s="8"/>
      <c r="JAI39" s="8"/>
      <c r="JAJ39" s="8"/>
      <c r="JAK39" s="8"/>
      <c r="JAL39" s="8"/>
      <c r="JAM39" s="8"/>
      <c r="JAN39" s="8"/>
      <c r="JAO39" s="8"/>
      <c r="JAP39" s="8"/>
      <c r="JAQ39" s="8"/>
      <c r="JAR39" s="8"/>
      <c r="JAS39" s="8"/>
      <c r="JAT39" s="8"/>
      <c r="JAU39" s="8"/>
      <c r="JAV39" s="8"/>
      <c r="JAW39" s="8"/>
      <c r="JAX39" s="8"/>
      <c r="JAY39" s="8"/>
      <c r="JAZ39" s="8"/>
      <c r="JBA39" s="8"/>
      <c r="JBB39" s="8"/>
      <c r="JBC39" s="8"/>
      <c r="JBD39" s="8"/>
      <c r="JBE39" s="8"/>
      <c r="JBF39" s="8"/>
      <c r="JBG39" s="8"/>
      <c r="JBH39" s="8"/>
      <c r="JBI39" s="8"/>
      <c r="JBJ39" s="8"/>
      <c r="JBK39" s="8"/>
      <c r="JBL39" s="8"/>
      <c r="JBM39" s="8"/>
      <c r="JBN39" s="8"/>
      <c r="JBO39" s="8"/>
      <c r="JBP39" s="8"/>
      <c r="JBQ39" s="8"/>
      <c r="JBR39" s="8"/>
      <c r="JBS39" s="8"/>
      <c r="JBT39" s="8"/>
      <c r="JBU39" s="8"/>
      <c r="JBV39" s="8"/>
      <c r="JBW39" s="8"/>
      <c r="JBX39" s="8"/>
      <c r="JBY39" s="8"/>
      <c r="JBZ39" s="8"/>
      <c r="JCA39" s="8"/>
      <c r="JCB39" s="8"/>
      <c r="JCC39" s="8"/>
      <c r="JCD39" s="8"/>
      <c r="JCE39" s="8"/>
      <c r="JCF39" s="8"/>
      <c r="JCG39" s="8"/>
      <c r="JCH39" s="8"/>
      <c r="JCI39" s="8"/>
      <c r="JCJ39" s="8"/>
      <c r="JCK39" s="8"/>
      <c r="JCL39" s="8"/>
      <c r="JCM39" s="8"/>
      <c r="JCN39" s="8"/>
      <c r="JCO39" s="8"/>
      <c r="JCP39" s="8"/>
      <c r="JCQ39" s="8"/>
      <c r="JCR39" s="8"/>
      <c r="JCS39" s="8"/>
      <c r="JCT39" s="8"/>
      <c r="JCU39" s="8"/>
      <c r="JCV39" s="8"/>
      <c r="JCW39" s="8"/>
      <c r="JCX39" s="8"/>
      <c r="JCY39" s="8"/>
      <c r="JCZ39" s="8"/>
      <c r="JDA39" s="8"/>
      <c r="JDB39" s="8"/>
      <c r="JDC39" s="8"/>
      <c r="JDD39" s="8"/>
      <c r="JDE39" s="8"/>
      <c r="JDF39" s="8"/>
      <c r="JDG39" s="8"/>
      <c r="JDH39" s="8"/>
      <c r="JDI39" s="8"/>
      <c r="JDJ39" s="8"/>
      <c r="JDK39" s="8"/>
      <c r="JDL39" s="8"/>
      <c r="JDM39" s="8"/>
      <c r="JDN39" s="8"/>
      <c r="JDO39" s="8"/>
      <c r="JDP39" s="8"/>
      <c r="JDQ39" s="8"/>
      <c r="JDR39" s="8"/>
      <c r="JDS39" s="8"/>
      <c r="JDT39" s="8"/>
      <c r="JDU39" s="8"/>
      <c r="JDV39" s="8"/>
      <c r="JDW39" s="8"/>
      <c r="JDX39" s="8"/>
      <c r="JDY39" s="8"/>
      <c r="JDZ39" s="8"/>
      <c r="JEA39" s="8"/>
      <c r="JEB39" s="8"/>
      <c r="JEC39" s="8"/>
      <c r="JED39" s="8"/>
      <c r="JEE39" s="8"/>
      <c r="JEF39" s="8"/>
      <c r="JEG39" s="8"/>
      <c r="JEH39" s="8"/>
      <c r="JEI39" s="8"/>
      <c r="JEJ39" s="8"/>
      <c r="JEK39" s="8"/>
      <c r="JEL39" s="8"/>
      <c r="JEM39" s="8"/>
      <c r="JEN39" s="8"/>
      <c r="JEO39" s="8"/>
      <c r="JEP39" s="8"/>
      <c r="JEQ39" s="8"/>
      <c r="JER39" s="8"/>
      <c r="JES39" s="8"/>
      <c r="JET39" s="8"/>
      <c r="JEU39" s="8"/>
      <c r="JEV39" s="8"/>
      <c r="JEW39" s="8"/>
      <c r="JEX39" s="8"/>
      <c r="JEY39" s="8"/>
      <c r="JEZ39" s="8"/>
      <c r="JFA39" s="8"/>
      <c r="JFB39" s="8"/>
      <c r="JFC39" s="8"/>
      <c r="JFD39" s="8"/>
      <c r="JFE39" s="8"/>
      <c r="JFF39" s="8"/>
      <c r="JFG39" s="8"/>
      <c r="JFH39" s="8"/>
      <c r="JFI39" s="8"/>
      <c r="JFJ39" s="8"/>
      <c r="JFK39" s="8"/>
      <c r="JFL39" s="8"/>
      <c r="JFM39" s="8"/>
      <c r="JFN39" s="8"/>
      <c r="JFO39" s="8"/>
      <c r="JFP39" s="8"/>
      <c r="JFQ39" s="8"/>
      <c r="JFR39" s="8"/>
      <c r="JFS39" s="8"/>
      <c r="JFT39" s="8"/>
      <c r="JFU39" s="8"/>
      <c r="JFV39" s="8"/>
      <c r="JFW39" s="8"/>
      <c r="JFX39" s="8"/>
      <c r="JFY39" s="8"/>
      <c r="JFZ39" s="8"/>
      <c r="JGA39" s="8"/>
      <c r="JGB39" s="8"/>
      <c r="JGC39" s="8"/>
      <c r="JGD39" s="8"/>
      <c r="JGE39" s="8"/>
      <c r="JGF39" s="8"/>
      <c r="JGG39" s="8"/>
      <c r="JGH39" s="8"/>
      <c r="JGI39" s="8"/>
      <c r="JGJ39" s="8"/>
      <c r="JGK39" s="8"/>
      <c r="JGL39" s="8"/>
      <c r="JGM39" s="8"/>
      <c r="JGN39" s="8"/>
      <c r="JGO39" s="8"/>
      <c r="JGP39" s="8"/>
      <c r="JGQ39" s="8"/>
      <c r="JGR39" s="8"/>
      <c r="JGS39" s="8"/>
      <c r="JGT39" s="8"/>
      <c r="JGU39" s="8"/>
      <c r="JGV39" s="8"/>
      <c r="JGW39" s="8"/>
      <c r="JGX39" s="8"/>
      <c r="JGY39" s="8"/>
      <c r="JGZ39" s="8"/>
      <c r="JHA39" s="8"/>
      <c r="JHB39" s="8"/>
      <c r="JHC39" s="8"/>
      <c r="JHD39" s="8"/>
      <c r="JHE39" s="8"/>
      <c r="JHF39" s="8"/>
      <c r="JHG39" s="8"/>
      <c r="JHH39" s="8"/>
      <c r="JHI39" s="8"/>
      <c r="JHJ39" s="8"/>
      <c r="JHK39" s="8"/>
      <c r="JHL39" s="8"/>
      <c r="JHM39" s="8"/>
      <c r="JHN39" s="8"/>
      <c r="JHO39" s="8"/>
      <c r="JHP39" s="8"/>
      <c r="JHQ39" s="8"/>
      <c r="JHR39" s="8"/>
      <c r="JHS39" s="8"/>
      <c r="JHT39" s="8"/>
      <c r="JHU39" s="8"/>
      <c r="JHV39" s="8"/>
      <c r="JHW39" s="8"/>
      <c r="JHX39" s="8"/>
      <c r="JHY39" s="8"/>
      <c r="JHZ39" s="8"/>
      <c r="JIA39" s="8"/>
      <c r="JIB39" s="8"/>
      <c r="JIC39" s="8"/>
      <c r="JID39" s="8"/>
      <c r="JIE39" s="8"/>
      <c r="JIF39" s="8"/>
      <c r="JIG39" s="8"/>
      <c r="JIH39" s="8"/>
      <c r="JII39" s="8"/>
      <c r="JIJ39" s="8"/>
      <c r="JIK39" s="8"/>
      <c r="JIL39" s="8"/>
      <c r="JIM39" s="8"/>
      <c r="JIN39" s="8"/>
      <c r="JIO39" s="8"/>
      <c r="JIP39" s="8"/>
      <c r="JIQ39" s="8"/>
      <c r="JIR39" s="8"/>
      <c r="JIS39" s="8"/>
      <c r="JIT39" s="8"/>
      <c r="JIU39" s="8"/>
      <c r="JIV39" s="8"/>
      <c r="JIW39" s="8"/>
      <c r="JIX39" s="8"/>
      <c r="JIY39" s="8"/>
      <c r="JIZ39" s="8"/>
      <c r="JJA39" s="8"/>
      <c r="JJB39" s="8"/>
      <c r="JJC39" s="8"/>
      <c r="JJD39" s="8"/>
      <c r="JJE39" s="8"/>
      <c r="JJF39" s="8"/>
      <c r="JJG39" s="8"/>
      <c r="JJH39" s="8"/>
      <c r="JJI39" s="8"/>
      <c r="JJJ39" s="8"/>
      <c r="JJK39" s="8"/>
      <c r="JJL39" s="8"/>
      <c r="JJM39" s="8"/>
      <c r="JJN39" s="8"/>
      <c r="JJO39" s="8"/>
      <c r="JJP39" s="8"/>
      <c r="JJQ39" s="8"/>
      <c r="JJR39" s="8"/>
      <c r="JJS39" s="8"/>
      <c r="JJT39" s="8"/>
      <c r="JJU39" s="8"/>
      <c r="JJV39" s="8"/>
      <c r="JJW39" s="8"/>
      <c r="JJX39" s="8"/>
      <c r="JJY39" s="8"/>
      <c r="JJZ39" s="8"/>
      <c r="JKA39" s="8"/>
      <c r="JKB39" s="8"/>
      <c r="JKC39" s="8"/>
      <c r="JKD39" s="8"/>
      <c r="JKE39" s="8"/>
      <c r="JKF39" s="8"/>
      <c r="JKG39" s="8"/>
      <c r="JKH39" s="8"/>
      <c r="JKI39" s="8"/>
      <c r="JKJ39" s="8"/>
      <c r="JKK39" s="8"/>
      <c r="JKL39" s="8"/>
      <c r="JKM39" s="8"/>
      <c r="JKN39" s="8"/>
      <c r="JKO39" s="8"/>
      <c r="JKP39" s="8"/>
      <c r="JKQ39" s="8"/>
      <c r="JKR39" s="8"/>
      <c r="JKS39" s="8"/>
      <c r="JKT39" s="8"/>
      <c r="JKU39" s="8"/>
      <c r="JKV39" s="8"/>
      <c r="JKW39" s="8"/>
      <c r="JKX39" s="8"/>
      <c r="JKY39" s="8"/>
      <c r="JKZ39" s="8"/>
      <c r="JLA39" s="8"/>
      <c r="JLB39" s="8"/>
      <c r="JLC39" s="8"/>
      <c r="JLD39" s="8"/>
      <c r="JLE39" s="8"/>
      <c r="JLF39" s="8"/>
      <c r="JLG39" s="8"/>
      <c r="JLH39" s="8"/>
      <c r="JLI39" s="8"/>
      <c r="JLJ39" s="8"/>
      <c r="JLK39" s="8"/>
      <c r="JLL39" s="8"/>
      <c r="JLM39" s="8"/>
      <c r="JLN39" s="8"/>
      <c r="JLO39" s="8"/>
      <c r="JLP39" s="8"/>
      <c r="JLQ39" s="8"/>
      <c r="JLR39" s="8"/>
      <c r="JLS39" s="8"/>
      <c r="JLT39" s="8"/>
      <c r="JLU39" s="8"/>
      <c r="JLV39" s="8"/>
      <c r="JLW39" s="8"/>
      <c r="JLX39" s="8"/>
      <c r="JLY39" s="8"/>
      <c r="JLZ39" s="8"/>
      <c r="JMA39" s="8"/>
      <c r="JMB39" s="8"/>
      <c r="JMC39" s="8"/>
      <c r="JMD39" s="8"/>
      <c r="JME39" s="8"/>
      <c r="JMF39" s="8"/>
      <c r="JMG39" s="8"/>
      <c r="JMH39" s="8"/>
      <c r="JMI39" s="8"/>
      <c r="JMJ39" s="8"/>
      <c r="JMK39" s="8"/>
      <c r="JML39" s="8"/>
      <c r="JMM39" s="8"/>
      <c r="JMN39" s="8"/>
      <c r="JMO39" s="8"/>
      <c r="JMP39" s="8"/>
      <c r="JMQ39" s="8"/>
      <c r="JMR39" s="8"/>
      <c r="JMS39" s="8"/>
      <c r="JMT39" s="8"/>
      <c r="JMU39" s="8"/>
      <c r="JMV39" s="8"/>
      <c r="JMW39" s="8"/>
      <c r="JMX39" s="8"/>
      <c r="JMY39" s="8"/>
      <c r="JMZ39" s="8"/>
      <c r="JNA39" s="8"/>
      <c r="JNB39" s="8"/>
      <c r="JNC39" s="8"/>
      <c r="JND39" s="8"/>
      <c r="JNE39" s="8"/>
      <c r="JNF39" s="8"/>
      <c r="JNG39" s="8"/>
      <c r="JNH39" s="8"/>
      <c r="JNI39" s="8"/>
      <c r="JNJ39" s="8"/>
      <c r="JNK39" s="8"/>
      <c r="JNL39" s="8"/>
      <c r="JNM39" s="8"/>
      <c r="JNN39" s="8"/>
      <c r="JNO39" s="8"/>
      <c r="JNP39" s="8"/>
      <c r="JNQ39" s="8"/>
      <c r="JNR39" s="8"/>
      <c r="JNS39" s="8"/>
      <c r="JNT39" s="8"/>
      <c r="JNU39" s="8"/>
      <c r="JNV39" s="8"/>
      <c r="JNW39" s="8"/>
      <c r="JNX39" s="8"/>
      <c r="JNY39" s="8"/>
      <c r="JNZ39" s="8"/>
      <c r="JOA39" s="8"/>
      <c r="JOB39" s="8"/>
      <c r="JOC39" s="8"/>
      <c r="JOD39" s="8"/>
      <c r="JOE39" s="8"/>
      <c r="JOF39" s="8"/>
      <c r="JOG39" s="8"/>
      <c r="JOH39" s="8"/>
      <c r="JOI39" s="8"/>
      <c r="JOJ39" s="8"/>
      <c r="JOK39" s="8"/>
      <c r="JOL39" s="8"/>
      <c r="JOM39" s="8"/>
      <c r="JON39" s="8"/>
      <c r="JOO39" s="8"/>
      <c r="JOP39" s="8"/>
      <c r="JOQ39" s="8"/>
      <c r="JOR39" s="8"/>
      <c r="JOS39" s="8"/>
      <c r="JOT39" s="8"/>
      <c r="JOU39" s="8"/>
      <c r="JOV39" s="8"/>
      <c r="JOW39" s="8"/>
      <c r="JOX39" s="8"/>
      <c r="JOY39" s="8"/>
      <c r="JOZ39" s="8"/>
      <c r="JPA39" s="8"/>
      <c r="JPB39" s="8"/>
      <c r="JPC39" s="8"/>
      <c r="JPD39" s="8"/>
      <c r="JPE39" s="8"/>
      <c r="JPF39" s="8"/>
      <c r="JPG39" s="8"/>
      <c r="JPH39" s="8"/>
      <c r="JPI39" s="8"/>
      <c r="JPJ39" s="8"/>
      <c r="JPK39" s="8"/>
      <c r="JPL39" s="8"/>
      <c r="JPM39" s="8"/>
      <c r="JPN39" s="8"/>
      <c r="JPO39" s="8"/>
      <c r="JPP39" s="8"/>
      <c r="JPQ39" s="8"/>
      <c r="JPR39" s="8"/>
      <c r="JPS39" s="8"/>
      <c r="JPT39" s="8"/>
      <c r="JPU39" s="8"/>
      <c r="JPV39" s="8"/>
      <c r="JPW39" s="8"/>
      <c r="JPX39" s="8"/>
      <c r="JPY39" s="8"/>
      <c r="JPZ39" s="8"/>
      <c r="JQA39" s="8"/>
      <c r="JQB39" s="8"/>
      <c r="JQC39" s="8"/>
      <c r="JQD39" s="8"/>
      <c r="JQE39" s="8"/>
      <c r="JQF39" s="8"/>
      <c r="JQG39" s="8"/>
      <c r="JQH39" s="8"/>
      <c r="JQI39" s="8"/>
      <c r="JQJ39" s="8"/>
      <c r="JQK39" s="8"/>
      <c r="JQL39" s="8"/>
      <c r="JQM39" s="8"/>
      <c r="JQN39" s="8"/>
      <c r="JQO39" s="8"/>
      <c r="JQP39" s="8"/>
      <c r="JQQ39" s="8"/>
      <c r="JQR39" s="8"/>
      <c r="JQS39" s="8"/>
      <c r="JQT39" s="8"/>
      <c r="JQU39" s="8"/>
      <c r="JQV39" s="8"/>
      <c r="JQW39" s="8"/>
      <c r="JQX39" s="8"/>
      <c r="JQY39" s="8"/>
      <c r="JQZ39" s="8"/>
      <c r="JRA39" s="8"/>
      <c r="JRB39" s="8"/>
      <c r="JRC39" s="8"/>
      <c r="JRD39" s="8"/>
      <c r="JRE39" s="8"/>
      <c r="JRF39" s="8"/>
      <c r="JRG39" s="8"/>
      <c r="JRH39" s="8"/>
      <c r="JRI39" s="8"/>
      <c r="JRJ39" s="8"/>
      <c r="JRK39" s="8"/>
      <c r="JRL39" s="8"/>
      <c r="JRM39" s="8"/>
      <c r="JRN39" s="8"/>
      <c r="JRO39" s="8"/>
      <c r="JRP39" s="8"/>
      <c r="JRQ39" s="8"/>
      <c r="JRR39" s="8"/>
      <c r="JRS39" s="8"/>
      <c r="JRT39" s="8"/>
      <c r="JRU39" s="8"/>
      <c r="JRV39" s="8"/>
      <c r="JRW39" s="8"/>
      <c r="JRX39" s="8"/>
      <c r="JRY39" s="8"/>
      <c r="JRZ39" s="8"/>
      <c r="JSA39" s="8"/>
      <c r="JSB39" s="8"/>
      <c r="JSC39" s="8"/>
      <c r="JSD39" s="8"/>
      <c r="JSE39" s="8"/>
      <c r="JSF39" s="8"/>
      <c r="JSG39" s="8"/>
      <c r="JSH39" s="8"/>
      <c r="JSI39" s="8"/>
      <c r="JSJ39" s="8"/>
      <c r="JSK39" s="8"/>
      <c r="JSL39" s="8"/>
      <c r="JSM39" s="8"/>
      <c r="JSN39" s="8"/>
      <c r="JSO39" s="8"/>
      <c r="JSP39" s="8"/>
      <c r="JSQ39" s="8"/>
      <c r="JSR39" s="8"/>
      <c r="JSS39" s="8"/>
      <c r="JST39" s="8"/>
      <c r="JSU39" s="8"/>
      <c r="JSV39" s="8"/>
      <c r="JSW39" s="8"/>
      <c r="JSX39" s="8"/>
      <c r="JSY39" s="8"/>
      <c r="JSZ39" s="8"/>
      <c r="JTA39" s="8"/>
      <c r="JTB39" s="8"/>
      <c r="JTC39" s="8"/>
      <c r="JTD39" s="8"/>
      <c r="JTE39" s="8"/>
      <c r="JTF39" s="8"/>
      <c r="JTG39" s="8"/>
      <c r="JTH39" s="8"/>
      <c r="JTI39" s="8"/>
      <c r="JTJ39" s="8"/>
      <c r="JTK39" s="8"/>
      <c r="JTL39" s="8"/>
      <c r="JTM39" s="8"/>
      <c r="JTN39" s="8"/>
      <c r="JTO39" s="8"/>
      <c r="JTP39" s="8"/>
      <c r="JTQ39" s="8"/>
      <c r="JTR39" s="8"/>
      <c r="JTS39" s="8"/>
      <c r="JTT39" s="8"/>
      <c r="JTU39" s="8"/>
      <c r="JTV39" s="8"/>
      <c r="JTW39" s="8"/>
      <c r="JTX39" s="8"/>
      <c r="JTY39" s="8"/>
      <c r="JTZ39" s="8"/>
      <c r="JUA39" s="8"/>
      <c r="JUB39" s="8"/>
      <c r="JUC39" s="8"/>
      <c r="JUD39" s="8"/>
      <c r="JUE39" s="8"/>
      <c r="JUF39" s="8"/>
      <c r="JUG39" s="8"/>
      <c r="JUH39" s="8"/>
      <c r="JUI39" s="8"/>
      <c r="JUJ39" s="8"/>
      <c r="JUK39" s="8"/>
      <c r="JUL39" s="8"/>
      <c r="JUM39" s="8"/>
      <c r="JUN39" s="8"/>
      <c r="JUO39" s="8"/>
      <c r="JUP39" s="8"/>
      <c r="JUQ39" s="8"/>
      <c r="JUR39" s="8"/>
      <c r="JUS39" s="8"/>
      <c r="JUT39" s="8"/>
      <c r="JUU39" s="8"/>
      <c r="JUV39" s="8"/>
      <c r="JUW39" s="8"/>
      <c r="JUX39" s="8"/>
      <c r="JUY39" s="8"/>
      <c r="JUZ39" s="8"/>
      <c r="JVA39" s="8"/>
      <c r="JVB39" s="8"/>
      <c r="JVC39" s="8"/>
      <c r="JVD39" s="8"/>
      <c r="JVE39" s="8"/>
      <c r="JVF39" s="8"/>
      <c r="JVG39" s="8"/>
      <c r="JVH39" s="8"/>
      <c r="JVI39" s="8"/>
      <c r="JVJ39" s="8"/>
      <c r="JVK39" s="8"/>
      <c r="JVL39" s="8"/>
      <c r="JVM39" s="8"/>
      <c r="JVN39" s="8"/>
      <c r="JVO39" s="8"/>
      <c r="JVP39" s="8"/>
      <c r="JVQ39" s="8"/>
      <c r="JVR39" s="8"/>
      <c r="JVS39" s="8"/>
      <c r="JVT39" s="8"/>
      <c r="JVU39" s="8"/>
      <c r="JVV39" s="8"/>
      <c r="JVW39" s="8"/>
      <c r="JVX39" s="8"/>
      <c r="JVY39" s="8"/>
      <c r="JVZ39" s="8"/>
      <c r="JWA39" s="8"/>
      <c r="JWB39" s="8"/>
      <c r="JWC39" s="8"/>
      <c r="JWD39" s="8"/>
      <c r="JWE39" s="8"/>
      <c r="JWF39" s="8"/>
      <c r="JWG39" s="8"/>
      <c r="JWH39" s="8"/>
      <c r="JWI39" s="8"/>
      <c r="JWJ39" s="8"/>
      <c r="JWK39" s="8"/>
      <c r="JWL39" s="8"/>
      <c r="JWM39" s="8"/>
      <c r="JWN39" s="8"/>
      <c r="JWO39" s="8"/>
      <c r="JWP39" s="8"/>
      <c r="JWQ39" s="8"/>
      <c r="JWR39" s="8"/>
      <c r="JWS39" s="8"/>
      <c r="JWT39" s="8"/>
      <c r="JWU39" s="8"/>
      <c r="JWV39" s="8"/>
      <c r="JWW39" s="8"/>
      <c r="JWX39" s="8"/>
      <c r="JWY39" s="8"/>
      <c r="JWZ39" s="8"/>
      <c r="JXA39" s="8"/>
      <c r="JXB39" s="8"/>
      <c r="JXC39" s="8"/>
      <c r="JXD39" s="8"/>
      <c r="JXE39" s="8"/>
      <c r="JXF39" s="8"/>
      <c r="JXG39" s="8"/>
      <c r="JXH39" s="8"/>
      <c r="JXI39" s="8"/>
      <c r="JXJ39" s="8"/>
      <c r="JXK39" s="8"/>
      <c r="JXL39" s="8"/>
      <c r="JXM39" s="8"/>
      <c r="JXN39" s="8"/>
      <c r="JXO39" s="8"/>
      <c r="JXP39" s="8"/>
      <c r="JXQ39" s="8"/>
      <c r="JXR39" s="8"/>
      <c r="JXS39" s="8"/>
      <c r="JXT39" s="8"/>
      <c r="JXU39" s="8"/>
      <c r="JXV39" s="8"/>
      <c r="JXW39" s="8"/>
      <c r="JXX39" s="8"/>
      <c r="JXY39" s="8"/>
      <c r="JXZ39" s="8"/>
      <c r="JYA39" s="8"/>
      <c r="JYB39" s="8"/>
      <c r="JYC39" s="8"/>
      <c r="JYD39" s="8"/>
      <c r="JYE39" s="8"/>
      <c r="JYF39" s="8"/>
      <c r="JYG39" s="8"/>
      <c r="JYH39" s="8"/>
      <c r="JYI39" s="8"/>
      <c r="JYJ39" s="8"/>
      <c r="JYK39" s="8"/>
      <c r="JYL39" s="8"/>
      <c r="JYM39" s="8"/>
      <c r="JYN39" s="8"/>
      <c r="JYO39" s="8"/>
      <c r="JYP39" s="8"/>
      <c r="JYQ39" s="8"/>
      <c r="JYR39" s="8"/>
      <c r="JYS39" s="8"/>
      <c r="JYT39" s="8"/>
      <c r="JYU39" s="8"/>
      <c r="JYV39" s="8"/>
      <c r="JYW39" s="8"/>
      <c r="JYX39" s="8"/>
      <c r="JYY39" s="8"/>
      <c r="JYZ39" s="8"/>
      <c r="JZA39" s="8"/>
      <c r="JZB39" s="8"/>
      <c r="JZC39" s="8"/>
      <c r="JZD39" s="8"/>
      <c r="JZE39" s="8"/>
      <c r="JZF39" s="8"/>
      <c r="JZG39" s="8"/>
      <c r="JZH39" s="8"/>
      <c r="JZI39" s="8"/>
      <c r="JZJ39" s="8"/>
      <c r="JZK39" s="8"/>
      <c r="JZL39" s="8"/>
      <c r="JZM39" s="8"/>
      <c r="JZN39" s="8"/>
      <c r="JZO39" s="8"/>
      <c r="JZP39" s="8"/>
      <c r="JZQ39" s="8"/>
      <c r="JZR39" s="8"/>
      <c r="JZS39" s="8"/>
      <c r="JZT39" s="8"/>
      <c r="JZU39" s="8"/>
      <c r="JZV39" s="8"/>
      <c r="JZW39" s="8"/>
      <c r="JZX39" s="8"/>
      <c r="JZY39" s="8"/>
      <c r="JZZ39" s="8"/>
      <c r="KAA39" s="8"/>
      <c r="KAB39" s="8"/>
      <c r="KAC39" s="8"/>
      <c r="KAD39" s="8"/>
      <c r="KAE39" s="8"/>
      <c r="KAF39" s="8"/>
      <c r="KAG39" s="8"/>
      <c r="KAH39" s="8"/>
      <c r="KAI39" s="8"/>
      <c r="KAJ39" s="8"/>
      <c r="KAK39" s="8"/>
      <c r="KAL39" s="8"/>
      <c r="KAM39" s="8"/>
      <c r="KAN39" s="8"/>
      <c r="KAO39" s="8"/>
      <c r="KAP39" s="8"/>
      <c r="KAQ39" s="8"/>
      <c r="KAR39" s="8"/>
      <c r="KAS39" s="8"/>
      <c r="KAT39" s="8"/>
      <c r="KAU39" s="8"/>
      <c r="KAV39" s="8"/>
      <c r="KAW39" s="8"/>
      <c r="KAX39" s="8"/>
      <c r="KAY39" s="8"/>
      <c r="KAZ39" s="8"/>
      <c r="KBA39" s="8"/>
      <c r="KBB39" s="8"/>
      <c r="KBC39" s="8"/>
      <c r="KBD39" s="8"/>
      <c r="KBE39" s="8"/>
      <c r="KBF39" s="8"/>
      <c r="KBG39" s="8"/>
      <c r="KBH39" s="8"/>
      <c r="KBI39" s="8"/>
      <c r="KBJ39" s="8"/>
      <c r="KBK39" s="8"/>
      <c r="KBL39" s="8"/>
      <c r="KBM39" s="8"/>
      <c r="KBN39" s="8"/>
      <c r="KBO39" s="8"/>
      <c r="KBP39" s="8"/>
      <c r="KBQ39" s="8"/>
      <c r="KBR39" s="8"/>
      <c r="KBS39" s="8"/>
      <c r="KBT39" s="8"/>
      <c r="KBU39" s="8"/>
      <c r="KBV39" s="8"/>
      <c r="KBW39" s="8"/>
      <c r="KBX39" s="8"/>
      <c r="KBY39" s="8"/>
      <c r="KBZ39" s="8"/>
      <c r="KCA39" s="8"/>
      <c r="KCB39" s="8"/>
      <c r="KCC39" s="8"/>
      <c r="KCD39" s="8"/>
      <c r="KCE39" s="8"/>
      <c r="KCF39" s="8"/>
      <c r="KCG39" s="8"/>
      <c r="KCH39" s="8"/>
      <c r="KCI39" s="8"/>
      <c r="KCJ39" s="8"/>
      <c r="KCK39" s="8"/>
      <c r="KCL39" s="8"/>
      <c r="KCM39" s="8"/>
      <c r="KCN39" s="8"/>
      <c r="KCO39" s="8"/>
      <c r="KCP39" s="8"/>
      <c r="KCQ39" s="8"/>
      <c r="KCR39" s="8"/>
      <c r="KCS39" s="8"/>
      <c r="KCT39" s="8"/>
      <c r="KCU39" s="8"/>
      <c r="KCV39" s="8"/>
      <c r="KCW39" s="8"/>
      <c r="KCX39" s="8"/>
      <c r="KCY39" s="8"/>
      <c r="KCZ39" s="8"/>
      <c r="KDA39" s="8"/>
      <c r="KDB39" s="8"/>
      <c r="KDC39" s="8"/>
      <c r="KDD39" s="8"/>
      <c r="KDE39" s="8"/>
      <c r="KDF39" s="8"/>
      <c r="KDG39" s="8"/>
      <c r="KDH39" s="8"/>
      <c r="KDI39" s="8"/>
      <c r="KDJ39" s="8"/>
      <c r="KDK39" s="8"/>
      <c r="KDL39" s="8"/>
      <c r="KDM39" s="8"/>
      <c r="KDN39" s="8"/>
      <c r="KDO39" s="8"/>
      <c r="KDP39" s="8"/>
      <c r="KDQ39" s="8"/>
      <c r="KDR39" s="8"/>
      <c r="KDS39" s="8"/>
      <c r="KDT39" s="8"/>
      <c r="KDU39" s="8"/>
      <c r="KDV39" s="8"/>
      <c r="KDW39" s="8"/>
      <c r="KDX39" s="8"/>
      <c r="KDY39" s="8"/>
      <c r="KDZ39" s="8"/>
      <c r="KEA39" s="8"/>
      <c r="KEB39" s="8"/>
      <c r="KEC39" s="8"/>
      <c r="KED39" s="8"/>
      <c r="KEE39" s="8"/>
      <c r="KEF39" s="8"/>
      <c r="KEG39" s="8"/>
      <c r="KEH39" s="8"/>
      <c r="KEI39" s="8"/>
      <c r="KEJ39" s="8"/>
      <c r="KEK39" s="8"/>
      <c r="KEL39" s="8"/>
      <c r="KEM39" s="8"/>
      <c r="KEN39" s="8"/>
      <c r="KEO39" s="8"/>
      <c r="KEP39" s="8"/>
      <c r="KEQ39" s="8"/>
      <c r="KER39" s="8"/>
      <c r="KES39" s="8"/>
      <c r="KET39" s="8"/>
      <c r="KEU39" s="8"/>
      <c r="KEV39" s="8"/>
      <c r="KEW39" s="8"/>
      <c r="KEX39" s="8"/>
      <c r="KEY39" s="8"/>
      <c r="KEZ39" s="8"/>
      <c r="KFA39" s="8"/>
      <c r="KFB39" s="8"/>
      <c r="KFC39" s="8"/>
      <c r="KFD39" s="8"/>
      <c r="KFE39" s="8"/>
      <c r="KFF39" s="8"/>
      <c r="KFG39" s="8"/>
      <c r="KFH39" s="8"/>
      <c r="KFI39" s="8"/>
      <c r="KFJ39" s="8"/>
      <c r="KFK39" s="8"/>
      <c r="KFL39" s="8"/>
      <c r="KFM39" s="8"/>
      <c r="KFN39" s="8"/>
      <c r="KFO39" s="8"/>
      <c r="KFP39" s="8"/>
      <c r="KFQ39" s="8"/>
      <c r="KFR39" s="8"/>
      <c r="KFS39" s="8"/>
      <c r="KFT39" s="8"/>
      <c r="KFU39" s="8"/>
      <c r="KFV39" s="8"/>
      <c r="KFW39" s="8"/>
      <c r="KFX39" s="8"/>
      <c r="KFY39" s="8"/>
      <c r="KFZ39" s="8"/>
      <c r="KGA39" s="8"/>
      <c r="KGB39" s="8"/>
      <c r="KGC39" s="8"/>
      <c r="KGD39" s="8"/>
      <c r="KGE39" s="8"/>
      <c r="KGF39" s="8"/>
      <c r="KGG39" s="8"/>
      <c r="KGH39" s="8"/>
      <c r="KGI39" s="8"/>
      <c r="KGJ39" s="8"/>
      <c r="KGK39" s="8"/>
      <c r="KGL39" s="8"/>
      <c r="KGM39" s="8"/>
      <c r="KGN39" s="8"/>
      <c r="KGO39" s="8"/>
      <c r="KGP39" s="8"/>
      <c r="KGQ39" s="8"/>
      <c r="KGR39" s="8"/>
      <c r="KGS39" s="8"/>
      <c r="KGT39" s="8"/>
      <c r="KGU39" s="8"/>
      <c r="KGV39" s="8"/>
      <c r="KGW39" s="8"/>
      <c r="KGX39" s="8"/>
      <c r="KGY39" s="8"/>
      <c r="KGZ39" s="8"/>
      <c r="KHA39" s="8"/>
      <c r="KHB39" s="8"/>
      <c r="KHC39" s="8"/>
      <c r="KHD39" s="8"/>
      <c r="KHE39" s="8"/>
      <c r="KHF39" s="8"/>
      <c r="KHG39" s="8"/>
      <c r="KHH39" s="8"/>
      <c r="KHI39" s="8"/>
      <c r="KHJ39" s="8"/>
      <c r="KHK39" s="8"/>
      <c r="KHL39" s="8"/>
      <c r="KHM39" s="8"/>
      <c r="KHN39" s="8"/>
      <c r="KHO39" s="8"/>
      <c r="KHP39" s="8"/>
      <c r="KHQ39" s="8"/>
      <c r="KHR39" s="8"/>
      <c r="KHS39" s="8"/>
      <c r="KHT39" s="8"/>
      <c r="KHU39" s="8"/>
      <c r="KHV39" s="8"/>
      <c r="KHW39" s="8"/>
      <c r="KHX39" s="8"/>
      <c r="KHY39" s="8"/>
      <c r="KHZ39" s="8"/>
      <c r="KIA39" s="8"/>
      <c r="KIB39" s="8"/>
      <c r="KIC39" s="8"/>
      <c r="KID39" s="8"/>
      <c r="KIE39" s="8"/>
      <c r="KIF39" s="8"/>
      <c r="KIG39" s="8"/>
      <c r="KIH39" s="8"/>
      <c r="KII39" s="8"/>
      <c r="KIJ39" s="8"/>
      <c r="KIK39" s="8"/>
      <c r="KIL39" s="8"/>
      <c r="KIM39" s="8"/>
      <c r="KIN39" s="8"/>
      <c r="KIO39" s="8"/>
      <c r="KIP39" s="8"/>
      <c r="KIQ39" s="8"/>
      <c r="KIR39" s="8"/>
      <c r="KIS39" s="8"/>
      <c r="KIT39" s="8"/>
      <c r="KIU39" s="8"/>
      <c r="KIV39" s="8"/>
      <c r="KIW39" s="8"/>
      <c r="KIX39" s="8"/>
      <c r="KIY39" s="8"/>
      <c r="KIZ39" s="8"/>
      <c r="KJA39" s="8"/>
      <c r="KJB39" s="8"/>
      <c r="KJC39" s="8"/>
      <c r="KJD39" s="8"/>
      <c r="KJE39" s="8"/>
      <c r="KJF39" s="8"/>
      <c r="KJG39" s="8"/>
      <c r="KJH39" s="8"/>
      <c r="KJI39" s="8"/>
      <c r="KJJ39" s="8"/>
      <c r="KJK39" s="8"/>
      <c r="KJL39" s="8"/>
      <c r="KJM39" s="8"/>
      <c r="KJN39" s="8"/>
      <c r="KJO39" s="8"/>
      <c r="KJP39" s="8"/>
      <c r="KJQ39" s="8"/>
      <c r="KJR39" s="8"/>
      <c r="KJS39" s="8"/>
      <c r="KJT39" s="8"/>
      <c r="KJU39" s="8"/>
      <c r="KJV39" s="8"/>
      <c r="KJW39" s="8"/>
      <c r="KJX39" s="8"/>
      <c r="KJY39" s="8"/>
      <c r="KJZ39" s="8"/>
      <c r="KKA39" s="8"/>
      <c r="KKB39" s="8"/>
      <c r="KKC39" s="8"/>
      <c r="KKD39" s="8"/>
      <c r="KKE39" s="8"/>
      <c r="KKF39" s="8"/>
      <c r="KKG39" s="8"/>
      <c r="KKH39" s="8"/>
      <c r="KKI39" s="8"/>
      <c r="KKJ39" s="8"/>
      <c r="KKK39" s="8"/>
      <c r="KKL39" s="8"/>
      <c r="KKM39" s="8"/>
      <c r="KKN39" s="8"/>
      <c r="KKO39" s="8"/>
      <c r="KKP39" s="8"/>
      <c r="KKQ39" s="8"/>
      <c r="KKR39" s="8"/>
      <c r="KKS39" s="8"/>
      <c r="KKT39" s="8"/>
      <c r="KKU39" s="8"/>
      <c r="KKV39" s="8"/>
      <c r="KKW39" s="8"/>
      <c r="KKX39" s="8"/>
      <c r="KKY39" s="8"/>
      <c r="KKZ39" s="8"/>
      <c r="KLA39" s="8"/>
      <c r="KLB39" s="8"/>
      <c r="KLC39" s="8"/>
      <c r="KLD39" s="8"/>
      <c r="KLE39" s="8"/>
      <c r="KLF39" s="8"/>
      <c r="KLG39" s="8"/>
      <c r="KLH39" s="8"/>
      <c r="KLI39" s="8"/>
      <c r="KLJ39" s="8"/>
      <c r="KLK39" s="8"/>
      <c r="KLL39" s="8"/>
      <c r="KLM39" s="8"/>
      <c r="KLN39" s="8"/>
      <c r="KLO39" s="8"/>
      <c r="KLP39" s="8"/>
      <c r="KLQ39" s="8"/>
      <c r="KLR39" s="8"/>
      <c r="KLS39" s="8"/>
      <c r="KLT39" s="8"/>
      <c r="KLU39" s="8"/>
      <c r="KLV39" s="8"/>
      <c r="KLW39" s="8"/>
      <c r="KLX39" s="8"/>
      <c r="KLY39" s="8"/>
      <c r="KLZ39" s="8"/>
      <c r="KMA39" s="8"/>
      <c r="KMB39" s="8"/>
      <c r="KMC39" s="8"/>
      <c r="KMD39" s="8"/>
      <c r="KME39" s="8"/>
      <c r="KMF39" s="8"/>
      <c r="KMG39" s="8"/>
      <c r="KMH39" s="8"/>
      <c r="KMI39" s="8"/>
      <c r="KMJ39" s="8"/>
      <c r="KMK39" s="8"/>
      <c r="KML39" s="8"/>
      <c r="KMM39" s="8"/>
      <c r="KMN39" s="8"/>
      <c r="KMO39" s="8"/>
      <c r="KMP39" s="8"/>
      <c r="KMQ39" s="8"/>
      <c r="KMR39" s="8"/>
      <c r="KMS39" s="8"/>
      <c r="KMT39" s="8"/>
      <c r="KMU39" s="8"/>
      <c r="KMV39" s="8"/>
      <c r="KMW39" s="8"/>
      <c r="KMX39" s="8"/>
      <c r="KMY39" s="8"/>
      <c r="KMZ39" s="8"/>
      <c r="KNA39" s="8"/>
      <c r="KNB39" s="8"/>
      <c r="KNC39" s="8"/>
      <c r="KND39" s="8"/>
      <c r="KNE39" s="8"/>
      <c r="KNF39" s="8"/>
      <c r="KNG39" s="8"/>
      <c r="KNH39" s="8"/>
      <c r="KNI39" s="8"/>
      <c r="KNJ39" s="8"/>
      <c r="KNK39" s="8"/>
      <c r="KNL39" s="8"/>
      <c r="KNM39" s="8"/>
      <c r="KNN39" s="8"/>
      <c r="KNO39" s="8"/>
      <c r="KNP39" s="8"/>
      <c r="KNQ39" s="8"/>
      <c r="KNR39" s="8"/>
      <c r="KNS39" s="8"/>
      <c r="KNT39" s="8"/>
      <c r="KNU39" s="8"/>
      <c r="KNV39" s="8"/>
      <c r="KNW39" s="8"/>
      <c r="KNX39" s="8"/>
      <c r="KNY39" s="8"/>
      <c r="KNZ39" s="8"/>
      <c r="KOA39" s="8"/>
      <c r="KOB39" s="8"/>
      <c r="KOC39" s="8"/>
      <c r="KOD39" s="8"/>
      <c r="KOE39" s="8"/>
      <c r="KOF39" s="8"/>
      <c r="KOG39" s="8"/>
      <c r="KOH39" s="8"/>
      <c r="KOI39" s="8"/>
      <c r="KOJ39" s="8"/>
      <c r="KOK39" s="8"/>
      <c r="KOL39" s="8"/>
      <c r="KOM39" s="8"/>
      <c r="KON39" s="8"/>
      <c r="KOO39" s="8"/>
      <c r="KOP39" s="8"/>
      <c r="KOQ39" s="8"/>
      <c r="KOR39" s="8"/>
      <c r="KOS39" s="8"/>
      <c r="KOT39" s="8"/>
      <c r="KOU39" s="8"/>
      <c r="KOV39" s="8"/>
      <c r="KOW39" s="8"/>
      <c r="KOX39" s="8"/>
      <c r="KOY39" s="8"/>
      <c r="KOZ39" s="8"/>
      <c r="KPA39" s="8"/>
      <c r="KPB39" s="8"/>
      <c r="KPC39" s="8"/>
      <c r="KPD39" s="8"/>
      <c r="KPE39" s="8"/>
      <c r="KPF39" s="8"/>
      <c r="KPG39" s="8"/>
      <c r="KPH39" s="8"/>
      <c r="KPI39" s="8"/>
      <c r="KPJ39" s="8"/>
      <c r="KPK39" s="8"/>
      <c r="KPL39" s="8"/>
      <c r="KPM39" s="8"/>
      <c r="KPN39" s="8"/>
      <c r="KPO39" s="8"/>
      <c r="KPP39" s="8"/>
      <c r="KPQ39" s="8"/>
      <c r="KPR39" s="8"/>
      <c r="KPS39" s="8"/>
      <c r="KPT39" s="8"/>
      <c r="KPU39" s="8"/>
      <c r="KPV39" s="8"/>
      <c r="KPW39" s="8"/>
      <c r="KPX39" s="8"/>
      <c r="KPY39" s="8"/>
      <c r="KPZ39" s="8"/>
      <c r="KQA39" s="8"/>
      <c r="KQB39" s="8"/>
      <c r="KQC39" s="8"/>
      <c r="KQD39" s="8"/>
      <c r="KQE39" s="8"/>
      <c r="KQF39" s="8"/>
      <c r="KQG39" s="8"/>
      <c r="KQH39" s="8"/>
      <c r="KQI39" s="8"/>
      <c r="KQJ39" s="8"/>
      <c r="KQK39" s="8"/>
      <c r="KQL39" s="8"/>
      <c r="KQM39" s="8"/>
      <c r="KQN39" s="8"/>
      <c r="KQO39" s="8"/>
      <c r="KQP39" s="8"/>
      <c r="KQQ39" s="8"/>
      <c r="KQR39" s="8"/>
      <c r="KQS39" s="8"/>
      <c r="KQT39" s="8"/>
      <c r="KQU39" s="8"/>
      <c r="KQV39" s="8"/>
      <c r="KQW39" s="8"/>
      <c r="KQX39" s="8"/>
      <c r="KQY39" s="8"/>
      <c r="KQZ39" s="8"/>
      <c r="KRA39" s="8"/>
      <c r="KRB39" s="8"/>
      <c r="KRC39" s="8"/>
      <c r="KRD39" s="8"/>
      <c r="KRE39" s="8"/>
      <c r="KRF39" s="8"/>
      <c r="KRG39" s="8"/>
      <c r="KRH39" s="8"/>
      <c r="KRI39" s="8"/>
      <c r="KRJ39" s="8"/>
      <c r="KRK39" s="8"/>
      <c r="KRL39" s="8"/>
      <c r="KRM39" s="8"/>
      <c r="KRN39" s="8"/>
      <c r="KRO39" s="8"/>
      <c r="KRP39" s="8"/>
      <c r="KRQ39" s="8"/>
      <c r="KRR39" s="8"/>
      <c r="KRS39" s="8"/>
      <c r="KRT39" s="8"/>
      <c r="KRU39" s="8"/>
      <c r="KRV39" s="8"/>
      <c r="KRW39" s="8"/>
      <c r="KRX39" s="8"/>
      <c r="KRY39" s="8"/>
      <c r="KRZ39" s="8"/>
      <c r="KSA39" s="8"/>
      <c r="KSB39" s="8"/>
      <c r="KSC39" s="8"/>
      <c r="KSD39" s="8"/>
      <c r="KSE39" s="8"/>
      <c r="KSF39" s="8"/>
      <c r="KSG39" s="8"/>
      <c r="KSH39" s="8"/>
      <c r="KSI39" s="8"/>
      <c r="KSJ39" s="8"/>
      <c r="KSK39" s="8"/>
      <c r="KSL39" s="8"/>
      <c r="KSM39" s="8"/>
      <c r="KSN39" s="8"/>
      <c r="KSO39" s="8"/>
      <c r="KSP39" s="8"/>
      <c r="KSQ39" s="8"/>
      <c r="KSR39" s="8"/>
      <c r="KSS39" s="8"/>
      <c r="KST39" s="8"/>
      <c r="KSU39" s="8"/>
      <c r="KSV39" s="8"/>
      <c r="KSW39" s="8"/>
      <c r="KSX39" s="8"/>
      <c r="KSY39" s="8"/>
      <c r="KSZ39" s="8"/>
      <c r="KTA39" s="8"/>
      <c r="KTB39" s="8"/>
      <c r="KTC39" s="8"/>
      <c r="KTD39" s="8"/>
      <c r="KTE39" s="8"/>
      <c r="KTF39" s="8"/>
      <c r="KTG39" s="8"/>
      <c r="KTH39" s="8"/>
      <c r="KTI39" s="8"/>
      <c r="KTJ39" s="8"/>
      <c r="KTK39" s="8"/>
      <c r="KTL39" s="8"/>
      <c r="KTM39" s="8"/>
      <c r="KTN39" s="8"/>
      <c r="KTO39" s="8"/>
      <c r="KTP39" s="8"/>
      <c r="KTQ39" s="8"/>
      <c r="KTR39" s="8"/>
      <c r="KTS39" s="8"/>
      <c r="KTT39" s="8"/>
      <c r="KTU39" s="8"/>
      <c r="KTV39" s="8"/>
      <c r="KTW39" s="8"/>
      <c r="KTX39" s="8"/>
      <c r="KTY39" s="8"/>
      <c r="KTZ39" s="8"/>
      <c r="KUA39" s="8"/>
      <c r="KUB39" s="8"/>
      <c r="KUC39" s="8"/>
      <c r="KUD39" s="8"/>
      <c r="KUE39" s="8"/>
      <c r="KUF39" s="8"/>
      <c r="KUG39" s="8"/>
      <c r="KUH39" s="8"/>
      <c r="KUI39" s="8"/>
      <c r="KUJ39" s="8"/>
      <c r="KUK39" s="8"/>
      <c r="KUL39" s="8"/>
      <c r="KUM39" s="8"/>
      <c r="KUN39" s="8"/>
      <c r="KUO39" s="8"/>
      <c r="KUP39" s="8"/>
      <c r="KUQ39" s="8"/>
      <c r="KUR39" s="8"/>
      <c r="KUS39" s="8"/>
      <c r="KUT39" s="8"/>
      <c r="KUU39" s="8"/>
      <c r="KUV39" s="8"/>
      <c r="KUW39" s="8"/>
      <c r="KUX39" s="8"/>
      <c r="KUY39" s="8"/>
      <c r="KUZ39" s="8"/>
      <c r="KVA39" s="8"/>
      <c r="KVB39" s="8"/>
      <c r="KVC39" s="8"/>
      <c r="KVD39" s="8"/>
      <c r="KVE39" s="8"/>
      <c r="KVF39" s="8"/>
      <c r="KVG39" s="8"/>
      <c r="KVH39" s="8"/>
      <c r="KVI39" s="8"/>
      <c r="KVJ39" s="8"/>
      <c r="KVK39" s="8"/>
      <c r="KVL39" s="8"/>
      <c r="KVM39" s="8"/>
      <c r="KVN39" s="8"/>
      <c r="KVO39" s="8"/>
      <c r="KVP39" s="8"/>
      <c r="KVQ39" s="8"/>
      <c r="KVR39" s="8"/>
      <c r="KVS39" s="8"/>
      <c r="KVT39" s="8"/>
      <c r="KVU39" s="8"/>
      <c r="KVV39" s="8"/>
      <c r="KVW39" s="8"/>
      <c r="KVX39" s="8"/>
      <c r="KVY39" s="8"/>
      <c r="KVZ39" s="8"/>
      <c r="KWA39" s="8"/>
      <c r="KWB39" s="8"/>
      <c r="KWC39" s="8"/>
      <c r="KWD39" s="8"/>
      <c r="KWE39" s="8"/>
      <c r="KWF39" s="8"/>
      <c r="KWG39" s="8"/>
      <c r="KWH39" s="8"/>
      <c r="KWI39" s="8"/>
      <c r="KWJ39" s="8"/>
      <c r="KWK39" s="8"/>
      <c r="KWL39" s="8"/>
      <c r="KWM39" s="8"/>
      <c r="KWN39" s="8"/>
      <c r="KWO39" s="8"/>
      <c r="KWP39" s="8"/>
      <c r="KWQ39" s="8"/>
      <c r="KWR39" s="8"/>
      <c r="KWS39" s="8"/>
      <c r="KWT39" s="8"/>
      <c r="KWU39" s="8"/>
      <c r="KWV39" s="8"/>
      <c r="KWW39" s="8"/>
      <c r="KWX39" s="8"/>
      <c r="KWY39" s="8"/>
      <c r="KWZ39" s="8"/>
      <c r="KXA39" s="8"/>
      <c r="KXB39" s="8"/>
      <c r="KXC39" s="8"/>
      <c r="KXD39" s="8"/>
      <c r="KXE39" s="8"/>
      <c r="KXF39" s="8"/>
      <c r="KXG39" s="8"/>
      <c r="KXH39" s="8"/>
      <c r="KXI39" s="8"/>
      <c r="KXJ39" s="8"/>
      <c r="KXK39" s="8"/>
      <c r="KXL39" s="8"/>
      <c r="KXM39" s="8"/>
      <c r="KXN39" s="8"/>
      <c r="KXO39" s="8"/>
      <c r="KXP39" s="8"/>
      <c r="KXQ39" s="8"/>
      <c r="KXR39" s="8"/>
      <c r="KXS39" s="8"/>
      <c r="KXT39" s="8"/>
      <c r="KXU39" s="8"/>
      <c r="KXV39" s="8"/>
      <c r="KXW39" s="8"/>
      <c r="KXX39" s="8"/>
      <c r="KXY39" s="8"/>
      <c r="KXZ39" s="8"/>
      <c r="KYA39" s="8"/>
      <c r="KYB39" s="8"/>
      <c r="KYC39" s="8"/>
      <c r="KYD39" s="8"/>
      <c r="KYE39" s="8"/>
      <c r="KYF39" s="8"/>
      <c r="KYG39" s="8"/>
      <c r="KYH39" s="8"/>
      <c r="KYI39" s="8"/>
      <c r="KYJ39" s="8"/>
      <c r="KYK39" s="8"/>
      <c r="KYL39" s="8"/>
      <c r="KYM39" s="8"/>
      <c r="KYN39" s="8"/>
      <c r="KYO39" s="8"/>
      <c r="KYP39" s="8"/>
      <c r="KYQ39" s="8"/>
      <c r="KYR39" s="8"/>
      <c r="KYS39" s="8"/>
      <c r="KYT39" s="8"/>
      <c r="KYU39" s="8"/>
      <c r="KYV39" s="8"/>
      <c r="KYW39" s="8"/>
      <c r="KYX39" s="8"/>
      <c r="KYY39" s="8"/>
      <c r="KYZ39" s="8"/>
      <c r="KZA39" s="8"/>
      <c r="KZB39" s="8"/>
      <c r="KZC39" s="8"/>
      <c r="KZD39" s="8"/>
      <c r="KZE39" s="8"/>
      <c r="KZF39" s="8"/>
      <c r="KZG39" s="8"/>
      <c r="KZH39" s="8"/>
      <c r="KZI39" s="8"/>
      <c r="KZJ39" s="8"/>
      <c r="KZK39" s="8"/>
      <c r="KZL39" s="8"/>
      <c r="KZM39" s="8"/>
      <c r="KZN39" s="8"/>
      <c r="KZO39" s="8"/>
      <c r="KZP39" s="8"/>
      <c r="KZQ39" s="8"/>
      <c r="KZR39" s="8"/>
      <c r="KZS39" s="8"/>
      <c r="KZT39" s="8"/>
      <c r="KZU39" s="8"/>
      <c r="KZV39" s="8"/>
      <c r="KZW39" s="8"/>
      <c r="KZX39" s="8"/>
      <c r="KZY39" s="8"/>
      <c r="KZZ39" s="8"/>
      <c r="LAA39" s="8"/>
      <c r="LAB39" s="8"/>
      <c r="LAC39" s="8"/>
      <c r="LAD39" s="8"/>
      <c r="LAE39" s="8"/>
      <c r="LAF39" s="8"/>
      <c r="LAG39" s="8"/>
      <c r="LAH39" s="8"/>
      <c r="LAI39" s="8"/>
      <c r="LAJ39" s="8"/>
      <c r="LAK39" s="8"/>
      <c r="LAL39" s="8"/>
      <c r="LAM39" s="8"/>
      <c r="LAN39" s="8"/>
      <c r="LAO39" s="8"/>
      <c r="LAP39" s="8"/>
      <c r="LAQ39" s="8"/>
      <c r="LAR39" s="8"/>
      <c r="LAS39" s="8"/>
      <c r="LAT39" s="8"/>
      <c r="LAU39" s="8"/>
      <c r="LAV39" s="8"/>
      <c r="LAW39" s="8"/>
      <c r="LAX39" s="8"/>
      <c r="LAY39" s="8"/>
      <c r="LAZ39" s="8"/>
      <c r="LBA39" s="8"/>
      <c r="LBB39" s="8"/>
      <c r="LBC39" s="8"/>
      <c r="LBD39" s="8"/>
      <c r="LBE39" s="8"/>
      <c r="LBF39" s="8"/>
      <c r="LBG39" s="8"/>
      <c r="LBH39" s="8"/>
      <c r="LBI39" s="8"/>
      <c r="LBJ39" s="8"/>
      <c r="LBK39" s="8"/>
      <c r="LBL39" s="8"/>
      <c r="LBM39" s="8"/>
      <c r="LBN39" s="8"/>
      <c r="LBO39" s="8"/>
      <c r="LBP39" s="8"/>
      <c r="LBQ39" s="8"/>
      <c r="LBR39" s="8"/>
      <c r="LBS39" s="8"/>
      <c r="LBT39" s="8"/>
      <c r="LBU39" s="8"/>
      <c r="LBV39" s="8"/>
      <c r="LBW39" s="8"/>
      <c r="LBX39" s="8"/>
      <c r="LBY39" s="8"/>
      <c r="LBZ39" s="8"/>
      <c r="LCA39" s="8"/>
      <c r="LCB39" s="8"/>
      <c r="LCC39" s="8"/>
      <c r="LCD39" s="8"/>
      <c r="LCE39" s="8"/>
      <c r="LCF39" s="8"/>
      <c r="LCG39" s="8"/>
      <c r="LCH39" s="8"/>
      <c r="LCI39" s="8"/>
      <c r="LCJ39" s="8"/>
      <c r="LCK39" s="8"/>
      <c r="LCL39" s="8"/>
      <c r="LCM39" s="8"/>
      <c r="LCN39" s="8"/>
      <c r="LCO39" s="8"/>
      <c r="LCP39" s="8"/>
      <c r="LCQ39" s="8"/>
      <c r="LCR39" s="8"/>
      <c r="LCS39" s="8"/>
      <c r="LCT39" s="8"/>
      <c r="LCU39" s="8"/>
      <c r="LCV39" s="8"/>
      <c r="LCW39" s="8"/>
      <c r="LCX39" s="8"/>
      <c r="LCY39" s="8"/>
      <c r="LCZ39" s="8"/>
      <c r="LDA39" s="8"/>
      <c r="LDB39" s="8"/>
      <c r="LDC39" s="8"/>
      <c r="LDD39" s="8"/>
      <c r="LDE39" s="8"/>
      <c r="LDF39" s="8"/>
      <c r="LDG39" s="8"/>
      <c r="LDH39" s="8"/>
      <c r="LDI39" s="8"/>
      <c r="LDJ39" s="8"/>
      <c r="LDK39" s="8"/>
      <c r="LDL39" s="8"/>
      <c r="LDM39" s="8"/>
      <c r="LDN39" s="8"/>
      <c r="LDO39" s="8"/>
      <c r="LDP39" s="8"/>
      <c r="LDQ39" s="8"/>
      <c r="LDR39" s="8"/>
      <c r="LDS39" s="8"/>
      <c r="LDT39" s="8"/>
      <c r="LDU39" s="8"/>
      <c r="LDV39" s="8"/>
      <c r="LDW39" s="8"/>
      <c r="LDX39" s="8"/>
      <c r="LDY39" s="8"/>
      <c r="LDZ39" s="8"/>
      <c r="LEA39" s="8"/>
      <c r="LEB39" s="8"/>
      <c r="LEC39" s="8"/>
      <c r="LED39" s="8"/>
      <c r="LEE39" s="8"/>
      <c r="LEF39" s="8"/>
      <c r="LEG39" s="8"/>
      <c r="LEH39" s="8"/>
      <c r="LEI39" s="8"/>
      <c r="LEJ39" s="8"/>
      <c r="LEK39" s="8"/>
      <c r="LEL39" s="8"/>
      <c r="LEM39" s="8"/>
      <c r="LEN39" s="8"/>
      <c r="LEO39" s="8"/>
      <c r="LEP39" s="8"/>
      <c r="LEQ39" s="8"/>
      <c r="LER39" s="8"/>
      <c r="LES39" s="8"/>
      <c r="LET39" s="8"/>
      <c r="LEU39" s="8"/>
      <c r="LEV39" s="8"/>
      <c r="LEW39" s="8"/>
      <c r="LEX39" s="8"/>
      <c r="LEY39" s="8"/>
      <c r="LEZ39" s="8"/>
      <c r="LFA39" s="8"/>
      <c r="LFB39" s="8"/>
      <c r="LFC39" s="8"/>
      <c r="LFD39" s="8"/>
      <c r="LFE39" s="8"/>
      <c r="LFF39" s="8"/>
      <c r="LFG39" s="8"/>
      <c r="LFH39" s="8"/>
      <c r="LFI39" s="8"/>
      <c r="LFJ39" s="8"/>
      <c r="LFK39" s="8"/>
      <c r="LFL39" s="8"/>
      <c r="LFM39" s="8"/>
      <c r="LFN39" s="8"/>
      <c r="LFO39" s="8"/>
      <c r="LFP39" s="8"/>
      <c r="LFQ39" s="8"/>
      <c r="LFR39" s="8"/>
      <c r="LFS39" s="8"/>
      <c r="LFT39" s="8"/>
      <c r="LFU39" s="8"/>
      <c r="LFV39" s="8"/>
      <c r="LFW39" s="8"/>
      <c r="LFX39" s="8"/>
      <c r="LFY39" s="8"/>
      <c r="LFZ39" s="8"/>
      <c r="LGA39" s="8"/>
      <c r="LGB39" s="8"/>
      <c r="LGC39" s="8"/>
      <c r="LGD39" s="8"/>
      <c r="LGE39" s="8"/>
      <c r="LGF39" s="8"/>
      <c r="LGG39" s="8"/>
      <c r="LGH39" s="8"/>
      <c r="LGI39" s="8"/>
      <c r="LGJ39" s="8"/>
      <c r="LGK39" s="8"/>
      <c r="LGL39" s="8"/>
      <c r="LGM39" s="8"/>
      <c r="LGN39" s="8"/>
      <c r="LGO39" s="8"/>
      <c r="LGP39" s="8"/>
      <c r="LGQ39" s="8"/>
      <c r="LGR39" s="8"/>
      <c r="LGS39" s="8"/>
      <c r="LGT39" s="8"/>
      <c r="LGU39" s="8"/>
      <c r="LGV39" s="8"/>
      <c r="LGW39" s="8"/>
      <c r="LGX39" s="8"/>
      <c r="LGY39" s="8"/>
      <c r="LGZ39" s="8"/>
      <c r="LHA39" s="8"/>
      <c r="LHB39" s="8"/>
      <c r="LHC39" s="8"/>
      <c r="LHD39" s="8"/>
      <c r="LHE39" s="8"/>
      <c r="LHF39" s="8"/>
      <c r="LHG39" s="8"/>
      <c r="LHH39" s="8"/>
      <c r="LHI39" s="8"/>
      <c r="LHJ39" s="8"/>
      <c r="LHK39" s="8"/>
      <c r="LHL39" s="8"/>
      <c r="LHM39" s="8"/>
      <c r="LHN39" s="8"/>
      <c r="LHO39" s="8"/>
      <c r="LHP39" s="8"/>
      <c r="LHQ39" s="8"/>
      <c r="LHR39" s="8"/>
      <c r="LHS39" s="8"/>
      <c r="LHT39" s="8"/>
      <c r="LHU39" s="8"/>
      <c r="LHV39" s="8"/>
      <c r="LHW39" s="8"/>
      <c r="LHX39" s="8"/>
      <c r="LHY39" s="8"/>
      <c r="LHZ39" s="8"/>
      <c r="LIA39" s="8"/>
      <c r="LIB39" s="8"/>
      <c r="LIC39" s="8"/>
      <c r="LID39" s="8"/>
      <c r="LIE39" s="8"/>
      <c r="LIF39" s="8"/>
      <c r="LIG39" s="8"/>
      <c r="LIH39" s="8"/>
      <c r="LII39" s="8"/>
      <c r="LIJ39" s="8"/>
      <c r="LIK39" s="8"/>
      <c r="LIL39" s="8"/>
      <c r="LIM39" s="8"/>
      <c r="LIN39" s="8"/>
      <c r="LIO39" s="8"/>
      <c r="LIP39" s="8"/>
      <c r="LIQ39" s="8"/>
      <c r="LIR39" s="8"/>
      <c r="LIS39" s="8"/>
      <c r="LIT39" s="8"/>
      <c r="LIU39" s="8"/>
      <c r="LIV39" s="8"/>
      <c r="LIW39" s="8"/>
      <c r="LIX39" s="8"/>
      <c r="LIY39" s="8"/>
      <c r="LIZ39" s="8"/>
      <c r="LJA39" s="8"/>
      <c r="LJB39" s="8"/>
      <c r="LJC39" s="8"/>
      <c r="LJD39" s="8"/>
      <c r="LJE39" s="8"/>
      <c r="LJF39" s="8"/>
      <c r="LJG39" s="8"/>
      <c r="LJH39" s="8"/>
      <c r="LJI39" s="8"/>
      <c r="LJJ39" s="8"/>
      <c r="LJK39" s="8"/>
      <c r="LJL39" s="8"/>
      <c r="LJM39" s="8"/>
      <c r="LJN39" s="8"/>
      <c r="LJO39" s="8"/>
      <c r="LJP39" s="8"/>
      <c r="LJQ39" s="8"/>
      <c r="LJR39" s="8"/>
      <c r="LJS39" s="8"/>
      <c r="LJT39" s="8"/>
      <c r="LJU39" s="8"/>
      <c r="LJV39" s="8"/>
      <c r="LJW39" s="8"/>
      <c r="LJX39" s="8"/>
      <c r="LJY39" s="8"/>
      <c r="LJZ39" s="8"/>
      <c r="LKA39" s="8"/>
      <c r="LKB39" s="8"/>
      <c r="LKC39" s="8"/>
      <c r="LKD39" s="8"/>
      <c r="LKE39" s="8"/>
      <c r="LKF39" s="8"/>
      <c r="LKG39" s="8"/>
      <c r="LKH39" s="8"/>
      <c r="LKI39" s="8"/>
      <c r="LKJ39" s="8"/>
      <c r="LKK39" s="8"/>
      <c r="LKL39" s="8"/>
      <c r="LKM39" s="8"/>
      <c r="LKN39" s="8"/>
      <c r="LKO39" s="8"/>
      <c r="LKP39" s="8"/>
      <c r="LKQ39" s="8"/>
      <c r="LKR39" s="8"/>
      <c r="LKS39" s="8"/>
      <c r="LKT39" s="8"/>
      <c r="LKU39" s="8"/>
      <c r="LKV39" s="8"/>
      <c r="LKW39" s="8"/>
      <c r="LKX39" s="8"/>
      <c r="LKY39" s="8"/>
      <c r="LKZ39" s="8"/>
      <c r="LLA39" s="8"/>
      <c r="LLB39" s="8"/>
      <c r="LLC39" s="8"/>
      <c r="LLD39" s="8"/>
      <c r="LLE39" s="8"/>
      <c r="LLF39" s="8"/>
      <c r="LLG39" s="8"/>
      <c r="LLH39" s="8"/>
      <c r="LLI39" s="8"/>
      <c r="LLJ39" s="8"/>
      <c r="LLK39" s="8"/>
      <c r="LLL39" s="8"/>
      <c r="LLM39" s="8"/>
      <c r="LLN39" s="8"/>
      <c r="LLO39" s="8"/>
      <c r="LLP39" s="8"/>
      <c r="LLQ39" s="8"/>
      <c r="LLR39" s="8"/>
      <c r="LLS39" s="8"/>
      <c r="LLT39" s="8"/>
      <c r="LLU39" s="8"/>
      <c r="LLV39" s="8"/>
      <c r="LLW39" s="8"/>
      <c r="LLX39" s="8"/>
      <c r="LLY39" s="8"/>
      <c r="LLZ39" s="8"/>
      <c r="LMA39" s="8"/>
      <c r="LMB39" s="8"/>
      <c r="LMC39" s="8"/>
      <c r="LMD39" s="8"/>
      <c r="LME39" s="8"/>
      <c r="LMF39" s="8"/>
      <c r="LMG39" s="8"/>
      <c r="LMH39" s="8"/>
      <c r="LMI39" s="8"/>
      <c r="LMJ39" s="8"/>
      <c r="LMK39" s="8"/>
      <c r="LML39" s="8"/>
      <c r="LMM39" s="8"/>
      <c r="LMN39" s="8"/>
      <c r="LMO39" s="8"/>
      <c r="LMP39" s="8"/>
      <c r="LMQ39" s="8"/>
      <c r="LMR39" s="8"/>
      <c r="LMS39" s="8"/>
      <c r="LMT39" s="8"/>
      <c r="LMU39" s="8"/>
      <c r="LMV39" s="8"/>
      <c r="LMW39" s="8"/>
      <c r="LMX39" s="8"/>
      <c r="LMY39" s="8"/>
      <c r="LMZ39" s="8"/>
      <c r="LNA39" s="8"/>
      <c r="LNB39" s="8"/>
      <c r="LNC39" s="8"/>
      <c r="LND39" s="8"/>
      <c r="LNE39" s="8"/>
      <c r="LNF39" s="8"/>
      <c r="LNG39" s="8"/>
      <c r="LNH39" s="8"/>
      <c r="LNI39" s="8"/>
      <c r="LNJ39" s="8"/>
      <c r="LNK39" s="8"/>
      <c r="LNL39" s="8"/>
      <c r="LNM39" s="8"/>
      <c r="LNN39" s="8"/>
      <c r="LNO39" s="8"/>
      <c r="LNP39" s="8"/>
      <c r="LNQ39" s="8"/>
      <c r="LNR39" s="8"/>
      <c r="LNS39" s="8"/>
      <c r="LNT39" s="8"/>
      <c r="LNU39" s="8"/>
      <c r="LNV39" s="8"/>
      <c r="LNW39" s="8"/>
      <c r="LNX39" s="8"/>
      <c r="LNY39" s="8"/>
      <c r="LNZ39" s="8"/>
      <c r="LOA39" s="8"/>
      <c r="LOB39" s="8"/>
      <c r="LOC39" s="8"/>
      <c r="LOD39" s="8"/>
      <c r="LOE39" s="8"/>
      <c r="LOF39" s="8"/>
      <c r="LOG39" s="8"/>
      <c r="LOH39" s="8"/>
      <c r="LOI39" s="8"/>
      <c r="LOJ39" s="8"/>
      <c r="LOK39" s="8"/>
      <c r="LOL39" s="8"/>
      <c r="LOM39" s="8"/>
      <c r="LON39" s="8"/>
      <c r="LOO39" s="8"/>
      <c r="LOP39" s="8"/>
      <c r="LOQ39" s="8"/>
      <c r="LOR39" s="8"/>
      <c r="LOS39" s="8"/>
      <c r="LOT39" s="8"/>
      <c r="LOU39" s="8"/>
      <c r="LOV39" s="8"/>
      <c r="LOW39" s="8"/>
      <c r="LOX39" s="8"/>
      <c r="LOY39" s="8"/>
      <c r="LOZ39" s="8"/>
      <c r="LPA39" s="8"/>
      <c r="LPB39" s="8"/>
      <c r="LPC39" s="8"/>
      <c r="LPD39" s="8"/>
      <c r="LPE39" s="8"/>
      <c r="LPF39" s="8"/>
      <c r="LPG39" s="8"/>
      <c r="LPH39" s="8"/>
      <c r="LPI39" s="8"/>
      <c r="LPJ39" s="8"/>
      <c r="LPK39" s="8"/>
      <c r="LPL39" s="8"/>
      <c r="LPM39" s="8"/>
      <c r="LPN39" s="8"/>
      <c r="LPO39" s="8"/>
      <c r="LPP39" s="8"/>
      <c r="LPQ39" s="8"/>
      <c r="LPR39" s="8"/>
      <c r="LPS39" s="8"/>
      <c r="LPT39" s="8"/>
      <c r="LPU39" s="8"/>
      <c r="LPV39" s="8"/>
      <c r="LPW39" s="8"/>
      <c r="LPX39" s="8"/>
      <c r="LPY39" s="8"/>
      <c r="LPZ39" s="8"/>
      <c r="LQA39" s="8"/>
      <c r="LQB39" s="8"/>
      <c r="LQC39" s="8"/>
      <c r="LQD39" s="8"/>
      <c r="LQE39" s="8"/>
      <c r="LQF39" s="8"/>
      <c r="LQG39" s="8"/>
      <c r="LQH39" s="8"/>
      <c r="LQI39" s="8"/>
      <c r="LQJ39" s="8"/>
      <c r="LQK39" s="8"/>
      <c r="LQL39" s="8"/>
      <c r="LQM39" s="8"/>
      <c r="LQN39" s="8"/>
      <c r="LQO39" s="8"/>
      <c r="LQP39" s="8"/>
      <c r="LQQ39" s="8"/>
      <c r="LQR39" s="8"/>
      <c r="LQS39" s="8"/>
      <c r="LQT39" s="8"/>
      <c r="LQU39" s="8"/>
      <c r="LQV39" s="8"/>
      <c r="LQW39" s="8"/>
      <c r="LQX39" s="8"/>
      <c r="LQY39" s="8"/>
      <c r="LQZ39" s="8"/>
      <c r="LRA39" s="8"/>
      <c r="LRB39" s="8"/>
      <c r="LRC39" s="8"/>
      <c r="LRD39" s="8"/>
      <c r="LRE39" s="8"/>
      <c r="LRF39" s="8"/>
      <c r="LRG39" s="8"/>
      <c r="LRH39" s="8"/>
      <c r="LRI39" s="8"/>
      <c r="LRJ39" s="8"/>
      <c r="LRK39" s="8"/>
      <c r="LRL39" s="8"/>
      <c r="LRM39" s="8"/>
      <c r="LRN39" s="8"/>
      <c r="LRO39" s="8"/>
      <c r="LRP39" s="8"/>
      <c r="LRQ39" s="8"/>
      <c r="LRR39" s="8"/>
      <c r="LRS39" s="8"/>
      <c r="LRT39" s="8"/>
      <c r="LRU39" s="8"/>
      <c r="LRV39" s="8"/>
      <c r="LRW39" s="8"/>
      <c r="LRX39" s="8"/>
      <c r="LRY39" s="8"/>
      <c r="LRZ39" s="8"/>
      <c r="LSA39" s="8"/>
      <c r="LSB39" s="8"/>
      <c r="LSC39" s="8"/>
      <c r="LSD39" s="8"/>
      <c r="LSE39" s="8"/>
      <c r="LSF39" s="8"/>
      <c r="LSG39" s="8"/>
      <c r="LSH39" s="8"/>
      <c r="LSI39" s="8"/>
      <c r="LSJ39" s="8"/>
      <c r="LSK39" s="8"/>
      <c r="LSL39" s="8"/>
      <c r="LSM39" s="8"/>
      <c r="LSN39" s="8"/>
      <c r="LSO39" s="8"/>
      <c r="LSP39" s="8"/>
      <c r="LSQ39" s="8"/>
      <c r="LSR39" s="8"/>
      <c r="LSS39" s="8"/>
      <c r="LST39" s="8"/>
      <c r="LSU39" s="8"/>
      <c r="LSV39" s="8"/>
      <c r="LSW39" s="8"/>
      <c r="LSX39" s="8"/>
      <c r="LSY39" s="8"/>
      <c r="LSZ39" s="8"/>
      <c r="LTA39" s="8"/>
      <c r="LTB39" s="8"/>
      <c r="LTC39" s="8"/>
      <c r="LTD39" s="8"/>
      <c r="LTE39" s="8"/>
      <c r="LTF39" s="8"/>
      <c r="LTG39" s="8"/>
      <c r="LTH39" s="8"/>
      <c r="LTI39" s="8"/>
      <c r="LTJ39" s="8"/>
      <c r="LTK39" s="8"/>
      <c r="LTL39" s="8"/>
      <c r="LTM39" s="8"/>
      <c r="LTN39" s="8"/>
      <c r="LTO39" s="8"/>
      <c r="LTP39" s="8"/>
      <c r="LTQ39" s="8"/>
      <c r="LTR39" s="8"/>
      <c r="LTS39" s="8"/>
      <c r="LTT39" s="8"/>
      <c r="LTU39" s="8"/>
      <c r="LTV39" s="8"/>
      <c r="LTW39" s="8"/>
      <c r="LTX39" s="8"/>
      <c r="LTY39" s="8"/>
      <c r="LTZ39" s="8"/>
      <c r="LUA39" s="8"/>
      <c r="LUB39" s="8"/>
      <c r="LUC39" s="8"/>
      <c r="LUD39" s="8"/>
      <c r="LUE39" s="8"/>
      <c r="LUF39" s="8"/>
      <c r="LUG39" s="8"/>
      <c r="LUH39" s="8"/>
      <c r="LUI39" s="8"/>
      <c r="LUJ39" s="8"/>
      <c r="LUK39" s="8"/>
      <c r="LUL39" s="8"/>
      <c r="LUM39" s="8"/>
      <c r="LUN39" s="8"/>
      <c r="LUO39" s="8"/>
      <c r="LUP39" s="8"/>
      <c r="LUQ39" s="8"/>
      <c r="LUR39" s="8"/>
      <c r="LUS39" s="8"/>
      <c r="LUT39" s="8"/>
      <c r="LUU39" s="8"/>
      <c r="LUV39" s="8"/>
      <c r="LUW39" s="8"/>
      <c r="LUX39" s="8"/>
      <c r="LUY39" s="8"/>
      <c r="LUZ39" s="8"/>
      <c r="LVA39" s="8"/>
      <c r="LVB39" s="8"/>
      <c r="LVC39" s="8"/>
      <c r="LVD39" s="8"/>
      <c r="LVE39" s="8"/>
      <c r="LVF39" s="8"/>
      <c r="LVG39" s="8"/>
      <c r="LVH39" s="8"/>
      <c r="LVI39" s="8"/>
      <c r="LVJ39" s="8"/>
      <c r="LVK39" s="8"/>
      <c r="LVL39" s="8"/>
      <c r="LVM39" s="8"/>
      <c r="LVN39" s="8"/>
      <c r="LVO39" s="8"/>
      <c r="LVP39" s="8"/>
      <c r="LVQ39" s="8"/>
      <c r="LVR39" s="8"/>
      <c r="LVS39" s="8"/>
      <c r="LVT39" s="8"/>
      <c r="LVU39" s="8"/>
      <c r="LVV39" s="8"/>
      <c r="LVW39" s="8"/>
      <c r="LVX39" s="8"/>
      <c r="LVY39" s="8"/>
      <c r="LVZ39" s="8"/>
      <c r="LWA39" s="8"/>
      <c r="LWB39" s="8"/>
      <c r="LWC39" s="8"/>
      <c r="LWD39" s="8"/>
      <c r="LWE39" s="8"/>
      <c r="LWF39" s="8"/>
      <c r="LWG39" s="8"/>
      <c r="LWH39" s="8"/>
      <c r="LWI39" s="8"/>
      <c r="LWJ39" s="8"/>
      <c r="LWK39" s="8"/>
      <c r="LWL39" s="8"/>
      <c r="LWM39" s="8"/>
      <c r="LWN39" s="8"/>
      <c r="LWO39" s="8"/>
      <c r="LWP39" s="8"/>
      <c r="LWQ39" s="8"/>
      <c r="LWR39" s="8"/>
      <c r="LWS39" s="8"/>
      <c r="LWT39" s="8"/>
      <c r="LWU39" s="8"/>
      <c r="LWV39" s="8"/>
      <c r="LWW39" s="8"/>
      <c r="LWX39" s="8"/>
      <c r="LWY39" s="8"/>
      <c r="LWZ39" s="8"/>
      <c r="LXA39" s="8"/>
      <c r="LXB39" s="8"/>
      <c r="LXC39" s="8"/>
      <c r="LXD39" s="8"/>
      <c r="LXE39" s="8"/>
      <c r="LXF39" s="8"/>
      <c r="LXG39" s="8"/>
      <c r="LXH39" s="8"/>
      <c r="LXI39" s="8"/>
      <c r="LXJ39" s="8"/>
      <c r="LXK39" s="8"/>
      <c r="LXL39" s="8"/>
      <c r="LXM39" s="8"/>
      <c r="LXN39" s="8"/>
      <c r="LXO39" s="8"/>
      <c r="LXP39" s="8"/>
      <c r="LXQ39" s="8"/>
      <c r="LXR39" s="8"/>
      <c r="LXS39" s="8"/>
      <c r="LXT39" s="8"/>
      <c r="LXU39" s="8"/>
      <c r="LXV39" s="8"/>
      <c r="LXW39" s="8"/>
      <c r="LXX39" s="8"/>
      <c r="LXY39" s="8"/>
      <c r="LXZ39" s="8"/>
      <c r="LYA39" s="8"/>
      <c r="LYB39" s="8"/>
      <c r="LYC39" s="8"/>
      <c r="LYD39" s="8"/>
      <c r="LYE39" s="8"/>
      <c r="LYF39" s="8"/>
      <c r="LYG39" s="8"/>
      <c r="LYH39" s="8"/>
      <c r="LYI39" s="8"/>
      <c r="LYJ39" s="8"/>
      <c r="LYK39" s="8"/>
      <c r="LYL39" s="8"/>
      <c r="LYM39" s="8"/>
      <c r="LYN39" s="8"/>
      <c r="LYO39" s="8"/>
      <c r="LYP39" s="8"/>
      <c r="LYQ39" s="8"/>
      <c r="LYR39" s="8"/>
      <c r="LYS39" s="8"/>
      <c r="LYT39" s="8"/>
      <c r="LYU39" s="8"/>
      <c r="LYV39" s="8"/>
      <c r="LYW39" s="8"/>
      <c r="LYX39" s="8"/>
      <c r="LYY39" s="8"/>
      <c r="LYZ39" s="8"/>
      <c r="LZA39" s="8"/>
      <c r="LZB39" s="8"/>
      <c r="LZC39" s="8"/>
      <c r="LZD39" s="8"/>
      <c r="LZE39" s="8"/>
      <c r="LZF39" s="8"/>
      <c r="LZG39" s="8"/>
      <c r="LZH39" s="8"/>
      <c r="LZI39" s="8"/>
      <c r="LZJ39" s="8"/>
      <c r="LZK39" s="8"/>
      <c r="LZL39" s="8"/>
      <c r="LZM39" s="8"/>
      <c r="LZN39" s="8"/>
      <c r="LZO39" s="8"/>
      <c r="LZP39" s="8"/>
      <c r="LZQ39" s="8"/>
      <c r="LZR39" s="8"/>
      <c r="LZS39" s="8"/>
      <c r="LZT39" s="8"/>
      <c r="LZU39" s="8"/>
      <c r="LZV39" s="8"/>
      <c r="LZW39" s="8"/>
      <c r="LZX39" s="8"/>
      <c r="LZY39" s="8"/>
      <c r="LZZ39" s="8"/>
      <c r="MAA39" s="8"/>
      <c r="MAB39" s="8"/>
      <c r="MAC39" s="8"/>
      <c r="MAD39" s="8"/>
      <c r="MAE39" s="8"/>
      <c r="MAF39" s="8"/>
      <c r="MAG39" s="8"/>
      <c r="MAH39" s="8"/>
      <c r="MAI39" s="8"/>
      <c r="MAJ39" s="8"/>
      <c r="MAK39" s="8"/>
      <c r="MAL39" s="8"/>
      <c r="MAM39" s="8"/>
      <c r="MAN39" s="8"/>
      <c r="MAO39" s="8"/>
      <c r="MAP39" s="8"/>
      <c r="MAQ39" s="8"/>
      <c r="MAR39" s="8"/>
      <c r="MAS39" s="8"/>
      <c r="MAT39" s="8"/>
      <c r="MAU39" s="8"/>
      <c r="MAV39" s="8"/>
      <c r="MAW39" s="8"/>
      <c r="MAX39" s="8"/>
      <c r="MAY39" s="8"/>
      <c r="MAZ39" s="8"/>
      <c r="MBA39" s="8"/>
      <c r="MBB39" s="8"/>
      <c r="MBC39" s="8"/>
      <c r="MBD39" s="8"/>
      <c r="MBE39" s="8"/>
      <c r="MBF39" s="8"/>
      <c r="MBG39" s="8"/>
      <c r="MBH39" s="8"/>
      <c r="MBI39" s="8"/>
      <c r="MBJ39" s="8"/>
      <c r="MBK39" s="8"/>
      <c r="MBL39" s="8"/>
      <c r="MBM39" s="8"/>
      <c r="MBN39" s="8"/>
      <c r="MBO39" s="8"/>
      <c r="MBP39" s="8"/>
      <c r="MBQ39" s="8"/>
      <c r="MBR39" s="8"/>
      <c r="MBS39" s="8"/>
      <c r="MBT39" s="8"/>
      <c r="MBU39" s="8"/>
      <c r="MBV39" s="8"/>
      <c r="MBW39" s="8"/>
      <c r="MBX39" s="8"/>
      <c r="MBY39" s="8"/>
      <c r="MBZ39" s="8"/>
      <c r="MCA39" s="8"/>
      <c r="MCB39" s="8"/>
      <c r="MCC39" s="8"/>
      <c r="MCD39" s="8"/>
      <c r="MCE39" s="8"/>
      <c r="MCF39" s="8"/>
      <c r="MCG39" s="8"/>
      <c r="MCH39" s="8"/>
      <c r="MCI39" s="8"/>
      <c r="MCJ39" s="8"/>
      <c r="MCK39" s="8"/>
      <c r="MCL39" s="8"/>
      <c r="MCM39" s="8"/>
      <c r="MCN39" s="8"/>
      <c r="MCO39" s="8"/>
      <c r="MCP39" s="8"/>
      <c r="MCQ39" s="8"/>
      <c r="MCR39" s="8"/>
      <c r="MCS39" s="8"/>
      <c r="MCT39" s="8"/>
      <c r="MCU39" s="8"/>
      <c r="MCV39" s="8"/>
      <c r="MCW39" s="8"/>
      <c r="MCX39" s="8"/>
      <c r="MCY39" s="8"/>
      <c r="MCZ39" s="8"/>
      <c r="MDA39" s="8"/>
      <c r="MDB39" s="8"/>
      <c r="MDC39" s="8"/>
      <c r="MDD39" s="8"/>
      <c r="MDE39" s="8"/>
      <c r="MDF39" s="8"/>
      <c r="MDG39" s="8"/>
      <c r="MDH39" s="8"/>
      <c r="MDI39" s="8"/>
      <c r="MDJ39" s="8"/>
      <c r="MDK39" s="8"/>
      <c r="MDL39" s="8"/>
      <c r="MDM39" s="8"/>
      <c r="MDN39" s="8"/>
      <c r="MDO39" s="8"/>
      <c r="MDP39" s="8"/>
      <c r="MDQ39" s="8"/>
      <c r="MDR39" s="8"/>
      <c r="MDS39" s="8"/>
      <c r="MDT39" s="8"/>
      <c r="MDU39" s="8"/>
      <c r="MDV39" s="8"/>
      <c r="MDW39" s="8"/>
      <c r="MDX39" s="8"/>
      <c r="MDY39" s="8"/>
      <c r="MDZ39" s="8"/>
      <c r="MEA39" s="8"/>
      <c r="MEB39" s="8"/>
      <c r="MEC39" s="8"/>
      <c r="MED39" s="8"/>
      <c r="MEE39" s="8"/>
      <c r="MEF39" s="8"/>
      <c r="MEG39" s="8"/>
      <c r="MEH39" s="8"/>
      <c r="MEI39" s="8"/>
      <c r="MEJ39" s="8"/>
      <c r="MEK39" s="8"/>
      <c r="MEL39" s="8"/>
      <c r="MEM39" s="8"/>
      <c r="MEN39" s="8"/>
      <c r="MEO39" s="8"/>
      <c r="MEP39" s="8"/>
      <c r="MEQ39" s="8"/>
      <c r="MER39" s="8"/>
      <c r="MES39" s="8"/>
      <c r="MET39" s="8"/>
      <c r="MEU39" s="8"/>
      <c r="MEV39" s="8"/>
      <c r="MEW39" s="8"/>
      <c r="MEX39" s="8"/>
      <c r="MEY39" s="8"/>
      <c r="MEZ39" s="8"/>
      <c r="MFA39" s="8"/>
      <c r="MFB39" s="8"/>
      <c r="MFC39" s="8"/>
      <c r="MFD39" s="8"/>
      <c r="MFE39" s="8"/>
      <c r="MFF39" s="8"/>
      <c r="MFG39" s="8"/>
      <c r="MFH39" s="8"/>
      <c r="MFI39" s="8"/>
      <c r="MFJ39" s="8"/>
      <c r="MFK39" s="8"/>
      <c r="MFL39" s="8"/>
      <c r="MFM39" s="8"/>
      <c r="MFN39" s="8"/>
      <c r="MFO39" s="8"/>
      <c r="MFP39" s="8"/>
      <c r="MFQ39" s="8"/>
      <c r="MFR39" s="8"/>
      <c r="MFS39" s="8"/>
      <c r="MFT39" s="8"/>
      <c r="MFU39" s="8"/>
      <c r="MFV39" s="8"/>
      <c r="MFW39" s="8"/>
      <c r="MFX39" s="8"/>
      <c r="MFY39" s="8"/>
      <c r="MFZ39" s="8"/>
      <c r="MGA39" s="8"/>
      <c r="MGB39" s="8"/>
      <c r="MGC39" s="8"/>
      <c r="MGD39" s="8"/>
      <c r="MGE39" s="8"/>
      <c r="MGF39" s="8"/>
      <c r="MGG39" s="8"/>
      <c r="MGH39" s="8"/>
      <c r="MGI39" s="8"/>
      <c r="MGJ39" s="8"/>
      <c r="MGK39" s="8"/>
      <c r="MGL39" s="8"/>
      <c r="MGM39" s="8"/>
      <c r="MGN39" s="8"/>
      <c r="MGO39" s="8"/>
      <c r="MGP39" s="8"/>
      <c r="MGQ39" s="8"/>
      <c r="MGR39" s="8"/>
      <c r="MGS39" s="8"/>
      <c r="MGT39" s="8"/>
      <c r="MGU39" s="8"/>
      <c r="MGV39" s="8"/>
      <c r="MGW39" s="8"/>
      <c r="MGX39" s="8"/>
      <c r="MGY39" s="8"/>
      <c r="MGZ39" s="8"/>
      <c r="MHA39" s="8"/>
      <c r="MHB39" s="8"/>
      <c r="MHC39" s="8"/>
      <c r="MHD39" s="8"/>
      <c r="MHE39" s="8"/>
      <c r="MHF39" s="8"/>
      <c r="MHG39" s="8"/>
      <c r="MHH39" s="8"/>
      <c r="MHI39" s="8"/>
      <c r="MHJ39" s="8"/>
      <c r="MHK39" s="8"/>
      <c r="MHL39" s="8"/>
      <c r="MHM39" s="8"/>
      <c r="MHN39" s="8"/>
      <c r="MHO39" s="8"/>
      <c r="MHP39" s="8"/>
      <c r="MHQ39" s="8"/>
      <c r="MHR39" s="8"/>
      <c r="MHS39" s="8"/>
      <c r="MHT39" s="8"/>
      <c r="MHU39" s="8"/>
      <c r="MHV39" s="8"/>
      <c r="MHW39" s="8"/>
      <c r="MHX39" s="8"/>
      <c r="MHY39" s="8"/>
      <c r="MHZ39" s="8"/>
      <c r="MIA39" s="8"/>
      <c r="MIB39" s="8"/>
      <c r="MIC39" s="8"/>
      <c r="MID39" s="8"/>
      <c r="MIE39" s="8"/>
      <c r="MIF39" s="8"/>
      <c r="MIG39" s="8"/>
      <c r="MIH39" s="8"/>
      <c r="MII39" s="8"/>
      <c r="MIJ39" s="8"/>
      <c r="MIK39" s="8"/>
      <c r="MIL39" s="8"/>
      <c r="MIM39" s="8"/>
      <c r="MIN39" s="8"/>
      <c r="MIO39" s="8"/>
      <c r="MIP39" s="8"/>
      <c r="MIQ39" s="8"/>
      <c r="MIR39" s="8"/>
      <c r="MIS39" s="8"/>
      <c r="MIT39" s="8"/>
      <c r="MIU39" s="8"/>
      <c r="MIV39" s="8"/>
      <c r="MIW39" s="8"/>
      <c r="MIX39" s="8"/>
      <c r="MIY39" s="8"/>
      <c r="MIZ39" s="8"/>
      <c r="MJA39" s="8"/>
      <c r="MJB39" s="8"/>
      <c r="MJC39" s="8"/>
      <c r="MJD39" s="8"/>
      <c r="MJE39" s="8"/>
      <c r="MJF39" s="8"/>
      <c r="MJG39" s="8"/>
      <c r="MJH39" s="8"/>
      <c r="MJI39" s="8"/>
      <c r="MJJ39" s="8"/>
      <c r="MJK39" s="8"/>
      <c r="MJL39" s="8"/>
      <c r="MJM39" s="8"/>
      <c r="MJN39" s="8"/>
      <c r="MJO39" s="8"/>
      <c r="MJP39" s="8"/>
      <c r="MJQ39" s="8"/>
      <c r="MJR39" s="8"/>
      <c r="MJS39" s="8"/>
      <c r="MJT39" s="8"/>
      <c r="MJU39" s="8"/>
      <c r="MJV39" s="8"/>
      <c r="MJW39" s="8"/>
      <c r="MJX39" s="8"/>
      <c r="MJY39" s="8"/>
      <c r="MJZ39" s="8"/>
      <c r="MKA39" s="8"/>
      <c r="MKB39" s="8"/>
      <c r="MKC39" s="8"/>
      <c r="MKD39" s="8"/>
      <c r="MKE39" s="8"/>
      <c r="MKF39" s="8"/>
      <c r="MKG39" s="8"/>
      <c r="MKH39" s="8"/>
      <c r="MKI39" s="8"/>
      <c r="MKJ39" s="8"/>
      <c r="MKK39" s="8"/>
      <c r="MKL39" s="8"/>
      <c r="MKM39" s="8"/>
      <c r="MKN39" s="8"/>
      <c r="MKO39" s="8"/>
      <c r="MKP39" s="8"/>
      <c r="MKQ39" s="8"/>
      <c r="MKR39" s="8"/>
      <c r="MKS39" s="8"/>
      <c r="MKT39" s="8"/>
      <c r="MKU39" s="8"/>
      <c r="MKV39" s="8"/>
      <c r="MKW39" s="8"/>
      <c r="MKX39" s="8"/>
      <c r="MKY39" s="8"/>
      <c r="MKZ39" s="8"/>
      <c r="MLA39" s="8"/>
      <c r="MLB39" s="8"/>
      <c r="MLC39" s="8"/>
      <c r="MLD39" s="8"/>
      <c r="MLE39" s="8"/>
      <c r="MLF39" s="8"/>
      <c r="MLG39" s="8"/>
      <c r="MLH39" s="8"/>
      <c r="MLI39" s="8"/>
      <c r="MLJ39" s="8"/>
      <c r="MLK39" s="8"/>
      <c r="MLL39" s="8"/>
      <c r="MLM39" s="8"/>
      <c r="MLN39" s="8"/>
      <c r="MLO39" s="8"/>
      <c r="MLP39" s="8"/>
      <c r="MLQ39" s="8"/>
      <c r="MLR39" s="8"/>
      <c r="MLS39" s="8"/>
      <c r="MLT39" s="8"/>
      <c r="MLU39" s="8"/>
      <c r="MLV39" s="8"/>
      <c r="MLW39" s="8"/>
      <c r="MLX39" s="8"/>
      <c r="MLY39" s="8"/>
      <c r="MLZ39" s="8"/>
      <c r="MMA39" s="8"/>
      <c r="MMB39" s="8"/>
      <c r="MMC39" s="8"/>
      <c r="MMD39" s="8"/>
      <c r="MME39" s="8"/>
      <c r="MMF39" s="8"/>
      <c r="MMG39" s="8"/>
      <c r="MMH39" s="8"/>
      <c r="MMI39" s="8"/>
      <c r="MMJ39" s="8"/>
      <c r="MMK39" s="8"/>
      <c r="MML39" s="8"/>
      <c r="MMM39" s="8"/>
      <c r="MMN39" s="8"/>
      <c r="MMO39" s="8"/>
      <c r="MMP39" s="8"/>
      <c r="MMQ39" s="8"/>
      <c r="MMR39" s="8"/>
      <c r="MMS39" s="8"/>
      <c r="MMT39" s="8"/>
      <c r="MMU39" s="8"/>
      <c r="MMV39" s="8"/>
      <c r="MMW39" s="8"/>
      <c r="MMX39" s="8"/>
      <c r="MMY39" s="8"/>
      <c r="MMZ39" s="8"/>
      <c r="MNA39" s="8"/>
      <c r="MNB39" s="8"/>
      <c r="MNC39" s="8"/>
      <c r="MND39" s="8"/>
      <c r="MNE39" s="8"/>
      <c r="MNF39" s="8"/>
      <c r="MNG39" s="8"/>
      <c r="MNH39" s="8"/>
      <c r="MNI39" s="8"/>
      <c r="MNJ39" s="8"/>
      <c r="MNK39" s="8"/>
      <c r="MNL39" s="8"/>
      <c r="MNM39" s="8"/>
      <c r="MNN39" s="8"/>
      <c r="MNO39" s="8"/>
      <c r="MNP39" s="8"/>
      <c r="MNQ39" s="8"/>
      <c r="MNR39" s="8"/>
      <c r="MNS39" s="8"/>
      <c r="MNT39" s="8"/>
      <c r="MNU39" s="8"/>
      <c r="MNV39" s="8"/>
      <c r="MNW39" s="8"/>
      <c r="MNX39" s="8"/>
      <c r="MNY39" s="8"/>
      <c r="MNZ39" s="8"/>
      <c r="MOA39" s="8"/>
      <c r="MOB39" s="8"/>
      <c r="MOC39" s="8"/>
      <c r="MOD39" s="8"/>
      <c r="MOE39" s="8"/>
      <c r="MOF39" s="8"/>
      <c r="MOG39" s="8"/>
      <c r="MOH39" s="8"/>
      <c r="MOI39" s="8"/>
      <c r="MOJ39" s="8"/>
      <c r="MOK39" s="8"/>
      <c r="MOL39" s="8"/>
      <c r="MOM39" s="8"/>
      <c r="MON39" s="8"/>
      <c r="MOO39" s="8"/>
      <c r="MOP39" s="8"/>
      <c r="MOQ39" s="8"/>
      <c r="MOR39" s="8"/>
      <c r="MOS39" s="8"/>
      <c r="MOT39" s="8"/>
      <c r="MOU39" s="8"/>
      <c r="MOV39" s="8"/>
      <c r="MOW39" s="8"/>
      <c r="MOX39" s="8"/>
      <c r="MOY39" s="8"/>
      <c r="MOZ39" s="8"/>
      <c r="MPA39" s="8"/>
      <c r="MPB39" s="8"/>
      <c r="MPC39" s="8"/>
      <c r="MPD39" s="8"/>
      <c r="MPE39" s="8"/>
      <c r="MPF39" s="8"/>
      <c r="MPG39" s="8"/>
      <c r="MPH39" s="8"/>
      <c r="MPI39" s="8"/>
      <c r="MPJ39" s="8"/>
      <c r="MPK39" s="8"/>
      <c r="MPL39" s="8"/>
      <c r="MPM39" s="8"/>
      <c r="MPN39" s="8"/>
      <c r="MPO39" s="8"/>
      <c r="MPP39" s="8"/>
      <c r="MPQ39" s="8"/>
      <c r="MPR39" s="8"/>
      <c r="MPS39" s="8"/>
      <c r="MPT39" s="8"/>
      <c r="MPU39" s="8"/>
      <c r="MPV39" s="8"/>
      <c r="MPW39" s="8"/>
      <c r="MPX39" s="8"/>
      <c r="MPY39" s="8"/>
      <c r="MPZ39" s="8"/>
      <c r="MQA39" s="8"/>
      <c r="MQB39" s="8"/>
      <c r="MQC39" s="8"/>
      <c r="MQD39" s="8"/>
      <c r="MQE39" s="8"/>
      <c r="MQF39" s="8"/>
      <c r="MQG39" s="8"/>
      <c r="MQH39" s="8"/>
      <c r="MQI39" s="8"/>
      <c r="MQJ39" s="8"/>
      <c r="MQK39" s="8"/>
      <c r="MQL39" s="8"/>
      <c r="MQM39" s="8"/>
      <c r="MQN39" s="8"/>
      <c r="MQO39" s="8"/>
      <c r="MQP39" s="8"/>
      <c r="MQQ39" s="8"/>
      <c r="MQR39" s="8"/>
      <c r="MQS39" s="8"/>
      <c r="MQT39" s="8"/>
      <c r="MQU39" s="8"/>
      <c r="MQV39" s="8"/>
      <c r="MQW39" s="8"/>
      <c r="MQX39" s="8"/>
      <c r="MQY39" s="8"/>
      <c r="MQZ39" s="8"/>
      <c r="MRA39" s="8"/>
      <c r="MRB39" s="8"/>
      <c r="MRC39" s="8"/>
      <c r="MRD39" s="8"/>
      <c r="MRE39" s="8"/>
      <c r="MRF39" s="8"/>
      <c r="MRG39" s="8"/>
      <c r="MRH39" s="8"/>
      <c r="MRI39" s="8"/>
      <c r="MRJ39" s="8"/>
      <c r="MRK39" s="8"/>
      <c r="MRL39" s="8"/>
      <c r="MRM39" s="8"/>
      <c r="MRN39" s="8"/>
      <c r="MRO39" s="8"/>
      <c r="MRP39" s="8"/>
      <c r="MRQ39" s="8"/>
      <c r="MRR39" s="8"/>
      <c r="MRS39" s="8"/>
      <c r="MRT39" s="8"/>
      <c r="MRU39" s="8"/>
      <c r="MRV39" s="8"/>
      <c r="MRW39" s="8"/>
      <c r="MRX39" s="8"/>
      <c r="MRY39" s="8"/>
      <c r="MRZ39" s="8"/>
      <c r="MSA39" s="8"/>
      <c r="MSB39" s="8"/>
      <c r="MSC39" s="8"/>
      <c r="MSD39" s="8"/>
      <c r="MSE39" s="8"/>
      <c r="MSF39" s="8"/>
      <c r="MSG39" s="8"/>
      <c r="MSH39" s="8"/>
      <c r="MSI39" s="8"/>
      <c r="MSJ39" s="8"/>
      <c r="MSK39" s="8"/>
      <c r="MSL39" s="8"/>
      <c r="MSM39" s="8"/>
      <c r="MSN39" s="8"/>
      <c r="MSO39" s="8"/>
      <c r="MSP39" s="8"/>
      <c r="MSQ39" s="8"/>
      <c r="MSR39" s="8"/>
      <c r="MSS39" s="8"/>
      <c r="MST39" s="8"/>
      <c r="MSU39" s="8"/>
      <c r="MSV39" s="8"/>
      <c r="MSW39" s="8"/>
      <c r="MSX39" s="8"/>
      <c r="MSY39" s="8"/>
      <c r="MSZ39" s="8"/>
      <c r="MTA39" s="8"/>
      <c r="MTB39" s="8"/>
      <c r="MTC39" s="8"/>
      <c r="MTD39" s="8"/>
      <c r="MTE39" s="8"/>
      <c r="MTF39" s="8"/>
      <c r="MTG39" s="8"/>
      <c r="MTH39" s="8"/>
      <c r="MTI39" s="8"/>
      <c r="MTJ39" s="8"/>
      <c r="MTK39" s="8"/>
      <c r="MTL39" s="8"/>
      <c r="MTM39" s="8"/>
      <c r="MTN39" s="8"/>
      <c r="MTO39" s="8"/>
      <c r="MTP39" s="8"/>
      <c r="MTQ39" s="8"/>
      <c r="MTR39" s="8"/>
      <c r="MTS39" s="8"/>
      <c r="MTT39" s="8"/>
      <c r="MTU39" s="8"/>
      <c r="MTV39" s="8"/>
      <c r="MTW39" s="8"/>
      <c r="MTX39" s="8"/>
      <c r="MTY39" s="8"/>
      <c r="MTZ39" s="8"/>
      <c r="MUA39" s="8"/>
      <c r="MUB39" s="8"/>
      <c r="MUC39" s="8"/>
      <c r="MUD39" s="8"/>
      <c r="MUE39" s="8"/>
      <c r="MUF39" s="8"/>
      <c r="MUG39" s="8"/>
      <c r="MUH39" s="8"/>
      <c r="MUI39" s="8"/>
      <c r="MUJ39" s="8"/>
      <c r="MUK39" s="8"/>
      <c r="MUL39" s="8"/>
      <c r="MUM39" s="8"/>
      <c r="MUN39" s="8"/>
      <c r="MUO39" s="8"/>
      <c r="MUP39" s="8"/>
      <c r="MUQ39" s="8"/>
      <c r="MUR39" s="8"/>
      <c r="MUS39" s="8"/>
      <c r="MUT39" s="8"/>
      <c r="MUU39" s="8"/>
      <c r="MUV39" s="8"/>
      <c r="MUW39" s="8"/>
      <c r="MUX39" s="8"/>
      <c r="MUY39" s="8"/>
      <c r="MUZ39" s="8"/>
      <c r="MVA39" s="8"/>
      <c r="MVB39" s="8"/>
      <c r="MVC39" s="8"/>
      <c r="MVD39" s="8"/>
      <c r="MVE39" s="8"/>
      <c r="MVF39" s="8"/>
      <c r="MVG39" s="8"/>
      <c r="MVH39" s="8"/>
      <c r="MVI39" s="8"/>
      <c r="MVJ39" s="8"/>
      <c r="MVK39" s="8"/>
      <c r="MVL39" s="8"/>
      <c r="MVM39" s="8"/>
      <c r="MVN39" s="8"/>
      <c r="MVO39" s="8"/>
      <c r="MVP39" s="8"/>
      <c r="MVQ39" s="8"/>
      <c r="MVR39" s="8"/>
      <c r="MVS39" s="8"/>
      <c r="MVT39" s="8"/>
      <c r="MVU39" s="8"/>
      <c r="MVV39" s="8"/>
      <c r="MVW39" s="8"/>
      <c r="MVX39" s="8"/>
      <c r="MVY39" s="8"/>
      <c r="MVZ39" s="8"/>
      <c r="MWA39" s="8"/>
      <c r="MWB39" s="8"/>
      <c r="MWC39" s="8"/>
      <c r="MWD39" s="8"/>
      <c r="MWE39" s="8"/>
      <c r="MWF39" s="8"/>
      <c r="MWG39" s="8"/>
      <c r="MWH39" s="8"/>
      <c r="MWI39" s="8"/>
      <c r="MWJ39" s="8"/>
      <c r="MWK39" s="8"/>
      <c r="MWL39" s="8"/>
      <c r="MWM39" s="8"/>
      <c r="MWN39" s="8"/>
      <c r="MWO39" s="8"/>
      <c r="MWP39" s="8"/>
      <c r="MWQ39" s="8"/>
      <c r="MWR39" s="8"/>
      <c r="MWS39" s="8"/>
      <c r="MWT39" s="8"/>
      <c r="MWU39" s="8"/>
      <c r="MWV39" s="8"/>
      <c r="MWW39" s="8"/>
      <c r="MWX39" s="8"/>
      <c r="MWY39" s="8"/>
      <c r="MWZ39" s="8"/>
      <c r="MXA39" s="8"/>
      <c r="MXB39" s="8"/>
      <c r="MXC39" s="8"/>
      <c r="MXD39" s="8"/>
      <c r="MXE39" s="8"/>
      <c r="MXF39" s="8"/>
      <c r="MXG39" s="8"/>
      <c r="MXH39" s="8"/>
      <c r="MXI39" s="8"/>
      <c r="MXJ39" s="8"/>
      <c r="MXK39" s="8"/>
      <c r="MXL39" s="8"/>
      <c r="MXM39" s="8"/>
      <c r="MXN39" s="8"/>
      <c r="MXO39" s="8"/>
      <c r="MXP39" s="8"/>
      <c r="MXQ39" s="8"/>
      <c r="MXR39" s="8"/>
      <c r="MXS39" s="8"/>
      <c r="MXT39" s="8"/>
      <c r="MXU39" s="8"/>
      <c r="MXV39" s="8"/>
      <c r="MXW39" s="8"/>
      <c r="MXX39" s="8"/>
      <c r="MXY39" s="8"/>
      <c r="MXZ39" s="8"/>
      <c r="MYA39" s="8"/>
      <c r="MYB39" s="8"/>
      <c r="MYC39" s="8"/>
      <c r="MYD39" s="8"/>
      <c r="MYE39" s="8"/>
      <c r="MYF39" s="8"/>
      <c r="MYG39" s="8"/>
      <c r="MYH39" s="8"/>
      <c r="MYI39" s="8"/>
      <c r="MYJ39" s="8"/>
      <c r="MYK39" s="8"/>
      <c r="MYL39" s="8"/>
      <c r="MYM39" s="8"/>
      <c r="MYN39" s="8"/>
      <c r="MYO39" s="8"/>
      <c r="MYP39" s="8"/>
      <c r="MYQ39" s="8"/>
      <c r="MYR39" s="8"/>
      <c r="MYS39" s="8"/>
      <c r="MYT39" s="8"/>
      <c r="MYU39" s="8"/>
      <c r="MYV39" s="8"/>
      <c r="MYW39" s="8"/>
      <c r="MYX39" s="8"/>
      <c r="MYY39" s="8"/>
      <c r="MYZ39" s="8"/>
      <c r="MZA39" s="8"/>
      <c r="MZB39" s="8"/>
      <c r="MZC39" s="8"/>
      <c r="MZD39" s="8"/>
      <c r="MZE39" s="8"/>
      <c r="MZF39" s="8"/>
      <c r="MZG39" s="8"/>
      <c r="MZH39" s="8"/>
      <c r="MZI39" s="8"/>
      <c r="MZJ39" s="8"/>
      <c r="MZK39" s="8"/>
      <c r="MZL39" s="8"/>
      <c r="MZM39" s="8"/>
      <c r="MZN39" s="8"/>
      <c r="MZO39" s="8"/>
      <c r="MZP39" s="8"/>
      <c r="MZQ39" s="8"/>
      <c r="MZR39" s="8"/>
      <c r="MZS39" s="8"/>
      <c r="MZT39" s="8"/>
      <c r="MZU39" s="8"/>
      <c r="MZV39" s="8"/>
      <c r="MZW39" s="8"/>
      <c r="MZX39" s="8"/>
      <c r="MZY39" s="8"/>
      <c r="MZZ39" s="8"/>
      <c r="NAA39" s="8"/>
      <c r="NAB39" s="8"/>
      <c r="NAC39" s="8"/>
      <c r="NAD39" s="8"/>
      <c r="NAE39" s="8"/>
      <c r="NAF39" s="8"/>
      <c r="NAG39" s="8"/>
      <c r="NAH39" s="8"/>
      <c r="NAI39" s="8"/>
      <c r="NAJ39" s="8"/>
      <c r="NAK39" s="8"/>
      <c r="NAL39" s="8"/>
      <c r="NAM39" s="8"/>
      <c r="NAN39" s="8"/>
      <c r="NAO39" s="8"/>
      <c r="NAP39" s="8"/>
      <c r="NAQ39" s="8"/>
      <c r="NAR39" s="8"/>
      <c r="NAS39" s="8"/>
      <c r="NAT39" s="8"/>
      <c r="NAU39" s="8"/>
      <c r="NAV39" s="8"/>
      <c r="NAW39" s="8"/>
      <c r="NAX39" s="8"/>
      <c r="NAY39" s="8"/>
      <c r="NAZ39" s="8"/>
      <c r="NBA39" s="8"/>
      <c r="NBB39" s="8"/>
      <c r="NBC39" s="8"/>
      <c r="NBD39" s="8"/>
      <c r="NBE39" s="8"/>
      <c r="NBF39" s="8"/>
      <c r="NBG39" s="8"/>
      <c r="NBH39" s="8"/>
      <c r="NBI39" s="8"/>
      <c r="NBJ39" s="8"/>
      <c r="NBK39" s="8"/>
      <c r="NBL39" s="8"/>
      <c r="NBM39" s="8"/>
      <c r="NBN39" s="8"/>
      <c r="NBO39" s="8"/>
      <c r="NBP39" s="8"/>
      <c r="NBQ39" s="8"/>
      <c r="NBR39" s="8"/>
      <c r="NBS39" s="8"/>
      <c r="NBT39" s="8"/>
      <c r="NBU39" s="8"/>
      <c r="NBV39" s="8"/>
      <c r="NBW39" s="8"/>
      <c r="NBX39" s="8"/>
      <c r="NBY39" s="8"/>
      <c r="NBZ39" s="8"/>
      <c r="NCA39" s="8"/>
      <c r="NCB39" s="8"/>
      <c r="NCC39" s="8"/>
      <c r="NCD39" s="8"/>
      <c r="NCE39" s="8"/>
      <c r="NCF39" s="8"/>
      <c r="NCG39" s="8"/>
      <c r="NCH39" s="8"/>
      <c r="NCI39" s="8"/>
      <c r="NCJ39" s="8"/>
      <c r="NCK39" s="8"/>
      <c r="NCL39" s="8"/>
      <c r="NCM39" s="8"/>
      <c r="NCN39" s="8"/>
      <c r="NCO39" s="8"/>
      <c r="NCP39" s="8"/>
      <c r="NCQ39" s="8"/>
      <c r="NCR39" s="8"/>
      <c r="NCS39" s="8"/>
      <c r="NCT39" s="8"/>
      <c r="NCU39" s="8"/>
      <c r="NCV39" s="8"/>
      <c r="NCW39" s="8"/>
      <c r="NCX39" s="8"/>
      <c r="NCY39" s="8"/>
      <c r="NCZ39" s="8"/>
      <c r="NDA39" s="8"/>
      <c r="NDB39" s="8"/>
      <c r="NDC39" s="8"/>
      <c r="NDD39" s="8"/>
      <c r="NDE39" s="8"/>
      <c r="NDF39" s="8"/>
      <c r="NDG39" s="8"/>
      <c r="NDH39" s="8"/>
      <c r="NDI39" s="8"/>
      <c r="NDJ39" s="8"/>
      <c r="NDK39" s="8"/>
      <c r="NDL39" s="8"/>
      <c r="NDM39" s="8"/>
      <c r="NDN39" s="8"/>
      <c r="NDO39" s="8"/>
      <c r="NDP39" s="8"/>
      <c r="NDQ39" s="8"/>
      <c r="NDR39" s="8"/>
      <c r="NDS39" s="8"/>
      <c r="NDT39" s="8"/>
      <c r="NDU39" s="8"/>
      <c r="NDV39" s="8"/>
      <c r="NDW39" s="8"/>
      <c r="NDX39" s="8"/>
      <c r="NDY39" s="8"/>
      <c r="NDZ39" s="8"/>
      <c r="NEA39" s="8"/>
      <c r="NEB39" s="8"/>
      <c r="NEC39" s="8"/>
      <c r="NED39" s="8"/>
      <c r="NEE39" s="8"/>
      <c r="NEF39" s="8"/>
      <c r="NEG39" s="8"/>
      <c r="NEH39" s="8"/>
      <c r="NEI39" s="8"/>
      <c r="NEJ39" s="8"/>
      <c r="NEK39" s="8"/>
      <c r="NEL39" s="8"/>
      <c r="NEM39" s="8"/>
      <c r="NEN39" s="8"/>
      <c r="NEO39" s="8"/>
      <c r="NEP39" s="8"/>
      <c r="NEQ39" s="8"/>
      <c r="NER39" s="8"/>
      <c r="NES39" s="8"/>
      <c r="NET39" s="8"/>
      <c r="NEU39" s="8"/>
      <c r="NEV39" s="8"/>
      <c r="NEW39" s="8"/>
      <c r="NEX39" s="8"/>
      <c r="NEY39" s="8"/>
      <c r="NEZ39" s="8"/>
      <c r="NFA39" s="8"/>
      <c r="NFB39" s="8"/>
      <c r="NFC39" s="8"/>
      <c r="NFD39" s="8"/>
      <c r="NFE39" s="8"/>
      <c r="NFF39" s="8"/>
      <c r="NFG39" s="8"/>
      <c r="NFH39" s="8"/>
      <c r="NFI39" s="8"/>
      <c r="NFJ39" s="8"/>
      <c r="NFK39" s="8"/>
      <c r="NFL39" s="8"/>
      <c r="NFM39" s="8"/>
      <c r="NFN39" s="8"/>
      <c r="NFO39" s="8"/>
      <c r="NFP39" s="8"/>
      <c r="NFQ39" s="8"/>
      <c r="NFR39" s="8"/>
      <c r="NFS39" s="8"/>
      <c r="NFT39" s="8"/>
      <c r="NFU39" s="8"/>
      <c r="NFV39" s="8"/>
      <c r="NFW39" s="8"/>
      <c r="NFX39" s="8"/>
      <c r="NFY39" s="8"/>
      <c r="NFZ39" s="8"/>
      <c r="NGA39" s="8"/>
      <c r="NGB39" s="8"/>
      <c r="NGC39" s="8"/>
      <c r="NGD39" s="8"/>
      <c r="NGE39" s="8"/>
      <c r="NGF39" s="8"/>
      <c r="NGG39" s="8"/>
      <c r="NGH39" s="8"/>
      <c r="NGI39" s="8"/>
      <c r="NGJ39" s="8"/>
      <c r="NGK39" s="8"/>
      <c r="NGL39" s="8"/>
      <c r="NGM39" s="8"/>
      <c r="NGN39" s="8"/>
      <c r="NGO39" s="8"/>
      <c r="NGP39" s="8"/>
      <c r="NGQ39" s="8"/>
      <c r="NGR39" s="8"/>
      <c r="NGS39" s="8"/>
      <c r="NGT39" s="8"/>
      <c r="NGU39" s="8"/>
      <c r="NGV39" s="8"/>
      <c r="NGW39" s="8"/>
      <c r="NGX39" s="8"/>
      <c r="NGY39" s="8"/>
      <c r="NGZ39" s="8"/>
      <c r="NHA39" s="8"/>
      <c r="NHB39" s="8"/>
      <c r="NHC39" s="8"/>
      <c r="NHD39" s="8"/>
      <c r="NHE39" s="8"/>
      <c r="NHF39" s="8"/>
      <c r="NHG39" s="8"/>
      <c r="NHH39" s="8"/>
      <c r="NHI39" s="8"/>
      <c r="NHJ39" s="8"/>
      <c r="NHK39" s="8"/>
      <c r="NHL39" s="8"/>
      <c r="NHM39" s="8"/>
      <c r="NHN39" s="8"/>
      <c r="NHO39" s="8"/>
      <c r="NHP39" s="8"/>
      <c r="NHQ39" s="8"/>
      <c r="NHR39" s="8"/>
      <c r="NHS39" s="8"/>
      <c r="NHT39" s="8"/>
      <c r="NHU39" s="8"/>
      <c r="NHV39" s="8"/>
      <c r="NHW39" s="8"/>
      <c r="NHX39" s="8"/>
      <c r="NHY39" s="8"/>
      <c r="NHZ39" s="8"/>
      <c r="NIA39" s="8"/>
      <c r="NIB39" s="8"/>
      <c r="NIC39" s="8"/>
      <c r="NID39" s="8"/>
      <c r="NIE39" s="8"/>
      <c r="NIF39" s="8"/>
      <c r="NIG39" s="8"/>
      <c r="NIH39" s="8"/>
      <c r="NII39" s="8"/>
      <c r="NIJ39" s="8"/>
      <c r="NIK39" s="8"/>
      <c r="NIL39" s="8"/>
      <c r="NIM39" s="8"/>
      <c r="NIN39" s="8"/>
      <c r="NIO39" s="8"/>
      <c r="NIP39" s="8"/>
      <c r="NIQ39" s="8"/>
      <c r="NIR39" s="8"/>
      <c r="NIS39" s="8"/>
      <c r="NIT39" s="8"/>
      <c r="NIU39" s="8"/>
      <c r="NIV39" s="8"/>
      <c r="NIW39" s="8"/>
      <c r="NIX39" s="8"/>
      <c r="NIY39" s="8"/>
      <c r="NIZ39" s="8"/>
      <c r="NJA39" s="8"/>
      <c r="NJB39" s="8"/>
      <c r="NJC39" s="8"/>
      <c r="NJD39" s="8"/>
      <c r="NJE39" s="8"/>
      <c r="NJF39" s="8"/>
      <c r="NJG39" s="8"/>
      <c r="NJH39" s="8"/>
      <c r="NJI39" s="8"/>
      <c r="NJJ39" s="8"/>
      <c r="NJK39" s="8"/>
      <c r="NJL39" s="8"/>
      <c r="NJM39" s="8"/>
      <c r="NJN39" s="8"/>
      <c r="NJO39" s="8"/>
      <c r="NJP39" s="8"/>
      <c r="NJQ39" s="8"/>
      <c r="NJR39" s="8"/>
      <c r="NJS39" s="8"/>
      <c r="NJT39" s="8"/>
      <c r="NJU39" s="8"/>
      <c r="NJV39" s="8"/>
      <c r="NJW39" s="8"/>
      <c r="NJX39" s="8"/>
      <c r="NJY39" s="8"/>
      <c r="NJZ39" s="8"/>
      <c r="NKA39" s="8"/>
      <c r="NKB39" s="8"/>
      <c r="NKC39" s="8"/>
      <c r="NKD39" s="8"/>
      <c r="NKE39" s="8"/>
      <c r="NKF39" s="8"/>
      <c r="NKG39" s="8"/>
      <c r="NKH39" s="8"/>
      <c r="NKI39" s="8"/>
      <c r="NKJ39" s="8"/>
      <c r="NKK39" s="8"/>
      <c r="NKL39" s="8"/>
      <c r="NKM39" s="8"/>
      <c r="NKN39" s="8"/>
      <c r="NKO39" s="8"/>
      <c r="NKP39" s="8"/>
      <c r="NKQ39" s="8"/>
      <c r="NKR39" s="8"/>
      <c r="NKS39" s="8"/>
      <c r="NKT39" s="8"/>
      <c r="NKU39" s="8"/>
      <c r="NKV39" s="8"/>
      <c r="NKW39" s="8"/>
      <c r="NKX39" s="8"/>
      <c r="NKY39" s="8"/>
      <c r="NKZ39" s="8"/>
      <c r="NLA39" s="8"/>
      <c r="NLB39" s="8"/>
      <c r="NLC39" s="8"/>
      <c r="NLD39" s="8"/>
      <c r="NLE39" s="8"/>
      <c r="NLF39" s="8"/>
      <c r="NLG39" s="8"/>
      <c r="NLH39" s="8"/>
      <c r="NLI39" s="8"/>
      <c r="NLJ39" s="8"/>
      <c r="NLK39" s="8"/>
      <c r="NLL39" s="8"/>
      <c r="NLM39" s="8"/>
      <c r="NLN39" s="8"/>
      <c r="NLO39" s="8"/>
      <c r="NLP39" s="8"/>
      <c r="NLQ39" s="8"/>
      <c r="NLR39" s="8"/>
      <c r="NLS39" s="8"/>
      <c r="NLT39" s="8"/>
      <c r="NLU39" s="8"/>
      <c r="NLV39" s="8"/>
      <c r="NLW39" s="8"/>
      <c r="NLX39" s="8"/>
      <c r="NLY39" s="8"/>
      <c r="NLZ39" s="8"/>
      <c r="NMA39" s="8"/>
      <c r="NMB39" s="8"/>
      <c r="NMC39" s="8"/>
      <c r="NMD39" s="8"/>
      <c r="NME39" s="8"/>
      <c r="NMF39" s="8"/>
      <c r="NMG39" s="8"/>
      <c r="NMH39" s="8"/>
      <c r="NMI39" s="8"/>
      <c r="NMJ39" s="8"/>
      <c r="NMK39" s="8"/>
      <c r="NML39" s="8"/>
      <c r="NMM39" s="8"/>
      <c r="NMN39" s="8"/>
      <c r="NMO39" s="8"/>
      <c r="NMP39" s="8"/>
      <c r="NMQ39" s="8"/>
      <c r="NMR39" s="8"/>
      <c r="NMS39" s="8"/>
      <c r="NMT39" s="8"/>
      <c r="NMU39" s="8"/>
      <c r="NMV39" s="8"/>
      <c r="NMW39" s="8"/>
      <c r="NMX39" s="8"/>
      <c r="NMY39" s="8"/>
      <c r="NMZ39" s="8"/>
      <c r="NNA39" s="8"/>
      <c r="NNB39" s="8"/>
      <c r="NNC39" s="8"/>
      <c r="NND39" s="8"/>
      <c r="NNE39" s="8"/>
      <c r="NNF39" s="8"/>
      <c r="NNG39" s="8"/>
      <c r="NNH39" s="8"/>
      <c r="NNI39" s="8"/>
      <c r="NNJ39" s="8"/>
      <c r="NNK39" s="8"/>
      <c r="NNL39" s="8"/>
      <c r="NNM39" s="8"/>
      <c r="NNN39" s="8"/>
      <c r="NNO39" s="8"/>
      <c r="NNP39" s="8"/>
      <c r="NNQ39" s="8"/>
      <c r="NNR39" s="8"/>
      <c r="NNS39" s="8"/>
      <c r="NNT39" s="8"/>
      <c r="NNU39" s="8"/>
      <c r="NNV39" s="8"/>
      <c r="NNW39" s="8"/>
      <c r="NNX39" s="8"/>
      <c r="NNY39" s="8"/>
      <c r="NNZ39" s="8"/>
      <c r="NOA39" s="8"/>
      <c r="NOB39" s="8"/>
      <c r="NOC39" s="8"/>
      <c r="NOD39" s="8"/>
      <c r="NOE39" s="8"/>
      <c r="NOF39" s="8"/>
      <c r="NOG39" s="8"/>
      <c r="NOH39" s="8"/>
      <c r="NOI39" s="8"/>
      <c r="NOJ39" s="8"/>
      <c r="NOK39" s="8"/>
      <c r="NOL39" s="8"/>
      <c r="NOM39" s="8"/>
      <c r="NON39" s="8"/>
      <c r="NOO39" s="8"/>
      <c r="NOP39" s="8"/>
      <c r="NOQ39" s="8"/>
      <c r="NOR39" s="8"/>
      <c r="NOS39" s="8"/>
      <c r="NOT39" s="8"/>
      <c r="NOU39" s="8"/>
      <c r="NOV39" s="8"/>
      <c r="NOW39" s="8"/>
      <c r="NOX39" s="8"/>
      <c r="NOY39" s="8"/>
      <c r="NOZ39" s="8"/>
      <c r="NPA39" s="8"/>
      <c r="NPB39" s="8"/>
      <c r="NPC39" s="8"/>
      <c r="NPD39" s="8"/>
      <c r="NPE39" s="8"/>
      <c r="NPF39" s="8"/>
      <c r="NPG39" s="8"/>
      <c r="NPH39" s="8"/>
      <c r="NPI39" s="8"/>
      <c r="NPJ39" s="8"/>
      <c r="NPK39" s="8"/>
      <c r="NPL39" s="8"/>
      <c r="NPM39" s="8"/>
      <c r="NPN39" s="8"/>
      <c r="NPO39" s="8"/>
      <c r="NPP39" s="8"/>
      <c r="NPQ39" s="8"/>
      <c r="NPR39" s="8"/>
      <c r="NPS39" s="8"/>
      <c r="NPT39" s="8"/>
      <c r="NPU39" s="8"/>
      <c r="NPV39" s="8"/>
      <c r="NPW39" s="8"/>
      <c r="NPX39" s="8"/>
      <c r="NPY39" s="8"/>
      <c r="NPZ39" s="8"/>
      <c r="NQA39" s="8"/>
      <c r="NQB39" s="8"/>
      <c r="NQC39" s="8"/>
      <c r="NQD39" s="8"/>
      <c r="NQE39" s="8"/>
      <c r="NQF39" s="8"/>
      <c r="NQG39" s="8"/>
      <c r="NQH39" s="8"/>
      <c r="NQI39" s="8"/>
      <c r="NQJ39" s="8"/>
      <c r="NQK39" s="8"/>
      <c r="NQL39" s="8"/>
      <c r="NQM39" s="8"/>
      <c r="NQN39" s="8"/>
      <c r="NQO39" s="8"/>
      <c r="NQP39" s="8"/>
      <c r="NQQ39" s="8"/>
      <c r="NQR39" s="8"/>
      <c r="NQS39" s="8"/>
      <c r="NQT39" s="8"/>
      <c r="NQU39" s="8"/>
      <c r="NQV39" s="8"/>
      <c r="NQW39" s="8"/>
      <c r="NQX39" s="8"/>
      <c r="NQY39" s="8"/>
      <c r="NQZ39" s="8"/>
      <c r="NRA39" s="8"/>
      <c r="NRB39" s="8"/>
      <c r="NRC39" s="8"/>
      <c r="NRD39" s="8"/>
      <c r="NRE39" s="8"/>
      <c r="NRF39" s="8"/>
      <c r="NRG39" s="8"/>
      <c r="NRH39" s="8"/>
      <c r="NRI39" s="8"/>
      <c r="NRJ39" s="8"/>
      <c r="NRK39" s="8"/>
      <c r="NRL39" s="8"/>
      <c r="NRM39" s="8"/>
      <c r="NRN39" s="8"/>
      <c r="NRO39" s="8"/>
      <c r="NRP39" s="8"/>
      <c r="NRQ39" s="8"/>
      <c r="NRR39" s="8"/>
      <c r="NRS39" s="8"/>
      <c r="NRT39" s="8"/>
      <c r="NRU39" s="8"/>
      <c r="NRV39" s="8"/>
      <c r="NRW39" s="8"/>
      <c r="NRX39" s="8"/>
      <c r="NRY39" s="8"/>
      <c r="NRZ39" s="8"/>
      <c r="NSA39" s="8"/>
      <c r="NSB39" s="8"/>
      <c r="NSC39" s="8"/>
      <c r="NSD39" s="8"/>
      <c r="NSE39" s="8"/>
      <c r="NSF39" s="8"/>
      <c r="NSG39" s="8"/>
      <c r="NSH39" s="8"/>
      <c r="NSI39" s="8"/>
      <c r="NSJ39" s="8"/>
      <c r="NSK39" s="8"/>
      <c r="NSL39" s="8"/>
      <c r="NSM39" s="8"/>
      <c r="NSN39" s="8"/>
      <c r="NSO39" s="8"/>
      <c r="NSP39" s="8"/>
      <c r="NSQ39" s="8"/>
      <c r="NSR39" s="8"/>
      <c r="NSS39" s="8"/>
      <c r="NST39" s="8"/>
      <c r="NSU39" s="8"/>
      <c r="NSV39" s="8"/>
      <c r="NSW39" s="8"/>
      <c r="NSX39" s="8"/>
      <c r="NSY39" s="8"/>
      <c r="NSZ39" s="8"/>
      <c r="NTA39" s="8"/>
      <c r="NTB39" s="8"/>
      <c r="NTC39" s="8"/>
      <c r="NTD39" s="8"/>
      <c r="NTE39" s="8"/>
      <c r="NTF39" s="8"/>
      <c r="NTG39" s="8"/>
      <c r="NTH39" s="8"/>
      <c r="NTI39" s="8"/>
      <c r="NTJ39" s="8"/>
      <c r="NTK39" s="8"/>
      <c r="NTL39" s="8"/>
      <c r="NTM39" s="8"/>
      <c r="NTN39" s="8"/>
      <c r="NTO39" s="8"/>
      <c r="NTP39" s="8"/>
      <c r="NTQ39" s="8"/>
      <c r="NTR39" s="8"/>
      <c r="NTS39" s="8"/>
      <c r="NTT39" s="8"/>
      <c r="NTU39" s="8"/>
      <c r="NTV39" s="8"/>
      <c r="NTW39" s="8"/>
      <c r="NTX39" s="8"/>
      <c r="NTY39" s="8"/>
      <c r="NTZ39" s="8"/>
      <c r="NUA39" s="8"/>
      <c r="NUB39" s="8"/>
      <c r="NUC39" s="8"/>
      <c r="NUD39" s="8"/>
      <c r="NUE39" s="8"/>
      <c r="NUF39" s="8"/>
      <c r="NUG39" s="8"/>
      <c r="NUH39" s="8"/>
      <c r="NUI39" s="8"/>
      <c r="NUJ39" s="8"/>
      <c r="NUK39" s="8"/>
      <c r="NUL39" s="8"/>
      <c r="NUM39" s="8"/>
      <c r="NUN39" s="8"/>
      <c r="NUO39" s="8"/>
      <c r="NUP39" s="8"/>
      <c r="NUQ39" s="8"/>
      <c r="NUR39" s="8"/>
      <c r="NUS39" s="8"/>
      <c r="NUT39" s="8"/>
      <c r="NUU39" s="8"/>
      <c r="NUV39" s="8"/>
      <c r="NUW39" s="8"/>
      <c r="NUX39" s="8"/>
      <c r="NUY39" s="8"/>
      <c r="NUZ39" s="8"/>
      <c r="NVA39" s="8"/>
      <c r="NVB39" s="8"/>
      <c r="NVC39" s="8"/>
      <c r="NVD39" s="8"/>
      <c r="NVE39" s="8"/>
      <c r="NVF39" s="8"/>
      <c r="NVG39" s="8"/>
      <c r="NVH39" s="8"/>
      <c r="NVI39" s="8"/>
      <c r="NVJ39" s="8"/>
      <c r="NVK39" s="8"/>
      <c r="NVL39" s="8"/>
      <c r="NVM39" s="8"/>
      <c r="NVN39" s="8"/>
      <c r="NVO39" s="8"/>
      <c r="NVP39" s="8"/>
      <c r="NVQ39" s="8"/>
      <c r="NVR39" s="8"/>
      <c r="NVS39" s="8"/>
      <c r="NVT39" s="8"/>
      <c r="NVU39" s="8"/>
      <c r="NVV39" s="8"/>
      <c r="NVW39" s="8"/>
      <c r="NVX39" s="8"/>
      <c r="NVY39" s="8"/>
      <c r="NVZ39" s="8"/>
      <c r="NWA39" s="8"/>
      <c r="NWB39" s="8"/>
      <c r="NWC39" s="8"/>
      <c r="NWD39" s="8"/>
      <c r="NWE39" s="8"/>
      <c r="NWF39" s="8"/>
      <c r="NWG39" s="8"/>
      <c r="NWH39" s="8"/>
      <c r="NWI39" s="8"/>
      <c r="NWJ39" s="8"/>
      <c r="NWK39" s="8"/>
      <c r="NWL39" s="8"/>
      <c r="NWM39" s="8"/>
      <c r="NWN39" s="8"/>
      <c r="NWO39" s="8"/>
      <c r="NWP39" s="8"/>
      <c r="NWQ39" s="8"/>
      <c r="NWR39" s="8"/>
      <c r="NWS39" s="8"/>
      <c r="NWT39" s="8"/>
      <c r="NWU39" s="8"/>
      <c r="NWV39" s="8"/>
      <c r="NWW39" s="8"/>
      <c r="NWX39" s="8"/>
      <c r="NWY39" s="8"/>
      <c r="NWZ39" s="8"/>
      <c r="NXA39" s="8"/>
      <c r="NXB39" s="8"/>
      <c r="NXC39" s="8"/>
      <c r="NXD39" s="8"/>
      <c r="NXE39" s="8"/>
      <c r="NXF39" s="8"/>
      <c r="NXG39" s="8"/>
      <c r="NXH39" s="8"/>
      <c r="NXI39" s="8"/>
      <c r="NXJ39" s="8"/>
      <c r="NXK39" s="8"/>
      <c r="NXL39" s="8"/>
      <c r="NXM39" s="8"/>
      <c r="NXN39" s="8"/>
      <c r="NXO39" s="8"/>
      <c r="NXP39" s="8"/>
      <c r="NXQ39" s="8"/>
      <c r="NXR39" s="8"/>
      <c r="NXS39" s="8"/>
      <c r="NXT39" s="8"/>
      <c r="NXU39" s="8"/>
      <c r="NXV39" s="8"/>
      <c r="NXW39" s="8"/>
      <c r="NXX39" s="8"/>
      <c r="NXY39" s="8"/>
      <c r="NXZ39" s="8"/>
      <c r="NYA39" s="8"/>
      <c r="NYB39" s="8"/>
      <c r="NYC39" s="8"/>
      <c r="NYD39" s="8"/>
      <c r="NYE39" s="8"/>
      <c r="NYF39" s="8"/>
      <c r="NYG39" s="8"/>
      <c r="NYH39" s="8"/>
      <c r="NYI39" s="8"/>
      <c r="NYJ39" s="8"/>
      <c r="NYK39" s="8"/>
      <c r="NYL39" s="8"/>
      <c r="NYM39" s="8"/>
      <c r="NYN39" s="8"/>
      <c r="NYO39" s="8"/>
      <c r="NYP39" s="8"/>
      <c r="NYQ39" s="8"/>
      <c r="NYR39" s="8"/>
      <c r="NYS39" s="8"/>
      <c r="NYT39" s="8"/>
      <c r="NYU39" s="8"/>
      <c r="NYV39" s="8"/>
      <c r="NYW39" s="8"/>
      <c r="NYX39" s="8"/>
      <c r="NYY39" s="8"/>
      <c r="NYZ39" s="8"/>
      <c r="NZA39" s="8"/>
      <c r="NZB39" s="8"/>
      <c r="NZC39" s="8"/>
      <c r="NZD39" s="8"/>
      <c r="NZE39" s="8"/>
      <c r="NZF39" s="8"/>
      <c r="NZG39" s="8"/>
      <c r="NZH39" s="8"/>
      <c r="NZI39" s="8"/>
      <c r="NZJ39" s="8"/>
      <c r="NZK39" s="8"/>
      <c r="NZL39" s="8"/>
      <c r="NZM39" s="8"/>
      <c r="NZN39" s="8"/>
      <c r="NZO39" s="8"/>
      <c r="NZP39" s="8"/>
      <c r="NZQ39" s="8"/>
      <c r="NZR39" s="8"/>
      <c r="NZS39" s="8"/>
      <c r="NZT39" s="8"/>
      <c r="NZU39" s="8"/>
      <c r="NZV39" s="8"/>
      <c r="NZW39" s="8"/>
      <c r="NZX39" s="8"/>
      <c r="NZY39" s="8"/>
      <c r="NZZ39" s="8"/>
      <c r="OAA39" s="8"/>
      <c r="OAB39" s="8"/>
      <c r="OAC39" s="8"/>
      <c r="OAD39" s="8"/>
      <c r="OAE39" s="8"/>
      <c r="OAF39" s="8"/>
      <c r="OAG39" s="8"/>
      <c r="OAH39" s="8"/>
      <c r="OAI39" s="8"/>
      <c r="OAJ39" s="8"/>
      <c r="OAK39" s="8"/>
      <c r="OAL39" s="8"/>
      <c r="OAM39" s="8"/>
      <c r="OAN39" s="8"/>
      <c r="OAO39" s="8"/>
      <c r="OAP39" s="8"/>
      <c r="OAQ39" s="8"/>
      <c r="OAR39" s="8"/>
      <c r="OAS39" s="8"/>
      <c r="OAT39" s="8"/>
      <c r="OAU39" s="8"/>
      <c r="OAV39" s="8"/>
      <c r="OAW39" s="8"/>
      <c r="OAX39" s="8"/>
      <c r="OAY39" s="8"/>
      <c r="OAZ39" s="8"/>
      <c r="OBA39" s="8"/>
      <c r="OBB39" s="8"/>
      <c r="OBC39" s="8"/>
      <c r="OBD39" s="8"/>
      <c r="OBE39" s="8"/>
      <c r="OBF39" s="8"/>
      <c r="OBG39" s="8"/>
      <c r="OBH39" s="8"/>
      <c r="OBI39" s="8"/>
      <c r="OBJ39" s="8"/>
      <c r="OBK39" s="8"/>
      <c r="OBL39" s="8"/>
      <c r="OBM39" s="8"/>
      <c r="OBN39" s="8"/>
      <c r="OBO39" s="8"/>
      <c r="OBP39" s="8"/>
      <c r="OBQ39" s="8"/>
      <c r="OBR39" s="8"/>
      <c r="OBS39" s="8"/>
      <c r="OBT39" s="8"/>
      <c r="OBU39" s="8"/>
      <c r="OBV39" s="8"/>
      <c r="OBW39" s="8"/>
      <c r="OBX39" s="8"/>
      <c r="OBY39" s="8"/>
      <c r="OBZ39" s="8"/>
      <c r="OCA39" s="8"/>
      <c r="OCB39" s="8"/>
      <c r="OCC39" s="8"/>
      <c r="OCD39" s="8"/>
      <c r="OCE39" s="8"/>
      <c r="OCF39" s="8"/>
      <c r="OCG39" s="8"/>
      <c r="OCH39" s="8"/>
      <c r="OCI39" s="8"/>
      <c r="OCJ39" s="8"/>
      <c r="OCK39" s="8"/>
      <c r="OCL39" s="8"/>
      <c r="OCM39" s="8"/>
      <c r="OCN39" s="8"/>
      <c r="OCO39" s="8"/>
      <c r="OCP39" s="8"/>
      <c r="OCQ39" s="8"/>
      <c r="OCR39" s="8"/>
      <c r="OCS39" s="8"/>
      <c r="OCT39" s="8"/>
      <c r="OCU39" s="8"/>
      <c r="OCV39" s="8"/>
      <c r="OCW39" s="8"/>
      <c r="OCX39" s="8"/>
      <c r="OCY39" s="8"/>
      <c r="OCZ39" s="8"/>
      <c r="ODA39" s="8"/>
      <c r="ODB39" s="8"/>
      <c r="ODC39" s="8"/>
      <c r="ODD39" s="8"/>
      <c r="ODE39" s="8"/>
      <c r="ODF39" s="8"/>
      <c r="ODG39" s="8"/>
      <c r="ODH39" s="8"/>
      <c r="ODI39" s="8"/>
      <c r="ODJ39" s="8"/>
      <c r="ODK39" s="8"/>
      <c r="ODL39" s="8"/>
      <c r="ODM39" s="8"/>
      <c r="ODN39" s="8"/>
      <c r="ODO39" s="8"/>
      <c r="ODP39" s="8"/>
      <c r="ODQ39" s="8"/>
      <c r="ODR39" s="8"/>
      <c r="ODS39" s="8"/>
      <c r="ODT39" s="8"/>
      <c r="ODU39" s="8"/>
      <c r="ODV39" s="8"/>
      <c r="ODW39" s="8"/>
      <c r="ODX39" s="8"/>
      <c r="ODY39" s="8"/>
      <c r="ODZ39" s="8"/>
      <c r="OEA39" s="8"/>
      <c r="OEB39" s="8"/>
      <c r="OEC39" s="8"/>
      <c r="OED39" s="8"/>
      <c r="OEE39" s="8"/>
      <c r="OEF39" s="8"/>
      <c r="OEG39" s="8"/>
      <c r="OEH39" s="8"/>
      <c r="OEI39" s="8"/>
      <c r="OEJ39" s="8"/>
      <c r="OEK39" s="8"/>
      <c r="OEL39" s="8"/>
      <c r="OEM39" s="8"/>
      <c r="OEN39" s="8"/>
      <c r="OEO39" s="8"/>
      <c r="OEP39" s="8"/>
      <c r="OEQ39" s="8"/>
      <c r="OER39" s="8"/>
      <c r="OES39" s="8"/>
      <c r="OET39" s="8"/>
      <c r="OEU39" s="8"/>
      <c r="OEV39" s="8"/>
      <c r="OEW39" s="8"/>
      <c r="OEX39" s="8"/>
      <c r="OEY39" s="8"/>
      <c r="OEZ39" s="8"/>
      <c r="OFA39" s="8"/>
      <c r="OFB39" s="8"/>
      <c r="OFC39" s="8"/>
      <c r="OFD39" s="8"/>
      <c r="OFE39" s="8"/>
      <c r="OFF39" s="8"/>
      <c r="OFG39" s="8"/>
      <c r="OFH39" s="8"/>
      <c r="OFI39" s="8"/>
      <c r="OFJ39" s="8"/>
      <c r="OFK39" s="8"/>
      <c r="OFL39" s="8"/>
      <c r="OFM39" s="8"/>
      <c r="OFN39" s="8"/>
      <c r="OFO39" s="8"/>
      <c r="OFP39" s="8"/>
      <c r="OFQ39" s="8"/>
      <c r="OFR39" s="8"/>
      <c r="OFS39" s="8"/>
      <c r="OFT39" s="8"/>
      <c r="OFU39" s="8"/>
      <c r="OFV39" s="8"/>
      <c r="OFW39" s="8"/>
      <c r="OFX39" s="8"/>
      <c r="OFY39" s="8"/>
      <c r="OFZ39" s="8"/>
      <c r="OGA39" s="8"/>
      <c r="OGB39" s="8"/>
      <c r="OGC39" s="8"/>
      <c r="OGD39" s="8"/>
      <c r="OGE39" s="8"/>
      <c r="OGF39" s="8"/>
      <c r="OGG39" s="8"/>
      <c r="OGH39" s="8"/>
      <c r="OGI39" s="8"/>
      <c r="OGJ39" s="8"/>
      <c r="OGK39" s="8"/>
      <c r="OGL39" s="8"/>
      <c r="OGM39" s="8"/>
      <c r="OGN39" s="8"/>
      <c r="OGO39" s="8"/>
      <c r="OGP39" s="8"/>
      <c r="OGQ39" s="8"/>
      <c r="OGR39" s="8"/>
      <c r="OGS39" s="8"/>
      <c r="OGT39" s="8"/>
      <c r="OGU39" s="8"/>
      <c r="OGV39" s="8"/>
      <c r="OGW39" s="8"/>
      <c r="OGX39" s="8"/>
      <c r="OGY39" s="8"/>
      <c r="OGZ39" s="8"/>
      <c r="OHA39" s="8"/>
      <c r="OHB39" s="8"/>
      <c r="OHC39" s="8"/>
      <c r="OHD39" s="8"/>
      <c r="OHE39" s="8"/>
      <c r="OHF39" s="8"/>
      <c r="OHG39" s="8"/>
      <c r="OHH39" s="8"/>
      <c r="OHI39" s="8"/>
      <c r="OHJ39" s="8"/>
      <c r="OHK39" s="8"/>
      <c r="OHL39" s="8"/>
      <c r="OHM39" s="8"/>
      <c r="OHN39" s="8"/>
      <c r="OHO39" s="8"/>
      <c r="OHP39" s="8"/>
      <c r="OHQ39" s="8"/>
      <c r="OHR39" s="8"/>
      <c r="OHS39" s="8"/>
      <c r="OHT39" s="8"/>
      <c r="OHU39" s="8"/>
      <c r="OHV39" s="8"/>
      <c r="OHW39" s="8"/>
      <c r="OHX39" s="8"/>
      <c r="OHY39" s="8"/>
      <c r="OHZ39" s="8"/>
      <c r="OIA39" s="8"/>
      <c r="OIB39" s="8"/>
      <c r="OIC39" s="8"/>
      <c r="OID39" s="8"/>
      <c r="OIE39" s="8"/>
      <c r="OIF39" s="8"/>
      <c r="OIG39" s="8"/>
      <c r="OIH39" s="8"/>
      <c r="OII39" s="8"/>
      <c r="OIJ39" s="8"/>
      <c r="OIK39" s="8"/>
      <c r="OIL39" s="8"/>
      <c r="OIM39" s="8"/>
      <c r="OIN39" s="8"/>
      <c r="OIO39" s="8"/>
      <c r="OIP39" s="8"/>
      <c r="OIQ39" s="8"/>
      <c r="OIR39" s="8"/>
      <c r="OIS39" s="8"/>
      <c r="OIT39" s="8"/>
      <c r="OIU39" s="8"/>
      <c r="OIV39" s="8"/>
      <c r="OIW39" s="8"/>
      <c r="OIX39" s="8"/>
      <c r="OIY39" s="8"/>
      <c r="OIZ39" s="8"/>
      <c r="OJA39" s="8"/>
      <c r="OJB39" s="8"/>
      <c r="OJC39" s="8"/>
      <c r="OJD39" s="8"/>
      <c r="OJE39" s="8"/>
      <c r="OJF39" s="8"/>
      <c r="OJG39" s="8"/>
      <c r="OJH39" s="8"/>
      <c r="OJI39" s="8"/>
      <c r="OJJ39" s="8"/>
      <c r="OJK39" s="8"/>
      <c r="OJL39" s="8"/>
      <c r="OJM39" s="8"/>
      <c r="OJN39" s="8"/>
      <c r="OJO39" s="8"/>
      <c r="OJP39" s="8"/>
      <c r="OJQ39" s="8"/>
      <c r="OJR39" s="8"/>
      <c r="OJS39" s="8"/>
      <c r="OJT39" s="8"/>
      <c r="OJU39" s="8"/>
      <c r="OJV39" s="8"/>
      <c r="OJW39" s="8"/>
      <c r="OJX39" s="8"/>
      <c r="OJY39" s="8"/>
      <c r="OJZ39" s="8"/>
      <c r="OKA39" s="8"/>
      <c r="OKB39" s="8"/>
      <c r="OKC39" s="8"/>
      <c r="OKD39" s="8"/>
      <c r="OKE39" s="8"/>
      <c r="OKF39" s="8"/>
      <c r="OKG39" s="8"/>
      <c r="OKH39" s="8"/>
      <c r="OKI39" s="8"/>
      <c r="OKJ39" s="8"/>
      <c r="OKK39" s="8"/>
      <c r="OKL39" s="8"/>
      <c r="OKM39" s="8"/>
      <c r="OKN39" s="8"/>
      <c r="OKO39" s="8"/>
      <c r="OKP39" s="8"/>
      <c r="OKQ39" s="8"/>
      <c r="OKR39" s="8"/>
      <c r="OKS39" s="8"/>
      <c r="OKT39" s="8"/>
      <c r="OKU39" s="8"/>
      <c r="OKV39" s="8"/>
      <c r="OKW39" s="8"/>
      <c r="OKX39" s="8"/>
      <c r="OKY39" s="8"/>
      <c r="OKZ39" s="8"/>
      <c r="OLA39" s="8"/>
      <c r="OLB39" s="8"/>
      <c r="OLC39" s="8"/>
      <c r="OLD39" s="8"/>
      <c r="OLE39" s="8"/>
      <c r="OLF39" s="8"/>
      <c r="OLG39" s="8"/>
      <c r="OLH39" s="8"/>
      <c r="OLI39" s="8"/>
      <c r="OLJ39" s="8"/>
      <c r="OLK39" s="8"/>
      <c r="OLL39" s="8"/>
      <c r="OLM39" s="8"/>
      <c r="OLN39" s="8"/>
      <c r="OLO39" s="8"/>
      <c r="OLP39" s="8"/>
      <c r="OLQ39" s="8"/>
      <c r="OLR39" s="8"/>
      <c r="OLS39" s="8"/>
      <c r="OLT39" s="8"/>
      <c r="OLU39" s="8"/>
      <c r="OLV39" s="8"/>
      <c r="OLW39" s="8"/>
      <c r="OLX39" s="8"/>
      <c r="OLY39" s="8"/>
      <c r="OLZ39" s="8"/>
      <c r="OMA39" s="8"/>
      <c r="OMB39" s="8"/>
      <c r="OMC39" s="8"/>
      <c r="OMD39" s="8"/>
      <c r="OME39" s="8"/>
      <c r="OMF39" s="8"/>
      <c r="OMG39" s="8"/>
      <c r="OMH39" s="8"/>
      <c r="OMI39" s="8"/>
      <c r="OMJ39" s="8"/>
      <c r="OMK39" s="8"/>
      <c r="OML39" s="8"/>
      <c r="OMM39" s="8"/>
      <c r="OMN39" s="8"/>
      <c r="OMO39" s="8"/>
      <c r="OMP39" s="8"/>
      <c r="OMQ39" s="8"/>
      <c r="OMR39" s="8"/>
      <c r="OMS39" s="8"/>
      <c r="OMT39" s="8"/>
      <c r="OMU39" s="8"/>
      <c r="OMV39" s="8"/>
      <c r="OMW39" s="8"/>
      <c r="OMX39" s="8"/>
      <c r="OMY39" s="8"/>
      <c r="OMZ39" s="8"/>
      <c r="ONA39" s="8"/>
      <c r="ONB39" s="8"/>
      <c r="ONC39" s="8"/>
      <c r="OND39" s="8"/>
      <c r="ONE39" s="8"/>
      <c r="ONF39" s="8"/>
      <c r="ONG39" s="8"/>
      <c r="ONH39" s="8"/>
      <c r="ONI39" s="8"/>
      <c r="ONJ39" s="8"/>
      <c r="ONK39" s="8"/>
      <c r="ONL39" s="8"/>
      <c r="ONM39" s="8"/>
      <c r="ONN39" s="8"/>
      <c r="ONO39" s="8"/>
      <c r="ONP39" s="8"/>
      <c r="ONQ39" s="8"/>
      <c r="ONR39" s="8"/>
      <c r="ONS39" s="8"/>
      <c r="ONT39" s="8"/>
      <c r="ONU39" s="8"/>
      <c r="ONV39" s="8"/>
      <c r="ONW39" s="8"/>
      <c r="ONX39" s="8"/>
      <c r="ONY39" s="8"/>
      <c r="ONZ39" s="8"/>
      <c r="OOA39" s="8"/>
      <c r="OOB39" s="8"/>
      <c r="OOC39" s="8"/>
      <c r="OOD39" s="8"/>
      <c r="OOE39" s="8"/>
      <c r="OOF39" s="8"/>
      <c r="OOG39" s="8"/>
      <c r="OOH39" s="8"/>
      <c r="OOI39" s="8"/>
      <c r="OOJ39" s="8"/>
      <c r="OOK39" s="8"/>
      <c r="OOL39" s="8"/>
      <c r="OOM39" s="8"/>
      <c r="OON39" s="8"/>
      <c r="OOO39" s="8"/>
      <c r="OOP39" s="8"/>
      <c r="OOQ39" s="8"/>
      <c r="OOR39" s="8"/>
      <c r="OOS39" s="8"/>
      <c r="OOT39" s="8"/>
      <c r="OOU39" s="8"/>
      <c r="OOV39" s="8"/>
      <c r="OOW39" s="8"/>
      <c r="OOX39" s="8"/>
      <c r="OOY39" s="8"/>
      <c r="OOZ39" s="8"/>
      <c r="OPA39" s="8"/>
      <c r="OPB39" s="8"/>
      <c r="OPC39" s="8"/>
      <c r="OPD39" s="8"/>
      <c r="OPE39" s="8"/>
      <c r="OPF39" s="8"/>
      <c r="OPG39" s="8"/>
      <c r="OPH39" s="8"/>
      <c r="OPI39" s="8"/>
      <c r="OPJ39" s="8"/>
      <c r="OPK39" s="8"/>
      <c r="OPL39" s="8"/>
      <c r="OPM39" s="8"/>
      <c r="OPN39" s="8"/>
      <c r="OPO39" s="8"/>
      <c r="OPP39" s="8"/>
      <c r="OPQ39" s="8"/>
      <c r="OPR39" s="8"/>
      <c r="OPS39" s="8"/>
      <c r="OPT39" s="8"/>
      <c r="OPU39" s="8"/>
      <c r="OPV39" s="8"/>
      <c r="OPW39" s="8"/>
      <c r="OPX39" s="8"/>
      <c r="OPY39" s="8"/>
      <c r="OPZ39" s="8"/>
      <c r="OQA39" s="8"/>
      <c r="OQB39" s="8"/>
      <c r="OQC39" s="8"/>
      <c r="OQD39" s="8"/>
      <c r="OQE39" s="8"/>
      <c r="OQF39" s="8"/>
      <c r="OQG39" s="8"/>
      <c r="OQH39" s="8"/>
      <c r="OQI39" s="8"/>
      <c r="OQJ39" s="8"/>
      <c r="OQK39" s="8"/>
      <c r="OQL39" s="8"/>
      <c r="OQM39" s="8"/>
      <c r="OQN39" s="8"/>
      <c r="OQO39" s="8"/>
      <c r="OQP39" s="8"/>
      <c r="OQQ39" s="8"/>
      <c r="OQR39" s="8"/>
      <c r="OQS39" s="8"/>
      <c r="OQT39" s="8"/>
      <c r="OQU39" s="8"/>
      <c r="OQV39" s="8"/>
      <c r="OQW39" s="8"/>
      <c r="OQX39" s="8"/>
      <c r="OQY39" s="8"/>
      <c r="OQZ39" s="8"/>
      <c r="ORA39" s="8"/>
      <c r="ORB39" s="8"/>
      <c r="ORC39" s="8"/>
      <c r="ORD39" s="8"/>
      <c r="ORE39" s="8"/>
      <c r="ORF39" s="8"/>
      <c r="ORG39" s="8"/>
      <c r="ORH39" s="8"/>
      <c r="ORI39" s="8"/>
      <c r="ORJ39" s="8"/>
      <c r="ORK39" s="8"/>
      <c r="ORL39" s="8"/>
      <c r="ORM39" s="8"/>
      <c r="ORN39" s="8"/>
      <c r="ORO39" s="8"/>
      <c r="ORP39" s="8"/>
      <c r="ORQ39" s="8"/>
      <c r="ORR39" s="8"/>
      <c r="ORS39" s="8"/>
      <c r="ORT39" s="8"/>
      <c r="ORU39" s="8"/>
      <c r="ORV39" s="8"/>
      <c r="ORW39" s="8"/>
      <c r="ORX39" s="8"/>
      <c r="ORY39" s="8"/>
      <c r="ORZ39" s="8"/>
      <c r="OSA39" s="8"/>
      <c r="OSB39" s="8"/>
      <c r="OSC39" s="8"/>
      <c r="OSD39" s="8"/>
      <c r="OSE39" s="8"/>
      <c r="OSF39" s="8"/>
      <c r="OSG39" s="8"/>
      <c r="OSH39" s="8"/>
      <c r="OSI39" s="8"/>
      <c r="OSJ39" s="8"/>
      <c r="OSK39" s="8"/>
      <c r="OSL39" s="8"/>
      <c r="OSM39" s="8"/>
      <c r="OSN39" s="8"/>
      <c r="OSO39" s="8"/>
      <c r="OSP39" s="8"/>
      <c r="OSQ39" s="8"/>
      <c r="OSR39" s="8"/>
      <c r="OSS39" s="8"/>
      <c r="OST39" s="8"/>
      <c r="OSU39" s="8"/>
      <c r="OSV39" s="8"/>
      <c r="OSW39" s="8"/>
      <c r="OSX39" s="8"/>
      <c r="OSY39" s="8"/>
      <c r="OSZ39" s="8"/>
      <c r="OTA39" s="8"/>
      <c r="OTB39" s="8"/>
      <c r="OTC39" s="8"/>
      <c r="OTD39" s="8"/>
      <c r="OTE39" s="8"/>
      <c r="OTF39" s="8"/>
      <c r="OTG39" s="8"/>
      <c r="OTH39" s="8"/>
      <c r="OTI39" s="8"/>
      <c r="OTJ39" s="8"/>
      <c r="OTK39" s="8"/>
      <c r="OTL39" s="8"/>
      <c r="OTM39" s="8"/>
      <c r="OTN39" s="8"/>
      <c r="OTO39" s="8"/>
      <c r="OTP39" s="8"/>
      <c r="OTQ39" s="8"/>
      <c r="OTR39" s="8"/>
      <c r="OTS39" s="8"/>
      <c r="OTT39" s="8"/>
      <c r="OTU39" s="8"/>
      <c r="OTV39" s="8"/>
      <c r="OTW39" s="8"/>
      <c r="OTX39" s="8"/>
      <c r="OTY39" s="8"/>
      <c r="OTZ39" s="8"/>
      <c r="OUA39" s="8"/>
      <c r="OUB39" s="8"/>
      <c r="OUC39" s="8"/>
      <c r="OUD39" s="8"/>
      <c r="OUE39" s="8"/>
      <c r="OUF39" s="8"/>
      <c r="OUG39" s="8"/>
      <c r="OUH39" s="8"/>
      <c r="OUI39" s="8"/>
      <c r="OUJ39" s="8"/>
      <c r="OUK39" s="8"/>
      <c r="OUL39" s="8"/>
      <c r="OUM39" s="8"/>
      <c r="OUN39" s="8"/>
      <c r="OUO39" s="8"/>
      <c r="OUP39" s="8"/>
      <c r="OUQ39" s="8"/>
      <c r="OUR39" s="8"/>
      <c r="OUS39" s="8"/>
      <c r="OUT39" s="8"/>
      <c r="OUU39" s="8"/>
      <c r="OUV39" s="8"/>
      <c r="OUW39" s="8"/>
      <c r="OUX39" s="8"/>
      <c r="OUY39" s="8"/>
      <c r="OUZ39" s="8"/>
      <c r="OVA39" s="8"/>
      <c r="OVB39" s="8"/>
      <c r="OVC39" s="8"/>
      <c r="OVD39" s="8"/>
      <c r="OVE39" s="8"/>
      <c r="OVF39" s="8"/>
      <c r="OVG39" s="8"/>
      <c r="OVH39" s="8"/>
      <c r="OVI39" s="8"/>
      <c r="OVJ39" s="8"/>
      <c r="OVK39" s="8"/>
      <c r="OVL39" s="8"/>
      <c r="OVM39" s="8"/>
      <c r="OVN39" s="8"/>
      <c r="OVO39" s="8"/>
      <c r="OVP39" s="8"/>
      <c r="OVQ39" s="8"/>
      <c r="OVR39" s="8"/>
      <c r="OVS39" s="8"/>
      <c r="OVT39" s="8"/>
      <c r="OVU39" s="8"/>
      <c r="OVV39" s="8"/>
      <c r="OVW39" s="8"/>
      <c r="OVX39" s="8"/>
      <c r="OVY39" s="8"/>
      <c r="OVZ39" s="8"/>
      <c r="OWA39" s="8"/>
      <c r="OWB39" s="8"/>
      <c r="OWC39" s="8"/>
      <c r="OWD39" s="8"/>
      <c r="OWE39" s="8"/>
      <c r="OWF39" s="8"/>
      <c r="OWG39" s="8"/>
      <c r="OWH39" s="8"/>
      <c r="OWI39" s="8"/>
      <c r="OWJ39" s="8"/>
      <c r="OWK39" s="8"/>
      <c r="OWL39" s="8"/>
      <c r="OWM39" s="8"/>
      <c r="OWN39" s="8"/>
      <c r="OWO39" s="8"/>
      <c r="OWP39" s="8"/>
      <c r="OWQ39" s="8"/>
      <c r="OWR39" s="8"/>
      <c r="OWS39" s="8"/>
      <c r="OWT39" s="8"/>
      <c r="OWU39" s="8"/>
      <c r="OWV39" s="8"/>
      <c r="OWW39" s="8"/>
      <c r="OWX39" s="8"/>
      <c r="OWY39" s="8"/>
      <c r="OWZ39" s="8"/>
      <c r="OXA39" s="8"/>
      <c r="OXB39" s="8"/>
      <c r="OXC39" s="8"/>
      <c r="OXD39" s="8"/>
      <c r="OXE39" s="8"/>
      <c r="OXF39" s="8"/>
      <c r="OXG39" s="8"/>
      <c r="OXH39" s="8"/>
      <c r="OXI39" s="8"/>
      <c r="OXJ39" s="8"/>
      <c r="OXK39" s="8"/>
      <c r="OXL39" s="8"/>
      <c r="OXM39" s="8"/>
      <c r="OXN39" s="8"/>
      <c r="OXO39" s="8"/>
      <c r="OXP39" s="8"/>
      <c r="OXQ39" s="8"/>
      <c r="OXR39" s="8"/>
      <c r="OXS39" s="8"/>
      <c r="OXT39" s="8"/>
      <c r="OXU39" s="8"/>
      <c r="OXV39" s="8"/>
      <c r="OXW39" s="8"/>
      <c r="OXX39" s="8"/>
      <c r="OXY39" s="8"/>
      <c r="OXZ39" s="8"/>
      <c r="OYA39" s="8"/>
      <c r="OYB39" s="8"/>
      <c r="OYC39" s="8"/>
      <c r="OYD39" s="8"/>
      <c r="OYE39" s="8"/>
      <c r="OYF39" s="8"/>
      <c r="OYG39" s="8"/>
      <c r="OYH39" s="8"/>
      <c r="OYI39" s="8"/>
      <c r="OYJ39" s="8"/>
      <c r="OYK39" s="8"/>
      <c r="OYL39" s="8"/>
      <c r="OYM39" s="8"/>
      <c r="OYN39" s="8"/>
      <c r="OYO39" s="8"/>
      <c r="OYP39" s="8"/>
      <c r="OYQ39" s="8"/>
      <c r="OYR39" s="8"/>
      <c r="OYS39" s="8"/>
      <c r="OYT39" s="8"/>
      <c r="OYU39" s="8"/>
      <c r="OYV39" s="8"/>
      <c r="OYW39" s="8"/>
      <c r="OYX39" s="8"/>
      <c r="OYY39" s="8"/>
      <c r="OYZ39" s="8"/>
      <c r="OZA39" s="8"/>
      <c r="OZB39" s="8"/>
      <c r="OZC39" s="8"/>
      <c r="OZD39" s="8"/>
      <c r="OZE39" s="8"/>
      <c r="OZF39" s="8"/>
      <c r="OZG39" s="8"/>
      <c r="OZH39" s="8"/>
      <c r="OZI39" s="8"/>
      <c r="OZJ39" s="8"/>
      <c r="OZK39" s="8"/>
      <c r="OZL39" s="8"/>
      <c r="OZM39" s="8"/>
      <c r="OZN39" s="8"/>
      <c r="OZO39" s="8"/>
      <c r="OZP39" s="8"/>
      <c r="OZQ39" s="8"/>
      <c r="OZR39" s="8"/>
      <c r="OZS39" s="8"/>
      <c r="OZT39" s="8"/>
      <c r="OZU39" s="8"/>
      <c r="OZV39" s="8"/>
      <c r="OZW39" s="8"/>
      <c r="OZX39" s="8"/>
      <c r="OZY39" s="8"/>
      <c r="OZZ39" s="8"/>
      <c r="PAA39" s="8"/>
      <c r="PAB39" s="8"/>
      <c r="PAC39" s="8"/>
      <c r="PAD39" s="8"/>
      <c r="PAE39" s="8"/>
      <c r="PAF39" s="8"/>
      <c r="PAG39" s="8"/>
      <c r="PAH39" s="8"/>
      <c r="PAI39" s="8"/>
      <c r="PAJ39" s="8"/>
      <c r="PAK39" s="8"/>
      <c r="PAL39" s="8"/>
      <c r="PAM39" s="8"/>
      <c r="PAN39" s="8"/>
      <c r="PAO39" s="8"/>
      <c r="PAP39" s="8"/>
      <c r="PAQ39" s="8"/>
      <c r="PAR39" s="8"/>
      <c r="PAS39" s="8"/>
      <c r="PAT39" s="8"/>
      <c r="PAU39" s="8"/>
      <c r="PAV39" s="8"/>
      <c r="PAW39" s="8"/>
      <c r="PAX39" s="8"/>
      <c r="PAY39" s="8"/>
      <c r="PAZ39" s="8"/>
      <c r="PBA39" s="8"/>
      <c r="PBB39" s="8"/>
      <c r="PBC39" s="8"/>
      <c r="PBD39" s="8"/>
      <c r="PBE39" s="8"/>
      <c r="PBF39" s="8"/>
      <c r="PBG39" s="8"/>
      <c r="PBH39" s="8"/>
      <c r="PBI39" s="8"/>
      <c r="PBJ39" s="8"/>
      <c r="PBK39" s="8"/>
      <c r="PBL39" s="8"/>
      <c r="PBM39" s="8"/>
      <c r="PBN39" s="8"/>
      <c r="PBO39" s="8"/>
      <c r="PBP39" s="8"/>
      <c r="PBQ39" s="8"/>
      <c r="PBR39" s="8"/>
      <c r="PBS39" s="8"/>
      <c r="PBT39" s="8"/>
      <c r="PBU39" s="8"/>
      <c r="PBV39" s="8"/>
      <c r="PBW39" s="8"/>
      <c r="PBX39" s="8"/>
      <c r="PBY39" s="8"/>
      <c r="PBZ39" s="8"/>
      <c r="PCA39" s="8"/>
      <c r="PCB39" s="8"/>
      <c r="PCC39" s="8"/>
      <c r="PCD39" s="8"/>
      <c r="PCE39" s="8"/>
      <c r="PCF39" s="8"/>
      <c r="PCG39" s="8"/>
      <c r="PCH39" s="8"/>
      <c r="PCI39" s="8"/>
      <c r="PCJ39" s="8"/>
      <c r="PCK39" s="8"/>
      <c r="PCL39" s="8"/>
      <c r="PCM39" s="8"/>
      <c r="PCN39" s="8"/>
      <c r="PCO39" s="8"/>
      <c r="PCP39" s="8"/>
      <c r="PCQ39" s="8"/>
      <c r="PCR39" s="8"/>
      <c r="PCS39" s="8"/>
      <c r="PCT39" s="8"/>
      <c r="PCU39" s="8"/>
      <c r="PCV39" s="8"/>
      <c r="PCW39" s="8"/>
      <c r="PCX39" s="8"/>
      <c r="PCY39" s="8"/>
      <c r="PCZ39" s="8"/>
      <c r="PDA39" s="8"/>
      <c r="PDB39" s="8"/>
      <c r="PDC39" s="8"/>
      <c r="PDD39" s="8"/>
      <c r="PDE39" s="8"/>
      <c r="PDF39" s="8"/>
      <c r="PDG39" s="8"/>
      <c r="PDH39" s="8"/>
      <c r="PDI39" s="8"/>
      <c r="PDJ39" s="8"/>
      <c r="PDK39" s="8"/>
      <c r="PDL39" s="8"/>
      <c r="PDM39" s="8"/>
      <c r="PDN39" s="8"/>
      <c r="PDO39" s="8"/>
      <c r="PDP39" s="8"/>
      <c r="PDQ39" s="8"/>
      <c r="PDR39" s="8"/>
      <c r="PDS39" s="8"/>
      <c r="PDT39" s="8"/>
      <c r="PDU39" s="8"/>
      <c r="PDV39" s="8"/>
      <c r="PDW39" s="8"/>
      <c r="PDX39" s="8"/>
      <c r="PDY39" s="8"/>
      <c r="PDZ39" s="8"/>
      <c r="PEA39" s="8"/>
      <c r="PEB39" s="8"/>
      <c r="PEC39" s="8"/>
      <c r="PED39" s="8"/>
      <c r="PEE39" s="8"/>
      <c r="PEF39" s="8"/>
      <c r="PEG39" s="8"/>
      <c r="PEH39" s="8"/>
      <c r="PEI39" s="8"/>
      <c r="PEJ39" s="8"/>
      <c r="PEK39" s="8"/>
      <c r="PEL39" s="8"/>
      <c r="PEM39" s="8"/>
      <c r="PEN39" s="8"/>
      <c r="PEO39" s="8"/>
      <c r="PEP39" s="8"/>
      <c r="PEQ39" s="8"/>
      <c r="PER39" s="8"/>
      <c r="PES39" s="8"/>
      <c r="PET39" s="8"/>
      <c r="PEU39" s="8"/>
      <c r="PEV39" s="8"/>
      <c r="PEW39" s="8"/>
      <c r="PEX39" s="8"/>
      <c r="PEY39" s="8"/>
      <c r="PEZ39" s="8"/>
      <c r="PFA39" s="8"/>
      <c r="PFB39" s="8"/>
      <c r="PFC39" s="8"/>
      <c r="PFD39" s="8"/>
      <c r="PFE39" s="8"/>
      <c r="PFF39" s="8"/>
      <c r="PFG39" s="8"/>
      <c r="PFH39" s="8"/>
      <c r="PFI39" s="8"/>
      <c r="PFJ39" s="8"/>
      <c r="PFK39" s="8"/>
      <c r="PFL39" s="8"/>
      <c r="PFM39" s="8"/>
      <c r="PFN39" s="8"/>
      <c r="PFO39" s="8"/>
      <c r="PFP39" s="8"/>
      <c r="PFQ39" s="8"/>
      <c r="PFR39" s="8"/>
      <c r="PFS39" s="8"/>
      <c r="PFT39" s="8"/>
      <c r="PFU39" s="8"/>
      <c r="PFV39" s="8"/>
      <c r="PFW39" s="8"/>
      <c r="PFX39" s="8"/>
      <c r="PFY39" s="8"/>
      <c r="PFZ39" s="8"/>
      <c r="PGA39" s="8"/>
      <c r="PGB39" s="8"/>
      <c r="PGC39" s="8"/>
      <c r="PGD39" s="8"/>
      <c r="PGE39" s="8"/>
      <c r="PGF39" s="8"/>
      <c r="PGG39" s="8"/>
      <c r="PGH39" s="8"/>
      <c r="PGI39" s="8"/>
      <c r="PGJ39" s="8"/>
      <c r="PGK39" s="8"/>
      <c r="PGL39" s="8"/>
      <c r="PGM39" s="8"/>
      <c r="PGN39" s="8"/>
      <c r="PGO39" s="8"/>
      <c r="PGP39" s="8"/>
      <c r="PGQ39" s="8"/>
      <c r="PGR39" s="8"/>
      <c r="PGS39" s="8"/>
      <c r="PGT39" s="8"/>
      <c r="PGU39" s="8"/>
      <c r="PGV39" s="8"/>
      <c r="PGW39" s="8"/>
      <c r="PGX39" s="8"/>
      <c r="PGY39" s="8"/>
      <c r="PGZ39" s="8"/>
      <c r="PHA39" s="8"/>
      <c r="PHB39" s="8"/>
      <c r="PHC39" s="8"/>
      <c r="PHD39" s="8"/>
      <c r="PHE39" s="8"/>
      <c r="PHF39" s="8"/>
      <c r="PHG39" s="8"/>
      <c r="PHH39" s="8"/>
      <c r="PHI39" s="8"/>
      <c r="PHJ39" s="8"/>
      <c r="PHK39" s="8"/>
      <c r="PHL39" s="8"/>
      <c r="PHM39" s="8"/>
      <c r="PHN39" s="8"/>
      <c r="PHO39" s="8"/>
      <c r="PHP39" s="8"/>
      <c r="PHQ39" s="8"/>
      <c r="PHR39" s="8"/>
      <c r="PHS39" s="8"/>
      <c r="PHT39" s="8"/>
      <c r="PHU39" s="8"/>
      <c r="PHV39" s="8"/>
      <c r="PHW39" s="8"/>
      <c r="PHX39" s="8"/>
      <c r="PHY39" s="8"/>
      <c r="PHZ39" s="8"/>
      <c r="PIA39" s="8"/>
      <c r="PIB39" s="8"/>
      <c r="PIC39" s="8"/>
      <c r="PID39" s="8"/>
      <c r="PIE39" s="8"/>
      <c r="PIF39" s="8"/>
      <c r="PIG39" s="8"/>
      <c r="PIH39" s="8"/>
      <c r="PII39" s="8"/>
      <c r="PIJ39" s="8"/>
      <c r="PIK39" s="8"/>
      <c r="PIL39" s="8"/>
      <c r="PIM39" s="8"/>
      <c r="PIN39" s="8"/>
      <c r="PIO39" s="8"/>
      <c r="PIP39" s="8"/>
      <c r="PIQ39" s="8"/>
      <c r="PIR39" s="8"/>
      <c r="PIS39" s="8"/>
      <c r="PIT39" s="8"/>
      <c r="PIU39" s="8"/>
      <c r="PIV39" s="8"/>
      <c r="PIW39" s="8"/>
      <c r="PIX39" s="8"/>
      <c r="PIY39" s="8"/>
      <c r="PIZ39" s="8"/>
      <c r="PJA39" s="8"/>
      <c r="PJB39" s="8"/>
      <c r="PJC39" s="8"/>
      <c r="PJD39" s="8"/>
      <c r="PJE39" s="8"/>
      <c r="PJF39" s="8"/>
      <c r="PJG39" s="8"/>
      <c r="PJH39" s="8"/>
      <c r="PJI39" s="8"/>
      <c r="PJJ39" s="8"/>
      <c r="PJK39" s="8"/>
      <c r="PJL39" s="8"/>
      <c r="PJM39" s="8"/>
      <c r="PJN39" s="8"/>
      <c r="PJO39" s="8"/>
      <c r="PJP39" s="8"/>
      <c r="PJQ39" s="8"/>
      <c r="PJR39" s="8"/>
      <c r="PJS39" s="8"/>
      <c r="PJT39" s="8"/>
      <c r="PJU39" s="8"/>
      <c r="PJV39" s="8"/>
      <c r="PJW39" s="8"/>
      <c r="PJX39" s="8"/>
      <c r="PJY39" s="8"/>
      <c r="PJZ39" s="8"/>
      <c r="PKA39" s="8"/>
      <c r="PKB39" s="8"/>
      <c r="PKC39" s="8"/>
      <c r="PKD39" s="8"/>
      <c r="PKE39" s="8"/>
      <c r="PKF39" s="8"/>
      <c r="PKG39" s="8"/>
      <c r="PKH39" s="8"/>
      <c r="PKI39" s="8"/>
      <c r="PKJ39" s="8"/>
      <c r="PKK39" s="8"/>
      <c r="PKL39" s="8"/>
      <c r="PKM39" s="8"/>
      <c r="PKN39" s="8"/>
      <c r="PKO39" s="8"/>
      <c r="PKP39" s="8"/>
      <c r="PKQ39" s="8"/>
      <c r="PKR39" s="8"/>
      <c r="PKS39" s="8"/>
      <c r="PKT39" s="8"/>
      <c r="PKU39" s="8"/>
      <c r="PKV39" s="8"/>
      <c r="PKW39" s="8"/>
      <c r="PKX39" s="8"/>
      <c r="PKY39" s="8"/>
      <c r="PKZ39" s="8"/>
      <c r="PLA39" s="8"/>
      <c r="PLB39" s="8"/>
      <c r="PLC39" s="8"/>
      <c r="PLD39" s="8"/>
      <c r="PLE39" s="8"/>
      <c r="PLF39" s="8"/>
      <c r="PLG39" s="8"/>
      <c r="PLH39" s="8"/>
      <c r="PLI39" s="8"/>
      <c r="PLJ39" s="8"/>
      <c r="PLK39" s="8"/>
      <c r="PLL39" s="8"/>
      <c r="PLM39" s="8"/>
      <c r="PLN39" s="8"/>
      <c r="PLO39" s="8"/>
      <c r="PLP39" s="8"/>
      <c r="PLQ39" s="8"/>
      <c r="PLR39" s="8"/>
      <c r="PLS39" s="8"/>
      <c r="PLT39" s="8"/>
      <c r="PLU39" s="8"/>
      <c r="PLV39" s="8"/>
      <c r="PLW39" s="8"/>
      <c r="PLX39" s="8"/>
      <c r="PLY39" s="8"/>
      <c r="PLZ39" s="8"/>
      <c r="PMA39" s="8"/>
      <c r="PMB39" s="8"/>
      <c r="PMC39" s="8"/>
      <c r="PMD39" s="8"/>
      <c r="PME39" s="8"/>
      <c r="PMF39" s="8"/>
      <c r="PMG39" s="8"/>
      <c r="PMH39" s="8"/>
      <c r="PMI39" s="8"/>
      <c r="PMJ39" s="8"/>
      <c r="PMK39" s="8"/>
      <c r="PML39" s="8"/>
      <c r="PMM39" s="8"/>
      <c r="PMN39" s="8"/>
      <c r="PMO39" s="8"/>
      <c r="PMP39" s="8"/>
      <c r="PMQ39" s="8"/>
      <c r="PMR39" s="8"/>
      <c r="PMS39" s="8"/>
      <c r="PMT39" s="8"/>
      <c r="PMU39" s="8"/>
      <c r="PMV39" s="8"/>
      <c r="PMW39" s="8"/>
      <c r="PMX39" s="8"/>
      <c r="PMY39" s="8"/>
      <c r="PMZ39" s="8"/>
      <c r="PNA39" s="8"/>
      <c r="PNB39" s="8"/>
      <c r="PNC39" s="8"/>
      <c r="PND39" s="8"/>
      <c r="PNE39" s="8"/>
      <c r="PNF39" s="8"/>
      <c r="PNG39" s="8"/>
      <c r="PNH39" s="8"/>
      <c r="PNI39" s="8"/>
      <c r="PNJ39" s="8"/>
      <c r="PNK39" s="8"/>
      <c r="PNL39" s="8"/>
      <c r="PNM39" s="8"/>
      <c r="PNN39" s="8"/>
      <c r="PNO39" s="8"/>
      <c r="PNP39" s="8"/>
      <c r="PNQ39" s="8"/>
      <c r="PNR39" s="8"/>
      <c r="PNS39" s="8"/>
      <c r="PNT39" s="8"/>
      <c r="PNU39" s="8"/>
      <c r="PNV39" s="8"/>
      <c r="PNW39" s="8"/>
      <c r="PNX39" s="8"/>
      <c r="PNY39" s="8"/>
      <c r="PNZ39" s="8"/>
      <c r="POA39" s="8"/>
      <c r="POB39" s="8"/>
      <c r="POC39" s="8"/>
      <c r="POD39" s="8"/>
      <c r="POE39" s="8"/>
      <c r="POF39" s="8"/>
      <c r="POG39" s="8"/>
      <c r="POH39" s="8"/>
      <c r="POI39" s="8"/>
      <c r="POJ39" s="8"/>
      <c r="POK39" s="8"/>
      <c r="POL39" s="8"/>
      <c r="POM39" s="8"/>
      <c r="PON39" s="8"/>
      <c r="POO39" s="8"/>
      <c r="POP39" s="8"/>
      <c r="POQ39" s="8"/>
      <c r="POR39" s="8"/>
      <c r="POS39" s="8"/>
      <c r="POT39" s="8"/>
      <c r="POU39" s="8"/>
      <c r="POV39" s="8"/>
      <c r="POW39" s="8"/>
      <c r="POX39" s="8"/>
      <c r="POY39" s="8"/>
      <c r="POZ39" s="8"/>
      <c r="PPA39" s="8"/>
      <c r="PPB39" s="8"/>
      <c r="PPC39" s="8"/>
      <c r="PPD39" s="8"/>
      <c r="PPE39" s="8"/>
      <c r="PPF39" s="8"/>
      <c r="PPG39" s="8"/>
      <c r="PPH39" s="8"/>
      <c r="PPI39" s="8"/>
      <c r="PPJ39" s="8"/>
      <c r="PPK39" s="8"/>
      <c r="PPL39" s="8"/>
      <c r="PPM39" s="8"/>
      <c r="PPN39" s="8"/>
      <c r="PPO39" s="8"/>
      <c r="PPP39" s="8"/>
      <c r="PPQ39" s="8"/>
      <c r="PPR39" s="8"/>
      <c r="PPS39" s="8"/>
      <c r="PPT39" s="8"/>
      <c r="PPU39" s="8"/>
      <c r="PPV39" s="8"/>
      <c r="PPW39" s="8"/>
      <c r="PPX39" s="8"/>
      <c r="PPY39" s="8"/>
      <c r="PPZ39" s="8"/>
      <c r="PQA39" s="8"/>
      <c r="PQB39" s="8"/>
      <c r="PQC39" s="8"/>
      <c r="PQD39" s="8"/>
      <c r="PQE39" s="8"/>
      <c r="PQF39" s="8"/>
      <c r="PQG39" s="8"/>
      <c r="PQH39" s="8"/>
      <c r="PQI39" s="8"/>
      <c r="PQJ39" s="8"/>
      <c r="PQK39" s="8"/>
      <c r="PQL39" s="8"/>
      <c r="PQM39" s="8"/>
      <c r="PQN39" s="8"/>
      <c r="PQO39" s="8"/>
      <c r="PQP39" s="8"/>
      <c r="PQQ39" s="8"/>
      <c r="PQR39" s="8"/>
      <c r="PQS39" s="8"/>
      <c r="PQT39" s="8"/>
      <c r="PQU39" s="8"/>
      <c r="PQV39" s="8"/>
      <c r="PQW39" s="8"/>
      <c r="PQX39" s="8"/>
      <c r="PQY39" s="8"/>
      <c r="PQZ39" s="8"/>
      <c r="PRA39" s="8"/>
      <c r="PRB39" s="8"/>
      <c r="PRC39" s="8"/>
      <c r="PRD39" s="8"/>
      <c r="PRE39" s="8"/>
      <c r="PRF39" s="8"/>
      <c r="PRG39" s="8"/>
      <c r="PRH39" s="8"/>
      <c r="PRI39" s="8"/>
      <c r="PRJ39" s="8"/>
      <c r="PRK39" s="8"/>
      <c r="PRL39" s="8"/>
      <c r="PRM39" s="8"/>
      <c r="PRN39" s="8"/>
      <c r="PRO39" s="8"/>
      <c r="PRP39" s="8"/>
      <c r="PRQ39" s="8"/>
      <c r="PRR39" s="8"/>
      <c r="PRS39" s="8"/>
      <c r="PRT39" s="8"/>
      <c r="PRU39" s="8"/>
      <c r="PRV39" s="8"/>
      <c r="PRW39" s="8"/>
      <c r="PRX39" s="8"/>
      <c r="PRY39" s="8"/>
      <c r="PRZ39" s="8"/>
      <c r="PSA39" s="8"/>
      <c r="PSB39" s="8"/>
      <c r="PSC39" s="8"/>
      <c r="PSD39" s="8"/>
      <c r="PSE39" s="8"/>
      <c r="PSF39" s="8"/>
      <c r="PSG39" s="8"/>
      <c r="PSH39" s="8"/>
      <c r="PSI39" s="8"/>
      <c r="PSJ39" s="8"/>
      <c r="PSK39" s="8"/>
      <c r="PSL39" s="8"/>
      <c r="PSM39" s="8"/>
      <c r="PSN39" s="8"/>
      <c r="PSO39" s="8"/>
      <c r="PSP39" s="8"/>
      <c r="PSQ39" s="8"/>
      <c r="PSR39" s="8"/>
      <c r="PSS39" s="8"/>
      <c r="PST39" s="8"/>
      <c r="PSU39" s="8"/>
      <c r="PSV39" s="8"/>
      <c r="PSW39" s="8"/>
      <c r="PSX39" s="8"/>
      <c r="PSY39" s="8"/>
      <c r="PSZ39" s="8"/>
      <c r="PTA39" s="8"/>
      <c r="PTB39" s="8"/>
      <c r="PTC39" s="8"/>
      <c r="PTD39" s="8"/>
      <c r="PTE39" s="8"/>
      <c r="PTF39" s="8"/>
      <c r="PTG39" s="8"/>
      <c r="PTH39" s="8"/>
      <c r="PTI39" s="8"/>
      <c r="PTJ39" s="8"/>
      <c r="PTK39" s="8"/>
      <c r="PTL39" s="8"/>
      <c r="PTM39" s="8"/>
      <c r="PTN39" s="8"/>
      <c r="PTO39" s="8"/>
      <c r="PTP39" s="8"/>
      <c r="PTQ39" s="8"/>
      <c r="PTR39" s="8"/>
      <c r="PTS39" s="8"/>
      <c r="PTT39" s="8"/>
      <c r="PTU39" s="8"/>
      <c r="PTV39" s="8"/>
      <c r="PTW39" s="8"/>
      <c r="PTX39" s="8"/>
      <c r="PTY39" s="8"/>
      <c r="PTZ39" s="8"/>
      <c r="PUA39" s="8"/>
      <c r="PUB39" s="8"/>
      <c r="PUC39" s="8"/>
      <c r="PUD39" s="8"/>
      <c r="PUE39" s="8"/>
      <c r="PUF39" s="8"/>
      <c r="PUG39" s="8"/>
      <c r="PUH39" s="8"/>
      <c r="PUI39" s="8"/>
      <c r="PUJ39" s="8"/>
      <c r="PUK39" s="8"/>
      <c r="PUL39" s="8"/>
      <c r="PUM39" s="8"/>
      <c r="PUN39" s="8"/>
      <c r="PUO39" s="8"/>
      <c r="PUP39" s="8"/>
      <c r="PUQ39" s="8"/>
      <c r="PUR39" s="8"/>
      <c r="PUS39" s="8"/>
      <c r="PUT39" s="8"/>
      <c r="PUU39" s="8"/>
      <c r="PUV39" s="8"/>
      <c r="PUW39" s="8"/>
      <c r="PUX39" s="8"/>
      <c r="PUY39" s="8"/>
      <c r="PUZ39" s="8"/>
      <c r="PVA39" s="8"/>
      <c r="PVB39" s="8"/>
      <c r="PVC39" s="8"/>
      <c r="PVD39" s="8"/>
      <c r="PVE39" s="8"/>
      <c r="PVF39" s="8"/>
      <c r="PVG39" s="8"/>
      <c r="PVH39" s="8"/>
      <c r="PVI39" s="8"/>
      <c r="PVJ39" s="8"/>
      <c r="PVK39" s="8"/>
      <c r="PVL39" s="8"/>
      <c r="PVM39" s="8"/>
      <c r="PVN39" s="8"/>
      <c r="PVO39" s="8"/>
      <c r="PVP39" s="8"/>
      <c r="PVQ39" s="8"/>
      <c r="PVR39" s="8"/>
      <c r="PVS39" s="8"/>
      <c r="PVT39" s="8"/>
      <c r="PVU39" s="8"/>
      <c r="PVV39" s="8"/>
      <c r="PVW39" s="8"/>
      <c r="PVX39" s="8"/>
      <c r="PVY39" s="8"/>
      <c r="PVZ39" s="8"/>
      <c r="PWA39" s="8"/>
      <c r="PWB39" s="8"/>
      <c r="PWC39" s="8"/>
      <c r="PWD39" s="8"/>
      <c r="PWE39" s="8"/>
      <c r="PWF39" s="8"/>
      <c r="PWG39" s="8"/>
      <c r="PWH39" s="8"/>
      <c r="PWI39" s="8"/>
      <c r="PWJ39" s="8"/>
      <c r="PWK39" s="8"/>
      <c r="PWL39" s="8"/>
      <c r="PWM39" s="8"/>
      <c r="PWN39" s="8"/>
      <c r="PWO39" s="8"/>
      <c r="PWP39" s="8"/>
      <c r="PWQ39" s="8"/>
      <c r="PWR39" s="8"/>
      <c r="PWS39" s="8"/>
      <c r="PWT39" s="8"/>
      <c r="PWU39" s="8"/>
      <c r="PWV39" s="8"/>
      <c r="PWW39" s="8"/>
      <c r="PWX39" s="8"/>
      <c r="PWY39" s="8"/>
      <c r="PWZ39" s="8"/>
      <c r="PXA39" s="8"/>
      <c r="PXB39" s="8"/>
      <c r="PXC39" s="8"/>
      <c r="PXD39" s="8"/>
      <c r="PXE39" s="8"/>
      <c r="PXF39" s="8"/>
      <c r="PXG39" s="8"/>
      <c r="PXH39" s="8"/>
      <c r="PXI39" s="8"/>
      <c r="PXJ39" s="8"/>
      <c r="PXK39" s="8"/>
      <c r="PXL39" s="8"/>
      <c r="PXM39" s="8"/>
      <c r="PXN39" s="8"/>
      <c r="PXO39" s="8"/>
      <c r="PXP39" s="8"/>
      <c r="PXQ39" s="8"/>
      <c r="PXR39" s="8"/>
      <c r="PXS39" s="8"/>
      <c r="PXT39" s="8"/>
      <c r="PXU39" s="8"/>
      <c r="PXV39" s="8"/>
      <c r="PXW39" s="8"/>
      <c r="PXX39" s="8"/>
      <c r="PXY39" s="8"/>
      <c r="PXZ39" s="8"/>
      <c r="PYA39" s="8"/>
      <c r="PYB39" s="8"/>
      <c r="PYC39" s="8"/>
      <c r="PYD39" s="8"/>
      <c r="PYE39" s="8"/>
      <c r="PYF39" s="8"/>
      <c r="PYG39" s="8"/>
      <c r="PYH39" s="8"/>
      <c r="PYI39" s="8"/>
      <c r="PYJ39" s="8"/>
      <c r="PYK39" s="8"/>
      <c r="PYL39" s="8"/>
      <c r="PYM39" s="8"/>
      <c r="PYN39" s="8"/>
      <c r="PYO39" s="8"/>
      <c r="PYP39" s="8"/>
      <c r="PYQ39" s="8"/>
      <c r="PYR39" s="8"/>
      <c r="PYS39" s="8"/>
      <c r="PYT39" s="8"/>
      <c r="PYU39" s="8"/>
      <c r="PYV39" s="8"/>
      <c r="PYW39" s="8"/>
      <c r="PYX39" s="8"/>
      <c r="PYY39" s="8"/>
      <c r="PYZ39" s="8"/>
      <c r="PZA39" s="8"/>
      <c r="PZB39" s="8"/>
      <c r="PZC39" s="8"/>
      <c r="PZD39" s="8"/>
      <c r="PZE39" s="8"/>
      <c r="PZF39" s="8"/>
      <c r="PZG39" s="8"/>
      <c r="PZH39" s="8"/>
      <c r="PZI39" s="8"/>
      <c r="PZJ39" s="8"/>
      <c r="PZK39" s="8"/>
      <c r="PZL39" s="8"/>
      <c r="PZM39" s="8"/>
      <c r="PZN39" s="8"/>
      <c r="PZO39" s="8"/>
      <c r="PZP39" s="8"/>
      <c r="PZQ39" s="8"/>
      <c r="PZR39" s="8"/>
      <c r="PZS39" s="8"/>
      <c r="PZT39" s="8"/>
      <c r="PZU39" s="8"/>
      <c r="PZV39" s="8"/>
      <c r="PZW39" s="8"/>
      <c r="PZX39" s="8"/>
      <c r="PZY39" s="8"/>
      <c r="PZZ39" s="8"/>
      <c r="QAA39" s="8"/>
      <c r="QAB39" s="8"/>
      <c r="QAC39" s="8"/>
      <c r="QAD39" s="8"/>
      <c r="QAE39" s="8"/>
      <c r="QAF39" s="8"/>
      <c r="QAG39" s="8"/>
      <c r="QAH39" s="8"/>
      <c r="QAI39" s="8"/>
      <c r="QAJ39" s="8"/>
      <c r="QAK39" s="8"/>
      <c r="QAL39" s="8"/>
      <c r="QAM39" s="8"/>
      <c r="QAN39" s="8"/>
      <c r="QAO39" s="8"/>
      <c r="QAP39" s="8"/>
      <c r="QAQ39" s="8"/>
      <c r="QAR39" s="8"/>
      <c r="QAS39" s="8"/>
      <c r="QAT39" s="8"/>
      <c r="QAU39" s="8"/>
      <c r="QAV39" s="8"/>
      <c r="QAW39" s="8"/>
      <c r="QAX39" s="8"/>
      <c r="QAY39" s="8"/>
      <c r="QAZ39" s="8"/>
      <c r="QBA39" s="8"/>
      <c r="QBB39" s="8"/>
      <c r="QBC39" s="8"/>
      <c r="QBD39" s="8"/>
      <c r="QBE39" s="8"/>
      <c r="QBF39" s="8"/>
      <c r="QBG39" s="8"/>
      <c r="QBH39" s="8"/>
      <c r="QBI39" s="8"/>
      <c r="QBJ39" s="8"/>
      <c r="QBK39" s="8"/>
      <c r="QBL39" s="8"/>
      <c r="QBM39" s="8"/>
      <c r="QBN39" s="8"/>
      <c r="QBO39" s="8"/>
      <c r="QBP39" s="8"/>
      <c r="QBQ39" s="8"/>
      <c r="QBR39" s="8"/>
      <c r="QBS39" s="8"/>
      <c r="QBT39" s="8"/>
      <c r="QBU39" s="8"/>
      <c r="QBV39" s="8"/>
      <c r="QBW39" s="8"/>
      <c r="QBX39" s="8"/>
      <c r="QBY39" s="8"/>
      <c r="QBZ39" s="8"/>
      <c r="QCA39" s="8"/>
      <c r="QCB39" s="8"/>
      <c r="QCC39" s="8"/>
      <c r="QCD39" s="8"/>
      <c r="QCE39" s="8"/>
      <c r="QCF39" s="8"/>
      <c r="QCG39" s="8"/>
      <c r="QCH39" s="8"/>
      <c r="QCI39" s="8"/>
      <c r="QCJ39" s="8"/>
      <c r="QCK39" s="8"/>
      <c r="QCL39" s="8"/>
      <c r="QCM39" s="8"/>
      <c r="QCN39" s="8"/>
      <c r="QCO39" s="8"/>
      <c r="QCP39" s="8"/>
      <c r="QCQ39" s="8"/>
      <c r="QCR39" s="8"/>
      <c r="QCS39" s="8"/>
      <c r="QCT39" s="8"/>
      <c r="QCU39" s="8"/>
      <c r="QCV39" s="8"/>
      <c r="QCW39" s="8"/>
      <c r="QCX39" s="8"/>
      <c r="QCY39" s="8"/>
      <c r="QCZ39" s="8"/>
      <c r="QDA39" s="8"/>
      <c r="QDB39" s="8"/>
      <c r="QDC39" s="8"/>
      <c r="QDD39" s="8"/>
      <c r="QDE39" s="8"/>
      <c r="QDF39" s="8"/>
      <c r="QDG39" s="8"/>
      <c r="QDH39" s="8"/>
      <c r="QDI39" s="8"/>
      <c r="QDJ39" s="8"/>
      <c r="QDK39" s="8"/>
      <c r="QDL39" s="8"/>
      <c r="QDM39" s="8"/>
      <c r="QDN39" s="8"/>
      <c r="QDO39" s="8"/>
      <c r="QDP39" s="8"/>
      <c r="QDQ39" s="8"/>
      <c r="QDR39" s="8"/>
      <c r="QDS39" s="8"/>
      <c r="QDT39" s="8"/>
      <c r="QDU39" s="8"/>
      <c r="QDV39" s="8"/>
      <c r="QDW39" s="8"/>
      <c r="QDX39" s="8"/>
      <c r="QDY39" s="8"/>
      <c r="QDZ39" s="8"/>
      <c r="QEA39" s="8"/>
      <c r="QEB39" s="8"/>
      <c r="QEC39" s="8"/>
      <c r="QED39" s="8"/>
      <c r="QEE39" s="8"/>
      <c r="QEF39" s="8"/>
      <c r="QEG39" s="8"/>
      <c r="QEH39" s="8"/>
      <c r="QEI39" s="8"/>
      <c r="QEJ39" s="8"/>
      <c r="QEK39" s="8"/>
      <c r="QEL39" s="8"/>
      <c r="QEM39" s="8"/>
      <c r="QEN39" s="8"/>
      <c r="QEO39" s="8"/>
      <c r="QEP39" s="8"/>
      <c r="QEQ39" s="8"/>
      <c r="QER39" s="8"/>
      <c r="QES39" s="8"/>
      <c r="QET39" s="8"/>
      <c r="QEU39" s="8"/>
      <c r="QEV39" s="8"/>
      <c r="QEW39" s="8"/>
      <c r="QEX39" s="8"/>
      <c r="QEY39" s="8"/>
      <c r="QEZ39" s="8"/>
      <c r="QFA39" s="8"/>
      <c r="QFB39" s="8"/>
      <c r="QFC39" s="8"/>
      <c r="QFD39" s="8"/>
      <c r="QFE39" s="8"/>
      <c r="QFF39" s="8"/>
      <c r="QFG39" s="8"/>
      <c r="QFH39" s="8"/>
      <c r="QFI39" s="8"/>
      <c r="QFJ39" s="8"/>
      <c r="QFK39" s="8"/>
      <c r="QFL39" s="8"/>
      <c r="QFM39" s="8"/>
      <c r="QFN39" s="8"/>
      <c r="QFO39" s="8"/>
      <c r="QFP39" s="8"/>
      <c r="QFQ39" s="8"/>
      <c r="QFR39" s="8"/>
      <c r="QFS39" s="8"/>
      <c r="QFT39" s="8"/>
      <c r="QFU39" s="8"/>
      <c r="QFV39" s="8"/>
      <c r="QFW39" s="8"/>
      <c r="QFX39" s="8"/>
      <c r="QFY39" s="8"/>
      <c r="QFZ39" s="8"/>
      <c r="QGA39" s="8"/>
      <c r="QGB39" s="8"/>
      <c r="QGC39" s="8"/>
      <c r="QGD39" s="8"/>
      <c r="QGE39" s="8"/>
      <c r="QGF39" s="8"/>
      <c r="QGG39" s="8"/>
      <c r="QGH39" s="8"/>
      <c r="QGI39" s="8"/>
      <c r="QGJ39" s="8"/>
      <c r="QGK39" s="8"/>
      <c r="QGL39" s="8"/>
      <c r="QGM39" s="8"/>
      <c r="QGN39" s="8"/>
      <c r="QGO39" s="8"/>
      <c r="QGP39" s="8"/>
      <c r="QGQ39" s="8"/>
      <c r="QGR39" s="8"/>
      <c r="QGS39" s="8"/>
      <c r="QGT39" s="8"/>
      <c r="QGU39" s="8"/>
      <c r="QGV39" s="8"/>
      <c r="QGW39" s="8"/>
      <c r="QGX39" s="8"/>
      <c r="QGY39" s="8"/>
      <c r="QGZ39" s="8"/>
      <c r="QHA39" s="8"/>
      <c r="QHB39" s="8"/>
      <c r="QHC39" s="8"/>
      <c r="QHD39" s="8"/>
      <c r="QHE39" s="8"/>
      <c r="QHF39" s="8"/>
      <c r="QHG39" s="8"/>
      <c r="QHH39" s="8"/>
      <c r="QHI39" s="8"/>
      <c r="QHJ39" s="8"/>
      <c r="QHK39" s="8"/>
      <c r="QHL39" s="8"/>
      <c r="QHM39" s="8"/>
      <c r="QHN39" s="8"/>
      <c r="QHO39" s="8"/>
      <c r="QHP39" s="8"/>
      <c r="QHQ39" s="8"/>
      <c r="QHR39" s="8"/>
      <c r="QHS39" s="8"/>
      <c r="QHT39" s="8"/>
      <c r="QHU39" s="8"/>
      <c r="QHV39" s="8"/>
      <c r="QHW39" s="8"/>
      <c r="QHX39" s="8"/>
      <c r="QHY39" s="8"/>
      <c r="QHZ39" s="8"/>
      <c r="QIA39" s="8"/>
      <c r="QIB39" s="8"/>
      <c r="QIC39" s="8"/>
      <c r="QID39" s="8"/>
      <c r="QIE39" s="8"/>
      <c r="QIF39" s="8"/>
      <c r="QIG39" s="8"/>
      <c r="QIH39" s="8"/>
      <c r="QII39" s="8"/>
      <c r="QIJ39" s="8"/>
      <c r="QIK39" s="8"/>
      <c r="QIL39" s="8"/>
      <c r="QIM39" s="8"/>
      <c r="QIN39" s="8"/>
      <c r="QIO39" s="8"/>
      <c r="QIP39" s="8"/>
      <c r="QIQ39" s="8"/>
      <c r="QIR39" s="8"/>
      <c r="QIS39" s="8"/>
      <c r="QIT39" s="8"/>
      <c r="QIU39" s="8"/>
      <c r="QIV39" s="8"/>
      <c r="QIW39" s="8"/>
      <c r="QIX39" s="8"/>
      <c r="QIY39" s="8"/>
      <c r="QIZ39" s="8"/>
      <c r="QJA39" s="8"/>
      <c r="QJB39" s="8"/>
      <c r="QJC39" s="8"/>
      <c r="QJD39" s="8"/>
      <c r="QJE39" s="8"/>
      <c r="QJF39" s="8"/>
      <c r="QJG39" s="8"/>
      <c r="QJH39" s="8"/>
      <c r="QJI39" s="8"/>
      <c r="QJJ39" s="8"/>
      <c r="QJK39" s="8"/>
      <c r="QJL39" s="8"/>
      <c r="QJM39" s="8"/>
      <c r="QJN39" s="8"/>
      <c r="QJO39" s="8"/>
      <c r="QJP39" s="8"/>
      <c r="QJQ39" s="8"/>
      <c r="QJR39" s="8"/>
      <c r="QJS39" s="8"/>
      <c r="QJT39" s="8"/>
      <c r="QJU39" s="8"/>
      <c r="QJV39" s="8"/>
      <c r="QJW39" s="8"/>
      <c r="QJX39" s="8"/>
      <c r="QJY39" s="8"/>
      <c r="QJZ39" s="8"/>
      <c r="QKA39" s="8"/>
      <c r="QKB39" s="8"/>
      <c r="QKC39" s="8"/>
      <c r="QKD39" s="8"/>
      <c r="QKE39" s="8"/>
      <c r="QKF39" s="8"/>
      <c r="QKG39" s="8"/>
      <c r="QKH39" s="8"/>
      <c r="QKI39" s="8"/>
      <c r="QKJ39" s="8"/>
      <c r="QKK39" s="8"/>
      <c r="QKL39" s="8"/>
      <c r="QKM39" s="8"/>
      <c r="QKN39" s="8"/>
      <c r="QKO39" s="8"/>
      <c r="QKP39" s="8"/>
      <c r="QKQ39" s="8"/>
      <c r="QKR39" s="8"/>
      <c r="QKS39" s="8"/>
      <c r="QKT39" s="8"/>
      <c r="QKU39" s="8"/>
      <c r="QKV39" s="8"/>
      <c r="QKW39" s="8"/>
      <c r="QKX39" s="8"/>
      <c r="QKY39" s="8"/>
      <c r="QKZ39" s="8"/>
      <c r="QLA39" s="8"/>
      <c r="QLB39" s="8"/>
      <c r="QLC39" s="8"/>
      <c r="QLD39" s="8"/>
      <c r="QLE39" s="8"/>
      <c r="QLF39" s="8"/>
      <c r="QLG39" s="8"/>
      <c r="QLH39" s="8"/>
      <c r="QLI39" s="8"/>
      <c r="QLJ39" s="8"/>
      <c r="QLK39" s="8"/>
      <c r="QLL39" s="8"/>
      <c r="QLM39" s="8"/>
      <c r="QLN39" s="8"/>
      <c r="QLO39" s="8"/>
      <c r="QLP39" s="8"/>
      <c r="QLQ39" s="8"/>
      <c r="QLR39" s="8"/>
      <c r="QLS39" s="8"/>
      <c r="QLT39" s="8"/>
      <c r="QLU39" s="8"/>
      <c r="QLV39" s="8"/>
      <c r="QLW39" s="8"/>
      <c r="QLX39" s="8"/>
      <c r="QLY39" s="8"/>
      <c r="QLZ39" s="8"/>
      <c r="QMA39" s="8"/>
      <c r="QMB39" s="8"/>
      <c r="QMC39" s="8"/>
      <c r="QMD39" s="8"/>
      <c r="QME39" s="8"/>
      <c r="QMF39" s="8"/>
      <c r="QMG39" s="8"/>
      <c r="QMH39" s="8"/>
      <c r="QMI39" s="8"/>
      <c r="QMJ39" s="8"/>
      <c r="QMK39" s="8"/>
      <c r="QML39" s="8"/>
      <c r="QMM39" s="8"/>
      <c r="QMN39" s="8"/>
      <c r="QMO39" s="8"/>
      <c r="QMP39" s="8"/>
      <c r="QMQ39" s="8"/>
      <c r="QMR39" s="8"/>
      <c r="QMS39" s="8"/>
      <c r="QMT39" s="8"/>
      <c r="QMU39" s="8"/>
      <c r="QMV39" s="8"/>
      <c r="QMW39" s="8"/>
      <c r="QMX39" s="8"/>
      <c r="QMY39" s="8"/>
      <c r="QMZ39" s="8"/>
      <c r="QNA39" s="8"/>
      <c r="QNB39" s="8"/>
      <c r="QNC39" s="8"/>
      <c r="QND39" s="8"/>
      <c r="QNE39" s="8"/>
      <c r="QNF39" s="8"/>
      <c r="QNG39" s="8"/>
      <c r="QNH39" s="8"/>
      <c r="QNI39" s="8"/>
      <c r="QNJ39" s="8"/>
      <c r="QNK39" s="8"/>
      <c r="QNL39" s="8"/>
      <c r="QNM39" s="8"/>
      <c r="QNN39" s="8"/>
      <c r="QNO39" s="8"/>
      <c r="QNP39" s="8"/>
      <c r="QNQ39" s="8"/>
      <c r="QNR39" s="8"/>
      <c r="QNS39" s="8"/>
      <c r="QNT39" s="8"/>
      <c r="QNU39" s="8"/>
      <c r="QNV39" s="8"/>
      <c r="QNW39" s="8"/>
      <c r="QNX39" s="8"/>
      <c r="QNY39" s="8"/>
      <c r="QNZ39" s="8"/>
      <c r="QOA39" s="8"/>
      <c r="QOB39" s="8"/>
      <c r="QOC39" s="8"/>
      <c r="QOD39" s="8"/>
      <c r="QOE39" s="8"/>
      <c r="QOF39" s="8"/>
      <c r="QOG39" s="8"/>
      <c r="QOH39" s="8"/>
      <c r="QOI39" s="8"/>
      <c r="QOJ39" s="8"/>
      <c r="QOK39" s="8"/>
      <c r="QOL39" s="8"/>
      <c r="QOM39" s="8"/>
      <c r="QON39" s="8"/>
      <c r="QOO39" s="8"/>
      <c r="QOP39" s="8"/>
      <c r="QOQ39" s="8"/>
      <c r="QOR39" s="8"/>
      <c r="QOS39" s="8"/>
      <c r="QOT39" s="8"/>
      <c r="QOU39" s="8"/>
      <c r="QOV39" s="8"/>
      <c r="QOW39" s="8"/>
      <c r="QOX39" s="8"/>
      <c r="QOY39" s="8"/>
      <c r="QOZ39" s="8"/>
      <c r="QPA39" s="8"/>
      <c r="QPB39" s="8"/>
      <c r="QPC39" s="8"/>
      <c r="QPD39" s="8"/>
      <c r="QPE39" s="8"/>
      <c r="QPF39" s="8"/>
      <c r="QPG39" s="8"/>
      <c r="QPH39" s="8"/>
      <c r="QPI39" s="8"/>
      <c r="QPJ39" s="8"/>
      <c r="QPK39" s="8"/>
      <c r="QPL39" s="8"/>
      <c r="QPM39" s="8"/>
      <c r="QPN39" s="8"/>
      <c r="QPO39" s="8"/>
      <c r="QPP39" s="8"/>
      <c r="QPQ39" s="8"/>
      <c r="QPR39" s="8"/>
      <c r="QPS39" s="8"/>
      <c r="QPT39" s="8"/>
      <c r="QPU39" s="8"/>
      <c r="QPV39" s="8"/>
      <c r="QPW39" s="8"/>
      <c r="QPX39" s="8"/>
      <c r="QPY39" s="8"/>
      <c r="QPZ39" s="8"/>
      <c r="QQA39" s="8"/>
      <c r="QQB39" s="8"/>
      <c r="QQC39" s="8"/>
      <c r="QQD39" s="8"/>
      <c r="QQE39" s="8"/>
      <c r="QQF39" s="8"/>
      <c r="QQG39" s="8"/>
      <c r="QQH39" s="8"/>
      <c r="QQI39" s="8"/>
      <c r="QQJ39" s="8"/>
      <c r="QQK39" s="8"/>
      <c r="QQL39" s="8"/>
      <c r="QQM39" s="8"/>
      <c r="QQN39" s="8"/>
      <c r="QQO39" s="8"/>
      <c r="QQP39" s="8"/>
      <c r="QQQ39" s="8"/>
      <c r="QQR39" s="8"/>
      <c r="QQS39" s="8"/>
      <c r="QQT39" s="8"/>
      <c r="QQU39" s="8"/>
      <c r="QQV39" s="8"/>
      <c r="QQW39" s="8"/>
      <c r="QQX39" s="8"/>
      <c r="QQY39" s="8"/>
      <c r="QQZ39" s="8"/>
      <c r="QRA39" s="8"/>
      <c r="QRB39" s="8"/>
      <c r="QRC39" s="8"/>
      <c r="QRD39" s="8"/>
      <c r="QRE39" s="8"/>
      <c r="QRF39" s="8"/>
      <c r="QRG39" s="8"/>
      <c r="QRH39" s="8"/>
      <c r="QRI39" s="8"/>
      <c r="QRJ39" s="8"/>
      <c r="QRK39" s="8"/>
      <c r="QRL39" s="8"/>
      <c r="QRM39" s="8"/>
      <c r="QRN39" s="8"/>
      <c r="QRO39" s="8"/>
      <c r="QRP39" s="8"/>
      <c r="QRQ39" s="8"/>
      <c r="QRR39" s="8"/>
      <c r="QRS39" s="8"/>
      <c r="QRT39" s="8"/>
      <c r="QRU39" s="8"/>
      <c r="QRV39" s="8"/>
      <c r="QRW39" s="8"/>
      <c r="QRX39" s="8"/>
      <c r="QRY39" s="8"/>
      <c r="QRZ39" s="8"/>
      <c r="QSA39" s="8"/>
      <c r="QSB39" s="8"/>
      <c r="QSC39" s="8"/>
      <c r="QSD39" s="8"/>
      <c r="QSE39" s="8"/>
      <c r="QSF39" s="8"/>
      <c r="QSG39" s="8"/>
      <c r="QSH39" s="8"/>
      <c r="QSI39" s="8"/>
      <c r="QSJ39" s="8"/>
      <c r="QSK39" s="8"/>
      <c r="QSL39" s="8"/>
      <c r="QSM39" s="8"/>
      <c r="QSN39" s="8"/>
      <c r="QSO39" s="8"/>
      <c r="QSP39" s="8"/>
      <c r="QSQ39" s="8"/>
      <c r="QSR39" s="8"/>
      <c r="QSS39" s="8"/>
      <c r="QST39" s="8"/>
      <c r="QSU39" s="8"/>
      <c r="QSV39" s="8"/>
      <c r="QSW39" s="8"/>
      <c r="QSX39" s="8"/>
      <c r="QSY39" s="8"/>
      <c r="QSZ39" s="8"/>
      <c r="QTA39" s="8"/>
      <c r="QTB39" s="8"/>
      <c r="QTC39" s="8"/>
      <c r="QTD39" s="8"/>
      <c r="QTE39" s="8"/>
      <c r="QTF39" s="8"/>
      <c r="QTG39" s="8"/>
      <c r="QTH39" s="8"/>
      <c r="QTI39" s="8"/>
      <c r="QTJ39" s="8"/>
      <c r="QTK39" s="8"/>
      <c r="QTL39" s="8"/>
      <c r="QTM39" s="8"/>
      <c r="QTN39" s="8"/>
      <c r="QTO39" s="8"/>
      <c r="QTP39" s="8"/>
      <c r="QTQ39" s="8"/>
      <c r="QTR39" s="8"/>
      <c r="QTS39" s="8"/>
      <c r="QTT39" s="8"/>
      <c r="QTU39" s="8"/>
      <c r="QTV39" s="8"/>
      <c r="QTW39" s="8"/>
      <c r="QTX39" s="8"/>
      <c r="QTY39" s="8"/>
      <c r="QTZ39" s="8"/>
      <c r="QUA39" s="8"/>
      <c r="QUB39" s="8"/>
      <c r="QUC39" s="8"/>
      <c r="QUD39" s="8"/>
      <c r="QUE39" s="8"/>
      <c r="QUF39" s="8"/>
      <c r="QUG39" s="8"/>
      <c r="QUH39" s="8"/>
      <c r="QUI39" s="8"/>
      <c r="QUJ39" s="8"/>
      <c r="QUK39" s="8"/>
      <c r="QUL39" s="8"/>
      <c r="QUM39" s="8"/>
      <c r="QUN39" s="8"/>
      <c r="QUO39" s="8"/>
      <c r="QUP39" s="8"/>
      <c r="QUQ39" s="8"/>
      <c r="QUR39" s="8"/>
      <c r="QUS39" s="8"/>
      <c r="QUT39" s="8"/>
      <c r="QUU39" s="8"/>
      <c r="QUV39" s="8"/>
      <c r="QUW39" s="8"/>
      <c r="QUX39" s="8"/>
      <c r="QUY39" s="8"/>
      <c r="QUZ39" s="8"/>
      <c r="QVA39" s="8"/>
      <c r="QVB39" s="8"/>
      <c r="QVC39" s="8"/>
      <c r="QVD39" s="8"/>
      <c r="QVE39" s="8"/>
      <c r="QVF39" s="8"/>
      <c r="QVG39" s="8"/>
      <c r="QVH39" s="8"/>
      <c r="QVI39" s="8"/>
      <c r="QVJ39" s="8"/>
      <c r="QVK39" s="8"/>
      <c r="QVL39" s="8"/>
      <c r="QVM39" s="8"/>
      <c r="QVN39" s="8"/>
      <c r="QVO39" s="8"/>
      <c r="QVP39" s="8"/>
      <c r="QVQ39" s="8"/>
      <c r="QVR39" s="8"/>
      <c r="QVS39" s="8"/>
      <c r="QVT39" s="8"/>
      <c r="QVU39" s="8"/>
      <c r="QVV39" s="8"/>
      <c r="QVW39" s="8"/>
      <c r="QVX39" s="8"/>
      <c r="QVY39" s="8"/>
      <c r="QVZ39" s="8"/>
      <c r="QWA39" s="8"/>
      <c r="QWB39" s="8"/>
      <c r="QWC39" s="8"/>
      <c r="QWD39" s="8"/>
      <c r="QWE39" s="8"/>
      <c r="QWF39" s="8"/>
      <c r="QWG39" s="8"/>
      <c r="QWH39" s="8"/>
      <c r="QWI39" s="8"/>
      <c r="QWJ39" s="8"/>
      <c r="QWK39" s="8"/>
      <c r="QWL39" s="8"/>
      <c r="QWM39" s="8"/>
      <c r="QWN39" s="8"/>
      <c r="QWO39" s="8"/>
      <c r="QWP39" s="8"/>
      <c r="QWQ39" s="8"/>
      <c r="QWR39" s="8"/>
      <c r="QWS39" s="8"/>
      <c r="QWT39" s="8"/>
      <c r="QWU39" s="8"/>
      <c r="QWV39" s="8"/>
      <c r="QWW39" s="8"/>
      <c r="QWX39" s="8"/>
      <c r="QWY39" s="8"/>
      <c r="QWZ39" s="8"/>
      <c r="QXA39" s="8"/>
      <c r="QXB39" s="8"/>
      <c r="QXC39" s="8"/>
      <c r="QXD39" s="8"/>
      <c r="QXE39" s="8"/>
      <c r="QXF39" s="8"/>
      <c r="QXG39" s="8"/>
      <c r="QXH39" s="8"/>
      <c r="QXI39" s="8"/>
      <c r="QXJ39" s="8"/>
      <c r="QXK39" s="8"/>
      <c r="QXL39" s="8"/>
      <c r="QXM39" s="8"/>
      <c r="QXN39" s="8"/>
      <c r="QXO39" s="8"/>
      <c r="QXP39" s="8"/>
      <c r="QXQ39" s="8"/>
      <c r="QXR39" s="8"/>
      <c r="QXS39" s="8"/>
      <c r="QXT39" s="8"/>
      <c r="QXU39" s="8"/>
      <c r="QXV39" s="8"/>
      <c r="QXW39" s="8"/>
      <c r="QXX39" s="8"/>
      <c r="QXY39" s="8"/>
      <c r="QXZ39" s="8"/>
      <c r="QYA39" s="8"/>
      <c r="QYB39" s="8"/>
      <c r="QYC39" s="8"/>
      <c r="QYD39" s="8"/>
      <c r="QYE39" s="8"/>
      <c r="QYF39" s="8"/>
      <c r="QYG39" s="8"/>
      <c r="QYH39" s="8"/>
      <c r="QYI39" s="8"/>
      <c r="QYJ39" s="8"/>
      <c r="QYK39" s="8"/>
      <c r="QYL39" s="8"/>
      <c r="QYM39" s="8"/>
      <c r="QYN39" s="8"/>
      <c r="QYO39" s="8"/>
      <c r="QYP39" s="8"/>
      <c r="QYQ39" s="8"/>
      <c r="QYR39" s="8"/>
      <c r="QYS39" s="8"/>
      <c r="QYT39" s="8"/>
      <c r="QYU39" s="8"/>
      <c r="QYV39" s="8"/>
      <c r="QYW39" s="8"/>
      <c r="QYX39" s="8"/>
      <c r="QYY39" s="8"/>
      <c r="QYZ39" s="8"/>
      <c r="QZA39" s="8"/>
      <c r="QZB39" s="8"/>
      <c r="QZC39" s="8"/>
      <c r="QZD39" s="8"/>
      <c r="QZE39" s="8"/>
      <c r="QZF39" s="8"/>
      <c r="QZG39" s="8"/>
      <c r="QZH39" s="8"/>
      <c r="QZI39" s="8"/>
      <c r="QZJ39" s="8"/>
      <c r="QZK39" s="8"/>
      <c r="QZL39" s="8"/>
      <c r="QZM39" s="8"/>
      <c r="QZN39" s="8"/>
      <c r="QZO39" s="8"/>
      <c r="QZP39" s="8"/>
      <c r="QZQ39" s="8"/>
      <c r="QZR39" s="8"/>
      <c r="QZS39" s="8"/>
      <c r="QZT39" s="8"/>
      <c r="QZU39" s="8"/>
      <c r="QZV39" s="8"/>
      <c r="QZW39" s="8"/>
      <c r="QZX39" s="8"/>
      <c r="QZY39" s="8"/>
      <c r="QZZ39" s="8"/>
      <c r="RAA39" s="8"/>
      <c r="RAB39" s="8"/>
      <c r="RAC39" s="8"/>
      <c r="RAD39" s="8"/>
      <c r="RAE39" s="8"/>
      <c r="RAF39" s="8"/>
      <c r="RAG39" s="8"/>
      <c r="RAH39" s="8"/>
      <c r="RAI39" s="8"/>
      <c r="RAJ39" s="8"/>
      <c r="RAK39" s="8"/>
      <c r="RAL39" s="8"/>
      <c r="RAM39" s="8"/>
      <c r="RAN39" s="8"/>
      <c r="RAO39" s="8"/>
      <c r="RAP39" s="8"/>
      <c r="RAQ39" s="8"/>
      <c r="RAR39" s="8"/>
      <c r="RAS39" s="8"/>
      <c r="RAT39" s="8"/>
      <c r="RAU39" s="8"/>
      <c r="RAV39" s="8"/>
      <c r="RAW39" s="8"/>
      <c r="RAX39" s="8"/>
      <c r="RAY39" s="8"/>
      <c r="RAZ39" s="8"/>
      <c r="RBA39" s="8"/>
      <c r="RBB39" s="8"/>
      <c r="RBC39" s="8"/>
      <c r="RBD39" s="8"/>
      <c r="RBE39" s="8"/>
      <c r="RBF39" s="8"/>
      <c r="RBG39" s="8"/>
      <c r="RBH39" s="8"/>
      <c r="RBI39" s="8"/>
      <c r="RBJ39" s="8"/>
      <c r="RBK39" s="8"/>
      <c r="RBL39" s="8"/>
      <c r="RBM39" s="8"/>
      <c r="RBN39" s="8"/>
      <c r="RBO39" s="8"/>
      <c r="RBP39" s="8"/>
      <c r="RBQ39" s="8"/>
      <c r="RBR39" s="8"/>
      <c r="RBS39" s="8"/>
      <c r="RBT39" s="8"/>
      <c r="RBU39" s="8"/>
      <c r="RBV39" s="8"/>
      <c r="RBW39" s="8"/>
      <c r="RBX39" s="8"/>
      <c r="RBY39" s="8"/>
      <c r="RBZ39" s="8"/>
      <c r="RCA39" s="8"/>
      <c r="RCB39" s="8"/>
      <c r="RCC39" s="8"/>
      <c r="RCD39" s="8"/>
      <c r="RCE39" s="8"/>
      <c r="RCF39" s="8"/>
      <c r="RCG39" s="8"/>
      <c r="RCH39" s="8"/>
      <c r="RCI39" s="8"/>
      <c r="RCJ39" s="8"/>
      <c r="RCK39" s="8"/>
      <c r="RCL39" s="8"/>
      <c r="RCM39" s="8"/>
      <c r="RCN39" s="8"/>
      <c r="RCO39" s="8"/>
      <c r="RCP39" s="8"/>
      <c r="RCQ39" s="8"/>
      <c r="RCR39" s="8"/>
      <c r="RCS39" s="8"/>
      <c r="RCT39" s="8"/>
      <c r="RCU39" s="8"/>
      <c r="RCV39" s="8"/>
      <c r="RCW39" s="8"/>
      <c r="RCX39" s="8"/>
      <c r="RCY39" s="8"/>
      <c r="RCZ39" s="8"/>
      <c r="RDA39" s="8"/>
      <c r="RDB39" s="8"/>
      <c r="RDC39" s="8"/>
      <c r="RDD39" s="8"/>
      <c r="RDE39" s="8"/>
      <c r="RDF39" s="8"/>
      <c r="RDG39" s="8"/>
      <c r="RDH39" s="8"/>
      <c r="RDI39" s="8"/>
      <c r="RDJ39" s="8"/>
      <c r="RDK39" s="8"/>
      <c r="RDL39" s="8"/>
      <c r="RDM39" s="8"/>
      <c r="RDN39" s="8"/>
      <c r="RDO39" s="8"/>
      <c r="RDP39" s="8"/>
      <c r="RDQ39" s="8"/>
      <c r="RDR39" s="8"/>
      <c r="RDS39" s="8"/>
      <c r="RDT39" s="8"/>
      <c r="RDU39" s="8"/>
      <c r="RDV39" s="8"/>
      <c r="RDW39" s="8"/>
      <c r="RDX39" s="8"/>
      <c r="RDY39" s="8"/>
      <c r="RDZ39" s="8"/>
      <c r="REA39" s="8"/>
      <c r="REB39" s="8"/>
      <c r="REC39" s="8"/>
      <c r="RED39" s="8"/>
      <c r="REE39" s="8"/>
      <c r="REF39" s="8"/>
      <c r="REG39" s="8"/>
      <c r="REH39" s="8"/>
      <c r="REI39" s="8"/>
      <c r="REJ39" s="8"/>
      <c r="REK39" s="8"/>
      <c r="REL39" s="8"/>
      <c r="REM39" s="8"/>
      <c r="REN39" s="8"/>
      <c r="REO39" s="8"/>
      <c r="REP39" s="8"/>
      <c r="REQ39" s="8"/>
      <c r="RER39" s="8"/>
      <c r="RES39" s="8"/>
      <c r="RET39" s="8"/>
      <c r="REU39" s="8"/>
      <c r="REV39" s="8"/>
      <c r="REW39" s="8"/>
      <c r="REX39" s="8"/>
      <c r="REY39" s="8"/>
      <c r="REZ39" s="8"/>
      <c r="RFA39" s="8"/>
      <c r="RFB39" s="8"/>
      <c r="RFC39" s="8"/>
      <c r="RFD39" s="8"/>
      <c r="RFE39" s="8"/>
      <c r="RFF39" s="8"/>
      <c r="RFG39" s="8"/>
      <c r="RFH39" s="8"/>
      <c r="RFI39" s="8"/>
      <c r="RFJ39" s="8"/>
      <c r="RFK39" s="8"/>
      <c r="RFL39" s="8"/>
      <c r="RFM39" s="8"/>
      <c r="RFN39" s="8"/>
      <c r="RFO39" s="8"/>
      <c r="RFP39" s="8"/>
      <c r="RFQ39" s="8"/>
      <c r="RFR39" s="8"/>
      <c r="RFS39" s="8"/>
      <c r="RFT39" s="8"/>
      <c r="RFU39" s="8"/>
      <c r="RFV39" s="8"/>
      <c r="RFW39" s="8"/>
      <c r="RFX39" s="8"/>
      <c r="RFY39" s="8"/>
      <c r="RFZ39" s="8"/>
      <c r="RGA39" s="8"/>
      <c r="RGB39" s="8"/>
      <c r="RGC39" s="8"/>
      <c r="RGD39" s="8"/>
      <c r="RGE39" s="8"/>
      <c r="RGF39" s="8"/>
      <c r="RGG39" s="8"/>
      <c r="RGH39" s="8"/>
      <c r="RGI39" s="8"/>
      <c r="RGJ39" s="8"/>
      <c r="RGK39" s="8"/>
      <c r="RGL39" s="8"/>
      <c r="RGM39" s="8"/>
      <c r="RGN39" s="8"/>
      <c r="RGO39" s="8"/>
      <c r="RGP39" s="8"/>
      <c r="RGQ39" s="8"/>
      <c r="RGR39" s="8"/>
      <c r="RGS39" s="8"/>
      <c r="RGT39" s="8"/>
      <c r="RGU39" s="8"/>
      <c r="RGV39" s="8"/>
      <c r="RGW39" s="8"/>
      <c r="RGX39" s="8"/>
      <c r="RGY39" s="8"/>
      <c r="RGZ39" s="8"/>
      <c r="RHA39" s="8"/>
      <c r="RHB39" s="8"/>
      <c r="RHC39" s="8"/>
      <c r="RHD39" s="8"/>
      <c r="RHE39" s="8"/>
      <c r="RHF39" s="8"/>
      <c r="RHG39" s="8"/>
      <c r="RHH39" s="8"/>
      <c r="RHI39" s="8"/>
      <c r="RHJ39" s="8"/>
      <c r="RHK39" s="8"/>
      <c r="RHL39" s="8"/>
      <c r="RHM39" s="8"/>
      <c r="RHN39" s="8"/>
      <c r="RHO39" s="8"/>
      <c r="RHP39" s="8"/>
      <c r="RHQ39" s="8"/>
      <c r="RHR39" s="8"/>
      <c r="RHS39" s="8"/>
      <c r="RHT39" s="8"/>
      <c r="RHU39" s="8"/>
      <c r="RHV39" s="8"/>
      <c r="RHW39" s="8"/>
      <c r="RHX39" s="8"/>
      <c r="RHY39" s="8"/>
      <c r="RHZ39" s="8"/>
      <c r="RIA39" s="8"/>
      <c r="RIB39" s="8"/>
      <c r="RIC39" s="8"/>
      <c r="RID39" s="8"/>
      <c r="RIE39" s="8"/>
      <c r="RIF39" s="8"/>
      <c r="RIG39" s="8"/>
      <c r="RIH39" s="8"/>
      <c r="RII39" s="8"/>
      <c r="RIJ39" s="8"/>
      <c r="RIK39" s="8"/>
      <c r="RIL39" s="8"/>
      <c r="RIM39" s="8"/>
      <c r="RIN39" s="8"/>
      <c r="RIO39" s="8"/>
      <c r="RIP39" s="8"/>
      <c r="RIQ39" s="8"/>
      <c r="RIR39" s="8"/>
      <c r="RIS39" s="8"/>
      <c r="RIT39" s="8"/>
      <c r="RIU39" s="8"/>
      <c r="RIV39" s="8"/>
      <c r="RIW39" s="8"/>
      <c r="RIX39" s="8"/>
      <c r="RIY39" s="8"/>
      <c r="RIZ39" s="8"/>
      <c r="RJA39" s="8"/>
      <c r="RJB39" s="8"/>
      <c r="RJC39" s="8"/>
      <c r="RJD39" s="8"/>
      <c r="RJE39" s="8"/>
      <c r="RJF39" s="8"/>
      <c r="RJG39" s="8"/>
      <c r="RJH39" s="8"/>
      <c r="RJI39" s="8"/>
      <c r="RJJ39" s="8"/>
      <c r="RJK39" s="8"/>
      <c r="RJL39" s="8"/>
      <c r="RJM39" s="8"/>
      <c r="RJN39" s="8"/>
      <c r="RJO39" s="8"/>
      <c r="RJP39" s="8"/>
      <c r="RJQ39" s="8"/>
      <c r="RJR39" s="8"/>
      <c r="RJS39" s="8"/>
      <c r="RJT39" s="8"/>
      <c r="RJU39" s="8"/>
      <c r="RJV39" s="8"/>
      <c r="RJW39" s="8"/>
      <c r="RJX39" s="8"/>
      <c r="RJY39" s="8"/>
      <c r="RJZ39" s="8"/>
      <c r="RKA39" s="8"/>
      <c r="RKB39" s="8"/>
      <c r="RKC39" s="8"/>
      <c r="RKD39" s="8"/>
      <c r="RKE39" s="8"/>
      <c r="RKF39" s="8"/>
      <c r="RKG39" s="8"/>
      <c r="RKH39" s="8"/>
      <c r="RKI39" s="8"/>
      <c r="RKJ39" s="8"/>
      <c r="RKK39" s="8"/>
      <c r="RKL39" s="8"/>
      <c r="RKM39" s="8"/>
      <c r="RKN39" s="8"/>
      <c r="RKO39" s="8"/>
      <c r="RKP39" s="8"/>
      <c r="RKQ39" s="8"/>
      <c r="RKR39" s="8"/>
      <c r="RKS39" s="8"/>
      <c r="RKT39" s="8"/>
      <c r="RKU39" s="8"/>
      <c r="RKV39" s="8"/>
      <c r="RKW39" s="8"/>
      <c r="RKX39" s="8"/>
      <c r="RKY39" s="8"/>
      <c r="RKZ39" s="8"/>
      <c r="RLA39" s="8"/>
      <c r="RLB39" s="8"/>
      <c r="RLC39" s="8"/>
      <c r="RLD39" s="8"/>
      <c r="RLE39" s="8"/>
      <c r="RLF39" s="8"/>
      <c r="RLG39" s="8"/>
      <c r="RLH39" s="8"/>
      <c r="RLI39" s="8"/>
      <c r="RLJ39" s="8"/>
      <c r="RLK39" s="8"/>
      <c r="RLL39" s="8"/>
      <c r="RLM39" s="8"/>
      <c r="RLN39" s="8"/>
      <c r="RLO39" s="8"/>
      <c r="RLP39" s="8"/>
      <c r="RLQ39" s="8"/>
      <c r="RLR39" s="8"/>
      <c r="RLS39" s="8"/>
      <c r="RLT39" s="8"/>
      <c r="RLU39" s="8"/>
      <c r="RLV39" s="8"/>
      <c r="RLW39" s="8"/>
      <c r="RLX39" s="8"/>
      <c r="RLY39" s="8"/>
      <c r="RLZ39" s="8"/>
      <c r="RMA39" s="8"/>
      <c r="RMB39" s="8"/>
      <c r="RMC39" s="8"/>
      <c r="RMD39" s="8"/>
      <c r="RME39" s="8"/>
      <c r="RMF39" s="8"/>
      <c r="RMG39" s="8"/>
      <c r="RMH39" s="8"/>
      <c r="RMI39" s="8"/>
      <c r="RMJ39" s="8"/>
      <c r="RMK39" s="8"/>
      <c r="RML39" s="8"/>
      <c r="RMM39" s="8"/>
      <c r="RMN39" s="8"/>
      <c r="RMO39" s="8"/>
      <c r="RMP39" s="8"/>
      <c r="RMQ39" s="8"/>
      <c r="RMR39" s="8"/>
      <c r="RMS39" s="8"/>
      <c r="RMT39" s="8"/>
      <c r="RMU39" s="8"/>
      <c r="RMV39" s="8"/>
      <c r="RMW39" s="8"/>
      <c r="RMX39" s="8"/>
      <c r="RMY39" s="8"/>
      <c r="RMZ39" s="8"/>
      <c r="RNA39" s="8"/>
      <c r="RNB39" s="8"/>
      <c r="RNC39" s="8"/>
      <c r="RND39" s="8"/>
      <c r="RNE39" s="8"/>
      <c r="RNF39" s="8"/>
      <c r="RNG39" s="8"/>
      <c r="RNH39" s="8"/>
      <c r="RNI39" s="8"/>
      <c r="RNJ39" s="8"/>
      <c r="RNK39" s="8"/>
      <c r="RNL39" s="8"/>
      <c r="RNM39" s="8"/>
      <c r="RNN39" s="8"/>
      <c r="RNO39" s="8"/>
      <c r="RNP39" s="8"/>
      <c r="RNQ39" s="8"/>
      <c r="RNR39" s="8"/>
      <c r="RNS39" s="8"/>
      <c r="RNT39" s="8"/>
      <c r="RNU39" s="8"/>
      <c r="RNV39" s="8"/>
      <c r="RNW39" s="8"/>
      <c r="RNX39" s="8"/>
      <c r="RNY39" s="8"/>
      <c r="RNZ39" s="8"/>
      <c r="ROA39" s="8"/>
      <c r="ROB39" s="8"/>
      <c r="ROC39" s="8"/>
      <c r="ROD39" s="8"/>
      <c r="ROE39" s="8"/>
      <c r="ROF39" s="8"/>
      <c r="ROG39" s="8"/>
      <c r="ROH39" s="8"/>
      <c r="ROI39" s="8"/>
      <c r="ROJ39" s="8"/>
      <c r="ROK39" s="8"/>
      <c r="ROL39" s="8"/>
      <c r="ROM39" s="8"/>
      <c r="RON39" s="8"/>
      <c r="ROO39" s="8"/>
      <c r="ROP39" s="8"/>
      <c r="ROQ39" s="8"/>
      <c r="ROR39" s="8"/>
      <c r="ROS39" s="8"/>
      <c r="ROT39" s="8"/>
      <c r="ROU39" s="8"/>
      <c r="ROV39" s="8"/>
      <c r="ROW39" s="8"/>
      <c r="ROX39" s="8"/>
      <c r="ROY39" s="8"/>
      <c r="ROZ39" s="8"/>
      <c r="RPA39" s="8"/>
      <c r="RPB39" s="8"/>
      <c r="RPC39" s="8"/>
      <c r="RPD39" s="8"/>
      <c r="RPE39" s="8"/>
      <c r="RPF39" s="8"/>
      <c r="RPG39" s="8"/>
      <c r="RPH39" s="8"/>
      <c r="RPI39" s="8"/>
      <c r="RPJ39" s="8"/>
      <c r="RPK39" s="8"/>
      <c r="RPL39" s="8"/>
      <c r="RPM39" s="8"/>
      <c r="RPN39" s="8"/>
      <c r="RPO39" s="8"/>
      <c r="RPP39" s="8"/>
      <c r="RPQ39" s="8"/>
      <c r="RPR39" s="8"/>
      <c r="RPS39" s="8"/>
      <c r="RPT39" s="8"/>
      <c r="RPU39" s="8"/>
      <c r="RPV39" s="8"/>
      <c r="RPW39" s="8"/>
      <c r="RPX39" s="8"/>
      <c r="RPY39" s="8"/>
      <c r="RPZ39" s="8"/>
      <c r="RQA39" s="8"/>
      <c r="RQB39" s="8"/>
      <c r="RQC39" s="8"/>
      <c r="RQD39" s="8"/>
      <c r="RQE39" s="8"/>
      <c r="RQF39" s="8"/>
      <c r="RQG39" s="8"/>
      <c r="RQH39" s="8"/>
      <c r="RQI39" s="8"/>
      <c r="RQJ39" s="8"/>
      <c r="RQK39" s="8"/>
      <c r="RQL39" s="8"/>
      <c r="RQM39" s="8"/>
      <c r="RQN39" s="8"/>
      <c r="RQO39" s="8"/>
      <c r="RQP39" s="8"/>
      <c r="RQQ39" s="8"/>
      <c r="RQR39" s="8"/>
      <c r="RQS39" s="8"/>
      <c r="RQT39" s="8"/>
      <c r="RQU39" s="8"/>
      <c r="RQV39" s="8"/>
      <c r="RQW39" s="8"/>
      <c r="RQX39" s="8"/>
      <c r="RQY39" s="8"/>
      <c r="RQZ39" s="8"/>
      <c r="RRA39" s="8"/>
      <c r="RRB39" s="8"/>
      <c r="RRC39" s="8"/>
      <c r="RRD39" s="8"/>
      <c r="RRE39" s="8"/>
      <c r="RRF39" s="8"/>
      <c r="RRG39" s="8"/>
      <c r="RRH39" s="8"/>
      <c r="RRI39" s="8"/>
      <c r="RRJ39" s="8"/>
      <c r="RRK39" s="8"/>
      <c r="RRL39" s="8"/>
      <c r="RRM39" s="8"/>
      <c r="RRN39" s="8"/>
      <c r="RRO39" s="8"/>
      <c r="RRP39" s="8"/>
      <c r="RRQ39" s="8"/>
      <c r="RRR39" s="8"/>
      <c r="RRS39" s="8"/>
      <c r="RRT39" s="8"/>
      <c r="RRU39" s="8"/>
      <c r="RRV39" s="8"/>
      <c r="RRW39" s="8"/>
      <c r="RRX39" s="8"/>
      <c r="RRY39" s="8"/>
      <c r="RRZ39" s="8"/>
      <c r="RSA39" s="8"/>
      <c r="RSB39" s="8"/>
      <c r="RSC39" s="8"/>
      <c r="RSD39" s="8"/>
      <c r="RSE39" s="8"/>
      <c r="RSF39" s="8"/>
      <c r="RSG39" s="8"/>
      <c r="RSH39" s="8"/>
      <c r="RSI39" s="8"/>
      <c r="RSJ39" s="8"/>
      <c r="RSK39" s="8"/>
      <c r="RSL39" s="8"/>
      <c r="RSM39" s="8"/>
      <c r="RSN39" s="8"/>
      <c r="RSO39" s="8"/>
      <c r="RSP39" s="8"/>
      <c r="RSQ39" s="8"/>
      <c r="RSR39" s="8"/>
      <c r="RSS39" s="8"/>
      <c r="RST39" s="8"/>
      <c r="RSU39" s="8"/>
      <c r="RSV39" s="8"/>
      <c r="RSW39" s="8"/>
      <c r="RSX39" s="8"/>
      <c r="RSY39" s="8"/>
      <c r="RSZ39" s="8"/>
      <c r="RTA39" s="8"/>
      <c r="RTB39" s="8"/>
      <c r="RTC39" s="8"/>
      <c r="RTD39" s="8"/>
      <c r="RTE39" s="8"/>
      <c r="RTF39" s="8"/>
      <c r="RTG39" s="8"/>
      <c r="RTH39" s="8"/>
      <c r="RTI39" s="8"/>
      <c r="RTJ39" s="8"/>
      <c r="RTK39" s="8"/>
      <c r="RTL39" s="8"/>
      <c r="RTM39" s="8"/>
      <c r="RTN39" s="8"/>
      <c r="RTO39" s="8"/>
      <c r="RTP39" s="8"/>
      <c r="RTQ39" s="8"/>
      <c r="RTR39" s="8"/>
      <c r="RTS39" s="8"/>
      <c r="RTT39" s="8"/>
      <c r="RTU39" s="8"/>
      <c r="RTV39" s="8"/>
      <c r="RTW39" s="8"/>
      <c r="RTX39" s="8"/>
      <c r="RTY39" s="8"/>
      <c r="RTZ39" s="8"/>
      <c r="RUA39" s="8"/>
      <c r="RUB39" s="8"/>
      <c r="RUC39" s="8"/>
      <c r="RUD39" s="8"/>
      <c r="RUE39" s="8"/>
      <c r="RUF39" s="8"/>
      <c r="RUG39" s="8"/>
      <c r="RUH39" s="8"/>
      <c r="RUI39" s="8"/>
      <c r="RUJ39" s="8"/>
      <c r="RUK39" s="8"/>
      <c r="RUL39" s="8"/>
      <c r="RUM39" s="8"/>
      <c r="RUN39" s="8"/>
      <c r="RUO39" s="8"/>
      <c r="RUP39" s="8"/>
      <c r="RUQ39" s="8"/>
      <c r="RUR39" s="8"/>
      <c r="RUS39" s="8"/>
      <c r="RUT39" s="8"/>
      <c r="RUU39" s="8"/>
      <c r="RUV39" s="8"/>
      <c r="RUW39" s="8"/>
      <c r="RUX39" s="8"/>
      <c r="RUY39" s="8"/>
      <c r="RUZ39" s="8"/>
      <c r="RVA39" s="8"/>
      <c r="RVB39" s="8"/>
      <c r="RVC39" s="8"/>
      <c r="RVD39" s="8"/>
      <c r="RVE39" s="8"/>
      <c r="RVF39" s="8"/>
      <c r="RVG39" s="8"/>
      <c r="RVH39" s="8"/>
      <c r="RVI39" s="8"/>
      <c r="RVJ39" s="8"/>
      <c r="RVK39" s="8"/>
      <c r="RVL39" s="8"/>
      <c r="RVM39" s="8"/>
      <c r="RVN39" s="8"/>
      <c r="RVO39" s="8"/>
      <c r="RVP39" s="8"/>
      <c r="RVQ39" s="8"/>
      <c r="RVR39" s="8"/>
      <c r="RVS39" s="8"/>
      <c r="RVT39" s="8"/>
      <c r="RVU39" s="8"/>
      <c r="RVV39" s="8"/>
      <c r="RVW39" s="8"/>
      <c r="RVX39" s="8"/>
      <c r="RVY39" s="8"/>
      <c r="RVZ39" s="8"/>
      <c r="RWA39" s="8"/>
      <c r="RWB39" s="8"/>
      <c r="RWC39" s="8"/>
      <c r="RWD39" s="8"/>
      <c r="RWE39" s="8"/>
      <c r="RWF39" s="8"/>
      <c r="RWG39" s="8"/>
      <c r="RWH39" s="8"/>
      <c r="RWI39" s="8"/>
      <c r="RWJ39" s="8"/>
      <c r="RWK39" s="8"/>
      <c r="RWL39" s="8"/>
      <c r="RWM39" s="8"/>
      <c r="RWN39" s="8"/>
      <c r="RWO39" s="8"/>
      <c r="RWP39" s="8"/>
      <c r="RWQ39" s="8"/>
      <c r="RWR39" s="8"/>
      <c r="RWS39" s="8"/>
      <c r="RWT39" s="8"/>
      <c r="RWU39" s="8"/>
      <c r="RWV39" s="8"/>
      <c r="RWW39" s="8"/>
      <c r="RWX39" s="8"/>
      <c r="RWY39" s="8"/>
      <c r="RWZ39" s="8"/>
      <c r="RXA39" s="8"/>
      <c r="RXB39" s="8"/>
      <c r="RXC39" s="8"/>
      <c r="RXD39" s="8"/>
      <c r="RXE39" s="8"/>
      <c r="RXF39" s="8"/>
      <c r="RXG39" s="8"/>
      <c r="RXH39" s="8"/>
      <c r="RXI39" s="8"/>
      <c r="RXJ39" s="8"/>
      <c r="RXK39" s="8"/>
      <c r="RXL39" s="8"/>
      <c r="RXM39" s="8"/>
      <c r="RXN39" s="8"/>
      <c r="RXO39" s="8"/>
      <c r="RXP39" s="8"/>
      <c r="RXQ39" s="8"/>
      <c r="RXR39" s="8"/>
      <c r="RXS39" s="8"/>
      <c r="RXT39" s="8"/>
      <c r="RXU39" s="8"/>
      <c r="RXV39" s="8"/>
      <c r="RXW39" s="8"/>
      <c r="RXX39" s="8"/>
      <c r="RXY39" s="8"/>
      <c r="RXZ39" s="8"/>
      <c r="RYA39" s="8"/>
      <c r="RYB39" s="8"/>
      <c r="RYC39" s="8"/>
      <c r="RYD39" s="8"/>
      <c r="RYE39" s="8"/>
      <c r="RYF39" s="8"/>
      <c r="RYG39" s="8"/>
      <c r="RYH39" s="8"/>
      <c r="RYI39" s="8"/>
      <c r="RYJ39" s="8"/>
      <c r="RYK39" s="8"/>
      <c r="RYL39" s="8"/>
      <c r="RYM39" s="8"/>
      <c r="RYN39" s="8"/>
      <c r="RYO39" s="8"/>
      <c r="RYP39" s="8"/>
      <c r="RYQ39" s="8"/>
      <c r="RYR39" s="8"/>
      <c r="RYS39" s="8"/>
      <c r="RYT39" s="8"/>
      <c r="RYU39" s="8"/>
      <c r="RYV39" s="8"/>
      <c r="RYW39" s="8"/>
      <c r="RYX39" s="8"/>
      <c r="RYY39" s="8"/>
      <c r="RYZ39" s="8"/>
      <c r="RZA39" s="8"/>
      <c r="RZB39" s="8"/>
      <c r="RZC39" s="8"/>
      <c r="RZD39" s="8"/>
      <c r="RZE39" s="8"/>
      <c r="RZF39" s="8"/>
      <c r="RZG39" s="8"/>
      <c r="RZH39" s="8"/>
      <c r="RZI39" s="8"/>
      <c r="RZJ39" s="8"/>
      <c r="RZK39" s="8"/>
      <c r="RZL39" s="8"/>
      <c r="RZM39" s="8"/>
      <c r="RZN39" s="8"/>
      <c r="RZO39" s="8"/>
      <c r="RZP39" s="8"/>
      <c r="RZQ39" s="8"/>
      <c r="RZR39" s="8"/>
      <c r="RZS39" s="8"/>
      <c r="RZT39" s="8"/>
      <c r="RZU39" s="8"/>
      <c r="RZV39" s="8"/>
      <c r="RZW39" s="8"/>
      <c r="RZX39" s="8"/>
      <c r="RZY39" s="8"/>
      <c r="RZZ39" s="8"/>
      <c r="SAA39" s="8"/>
      <c r="SAB39" s="8"/>
      <c r="SAC39" s="8"/>
      <c r="SAD39" s="8"/>
      <c r="SAE39" s="8"/>
      <c r="SAF39" s="8"/>
      <c r="SAG39" s="8"/>
      <c r="SAH39" s="8"/>
      <c r="SAI39" s="8"/>
      <c r="SAJ39" s="8"/>
      <c r="SAK39" s="8"/>
      <c r="SAL39" s="8"/>
      <c r="SAM39" s="8"/>
      <c r="SAN39" s="8"/>
      <c r="SAO39" s="8"/>
      <c r="SAP39" s="8"/>
      <c r="SAQ39" s="8"/>
      <c r="SAR39" s="8"/>
      <c r="SAS39" s="8"/>
      <c r="SAT39" s="8"/>
      <c r="SAU39" s="8"/>
      <c r="SAV39" s="8"/>
      <c r="SAW39" s="8"/>
      <c r="SAX39" s="8"/>
      <c r="SAY39" s="8"/>
      <c r="SAZ39" s="8"/>
      <c r="SBA39" s="8"/>
      <c r="SBB39" s="8"/>
      <c r="SBC39" s="8"/>
      <c r="SBD39" s="8"/>
      <c r="SBE39" s="8"/>
      <c r="SBF39" s="8"/>
      <c r="SBG39" s="8"/>
      <c r="SBH39" s="8"/>
      <c r="SBI39" s="8"/>
      <c r="SBJ39" s="8"/>
      <c r="SBK39" s="8"/>
      <c r="SBL39" s="8"/>
      <c r="SBM39" s="8"/>
      <c r="SBN39" s="8"/>
      <c r="SBO39" s="8"/>
      <c r="SBP39" s="8"/>
      <c r="SBQ39" s="8"/>
      <c r="SBR39" s="8"/>
      <c r="SBS39" s="8"/>
      <c r="SBT39" s="8"/>
      <c r="SBU39" s="8"/>
      <c r="SBV39" s="8"/>
      <c r="SBW39" s="8"/>
      <c r="SBX39" s="8"/>
      <c r="SBY39" s="8"/>
      <c r="SBZ39" s="8"/>
      <c r="SCA39" s="8"/>
      <c r="SCB39" s="8"/>
      <c r="SCC39" s="8"/>
      <c r="SCD39" s="8"/>
      <c r="SCE39" s="8"/>
      <c r="SCF39" s="8"/>
      <c r="SCG39" s="8"/>
      <c r="SCH39" s="8"/>
      <c r="SCI39" s="8"/>
      <c r="SCJ39" s="8"/>
      <c r="SCK39" s="8"/>
      <c r="SCL39" s="8"/>
      <c r="SCM39" s="8"/>
      <c r="SCN39" s="8"/>
      <c r="SCO39" s="8"/>
      <c r="SCP39" s="8"/>
      <c r="SCQ39" s="8"/>
      <c r="SCR39" s="8"/>
      <c r="SCS39" s="8"/>
      <c r="SCT39" s="8"/>
      <c r="SCU39" s="8"/>
      <c r="SCV39" s="8"/>
      <c r="SCW39" s="8"/>
      <c r="SCX39" s="8"/>
      <c r="SCY39" s="8"/>
      <c r="SCZ39" s="8"/>
      <c r="SDA39" s="8"/>
      <c r="SDB39" s="8"/>
      <c r="SDC39" s="8"/>
      <c r="SDD39" s="8"/>
      <c r="SDE39" s="8"/>
      <c r="SDF39" s="8"/>
      <c r="SDG39" s="8"/>
      <c r="SDH39" s="8"/>
      <c r="SDI39" s="8"/>
      <c r="SDJ39" s="8"/>
      <c r="SDK39" s="8"/>
      <c r="SDL39" s="8"/>
      <c r="SDM39" s="8"/>
      <c r="SDN39" s="8"/>
      <c r="SDO39" s="8"/>
      <c r="SDP39" s="8"/>
      <c r="SDQ39" s="8"/>
      <c r="SDR39" s="8"/>
      <c r="SDS39" s="8"/>
      <c r="SDT39" s="8"/>
      <c r="SDU39" s="8"/>
      <c r="SDV39" s="8"/>
      <c r="SDW39" s="8"/>
      <c r="SDX39" s="8"/>
      <c r="SDY39" s="8"/>
      <c r="SDZ39" s="8"/>
      <c r="SEA39" s="8"/>
      <c r="SEB39" s="8"/>
      <c r="SEC39" s="8"/>
      <c r="SED39" s="8"/>
      <c r="SEE39" s="8"/>
      <c r="SEF39" s="8"/>
      <c r="SEG39" s="8"/>
      <c r="SEH39" s="8"/>
      <c r="SEI39" s="8"/>
      <c r="SEJ39" s="8"/>
      <c r="SEK39" s="8"/>
      <c r="SEL39" s="8"/>
      <c r="SEM39" s="8"/>
      <c r="SEN39" s="8"/>
      <c r="SEO39" s="8"/>
      <c r="SEP39" s="8"/>
      <c r="SEQ39" s="8"/>
      <c r="SER39" s="8"/>
      <c r="SES39" s="8"/>
      <c r="SET39" s="8"/>
      <c r="SEU39" s="8"/>
      <c r="SEV39" s="8"/>
      <c r="SEW39" s="8"/>
      <c r="SEX39" s="8"/>
      <c r="SEY39" s="8"/>
      <c r="SEZ39" s="8"/>
      <c r="SFA39" s="8"/>
      <c r="SFB39" s="8"/>
      <c r="SFC39" s="8"/>
      <c r="SFD39" s="8"/>
      <c r="SFE39" s="8"/>
      <c r="SFF39" s="8"/>
      <c r="SFG39" s="8"/>
      <c r="SFH39" s="8"/>
      <c r="SFI39" s="8"/>
      <c r="SFJ39" s="8"/>
      <c r="SFK39" s="8"/>
      <c r="SFL39" s="8"/>
      <c r="SFM39" s="8"/>
      <c r="SFN39" s="8"/>
      <c r="SFO39" s="8"/>
      <c r="SFP39" s="8"/>
      <c r="SFQ39" s="8"/>
      <c r="SFR39" s="8"/>
      <c r="SFS39" s="8"/>
      <c r="SFT39" s="8"/>
      <c r="SFU39" s="8"/>
      <c r="SFV39" s="8"/>
      <c r="SFW39" s="8"/>
      <c r="SFX39" s="8"/>
      <c r="SFY39" s="8"/>
      <c r="SFZ39" s="8"/>
      <c r="SGA39" s="8"/>
      <c r="SGB39" s="8"/>
      <c r="SGC39" s="8"/>
      <c r="SGD39" s="8"/>
      <c r="SGE39" s="8"/>
      <c r="SGF39" s="8"/>
      <c r="SGG39" s="8"/>
      <c r="SGH39" s="8"/>
      <c r="SGI39" s="8"/>
      <c r="SGJ39" s="8"/>
      <c r="SGK39" s="8"/>
      <c r="SGL39" s="8"/>
      <c r="SGM39" s="8"/>
      <c r="SGN39" s="8"/>
      <c r="SGO39" s="8"/>
      <c r="SGP39" s="8"/>
      <c r="SGQ39" s="8"/>
      <c r="SGR39" s="8"/>
      <c r="SGS39" s="8"/>
      <c r="SGT39" s="8"/>
      <c r="SGU39" s="8"/>
      <c r="SGV39" s="8"/>
      <c r="SGW39" s="8"/>
      <c r="SGX39" s="8"/>
      <c r="SGY39" s="8"/>
      <c r="SGZ39" s="8"/>
      <c r="SHA39" s="8"/>
      <c r="SHB39" s="8"/>
      <c r="SHC39" s="8"/>
      <c r="SHD39" s="8"/>
      <c r="SHE39" s="8"/>
      <c r="SHF39" s="8"/>
      <c r="SHG39" s="8"/>
      <c r="SHH39" s="8"/>
      <c r="SHI39" s="8"/>
      <c r="SHJ39" s="8"/>
      <c r="SHK39" s="8"/>
      <c r="SHL39" s="8"/>
      <c r="SHM39" s="8"/>
      <c r="SHN39" s="8"/>
      <c r="SHO39" s="8"/>
      <c r="SHP39" s="8"/>
      <c r="SHQ39" s="8"/>
      <c r="SHR39" s="8"/>
      <c r="SHS39" s="8"/>
      <c r="SHT39" s="8"/>
      <c r="SHU39" s="8"/>
      <c r="SHV39" s="8"/>
      <c r="SHW39" s="8"/>
      <c r="SHX39" s="8"/>
      <c r="SHY39" s="8"/>
      <c r="SHZ39" s="8"/>
      <c r="SIA39" s="8"/>
      <c r="SIB39" s="8"/>
      <c r="SIC39" s="8"/>
      <c r="SID39" s="8"/>
      <c r="SIE39" s="8"/>
      <c r="SIF39" s="8"/>
      <c r="SIG39" s="8"/>
      <c r="SIH39" s="8"/>
      <c r="SII39" s="8"/>
      <c r="SIJ39" s="8"/>
      <c r="SIK39" s="8"/>
      <c r="SIL39" s="8"/>
      <c r="SIM39" s="8"/>
      <c r="SIN39" s="8"/>
      <c r="SIO39" s="8"/>
      <c r="SIP39" s="8"/>
      <c r="SIQ39" s="8"/>
      <c r="SIR39" s="8"/>
      <c r="SIS39" s="8"/>
      <c r="SIT39" s="8"/>
      <c r="SIU39" s="8"/>
      <c r="SIV39" s="8"/>
      <c r="SIW39" s="8"/>
      <c r="SIX39" s="8"/>
      <c r="SIY39" s="8"/>
      <c r="SIZ39" s="8"/>
      <c r="SJA39" s="8"/>
      <c r="SJB39" s="8"/>
      <c r="SJC39" s="8"/>
      <c r="SJD39" s="8"/>
      <c r="SJE39" s="8"/>
      <c r="SJF39" s="8"/>
      <c r="SJG39" s="8"/>
      <c r="SJH39" s="8"/>
      <c r="SJI39" s="8"/>
      <c r="SJJ39" s="8"/>
      <c r="SJK39" s="8"/>
      <c r="SJL39" s="8"/>
      <c r="SJM39" s="8"/>
      <c r="SJN39" s="8"/>
      <c r="SJO39" s="8"/>
      <c r="SJP39" s="8"/>
      <c r="SJQ39" s="8"/>
      <c r="SJR39" s="8"/>
      <c r="SJS39" s="8"/>
      <c r="SJT39" s="8"/>
      <c r="SJU39" s="8"/>
      <c r="SJV39" s="8"/>
      <c r="SJW39" s="8"/>
      <c r="SJX39" s="8"/>
      <c r="SJY39" s="8"/>
      <c r="SJZ39" s="8"/>
      <c r="SKA39" s="8"/>
      <c r="SKB39" s="8"/>
      <c r="SKC39" s="8"/>
      <c r="SKD39" s="8"/>
      <c r="SKE39" s="8"/>
      <c r="SKF39" s="8"/>
      <c r="SKG39" s="8"/>
      <c r="SKH39" s="8"/>
      <c r="SKI39" s="8"/>
      <c r="SKJ39" s="8"/>
      <c r="SKK39" s="8"/>
      <c r="SKL39" s="8"/>
      <c r="SKM39" s="8"/>
      <c r="SKN39" s="8"/>
      <c r="SKO39" s="8"/>
      <c r="SKP39" s="8"/>
      <c r="SKQ39" s="8"/>
      <c r="SKR39" s="8"/>
      <c r="SKS39" s="8"/>
      <c r="SKT39" s="8"/>
      <c r="SKU39" s="8"/>
      <c r="SKV39" s="8"/>
      <c r="SKW39" s="8"/>
      <c r="SKX39" s="8"/>
      <c r="SKY39" s="8"/>
      <c r="SKZ39" s="8"/>
      <c r="SLA39" s="8"/>
      <c r="SLB39" s="8"/>
      <c r="SLC39" s="8"/>
      <c r="SLD39" s="8"/>
      <c r="SLE39" s="8"/>
      <c r="SLF39" s="8"/>
      <c r="SLG39" s="8"/>
      <c r="SLH39" s="8"/>
      <c r="SLI39" s="8"/>
      <c r="SLJ39" s="8"/>
      <c r="SLK39" s="8"/>
      <c r="SLL39" s="8"/>
      <c r="SLM39" s="8"/>
      <c r="SLN39" s="8"/>
      <c r="SLO39" s="8"/>
      <c r="SLP39" s="8"/>
      <c r="SLQ39" s="8"/>
      <c r="SLR39" s="8"/>
      <c r="SLS39" s="8"/>
      <c r="SLT39" s="8"/>
      <c r="SLU39" s="8"/>
      <c r="SLV39" s="8"/>
      <c r="SLW39" s="8"/>
      <c r="SLX39" s="8"/>
      <c r="SLY39" s="8"/>
      <c r="SLZ39" s="8"/>
      <c r="SMA39" s="8"/>
      <c r="SMB39" s="8"/>
      <c r="SMC39" s="8"/>
      <c r="SMD39" s="8"/>
      <c r="SME39" s="8"/>
      <c r="SMF39" s="8"/>
      <c r="SMG39" s="8"/>
      <c r="SMH39" s="8"/>
      <c r="SMI39" s="8"/>
      <c r="SMJ39" s="8"/>
      <c r="SMK39" s="8"/>
      <c r="SML39" s="8"/>
      <c r="SMM39" s="8"/>
      <c r="SMN39" s="8"/>
      <c r="SMO39" s="8"/>
      <c r="SMP39" s="8"/>
      <c r="SMQ39" s="8"/>
      <c r="SMR39" s="8"/>
      <c r="SMS39" s="8"/>
      <c r="SMT39" s="8"/>
      <c r="SMU39" s="8"/>
      <c r="SMV39" s="8"/>
      <c r="SMW39" s="8"/>
      <c r="SMX39" s="8"/>
      <c r="SMY39" s="8"/>
      <c r="SMZ39" s="8"/>
      <c r="SNA39" s="8"/>
      <c r="SNB39" s="8"/>
      <c r="SNC39" s="8"/>
      <c r="SND39" s="8"/>
      <c r="SNE39" s="8"/>
      <c r="SNF39" s="8"/>
      <c r="SNG39" s="8"/>
      <c r="SNH39" s="8"/>
      <c r="SNI39" s="8"/>
      <c r="SNJ39" s="8"/>
      <c r="SNK39" s="8"/>
      <c r="SNL39" s="8"/>
      <c r="SNM39" s="8"/>
      <c r="SNN39" s="8"/>
      <c r="SNO39" s="8"/>
      <c r="SNP39" s="8"/>
      <c r="SNQ39" s="8"/>
      <c r="SNR39" s="8"/>
      <c r="SNS39" s="8"/>
      <c r="SNT39" s="8"/>
      <c r="SNU39" s="8"/>
      <c r="SNV39" s="8"/>
      <c r="SNW39" s="8"/>
      <c r="SNX39" s="8"/>
      <c r="SNY39" s="8"/>
      <c r="SNZ39" s="8"/>
      <c r="SOA39" s="8"/>
      <c r="SOB39" s="8"/>
      <c r="SOC39" s="8"/>
      <c r="SOD39" s="8"/>
      <c r="SOE39" s="8"/>
      <c r="SOF39" s="8"/>
      <c r="SOG39" s="8"/>
      <c r="SOH39" s="8"/>
      <c r="SOI39" s="8"/>
      <c r="SOJ39" s="8"/>
      <c r="SOK39" s="8"/>
      <c r="SOL39" s="8"/>
      <c r="SOM39" s="8"/>
      <c r="SON39" s="8"/>
      <c r="SOO39" s="8"/>
      <c r="SOP39" s="8"/>
      <c r="SOQ39" s="8"/>
      <c r="SOR39" s="8"/>
      <c r="SOS39" s="8"/>
      <c r="SOT39" s="8"/>
      <c r="SOU39" s="8"/>
      <c r="SOV39" s="8"/>
      <c r="SOW39" s="8"/>
      <c r="SOX39" s="8"/>
      <c r="SOY39" s="8"/>
      <c r="SOZ39" s="8"/>
      <c r="SPA39" s="8"/>
      <c r="SPB39" s="8"/>
      <c r="SPC39" s="8"/>
      <c r="SPD39" s="8"/>
      <c r="SPE39" s="8"/>
      <c r="SPF39" s="8"/>
      <c r="SPG39" s="8"/>
      <c r="SPH39" s="8"/>
      <c r="SPI39" s="8"/>
      <c r="SPJ39" s="8"/>
      <c r="SPK39" s="8"/>
      <c r="SPL39" s="8"/>
      <c r="SPM39" s="8"/>
      <c r="SPN39" s="8"/>
      <c r="SPO39" s="8"/>
      <c r="SPP39" s="8"/>
      <c r="SPQ39" s="8"/>
      <c r="SPR39" s="8"/>
      <c r="SPS39" s="8"/>
      <c r="SPT39" s="8"/>
      <c r="SPU39" s="8"/>
      <c r="SPV39" s="8"/>
      <c r="SPW39" s="8"/>
      <c r="SPX39" s="8"/>
      <c r="SPY39" s="8"/>
      <c r="SPZ39" s="8"/>
      <c r="SQA39" s="8"/>
      <c r="SQB39" s="8"/>
      <c r="SQC39" s="8"/>
      <c r="SQD39" s="8"/>
      <c r="SQE39" s="8"/>
      <c r="SQF39" s="8"/>
      <c r="SQG39" s="8"/>
      <c r="SQH39" s="8"/>
      <c r="SQI39" s="8"/>
      <c r="SQJ39" s="8"/>
      <c r="SQK39" s="8"/>
      <c r="SQL39" s="8"/>
      <c r="SQM39" s="8"/>
      <c r="SQN39" s="8"/>
      <c r="SQO39" s="8"/>
      <c r="SQP39" s="8"/>
      <c r="SQQ39" s="8"/>
      <c r="SQR39" s="8"/>
      <c r="SQS39" s="8"/>
      <c r="SQT39" s="8"/>
      <c r="SQU39" s="8"/>
      <c r="SQV39" s="8"/>
      <c r="SQW39" s="8"/>
      <c r="SQX39" s="8"/>
      <c r="SQY39" s="8"/>
      <c r="SQZ39" s="8"/>
      <c r="SRA39" s="8"/>
      <c r="SRB39" s="8"/>
      <c r="SRC39" s="8"/>
      <c r="SRD39" s="8"/>
      <c r="SRE39" s="8"/>
      <c r="SRF39" s="8"/>
      <c r="SRG39" s="8"/>
      <c r="SRH39" s="8"/>
      <c r="SRI39" s="8"/>
      <c r="SRJ39" s="8"/>
      <c r="SRK39" s="8"/>
      <c r="SRL39" s="8"/>
      <c r="SRM39" s="8"/>
      <c r="SRN39" s="8"/>
      <c r="SRO39" s="8"/>
      <c r="SRP39" s="8"/>
      <c r="SRQ39" s="8"/>
      <c r="SRR39" s="8"/>
      <c r="SRS39" s="8"/>
      <c r="SRT39" s="8"/>
      <c r="SRU39" s="8"/>
      <c r="SRV39" s="8"/>
      <c r="SRW39" s="8"/>
      <c r="SRX39" s="8"/>
      <c r="SRY39" s="8"/>
      <c r="SRZ39" s="8"/>
      <c r="SSA39" s="8"/>
      <c r="SSB39" s="8"/>
      <c r="SSC39" s="8"/>
      <c r="SSD39" s="8"/>
      <c r="SSE39" s="8"/>
      <c r="SSF39" s="8"/>
      <c r="SSG39" s="8"/>
      <c r="SSH39" s="8"/>
      <c r="SSI39" s="8"/>
      <c r="SSJ39" s="8"/>
      <c r="SSK39" s="8"/>
      <c r="SSL39" s="8"/>
      <c r="SSM39" s="8"/>
      <c r="SSN39" s="8"/>
      <c r="SSO39" s="8"/>
      <c r="SSP39" s="8"/>
      <c r="SSQ39" s="8"/>
      <c r="SSR39" s="8"/>
      <c r="SSS39" s="8"/>
      <c r="SST39" s="8"/>
      <c r="SSU39" s="8"/>
      <c r="SSV39" s="8"/>
      <c r="SSW39" s="8"/>
      <c r="SSX39" s="8"/>
      <c r="SSY39" s="8"/>
      <c r="SSZ39" s="8"/>
      <c r="STA39" s="8"/>
      <c r="STB39" s="8"/>
      <c r="STC39" s="8"/>
      <c r="STD39" s="8"/>
      <c r="STE39" s="8"/>
      <c r="STF39" s="8"/>
      <c r="STG39" s="8"/>
      <c r="STH39" s="8"/>
      <c r="STI39" s="8"/>
      <c r="STJ39" s="8"/>
      <c r="STK39" s="8"/>
      <c r="STL39" s="8"/>
      <c r="STM39" s="8"/>
      <c r="STN39" s="8"/>
      <c r="STO39" s="8"/>
      <c r="STP39" s="8"/>
      <c r="STQ39" s="8"/>
      <c r="STR39" s="8"/>
      <c r="STS39" s="8"/>
      <c r="STT39" s="8"/>
      <c r="STU39" s="8"/>
      <c r="STV39" s="8"/>
      <c r="STW39" s="8"/>
      <c r="STX39" s="8"/>
      <c r="STY39" s="8"/>
      <c r="STZ39" s="8"/>
      <c r="SUA39" s="8"/>
      <c r="SUB39" s="8"/>
      <c r="SUC39" s="8"/>
      <c r="SUD39" s="8"/>
      <c r="SUE39" s="8"/>
      <c r="SUF39" s="8"/>
      <c r="SUG39" s="8"/>
      <c r="SUH39" s="8"/>
      <c r="SUI39" s="8"/>
      <c r="SUJ39" s="8"/>
      <c r="SUK39" s="8"/>
      <c r="SUL39" s="8"/>
      <c r="SUM39" s="8"/>
      <c r="SUN39" s="8"/>
      <c r="SUO39" s="8"/>
      <c r="SUP39" s="8"/>
      <c r="SUQ39" s="8"/>
      <c r="SUR39" s="8"/>
      <c r="SUS39" s="8"/>
      <c r="SUT39" s="8"/>
      <c r="SUU39" s="8"/>
      <c r="SUV39" s="8"/>
      <c r="SUW39" s="8"/>
      <c r="SUX39" s="8"/>
      <c r="SUY39" s="8"/>
      <c r="SUZ39" s="8"/>
      <c r="SVA39" s="8"/>
      <c r="SVB39" s="8"/>
      <c r="SVC39" s="8"/>
      <c r="SVD39" s="8"/>
      <c r="SVE39" s="8"/>
      <c r="SVF39" s="8"/>
      <c r="SVG39" s="8"/>
      <c r="SVH39" s="8"/>
      <c r="SVI39" s="8"/>
      <c r="SVJ39" s="8"/>
      <c r="SVK39" s="8"/>
      <c r="SVL39" s="8"/>
      <c r="SVM39" s="8"/>
      <c r="SVN39" s="8"/>
      <c r="SVO39" s="8"/>
      <c r="SVP39" s="8"/>
      <c r="SVQ39" s="8"/>
      <c r="SVR39" s="8"/>
      <c r="SVS39" s="8"/>
      <c r="SVT39" s="8"/>
      <c r="SVU39" s="8"/>
      <c r="SVV39" s="8"/>
      <c r="SVW39" s="8"/>
      <c r="SVX39" s="8"/>
      <c r="SVY39" s="8"/>
      <c r="SVZ39" s="8"/>
      <c r="SWA39" s="8"/>
      <c r="SWB39" s="8"/>
      <c r="SWC39" s="8"/>
      <c r="SWD39" s="8"/>
      <c r="SWE39" s="8"/>
      <c r="SWF39" s="8"/>
      <c r="SWG39" s="8"/>
      <c r="SWH39" s="8"/>
      <c r="SWI39" s="8"/>
      <c r="SWJ39" s="8"/>
      <c r="SWK39" s="8"/>
      <c r="SWL39" s="8"/>
      <c r="SWM39" s="8"/>
      <c r="SWN39" s="8"/>
      <c r="SWO39" s="8"/>
      <c r="SWP39" s="8"/>
      <c r="SWQ39" s="8"/>
      <c r="SWR39" s="8"/>
      <c r="SWS39" s="8"/>
      <c r="SWT39" s="8"/>
      <c r="SWU39" s="8"/>
      <c r="SWV39" s="8"/>
      <c r="SWW39" s="8"/>
      <c r="SWX39" s="8"/>
      <c r="SWY39" s="8"/>
      <c r="SWZ39" s="8"/>
      <c r="SXA39" s="8"/>
      <c r="SXB39" s="8"/>
      <c r="SXC39" s="8"/>
      <c r="SXD39" s="8"/>
      <c r="SXE39" s="8"/>
      <c r="SXF39" s="8"/>
      <c r="SXG39" s="8"/>
      <c r="SXH39" s="8"/>
      <c r="SXI39" s="8"/>
      <c r="SXJ39" s="8"/>
      <c r="SXK39" s="8"/>
      <c r="SXL39" s="8"/>
      <c r="SXM39" s="8"/>
      <c r="SXN39" s="8"/>
      <c r="SXO39" s="8"/>
      <c r="SXP39" s="8"/>
      <c r="SXQ39" s="8"/>
      <c r="SXR39" s="8"/>
      <c r="SXS39" s="8"/>
      <c r="SXT39" s="8"/>
      <c r="SXU39" s="8"/>
      <c r="SXV39" s="8"/>
      <c r="SXW39" s="8"/>
      <c r="SXX39" s="8"/>
      <c r="SXY39" s="8"/>
      <c r="SXZ39" s="8"/>
      <c r="SYA39" s="8"/>
      <c r="SYB39" s="8"/>
      <c r="SYC39" s="8"/>
      <c r="SYD39" s="8"/>
      <c r="SYE39" s="8"/>
      <c r="SYF39" s="8"/>
      <c r="SYG39" s="8"/>
      <c r="SYH39" s="8"/>
      <c r="SYI39" s="8"/>
      <c r="SYJ39" s="8"/>
      <c r="SYK39" s="8"/>
      <c r="SYL39" s="8"/>
      <c r="SYM39" s="8"/>
      <c r="SYN39" s="8"/>
      <c r="SYO39" s="8"/>
      <c r="SYP39" s="8"/>
      <c r="SYQ39" s="8"/>
      <c r="SYR39" s="8"/>
      <c r="SYS39" s="8"/>
      <c r="SYT39" s="8"/>
      <c r="SYU39" s="8"/>
      <c r="SYV39" s="8"/>
      <c r="SYW39" s="8"/>
      <c r="SYX39" s="8"/>
      <c r="SYY39" s="8"/>
      <c r="SYZ39" s="8"/>
      <c r="SZA39" s="8"/>
      <c r="SZB39" s="8"/>
      <c r="SZC39" s="8"/>
      <c r="SZD39" s="8"/>
      <c r="SZE39" s="8"/>
      <c r="SZF39" s="8"/>
      <c r="SZG39" s="8"/>
      <c r="SZH39" s="8"/>
      <c r="SZI39" s="8"/>
      <c r="SZJ39" s="8"/>
      <c r="SZK39" s="8"/>
      <c r="SZL39" s="8"/>
      <c r="SZM39" s="8"/>
      <c r="SZN39" s="8"/>
      <c r="SZO39" s="8"/>
      <c r="SZP39" s="8"/>
      <c r="SZQ39" s="8"/>
      <c r="SZR39" s="8"/>
      <c r="SZS39" s="8"/>
      <c r="SZT39" s="8"/>
      <c r="SZU39" s="8"/>
      <c r="SZV39" s="8"/>
      <c r="SZW39" s="8"/>
      <c r="SZX39" s="8"/>
      <c r="SZY39" s="8"/>
      <c r="SZZ39" s="8"/>
      <c r="TAA39" s="8"/>
      <c r="TAB39" s="8"/>
      <c r="TAC39" s="8"/>
      <c r="TAD39" s="8"/>
      <c r="TAE39" s="8"/>
      <c r="TAF39" s="8"/>
      <c r="TAG39" s="8"/>
      <c r="TAH39" s="8"/>
      <c r="TAI39" s="8"/>
      <c r="TAJ39" s="8"/>
      <c r="TAK39" s="8"/>
      <c r="TAL39" s="8"/>
      <c r="TAM39" s="8"/>
      <c r="TAN39" s="8"/>
      <c r="TAO39" s="8"/>
      <c r="TAP39" s="8"/>
      <c r="TAQ39" s="8"/>
      <c r="TAR39" s="8"/>
      <c r="TAS39" s="8"/>
      <c r="TAT39" s="8"/>
      <c r="TAU39" s="8"/>
      <c r="TAV39" s="8"/>
      <c r="TAW39" s="8"/>
      <c r="TAX39" s="8"/>
      <c r="TAY39" s="8"/>
      <c r="TAZ39" s="8"/>
      <c r="TBA39" s="8"/>
      <c r="TBB39" s="8"/>
      <c r="TBC39" s="8"/>
      <c r="TBD39" s="8"/>
      <c r="TBE39" s="8"/>
      <c r="TBF39" s="8"/>
      <c r="TBG39" s="8"/>
      <c r="TBH39" s="8"/>
      <c r="TBI39" s="8"/>
      <c r="TBJ39" s="8"/>
      <c r="TBK39" s="8"/>
      <c r="TBL39" s="8"/>
      <c r="TBM39" s="8"/>
      <c r="TBN39" s="8"/>
      <c r="TBO39" s="8"/>
      <c r="TBP39" s="8"/>
      <c r="TBQ39" s="8"/>
      <c r="TBR39" s="8"/>
      <c r="TBS39" s="8"/>
      <c r="TBT39" s="8"/>
      <c r="TBU39" s="8"/>
      <c r="TBV39" s="8"/>
      <c r="TBW39" s="8"/>
      <c r="TBX39" s="8"/>
      <c r="TBY39" s="8"/>
      <c r="TBZ39" s="8"/>
      <c r="TCA39" s="8"/>
      <c r="TCB39" s="8"/>
      <c r="TCC39" s="8"/>
      <c r="TCD39" s="8"/>
      <c r="TCE39" s="8"/>
      <c r="TCF39" s="8"/>
      <c r="TCG39" s="8"/>
      <c r="TCH39" s="8"/>
      <c r="TCI39" s="8"/>
      <c r="TCJ39" s="8"/>
      <c r="TCK39" s="8"/>
      <c r="TCL39" s="8"/>
      <c r="TCM39" s="8"/>
      <c r="TCN39" s="8"/>
      <c r="TCO39" s="8"/>
      <c r="TCP39" s="8"/>
      <c r="TCQ39" s="8"/>
      <c r="TCR39" s="8"/>
      <c r="TCS39" s="8"/>
      <c r="TCT39" s="8"/>
      <c r="TCU39" s="8"/>
      <c r="TCV39" s="8"/>
      <c r="TCW39" s="8"/>
      <c r="TCX39" s="8"/>
      <c r="TCY39" s="8"/>
      <c r="TCZ39" s="8"/>
      <c r="TDA39" s="8"/>
      <c r="TDB39" s="8"/>
      <c r="TDC39" s="8"/>
      <c r="TDD39" s="8"/>
      <c r="TDE39" s="8"/>
      <c r="TDF39" s="8"/>
      <c r="TDG39" s="8"/>
      <c r="TDH39" s="8"/>
      <c r="TDI39" s="8"/>
      <c r="TDJ39" s="8"/>
      <c r="TDK39" s="8"/>
      <c r="TDL39" s="8"/>
      <c r="TDM39" s="8"/>
      <c r="TDN39" s="8"/>
      <c r="TDO39" s="8"/>
      <c r="TDP39" s="8"/>
      <c r="TDQ39" s="8"/>
      <c r="TDR39" s="8"/>
      <c r="TDS39" s="8"/>
      <c r="TDT39" s="8"/>
      <c r="TDU39" s="8"/>
      <c r="TDV39" s="8"/>
      <c r="TDW39" s="8"/>
      <c r="TDX39" s="8"/>
      <c r="TDY39" s="8"/>
      <c r="TDZ39" s="8"/>
      <c r="TEA39" s="8"/>
      <c r="TEB39" s="8"/>
      <c r="TEC39" s="8"/>
      <c r="TED39" s="8"/>
      <c r="TEE39" s="8"/>
      <c r="TEF39" s="8"/>
      <c r="TEG39" s="8"/>
      <c r="TEH39" s="8"/>
      <c r="TEI39" s="8"/>
      <c r="TEJ39" s="8"/>
      <c r="TEK39" s="8"/>
      <c r="TEL39" s="8"/>
      <c r="TEM39" s="8"/>
      <c r="TEN39" s="8"/>
      <c r="TEO39" s="8"/>
      <c r="TEP39" s="8"/>
      <c r="TEQ39" s="8"/>
      <c r="TER39" s="8"/>
      <c r="TES39" s="8"/>
      <c r="TET39" s="8"/>
      <c r="TEU39" s="8"/>
      <c r="TEV39" s="8"/>
      <c r="TEW39" s="8"/>
      <c r="TEX39" s="8"/>
      <c r="TEY39" s="8"/>
      <c r="TEZ39" s="8"/>
      <c r="TFA39" s="8"/>
      <c r="TFB39" s="8"/>
      <c r="TFC39" s="8"/>
      <c r="TFD39" s="8"/>
      <c r="TFE39" s="8"/>
      <c r="TFF39" s="8"/>
      <c r="TFG39" s="8"/>
      <c r="TFH39" s="8"/>
      <c r="TFI39" s="8"/>
      <c r="TFJ39" s="8"/>
      <c r="TFK39" s="8"/>
      <c r="TFL39" s="8"/>
      <c r="TFM39" s="8"/>
      <c r="TFN39" s="8"/>
      <c r="TFO39" s="8"/>
      <c r="TFP39" s="8"/>
      <c r="TFQ39" s="8"/>
      <c r="TFR39" s="8"/>
      <c r="TFS39" s="8"/>
      <c r="TFT39" s="8"/>
      <c r="TFU39" s="8"/>
      <c r="TFV39" s="8"/>
      <c r="TFW39" s="8"/>
      <c r="TFX39" s="8"/>
      <c r="TFY39" s="8"/>
      <c r="TFZ39" s="8"/>
      <c r="TGA39" s="8"/>
      <c r="TGB39" s="8"/>
      <c r="TGC39" s="8"/>
      <c r="TGD39" s="8"/>
      <c r="TGE39" s="8"/>
      <c r="TGF39" s="8"/>
      <c r="TGG39" s="8"/>
      <c r="TGH39" s="8"/>
      <c r="TGI39" s="8"/>
      <c r="TGJ39" s="8"/>
      <c r="TGK39" s="8"/>
      <c r="TGL39" s="8"/>
      <c r="TGM39" s="8"/>
      <c r="TGN39" s="8"/>
      <c r="TGO39" s="8"/>
      <c r="TGP39" s="8"/>
      <c r="TGQ39" s="8"/>
      <c r="TGR39" s="8"/>
      <c r="TGS39" s="8"/>
      <c r="TGT39" s="8"/>
      <c r="TGU39" s="8"/>
      <c r="TGV39" s="8"/>
      <c r="TGW39" s="8"/>
      <c r="TGX39" s="8"/>
      <c r="TGY39" s="8"/>
      <c r="TGZ39" s="8"/>
      <c r="THA39" s="8"/>
      <c r="THB39" s="8"/>
      <c r="THC39" s="8"/>
      <c r="THD39" s="8"/>
      <c r="THE39" s="8"/>
      <c r="THF39" s="8"/>
      <c r="THG39" s="8"/>
      <c r="THH39" s="8"/>
      <c r="THI39" s="8"/>
      <c r="THJ39" s="8"/>
      <c r="THK39" s="8"/>
      <c r="THL39" s="8"/>
      <c r="THM39" s="8"/>
      <c r="THN39" s="8"/>
      <c r="THO39" s="8"/>
      <c r="THP39" s="8"/>
      <c r="THQ39" s="8"/>
      <c r="THR39" s="8"/>
      <c r="THS39" s="8"/>
      <c r="THT39" s="8"/>
      <c r="THU39" s="8"/>
      <c r="THV39" s="8"/>
      <c r="THW39" s="8"/>
      <c r="THX39" s="8"/>
      <c r="THY39" s="8"/>
      <c r="THZ39" s="8"/>
      <c r="TIA39" s="8"/>
      <c r="TIB39" s="8"/>
      <c r="TIC39" s="8"/>
      <c r="TID39" s="8"/>
      <c r="TIE39" s="8"/>
      <c r="TIF39" s="8"/>
      <c r="TIG39" s="8"/>
      <c r="TIH39" s="8"/>
      <c r="TII39" s="8"/>
      <c r="TIJ39" s="8"/>
      <c r="TIK39" s="8"/>
      <c r="TIL39" s="8"/>
      <c r="TIM39" s="8"/>
      <c r="TIN39" s="8"/>
      <c r="TIO39" s="8"/>
      <c r="TIP39" s="8"/>
      <c r="TIQ39" s="8"/>
      <c r="TIR39" s="8"/>
      <c r="TIS39" s="8"/>
      <c r="TIT39" s="8"/>
      <c r="TIU39" s="8"/>
      <c r="TIV39" s="8"/>
      <c r="TIW39" s="8"/>
      <c r="TIX39" s="8"/>
      <c r="TIY39" s="8"/>
      <c r="TIZ39" s="8"/>
      <c r="TJA39" s="8"/>
      <c r="TJB39" s="8"/>
      <c r="TJC39" s="8"/>
      <c r="TJD39" s="8"/>
      <c r="TJE39" s="8"/>
      <c r="TJF39" s="8"/>
      <c r="TJG39" s="8"/>
      <c r="TJH39" s="8"/>
      <c r="TJI39" s="8"/>
      <c r="TJJ39" s="8"/>
      <c r="TJK39" s="8"/>
      <c r="TJL39" s="8"/>
      <c r="TJM39" s="8"/>
      <c r="TJN39" s="8"/>
      <c r="TJO39" s="8"/>
      <c r="TJP39" s="8"/>
      <c r="TJQ39" s="8"/>
      <c r="TJR39" s="8"/>
      <c r="TJS39" s="8"/>
      <c r="TJT39" s="8"/>
      <c r="TJU39" s="8"/>
      <c r="TJV39" s="8"/>
      <c r="TJW39" s="8"/>
      <c r="TJX39" s="8"/>
      <c r="TJY39" s="8"/>
      <c r="TJZ39" s="8"/>
      <c r="TKA39" s="8"/>
      <c r="TKB39" s="8"/>
      <c r="TKC39" s="8"/>
      <c r="TKD39" s="8"/>
      <c r="TKE39" s="8"/>
      <c r="TKF39" s="8"/>
      <c r="TKG39" s="8"/>
      <c r="TKH39" s="8"/>
      <c r="TKI39" s="8"/>
      <c r="TKJ39" s="8"/>
      <c r="TKK39" s="8"/>
      <c r="TKL39" s="8"/>
      <c r="TKM39" s="8"/>
      <c r="TKN39" s="8"/>
      <c r="TKO39" s="8"/>
      <c r="TKP39" s="8"/>
      <c r="TKQ39" s="8"/>
      <c r="TKR39" s="8"/>
      <c r="TKS39" s="8"/>
      <c r="TKT39" s="8"/>
      <c r="TKU39" s="8"/>
      <c r="TKV39" s="8"/>
      <c r="TKW39" s="8"/>
      <c r="TKX39" s="8"/>
      <c r="TKY39" s="8"/>
      <c r="TKZ39" s="8"/>
      <c r="TLA39" s="8"/>
      <c r="TLB39" s="8"/>
      <c r="TLC39" s="8"/>
      <c r="TLD39" s="8"/>
      <c r="TLE39" s="8"/>
      <c r="TLF39" s="8"/>
      <c r="TLG39" s="8"/>
      <c r="TLH39" s="8"/>
      <c r="TLI39" s="8"/>
      <c r="TLJ39" s="8"/>
      <c r="TLK39" s="8"/>
      <c r="TLL39" s="8"/>
      <c r="TLM39" s="8"/>
      <c r="TLN39" s="8"/>
      <c r="TLO39" s="8"/>
      <c r="TLP39" s="8"/>
      <c r="TLQ39" s="8"/>
      <c r="TLR39" s="8"/>
      <c r="TLS39" s="8"/>
      <c r="TLT39" s="8"/>
      <c r="TLU39" s="8"/>
      <c r="TLV39" s="8"/>
      <c r="TLW39" s="8"/>
      <c r="TLX39" s="8"/>
      <c r="TLY39" s="8"/>
      <c r="TLZ39" s="8"/>
      <c r="TMA39" s="8"/>
      <c r="TMB39" s="8"/>
      <c r="TMC39" s="8"/>
      <c r="TMD39" s="8"/>
      <c r="TME39" s="8"/>
      <c r="TMF39" s="8"/>
      <c r="TMG39" s="8"/>
      <c r="TMH39" s="8"/>
      <c r="TMI39" s="8"/>
      <c r="TMJ39" s="8"/>
      <c r="TMK39" s="8"/>
      <c r="TML39" s="8"/>
      <c r="TMM39" s="8"/>
      <c r="TMN39" s="8"/>
      <c r="TMO39" s="8"/>
      <c r="TMP39" s="8"/>
      <c r="TMQ39" s="8"/>
      <c r="TMR39" s="8"/>
      <c r="TMS39" s="8"/>
      <c r="TMT39" s="8"/>
      <c r="TMU39" s="8"/>
      <c r="TMV39" s="8"/>
      <c r="TMW39" s="8"/>
      <c r="TMX39" s="8"/>
      <c r="TMY39" s="8"/>
      <c r="TMZ39" s="8"/>
      <c r="TNA39" s="8"/>
      <c r="TNB39" s="8"/>
      <c r="TNC39" s="8"/>
      <c r="TND39" s="8"/>
      <c r="TNE39" s="8"/>
      <c r="TNF39" s="8"/>
      <c r="TNG39" s="8"/>
      <c r="TNH39" s="8"/>
      <c r="TNI39" s="8"/>
      <c r="TNJ39" s="8"/>
      <c r="TNK39" s="8"/>
      <c r="TNL39" s="8"/>
      <c r="TNM39" s="8"/>
      <c r="TNN39" s="8"/>
      <c r="TNO39" s="8"/>
      <c r="TNP39" s="8"/>
      <c r="TNQ39" s="8"/>
      <c r="TNR39" s="8"/>
      <c r="TNS39" s="8"/>
      <c r="TNT39" s="8"/>
      <c r="TNU39" s="8"/>
      <c r="TNV39" s="8"/>
      <c r="TNW39" s="8"/>
      <c r="TNX39" s="8"/>
      <c r="TNY39" s="8"/>
      <c r="TNZ39" s="8"/>
      <c r="TOA39" s="8"/>
      <c r="TOB39" s="8"/>
      <c r="TOC39" s="8"/>
      <c r="TOD39" s="8"/>
      <c r="TOE39" s="8"/>
      <c r="TOF39" s="8"/>
      <c r="TOG39" s="8"/>
      <c r="TOH39" s="8"/>
      <c r="TOI39" s="8"/>
      <c r="TOJ39" s="8"/>
      <c r="TOK39" s="8"/>
      <c r="TOL39" s="8"/>
      <c r="TOM39" s="8"/>
      <c r="TON39" s="8"/>
      <c r="TOO39" s="8"/>
      <c r="TOP39" s="8"/>
      <c r="TOQ39" s="8"/>
      <c r="TOR39" s="8"/>
      <c r="TOS39" s="8"/>
      <c r="TOT39" s="8"/>
      <c r="TOU39" s="8"/>
      <c r="TOV39" s="8"/>
      <c r="TOW39" s="8"/>
      <c r="TOX39" s="8"/>
      <c r="TOY39" s="8"/>
      <c r="TOZ39" s="8"/>
      <c r="TPA39" s="8"/>
      <c r="TPB39" s="8"/>
      <c r="TPC39" s="8"/>
      <c r="TPD39" s="8"/>
      <c r="TPE39" s="8"/>
      <c r="TPF39" s="8"/>
      <c r="TPG39" s="8"/>
      <c r="TPH39" s="8"/>
      <c r="TPI39" s="8"/>
      <c r="TPJ39" s="8"/>
      <c r="TPK39" s="8"/>
      <c r="TPL39" s="8"/>
      <c r="TPM39" s="8"/>
      <c r="TPN39" s="8"/>
      <c r="TPO39" s="8"/>
      <c r="TPP39" s="8"/>
      <c r="TPQ39" s="8"/>
      <c r="TPR39" s="8"/>
      <c r="TPS39" s="8"/>
      <c r="TPT39" s="8"/>
      <c r="TPU39" s="8"/>
      <c r="TPV39" s="8"/>
      <c r="TPW39" s="8"/>
      <c r="TPX39" s="8"/>
      <c r="TPY39" s="8"/>
      <c r="TPZ39" s="8"/>
      <c r="TQA39" s="8"/>
      <c r="TQB39" s="8"/>
      <c r="TQC39" s="8"/>
      <c r="TQD39" s="8"/>
      <c r="TQE39" s="8"/>
      <c r="TQF39" s="8"/>
      <c r="TQG39" s="8"/>
      <c r="TQH39" s="8"/>
      <c r="TQI39" s="8"/>
      <c r="TQJ39" s="8"/>
      <c r="TQK39" s="8"/>
      <c r="TQL39" s="8"/>
      <c r="TQM39" s="8"/>
      <c r="TQN39" s="8"/>
      <c r="TQO39" s="8"/>
      <c r="TQP39" s="8"/>
      <c r="TQQ39" s="8"/>
      <c r="TQR39" s="8"/>
      <c r="TQS39" s="8"/>
      <c r="TQT39" s="8"/>
      <c r="TQU39" s="8"/>
      <c r="TQV39" s="8"/>
      <c r="TQW39" s="8"/>
      <c r="TQX39" s="8"/>
      <c r="TQY39" s="8"/>
      <c r="TQZ39" s="8"/>
      <c r="TRA39" s="8"/>
      <c r="TRB39" s="8"/>
      <c r="TRC39" s="8"/>
      <c r="TRD39" s="8"/>
      <c r="TRE39" s="8"/>
      <c r="TRF39" s="8"/>
      <c r="TRG39" s="8"/>
      <c r="TRH39" s="8"/>
      <c r="TRI39" s="8"/>
      <c r="TRJ39" s="8"/>
      <c r="TRK39" s="8"/>
      <c r="TRL39" s="8"/>
      <c r="TRM39" s="8"/>
      <c r="TRN39" s="8"/>
      <c r="TRO39" s="8"/>
      <c r="TRP39" s="8"/>
      <c r="TRQ39" s="8"/>
      <c r="TRR39" s="8"/>
      <c r="TRS39" s="8"/>
      <c r="TRT39" s="8"/>
      <c r="TRU39" s="8"/>
      <c r="TRV39" s="8"/>
      <c r="TRW39" s="8"/>
      <c r="TRX39" s="8"/>
      <c r="TRY39" s="8"/>
      <c r="TRZ39" s="8"/>
      <c r="TSA39" s="8"/>
      <c r="TSB39" s="8"/>
      <c r="TSC39" s="8"/>
      <c r="TSD39" s="8"/>
      <c r="TSE39" s="8"/>
      <c r="TSF39" s="8"/>
      <c r="TSG39" s="8"/>
      <c r="TSH39" s="8"/>
      <c r="TSI39" s="8"/>
      <c r="TSJ39" s="8"/>
      <c r="TSK39" s="8"/>
      <c r="TSL39" s="8"/>
      <c r="TSM39" s="8"/>
      <c r="TSN39" s="8"/>
      <c r="TSO39" s="8"/>
      <c r="TSP39" s="8"/>
      <c r="TSQ39" s="8"/>
      <c r="TSR39" s="8"/>
      <c r="TSS39" s="8"/>
      <c r="TST39" s="8"/>
      <c r="TSU39" s="8"/>
      <c r="TSV39" s="8"/>
      <c r="TSW39" s="8"/>
      <c r="TSX39" s="8"/>
      <c r="TSY39" s="8"/>
      <c r="TSZ39" s="8"/>
      <c r="TTA39" s="8"/>
      <c r="TTB39" s="8"/>
      <c r="TTC39" s="8"/>
      <c r="TTD39" s="8"/>
      <c r="TTE39" s="8"/>
      <c r="TTF39" s="8"/>
      <c r="TTG39" s="8"/>
      <c r="TTH39" s="8"/>
      <c r="TTI39" s="8"/>
      <c r="TTJ39" s="8"/>
      <c r="TTK39" s="8"/>
      <c r="TTL39" s="8"/>
      <c r="TTM39" s="8"/>
      <c r="TTN39" s="8"/>
      <c r="TTO39" s="8"/>
      <c r="TTP39" s="8"/>
      <c r="TTQ39" s="8"/>
      <c r="TTR39" s="8"/>
      <c r="TTS39" s="8"/>
      <c r="TTT39" s="8"/>
      <c r="TTU39" s="8"/>
      <c r="TTV39" s="8"/>
      <c r="TTW39" s="8"/>
      <c r="TTX39" s="8"/>
      <c r="TTY39" s="8"/>
      <c r="TTZ39" s="8"/>
      <c r="TUA39" s="8"/>
      <c r="TUB39" s="8"/>
      <c r="TUC39" s="8"/>
      <c r="TUD39" s="8"/>
      <c r="TUE39" s="8"/>
      <c r="TUF39" s="8"/>
      <c r="TUG39" s="8"/>
      <c r="TUH39" s="8"/>
      <c r="TUI39" s="8"/>
      <c r="TUJ39" s="8"/>
      <c r="TUK39" s="8"/>
      <c r="TUL39" s="8"/>
      <c r="TUM39" s="8"/>
      <c r="TUN39" s="8"/>
      <c r="TUO39" s="8"/>
      <c r="TUP39" s="8"/>
      <c r="TUQ39" s="8"/>
      <c r="TUR39" s="8"/>
      <c r="TUS39" s="8"/>
      <c r="TUT39" s="8"/>
      <c r="TUU39" s="8"/>
      <c r="TUV39" s="8"/>
      <c r="TUW39" s="8"/>
      <c r="TUX39" s="8"/>
      <c r="TUY39" s="8"/>
      <c r="TUZ39" s="8"/>
      <c r="TVA39" s="8"/>
      <c r="TVB39" s="8"/>
      <c r="TVC39" s="8"/>
      <c r="TVD39" s="8"/>
      <c r="TVE39" s="8"/>
      <c r="TVF39" s="8"/>
      <c r="TVG39" s="8"/>
      <c r="TVH39" s="8"/>
      <c r="TVI39" s="8"/>
      <c r="TVJ39" s="8"/>
      <c r="TVK39" s="8"/>
      <c r="TVL39" s="8"/>
      <c r="TVM39" s="8"/>
      <c r="TVN39" s="8"/>
      <c r="TVO39" s="8"/>
      <c r="TVP39" s="8"/>
      <c r="TVQ39" s="8"/>
      <c r="TVR39" s="8"/>
      <c r="TVS39" s="8"/>
      <c r="TVT39" s="8"/>
      <c r="TVU39" s="8"/>
      <c r="TVV39" s="8"/>
      <c r="TVW39" s="8"/>
      <c r="TVX39" s="8"/>
      <c r="TVY39" s="8"/>
      <c r="TVZ39" s="8"/>
      <c r="TWA39" s="8"/>
      <c r="TWB39" s="8"/>
      <c r="TWC39" s="8"/>
      <c r="TWD39" s="8"/>
      <c r="TWE39" s="8"/>
      <c r="TWF39" s="8"/>
      <c r="TWG39" s="8"/>
      <c r="TWH39" s="8"/>
      <c r="TWI39" s="8"/>
      <c r="TWJ39" s="8"/>
      <c r="TWK39" s="8"/>
      <c r="TWL39" s="8"/>
      <c r="TWM39" s="8"/>
      <c r="TWN39" s="8"/>
      <c r="TWO39" s="8"/>
      <c r="TWP39" s="8"/>
      <c r="TWQ39" s="8"/>
      <c r="TWR39" s="8"/>
      <c r="TWS39" s="8"/>
      <c r="TWT39" s="8"/>
      <c r="TWU39" s="8"/>
      <c r="TWV39" s="8"/>
      <c r="TWW39" s="8"/>
      <c r="TWX39" s="8"/>
      <c r="TWY39" s="8"/>
      <c r="TWZ39" s="8"/>
      <c r="TXA39" s="8"/>
      <c r="TXB39" s="8"/>
      <c r="TXC39" s="8"/>
      <c r="TXD39" s="8"/>
      <c r="TXE39" s="8"/>
      <c r="TXF39" s="8"/>
      <c r="TXG39" s="8"/>
      <c r="TXH39" s="8"/>
      <c r="TXI39" s="8"/>
      <c r="TXJ39" s="8"/>
      <c r="TXK39" s="8"/>
      <c r="TXL39" s="8"/>
      <c r="TXM39" s="8"/>
      <c r="TXN39" s="8"/>
      <c r="TXO39" s="8"/>
      <c r="TXP39" s="8"/>
      <c r="TXQ39" s="8"/>
      <c r="TXR39" s="8"/>
      <c r="TXS39" s="8"/>
      <c r="TXT39" s="8"/>
      <c r="TXU39" s="8"/>
      <c r="TXV39" s="8"/>
      <c r="TXW39" s="8"/>
      <c r="TXX39" s="8"/>
      <c r="TXY39" s="8"/>
      <c r="TXZ39" s="8"/>
      <c r="TYA39" s="8"/>
      <c r="TYB39" s="8"/>
      <c r="TYC39" s="8"/>
      <c r="TYD39" s="8"/>
      <c r="TYE39" s="8"/>
      <c r="TYF39" s="8"/>
      <c r="TYG39" s="8"/>
      <c r="TYH39" s="8"/>
      <c r="TYI39" s="8"/>
      <c r="TYJ39" s="8"/>
      <c r="TYK39" s="8"/>
      <c r="TYL39" s="8"/>
      <c r="TYM39" s="8"/>
      <c r="TYN39" s="8"/>
      <c r="TYO39" s="8"/>
      <c r="TYP39" s="8"/>
      <c r="TYQ39" s="8"/>
      <c r="TYR39" s="8"/>
      <c r="TYS39" s="8"/>
      <c r="TYT39" s="8"/>
      <c r="TYU39" s="8"/>
      <c r="TYV39" s="8"/>
      <c r="TYW39" s="8"/>
      <c r="TYX39" s="8"/>
      <c r="TYY39" s="8"/>
      <c r="TYZ39" s="8"/>
      <c r="TZA39" s="8"/>
      <c r="TZB39" s="8"/>
      <c r="TZC39" s="8"/>
      <c r="TZD39" s="8"/>
      <c r="TZE39" s="8"/>
      <c r="TZF39" s="8"/>
      <c r="TZG39" s="8"/>
      <c r="TZH39" s="8"/>
      <c r="TZI39" s="8"/>
      <c r="TZJ39" s="8"/>
      <c r="TZK39" s="8"/>
      <c r="TZL39" s="8"/>
      <c r="TZM39" s="8"/>
      <c r="TZN39" s="8"/>
      <c r="TZO39" s="8"/>
      <c r="TZP39" s="8"/>
      <c r="TZQ39" s="8"/>
      <c r="TZR39" s="8"/>
      <c r="TZS39" s="8"/>
      <c r="TZT39" s="8"/>
      <c r="TZU39" s="8"/>
      <c r="TZV39" s="8"/>
      <c r="TZW39" s="8"/>
      <c r="TZX39" s="8"/>
      <c r="TZY39" s="8"/>
      <c r="TZZ39" s="8"/>
      <c r="UAA39" s="8"/>
      <c r="UAB39" s="8"/>
      <c r="UAC39" s="8"/>
      <c r="UAD39" s="8"/>
      <c r="UAE39" s="8"/>
      <c r="UAF39" s="8"/>
      <c r="UAG39" s="8"/>
      <c r="UAH39" s="8"/>
      <c r="UAI39" s="8"/>
      <c r="UAJ39" s="8"/>
      <c r="UAK39" s="8"/>
      <c r="UAL39" s="8"/>
      <c r="UAM39" s="8"/>
      <c r="UAN39" s="8"/>
      <c r="UAO39" s="8"/>
      <c r="UAP39" s="8"/>
      <c r="UAQ39" s="8"/>
      <c r="UAR39" s="8"/>
      <c r="UAS39" s="8"/>
      <c r="UAT39" s="8"/>
      <c r="UAU39" s="8"/>
      <c r="UAV39" s="8"/>
      <c r="UAW39" s="8"/>
      <c r="UAX39" s="8"/>
      <c r="UAY39" s="8"/>
      <c r="UAZ39" s="8"/>
      <c r="UBA39" s="8"/>
      <c r="UBB39" s="8"/>
      <c r="UBC39" s="8"/>
      <c r="UBD39" s="8"/>
      <c r="UBE39" s="8"/>
      <c r="UBF39" s="8"/>
      <c r="UBG39" s="8"/>
      <c r="UBH39" s="8"/>
      <c r="UBI39" s="8"/>
      <c r="UBJ39" s="8"/>
      <c r="UBK39" s="8"/>
      <c r="UBL39" s="8"/>
      <c r="UBM39" s="8"/>
      <c r="UBN39" s="8"/>
      <c r="UBO39" s="8"/>
      <c r="UBP39" s="8"/>
      <c r="UBQ39" s="8"/>
      <c r="UBR39" s="8"/>
      <c r="UBS39" s="8"/>
      <c r="UBT39" s="8"/>
      <c r="UBU39" s="8"/>
      <c r="UBV39" s="8"/>
      <c r="UBW39" s="8"/>
      <c r="UBX39" s="8"/>
      <c r="UBY39" s="8"/>
      <c r="UBZ39" s="8"/>
      <c r="UCA39" s="8"/>
      <c r="UCB39" s="8"/>
      <c r="UCC39" s="8"/>
      <c r="UCD39" s="8"/>
      <c r="UCE39" s="8"/>
      <c r="UCF39" s="8"/>
      <c r="UCG39" s="8"/>
      <c r="UCH39" s="8"/>
      <c r="UCI39" s="8"/>
      <c r="UCJ39" s="8"/>
      <c r="UCK39" s="8"/>
      <c r="UCL39" s="8"/>
      <c r="UCM39" s="8"/>
      <c r="UCN39" s="8"/>
      <c r="UCO39" s="8"/>
      <c r="UCP39" s="8"/>
      <c r="UCQ39" s="8"/>
      <c r="UCR39" s="8"/>
      <c r="UCS39" s="8"/>
      <c r="UCT39" s="8"/>
      <c r="UCU39" s="8"/>
      <c r="UCV39" s="8"/>
      <c r="UCW39" s="8"/>
      <c r="UCX39" s="8"/>
      <c r="UCY39" s="8"/>
      <c r="UCZ39" s="8"/>
      <c r="UDA39" s="8"/>
      <c r="UDB39" s="8"/>
      <c r="UDC39" s="8"/>
      <c r="UDD39" s="8"/>
      <c r="UDE39" s="8"/>
      <c r="UDF39" s="8"/>
      <c r="UDG39" s="8"/>
      <c r="UDH39" s="8"/>
      <c r="UDI39" s="8"/>
      <c r="UDJ39" s="8"/>
      <c r="UDK39" s="8"/>
      <c r="UDL39" s="8"/>
      <c r="UDM39" s="8"/>
      <c r="UDN39" s="8"/>
      <c r="UDO39" s="8"/>
      <c r="UDP39" s="8"/>
      <c r="UDQ39" s="8"/>
      <c r="UDR39" s="8"/>
      <c r="UDS39" s="8"/>
      <c r="UDT39" s="8"/>
      <c r="UDU39" s="8"/>
      <c r="UDV39" s="8"/>
      <c r="UDW39" s="8"/>
      <c r="UDX39" s="8"/>
      <c r="UDY39" s="8"/>
      <c r="UDZ39" s="8"/>
      <c r="UEA39" s="8"/>
      <c r="UEB39" s="8"/>
      <c r="UEC39" s="8"/>
      <c r="UED39" s="8"/>
      <c r="UEE39" s="8"/>
      <c r="UEF39" s="8"/>
      <c r="UEG39" s="8"/>
      <c r="UEH39" s="8"/>
      <c r="UEI39" s="8"/>
      <c r="UEJ39" s="8"/>
      <c r="UEK39" s="8"/>
      <c r="UEL39" s="8"/>
      <c r="UEM39" s="8"/>
      <c r="UEN39" s="8"/>
      <c r="UEO39" s="8"/>
      <c r="UEP39" s="8"/>
      <c r="UEQ39" s="8"/>
      <c r="UER39" s="8"/>
      <c r="UES39" s="8"/>
      <c r="UET39" s="8"/>
      <c r="UEU39" s="8"/>
      <c r="UEV39" s="8"/>
      <c r="UEW39" s="8"/>
      <c r="UEX39" s="8"/>
      <c r="UEY39" s="8"/>
      <c r="UEZ39" s="8"/>
      <c r="UFA39" s="8"/>
      <c r="UFB39" s="8"/>
      <c r="UFC39" s="8"/>
      <c r="UFD39" s="8"/>
      <c r="UFE39" s="8"/>
      <c r="UFF39" s="8"/>
      <c r="UFG39" s="8"/>
      <c r="UFH39" s="8"/>
      <c r="UFI39" s="8"/>
      <c r="UFJ39" s="8"/>
      <c r="UFK39" s="8"/>
      <c r="UFL39" s="8"/>
      <c r="UFM39" s="8"/>
      <c r="UFN39" s="8"/>
      <c r="UFO39" s="8"/>
      <c r="UFP39" s="8"/>
      <c r="UFQ39" s="8"/>
      <c r="UFR39" s="8"/>
      <c r="UFS39" s="8"/>
      <c r="UFT39" s="8"/>
      <c r="UFU39" s="8"/>
      <c r="UFV39" s="8"/>
      <c r="UFW39" s="8"/>
      <c r="UFX39" s="8"/>
      <c r="UFY39" s="8"/>
      <c r="UFZ39" s="8"/>
      <c r="UGA39" s="8"/>
      <c r="UGB39" s="8"/>
      <c r="UGC39" s="8"/>
      <c r="UGD39" s="8"/>
      <c r="UGE39" s="8"/>
      <c r="UGF39" s="8"/>
      <c r="UGG39" s="8"/>
      <c r="UGH39" s="8"/>
      <c r="UGI39" s="8"/>
      <c r="UGJ39" s="8"/>
      <c r="UGK39" s="8"/>
      <c r="UGL39" s="8"/>
      <c r="UGM39" s="8"/>
      <c r="UGN39" s="8"/>
      <c r="UGO39" s="8"/>
      <c r="UGP39" s="8"/>
      <c r="UGQ39" s="8"/>
      <c r="UGR39" s="8"/>
      <c r="UGS39" s="8"/>
      <c r="UGT39" s="8"/>
      <c r="UGU39" s="8"/>
      <c r="UGV39" s="8"/>
      <c r="UGW39" s="8"/>
      <c r="UGX39" s="8"/>
      <c r="UGY39" s="8"/>
      <c r="UGZ39" s="8"/>
      <c r="UHA39" s="8"/>
      <c r="UHB39" s="8"/>
      <c r="UHC39" s="8"/>
      <c r="UHD39" s="8"/>
      <c r="UHE39" s="8"/>
      <c r="UHF39" s="8"/>
      <c r="UHG39" s="8"/>
      <c r="UHH39" s="8"/>
      <c r="UHI39" s="8"/>
      <c r="UHJ39" s="8"/>
      <c r="UHK39" s="8"/>
      <c r="UHL39" s="8"/>
      <c r="UHM39" s="8"/>
      <c r="UHN39" s="8"/>
      <c r="UHO39" s="8"/>
      <c r="UHP39" s="8"/>
      <c r="UHQ39" s="8"/>
      <c r="UHR39" s="8"/>
      <c r="UHS39" s="8"/>
      <c r="UHT39" s="8"/>
      <c r="UHU39" s="8"/>
      <c r="UHV39" s="8"/>
      <c r="UHW39" s="8"/>
      <c r="UHX39" s="8"/>
      <c r="UHY39" s="8"/>
      <c r="UHZ39" s="8"/>
      <c r="UIA39" s="8"/>
      <c r="UIB39" s="8"/>
      <c r="UIC39" s="8"/>
      <c r="UID39" s="8"/>
      <c r="UIE39" s="8"/>
      <c r="UIF39" s="8"/>
      <c r="UIG39" s="8"/>
      <c r="UIH39" s="8"/>
      <c r="UII39" s="8"/>
      <c r="UIJ39" s="8"/>
      <c r="UIK39" s="8"/>
      <c r="UIL39" s="8"/>
      <c r="UIM39" s="8"/>
      <c r="UIN39" s="8"/>
      <c r="UIO39" s="8"/>
      <c r="UIP39" s="8"/>
      <c r="UIQ39" s="8"/>
      <c r="UIR39" s="8"/>
      <c r="UIS39" s="8"/>
      <c r="UIT39" s="8"/>
      <c r="UIU39" s="8"/>
      <c r="UIV39" s="8"/>
      <c r="UIW39" s="8"/>
      <c r="UIX39" s="8"/>
      <c r="UIY39" s="8"/>
      <c r="UIZ39" s="8"/>
      <c r="UJA39" s="8"/>
      <c r="UJB39" s="8"/>
      <c r="UJC39" s="8"/>
      <c r="UJD39" s="8"/>
      <c r="UJE39" s="8"/>
      <c r="UJF39" s="8"/>
      <c r="UJG39" s="8"/>
      <c r="UJH39" s="8"/>
      <c r="UJI39" s="8"/>
      <c r="UJJ39" s="8"/>
      <c r="UJK39" s="8"/>
      <c r="UJL39" s="8"/>
      <c r="UJM39" s="8"/>
      <c r="UJN39" s="8"/>
      <c r="UJO39" s="8"/>
      <c r="UJP39" s="8"/>
      <c r="UJQ39" s="8"/>
      <c r="UJR39" s="8"/>
      <c r="UJS39" s="8"/>
      <c r="UJT39" s="8"/>
      <c r="UJU39" s="8"/>
      <c r="UJV39" s="8"/>
      <c r="UJW39" s="8"/>
      <c r="UJX39" s="8"/>
      <c r="UJY39" s="8"/>
      <c r="UJZ39" s="8"/>
      <c r="UKA39" s="8"/>
      <c r="UKB39" s="8"/>
      <c r="UKC39" s="8"/>
      <c r="UKD39" s="8"/>
      <c r="UKE39" s="8"/>
      <c r="UKF39" s="8"/>
      <c r="UKG39" s="8"/>
      <c r="UKH39" s="8"/>
      <c r="UKI39" s="8"/>
      <c r="UKJ39" s="8"/>
      <c r="UKK39" s="8"/>
      <c r="UKL39" s="8"/>
      <c r="UKM39" s="8"/>
      <c r="UKN39" s="8"/>
      <c r="UKO39" s="8"/>
      <c r="UKP39" s="8"/>
      <c r="UKQ39" s="8"/>
      <c r="UKR39" s="8"/>
      <c r="UKS39" s="8"/>
      <c r="UKT39" s="8"/>
      <c r="UKU39" s="8"/>
      <c r="UKV39" s="8"/>
      <c r="UKW39" s="8"/>
      <c r="UKX39" s="8"/>
      <c r="UKY39" s="8"/>
      <c r="UKZ39" s="8"/>
      <c r="ULA39" s="8"/>
      <c r="ULB39" s="8"/>
      <c r="ULC39" s="8"/>
      <c r="ULD39" s="8"/>
      <c r="ULE39" s="8"/>
      <c r="ULF39" s="8"/>
      <c r="ULG39" s="8"/>
      <c r="ULH39" s="8"/>
      <c r="ULI39" s="8"/>
      <c r="ULJ39" s="8"/>
      <c r="ULK39" s="8"/>
      <c r="ULL39" s="8"/>
      <c r="ULM39" s="8"/>
      <c r="ULN39" s="8"/>
      <c r="ULO39" s="8"/>
      <c r="ULP39" s="8"/>
      <c r="ULQ39" s="8"/>
      <c r="ULR39" s="8"/>
      <c r="ULS39" s="8"/>
      <c r="ULT39" s="8"/>
      <c r="ULU39" s="8"/>
      <c r="ULV39" s="8"/>
      <c r="ULW39" s="8"/>
      <c r="ULX39" s="8"/>
      <c r="ULY39" s="8"/>
      <c r="ULZ39" s="8"/>
      <c r="UMA39" s="8"/>
      <c r="UMB39" s="8"/>
      <c r="UMC39" s="8"/>
      <c r="UMD39" s="8"/>
      <c r="UME39" s="8"/>
      <c r="UMF39" s="8"/>
      <c r="UMG39" s="8"/>
      <c r="UMH39" s="8"/>
      <c r="UMI39" s="8"/>
      <c r="UMJ39" s="8"/>
      <c r="UMK39" s="8"/>
      <c r="UML39" s="8"/>
      <c r="UMM39" s="8"/>
      <c r="UMN39" s="8"/>
      <c r="UMO39" s="8"/>
      <c r="UMP39" s="8"/>
      <c r="UMQ39" s="8"/>
      <c r="UMR39" s="8"/>
      <c r="UMS39" s="8"/>
      <c r="UMT39" s="8"/>
      <c r="UMU39" s="8"/>
      <c r="UMV39" s="8"/>
      <c r="UMW39" s="8"/>
      <c r="UMX39" s="8"/>
      <c r="UMY39" s="8"/>
      <c r="UMZ39" s="8"/>
      <c r="UNA39" s="8"/>
      <c r="UNB39" s="8"/>
      <c r="UNC39" s="8"/>
      <c r="UND39" s="8"/>
      <c r="UNE39" s="8"/>
      <c r="UNF39" s="8"/>
      <c r="UNG39" s="8"/>
      <c r="UNH39" s="8"/>
      <c r="UNI39" s="8"/>
      <c r="UNJ39" s="8"/>
      <c r="UNK39" s="8"/>
      <c r="UNL39" s="8"/>
      <c r="UNM39" s="8"/>
      <c r="UNN39" s="8"/>
      <c r="UNO39" s="8"/>
      <c r="UNP39" s="8"/>
      <c r="UNQ39" s="8"/>
      <c r="UNR39" s="8"/>
      <c r="UNS39" s="8"/>
      <c r="UNT39" s="8"/>
      <c r="UNU39" s="8"/>
      <c r="UNV39" s="8"/>
      <c r="UNW39" s="8"/>
      <c r="UNX39" s="8"/>
      <c r="UNY39" s="8"/>
      <c r="UNZ39" s="8"/>
      <c r="UOA39" s="8"/>
      <c r="UOB39" s="8"/>
      <c r="UOC39" s="8"/>
      <c r="UOD39" s="8"/>
      <c r="UOE39" s="8"/>
      <c r="UOF39" s="8"/>
      <c r="UOG39" s="8"/>
      <c r="UOH39" s="8"/>
      <c r="UOI39" s="8"/>
      <c r="UOJ39" s="8"/>
      <c r="UOK39" s="8"/>
      <c r="UOL39" s="8"/>
      <c r="UOM39" s="8"/>
      <c r="UON39" s="8"/>
      <c r="UOO39" s="8"/>
      <c r="UOP39" s="8"/>
      <c r="UOQ39" s="8"/>
      <c r="UOR39" s="8"/>
      <c r="UOS39" s="8"/>
      <c r="UOT39" s="8"/>
      <c r="UOU39" s="8"/>
      <c r="UOV39" s="8"/>
      <c r="UOW39" s="8"/>
      <c r="UOX39" s="8"/>
      <c r="UOY39" s="8"/>
      <c r="UOZ39" s="8"/>
      <c r="UPA39" s="8"/>
      <c r="UPB39" s="8"/>
      <c r="UPC39" s="8"/>
      <c r="UPD39" s="8"/>
      <c r="UPE39" s="8"/>
      <c r="UPF39" s="8"/>
      <c r="UPG39" s="8"/>
      <c r="UPH39" s="8"/>
      <c r="UPI39" s="8"/>
      <c r="UPJ39" s="8"/>
      <c r="UPK39" s="8"/>
      <c r="UPL39" s="8"/>
      <c r="UPM39" s="8"/>
      <c r="UPN39" s="8"/>
      <c r="UPO39" s="8"/>
      <c r="UPP39" s="8"/>
      <c r="UPQ39" s="8"/>
      <c r="UPR39" s="8"/>
      <c r="UPS39" s="8"/>
      <c r="UPT39" s="8"/>
      <c r="UPU39" s="8"/>
      <c r="UPV39" s="8"/>
      <c r="UPW39" s="8"/>
      <c r="UPX39" s="8"/>
      <c r="UPY39" s="8"/>
      <c r="UPZ39" s="8"/>
      <c r="UQA39" s="8"/>
      <c r="UQB39" s="8"/>
      <c r="UQC39" s="8"/>
      <c r="UQD39" s="8"/>
      <c r="UQE39" s="8"/>
      <c r="UQF39" s="8"/>
      <c r="UQG39" s="8"/>
      <c r="UQH39" s="8"/>
      <c r="UQI39" s="8"/>
      <c r="UQJ39" s="8"/>
      <c r="UQK39" s="8"/>
      <c r="UQL39" s="8"/>
      <c r="UQM39" s="8"/>
      <c r="UQN39" s="8"/>
      <c r="UQO39" s="8"/>
      <c r="UQP39" s="8"/>
      <c r="UQQ39" s="8"/>
      <c r="UQR39" s="8"/>
      <c r="UQS39" s="8"/>
      <c r="UQT39" s="8"/>
      <c r="UQU39" s="8"/>
      <c r="UQV39" s="8"/>
      <c r="UQW39" s="8"/>
      <c r="UQX39" s="8"/>
      <c r="UQY39" s="8"/>
      <c r="UQZ39" s="8"/>
      <c r="URA39" s="8"/>
      <c r="URB39" s="8"/>
      <c r="URC39" s="8"/>
      <c r="URD39" s="8"/>
      <c r="URE39" s="8"/>
      <c r="URF39" s="8"/>
      <c r="URG39" s="8"/>
      <c r="URH39" s="8"/>
      <c r="URI39" s="8"/>
      <c r="URJ39" s="8"/>
      <c r="URK39" s="8"/>
      <c r="URL39" s="8"/>
      <c r="URM39" s="8"/>
      <c r="URN39" s="8"/>
      <c r="URO39" s="8"/>
      <c r="URP39" s="8"/>
      <c r="URQ39" s="8"/>
      <c r="URR39" s="8"/>
      <c r="URS39" s="8"/>
      <c r="URT39" s="8"/>
      <c r="URU39" s="8"/>
      <c r="URV39" s="8"/>
      <c r="URW39" s="8"/>
      <c r="URX39" s="8"/>
      <c r="URY39" s="8"/>
      <c r="URZ39" s="8"/>
      <c r="USA39" s="8"/>
      <c r="USB39" s="8"/>
      <c r="USC39" s="8"/>
      <c r="USD39" s="8"/>
      <c r="USE39" s="8"/>
      <c r="USF39" s="8"/>
      <c r="USG39" s="8"/>
      <c r="USH39" s="8"/>
      <c r="USI39" s="8"/>
      <c r="USJ39" s="8"/>
      <c r="USK39" s="8"/>
      <c r="USL39" s="8"/>
      <c r="USM39" s="8"/>
      <c r="USN39" s="8"/>
      <c r="USO39" s="8"/>
      <c r="USP39" s="8"/>
      <c r="USQ39" s="8"/>
      <c r="USR39" s="8"/>
      <c r="USS39" s="8"/>
      <c r="UST39" s="8"/>
      <c r="USU39" s="8"/>
      <c r="USV39" s="8"/>
      <c r="USW39" s="8"/>
      <c r="USX39" s="8"/>
      <c r="USY39" s="8"/>
      <c r="USZ39" s="8"/>
      <c r="UTA39" s="8"/>
      <c r="UTB39" s="8"/>
      <c r="UTC39" s="8"/>
      <c r="UTD39" s="8"/>
      <c r="UTE39" s="8"/>
      <c r="UTF39" s="8"/>
      <c r="UTG39" s="8"/>
      <c r="UTH39" s="8"/>
      <c r="UTI39" s="8"/>
      <c r="UTJ39" s="8"/>
      <c r="UTK39" s="8"/>
      <c r="UTL39" s="8"/>
      <c r="UTM39" s="8"/>
      <c r="UTN39" s="8"/>
      <c r="UTO39" s="8"/>
      <c r="UTP39" s="8"/>
      <c r="UTQ39" s="8"/>
      <c r="UTR39" s="8"/>
      <c r="UTS39" s="8"/>
      <c r="UTT39" s="8"/>
      <c r="UTU39" s="8"/>
      <c r="UTV39" s="8"/>
      <c r="UTW39" s="8"/>
      <c r="UTX39" s="8"/>
      <c r="UTY39" s="8"/>
      <c r="UTZ39" s="8"/>
      <c r="UUA39" s="8"/>
      <c r="UUB39" s="8"/>
      <c r="UUC39" s="8"/>
      <c r="UUD39" s="8"/>
      <c r="UUE39" s="8"/>
      <c r="UUF39" s="8"/>
      <c r="UUG39" s="8"/>
      <c r="UUH39" s="8"/>
      <c r="UUI39" s="8"/>
      <c r="UUJ39" s="8"/>
      <c r="UUK39" s="8"/>
      <c r="UUL39" s="8"/>
      <c r="UUM39" s="8"/>
      <c r="UUN39" s="8"/>
      <c r="UUO39" s="8"/>
      <c r="UUP39" s="8"/>
      <c r="UUQ39" s="8"/>
      <c r="UUR39" s="8"/>
      <c r="UUS39" s="8"/>
      <c r="UUT39" s="8"/>
      <c r="UUU39" s="8"/>
      <c r="UUV39" s="8"/>
      <c r="UUW39" s="8"/>
      <c r="UUX39" s="8"/>
      <c r="UUY39" s="8"/>
      <c r="UUZ39" s="8"/>
      <c r="UVA39" s="8"/>
      <c r="UVB39" s="8"/>
      <c r="UVC39" s="8"/>
      <c r="UVD39" s="8"/>
      <c r="UVE39" s="8"/>
      <c r="UVF39" s="8"/>
      <c r="UVG39" s="8"/>
      <c r="UVH39" s="8"/>
      <c r="UVI39" s="8"/>
      <c r="UVJ39" s="8"/>
      <c r="UVK39" s="8"/>
      <c r="UVL39" s="8"/>
      <c r="UVM39" s="8"/>
      <c r="UVN39" s="8"/>
      <c r="UVO39" s="8"/>
      <c r="UVP39" s="8"/>
      <c r="UVQ39" s="8"/>
      <c r="UVR39" s="8"/>
      <c r="UVS39" s="8"/>
      <c r="UVT39" s="8"/>
      <c r="UVU39" s="8"/>
      <c r="UVV39" s="8"/>
      <c r="UVW39" s="8"/>
      <c r="UVX39" s="8"/>
      <c r="UVY39" s="8"/>
      <c r="UVZ39" s="8"/>
      <c r="UWA39" s="8"/>
      <c r="UWB39" s="8"/>
      <c r="UWC39" s="8"/>
      <c r="UWD39" s="8"/>
      <c r="UWE39" s="8"/>
      <c r="UWF39" s="8"/>
      <c r="UWG39" s="8"/>
      <c r="UWH39" s="8"/>
      <c r="UWI39" s="8"/>
      <c r="UWJ39" s="8"/>
      <c r="UWK39" s="8"/>
      <c r="UWL39" s="8"/>
      <c r="UWM39" s="8"/>
      <c r="UWN39" s="8"/>
      <c r="UWO39" s="8"/>
      <c r="UWP39" s="8"/>
      <c r="UWQ39" s="8"/>
      <c r="UWR39" s="8"/>
      <c r="UWS39" s="8"/>
      <c r="UWT39" s="8"/>
      <c r="UWU39" s="8"/>
      <c r="UWV39" s="8"/>
      <c r="UWW39" s="8"/>
      <c r="UWX39" s="8"/>
      <c r="UWY39" s="8"/>
      <c r="UWZ39" s="8"/>
      <c r="UXA39" s="8"/>
      <c r="UXB39" s="8"/>
      <c r="UXC39" s="8"/>
      <c r="UXD39" s="8"/>
      <c r="UXE39" s="8"/>
      <c r="UXF39" s="8"/>
      <c r="UXG39" s="8"/>
      <c r="UXH39" s="8"/>
      <c r="UXI39" s="8"/>
      <c r="UXJ39" s="8"/>
      <c r="UXK39" s="8"/>
      <c r="UXL39" s="8"/>
      <c r="UXM39" s="8"/>
      <c r="UXN39" s="8"/>
      <c r="UXO39" s="8"/>
      <c r="UXP39" s="8"/>
      <c r="UXQ39" s="8"/>
      <c r="UXR39" s="8"/>
      <c r="UXS39" s="8"/>
      <c r="UXT39" s="8"/>
      <c r="UXU39" s="8"/>
      <c r="UXV39" s="8"/>
      <c r="UXW39" s="8"/>
      <c r="UXX39" s="8"/>
      <c r="UXY39" s="8"/>
      <c r="UXZ39" s="8"/>
      <c r="UYA39" s="8"/>
      <c r="UYB39" s="8"/>
      <c r="UYC39" s="8"/>
      <c r="UYD39" s="8"/>
      <c r="UYE39" s="8"/>
      <c r="UYF39" s="8"/>
      <c r="UYG39" s="8"/>
      <c r="UYH39" s="8"/>
      <c r="UYI39" s="8"/>
      <c r="UYJ39" s="8"/>
      <c r="UYK39" s="8"/>
      <c r="UYL39" s="8"/>
      <c r="UYM39" s="8"/>
      <c r="UYN39" s="8"/>
      <c r="UYO39" s="8"/>
      <c r="UYP39" s="8"/>
      <c r="UYQ39" s="8"/>
      <c r="UYR39" s="8"/>
      <c r="UYS39" s="8"/>
      <c r="UYT39" s="8"/>
      <c r="UYU39" s="8"/>
      <c r="UYV39" s="8"/>
      <c r="UYW39" s="8"/>
      <c r="UYX39" s="8"/>
      <c r="UYY39" s="8"/>
      <c r="UYZ39" s="8"/>
      <c r="UZA39" s="8"/>
      <c r="UZB39" s="8"/>
      <c r="UZC39" s="8"/>
      <c r="UZD39" s="8"/>
      <c r="UZE39" s="8"/>
      <c r="UZF39" s="8"/>
      <c r="UZG39" s="8"/>
      <c r="UZH39" s="8"/>
      <c r="UZI39" s="8"/>
      <c r="UZJ39" s="8"/>
      <c r="UZK39" s="8"/>
      <c r="UZL39" s="8"/>
      <c r="UZM39" s="8"/>
      <c r="UZN39" s="8"/>
      <c r="UZO39" s="8"/>
      <c r="UZP39" s="8"/>
      <c r="UZQ39" s="8"/>
      <c r="UZR39" s="8"/>
      <c r="UZS39" s="8"/>
      <c r="UZT39" s="8"/>
      <c r="UZU39" s="8"/>
      <c r="UZV39" s="8"/>
      <c r="UZW39" s="8"/>
      <c r="UZX39" s="8"/>
      <c r="UZY39" s="8"/>
      <c r="UZZ39" s="8"/>
      <c r="VAA39" s="8"/>
      <c r="VAB39" s="8"/>
      <c r="VAC39" s="8"/>
      <c r="VAD39" s="8"/>
      <c r="VAE39" s="8"/>
      <c r="VAF39" s="8"/>
      <c r="VAG39" s="8"/>
      <c r="VAH39" s="8"/>
      <c r="VAI39" s="8"/>
      <c r="VAJ39" s="8"/>
      <c r="VAK39" s="8"/>
      <c r="VAL39" s="8"/>
      <c r="VAM39" s="8"/>
      <c r="VAN39" s="8"/>
      <c r="VAO39" s="8"/>
      <c r="VAP39" s="8"/>
      <c r="VAQ39" s="8"/>
      <c r="VAR39" s="8"/>
      <c r="VAS39" s="8"/>
      <c r="VAT39" s="8"/>
      <c r="VAU39" s="8"/>
      <c r="VAV39" s="8"/>
      <c r="VAW39" s="8"/>
      <c r="VAX39" s="8"/>
      <c r="VAY39" s="8"/>
      <c r="VAZ39" s="8"/>
      <c r="VBA39" s="8"/>
      <c r="VBB39" s="8"/>
      <c r="VBC39" s="8"/>
      <c r="VBD39" s="8"/>
      <c r="VBE39" s="8"/>
      <c r="VBF39" s="8"/>
      <c r="VBG39" s="8"/>
      <c r="VBH39" s="8"/>
      <c r="VBI39" s="8"/>
      <c r="VBJ39" s="8"/>
      <c r="VBK39" s="8"/>
      <c r="VBL39" s="8"/>
      <c r="VBM39" s="8"/>
      <c r="VBN39" s="8"/>
      <c r="VBO39" s="8"/>
      <c r="VBP39" s="8"/>
      <c r="VBQ39" s="8"/>
      <c r="VBR39" s="8"/>
      <c r="VBS39" s="8"/>
      <c r="VBT39" s="8"/>
      <c r="VBU39" s="8"/>
      <c r="VBV39" s="8"/>
      <c r="VBW39" s="8"/>
      <c r="VBX39" s="8"/>
      <c r="VBY39" s="8"/>
      <c r="VBZ39" s="8"/>
      <c r="VCA39" s="8"/>
      <c r="VCB39" s="8"/>
      <c r="VCC39" s="8"/>
      <c r="VCD39" s="8"/>
      <c r="VCE39" s="8"/>
      <c r="VCF39" s="8"/>
      <c r="VCG39" s="8"/>
      <c r="VCH39" s="8"/>
      <c r="VCI39" s="8"/>
      <c r="VCJ39" s="8"/>
      <c r="VCK39" s="8"/>
      <c r="VCL39" s="8"/>
      <c r="VCM39" s="8"/>
      <c r="VCN39" s="8"/>
      <c r="VCO39" s="8"/>
      <c r="VCP39" s="8"/>
      <c r="VCQ39" s="8"/>
      <c r="VCR39" s="8"/>
      <c r="VCS39" s="8"/>
      <c r="VCT39" s="8"/>
      <c r="VCU39" s="8"/>
      <c r="VCV39" s="8"/>
      <c r="VCW39" s="8"/>
      <c r="VCX39" s="8"/>
      <c r="VCY39" s="8"/>
      <c r="VCZ39" s="8"/>
      <c r="VDA39" s="8"/>
      <c r="VDB39" s="8"/>
      <c r="VDC39" s="8"/>
      <c r="VDD39" s="8"/>
      <c r="VDE39" s="8"/>
      <c r="VDF39" s="8"/>
      <c r="VDG39" s="8"/>
      <c r="VDH39" s="8"/>
      <c r="VDI39" s="8"/>
      <c r="VDJ39" s="8"/>
      <c r="VDK39" s="8"/>
      <c r="VDL39" s="8"/>
      <c r="VDM39" s="8"/>
      <c r="VDN39" s="8"/>
      <c r="VDO39" s="8"/>
      <c r="VDP39" s="8"/>
      <c r="VDQ39" s="8"/>
      <c r="VDR39" s="8"/>
      <c r="VDS39" s="8"/>
      <c r="VDT39" s="8"/>
      <c r="VDU39" s="8"/>
      <c r="VDV39" s="8"/>
      <c r="VDW39" s="8"/>
      <c r="VDX39" s="8"/>
      <c r="VDY39" s="8"/>
      <c r="VDZ39" s="8"/>
      <c r="VEA39" s="8"/>
      <c r="VEB39" s="8"/>
      <c r="VEC39" s="8"/>
      <c r="VED39" s="8"/>
      <c r="VEE39" s="8"/>
      <c r="VEF39" s="8"/>
      <c r="VEG39" s="8"/>
      <c r="VEH39" s="8"/>
      <c r="VEI39" s="8"/>
      <c r="VEJ39" s="8"/>
      <c r="VEK39" s="8"/>
      <c r="VEL39" s="8"/>
      <c r="VEM39" s="8"/>
      <c r="VEN39" s="8"/>
      <c r="VEO39" s="8"/>
      <c r="VEP39" s="8"/>
      <c r="VEQ39" s="8"/>
      <c r="VER39" s="8"/>
      <c r="VES39" s="8"/>
      <c r="VET39" s="8"/>
      <c r="VEU39" s="8"/>
      <c r="VEV39" s="8"/>
      <c r="VEW39" s="8"/>
      <c r="VEX39" s="8"/>
      <c r="VEY39" s="8"/>
      <c r="VEZ39" s="8"/>
      <c r="VFA39" s="8"/>
      <c r="VFB39" s="8"/>
      <c r="VFC39" s="8"/>
      <c r="VFD39" s="8"/>
      <c r="VFE39" s="8"/>
      <c r="VFF39" s="8"/>
      <c r="VFG39" s="8"/>
      <c r="VFH39" s="8"/>
      <c r="VFI39" s="8"/>
      <c r="VFJ39" s="8"/>
      <c r="VFK39" s="8"/>
      <c r="VFL39" s="8"/>
      <c r="VFM39" s="8"/>
      <c r="VFN39" s="8"/>
      <c r="VFO39" s="8"/>
      <c r="VFP39" s="8"/>
      <c r="VFQ39" s="8"/>
      <c r="VFR39" s="8"/>
      <c r="VFS39" s="8"/>
      <c r="VFT39" s="8"/>
      <c r="VFU39" s="8"/>
      <c r="VFV39" s="8"/>
      <c r="VFW39" s="8"/>
      <c r="VFX39" s="8"/>
      <c r="VFY39" s="8"/>
      <c r="VFZ39" s="8"/>
      <c r="VGA39" s="8"/>
      <c r="VGB39" s="8"/>
      <c r="VGC39" s="8"/>
      <c r="VGD39" s="8"/>
      <c r="VGE39" s="8"/>
      <c r="VGF39" s="8"/>
      <c r="VGG39" s="8"/>
      <c r="VGH39" s="8"/>
      <c r="VGI39" s="8"/>
      <c r="VGJ39" s="8"/>
      <c r="VGK39" s="8"/>
      <c r="VGL39" s="8"/>
      <c r="VGM39" s="8"/>
      <c r="VGN39" s="8"/>
      <c r="VGO39" s="8"/>
      <c r="VGP39" s="8"/>
      <c r="VGQ39" s="8"/>
      <c r="VGR39" s="8"/>
      <c r="VGS39" s="8"/>
      <c r="VGT39" s="8"/>
      <c r="VGU39" s="8"/>
      <c r="VGV39" s="8"/>
      <c r="VGW39" s="8"/>
      <c r="VGX39" s="8"/>
      <c r="VGY39" s="8"/>
      <c r="VGZ39" s="8"/>
      <c r="VHA39" s="8"/>
      <c r="VHB39" s="8"/>
      <c r="VHC39" s="8"/>
      <c r="VHD39" s="8"/>
      <c r="VHE39" s="8"/>
      <c r="VHF39" s="8"/>
      <c r="VHG39" s="8"/>
      <c r="VHH39" s="8"/>
      <c r="VHI39" s="8"/>
      <c r="VHJ39" s="8"/>
      <c r="VHK39" s="8"/>
      <c r="VHL39" s="8"/>
      <c r="VHM39" s="8"/>
      <c r="VHN39" s="8"/>
      <c r="VHO39" s="8"/>
      <c r="VHP39" s="8"/>
      <c r="VHQ39" s="8"/>
      <c r="VHR39" s="8"/>
      <c r="VHS39" s="8"/>
      <c r="VHT39" s="8"/>
      <c r="VHU39" s="8"/>
      <c r="VHV39" s="8"/>
      <c r="VHW39" s="8"/>
      <c r="VHX39" s="8"/>
      <c r="VHY39" s="8"/>
      <c r="VHZ39" s="8"/>
      <c r="VIA39" s="8"/>
      <c r="VIB39" s="8"/>
      <c r="VIC39" s="8"/>
      <c r="VID39" s="8"/>
      <c r="VIE39" s="8"/>
      <c r="VIF39" s="8"/>
      <c r="VIG39" s="8"/>
      <c r="VIH39" s="8"/>
      <c r="VII39" s="8"/>
      <c r="VIJ39" s="8"/>
      <c r="VIK39" s="8"/>
      <c r="VIL39" s="8"/>
      <c r="VIM39" s="8"/>
      <c r="VIN39" s="8"/>
      <c r="VIO39" s="8"/>
      <c r="VIP39" s="8"/>
      <c r="VIQ39" s="8"/>
      <c r="VIR39" s="8"/>
      <c r="VIS39" s="8"/>
      <c r="VIT39" s="8"/>
      <c r="VIU39" s="8"/>
      <c r="VIV39" s="8"/>
      <c r="VIW39" s="8"/>
      <c r="VIX39" s="8"/>
      <c r="VIY39" s="8"/>
      <c r="VIZ39" s="8"/>
      <c r="VJA39" s="8"/>
      <c r="VJB39" s="8"/>
      <c r="VJC39" s="8"/>
      <c r="VJD39" s="8"/>
      <c r="VJE39" s="8"/>
      <c r="VJF39" s="8"/>
      <c r="VJG39" s="8"/>
      <c r="VJH39" s="8"/>
      <c r="VJI39" s="8"/>
      <c r="VJJ39" s="8"/>
      <c r="VJK39" s="8"/>
      <c r="VJL39" s="8"/>
      <c r="VJM39" s="8"/>
      <c r="VJN39" s="8"/>
      <c r="VJO39" s="8"/>
      <c r="VJP39" s="8"/>
      <c r="VJQ39" s="8"/>
      <c r="VJR39" s="8"/>
      <c r="VJS39" s="8"/>
      <c r="VJT39" s="8"/>
      <c r="VJU39" s="8"/>
      <c r="VJV39" s="8"/>
      <c r="VJW39" s="8"/>
      <c r="VJX39" s="8"/>
      <c r="VJY39" s="8"/>
      <c r="VJZ39" s="8"/>
      <c r="VKA39" s="8"/>
      <c r="VKB39" s="8"/>
      <c r="VKC39" s="8"/>
      <c r="VKD39" s="8"/>
      <c r="VKE39" s="8"/>
      <c r="VKF39" s="8"/>
      <c r="VKG39" s="8"/>
      <c r="VKH39" s="8"/>
      <c r="VKI39" s="8"/>
      <c r="VKJ39" s="8"/>
      <c r="VKK39" s="8"/>
      <c r="VKL39" s="8"/>
      <c r="VKM39" s="8"/>
      <c r="VKN39" s="8"/>
      <c r="VKO39" s="8"/>
      <c r="VKP39" s="8"/>
      <c r="VKQ39" s="8"/>
      <c r="VKR39" s="8"/>
      <c r="VKS39" s="8"/>
      <c r="VKT39" s="8"/>
      <c r="VKU39" s="8"/>
      <c r="VKV39" s="8"/>
      <c r="VKW39" s="8"/>
      <c r="VKX39" s="8"/>
      <c r="VKY39" s="8"/>
      <c r="VKZ39" s="8"/>
      <c r="VLA39" s="8"/>
      <c r="VLB39" s="8"/>
      <c r="VLC39" s="8"/>
      <c r="VLD39" s="8"/>
      <c r="VLE39" s="8"/>
      <c r="VLF39" s="8"/>
      <c r="VLG39" s="8"/>
      <c r="VLH39" s="8"/>
      <c r="VLI39" s="8"/>
      <c r="VLJ39" s="8"/>
      <c r="VLK39" s="8"/>
      <c r="VLL39" s="8"/>
      <c r="VLM39" s="8"/>
      <c r="VLN39" s="8"/>
      <c r="VLO39" s="8"/>
      <c r="VLP39" s="8"/>
      <c r="VLQ39" s="8"/>
      <c r="VLR39" s="8"/>
      <c r="VLS39" s="8"/>
      <c r="VLT39" s="8"/>
      <c r="VLU39" s="8"/>
      <c r="VLV39" s="8"/>
      <c r="VLW39" s="8"/>
      <c r="VLX39" s="8"/>
      <c r="VLY39" s="8"/>
      <c r="VLZ39" s="8"/>
      <c r="VMA39" s="8"/>
      <c r="VMB39" s="8"/>
      <c r="VMC39" s="8"/>
      <c r="VMD39" s="8"/>
      <c r="VME39" s="8"/>
      <c r="VMF39" s="8"/>
      <c r="VMG39" s="8"/>
      <c r="VMH39" s="8"/>
      <c r="VMI39" s="8"/>
      <c r="VMJ39" s="8"/>
      <c r="VMK39" s="8"/>
      <c r="VML39" s="8"/>
      <c r="VMM39" s="8"/>
      <c r="VMN39" s="8"/>
      <c r="VMO39" s="8"/>
      <c r="VMP39" s="8"/>
      <c r="VMQ39" s="8"/>
      <c r="VMR39" s="8"/>
      <c r="VMS39" s="8"/>
      <c r="VMT39" s="8"/>
      <c r="VMU39" s="8"/>
      <c r="VMV39" s="8"/>
      <c r="VMW39" s="8"/>
      <c r="VMX39" s="8"/>
      <c r="VMY39" s="8"/>
      <c r="VMZ39" s="8"/>
      <c r="VNA39" s="8"/>
      <c r="VNB39" s="8"/>
      <c r="VNC39" s="8"/>
      <c r="VND39" s="8"/>
      <c r="VNE39" s="8"/>
      <c r="VNF39" s="8"/>
      <c r="VNG39" s="8"/>
      <c r="VNH39" s="8"/>
      <c r="VNI39" s="8"/>
      <c r="VNJ39" s="8"/>
      <c r="VNK39" s="8"/>
      <c r="VNL39" s="8"/>
      <c r="VNM39" s="8"/>
      <c r="VNN39" s="8"/>
      <c r="VNO39" s="8"/>
      <c r="VNP39" s="8"/>
      <c r="VNQ39" s="8"/>
      <c r="VNR39" s="8"/>
      <c r="VNS39" s="8"/>
      <c r="VNT39" s="8"/>
      <c r="VNU39" s="8"/>
      <c r="VNV39" s="8"/>
      <c r="VNW39" s="8"/>
      <c r="VNX39" s="8"/>
      <c r="VNY39" s="8"/>
      <c r="VNZ39" s="8"/>
      <c r="VOA39" s="8"/>
      <c r="VOB39" s="8"/>
      <c r="VOC39" s="8"/>
      <c r="VOD39" s="8"/>
      <c r="VOE39" s="8"/>
      <c r="VOF39" s="8"/>
      <c r="VOG39" s="8"/>
      <c r="VOH39" s="8"/>
      <c r="VOI39" s="8"/>
      <c r="VOJ39" s="8"/>
      <c r="VOK39" s="8"/>
      <c r="VOL39" s="8"/>
      <c r="VOM39" s="8"/>
      <c r="VON39" s="8"/>
      <c r="VOO39" s="8"/>
      <c r="VOP39" s="8"/>
      <c r="VOQ39" s="8"/>
      <c r="VOR39" s="8"/>
      <c r="VOS39" s="8"/>
      <c r="VOT39" s="8"/>
      <c r="VOU39" s="8"/>
      <c r="VOV39" s="8"/>
      <c r="VOW39" s="8"/>
      <c r="VOX39" s="8"/>
      <c r="VOY39" s="8"/>
      <c r="VOZ39" s="8"/>
      <c r="VPA39" s="8"/>
      <c r="VPB39" s="8"/>
      <c r="VPC39" s="8"/>
      <c r="VPD39" s="8"/>
      <c r="VPE39" s="8"/>
      <c r="VPF39" s="8"/>
      <c r="VPG39" s="8"/>
      <c r="VPH39" s="8"/>
      <c r="VPI39" s="8"/>
      <c r="VPJ39" s="8"/>
      <c r="VPK39" s="8"/>
      <c r="VPL39" s="8"/>
      <c r="VPM39" s="8"/>
      <c r="VPN39" s="8"/>
      <c r="VPO39" s="8"/>
      <c r="VPP39" s="8"/>
      <c r="VPQ39" s="8"/>
      <c r="VPR39" s="8"/>
      <c r="VPS39" s="8"/>
      <c r="VPT39" s="8"/>
      <c r="VPU39" s="8"/>
      <c r="VPV39" s="8"/>
      <c r="VPW39" s="8"/>
      <c r="VPX39" s="8"/>
      <c r="VPY39" s="8"/>
      <c r="VPZ39" s="8"/>
      <c r="VQA39" s="8"/>
      <c r="VQB39" s="8"/>
      <c r="VQC39" s="8"/>
      <c r="VQD39" s="8"/>
      <c r="VQE39" s="8"/>
      <c r="VQF39" s="8"/>
      <c r="VQG39" s="8"/>
      <c r="VQH39" s="8"/>
      <c r="VQI39" s="8"/>
      <c r="VQJ39" s="8"/>
      <c r="VQK39" s="8"/>
      <c r="VQL39" s="8"/>
      <c r="VQM39" s="8"/>
      <c r="VQN39" s="8"/>
      <c r="VQO39" s="8"/>
      <c r="VQP39" s="8"/>
      <c r="VQQ39" s="8"/>
      <c r="VQR39" s="8"/>
      <c r="VQS39" s="8"/>
      <c r="VQT39" s="8"/>
      <c r="VQU39" s="8"/>
      <c r="VQV39" s="8"/>
      <c r="VQW39" s="8"/>
      <c r="VQX39" s="8"/>
      <c r="VQY39" s="8"/>
      <c r="VQZ39" s="8"/>
      <c r="VRA39" s="8"/>
      <c r="VRB39" s="8"/>
      <c r="VRC39" s="8"/>
      <c r="VRD39" s="8"/>
      <c r="VRE39" s="8"/>
      <c r="VRF39" s="8"/>
      <c r="VRG39" s="8"/>
      <c r="VRH39" s="8"/>
      <c r="VRI39" s="8"/>
      <c r="VRJ39" s="8"/>
      <c r="VRK39" s="8"/>
      <c r="VRL39" s="8"/>
      <c r="VRM39" s="8"/>
      <c r="VRN39" s="8"/>
      <c r="VRO39" s="8"/>
      <c r="VRP39" s="8"/>
      <c r="VRQ39" s="8"/>
      <c r="VRR39" s="8"/>
      <c r="VRS39" s="8"/>
      <c r="VRT39" s="8"/>
      <c r="VRU39" s="8"/>
      <c r="VRV39" s="8"/>
      <c r="VRW39" s="8"/>
      <c r="VRX39" s="8"/>
      <c r="VRY39" s="8"/>
      <c r="VRZ39" s="8"/>
      <c r="VSA39" s="8"/>
      <c r="VSB39" s="8"/>
      <c r="VSC39" s="8"/>
      <c r="VSD39" s="8"/>
      <c r="VSE39" s="8"/>
      <c r="VSF39" s="8"/>
      <c r="VSG39" s="8"/>
      <c r="VSH39" s="8"/>
      <c r="VSI39" s="8"/>
      <c r="VSJ39" s="8"/>
      <c r="VSK39" s="8"/>
      <c r="VSL39" s="8"/>
      <c r="VSM39" s="8"/>
      <c r="VSN39" s="8"/>
      <c r="VSO39" s="8"/>
      <c r="VSP39" s="8"/>
      <c r="VSQ39" s="8"/>
      <c r="VSR39" s="8"/>
      <c r="VSS39" s="8"/>
      <c r="VST39" s="8"/>
      <c r="VSU39" s="8"/>
      <c r="VSV39" s="8"/>
      <c r="VSW39" s="8"/>
      <c r="VSX39" s="8"/>
      <c r="VSY39" s="8"/>
      <c r="VSZ39" s="8"/>
      <c r="VTA39" s="8"/>
      <c r="VTB39" s="8"/>
      <c r="VTC39" s="8"/>
      <c r="VTD39" s="8"/>
      <c r="VTE39" s="8"/>
      <c r="VTF39" s="8"/>
      <c r="VTG39" s="8"/>
      <c r="VTH39" s="8"/>
      <c r="VTI39" s="8"/>
      <c r="VTJ39" s="8"/>
      <c r="VTK39" s="8"/>
      <c r="VTL39" s="8"/>
      <c r="VTM39" s="8"/>
      <c r="VTN39" s="8"/>
      <c r="VTO39" s="8"/>
      <c r="VTP39" s="8"/>
      <c r="VTQ39" s="8"/>
      <c r="VTR39" s="8"/>
      <c r="VTS39" s="8"/>
      <c r="VTT39" s="8"/>
      <c r="VTU39" s="8"/>
      <c r="VTV39" s="8"/>
      <c r="VTW39" s="8"/>
      <c r="VTX39" s="8"/>
      <c r="VTY39" s="8"/>
      <c r="VTZ39" s="8"/>
      <c r="VUA39" s="8"/>
      <c r="VUB39" s="8"/>
      <c r="VUC39" s="8"/>
      <c r="VUD39" s="8"/>
      <c r="VUE39" s="8"/>
      <c r="VUF39" s="8"/>
      <c r="VUG39" s="8"/>
      <c r="VUH39" s="8"/>
      <c r="VUI39" s="8"/>
      <c r="VUJ39" s="8"/>
      <c r="VUK39" s="8"/>
      <c r="VUL39" s="8"/>
      <c r="VUM39" s="8"/>
      <c r="VUN39" s="8"/>
      <c r="VUO39" s="8"/>
      <c r="VUP39" s="8"/>
      <c r="VUQ39" s="8"/>
      <c r="VUR39" s="8"/>
      <c r="VUS39" s="8"/>
      <c r="VUT39" s="8"/>
      <c r="VUU39" s="8"/>
      <c r="VUV39" s="8"/>
      <c r="VUW39" s="8"/>
      <c r="VUX39" s="8"/>
      <c r="VUY39" s="8"/>
      <c r="VUZ39" s="8"/>
      <c r="VVA39" s="8"/>
      <c r="VVB39" s="8"/>
      <c r="VVC39" s="8"/>
      <c r="VVD39" s="8"/>
      <c r="VVE39" s="8"/>
      <c r="VVF39" s="8"/>
      <c r="VVG39" s="8"/>
      <c r="VVH39" s="8"/>
      <c r="VVI39" s="8"/>
      <c r="VVJ39" s="8"/>
      <c r="VVK39" s="8"/>
      <c r="VVL39" s="8"/>
      <c r="VVM39" s="8"/>
      <c r="VVN39" s="8"/>
      <c r="VVO39" s="8"/>
      <c r="VVP39" s="8"/>
      <c r="VVQ39" s="8"/>
      <c r="VVR39" s="8"/>
      <c r="VVS39" s="8"/>
      <c r="VVT39" s="8"/>
      <c r="VVU39" s="8"/>
      <c r="VVV39" s="8"/>
      <c r="VVW39" s="8"/>
      <c r="VVX39" s="8"/>
      <c r="VVY39" s="8"/>
      <c r="VVZ39" s="8"/>
      <c r="VWA39" s="8"/>
      <c r="VWB39" s="8"/>
      <c r="VWC39" s="8"/>
      <c r="VWD39" s="8"/>
      <c r="VWE39" s="8"/>
      <c r="VWF39" s="8"/>
      <c r="VWG39" s="8"/>
      <c r="VWH39" s="8"/>
      <c r="VWI39" s="8"/>
      <c r="VWJ39" s="8"/>
      <c r="VWK39" s="8"/>
      <c r="VWL39" s="8"/>
      <c r="VWM39" s="8"/>
      <c r="VWN39" s="8"/>
      <c r="VWO39" s="8"/>
      <c r="VWP39" s="8"/>
      <c r="VWQ39" s="8"/>
      <c r="VWR39" s="8"/>
      <c r="VWS39" s="8"/>
      <c r="VWT39" s="8"/>
      <c r="VWU39" s="8"/>
      <c r="VWV39" s="8"/>
      <c r="VWW39" s="8"/>
      <c r="VWX39" s="8"/>
      <c r="VWY39" s="8"/>
      <c r="VWZ39" s="8"/>
      <c r="VXA39" s="8"/>
      <c r="VXB39" s="8"/>
      <c r="VXC39" s="8"/>
      <c r="VXD39" s="8"/>
      <c r="VXE39" s="8"/>
      <c r="VXF39" s="8"/>
      <c r="VXG39" s="8"/>
      <c r="VXH39" s="8"/>
      <c r="VXI39" s="8"/>
      <c r="VXJ39" s="8"/>
      <c r="VXK39" s="8"/>
      <c r="VXL39" s="8"/>
      <c r="VXM39" s="8"/>
      <c r="VXN39" s="8"/>
      <c r="VXO39" s="8"/>
      <c r="VXP39" s="8"/>
      <c r="VXQ39" s="8"/>
      <c r="VXR39" s="8"/>
      <c r="VXS39" s="8"/>
      <c r="VXT39" s="8"/>
      <c r="VXU39" s="8"/>
      <c r="VXV39" s="8"/>
      <c r="VXW39" s="8"/>
      <c r="VXX39" s="8"/>
      <c r="VXY39" s="8"/>
      <c r="VXZ39" s="8"/>
      <c r="VYA39" s="8"/>
      <c r="VYB39" s="8"/>
      <c r="VYC39" s="8"/>
      <c r="VYD39" s="8"/>
      <c r="VYE39" s="8"/>
      <c r="VYF39" s="8"/>
      <c r="VYG39" s="8"/>
      <c r="VYH39" s="8"/>
      <c r="VYI39" s="8"/>
      <c r="VYJ39" s="8"/>
      <c r="VYK39" s="8"/>
      <c r="VYL39" s="8"/>
      <c r="VYM39" s="8"/>
      <c r="VYN39" s="8"/>
      <c r="VYO39" s="8"/>
      <c r="VYP39" s="8"/>
      <c r="VYQ39" s="8"/>
      <c r="VYR39" s="8"/>
      <c r="VYS39" s="8"/>
      <c r="VYT39" s="8"/>
      <c r="VYU39" s="8"/>
      <c r="VYV39" s="8"/>
      <c r="VYW39" s="8"/>
      <c r="VYX39" s="8"/>
      <c r="VYY39" s="8"/>
      <c r="VYZ39" s="8"/>
      <c r="VZA39" s="8"/>
      <c r="VZB39" s="8"/>
      <c r="VZC39" s="8"/>
      <c r="VZD39" s="8"/>
      <c r="VZE39" s="8"/>
      <c r="VZF39" s="8"/>
      <c r="VZG39" s="8"/>
      <c r="VZH39" s="8"/>
      <c r="VZI39" s="8"/>
      <c r="VZJ39" s="8"/>
      <c r="VZK39" s="8"/>
      <c r="VZL39" s="8"/>
      <c r="VZM39" s="8"/>
      <c r="VZN39" s="8"/>
      <c r="VZO39" s="8"/>
      <c r="VZP39" s="8"/>
      <c r="VZQ39" s="8"/>
      <c r="VZR39" s="8"/>
      <c r="VZS39" s="8"/>
      <c r="VZT39" s="8"/>
      <c r="VZU39" s="8"/>
      <c r="VZV39" s="8"/>
      <c r="VZW39" s="8"/>
      <c r="VZX39" s="8"/>
      <c r="VZY39" s="8"/>
      <c r="VZZ39" s="8"/>
      <c r="WAA39" s="8"/>
      <c r="WAB39" s="8"/>
      <c r="WAC39" s="8"/>
      <c r="WAD39" s="8"/>
      <c r="WAE39" s="8"/>
      <c r="WAF39" s="8"/>
      <c r="WAG39" s="8"/>
      <c r="WAH39" s="8"/>
      <c r="WAI39" s="8"/>
      <c r="WAJ39" s="8"/>
      <c r="WAK39" s="8"/>
      <c r="WAL39" s="8"/>
      <c r="WAM39" s="8"/>
      <c r="WAN39" s="8"/>
      <c r="WAO39" s="8"/>
      <c r="WAP39" s="8"/>
      <c r="WAQ39" s="8"/>
      <c r="WAR39" s="8"/>
      <c r="WAS39" s="8"/>
      <c r="WAT39" s="8"/>
      <c r="WAU39" s="8"/>
      <c r="WAV39" s="8"/>
      <c r="WAW39" s="8"/>
      <c r="WAX39" s="8"/>
      <c r="WAY39" s="8"/>
      <c r="WAZ39" s="8"/>
      <c r="WBA39" s="8"/>
      <c r="WBB39" s="8"/>
      <c r="WBC39" s="8"/>
      <c r="WBD39" s="8"/>
      <c r="WBE39" s="8"/>
      <c r="WBF39" s="8"/>
      <c r="WBG39" s="8"/>
      <c r="WBH39" s="8"/>
      <c r="WBI39" s="8"/>
      <c r="WBJ39" s="8"/>
      <c r="WBK39" s="8"/>
      <c r="WBL39" s="8"/>
      <c r="WBM39" s="8"/>
      <c r="WBN39" s="8"/>
      <c r="WBO39" s="8"/>
      <c r="WBP39" s="8"/>
      <c r="WBQ39" s="8"/>
      <c r="WBR39" s="8"/>
      <c r="WBS39" s="8"/>
      <c r="WBT39" s="8"/>
      <c r="WBU39" s="8"/>
      <c r="WBV39" s="8"/>
      <c r="WBW39" s="8"/>
      <c r="WBX39" s="8"/>
      <c r="WBY39" s="8"/>
      <c r="WBZ39" s="8"/>
      <c r="WCA39" s="8"/>
      <c r="WCB39" s="8"/>
      <c r="WCC39" s="8"/>
      <c r="WCD39" s="8"/>
      <c r="WCE39" s="8"/>
      <c r="WCF39" s="8"/>
      <c r="WCG39" s="8"/>
      <c r="WCH39" s="8"/>
      <c r="WCI39" s="8"/>
      <c r="WCJ39" s="8"/>
      <c r="WCK39" s="8"/>
      <c r="WCL39" s="8"/>
      <c r="WCM39" s="8"/>
      <c r="WCN39" s="8"/>
      <c r="WCO39" s="8"/>
      <c r="WCP39" s="8"/>
      <c r="WCQ39" s="8"/>
      <c r="WCR39" s="8"/>
      <c r="WCS39" s="8"/>
      <c r="WCT39" s="8"/>
      <c r="WCU39" s="8"/>
      <c r="WCV39" s="8"/>
      <c r="WCW39" s="8"/>
      <c r="WCX39" s="8"/>
      <c r="WCY39" s="8"/>
      <c r="WCZ39" s="8"/>
      <c r="WDA39" s="8"/>
      <c r="WDB39" s="8"/>
      <c r="WDC39" s="8"/>
      <c r="WDD39" s="8"/>
      <c r="WDE39" s="8"/>
      <c r="WDF39" s="8"/>
      <c r="WDG39" s="8"/>
      <c r="WDH39" s="8"/>
      <c r="WDI39" s="8"/>
      <c r="WDJ39" s="8"/>
      <c r="WDK39" s="8"/>
      <c r="WDL39" s="8"/>
      <c r="WDM39" s="8"/>
      <c r="WDN39" s="8"/>
      <c r="WDO39" s="8"/>
      <c r="WDP39" s="8"/>
      <c r="WDQ39" s="8"/>
      <c r="WDR39" s="8"/>
      <c r="WDS39" s="8"/>
      <c r="WDT39" s="8"/>
      <c r="WDU39" s="8"/>
      <c r="WDV39" s="8"/>
      <c r="WDW39" s="8"/>
      <c r="WDX39" s="8"/>
      <c r="WDY39" s="8"/>
      <c r="WDZ39" s="8"/>
      <c r="WEA39" s="8"/>
      <c r="WEB39" s="8"/>
      <c r="WEC39" s="8"/>
      <c r="WED39" s="8"/>
      <c r="WEE39" s="8"/>
      <c r="WEF39" s="8"/>
      <c r="WEG39" s="8"/>
      <c r="WEH39" s="8"/>
      <c r="WEI39" s="8"/>
      <c r="WEJ39" s="8"/>
      <c r="WEK39" s="8"/>
      <c r="WEL39" s="8"/>
      <c r="WEM39" s="8"/>
      <c r="WEN39" s="8"/>
      <c r="WEO39" s="8"/>
      <c r="WEP39" s="8"/>
      <c r="WEQ39" s="8"/>
      <c r="WER39" s="8"/>
      <c r="WES39" s="8"/>
      <c r="WET39" s="8"/>
      <c r="WEU39" s="8"/>
      <c r="WEV39" s="8"/>
      <c r="WEW39" s="8"/>
      <c r="WEX39" s="8"/>
      <c r="WEY39" s="8"/>
      <c r="WEZ39" s="8"/>
      <c r="WFA39" s="8"/>
      <c r="WFB39" s="8"/>
      <c r="WFC39" s="8"/>
      <c r="WFD39" s="8"/>
      <c r="WFE39" s="8"/>
      <c r="WFF39" s="8"/>
      <c r="WFG39" s="8"/>
      <c r="WFH39" s="8"/>
      <c r="WFI39" s="8"/>
      <c r="WFJ39" s="8"/>
      <c r="WFK39" s="8"/>
      <c r="WFL39" s="8"/>
      <c r="WFM39" s="8"/>
      <c r="WFN39" s="8"/>
      <c r="WFO39" s="8"/>
      <c r="WFP39" s="8"/>
      <c r="WFQ39" s="8"/>
      <c r="WFR39" s="8"/>
      <c r="WFS39" s="8"/>
      <c r="WFT39" s="8"/>
      <c r="WFU39" s="8"/>
      <c r="WFV39" s="8"/>
      <c r="WFW39" s="8"/>
      <c r="WFX39" s="8"/>
      <c r="WFY39" s="8"/>
      <c r="WFZ39" s="8"/>
      <c r="WGA39" s="8"/>
      <c r="WGB39" s="8"/>
      <c r="WGC39" s="8"/>
      <c r="WGD39" s="8"/>
      <c r="WGE39" s="8"/>
      <c r="WGF39" s="8"/>
      <c r="WGG39" s="8"/>
      <c r="WGH39" s="8"/>
      <c r="WGI39" s="8"/>
      <c r="WGJ39" s="8"/>
      <c r="WGK39" s="8"/>
      <c r="WGL39" s="8"/>
      <c r="WGM39" s="8"/>
      <c r="WGN39" s="8"/>
      <c r="WGO39" s="8"/>
      <c r="WGP39" s="8"/>
      <c r="WGQ39" s="8"/>
      <c r="WGR39" s="8"/>
      <c r="WGS39" s="8"/>
      <c r="WGT39" s="8"/>
      <c r="WGU39" s="8"/>
      <c r="WGV39" s="8"/>
      <c r="WGW39" s="8"/>
      <c r="WGX39" s="8"/>
      <c r="WGY39" s="8"/>
      <c r="WGZ39" s="8"/>
      <c r="WHA39" s="8"/>
      <c r="WHB39" s="8"/>
      <c r="WHC39" s="8"/>
      <c r="WHD39" s="8"/>
      <c r="WHE39" s="8"/>
      <c r="WHF39" s="8"/>
      <c r="WHG39" s="8"/>
      <c r="WHH39" s="8"/>
      <c r="WHI39" s="8"/>
      <c r="WHJ39" s="8"/>
      <c r="WHK39" s="8"/>
      <c r="WHL39" s="8"/>
      <c r="WHM39" s="8"/>
      <c r="WHN39" s="8"/>
      <c r="WHO39" s="8"/>
      <c r="WHP39" s="8"/>
      <c r="WHQ39" s="8"/>
      <c r="WHR39" s="8"/>
      <c r="WHS39" s="8"/>
      <c r="WHT39" s="8"/>
      <c r="WHU39" s="8"/>
      <c r="WHV39" s="8"/>
      <c r="WHW39" s="8"/>
      <c r="WHX39" s="8"/>
      <c r="WHY39" s="8"/>
      <c r="WHZ39" s="8"/>
      <c r="WIA39" s="8"/>
      <c r="WIB39" s="8"/>
      <c r="WIC39" s="8"/>
      <c r="WID39" s="8"/>
      <c r="WIE39" s="8"/>
      <c r="WIF39" s="8"/>
      <c r="WIG39" s="8"/>
      <c r="WIH39" s="8"/>
      <c r="WII39" s="8"/>
      <c r="WIJ39" s="8"/>
      <c r="WIK39" s="8"/>
      <c r="WIL39" s="8"/>
      <c r="WIM39" s="8"/>
      <c r="WIN39" s="8"/>
      <c r="WIO39" s="8"/>
      <c r="WIP39" s="8"/>
      <c r="WIQ39" s="8"/>
      <c r="WIR39" s="8"/>
      <c r="WIS39" s="8"/>
      <c r="WIT39" s="8"/>
      <c r="WIU39" s="8"/>
      <c r="WIV39" s="8"/>
      <c r="WIW39" s="8"/>
      <c r="WIX39" s="8"/>
      <c r="WIY39" s="8"/>
      <c r="WIZ39" s="8"/>
      <c r="WJA39" s="8"/>
      <c r="WJB39" s="8"/>
      <c r="WJC39" s="8"/>
      <c r="WJD39" s="8"/>
      <c r="WJE39" s="8"/>
      <c r="WJF39" s="8"/>
      <c r="WJG39" s="8"/>
      <c r="WJH39" s="8"/>
      <c r="WJI39" s="8"/>
      <c r="WJJ39" s="8"/>
      <c r="WJK39" s="8"/>
      <c r="WJL39" s="8"/>
      <c r="WJM39" s="8"/>
      <c r="WJN39" s="8"/>
      <c r="WJO39" s="8"/>
      <c r="WJP39" s="8"/>
      <c r="WJQ39" s="8"/>
      <c r="WJR39" s="8"/>
      <c r="WJS39" s="8"/>
      <c r="WJT39" s="8"/>
      <c r="WJU39" s="8"/>
      <c r="WJV39" s="8"/>
      <c r="WJW39" s="8"/>
      <c r="WJX39" s="8"/>
      <c r="WJY39" s="8"/>
      <c r="WJZ39" s="8"/>
      <c r="WKA39" s="8"/>
      <c r="WKB39" s="8"/>
      <c r="WKC39" s="8"/>
      <c r="WKD39" s="8"/>
      <c r="WKE39" s="8"/>
      <c r="WKF39" s="8"/>
      <c r="WKG39" s="8"/>
      <c r="WKH39" s="8"/>
      <c r="WKI39" s="8"/>
      <c r="WKJ39" s="8"/>
      <c r="WKK39" s="8"/>
      <c r="WKL39" s="8"/>
      <c r="WKM39" s="8"/>
      <c r="WKN39" s="8"/>
      <c r="WKO39" s="8"/>
      <c r="WKP39" s="8"/>
      <c r="WKQ39" s="8"/>
      <c r="WKR39" s="8"/>
      <c r="WKS39" s="8"/>
      <c r="WKT39" s="8"/>
      <c r="WKU39" s="8"/>
      <c r="WKV39" s="8"/>
      <c r="WKW39" s="8"/>
      <c r="WKX39" s="8"/>
      <c r="WKY39" s="8"/>
      <c r="WKZ39" s="8"/>
      <c r="WLA39" s="8"/>
      <c r="WLB39" s="8"/>
      <c r="WLC39" s="8"/>
      <c r="WLD39" s="8"/>
      <c r="WLE39" s="8"/>
      <c r="WLF39" s="8"/>
      <c r="WLG39" s="8"/>
      <c r="WLH39" s="8"/>
      <c r="WLI39" s="8"/>
      <c r="WLJ39" s="8"/>
      <c r="WLK39" s="8"/>
      <c r="WLL39" s="8"/>
      <c r="WLM39" s="8"/>
      <c r="WLN39" s="8"/>
      <c r="WLO39" s="8"/>
      <c r="WLP39" s="8"/>
      <c r="WLQ39" s="8"/>
      <c r="WLR39" s="8"/>
      <c r="WLS39" s="8"/>
      <c r="WLT39" s="8"/>
      <c r="WLU39" s="8"/>
      <c r="WLV39" s="8"/>
      <c r="WLW39" s="8"/>
      <c r="WLX39" s="8"/>
      <c r="WLY39" s="8"/>
      <c r="WLZ39" s="8"/>
      <c r="WMA39" s="8"/>
      <c r="WMB39" s="8"/>
      <c r="WMC39" s="8"/>
      <c r="WMD39" s="8"/>
      <c r="WME39" s="8"/>
      <c r="WMF39" s="8"/>
      <c r="WMG39" s="8"/>
      <c r="WMH39" s="8"/>
      <c r="WMI39" s="8"/>
      <c r="WMJ39" s="8"/>
      <c r="WMK39" s="8"/>
      <c r="WML39" s="8"/>
      <c r="WMM39" s="8"/>
      <c r="WMN39" s="8"/>
      <c r="WMO39" s="8"/>
      <c r="WMP39" s="8"/>
      <c r="WMQ39" s="8"/>
      <c r="WMR39" s="8"/>
      <c r="WMS39" s="8"/>
      <c r="WMT39" s="8"/>
      <c r="WMU39" s="8"/>
      <c r="WMV39" s="8"/>
      <c r="WMW39" s="8"/>
      <c r="WMX39" s="8"/>
      <c r="WMY39" s="8"/>
      <c r="WMZ39" s="8"/>
      <c r="WNA39" s="8"/>
      <c r="WNB39" s="8"/>
      <c r="WNC39" s="8"/>
      <c r="WND39" s="8"/>
      <c r="WNE39" s="8"/>
      <c r="WNF39" s="8"/>
      <c r="WNG39" s="8"/>
      <c r="WNH39" s="8"/>
      <c r="WNI39" s="8"/>
      <c r="WNJ39" s="8"/>
      <c r="WNK39" s="8"/>
      <c r="WNL39" s="8"/>
      <c r="WNM39" s="8"/>
      <c r="WNN39" s="8"/>
      <c r="WNO39" s="8"/>
      <c r="WNP39" s="8"/>
      <c r="WNQ39" s="8"/>
      <c r="WNR39" s="8"/>
      <c r="WNS39" s="8"/>
      <c r="WNT39" s="8"/>
      <c r="WNU39" s="8"/>
      <c r="WNV39" s="8"/>
      <c r="WNW39" s="8"/>
      <c r="WNX39" s="8"/>
      <c r="WNY39" s="8"/>
      <c r="WNZ39" s="8"/>
      <c r="WOA39" s="8"/>
      <c r="WOB39" s="8"/>
      <c r="WOC39" s="8"/>
      <c r="WOD39" s="8"/>
      <c r="WOE39" s="8"/>
      <c r="WOF39" s="8"/>
      <c r="WOG39" s="8"/>
      <c r="WOH39" s="8"/>
      <c r="WOI39" s="8"/>
      <c r="WOJ39" s="8"/>
      <c r="WOK39" s="8"/>
      <c r="WOL39" s="8"/>
      <c r="WOM39" s="8"/>
      <c r="WON39" s="8"/>
      <c r="WOO39" s="8"/>
      <c r="WOP39" s="8"/>
      <c r="WOQ39" s="8"/>
      <c r="WOR39" s="8"/>
      <c r="WOS39" s="8"/>
      <c r="WOT39" s="8"/>
      <c r="WOU39" s="8"/>
      <c r="WOV39" s="8"/>
      <c r="WOW39" s="8"/>
      <c r="WOX39" s="8"/>
      <c r="WOY39" s="8"/>
      <c r="WOZ39" s="8"/>
      <c r="WPA39" s="8"/>
      <c r="WPB39" s="8"/>
      <c r="WPC39" s="8"/>
      <c r="WPD39" s="8"/>
      <c r="WPE39" s="8"/>
      <c r="WPF39" s="8"/>
      <c r="WPG39" s="8"/>
      <c r="WPH39" s="8"/>
      <c r="WPI39" s="8"/>
      <c r="WPJ39" s="8"/>
      <c r="WPK39" s="8"/>
      <c r="WPL39" s="8"/>
      <c r="WPM39" s="8"/>
      <c r="WPN39" s="8"/>
      <c r="WPO39" s="8"/>
      <c r="WPP39" s="8"/>
      <c r="WPQ39" s="8"/>
      <c r="WPR39" s="8"/>
      <c r="WPS39" s="8"/>
      <c r="WPT39" s="8"/>
      <c r="WPU39" s="8"/>
      <c r="WPV39" s="8"/>
      <c r="WPW39" s="8"/>
      <c r="WPX39" s="8"/>
      <c r="WPY39" s="8"/>
      <c r="WPZ39" s="8"/>
      <c r="WQA39" s="8"/>
      <c r="WQB39" s="8"/>
      <c r="WQC39" s="8"/>
      <c r="WQD39" s="8"/>
      <c r="WQE39" s="8"/>
      <c r="WQF39" s="8"/>
      <c r="WQG39" s="8"/>
      <c r="WQH39" s="8"/>
      <c r="WQI39" s="8"/>
      <c r="WQJ39" s="8"/>
      <c r="WQK39" s="8"/>
      <c r="WQL39" s="8"/>
      <c r="WQM39" s="8"/>
      <c r="WQN39" s="8"/>
      <c r="WQO39" s="8"/>
      <c r="WQP39" s="8"/>
      <c r="WQQ39" s="8"/>
      <c r="WQR39" s="8"/>
      <c r="WQS39" s="8"/>
      <c r="WQT39" s="8"/>
      <c r="WQU39" s="8"/>
      <c r="WQV39" s="8"/>
      <c r="WQW39" s="8"/>
      <c r="WQX39" s="8"/>
      <c r="WQY39" s="8"/>
      <c r="WQZ39" s="8"/>
      <c r="WRA39" s="8"/>
      <c r="WRB39" s="8"/>
      <c r="WRC39" s="8"/>
      <c r="WRD39" s="8"/>
      <c r="WRE39" s="8"/>
      <c r="WRF39" s="8"/>
      <c r="WRG39" s="8"/>
      <c r="WRH39" s="8"/>
      <c r="WRI39" s="8"/>
      <c r="WRJ39" s="8"/>
      <c r="WRK39" s="8"/>
      <c r="WRL39" s="8"/>
      <c r="WRM39" s="8"/>
      <c r="WRN39" s="8"/>
      <c r="WRO39" s="8"/>
      <c r="WRP39" s="8"/>
      <c r="WRQ39" s="8"/>
      <c r="WRR39" s="8"/>
      <c r="WRS39" s="8"/>
      <c r="WRT39" s="8"/>
      <c r="WRU39" s="8"/>
      <c r="WRV39" s="8"/>
      <c r="WRW39" s="8"/>
      <c r="WRX39" s="8"/>
      <c r="WRY39" s="8"/>
      <c r="WRZ39" s="8"/>
      <c r="WSA39" s="8"/>
      <c r="WSB39" s="8"/>
      <c r="WSC39" s="8"/>
      <c r="WSD39" s="8"/>
      <c r="WSE39" s="8"/>
      <c r="WSF39" s="8"/>
      <c r="WSG39" s="8"/>
      <c r="WSH39" s="8"/>
      <c r="WSI39" s="8"/>
      <c r="WSJ39" s="8"/>
      <c r="WSK39" s="8"/>
      <c r="WSL39" s="8"/>
      <c r="WSM39" s="8"/>
      <c r="WSN39" s="8"/>
      <c r="WSO39" s="8"/>
      <c r="WSP39" s="8"/>
      <c r="WSQ39" s="8"/>
      <c r="WSR39" s="8"/>
      <c r="WSS39" s="8"/>
      <c r="WST39" s="8"/>
      <c r="WSU39" s="8"/>
      <c r="WSV39" s="8"/>
      <c r="WSW39" s="8"/>
      <c r="WSX39" s="8"/>
      <c r="WSY39" s="8"/>
      <c r="WSZ39" s="8"/>
      <c r="WTA39" s="8"/>
      <c r="WTB39" s="8"/>
      <c r="WTC39" s="8"/>
      <c r="WTD39" s="8"/>
      <c r="WTE39" s="8"/>
      <c r="WTF39" s="8"/>
      <c r="WTG39" s="8"/>
      <c r="WTH39" s="8"/>
      <c r="WTI39" s="8"/>
      <c r="WTJ39" s="8"/>
      <c r="WTK39" s="8"/>
      <c r="WTL39" s="8"/>
      <c r="WTM39" s="8"/>
      <c r="WTN39" s="8"/>
      <c r="WTO39" s="8"/>
      <c r="WTP39" s="8"/>
      <c r="WTQ39" s="8"/>
      <c r="WTR39" s="8"/>
      <c r="WTS39" s="8"/>
      <c r="WTT39" s="8"/>
      <c r="WTU39" s="8"/>
      <c r="WTV39" s="8"/>
      <c r="WTW39" s="8"/>
      <c r="WTX39" s="8"/>
      <c r="WTY39" s="8"/>
      <c r="WTZ39" s="8"/>
      <c r="WUA39" s="8"/>
      <c r="WUB39" s="8"/>
      <c r="WUC39" s="8"/>
      <c r="WUD39" s="8"/>
      <c r="WUE39" s="8"/>
      <c r="WUF39" s="8"/>
      <c r="WUG39" s="8"/>
      <c r="WUH39" s="8"/>
      <c r="WUI39" s="8"/>
      <c r="WUJ39" s="8"/>
      <c r="WUK39" s="8"/>
      <c r="WUL39" s="8"/>
      <c r="WUM39" s="8"/>
      <c r="WUN39" s="8"/>
      <c r="WUO39" s="8"/>
      <c r="WUP39" s="8"/>
      <c r="WUQ39" s="8"/>
      <c r="WUR39" s="8"/>
      <c r="WUS39" s="8"/>
      <c r="WUT39" s="8"/>
      <c r="WUU39" s="8"/>
      <c r="WUV39" s="8"/>
      <c r="WUW39" s="8"/>
      <c r="WUX39" s="8"/>
      <c r="WUY39" s="8"/>
      <c r="WUZ39" s="8"/>
      <c r="WVA39" s="8"/>
      <c r="WVB39" s="8"/>
      <c r="WVC39" s="8"/>
      <c r="WVD39" s="8"/>
      <c r="WVE39" s="8"/>
      <c r="WVF39" s="8"/>
      <c r="WVG39" s="8"/>
      <c r="WVH39" s="8"/>
      <c r="WVI39" s="8"/>
      <c r="WVJ39" s="8"/>
      <c r="WVK39" s="8"/>
      <c r="WVL39" s="8"/>
      <c r="WVM39" s="8"/>
      <c r="WVN39" s="8"/>
      <c r="WVO39" s="8"/>
      <c r="WVP39" s="8"/>
      <c r="WVQ39" s="8"/>
      <c r="WVR39" s="8"/>
      <c r="WVS39" s="8"/>
      <c r="WVT39" s="8"/>
      <c r="WVU39" s="8"/>
      <c r="WVV39" s="8"/>
      <c r="WVW39" s="8"/>
      <c r="WVX39" s="8"/>
      <c r="WVY39" s="8"/>
      <c r="WVZ39" s="8"/>
      <c r="WWA39" s="8"/>
      <c r="WWB39" s="8"/>
      <c r="WWC39" s="8"/>
      <c r="WWD39" s="8"/>
      <c r="WWE39" s="8"/>
      <c r="WWF39" s="8"/>
      <c r="WWG39" s="8"/>
      <c r="WWH39" s="8"/>
      <c r="WWI39" s="8"/>
      <c r="WWJ39" s="8"/>
      <c r="WWK39" s="8"/>
      <c r="WWL39" s="8"/>
      <c r="WWM39" s="8"/>
      <c r="WWN39" s="8"/>
      <c r="WWO39" s="8"/>
      <c r="WWP39" s="8"/>
      <c r="WWQ39" s="8"/>
      <c r="WWR39" s="8"/>
      <c r="WWS39" s="8"/>
      <c r="WWT39" s="8"/>
      <c r="WWU39" s="8"/>
      <c r="WWV39" s="8"/>
      <c r="WWW39" s="8"/>
      <c r="WWX39" s="8"/>
      <c r="WWY39" s="8"/>
      <c r="WWZ39" s="8"/>
      <c r="WXA39" s="8"/>
      <c r="WXB39" s="8"/>
      <c r="WXC39" s="8"/>
      <c r="WXD39" s="8"/>
      <c r="WXE39" s="8"/>
      <c r="WXF39" s="8"/>
      <c r="WXG39" s="8"/>
      <c r="WXH39" s="8"/>
      <c r="WXI39" s="8"/>
      <c r="WXJ39" s="8"/>
      <c r="WXK39" s="8"/>
      <c r="WXL39" s="8"/>
      <c r="WXM39" s="8"/>
      <c r="WXN39" s="8"/>
      <c r="WXO39" s="8"/>
      <c r="WXP39" s="8"/>
      <c r="WXQ39" s="8"/>
      <c r="WXR39" s="8"/>
      <c r="WXS39" s="8"/>
      <c r="WXT39" s="8"/>
      <c r="WXU39" s="8"/>
      <c r="WXV39" s="8"/>
      <c r="WXW39" s="8"/>
      <c r="WXX39" s="8"/>
      <c r="WXY39" s="8"/>
      <c r="WXZ39" s="8"/>
      <c r="WYA39" s="8"/>
      <c r="WYB39" s="8"/>
      <c r="WYC39" s="8"/>
      <c r="WYD39" s="8"/>
      <c r="WYE39" s="8"/>
      <c r="WYF39" s="8"/>
      <c r="WYG39" s="8"/>
      <c r="WYH39" s="8"/>
      <c r="WYI39" s="8"/>
      <c r="WYJ39" s="8"/>
      <c r="WYK39" s="8"/>
      <c r="WYL39" s="8"/>
      <c r="WYM39" s="8"/>
      <c r="WYN39" s="8"/>
      <c r="WYO39" s="8"/>
      <c r="WYP39" s="8"/>
      <c r="WYQ39" s="8"/>
      <c r="WYR39" s="8"/>
      <c r="WYS39" s="8"/>
      <c r="WYT39" s="8"/>
      <c r="WYU39" s="8"/>
      <c r="WYV39" s="8"/>
      <c r="WYW39" s="8"/>
      <c r="WYX39" s="8"/>
      <c r="WYY39" s="8"/>
      <c r="WYZ39" s="8"/>
      <c r="WZA39" s="8"/>
      <c r="WZB39" s="8"/>
      <c r="WZC39" s="8"/>
      <c r="WZD39" s="8"/>
      <c r="WZE39" s="8"/>
      <c r="WZF39" s="8"/>
      <c r="WZG39" s="8"/>
      <c r="WZH39" s="8"/>
      <c r="WZI39" s="8"/>
      <c r="WZJ39" s="8"/>
      <c r="WZK39" s="8"/>
      <c r="WZL39" s="8"/>
      <c r="WZM39" s="8"/>
      <c r="WZN39" s="8"/>
      <c r="WZO39" s="8"/>
      <c r="WZP39" s="8"/>
      <c r="WZQ39" s="8"/>
      <c r="WZR39" s="8"/>
      <c r="WZS39" s="8"/>
      <c r="WZT39" s="8"/>
      <c r="WZU39" s="8"/>
      <c r="WZV39" s="8"/>
      <c r="WZW39" s="8"/>
      <c r="WZX39" s="8"/>
      <c r="WZY39" s="8"/>
      <c r="WZZ39" s="8"/>
      <c r="XAA39" s="8"/>
      <c r="XAB39" s="8"/>
      <c r="XAC39" s="8"/>
      <c r="XAD39" s="8"/>
      <c r="XAE39" s="8"/>
      <c r="XAF39" s="8"/>
      <c r="XAG39" s="8"/>
      <c r="XAH39" s="8"/>
      <c r="XAI39" s="8"/>
      <c r="XAJ39" s="8"/>
      <c r="XAK39" s="8"/>
      <c r="XAL39" s="8"/>
      <c r="XAM39" s="8"/>
      <c r="XAN39" s="8"/>
      <c r="XAO39" s="8"/>
      <c r="XAP39" s="8"/>
      <c r="XAQ39" s="8"/>
      <c r="XAR39" s="8"/>
      <c r="XAS39" s="8"/>
      <c r="XAT39" s="8"/>
      <c r="XAU39" s="8"/>
      <c r="XAV39" s="8"/>
      <c r="XAW39" s="8"/>
      <c r="XAX39" s="8"/>
      <c r="XAY39" s="8"/>
      <c r="XAZ39" s="8"/>
      <c r="XBA39" s="8"/>
      <c r="XBB39" s="8"/>
      <c r="XBC39" s="8"/>
      <c r="XBD39" s="8"/>
      <c r="XBE39" s="8"/>
      <c r="XBF39" s="8"/>
      <c r="XBG39" s="8"/>
      <c r="XBH39" s="8"/>
      <c r="XBI39" s="8"/>
      <c r="XBJ39" s="8"/>
      <c r="XBK39" s="8"/>
      <c r="XBL39" s="8"/>
      <c r="XBM39" s="8"/>
      <c r="XBN39" s="8"/>
      <c r="XBO39" s="8"/>
      <c r="XBP39" s="8"/>
      <c r="XBQ39" s="8"/>
      <c r="XBR39" s="8"/>
      <c r="XBS39" s="8"/>
      <c r="XBT39" s="8"/>
      <c r="XBU39" s="8"/>
      <c r="XBV39" s="8"/>
      <c r="XBW39" s="8"/>
      <c r="XBX39" s="8"/>
      <c r="XBY39" s="8"/>
      <c r="XBZ39" s="8"/>
      <c r="XCA39" s="8"/>
      <c r="XCB39" s="8"/>
      <c r="XCC39" s="8"/>
      <c r="XCD39" s="8"/>
      <c r="XCE39" s="8"/>
      <c r="XCF39" s="8"/>
      <c r="XCG39" s="8"/>
      <c r="XCH39" s="8"/>
      <c r="XCI39" s="8"/>
      <c r="XCJ39" s="8"/>
      <c r="XCK39" s="8"/>
      <c r="XCL39" s="8"/>
      <c r="XCM39" s="8"/>
      <c r="XCN39" s="8"/>
      <c r="XCO39" s="8"/>
      <c r="XCP39" s="8"/>
      <c r="XCQ39" s="8"/>
      <c r="XCR39" s="8"/>
      <c r="XCS39" s="8"/>
      <c r="XCT39" s="8"/>
      <c r="XCU39" s="8"/>
      <c r="XCV39" s="8"/>
      <c r="XCW39" s="8"/>
      <c r="XCX39" s="8"/>
      <c r="XCY39" s="8"/>
      <c r="XCZ39" s="8"/>
      <c r="XDA39" s="8"/>
      <c r="XDB39" s="8"/>
      <c r="XDC39" s="8"/>
      <c r="XDD39" s="8"/>
      <c r="XDE39" s="8"/>
      <c r="XDF39" s="8"/>
      <c r="XDG39" s="8"/>
      <c r="XDH39" s="8"/>
      <c r="XDI39" s="8"/>
      <c r="XDJ39" s="8"/>
      <c r="XDK39" s="8"/>
      <c r="XDL39" s="8"/>
      <c r="XDM39" s="8"/>
      <c r="XDN39" s="8"/>
      <c r="XDO39" s="8"/>
      <c r="XDP39" s="8"/>
      <c r="XDQ39" s="8"/>
      <c r="XDR39" s="8"/>
      <c r="XDS39" s="8"/>
      <c r="XDT39" s="8"/>
      <c r="XDU39" s="8"/>
      <c r="XDV39" s="8"/>
      <c r="XDW39" s="8"/>
      <c r="XDX39" s="8"/>
      <c r="XDY39" s="8"/>
      <c r="XDZ39" s="8"/>
      <c r="XEA39" s="8"/>
      <c r="XEB39" s="8"/>
      <c r="XEC39" s="8"/>
      <c r="XED39" s="8"/>
      <c r="XEE39" s="8"/>
      <c r="XEF39" s="8"/>
      <c r="XEG39" s="8"/>
      <c r="XEH39" s="8"/>
      <c r="XEI39" s="8"/>
      <c r="XEJ39" s="8"/>
      <c r="XEK39" s="8"/>
      <c r="XEL39" s="8"/>
      <c r="XEM39" s="8"/>
      <c r="XEN39" s="8"/>
      <c r="XEO39" s="8"/>
      <c r="XEP39" s="8"/>
      <c r="XEQ39" s="8"/>
      <c r="XER39" s="8"/>
      <c r="XES39" s="8"/>
      <c r="XET39" s="8"/>
      <c r="XEU39" s="8"/>
      <c r="XEV39" s="8"/>
      <c r="XEW39" s="8"/>
      <c r="XEX39" s="8"/>
      <c r="XEY39" s="8"/>
      <c r="XEZ39" s="8"/>
      <c r="XFA39" s="8"/>
      <c r="XFB39" s="8"/>
      <c r="XFC39" s="8"/>
      <c r="XFD39" s="8"/>
    </row>
    <row r="40" spans="1:16384" x14ac:dyDescent="0.3">
      <c r="B40" s="13" t="s">
        <v>55</v>
      </c>
      <c r="C40" s="13"/>
      <c r="D40" s="13"/>
      <c r="E40" s="13"/>
    </row>
    <row r="41" spans="1:16384" x14ac:dyDescent="0.3">
      <c r="A41" s="66" t="s">
        <v>54</v>
      </c>
      <c r="B41" s="66"/>
      <c r="C41" s="66"/>
      <c r="D41" s="66"/>
      <c r="E41" s="66"/>
      <c r="F41" s="66"/>
    </row>
    <row r="42" spans="1:16384" x14ac:dyDescent="0.3">
      <c r="B42" s="8" t="s">
        <v>56</v>
      </c>
      <c r="C42" s="8"/>
      <c r="D42" s="13"/>
    </row>
    <row r="43" spans="1:16384" x14ac:dyDescent="0.3">
      <c r="B43" s="8" t="s">
        <v>57</v>
      </c>
      <c r="C43" s="8" t="s">
        <v>58</v>
      </c>
      <c r="D43" s="13"/>
    </row>
    <row r="44" spans="1:16384" x14ac:dyDescent="0.3">
      <c r="B44" s="8" t="s">
        <v>59</v>
      </c>
      <c r="C44" s="8" t="s">
        <v>60</v>
      </c>
    </row>
    <row r="45" spans="1:16384" x14ac:dyDescent="0.3">
      <c r="B45" s="8" t="s">
        <v>61</v>
      </c>
      <c r="C45" s="13" t="s">
        <v>62</v>
      </c>
      <c r="D45" s="13" t="s">
        <v>63</v>
      </c>
      <c r="E45" s="13" t="s">
        <v>75</v>
      </c>
      <c r="F45" s="13" t="s">
        <v>76</v>
      </c>
    </row>
    <row r="46" spans="1:16384" x14ac:dyDescent="0.3">
      <c r="B46" s="8" t="s">
        <v>64</v>
      </c>
      <c r="C46" s="13"/>
      <c r="D46" s="13"/>
    </row>
    <row r="47" spans="1:16384" x14ac:dyDescent="0.3">
      <c r="B47" s="19" t="s">
        <v>65</v>
      </c>
      <c r="C47" s="13"/>
      <c r="D47" s="13"/>
    </row>
    <row r="48" spans="1:16384" x14ac:dyDescent="0.3">
      <c r="B48" s="8" t="s">
        <v>66</v>
      </c>
      <c r="C48" s="13"/>
      <c r="D48" s="13"/>
    </row>
    <row r="49" spans="1:8" x14ac:dyDescent="0.3">
      <c r="B49" s="8" t="s">
        <v>67</v>
      </c>
      <c r="C49" s="8"/>
      <c r="D49" s="13"/>
    </row>
    <row r="50" spans="1:8" x14ac:dyDescent="0.3">
      <c r="A50" s="21"/>
      <c r="B50" s="21"/>
      <c r="C50" s="22"/>
      <c r="D50" s="22"/>
      <c r="E50" s="21"/>
      <c r="F50" s="21"/>
    </row>
    <row r="51" spans="1:8" x14ac:dyDescent="0.3">
      <c r="B51" s="13" t="s">
        <v>68</v>
      </c>
      <c r="C51" s="19"/>
    </row>
    <row r="52" spans="1:8" x14ac:dyDescent="0.3">
      <c r="B52" s="19" t="s">
        <v>69</v>
      </c>
      <c r="C52" s="13"/>
      <c r="D52" s="13"/>
    </row>
    <row r="53" spans="1:8" x14ac:dyDescent="0.3">
      <c r="B53" s="8" t="s">
        <v>70</v>
      </c>
      <c r="C53" s="2" t="s">
        <v>93</v>
      </c>
      <c r="D53" s="33"/>
      <c r="E53" s="28"/>
      <c r="G53" s="32"/>
      <c r="H53" s="33"/>
    </row>
    <row r="54" spans="1:8" x14ac:dyDescent="0.3">
      <c r="B54" s="8" t="s">
        <v>72</v>
      </c>
      <c r="C54" s="13"/>
      <c r="D54" s="13"/>
    </row>
    <row r="55" spans="1:8" x14ac:dyDescent="0.3">
      <c r="B55" s="14" t="s">
        <v>73</v>
      </c>
      <c r="C55" s="13"/>
      <c r="D55" s="13"/>
    </row>
    <row r="56" spans="1:8" x14ac:dyDescent="0.3">
      <c r="B56" s="14" t="s">
        <v>74</v>
      </c>
    </row>
    <row r="57" spans="1:8" x14ac:dyDescent="0.3">
      <c r="B57" s="14" t="s">
        <v>71</v>
      </c>
    </row>
    <row r="64" spans="1:8" x14ac:dyDescent="0.3">
      <c r="B64" s="8"/>
    </row>
    <row r="67" spans="2:5" x14ac:dyDescent="0.3">
      <c r="B67" s="20"/>
      <c r="C67" s="20"/>
      <c r="D67" s="20"/>
      <c r="E67" s="20"/>
    </row>
    <row r="68" spans="2:5" x14ac:dyDescent="0.3">
      <c r="B68" s="20"/>
      <c r="C68" s="20"/>
    </row>
    <row r="69" spans="2:5" x14ac:dyDescent="0.3">
      <c r="B69" s="20"/>
      <c r="C69" s="20"/>
    </row>
    <row r="70" spans="2:5" x14ac:dyDescent="0.3">
      <c r="B70" s="20"/>
      <c r="C70" s="20"/>
    </row>
    <row r="71" spans="2:5" x14ac:dyDescent="0.3">
      <c r="B71" s="20"/>
      <c r="C71" s="20"/>
    </row>
    <row r="72" spans="2:5" x14ac:dyDescent="0.3">
      <c r="B72" s="20"/>
      <c r="C72" s="20"/>
    </row>
    <row r="73" spans="2:5" x14ac:dyDescent="0.3">
      <c r="B73" s="20"/>
      <c r="C73" s="20"/>
    </row>
    <row r="74" spans="2:5" x14ac:dyDescent="0.3">
      <c r="B74" s="20"/>
      <c r="C74" s="20"/>
    </row>
    <row r="75" spans="2:5" x14ac:dyDescent="0.3">
      <c r="B75" s="20"/>
      <c r="C75" s="20"/>
    </row>
    <row r="76" spans="2:5" x14ac:dyDescent="0.3">
      <c r="B76" s="20"/>
      <c r="C76" s="20"/>
    </row>
    <row r="77" spans="2:5" x14ac:dyDescent="0.3">
      <c r="B77" s="20"/>
      <c r="C77" s="20"/>
    </row>
    <row r="78" spans="2:5" x14ac:dyDescent="0.3">
      <c r="B78" s="20"/>
      <c r="C78" s="20"/>
    </row>
    <row r="79" spans="2:5" x14ac:dyDescent="0.3">
      <c r="B79" s="20"/>
      <c r="C79" s="20"/>
    </row>
    <row r="80" spans="2:5" x14ac:dyDescent="0.3">
      <c r="B80" s="20"/>
      <c r="C80" s="20"/>
    </row>
    <row r="81" spans="2:3" x14ac:dyDescent="0.3">
      <c r="B81" s="20"/>
      <c r="C81" s="20"/>
    </row>
    <row r="82" spans="2:3" x14ac:dyDescent="0.3">
      <c r="B82" s="20"/>
      <c r="C82" s="20"/>
    </row>
    <row r="83" spans="2:3" x14ac:dyDescent="0.3">
      <c r="B83" s="20"/>
      <c r="C83" s="20"/>
    </row>
    <row r="84" spans="2:3" x14ac:dyDescent="0.3">
      <c r="B84" s="20"/>
      <c r="C84" s="20"/>
    </row>
    <row r="85" spans="2:3" x14ac:dyDescent="0.3">
      <c r="B85" s="20"/>
      <c r="C85" s="20"/>
    </row>
    <row r="86" spans="2:3" x14ac:dyDescent="0.3">
      <c r="B86" s="20"/>
      <c r="C86" s="20"/>
    </row>
    <row r="87" spans="2:3" x14ac:dyDescent="0.3">
      <c r="B87" s="20"/>
      <c r="C87" s="20"/>
    </row>
  </sheetData>
  <sortState ref="B42:C53">
    <sortCondition ref="B42"/>
  </sortState>
  <mergeCells count="2">
    <mergeCell ref="A26:D26"/>
    <mergeCell ref="A41:F41"/>
  </mergeCells>
  <phoneticPr fontId="3" type="noConversion"/>
  <pageMargins left="0.23622047244094491" right="0.23622047244094491" top="0.39370078740157483" bottom="0.39370078740157483" header="0.31496062992125984" footer="0.31496062992125984"/>
  <pageSetup paperSize="9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76"/>
  <sheetViews>
    <sheetView topLeftCell="A643" workbookViewId="0">
      <selection activeCell="B676" sqref="B676:C676"/>
    </sheetView>
  </sheetViews>
  <sheetFormatPr defaultRowHeight="16.5" x14ac:dyDescent="0.3"/>
  <cols>
    <col min="1" max="1" width="21.125" bestFit="1" customWidth="1"/>
    <col min="2" max="2" width="33.125" bestFit="1" customWidth="1"/>
    <col min="3" max="3" width="11.625" bestFit="1" customWidth="1"/>
  </cols>
  <sheetData>
    <row r="1" spans="1:3" x14ac:dyDescent="0.3">
      <c r="A1" s="4" t="s">
        <v>168</v>
      </c>
      <c r="B1" s="4" t="s">
        <v>707</v>
      </c>
      <c r="C1" s="4" t="s">
        <v>708</v>
      </c>
    </row>
    <row r="2" spans="1:3" x14ac:dyDescent="0.3">
      <c r="A2" t="s">
        <v>169</v>
      </c>
      <c r="B2" t="s">
        <v>701</v>
      </c>
      <c r="C2">
        <v>5</v>
      </c>
    </row>
    <row r="3" spans="1:3" x14ac:dyDescent="0.3">
      <c r="A3" t="s">
        <v>96</v>
      </c>
      <c r="B3" t="s">
        <v>701</v>
      </c>
      <c r="C3">
        <v>5</v>
      </c>
    </row>
    <row r="4" spans="1:3" x14ac:dyDescent="0.3">
      <c r="A4" t="s">
        <v>170</v>
      </c>
      <c r="B4" t="s">
        <v>701</v>
      </c>
      <c r="C4">
        <v>5</v>
      </c>
    </row>
    <row r="5" spans="1:3" x14ac:dyDescent="0.3">
      <c r="A5" t="s">
        <v>171</v>
      </c>
      <c r="B5" t="s">
        <v>701</v>
      </c>
      <c r="C5">
        <v>5</v>
      </c>
    </row>
    <row r="6" spans="1:3" x14ac:dyDescent="0.3">
      <c r="A6" t="s">
        <v>172</v>
      </c>
      <c r="B6" t="s">
        <v>701</v>
      </c>
      <c r="C6">
        <v>5</v>
      </c>
    </row>
    <row r="7" spans="1:3" x14ac:dyDescent="0.3">
      <c r="A7" t="s">
        <v>173</v>
      </c>
      <c r="B7" t="s">
        <v>701</v>
      </c>
      <c r="C7">
        <v>5</v>
      </c>
    </row>
    <row r="8" spans="1:3" x14ac:dyDescent="0.3">
      <c r="A8" t="s">
        <v>174</v>
      </c>
      <c r="B8" t="s">
        <v>701</v>
      </c>
      <c r="C8">
        <v>5</v>
      </c>
    </row>
    <row r="9" spans="1:3" x14ac:dyDescent="0.3">
      <c r="A9" t="s">
        <v>175</v>
      </c>
      <c r="B9" t="s">
        <v>24</v>
      </c>
      <c r="C9">
        <v>3</v>
      </c>
    </row>
    <row r="10" spans="1:3" x14ac:dyDescent="0.3">
      <c r="A10" t="s">
        <v>176</v>
      </c>
      <c r="B10" t="s">
        <v>24</v>
      </c>
      <c r="C10">
        <v>3</v>
      </c>
    </row>
    <row r="11" spans="1:3" x14ac:dyDescent="0.3">
      <c r="A11" t="s">
        <v>177</v>
      </c>
      <c r="B11" t="s">
        <v>24</v>
      </c>
      <c r="C11">
        <v>3</v>
      </c>
    </row>
    <row r="12" spans="1:3" x14ac:dyDescent="0.3">
      <c r="A12" t="s">
        <v>178</v>
      </c>
      <c r="B12" t="s">
        <v>702</v>
      </c>
      <c r="C12">
        <v>2</v>
      </c>
    </row>
    <row r="13" spans="1:3" x14ac:dyDescent="0.3">
      <c r="A13" t="s">
        <v>179</v>
      </c>
      <c r="B13" t="s">
        <v>702</v>
      </c>
      <c r="C13">
        <v>2</v>
      </c>
    </row>
    <row r="14" spans="1:3" x14ac:dyDescent="0.3">
      <c r="A14" t="s">
        <v>180</v>
      </c>
      <c r="B14" t="s">
        <v>26</v>
      </c>
      <c r="C14">
        <v>1.5</v>
      </c>
    </row>
    <row r="15" spans="1:3" x14ac:dyDescent="0.3">
      <c r="A15" t="s">
        <v>181</v>
      </c>
      <c r="B15" t="s">
        <v>26</v>
      </c>
      <c r="C15">
        <v>1.5</v>
      </c>
    </row>
    <row r="16" spans="1:3" x14ac:dyDescent="0.3">
      <c r="A16" t="s">
        <v>182</v>
      </c>
      <c r="B16" t="s">
        <v>26</v>
      </c>
      <c r="C16">
        <v>1.5</v>
      </c>
    </row>
    <row r="17" spans="1:3" x14ac:dyDescent="0.3">
      <c r="A17" t="s">
        <v>183</v>
      </c>
      <c r="B17" t="s">
        <v>26</v>
      </c>
      <c r="C17">
        <v>1.5</v>
      </c>
    </row>
    <row r="18" spans="1:3" x14ac:dyDescent="0.3">
      <c r="A18" t="s">
        <v>184</v>
      </c>
      <c r="B18" t="s">
        <v>26</v>
      </c>
      <c r="C18">
        <v>1.5</v>
      </c>
    </row>
    <row r="19" spans="1:3" x14ac:dyDescent="0.3">
      <c r="A19" t="s">
        <v>185</v>
      </c>
      <c r="B19" t="s">
        <v>26</v>
      </c>
      <c r="C19">
        <v>1.5</v>
      </c>
    </row>
    <row r="20" spans="1:3" x14ac:dyDescent="0.3">
      <c r="A20" t="s">
        <v>186</v>
      </c>
      <c r="B20" t="s">
        <v>26</v>
      </c>
      <c r="C20">
        <v>1.5</v>
      </c>
    </row>
    <row r="21" spans="1:3" x14ac:dyDescent="0.3">
      <c r="A21" t="s">
        <v>187</v>
      </c>
      <c r="B21" t="s">
        <v>26</v>
      </c>
      <c r="C21">
        <v>1.5</v>
      </c>
    </row>
    <row r="22" spans="1:3" x14ac:dyDescent="0.3">
      <c r="A22" t="s">
        <v>188</v>
      </c>
      <c r="B22" t="s">
        <v>26</v>
      </c>
      <c r="C22">
        <v>1.5</v>
      </c>
    </row>
    <row r="23" spans="1:3" x14ac:dyDescent="0.3">
      <c r="A23" t="s">
        <v>106</v>
      </c>
      <c r="B23" t="s">
        <v>26</v>
      </c>
      <c r="C23">
        <v>1.5</v>
      </c>
    </row>
    <row r="24" spans="1:3" x14ac:dyDescent="0.3">
      <c r="A24" t="s">
        <v>136</v>
      </c>
      <c r="B24" t="s">
        <v>26</v>
      </c>
      <c r="C24">
        <v>1.5</v>
      </c>
    </row>
    <row r="25" spans="1:3" x14ac:dyDescent="0.3">
      <c r="A25" t="s">
        <v>100</v>
      </c>
      <c r="B25" t="s">
        <v>25</v>
      </c>
      <c r="C25">
        <v>1.5</v>
      </c>
    </row>
    <row r="26" spans="1:3" x14ac:dyDescent="0.3">
      <c r="A26" t="s">
        <v>156</v>
      </c>
      <c r="B26" t="s">
        <v>25</v>
      </c>
      <c r="C26">
        <v>1.5</v>
      </c>
    </row>
    <row r="27" spans="1:3" x14ac:dyDescent="0.3">
      <c r="A27" t="s">
        <v>102</v>
      </c>
      <c r="B27" t="s">
        <v>25</v>
      </c>
      <c r="C27">
        <v>1.5</v>
      </c>
    </row>
    <row r="28" spans="1:3" x14ac:dyDescent="0.3">
      <c r="A28" t="s">
        <v>155</v>
      </c>
      <c r="B28" t="s">
        <v>25</v>
      </c>
      <c r="C28">
        <v>1.5</v>
      </c>
    </row>
    <row r="29" spans="1:3" x14ac:dyDescent="0.3">
      <c r="A29" t="s">
        <v>189</v>
      </c>
      <c r="B29" t="s">
        <v>25</v>
      </c>
      <c r="C29">
        <v>1.5</v>
      </c>
    </row>
    <row r="30" spans="1:3" x14ac:dyDescent="0.3">
      <c r="A30" t="s">
        <v>190</v>
      </c>
      <c r="B30" t="s">
        <v>25</v>
      </c>
      <c r="C30">
        <v>1.5</v>
      </c>
    </row>
    <row r="31" spans="1:3" x14ac:dyDescent="0.3">
      <c r="A31" t="s">
        <v>191</v>
      </c>
      <c r="B31" t="s">
        <v>696</v>
      </c>
      <c r="C31">
        <v>0.1</v>
      </c>
    </row>
    <row r="32" spans="1:3" x14ac:dyDescent="0.3">
      <c r="A32" t="s">
        <v>192</v>
      </c>
      <c r="B32" t="s">
        <v>696</v>
      </c>
      <c r="C32">
        <v>0.1</v>
      </c>
    </row>
    <row r="33" spans="1:3" x14ac:dyDescent="0.3">
      <c r="A33" t="s">
        <v>193</v>
      </c>
      <c r="B33" t="s">
        <v>26</v>
      </c>
      <c r="C33">
        <v>1.5</v>
      </c>
    </row>
    <row r="34" spans="1:3" x14ac:dyDescent="0.3">
      <c r="A34" t="s">
        <v>194</v>
      </c>
      <c r="B34" t="s">
        <v>696</v>
      </c>
      <c r="C34">
        <v>0.1</v>
      </c>
    </row>
    <row r="35" spans="1:3" x14ac:dyDescent="0.3">
      <c r="A35" t="s">
        <v>195</v>
      </c>
      <c r="B35" t="s">
        <v>696</v>
      </c>
      <c r="C35">
        <v>0.1</v>
      </c>
    </row>
    <row r="36" spans="1:3" x14ac:dyDescent="0.3">
      <c r="A36" t="s">
        <v>196</v>
      </c>
      <c r="B36" t="s">
        <v>696</v>
      </c>
      <c r="C36">
        <v>0.1</v>
      </c>
    </row>
    <row r="37" spans="1:3" x14ac:dyDescent="0.3">
      <c r="A37" t="s">
        <v>197</v>
      </c>
      <c r="B37" t="s">
        <v>696</v>
      </c>
      <c r="C37">
        <v>0.1</v>
      </c>
    </row>
    <row r="38" spans="1:3" x14ac:dyDescent="0.3">
      <c r="A38" t="s">
        <v>151</v>
      </c>
      <c r="B38" t="s">
        <v>696</v>
      </c>
      <c r="C38">
        <v>0.1</v>
      </c>
    </row>
    <row r="39" spans="1:3" x14ac:dyDescent="0.3">
      <c r="A39" t="s">
        <v>128</v>
      </c>
      <c r="B39" t="s">
        <v>25</v>
      </c>
      <c r="C39">
        <v>1.5</v>
      </c>
    </row>
    <row r="40" spans="1:3" x14ac:dyDescent="0.3">
      <c r="A40" t="s">
        <v>198</v>
      </c>
      <c r="B40" t="s">
        <v>696</v>
      </c>
      <c r="C40">
        <v>0.1</v>
      </c>
    </row>
    <row r="41" spans="1:3" x14ac:dyDescent="0.3">
      <c r="A41" t="s">
        <v>98</v>
      </c>
      <c r="B41" t="s">
        <v>696</v>
      </c>
      <c r="C41">
        <v>0.1</v>
      </c>
    </row>
    <row r="42" spans="1:3" x14ac:dyDescent="0.3">
      <c r="A42" t="s">
        <v>199</v>
      </c>
      <c r="B42" t="s">
        <v>697</v>
      </c>
      <c r="C42">
        <v>1.5</v>
      </c>
    </row>
    <row r="43" spans="1:3" x14ac:dyDescent="0.3">
      <c r="A43" t="s">
        <v>200</v>
      </c>
      <c r="B43" t="s">
        <v>697</v>
      </c>
      <c r="C43">
        <v>1.5</v>
      </c>
    </row>
    <row r="44" spans="1:3" x14ac:dyDescent="0.3">
      <c r="A44" t="s">
        <v>201</v>
      </c>
      <c r="B44" t="s">
        <v>701</v>
      </c>
      <c r="C44">
        <v>5</v>
      </c>
    </row>
    <row r="45" spans="1:3" x14ac:dyDescent="0.3">
      <c r="A45" t="s">
        <v>202</v>
      </c>
      <c r="B45" t="s">
        <v>701</v>
      </c>
      <c r="C45">
        <v>5</v>
      </c>
    </row>
    <row r="46" spans="1:3" x14ac:dyDescent="0.3">
      <c r="A46" t="s">
        <v>203</v>
      </c>
      <c r="B46" t="s">
        <v>702</v>
      </c>
      <c r="C46">
        <v>2</v>
      </c>
    </row>
    <row r="47" spans="1:3" x14ac:dyDescent="0.3">
      <c r="A47" t="s">
        <v>112</v>
      </c>
      <c r="B47" t="s">
        <v>25</v>
      </c>
      <c r="C47">
        <v>1.5</v>
      </c>
    </row>
    <row r="48" spans="1:3" x14ac:dyDescent="0.3">
      <c r="A48" t="s">
        <v>113</v>
      </c>
      <c r="B48" t="s">
        <v>25</v>
      </c>
      <c r="C48">
        <v>1.5</v>
      </c>
    </row>
    <row r="49" spans="1:3" x14ac:dyDescent="0.3">
      <c r="A49" t="s">
        <v>204</v>
      </c>
      <c r="B49" t="s">
        <v>26</v>
      </c>
      <c r="C49">
        <v>1.5</v>
      </c>
    </row>
    <row r="50" spans="1:3" x14ac:dyDescent="0.3">
      <c r="A50" t="s">
        <v>205</v>
      </c>
      <c r="B50" t="s">
        <v>26</v>
      </c>
      <c r="C50">
        <v>1.5</v>
      </c>
    </row>
    <row r="51" spans="1:3" x14ac:dyDescent="0.3">
      <c r="A51" t="s">
        <v>206</v>
      </c>
      <c r="B51" t="s">
        <v>26</v>
      </c>
      <c r="C51">
        <v>1.5</v>
      </c>
    </row>
    <row r="52" spans="1:3" x14ac:dyDescent="0.3">
      <c r="A52" t="s">
        <v>207</v>
      </c>
      <c r="B52" t="s">
        <v>698</v>
      </c>
      <c r="C52">
        <v>0.5</v>
      </c>
    </row>
    <row r="53" spans="1:3" x14ac:dyDescent="0.3">
      <c r="A53" t="s">
        <v>208</v>
      </c>
      <c r="B53" t="s">
        <v>698</v>
      </c>
      <c r="C53">
        <v>0.5</v>
      </c>
    </row>
    <row r="54" spans="1:3" x14ac:dyDescent="0.3">
      <c r="A54" t="s">
        <v>209</v>
      </c>
      <c r="B54" t="s">
        <v>696</v>
      </c>
      <c r="C54">
        <v>0.1</v>
      </c>
    </row>
    <row r="55" spans="1:3" x14ac:dyDescent="0.3">
      <c r="A55" t="s">
        <v>120</v>
      </c>
      <c r="B55" t="s">
        <v>696</v>
      </c>
      <c r="C55">
        <v>0.1</v>
      </c>
    </row>
    <row r="56" spans="1:3" x14ac:dyDescent="0.3">
      <c r="A56" t="s">
        <v>210</v>
      </c>
      <c r="B56" t="s">
        <v>696</v>
      </c>
      <c r="C56">
        <v>0.1</v>
      </c>
    </row>
    <row r="57" spans="1:3" x14ac:dyDescent="0.3">
      <c r="A57" t="s">
        <v>211</v>
      </c>
      <c r="B57" t="s">
        <v>696</v>
      </c>
      <c r="C57">
        <v>0.1</v>
      </c>
    </row>
    <row r="58" spans="1:3" x14ac:dyDescent="0.3">
      <c r="A58" t="s">
        <v>212</v>
      </c>
      <c r="B58" t="s">
        <v>696</v>
      </c>
      <c r="C58">
        <v>0.1</v>
      </c>
    </row>
    <row r="59" spans="1:3" x14ac:dyDescent="0.3">
      <c r="A59" t="s">
        <v>213</v>
      </c>
      <c r="B59" t="s">
        <v>696</v>
      </c>
      <c r="C59">
        <v>0.1</v>
      </c>
    </row>
    <row r="60" spans="1:3" x14ac:dyDescent="0.3">
      <c r="A60" t="s">
        <v>214</v>
      </c>
      <c r="B60" t="s">
        <v>696</v>
      </c>
      <c r="C60">
        <v>0.1</v>
      </c>
    </row>
    <row r="61" spans="1:3" x14ac:dyDescent="0.3">
      <c r="A61" t="s">
        <v>215</v>
      </c>
      <c r="B61" t="s">
        <v>696</v>
      </c>
      <c r="C61">
        <v>0.1</v>
      </c>
    </row>
    <row r="62" spans="1:3" x14ac:dyDescent="0.3">
      <c r="A62" t="s">
        <v>216</v>
      </c>
      <c r="B62" t="s">
        <v>696</v>
      </c>
      <c r="C62">
        <v>0.1</v>
      </c>
    </row>
    <row r="63" spans="1:3" x14ac:dyDescent="0.3">
      <c r="A63" t="s">
        <v>217</v>
      </c>
      <c r="B63" t="s">
        <v>696</v>
      </c>
      <c r="C63">
        <v>0.1</v>
      </c>
    </row>
    <row r="64" spans="1:3" x14ac:dyDescent="0.3">
      <c r="A64" t="s">
        <v>218</v>
      </c>
      <c r="B64" t="s">
        <v>696</v>
      </c>
      <c r="C64">
        <v>0.1</v>
      </c>
    </row>
    <row r="65" spans="1:3" x14ac:dyDescent="0.3">
      <c r="A65" t="s">
        <v>117</v>
      </c>
      <c r="B65" t="s">
        <v>696</v>
      </c>
      <c r="C65">
        <v>0.1</v>
      </c>
    </row>
    <row r="66" spans="1:3" x14ac:dyDescent="0.3">
      <c r="A66" t="s">
        <v>219</v>
      </c>
      <c r="B66" t="s">
        <v>696</v>
      </c>
      <c r="C66">
        <v>0.1</v>
      </c>
    </row>
    <row r="67" spans="1:3" x14ac:dyDescent="0.3">
      <c r="A67" t="s">
        <v>220</v>
      </c>
      <c r="B67" t="s">
        <v>696</v>
      </c>
      <c r="C67">
        <v>0.1</v>
      </c>
    </row>
    <row r="68" spans="1:3" x14ac:dyDescent="0.3">
      <c r="A68" t="s">
        <v>221</v>
      </c>
      <c r="B68" t="s">
        <v>696</v>
      </c>
      <c r="C68">
        <v>0.1</v>
      </c>
    </row>
    <row r="69" spans="1:3" x14ac:dyDescent="0.3">
      <c r="A69" t="s">
        <v>222</v>
      </c>
      <c r="B69" t="s">
        <v>696</v>
      </c>
      <c r="C69">
        <v>0.1</v>
      </c>
    </row>
    <row r="70" spans="1:3" x14ac:dyDescent="0.3">
      <c r="A70" t="s">
        <v>223</v>
      </c>
      <c r="B70" t="s">
        <v>696</v>
      </c>
      <c r="C70">
        <v>0.1</v>
      </c>
    </row>
    <row r="71" spans="1:3" x14ac:dyDescent="0.3">
      <c r="A71" t="s">
        <v>224</v>
      </c>
      <c r="B71" t="s">
        <v>696</v>
      </c>
      <c r="C71">
        <v>0.1</v>
      </c>
    </row>
    <row r="72" spans="1:3" x14ac:dyDescent="0.3">
      <c r="A72" t="s">
        <v>142</v>
      </c>
      <c r="B72" t="s">
        <v>698</v>
      </c>
      <c r="C72">
        <v>0.5</v>
      </c>
    </row>
    <row r="73" spans="1:3" x14ac:dyDescent="0.3">
      <c r="A73" t="s">
        <v>225</v>
      </c>
      <c r="B73" t="s">
        <v>699</v>
      </c>
      <c r="C73">
        <v>1</v>
      </c>
    </row>
    <row r="74" spans="1:3" x14ac:dyDescent="0.3">
      <c r="A74" t="s">
        <v>226</v>
      </c>
      <c r="B74" t="s">
        <v>696</v>
      </c>
      <c r="C74">
        <v>0.1</v>
      </c>
    </row>
    <row r="75" spans="1:3" x14ac:dyDescent="0.3">
      <c r="A75" t="s">
        <v>227</v>
      </c>
      <c r="B75" t="s">
        <v>696</v>
      </c>
      <c r="C75">
        <v>0.1</v>
      </c>
    </row>
    <row r="76" spans="1:3" x14ac:dyDescent="0.3">
      <c r="A76" t="s">
        <v>228</v>
      </c>
      <c r="B76" t="s">
        <v>696</v>
      </c>
      <c r="C76">
        <v>0.1</v>
      </c>
    </row>
    <row r="77" spans="1:3" x14ac:dyDescent="0.3">
      <c r="A77" t="s">
        <v>229</v>
      </c>
      <c r="B77" t="s">
        <v>696</v>
      </c>
      <c r="C77">
        <v>0.1</v>
      </c>
    </row>
    <row r="78" spans="1:3" x14ac:dyDescent="0.3">
      <c r="A78" t="s">
        <v>230</v>
      </c>
      <c r="B78" t="s">
        <v>696</v>
      </c>
      <c r="C78">
        <v>0.1</v>
      </c>
    </row>
    <row r="79" spans="1:3" x14ac:dyDescent="0.3">
      <c r="A79" t="s">
        <v>231</v>
      </c>
      <c r="B79" t="s">
        <v>696</v>
      </c>
      <c r="C79">
        <v>0.1</v>
      </c>
    </row>
    <row r="80" spans="1:3" x14ac:dyDescent="0.3">
      <c r="A80" t="s">
        <v>232</v>
      </c>
      <c r="B80" t="s">
        <v>696</v>
      </c>
      <c r="C80">
        <v>0.1</v>
      </c>
    </row>
    <row r="81" spans="1:3" x14ac:dyDescent="0.3">
      <c r="A81" t="s">
        <v>233</v>
      </c>
      <c r="B81" t="s">
        <v>696</v>
      </c>
      <c r="C81">
        <v>0.1</v>
      </c>
    </row>
    <row r="82" spans="1:3" x14ac:dyDescent="0.3">
      <c r="A82" t="s">
        <v>94</v>
      </c>
      <c r="B82" t="s">
        <v>700</v>
      </c>
      <c r="C82">
        <v>4</v>
      </c>
    </row>
    <row r="83" spans="1:3" x14ac:dyDescent="0.3">
      <c r="A83" t="s">
        <v>95</v>
      </c>
      <c r="B83" t="s">
        <v>700</v>
      </c>
      <c r="C83">
        <v>4</v>
      </c>
    </row>
    <row r="84" spans="1:3" x14ac:dyDescent="0.3">
      <c r="A84" t="s">
        <v>97</v>
      </c>
      <c r="B84" t="s">
        <v>26</v>
      </c>
      <c r="C84">
        <v>1.5</v>
      </c>
    </row>
    <row r="85" spans="1:3" x14ac:dyDescent="0.3">
      <c r="A85" t="s">
        <v>132</v>
      </c>
      <c r="B85" t="s">
        <v>25</v>
      </c>
      <c r="C85">
        <v>1.5</v>
      </c>
    </row>
    <row r="86" spans="1:3" x14ac:dyDescent="0.3">
      <c r="A86" t="s">
        <v>127</v>
      </c>
      <c r="B86" t="s">
        <v>696</v>
      </c>
      <c r="C86">
        <v>0.1</v>
      </c>
    </row>
    <row r="87" spans="1:3" x14ac:dyDescent="0.3">
      <c r="A87" t="s">
        <v>99</v>
      </c>
      <c r="B87" t="s">
        <v>26</v>
      </c>
      <c r="C87">
        <v>1.5</v>
      </c>
    </row>
    <row r="88" spans="1:3" x14ac:dyDescent="0.3">
      <c r="A88" t="s">
        <v>101</v>
      </c>
      <c r="B88" t="s">
        <v>25</v>
      </c>
      <c r="C88">
        <v>1.5</v>
      </c>
    </row>
    <row r="89" spans="1:3" x14ac:dyDescent="0.3">
      <c r="A89" t="s">
        <v>103</v>
      </c>
      <c r="B89" t="s">
        <v>25</v>
      </c>
      <c r="C89">
        <v>1.5</v>
      </c>
    </row>
    <row r="90" spans="1:3" x14ac:dyDescent="0.3">
      <c r="A90" t="s">
        <v>104</v>
      </c>
      <c r="B90" t="s">
        <v>696</v>
      </c>
      <c r="C90">
        <v>0.1</v>
      </c>
    </row>
    <row r="91" spans="1:3" x14ac:dyDescent="0.3">
      <c r="A91" t="s">
        <v>105</v>
      </c>
      <c r="B91" t="s">
        <v>699</v>
      </c>
      <c r="C91">
        <v>1</v>
      </c>
    </row>
    <row r="92" spans="1:3" x14ac:dyDescent="0.3">
      <c r="A92" t="s">
        <v>193</v>
      </c>
      <c r="B92" t="s">
        <v>60</v>
      </c>
      <c r="C92">
        <v>8</v>
      </c>
    </row>
    <row r="93" spans="1:3" x14ac:dyDescent="0.3">
      <c r="A93" t="s">
        <v>234</v>
      </c>
      <c r="B93" t="s">
        <v>696</v>
      </c>
      <c r="C93">
        <v>0.1</v>
      </c>
    </row>
    <row r="94" spans="1:3" x14ac:dyDescent="0.3">
      <c r="A94" t="s">
        <v>107</v>
      </c>
      <c r="B94" t="s">
        <v>25</v>
      </c>
      <c r="C94">
        <v>1.5</v>
      </c>
    </row>
    <row r="95" spans="1:3" x14ac:dyDescent="0.3">
      <c r="A95" t="s">
        <v>235</v>
      </c>
      <c r="B95" t="s">
        <v>25</v>
      </c>
      <c r="C95">
        <v>1.5</v>
      </c>
    </row>
    <row r="96" spans="1:3" x14ac:dyDescent="0.3">
      <c r="A96" t="s">
        <v>138</v>
      </c>
      <c r="B96" t="s">
        <v>696</v>
      </c>
      <c r="C96">
        <v>0.1</v>
      </c>
    </row>
    <row r="97" spans="1:3" x14ac:dyDescent="0.3">
      <c r="A97" t="s">
        <v>152</v>
      </c>
      <c r="B97" t="s">
        <v>696</v>
      </c>
      <c r="C97">
        <v>0.1</v>
      </c>
    </row>
    <row r="98" spans="1:3" x14ac:dyDescent="0.3">
      <c r="A98" t="s">
        <v>236</v>
      </c>
      <c r="B98" t="s">
        <v>25</v>
      </c>
      <c r="C98">
        <v>1.5</v>
      </c>
    </row>
    <row r="99" spans="1:3" x14ac:dyDescent="0.3">
      <c r="A99" t="s">
        <v>237</v>
      </c>
      <c r="B99" t="s">
        <v>26</v>
      </c>
      <c r="C99">
        <v>1.5</v>
      </c>
    </row>
    <row r="100" spans="1:3" x14ac:dyDescent="0.3">
      <c r="A100" t="s">
        <v>238</v>
      </c>
      <c r="B100" t="s">
        <v>696</v>
      </c>
      <c r="C100">
        <v>0.1</v>
      </c>
    </row>
    <row r="101" spans="1:3" x14ac:dyDescent="0.3">
      <c r="A101" t="s">
        <v>239</v>
      </c>
      <c r="B101" t="s">
        <v>696</v>
      </c>
      <c r="C101">
        <v>0.1</v>
      </c>
    </row>
    <row r="102" spans="1:3" x14ac:dyDescent="0.3">
      <c r="A102" t="s">
        <v>240</v>
      </c>
      <c r="B102" t="s">
        <v>696</v>
      </c>
      <c r="C102">
        <v>0.1</v>
      </c>
    </row>
    <row r="103" spans="1:3" x14ac:dyDescent="0.3">
      <c r="A103" t="s">
        <v>241</v>
      </c>
      <c r="B103" t="s">
        <v>696</v>
      </c>
      <c r="C103">
        <v>0.1</v>
      </c>
    </row>
    <row r="104" spans="1:3" x14ac:dyDescent="0.3">
      <c r="A104" t="s">
        <v>242</v>
      </c>
      <c r="B104" t="s">
        <v>696</v>
      </c>
      <c r="C104">
        <v>0.1</v>
      </c>
    </row>
    <row r="105" spans="1:3" x14ac:dyDescent="0.3">
      <c r="A105" t="s">
        <v>243</v>
      </c>
      <c r="B105" t="s">
        <v>696</v>
      </c>
      <c r="C105">
        <v>0.1</v>
      </c>
    </row>
    <row r="106" spans="1:3" x14ac:dyDescent="0.3">
      <c r="A106" t="s">
        <v>244</v>
      </c>
      <c r="B106" t="s">
        <v>696</v>
      </c>
      <c r="C106">
        <v>0.1</v>
      </c>
    </row>
    <row r="107" spans="1:3" x14ac:dyDescent="0.3">
      <c r="A107" t="s">
        <v>140</v>
      </c>
      <c r="B107" t="s">
        <v>696</v>
      </c>
      <c r="C107">
        <v>0.1</v>
      </c>
    </row>
    <row r="108" spans="1:3" x14ac:dyDescent="0.3">
      <c r="A108" t="s">
        <v>245</v>
      </c>
      <c r="B108" t="s">
        <v>26</v>
      </c>
      <c r="C108">
        <v>1.5</v>
      </c>
    </row>
    <row r="109" spans="1:3" x14ac:dyDescent="0.3">
      <c r="A109" t="s">
        <v>246</v>
      </c>
      <c r="B109" t="s">
        <v>696</v>
      </c>
      <c r="C109">
        <v>0.1</v>
      </c>
    </row>
    <row r="110" spans="1:3" x14ac:dyDescent="0.3">
      <c r="A110" t="s">
        <v>108</v>
      </c>
      <c r="B110" t="s">
        <v>696</v>
      </c>
      <c r="C110">
        <v>0.1</v>
      </c>
    </row>
    <row r="111" spans="1:3" x14ac:dyDescent="0.3">
      <c r="A111" t="s">
        <v>247</v>
      </c>
      <c r="B111" t="s">
        <v>696</v>
      </c>
      <c r="C111">
        <v>0.1</v>
      </c>
    </row>
    <row r="112" spans="1:3" x14ac:dyDescent="0.3">
      <c r="A112" t="s">
        <v>248</v>
      </c>
      <c r="B112" t="s">
        <v>701</v>
      </c>
      <c r="C112">
        <v>5</v>
      </c>
    </row>
    <row r="113" spans="1:3" x14ac:dyDescent="0.3">
      <c r="A113" t="s">
        <v>249</v>
      </c>
      <c r="B113" t="s">
        <v>702</v>
      </c>
      <c r="C113">
        <v>2</v>
      </c>
    </row>
    <row r="114" spans="1:3" x14ac:dyDescent="0.3">
      <c r="A114" t="s">
        <v>250</v>
      </c>
      <c r="B114" t="s">
        <v>26</v>
      </c>
      <c r="C114">
        <v>1.5</v>
      </c>
    </row>
    <row r="115" spans="1:3" x14ac:dyDescent="0.3">
      <c r="A115" t="s">
        <v>251</v>
      </c>
      <c r="B115" t="s">
        <v>26</v>
      </c>
      <c r="C115">
        <v>1.5</v>
      </c>
    </row>
    <row r="116" spans="1:3" x14ac:dyDescent="0.3">
      <c r="A116" t="s">
        <v>252</v>
      </c>
      <c r="B116" t="s">
        <v>26</v>
      </c>
      <c r="C116">
        <v>1.5</v>
      </c>
    </row>
    <row r="117" spans="1:3" x14ac:dyDescent="0.3">
      <c r="A117" t="s">
        <v>253</v>
      </c>
      <c r="B117" t="s">
        <v>26</v>
      </c>
      <c r="C117">
        <v>1.5</v>
      </c>
    </row>
    <row r="118" spans="1:3" x14ac:dyDescent="0.3">
      <c r="A118" t="s">
        <v>254</v>
      </c>
      <c r="B118" t="s">
        <v>25</v>
      </c>
      <c r="C118">
        <v>1.5</v>
      </c>
    </row>
    <row r="119" spans="1:3" x14ac:dyDescent="0.3">
      <c r="A119" t="s">
        <v>255</v>
      </c>
      <c r="B119" t="s">
        <v>696</v>
      </c>
      <c r="C119">
        <v>0.1</v>
      </c>
    </row>
    <row r="120" spans="1:3" x14ac:dyDescent="0.3">
      <c r="A120" t="s">
        <v>256</v>
      </c>
      <c r="B120" t="s">
        <v>701</v>
      </c>
      <c r="C120">
        <v>5</v>
      </c>
    </row>
    <row r="121" spans="1:3" x14ac:dyDescent="0.3">
      <c r="A121" t="s">
        <v>257</v>
      </c>
      <c r="B121" t="s">
        <v>701</v>
      </c>
      <c r="C121">
        <v>5</v>
      </c>
    </row>
    <row r="122" spans="1:3" x14ac:dyDescent="0.3">
      <c r="A122" t="s">
        <v>258</v>
      </c>
      <c r="B122" t="s">
        <v>25</v>
      </c>
      <c r="C122">
        <v>1.5</v>
      </c>
    </row>
    <row r="123" spans="1:3" x14ac:dyDescent="0.3">
      <c r="A123" t="s">
        <v>259</v>
      </c>
      <c r="B123" t="s">
        <v>701</v>
      </c>
      <c r="C123">
        <v>5</v>
      </c>
    </row>
    <row r="124" spans="1:3" x14ac:dyDescent="0.3">
      <c r="A124" t="s">
        <v>260</v>
      </c>
      <c r="B124" t="s">
        <v>701</v>
      </c>
      <c r="C124">
        <v>5</v>
      </c>
    </row>
    <row r="125" spans="1:3" x14ac:dyDescent="0.3">
      <c r="A125" t="s">
        <v>261</v>
      </c>
      <c r="B125" t="s">
        <v>26</v>
      </c>
      <c r="C125">
        <v>1.5</v>
      </c>
    </row>
    <row r="126" spans="1:3" x14ac:dyDescent="0.3">
      <c r="A126" t="s">
        <v>262</v>
      </c>
      <c r="B126" t="s">
        <v>26</v>
      </c>
      <c r="C126">
        <v>1.5</v>
      </c>
    </row>
    <row r="127" spans="1:3" x14ac:dyDescent="0.3">
      <c r="A127" t="s">
        <v>263</v>
      </c>
      <c r="B127" t="s">
        <v>26</v>
      </c>
      <c r="C127">
        <v>1.5</v>
      </c>
    </row>
    <row r="128" spans="1:3" x14ac:dyDescent="0.3">
      <c r="A128" t="s">
        <v>264</v>
      </c>
      <c r="B128" t="s">
        <v>699</v>
      </c>
      <c r="C128">
        <v>1</v>
      </c>
    </row>
    <row r="129" spans="1:3" x14ac:dyDescent="0.3">
      <c r="A129" t="s">
        <v>109</v>
      </c>
      <c r="B129" t="s">
        <v>696</v>
      </c>
      <c r="C129">
        <v>0.1</v>
      </c>
    </row>
    <row r="130" spans="1:3" x14ac:dyDescent="0.3">
      <c r="A130" t="s">
        <v>144</v>
      </c>
      <c r="B130" t="s">
        <v>696</v>
      </c>
      <c r="C130">
        <v>0.1</v>
      </c>
    </row>
    <row r="131" spans="1:3" x14ac:dyDescent="0.3">
      <c r="A131" t="s">
        <v>265</v>
      </c>
      <c r="B131" t="s">
        <v>696</v>
      </c>
      <c r="C131">
        <v>0.1</v>
      </c>
    </row>
    <row r="132" spans="1:3" x14ac:dyDescent="0.3">
      <c r="A132" t="s">
        <v>266</v>
      </c>
      <c r="B132" t="s">
        <v>729</v>
      </c>
      <c r="C132">
        <v>4</v>
      </c>
    </row>
    <row r="133" spans="1:3" x14ac:dyDescent="0.3">
      <c r="A133" t="s">
        <v>267</v>
      </c>
      <c r="B133" t="s">
        <v>696</v>
      </c>
      <c r="C133">
        <v>0.1</v>
      </c>
    </row>
    <row r="134" spans="1:3" x14ac:dyDescent="0.3">
      <c r="A134" t="s">
        <v>268</v>
      </c>
      <c r="B134" t="s">
        <v>696</v>
      </c>
      <c r="C134">
        <v>0.1</v>
      </c>
    </row>
    <row r="135" spans="1:3" x14ac:dyDescent="0.3">
      <c r="A135" t="s">
        <v>269</v>
      </c>
      <c r="B135" t="s">
        <v>701</v>
      </c>
      <c r="C135">
        <v>5</v>
      </c>
    </row>
    <row r="136" spans="1:3" x14ac:dyDescent="0.3">
      <c r="A136" t="s">
        <v>270</v>
      </c>
      <c r="B136" t="s">
        <v>701</v>
      </c>
      <c r="C136">
        <v>5</v>
      </c>
    </row>
    <row r="137" spans="1:3" x14ac:dyDescent="0.3">
      <c r="A137" t="s">
        <v>271</v>
      </c>
      <c r="B137" t="s">
        <v>23</v>
      </c>
      <c r="C137">
        <v>4</v>
      </c>
    </row>
    <row r="138" spans="1:3" x14ac:dyDescent="0.3">
      <c r="A138" t="s">
        <v>272</v>
      </c>
      <c r="B138" t="s">
        <v>700</v>
      </c>
      <c r="C138">
        <v>4</v>
      </c>
    </row>
    <row r="139" spans="1:3" x14ac:dyDescent="0.3">
      <c r="A139" t="s">
        <v>273</v>
      </c>
      <c r="B139" t="s">
        <v>709</v>
      </c>
      <c r="C139">
        <v>2.5</v>
      </c>
    </row>
    <row r="140" spans="1:3" x14ac:dyDescent="0.3">
      <c r="A140" t="s">
        <v>274</v>
      </c>
      <c r="B140" t="s">
        <v>26</v>
      </c>
      <c r="C140">
        <v>1.5</v>
      </c>
    </row>
    <row r="141" spans="1:3" x14ac:dyDescent="0.3">
      <c r="A141" t="s">
        <v>275</v>
      </c>
      <c r="B141" t="s">
        <v>696</v>
      </c>
      <c r="C141">
        <v>0.1</v>
      </c>
    </row>
    <row r="142" spans="1:3" x14ac:dyDescent="0.3">
      <c r="A142" t="s">
        <v>276</v>
      </c>
      <c r="B142" t="s">
        <v>696</v>
      </c>
      <c r="C142">
        <v>0.1</v>
      </c>
    </row>
    <row r="143" spans="1:3" x14ac:dyDescent="0.3">
      <c r="A143" t="s">
        <v>110</v>
      </c>
      <c r="B143" t="s">
        <v>696</v>
      </c>
      <c r="C143">
        <v>0.1</v>
      </c>
    </row>
    <row r="144" spans="1:3" x14ac:dyDescent="0.3">
      <c r="A144" t="s">
        <v>277</v>
      </c>
      <c r="B144" t="s">
        <v>696</v>
      </c>
      <c r="C144">
        <v>0.1</v>
      </c>
    </row>
    <row r="145" spans="1:3" x14ac:dyDescent="0.3">
      <c r="A145" t="s">
        <v>278</v>
      </c>
      <c r="B145" t="s">
        <v>701</v>
      </c>
      <c r="C145">
        <v>5</v>
      </c>
    </row>
    <row r="146" spans="1:3" x14ac:dyDescent="0.3">
      <c r="A146" t="s">
        <v>279</v>
      </c>
      <c r="B146" t="s">
        <v>696</v>
      </c>
      <c r="C146">
        <v>0.1</v>
      </c>
    </row>
    <row r="147" spans="1:3" x14ac:dyDescent="0.3">
      <c r="A147" t="s">
        <v>280</v>
      </c>
      <c r="B147" t="s">
        <v>696</v>
      </c>
      <c r="C147">
        <v>0.1</v>
      </c>
    </row>
    <row r="148" spans="1:3" x14ac:dyDescent="0.3">
      <c r="A148" t="s">
        <v>281</v>
      </c>
      <c r="B148" t="s">
        <v>696</v>
      </c>
      <c r="C148">
        <v>0.1</v>
      </c>
    </row>
    <row r="149" spans="1:3" x14ac:dyDescent="0.3">
      <c r="A149" t="s">
        <v>282</v>
      </c>
      <c r="B149" t="s">
        <v>696</v>
      </c>
      <c r="C149">
        <v>0.1</v>
      </c>
    </row>
    <row r="150" spans="1:3" x14ac:dyDescent="0.3">
      <c r="A150" t="s">
        <v>283</v>
      </c>
      <c r="B150" t="s">
        <v>25</v>
      </c>
      <c r="C150">
        <v>1.5</v>
      </c>
    </row>
    <row r="151" spans="1:3" x14ac:dyDescent="0.3">
      <c r="A151" t="s">
        <v>284</v>
      </c>
      <c r="B151" t="s">
        <v>25</v>
      </c>
      <c r="C151">
        <v>1.5</v>
      </c>
    </row>
    <row r="152" spans="1:3" x14ac:dyDescent="0.3">
      <c r="A152" t="s">
        <v>285</v>
      </c>
      <c r="B152" t="s">
        <v>710</v>
      </c>
      <c r="C152">
        <v>1</v>
      </c>
    </row>
    <row r="153" spans="1:3" x14ac:dyDescent="0.3">
      <c r="A153" t="s">
        <v>286</v>
      </c>
      <c r="B153" t="s">
        <v>710</v>
      </c>
      <c r="C153">
        <v>1</v>
      </c>
    </row>
    <row r="154" spans="1:3" x14ac:dyDescent="0.3">
      <c r="A154" t="s">
        <v>287</v>
      </c>
      <c r="B154" t="s">
        <v>710</v>
      </c>
      <c r="C154">
        <v>1</v>
      </c>
    </row>
    <row r="155" spans="1:3" x14ac:dyDescent="0.3">
      <c r="A155" t="s">
        <v>288</v>
      </c>
      <c r="B155" t="s">
        <v>710</v>
      </c>
      <c r="C155">
        <v>1</v>
      </c>
    </row>
    <row r="156" spans="1:3" x14ac:dyDescent="0.3">
      <c r="A156" t="s">
        <v>289</v>
      </c>
      <c r="B156" t="s">
        <v>710</v>
      </c>
      <c r="C156">
        <v>1</v>
      </c>
    </row>
    <row r="157" spans="1:3" x14ac:dyDescent="0.3">
      <c r="A157" t="s">
        <v>290</v>
      </c>
      <c r="B157" t="s">
        <v>710</v>
      </c>
      <c r="C157">
        <v>1</v>
      </c>
    </row>
    <row r="158" spans="1:3" x14ac:dyDescent="0.3">
      <c r="A158" t="s">
        <v>291</v>
      </c>
      <c r="B158" t="s">
        <v>710</v>
      </c>
      <c r="C158">
        <v>1</v>
      </c>
    </row>
    <row r="159" spans="1:3" x14ac:dyDescent="0.3">
      <c r="A159" t="s">
        <v>157</v>
      </c>
      <c r="B159" t="s">
        <v>26</v>
      </c>
      <c r="C159">
        <v>1.5</v>
      </c>
    </row>
    <row r="160" spans="1:3" x14ac:dyDescent="0.3">
      <c r="A160" t="s">
        <v>292</v>
      </c>
      <c r="B160" t="s">
        <v>711</v>
      </c>
      <c r="C160">
        <v>2</v>
      </c>
    </row>
    <row r="161" spans="1:3" x14ac:dyDescent="0.3">
      <c r="A161" t="s">
        <v>293</v>
      </c>
      <c r="B161" t="s">
        <v>711</v>
      </c>
      <c r="C161">
        <v>2</v>
      </c>
    </row>
    <row r="162" spans="1:3" x14ac:dyDescent="0.3">
      <c r="A162" t="s">
        <v>294</v>
      </c>
      <c r="B162" t="s">
        <v>26</v>
      </c>
      <c r="C162">
        <v>1.5</v>
      </c>
    </row>
    <row r="163" spans="1:3" x14ac:dyDescent="0.3">
      <c r="A163" t="s">
        <v>295</v>
      </c>
      <c r="B163" t="s">
        <v>26</v>
      </c>
      <c r="C163">
        <v>1.5</v>
      </c>
    </row>
    <row r="164" spans="1:3" x14ac:dyDescent="0.3">
      <c r="A164" t="s">
        <v>296</v>
      </c>
      <c r="B164" t="s">
        <v>26</v>
      </c>
      <c r="C164">
        <v>1.5</v>
      </c>
    </row>
    <row r="165" spans="1:3" x14ac:dyDescent="0.3">
      <c r="A165" t="s">
        <v>115</v>
      </c>
      <c r="B165" t="s">
        <v>699</v>
      </c>
      <c r="C165">
        <v>1</v>
      </c>
    </row>
    <row r="166" spans="1:3" x14ac:dyDescent="0.3">
      <c r="A166" t="s">
        <v>297</v>
      </c>
      <c r="B166" t="s">
        <v>698</v>
      </c>
      <c r="C166">
        <v>0.5</v>
      </c>
    </row>
    <row r="167" spans="1:3" x14ac:dyDescent="0.3">
      <c r="A167" t="s">
        <v>298</v>
      </c>
      <c r="B167" t="s">
        <v>696</v>
      </c>
      <c r="C167">
        <v>0.1</v>
      </c>
    </row>
    <row r="168" spans="1:3" x14ac:dyDescent="0.3">
      <c r="A168" t="s">
        <v>299</v>
      </c>
      <c r="B168" t="s">
        <v>696</v>
      </c>
      <c r="C168">
        <v>0.1</v>
      </c>
    </row>
    <row r="169" spans="1:3" x14ac:dyDescent="0.3">
      <c r="A169" t="s">
        <v>300</v>
      </c>
      <c r="B169" t="s">
        <v>25</v>
      </c>
      <c r="C169">
        <v>1.5</v>
      </c>
    </row>
    <row r="170" spans="1:3" x14ac:dyDescent="0.3">
      <c r="A170" t="s">
        <v>147</v>
      </c>
      <c r="B170" t="s">
        <v>696</v>
      </c>
      <c r="C170">
        <v>0.1</v>
      </c>
    </row>
    <row r="171" spans="1:3" x14ac:dyDescent="0.3">
      <c r="A171" t="s">
        <v>111</v>
      </c>
      <c r="B171" t="s">
        <v>696</v>
      </c>
      <c r="C171">
        <v>0.1</v>
      </c>
    </row>
    <row r="172" spans="1:3" x14ac:dyDescent="0.3">
      <c r="A172" t="s">
        <v>301</v>
      </c>
      <c r="B172" t="s">
        <v>696</v>
      </c>
      <c r="C172">
        <v>0.1</v>
      </c>
    </row>
    <row r="173" spans="1:3" x14ac:dyDescent="0.3">
      <c r="A173" t="s">
        <v>302</v>
      </c>
      <c r="B173" t="s">
        <v>696</v>
      </c>
      <c r="C173">
        <v>0.1</v>
      </c>
    </row>
    <row r="174" spans="1:3" x14ac:dyDescent="0.3">
      <c r="A174" t="s">
        <v>303</v>
      </c>
      <c r="B174" t="s">
        <v>696</v>
      </c>
      <c r="C174">
        <v>0.1</v>
      </c>
    </row>
    <row r="175" spans="1:3" x14ac:dyDescent="0.3">
      <c r="A175" t="s">
        <v>304</v>
      </c>
      <c r="B175" t="s">
        <v>696</v>
      </c>
      <c r="C175">
        <v>0.1</v>
      </c>
    </row>
    <row r="176" spans="1:3" x14ac:dyDescent="0.3">
      <c r="A176" t="s">
        <v>305</v>
      </c>
      <c r="B176" t="s">
        <v>712</v>
      </c>
      <c r="C176">
        <v>12</v>
      </c>
    </row>
    <row r="177" spans="1:3" x14ac:dyDescent="0.3">
      <c r="A177" t="s">
        <v>306</v>
      </c>
      <c r="B177" t="s">
        <v>713</v>
      </c>
      <c r="C177">
        <v>8</v>
      </c>
    </row>
    <row r="178" spans="1:3" x14ac:dyDescent="0.3">
      <c r="A178" t="s">
        <v>307</v>
      </c>
      <c r="B178" t="s">
        <v>26</v>
      </c>
      <c r="C178">
        <v>1.5</v>
      </c>
    </row>
    <row r="179" spans="1:3" x14ac:dyDescent="0.3">
      <c r="A179" t="s">
        <v>308</v>
      </c>
      <c r="B179" t="s">
        <v>698</v>
      </c>
      <c r="C179">
        <v>0.5</v>
      </c>
    </row>
    <row r="180" spans="1:3" x14ac:dyDescent="0.3">
      <c r="A180" t="s">
        <v>309</v>
      </c>
      <c r="B180" t="s">
        <v>698</v>
      </c>
      <c r="C180">
        <v>0.5</v>
      </c>
    </row>
    <row r="181" spans="1:3" x14ac:dyDescent="0.3">
      <c r="A181" t="s">
        <v>310</v>
      </c>
      <c r="B181" t="s">
        <v>696</v>
      </c>
      <c r="C181">
        <v>0.1</v>
      </c>
    </row>
    <row r="182" spans="1:3" x14ac:dyDescent="0.3">
      <c r="A182" t="s">
        <v>311</v>
      </c>
      <c r="B182" t="s">
        <v>696</v>
      </c>
      <c r="C182">
        <v>0.1</v>
      </c>
    </row>
    <row r="183" spans="1:3" x14ac:dyDescent="0.3">
      <c r="A183" t="s">
        <v>312</v>
      </c>
      <c r="B183" t="s">
        <v>25</v>
      </c>
      <c r="C183">
        <v>1.5</v>
      </c>
    </row>
    <row r="184" spans="1:3" x14ac:dyDescent="0.3">
      <c r="A184" t="s">
        <v>313</v>
      </c>
      <c r="B184" t="s">
        <v>696</v>
      </c>
      <c r="C184">
        <v>0.1</v>
      </c>
    </row>
    <row r="185" spans="1:3" x14ac:dyDescent="0.3">
      <c r="A185" t="s">
        <v>314</v>
      </c>
      <c r="B185" t="s">
        <v>26</v>
      </c>
      <c r="C185">
        <v>1.5</v>
      </c>
    </row>
    <row r="186" spans="1:3" x14ac:dyDescent="0.3">
      <c r="A186" t="s">
        <v>315</v>
      </c>
      <c r="B186" t="s">
        <v>699</v>
      </c>
      <c r="C186">
        <v>1</v>
      </c>
    </row>
    <row r="187" spans="1:3" x14ac:dyDescent="0.3">
      <c r="A187" t="s">
        <v>163</v>
      </c>
      <c r="B187" t="s">
        <v>696</v>
      </c>
      <c r="C187">
        <v>0.1</v>
      </c>
    </row>
    <row r="188" spans="1:3" x14ac:dyDescent="0.3">
      <c r="A188" t="s">
        <v>114</v>
      </c>
      <c r="B188" t="s">
        <v>26</v>
      </c>
      <c r="C188">
        <v>1.5</v>
      </c>
    </row>
    <row r="189" spans="1:3" x14ac:dyDescent="0.3">
      <c r="A189" t="s">
        <v>116</v>
      </c>
      <c r="B189" t="s">
        <v>696</v>
      </c>
      <c r="C189">
        <v>0.1</v>
      </c>
    </row>
    <row r="190" spans="1:3" x14ac:dyDescent="0.3">
      <c r="A190" t="s">
        <v>118</v>
      </c>
      <c r="B190" t="s">
        <v>696</v>
      </c>
      <c r="C190">
        <v>0.1</v>
      </c>
    </row>
    <row r="191" spans="1:3" x14ac:dyDescent="0.3">
      <c r="A191" t="s">
        <v>316</v>
      </c>
      <c r="B191" t="s">
        <v>699</v>
      </c>
      <c r="C191">
        <v>1</v>
      </c>
    </row>
    <row r="192" spans="1:3" x14ac:dyDescent="0.3">
      <c r="A192" t="s">
        <v>317</v>
      </c>
      <c r="B192" t="s">
        <v>696</v>
      </c>
      <c r="C192">
        <v>0.1</v>
      </c>
    </row>
    <row r="193" spans="1:3" x14ac:dyDescent="0.3">
      <c r="A193" t="s">
        <v>119</v>
      </c>
      <c r="B193" t="s">
        <v>702</v>
      </c>
      <c r="C193">
        <v>2</v>
      </c>
    </row>
    <row r="194" spans="1:3" x14ac:dyDescent="0.3">
      <c r="A194" t="s">
        <v>318</v>
      </c>
      <c r="B194" t="s">
        <v>696</v>
      </c>
      <c r="C194">
        <v>0.1</v>
      </c>
    </row>
    <row r="195" spans="1:3" x14ac:dyDescent="0.3">
      <c r="A195" t="s">
        <v>319</v>
      </c>
      <c r="B195" t="s">
        <v>714</v>
      </c>
      <c r="C195">
        <v>1</v>
      </c>
    </row>
    <row r="196" spans="1:3" x14ac:dyDescent="0.3">
      <c r="A196" t="s">
        <v>320</v>
      </c>
      <c r="B196" t="s">
        <v>696</v>
      </c>
      <c r="C196">
        <v>0.1</v>
      </c>
    </row>
    <row r="197" spans="1:3" x14ac:dyDescent="0.3">
      <c r="A197" t="s">
        <v>321</v>
      </c>
      <c r="B197" t="s">
        <v>696</v>
      </c>
      <c r="C197">
        <v>0.1</v>
      </c>
    </row>
    <row r="198" spans="1:3" x14ac:dyDescent="0.3">
      <c r="A198" t="s">
        <v>322</v>
      </c>
      <c r="B198" t="s">
        <v>696</v>
      </c>
      <c r="C198">
        <v>0.1</v>
      </c>
    </row>
    <row r="199" spans="1:3" x14ac:dyDescent="0.3">
      <c r="A199" t="s">
        <v>323</v>
      </c>
      <c r="B199" t="s">
        <v>701</v>
      </c>
      <c r="C199">
        <v>5</v>
      </c>
    </row>
    <row r="200" spans="1:3" x14ac:dyDescent="0.3">
      <c r="A200" t="s">
        <v>324</v>
      </c>
      <c r="B200" t="s">
        <v>26</v>
      </c>
      <c r="C200">
        <v>1.5</v>
      </c>
    </row>
    <row r="201" spans="1:3" x14ac:dyDescent="0.3">
      <c r="A201" t="s">
        <v>325</v>
      </c>
      <c r="B201" t="s">
        <v>26</v>
      </c>
      <c r="C201">
        <v>1.5</v>
      </c>
    </row>
    <row r="202" spans="1:3" x14ac:dyDescent="0.3">
      <c r="A202" t="s">
        <v>150</v>
      </c>
      <c r="B202" t="s">
        <v>25</v>
      </c>
      <c r="C202">
        <v>1.5</v>
      </c>
    </row>
    <row r="203" spans="1:3" x14ac:dyDescent="0.3">
      <c r="A203" t="s">
        <v>326</v>
      </c>
      <c r="B203" t="s">
        <v>696</v>
      </c>
      <c r="C203">
        <v>0.1</v>
      </c>
    </row>
    <row r="204" spans="1:3" x14ac:dyDescent="0.3">
      <c r="A204" t="s">
        <v>327</v>
      </c>
      <c r="B204" t="s">
        <v>696</v>
      </c>
      <c r="C204">
        <v>0.1</v>
      </c>
    </row>
    <row r="205" spans="1:3" x14ac:dyDescent="0.3">
      <c r="A205" t="s">
        <v>328</v>
      </c>
      <c r="B205" t="s">
        <v>696</v>
      </c>
      <c r="C205">
        <v>0.1</v>
      </c>
    </row>
    <row r="206" spans="1:3" x14ac:dyDescent="0.3">
      <c r="A206" t="s">
        <v>329</v>
      </c>
      <c r="B206" t="s">
        <v>696</v>
      </c>
      <c r="C206">
        <v>0.1</v>
      </c>
    </row>
    <row r="207" spans="1:3" x14ac:dyDescent="0.3">
      <c r="A207" t="s">
        <v>330</v>
      </c>
      <c r="B207" t="s">
        <v>696</v>
      </c>
      <c r="C207">
        <v>0.1</v>
      </c>
    </row>
    <row r="208" spans="1:3" x14ac:dyDescent="0.3">
      <c r="A208" t="s">
        <v>331</v>
      </c>
      <c r="B208" t="s">
        <v>696</v>
      </c>
      <c r="C208">
        <v>0.1</v>
      </c>
    </row>
    <row r="209" spans="1:3" x14ac:dyDescent="0.3">
      <c r="A209" t="s">
        <v>100</v>
      </c>
      <c r="B209" t="s">
        <v>59</v>
      </c>
      <c r="C209">
        <v>8</v>
      </c>
    </row>
    <row r="210" spans="1:3" x14ac:dyDescent="0.3">
      <c r="A210" t="s">
        <v>332</v>
      </c>
      <c r="B210" t="s">
        <v>26</v>
      </c>
      <c r="C210">
        <v>1.5</v>
      </c>
    </row>
    <row r="211" spans="1:3" x14ac:dyDescent="0.3">
      <c r="A211" t="s">
        <v>333</v>
      </c>
      <c r="B211" t="s">
        <v>26</v>
      </c>
      <c r="C211">
        <v>1.5</v>
      </c>
    </row>
    <row r="212" spans="1:3" x14ac:dyDescent="0.3">
      <c r="A212" t="s">
        <v>334</v>
      </c>
      <c r="B212" t="s">
        <v>698</v>
      </c>
      <c r="C212">
        <v>0.5</v>
      </c>
    </row>
    <row r="213" spans="1:3" x14ac:dyDescent="0.3">
      <c r="A213" t="s">
        <v>335</v>
      </c>
      <c r="B213" t="s">
        <v>696</v>
      </c>
      <c r="C213">
        <v>0.1</v>
      </c>
    </row>
    <row r="214" spans="1:3" x14ac:dyDescent="0.3">
      <c r="A214" t="s">
        <v>121</v>
      </c>
      <c r="B214" t="s">
        <v>696</v>
      </c>
      <c r="C214">
        <v>0.1</v>
      </c>
    </row>
    <row r="215" spans="1:3" x14ac:dyDescent="0.3">
      <c r="A215" t="s">
        <v>122</v>
      </c>
      <c r="B215" t="s">
        <v>696</v>
      </c>
      <c r="C215">
        <v>0.1</v>
      </c>
    </row>
    <row r="216" spans="1:3" x14ac:dyDescent="0.3">
      <c r="A216" t="s">
        <v>336</v>
      </c>
      <c r="B216" t="s">
        <v>715</v>
      </c>
      <c r="C216">
        <v>8</v>
      </c>
    </row>
    <row r="217" spans="1:3" x14ac:dyDescent="0.3">
      <c r="A217" t="s">
        <v>337</v>
      </c>
      <c r="B217" t="s">
        <v>701</v>
      </c>
      <c r="C217">
        <v>5</v>
      </c>
    </row>
    <row r="218" spans="1:3" x14ac:dyDescent="0.3">
      <c r="A218" t="s">
        <v>338</v>
      </c>
      <c r="B218" t="s">
        <v>702</v>
      </c>
      <c r="C218">
        <v>2</v>
      </c>
    </row>
    <row r="219" spans="1:3" x14ac:dyDescent="0.3">
      <c r="A219" t="s">
        <v>339</v>
      </c>
      <c r="B219" t="s">
        <v>714</v>
      </c>
      <c r="C219">
        <v>1</v>
      </c>
    </row>
    <row r="220" spans="1:3" x14ac:dyDescent="0.3">
      <c r="A220" t="s">
        <v>791</v>
      </c>
      <c r="B220" t="s">
        <v>716</v>
      </c>
      <c r="C220">
        <v>1</v>
      </c>
    </row>
    <row r="221" spans="1:3" x14ac:dyDescent="0.3">
      <c r="A221" t="s">
        <v>340</v>
      </c>
      <c r="B221" t="s">
        <v>701</v>
      </c>
      <c r="C221">
        <v>5</v>
      </c>
    </row>
    <row r="222" spans="1:3" x14ac:dyDescent="0.3">
      <c r="A222" t="s">
        <v>123</v>
      </c>
      <c r="B222" t="s">
        <v>25</v>
      </c>
      <c r="C222">
        <v>1.5</v>
      </c>
    </row>
    <row r="223" spans="1:3" x14ac:dyDescent="0.3">
      <c r="A223" t="s">
        <v>341</v>
      </c>
      <c r="B223" t="s">
        <v>696</v>
      </c>
      <c r="C223">
        <v>0.1</v>
      </c>
    </row>
    <row r="224" spans="1:3" x14ac:dyDescent="0.3">
      <c r="A224" t="s">
        <v>342</v>
      </c>
      <c r="B224" t="s">
        <v>696</v>
      </c>
      <c r="C224">
        <v>0.1</v>
      </c>
    </row>
    <row r="225" spans="1:3" x14ac:dyDescent="0.3">
      <c r="A225" t="s">
        <v>343</v>
      </c>
      <c r="B225" t="s">
        <v>23</v>
      </c>
      <c r="C225">
        <v>4</v>
      </c>
    </row>
    <row r="226" spans="1:3" x14ac:dyDescent="0.3">
      <c r="A226" t="s">
        <v>344</v>
      </c>
      <c r="B226" t="s">
        <v>26</v>
      </c>
      <c r="C226">
        <v>1.5</v>
      </c>
    </row>
    <row r="227" spans="1:3" x14ac:dyDescent="0.3">
      <c r="A227" t="s">
        <v>345</v>
      </c>
      <c r="B227" t="s">
        <v>26</v>
      </c>
      <c r="C227">
        <v>1.5</v>
      </c>
    </row>
    <row r="228" spans="1:3" x14ac:dyDescent="0.3">
      <c r="A228" t="s">
        <v>346</v>
      </c>
      <c r="B228" t="s">
        <v>26</v>
      </c>
      <c r="C228">
        <v>1.5</v>
      </c>
    </row>
    <row r="229" spans="1:3" x14ac:dyDescent="0.3">
      <c r="A229" t="s">
        <v>347</v>
      </c>
      <c r="B229" t="s">
        <v>703</v>
      </c>
      <c r="C229">
        <v>4</v>
      </c>
    </row>
    <row r="230" spans="1:3" x14ac:dyDescent="0.3">
      <c r="A230" t="s">
        <v>348</v>
      </c>
      <c r="B230" t="s">
        <v>709</v>
      </c>
      <c r="C230">
        <v>2.5</v>
      </c>
    </row>
    <row r="231" spans="1:3" x14ac:dyDescent="0.3">
      <c r="A231" t="s">
        <v>124</v>
      </c>
      <c r="B231" t="s">
        <v>25</v>
      </c>
      <c r="C231">
        <v>1.5</v>
      </c>
    </row>
    <row r="232" spans="1:3" x14ac:dyDescent="0.3">
      <c r="A232" t="s">
        <v>349</v>
      </c>
      <c r="B232" t="s">
        <v>696</v>
      </c>
      <c r="C232">
        <v>0.1</v>
      </c>
    </row>
    <row r="233" spans="1:3" x14ac:dyDescent="0.3">
      <c r="A233" t="s">
        <v>350</v>
      </c>
      <c r="B233" t="s">
        <v>700</v>
      </c>
      <c r="C233">
        <v>4</v>
      </c>
    </row>
    <row r="234" spans="1:3" x14ac:dyDescent="0.3">
      <c r="A234" t="s">
        <v>351</v>
      </c>
      <c r="B234" t="s">
        <v>23</v>
      </c>
      <c r="C234">
        <v>4</v>
      </c>
    </row>
    <row r="235" spans="1:3" x14ac:dyDescent="0.3">
      <c r="A235" t="s">
        <v>352</v>
      </c>
      <c r="B235" t="s">
        <v>26</v>
      </c>
      <c r="C235">
        <v>1.5</v>
      </c>
    </row>
    <row r="236" spans="1:3" x14ac:dyDescent="0.3">
      <c r="A236" t="s">
        <v>353</v>
      </c>
      <c r="B236" t="s">
        <v>26</v>
      </c>
      <c r="C236">
        <v>1.5</v>
      </c>
    </row>
    <row r="237" spans="1:3" x14ac:dyDescent="0.3">
      <c r="A237" t="s">
        <v>354</v>
      </c>
      <c r="B237" t="s">
        <v>710</v>
      </c>
      <c r="C237">
        <v>1</v>
      </c>
    </row>
    <row r="238" spans="1:3" x14ac:dyDescent="0.3">
      <c r="A238" t="s">
        <v>112</v>
      </c>
      <c r="B238" t="s">
        <v>706</v>
      </c>
      <c r="C238">
        <v>8</v>
      </c>
    </row>
    <row r="239" spans="1:3" x14ac:dyDescent="0.3">
      <c r="A239" t="s">
        <v>355</v>
      </c>
      <c r="B239" t="s">
        <v>697</v>
      </c>
      <c r="C239">
        <v>1.5</v>
      </c>
    </row>
    <row r="240" spans="1:3" x14ac:dyDescent="0.3">
      <c r="A240" t="s">
        <v>356</v>
      </c>
      <c r="B240" t="s">
        <v>697</v>
      </c>
      <c r="C240">
        <v>1.5</v>
      </c>
    </row>
    <row r="241" spans="1:3" x14ac:dyDescent="0.3">
      <c r="A241" t="s">
        <v>125</v>
      </c>
      <c r="B241" t="s">
        <v>697</v>
      </c>
      <c r="C241">
        <v>1.5</v>
      </c>
    </row>
    <row r="242" spans="1:3" x14ac:dyDescent="0.3">
      <c r="A242" t="s">
        <v>126</v>
      </c>
      <c r="B242" t="s">
        <v>697</v>
      </c>
      <c r="C242">
        <v>1.5</v>
      </c>
    </row>
    <row r="243" spans="1:3" x14ac:dyDescent="0.3">
      <c r="A243" t="s">
        <v>357</v>
      </c>
      <c r="B243" t="s">
        <v>696</v>
      </c>
      <c r="C243">
        <v>0.1</v>
      </c>
    </row>
    <row r="244" spans="1:3" x14ac:dyDescent="0.3">
      <c r="A244" t="s">
        <v>186</v>
      </c>
      <c r="B244" t="s">
        <v>794</v>
      </c>
      <c r="C244">
        <v>8</v>
      </c>
    </row>
    <row r="245" spans="1:3" x14ac:dyDescent="0.3">
      <c r="A245" t="s">
        <v>193</v>
      </c>
      <c r="B245" t="s">
        <v>25</v>
      </c>
      <c r="C245">
        <v>1.5</v>
      </c>
    </row>
    <row r="246" spans="1:3" x14ac:dyDescent="0.3">
      <c r="A246" t="s">
        <v>358</v>
      </c>
      <c r="B246" t="s">
        <v>25</v>
      </c>
      <c r="C246">
        <v>1.5</v>
      </c>
    </row>
    <row r="247" spans="1:3" x14ac:dyDescent="0.3">
      <c r="A247" t="s">
        <v>359</v>
      </c>
      <c r="B247" t="s">
        <v>698</v>
      </c>
      <c r="C247">
        <v>0.5</v>
      </c>
    </row>
    <row r="248" spans="1:3" x14ac:dyDescent="0.3">
      <c r="A248" t="s">
        <v>360</v>
      </c>
      <c r="B248" t="s">
        <v>23</v>
      </c>
      <c r="C248">
        <v>4</v>
      </c>
    </row>
    <row r="249" spans="1:3" x14ac:dyDescent="0.3">
      <c r="A249" t="s">
        <v>361</v>
      </c>
      <c r="B249" t="s">
        <v>699</v>
      </c>
      <c r="C249">
        <v>1</v>
      </c>
    </row>
    <row r="250" spans="1:3" x14ac:dyDescent="0.3">
      <c r="A250" t="s">
        <v>362</v>
      </c>
      <c r="B250" t="s">
        <v>696</v>
      </c>
      <c r="C250">
        <v>0.1</v>
      </c>
    </row>
    <row r="251" spans="1:3" x14ac:dyDescent="0.3">
      <c r="A251" t="s">
        <v>155</v>
      </c>
      <c r="B251" t="s">
        <v>706</v>
      </c>
      <c r="C251">
        <v>8</v>
      </c>
    </row>
    <row r="252" spans="1:3" x14ac:dyDescent="0.3">
      <c r="A252" t="s">
        <v>363</v>
      </c>
      <c r="B252" t="s">
        <v>697</v>
      </c>
      <c r="C252">
        <v>1.5</v>
      </c>
    </row>
    <row r="253" spans="1:3" x14ac:dyDescent="0.3">
      <c r="A253" t="s">
        <v>364</v>
      </c>
      <c r="B253" t="s">
        <v>698</v>
      </c>
      <c r="C253">
        <v>0.5</v>
      </c>
    </row>
    <row r="254" spans="1:3" x14ac:dyDescent="0.3">
      <c r="A254" t="s">
        <v>365</v>
      </c>
      <c r="B254" t="s">
        <v>701</v>
      </c>
      <c r="C254">
        <v>5</v>
      </c>
    </row>
    <row r="255" spans="1:3" x14ac:dyDescent="0.3">
      <c r="A255" t="s">
        <v>165</v>
      </c>
      <c r="B255" t="s">
        <v>23</v>
      </c>
      <c r="C255">
        <v>4</v>
      </c>
    </row>
    <row r="256" spans="1:3" x14ac:dyDescent="0.3">
      <c r="A256" t="s">
        <v>366</v>
      </c>
      <c r="B256" t="s">
        <v>23</v>
      </c>
      <c r="C256">
        <v>4</v>
      </c>
    </row>
    <row r="257" spans="1:3" x14ac:dyDescent="0.3">
      <c r="A257" t="s">
        <v>367</v>
      </c>
      <c r="B257" t="s">
        <v>702</v>
      </c>
      <c r="C257">
        <v>2</v>
      </c>
    </row>
    <row r="258" spans="1:3" x14ac:dyDescent="0.3">
      <c r="A258" t="s">
        <v>368</v>
      </c>
      <c r="B258" t="s">
        <v>26</v>
      </c>
      <c r="C258">
        <v>1.5</v>
      </c>
    </row>
    <row r="259" spans="1:3" x14ac:dyDescent="0.3">
      <c r="A259" t="s">
        <v>369</v>
      </c>
      <c r="B259" t="s">
        <v>696</v>
      </c>
      <c r="C259">
        <v>0.1</v>
      </c>
    </row>
    <row r="260" spans="1:3" x14ac:dyDescent="0.3">
      <c r="A260" t="s">
        <v>370</v>
      </c>
      <c r="B260" t="s">
        <v>699</v>
      </c>
      <c r="C260">
        <v>1</v>
      </c>
    </row>
    <row r="261" spans="1:3" x14ac:dyDescent="0.3">
      <c r="A261" t="s">
        <v>371</v>
      </c>
      <c r="B261" t="s">
        <v>696</v>
      </c>
      <c r="C261">
        <v>0.1</v>
      </c>
    </row>
    <row r="262" spans="1:3" x14ac:dyDescent="0.3">
      <c r="A262" t="s">
        <v>372</v>
      </c>
      <c r="B262" t="s">
        <v>696</v>
      </c>
      <c r="C262">
        <v>0.1</v>
      </c>
    </row>
    <row r="263" spans="1:3" x14ac:dyDescent="0.3">
      <c r="A263" t="s">
        <v>373</v>
      </c>
      <c r="B263" t="s">
        <v>26</v>
      </c>
      <c r="C263">
        <v>1.5</v>
      </c>
    </row>
    <row r="264" spans="1:3" x14ac:dyDescent="0.3">
      <c r="A264" t="s">
        <v>374</v>
      </c>
      <c r="B264" t="s">
        <v>696</v>
      </c>
      <c r="C264">
        <v>0.1</v>
      </c>
    </row>
    <row r="265" spans="1:3" x14ac:dyDescent="0.3">
      <c r="A265" t="s">
        <v>375</v>
      </c>
      <c r="B265" t="s">
        <v>26</v>
      </c>
      <c r="C265">
        <v>1.5</v>
      </c>
    </row>
    <row r="266" spans="1:3" x14ac:dyDescent="0.3">
      <c r="A266" t="s">
        <v>376</v>
      </c>
      <c r="B266" t="s">
        <v>698</v>
      </c>
      <c r="C266">
        <v>0.5</v>
      </c>
    </row>
    <row r="267" spans="1:3" x14ac:dyDescent="0.3">
      <c r="A267" t="s">
        <v>377</v>
      </c>
      <c r="B267" t="s">
        <v>696</v>
      </c>
      <c r="C267">
        <v>0.1</v>
      </c>
    </row>
    <row r="268" spans="1:3" x14ac:dyDescent="0.3">
      <c r="A268" t="s">
        <v>378</v>
      </c>
      <c r="B268" t="s">
        <v>696</v>
      </c>
      <c r="C268">
        <v>0.1</v>
      </c>
    </row>
    <row r="269" spans="1:3" x14ac:dyDescent="0.3">
      <c r="A269" t="s">
        <v>379</v>
      </c>
      <c r="B269" t="s">
        <v>696</v>
      </c>
      <c r="C269">
        <v>0.1</v>
      </c>
    </row>
    <row r="270" spans="1:3" x14ac:dyDescent="0.3">
      <c r="A270" t="s">
        <v>380</v>
      </c>
      <c r="B270" t="s">
        <v>696</v>
      </c>
      <c r="C270">
        <v>0.1</v>
      </c>
    </row>
    <row r="271" spans="1:3" x14ac:dyDescent="0.3">
      <c r="A271" t="s">
        <v>381</v>
      </c>
      <c r="B271" t="s">
        <v>26</v>
      </c>
      <c r="C271">
        <v>1.5</v>
      </c>
    </row>
    <row r="272" spans="1:3" x14ac:dyDescent="0.3">
      <c r="A272" t="s">
        <v>382</v>
      </c>
      <c r="B272" t="s">
        <v>26</v>
      </c>
      <c r="C272">
        <v>1.5</v>
      </c>
    </row>
    <row r="273" spans="1:3" x14ac:dyDescent="0.3">
      <c r="A273" t="s">
        <v>383</v>
      </c>
      <c r="B273" t="s">
        <v>699</v>
      </c>
      <c r="C273">
        <v>1</v>
      </c>
    </row>
    <row r="274" spans="1:3" x14ac:dyDescent="0.3">
      <c r="A274" t="s">
        <v>384</v>
      </c>
      <c r="B274" t="s">
        <v>696</v>
      </c>
      <c r="C274">
        <v>0.1</v>
      </c>
    </row>
    <row r="275" spans="1:3" x14ac:dyDescent="0.3">
      <c r="A275" t="s">
        <v>385</v>
      </c>
      <c r="B275" t="s">
        <v>696</v>
      </c>
      <c r="C275">
        <v>0.1</v>
      </c>
    </row>
    <row r="276" spans="1:3" x14ac:dyDescent="0.3">
      <c r="A276" t="s">
        <v>386</v>
      </c>
      <c r="B276" t="s">
        <v>699</v>
      </c>
      <c r="C276">
        <v>1</v>
      </c>
    </row>
    <row r="277" spans="1:3" x14ac:dyDescent="0.3">
      <c r="A277" t="s">
        <v>387</v>
      </c>
      <c r="B277" t="s">
        <v>696</v>
      </c>
      <c r="C277">
        <v>0.1</v>
      </c>
    </row>
    <row r="278" spans="1:3" x14ac:dyDescent="0.3">
      <c r="A278" t="s">
        <v>146</v>
      </c>
      <c r="B278" t="s">
        <v>702</v>
      </c>
      <c r="C278">
        <v>2</v>
      </c>
    </row>
    <row r="279" spans="1:3" x14ac:dyDescent="0.3">
      <c r="A279" t="s">
        <v>141</v>
      </c>
      <c r="B279" t="s">
        <v>702</v>
      </c>
      <c r="C279">
        <v>2</v>
      </c>
    </row>
    <row r="280" spans="1:3" x14ac:dyDescent="0.3">
      <c r="A280" t="s">
        <v>388</v>
      </c>
      <c r="B280" t="s">
        <v>26</v>
      </c>
      <c r="C280">
        <v>1.5</v>
      </c>
    </row>
    <row r="281" spans="1:3" x14ac:dyDescent="0.3">
      <c r="A281" t="s">
        <v>389</v>
      </c>
      <c r="B281" t="s">
        <v>26</v>
      </c>
      <c r="C281">
        <v>1.5</v>
      </c>
    </row>
    <row r="282" spans="1:3" x14ac:dyDescent="0.3">
      <c r="A282" t="s">
        <v>390</v>
      </c>
      <c r="B282" t="s">
        <v>26</v>
      </c>
      <c r="C282">
        <v>1.5</v>
      </c>
    </row>
    <row r="283" spans="1:3" x14ac:dyDescent="0.3">
      <c r="A283" t="s">
        <v>391</v>
      </c>
      <c r="B283" t="s">
        <v>26</v>
      </c>
      <c r="C283">
        <v>1.5</v>
      </c>
    </row>
    <row r="284" spans="1:3" x14ac:dyDescent="0.3">
      <c r="A284" t="s">
        <v>392</v>
      </c>
      <c r="B284" t="s">
        <v>26</v>
      </c>
      <c r="C284">
        <v>1.5</v>
      </c>
    </row>
    <row r="285" spans="1:3" x14ac:dyDescent="0.3">
      <c r="A285" t="s">
        <v>393</v>
      </c>
      <c r="B285" t="s">
        <v>25</v>
      </c>
      <c r="C285">
        <v>1.5</v>
      </c>
    </row>
    <row r="286" spans="1:3" x14ac:dyDescent="0.3">
      <c r="A286" t="s">
        <v>394</v>
      </c>
      <c r="B286" t="s">
        <v>697</v>
      </c>
      <c r="C286">
        <v>1.5</v>
      </c>
    </row>
    <row r="287" spans="1:3" x14ac:dyDescent="0.3">
      <c r="A287" t="s">
        <v>395</v>
      </c>
      <c r="B287" t="s">
        <v>704</v>
      </c>
      <c r="C287">
        <v>1</v>
      </c>
    </row>
    <row r="288" spans="1:3" x14ac:dyDescent="0.3">
      <c r="A288" t="s">
        <v>396</v>
      </c>
      <c r="B288" t="s">
        <v>698</v>
      </c>
      <c r="C288">
        <v>0.5</v>
      </c>
    </row>
    <row r="289" spans="1:3" x14ac:dyDescent="0.3">
      <c r="A289" t="s">
        <v>397</v>
      </c>
      <c r="B289" t="s">
        <v>696</v>
      </c>
      <c r="C289">
        <v>0.1</v>
      </c>
    </row>
    <row r="290" spans="1:3" x14ac:dyDescent="0.3">
      <c r="A290" t="s">
        <v>398</v>
      </c>
      <c r="B290" t="s">
        <v>702</v>
      </c>
      <c r="C290">
        <v>2</v>
      </c>
    </row>
    <row r="291" spans="1:3" x14ac:dyDescent="0.3">
      <c r="A291" t="s">
        <v>399</v>
      </c>
      <c r="B291" t="s">
        <v>26</v>
      </c>
      <c r="C291">
        <v>1.5</v>
      </c>
    </row>
    <row r="292" spans="1:3" x14ac:dyDescent="0.3">
      <c r="A292" t="s">
        <v>146</v>
      </c>
      <c r="B292" t="s">
        <v>26</v>
      </c>
      <c r="C292">
        <v>1.5</v>
      </c>
    </row>
    <row r="293" spans="1:3" x14ac:dyDescent="0.3">
      <c r="A293" t="s">
        <v>400</v>
      </c>
      <c r="B293" t="s">
        <v>26</v>
      </c>
      <c r="C293">
        <v>1.5</v>
      </c>
    </row>
    <row r="294" spans="1:3" x14ac:dyDescent="0.3">
      <c r="A294" t="s">
        <v>401</v>
      </c>
      <c r="B294" t="s">
        <v>26</v>
      </c>
      <c r="C294">
        <v>1.5</v>
      </c>
    </row>
    <row r="295" spans="1:3" x14ac:dyDescent="0.3">
      <c r="A295" t="s">
        <v>402</v>
      </c>
      <c r="B295" t="s">
        <v>26</v>
      </c>
      <c r="C295">
        <v>1.5</v>
      </c>
    </row>
    <row r="296" spans="1:3" x14ac:dyDescent="0.3">
      <c r="A296" t="s">
        <v>139</v>
      </c>
      <c r="B296" t="s">
        <v>26</v>
      </c>
      <c r="C296">
        <v>1.5</v>
      </c>
    </row>
    <row r="297" spans="1:3" x14ac:dyDescent="0.3">
      <c r="A297" t="s">
        <v>403</v>
      </c>
      <c r="B297" t="s">
        <v>26</v>
      </c>
      <c r="C297">
        <v>1.5</v>
      </c>
    </row>
    <row r="298" spans="1:3" x14ac:dyDescent="0.3">
      <c r="A298" t="s">
        <v>404</v>
      </c>
      <c r="B298" t="s">
        <v>696</v>
      </c>
      <c r="C298">
        <v>0.1</v>
      </c>
    </row>
    <row r="299" spans="1:3" x14ac:dyDescent="0.3">
      <c r="A299" t="s">
        <v>129</v>
      </c>
      <c r="B299" t="s">
        <v>25</v>
      </c>
      <c r="C299">
        <v>1.5</v>
      </c>
    </row>
    <row r="300" spans="1:3" x14ac:dyDescent="0.3">
      <c r="A300" t="s">
        <v>405</v>
      </c>
      <c r="B300" t="s">
        <v>696</v>
      </c>
      <c r="C300">
        <v>0.1</v>
      </c>
    </row>
    <row r="301" spans="1:3" x14ac:dyDescent="0.3">
      <c r="A301" t="s">
        <v>406</v>
      </c>
      <c r="B301" t="s">
        <v>696</v>
      </c>
      <c r="C301">
        <v>0.1</v>
      </c>
    </row>
    <row r="302" spans="1:3" x14ac:dyDescent="0.3">
      <c r="A302" t="s">
        <v>407</v>
      </c>
      <c r="B302" t="s">
        <v>696</v>
      </c>
      <c r="C302">
        <v>0.1</v>
      </c>
    </row>
    <row r="303" spans="1:3" x14ac:dyDescent="0.3">
      <c r="A303" t="s">
        <v>190</v>
      </c>
      <c r="B303" t="s">
        <v>706</v>
      </c>
      <c r="C303">
        <v>8</v>
      </c>
    </row>
    <row r="304" spans="1:3" x14ac:dyDescent="0.3">
      <c r="A304" t="s">
        <v>408</v>
      </c>
      <c r="B304" t="s">
        <v>26</v>
      </c>
      <c r="C304">
        <v>1.5</v>
      </c>
    </row>
    <row r="305" spans="1:3" x14ac:dyDescent="0.3">
      <c r="A305" t="s">
        <v>409</v>
      </c>
      <c r="B305" t="s">
        <v>26</v>
      </c>
      <c r="C305">
        <v>1.5</v>
      </c>
    </row>
    <row r="306" spans="1:3" x14ac:dyDescent="0.3">
      <c r="A306" t="s">
        <v>410</v>
      </c>
      <c r="B306" t="s">
        <v>702</v>
      </c>
      <c r="C306">
        <v>2</v>
      </c>
    </row>
    <row r="307" spans="1:3" x14ac:dyDescent="0.3">
      <c r="A307" t="s">
        <v>411</v>
      </c>
      <c r="B307" t="s">
        <v>26</v>
      </c>
      <c r="C307">
        <v>1.5</v>
      </c>
    </row>
    <row r="308" spans="1:3" x14ac:dyDescent="0.3">
      <c r="A308" t="s">
        <v>412</v>
      </c>
      <c r="B308" t="s">
        <v>714</v>
      </c>
      <c r="C308">
        <v>1</v>
      </c>
    </row>
    <row r="309" spans="1:3" x14ac:dyDescent="0.3">
      <c r="A309" t="s">
        <v>413</v>
      </c>
      <c r="B309" t="s">
        <v>698</v>
      </c>
      <c r="C309">
        <v>0.5</v>
      </c>
    </row>
    <row r="310" spans="1:3" x14ac:dyDescent="0.3">
      <c r="A310" t="s">
        <v>414</v>
      </c>
      <c r="B310" t="s">
        <v>696</v>
      </c>
      <c r="C310">
        <v>0.1</v>
      </c>
    </row>
    <row r="311" spans="1:3" x14ac:dyDescent="0.3">
      <c r="A311" t="s">
        <v>415</v>
      </c>
      <c r="B311" t="s">
        <v>696</v>
      </c>
      <c r="C311">
        <v>0.1</v>
      </c>
    </row>
    <row r="312" spans="1:3" x14ac:dyDescent="0.3">
      <c r="A312" t="s">
        <v>416</v>
      </c>
      <c r="B312" t="s">
        <v>696</v>
      </c>
      <c r="C312">
        <v>0.1</v>
      </c>
    </row>
    <row r="313" spans="1:3" x14ac:dyDescent="0.3">
      <c r="A313" t="s">
        <v>417</v>
      </c>
      <c r="B313" t="s">
        <v>696</v>
      </c>
      <c r="C313">
        <v>0.1</v>
      </c>
    </row>
    <row r="314" spans="1:3" x14ac:dyDescent="0.3">
      <c r="A314" t="s">
        <v>365</v>
      </c>
      <c r="B314" t="s">
        <v>788</v>
      </c>
      <c r="C314">
        <v>15</v>
      </c>
    </row>
    <row r="315" spans="1:3" x14ac:dyDescent="0.3">
      <c r="A315" t="s">
        <v>130</v>
      </c>
      <c r="B315" t="s">
        <v>709</v>
      </c>
      <c r="C315">
        <v>2.5</v>
      </c>
    </row>
    <row r="316" spans="1:3" x14ac:dyDescent="0.3">
      <c r="A316" t="s">
        <v>418</v>
      </c>
      <c r="B316" t="s">
        <v>25</v>
      </c>
      <c r="C316">
        <v>1.5</v>
      </c>
    </row>
    <row r="317" spans="1:3" x14ac:dyDescent="0.3">
      <c r="A317" t="s">
        <v>419</v>
      </c>
      <c r="B317" t="s">
        <v>699</v>
      </c>
      <c r="C317">
        <v>1</v>
      </c>
    </row>
    <row r="318" spans="1:3" x14ac:dyDescent="0.3">
      <c r="A318" t="s">
        <v>420</v>
      </c>
      <c r="B318" t="s">
        <v>698</v>
      </c>
      <c r="C318">
        <v>0.5</v>
      </c>
    </row>
    <row r="319" spans="1:3" x14ac:dyDescent="0.3">
      <c r="A319" t="s">
        <v>421</v>
      </c>
      <c r="B319" t="s">
        <v>696</v>
      </c>
      <c r="C319">
        <v>0.1</v>
      </c>
    </row>
    <row r="320" spans="1:3" x14ac:dyDescent="0.3">
      <c r="A320" t="s">
        <v>422</v>
      </c>
      <c r="B320" t="s">
        <v>696</v>
      </c>
      <c r="C320">
        <v>0.1</v>
      </c>
    </row>
    <row r="321" spans="1:3" x14ac:dyDescent="0.3">
      <c r="A321" t="s">
        <v>423</v>
      </c>
      <c r="B321" t="s">
        <v>696</v>
      </c>
      <c r="C321">
        <v>0.1</v>
      </c>
    </row>
    <row r="322" spans="1:3" x14ac:dyDescent="0.3">
      <c r="A322" t="s">
        <v>424</v>
      </c>
      <c r="B322" t="s">
        <v>696</v>
      </c>
      <c r="C322">
        <v>0.1</v>
      </c>
    </row>
    <row r="323" spans="1:3" x14ac:dyDescent="0.3">
      <c r="A323" t="s">
        <v>131</v>
      </c>
      <c r="B323" t="s">
        <v>696</v>
      </c>
      <c r="C323">
        <v>0.1</v>
      </c>
    </row>
    <row r="324" spans="1:3" x14ac:dyDescent="0.3">
      <c r="A324" t="s">
        <v>145</v>
      </c>
      <c r="B324" t="s">
        <v>696</v>
      </c>
      <c r="C324">
        <v>0.1</v>
      </c>
    </row>
    <row r="325" spans="1:3" x14ac:dyDescent="0.3">
      <c r="A325" t="s">
        <v>425</v>
      </c>
      <c r="B325" t="s">
        <v>696</v>
      </c>
      <c r="C325">
        <v>0.1</v>
      </c>
    </row>
    <row r="326" spans="1:3" x14ac:dyDescent="0.3">
      <c r="A326" t="s">
        <v>426</v>
      </c>
      <c r="B326" t="s">
        <v>696</v>
      </c>
      <c r="C326">
        <v>0.1</v>
      </c>
    </row>
    <row r="327" spans="1:3" x14ac:dyDescent="0.3">
      <c r="A327" t="s">
        <v>427</v>
      </c>
      <c r="B327" t="s">
        <v>26</v>
      </c>
      <c r="C327">
        <v>1.5</v>
      </c>
    </row>
    <row r="328" spans="1:3" x14ac:dyDescent="0.3">
      <c r="A328" t="s">
        <v>428</v>
      </c>
      <c r="B328" t="s">
        <v>701</v>
      </c>
      <c r="C328">
        <v>5</v>
      </c>
    </row>
    <row r="329" spans="1:3" x14ac:dyDescent="0.3">
      <c r="A329" t="s">
        <v>429</v>
      </c>
      <c r="B329" t="s">
        <v>698</v>
      </c>
      <c r="C329">
        <v>0.5</v>
      </c>
    </row>
    <row r="330" spans="1:3" x14ac:dyDescent="0.3">
      <c r="A330" t="s">
        <v>430</v>
      </c>
      <c r="B330" t="s">
        <v>26</v>
      </c>
      <c r="C330">
        <v>1.5</v>
      </c>
    </row>
    <row r="331" spans="1:3" x14ac:dyDescent="0.3">
      <c r="A331" t="s">
        <v>431</v>
      </c>
      <c r="B331" t="s">
        <v>26</v>
      </c>
      <c r="C331">
        <v>1.5</v>
      </c>
    </row>
    <row r="332" spans="1:3" x14ac:dyDescent="0.3">
      <c r="A332" t="s">
        <v>432</v>
      </c>
      <c r="B332" t="s">
        <v>26</v>
      </c>
      <c r="C332">
        <v>1.5</v>
      </c>
    </row>
    <row r="333" spans="1:3" x14ac:dyDescent="0.3">
      <c r="A333" t="s">
        <v>433</v>
      </c>
      <c r="B333" t="s">
        <v>26</v>
      </c>
      <c r="C333">
        <v>1.5</v>
      </c>
    </row>
    <row r="334" spans="1:3" x14ac:dyDescent="0.3">
      <c r="A334" t="s">
        <v>148</v>
      </c>
      <c r="B334" t="s">
        <v>696</v>
      </c>
      <c r="C334">
        <v>0.1</v>
      </c>
    </row>
    <row r="335" spans="1:3" x14ac:dyDescent="0.3">
      <c r="A335" t="s">
        <v>434</v>
      </c>
      <c r="B335" t="s">
        <v>696</v>
      </c>
      <c r="C335">
        <v>0.1</v>
      </c>
    </row>
    <row r="336" spans="1:3" x14ac:dyDescent="0.3">
      <c r="A336" t="s">
        <v>435</v>
      </c>
      <c r="B336" t="s">
        <v>26</v>
      </c>
      <c r="C336">
        <v>1.5</v>
      </c>
    </row>
    <row r="337" spans="1:3" x14ac:dyDescent="0.3">
      <c r="A337" t="s">
        <v>436</v>
      </c>
      <c r="B337" t="s">
        <v>696</v>
      </c>
      <c r="C337">
        <v>0.1</v>
      </c>
    </row>
    <row r="338" spans="1:3" x14ac:dyDescent="0.3">
      <c r="A338" t="s">
        <v>437</v>
      </c>
      <c r="B338" t="s">
        <v>696</v>
      </c>
      <c r="C338">
        <v>0.1</v>
      </c>
    </row>
    <row r="339" spans="1:3" x14ac:dyDescent="0.3">
      <c r="A339" t="s">
        <v>438</v>
      </c>
      <c r="B339" t="s">
        <v>696</v>
      </c>
      <c r="C339">
        <v>0.1</v>
      </c>
    </row>
    <row r="340" spans="1:3" x14ac:dyDescent="0.3">
      <c r="A340" t="s">
        <v>439</v>
      </c>
      <c r="B340" t="s">
        <v>696</v>
      </c>
      <c r="C340">
        <v>0.1</v>
      </c>
    </row>
    <row r="341" spans="1:3" x14ac:dyDescent="0.3">
      <c r="A341" t="s">
        <v>440</v>
      </c>
      <c r="B341" t="s">
        <v>26</v>
      </c>
      <c r="C341">
        <v>1.5</v>
      </c>
    </row>
    <row r="342" spans="1:3" x14ac:dyDescent="0.3">
      <c r="A342" t="s">
        <v>441</v>
      </c>
      <c r="B342" t="s">
        <v>26</v>
      </c>
      <c r="C342">
        <v>1.5</v>
      </c>
    </row>
    <row r="343" spans="1:3" x14ac:dyDescent="0.3">
      <c r="A343" t="s">
        <v>442</v>
      </c>
      <c r="B343" t="s">
        <v>696</v>
      </c>
      <c r="C343">
        <v>0.1</v>
      </c>
    </row>
    <row r="344" spans="1:3" x14ac:dyDescent="0.3">
      <c r="A344" t="s">
        <v>133</v>
      </c>
      <c r="B344" t="s">
        <v>704</v>
      </c>
      <c r="C344">
        <v>1</v>
      </c>
    </row>
    <row r="345" spans="1:3" x14ac:dyDescent="0.3">
      <c r="A345" t="s">
        <v>443</v>
      </c>
      <c r="B345" t="s">
        <v>696</v>
      </c>
      <c r="C345">
        <v>0.1</v>
      </c>
    </row>
    <row r="346" spans="1:3" x14ac:dyDescent="0.3">
      <c r="A346" t="s">
        <v>444</v>
      </c>
      <c r="B346" t="s">
        <v>696</v>
      </c>
      <c r="C346">
        <v>0.1</v>
      </c>
    </row>
    <row r="347" spans="1:3" x14ac:dyDescent="0.3">
      <c r="A347" t="s">
        <v>445</v>
      </c>
      <c r="B347" t="s">
        <v>698</v>
      </c>
      <c r="C347">
        <v>0.5</v>
      </c>
    </row>
    <row r="348" spans="1:3" x14ac:dyDescent="0.3">
      <c r="A348" t="s">
        <v>446</v>
      </c>
      <c r="B348" t="s">
        <v>698</v>
      </c>
      <c r="C348">
        <v>0.5</v>
      </c>
    </row>
    <row r="349" spans="1:3" x14ac:dyDescent="0.3">
      <c r="A349" t="s">
        <v>447</v>
      </c>
      <c r="B349" t="s">
        <v>696</v>
      </c>
      <c r="C349">
        <v>0.1</v>
      </c>
    </row>
    <row r="350" spans="1:3" x14ac:dyDescent="0.3">
      <c r="A350" t="s">
        <v>448</v>
      </c>
      <c r="B350" t="s">
        <v>702</v>
      </c>
      <c r="C350">
        <v>2</v>
      </c>
    </row>
    <row r="351" spans="1:3" x14ac:dyDescent="0.3">
      <c r="A351" t="s">
        <v>449</v>
      </c>
      <c r="B351" t="s">
        <v>701</v>
      </c>
      <c r="C351">
        <v>5</v>
      </c>
    </row>
    <row r="352" spans="1:3" x14ac:dyDescent="0.3">
      <c r="A352" t="s">
        <v>450</v>
      </c>
      <c r="B352" t="s">
        <v>696</v>
      </c>
      <c r="C352">
        <v>0.1</v>
      </c>
    </row>
    <row r="353" spans="1:3" x14ac:dyDescent="0.3">
      <c r="A353" t="s">
        <v>451</v>
      </c>
      <c r="B353" t="s">
        <v>26</v>
      </c>
      <c r="C353">
        <v>1.5</v>
      </c>
    </row>
    <row r="354" spans="1:3" x14ac:dyDescent="0.3">
      <c r="A354" t="s">
        <v>452</v>
      </c>
      <c r="B354" t="s">
        <v>696</v>
      </c>
      <c r="C354">
        <v>0.1</v>
      </c>
    </row>
    <row r="355" spans="1:3" x14ac:dyDescent="0.3">
      <c r="A355" t="s">
        <v>453</v>
      </c>
      <c r="B355" t="s">
        <v>696</v>
      </c>
      <c r="C355">
        <v>0.1</v>
      </c>
    </row>
    <row r="356" spans="1:3" x14ac:dyDescent="0.3">
      <c r="A356" t="s">
        <v>454</v>
      </c>
      <c r="B356" t="s">
        <v>696</v>
      </c>
      <c r="C356">
        <v>0.1</v>
      </c>
    </row>
    <row r="357" spans="1:3" x14ac:dyDescent="0.3">
      <c r="A357" t="s">
        <v>134</v>
      </c>
      <c r="B357" t="s">
        <v>696</v>
      </c>
      <c r="C357">
        <v>0.1</v>
      </c>
    </row>
    <row r="358" spans="1:3" x14ac:dyDescent="0.3">
      <c r="A358" t="s">
        <v>455</v>
      </c>
      <c r="B358" t="s">
        <v>26</v>
      </c>
      <c r="C358">
        <v>1.5</v>
      </c>
    </row>
    <row r="359" spans="1:3" x14ac:dyDescent="0.3">
      <c r="A359" t="s">
        <v>456</v>
      </c>
      <c r="B359" t="s">
        <v>26</v>
      </c>
      <c r="C359">
        <v>1.5</v>
      </c>
    </row>
    <row r="360" spans="1:3" x14ac:dyDescent="0.3">
      <c r="A360" t="s">
        <v>457</v>
      </c>
      <c r="B360" t="s">
        <v>26</v>
      </c>
      <c r="C360">
        <v>1.5</v>
      </c>
    </row>
    <row r="361" spans="1:3" x14ac:dyDescent="0.3">
      <c r="A361" t="s">
        <v>117</v>
      </c>
      <c r="B361" t="s">
        <v>26</v>
      </c>
      <c r="C361">
        <v>1.5</v>
      </c>
    </row>
    <row r="362" spans="1:3" x14ac:dyDescent="0.3">
      <c r="A362" t="s">
        <v>458</v>
      </c>
      <c r="B362" t="s">
        <v>704</v>
      </c>
      <c r="C362">
        <v>1</v>
      </c>
    </row>
    <row r="363" spans="1:3" x14ac:dyDescent="0.3">
      <c r="A363" t="s">
        <v>459</v>
      </c>
      <c r="B363" t="s">
        <v>698</v>
      </c>
      <c r="C363">
        <v>0.5</v>
      </c>
    </row>
    <row r="364" spans="1:3" x14ac:dyDescent="0.3">
      <c r="A364" t="s">
        <v>460</v>
      </c>
      <c r="B364" t="s">
        <v>696</v>
      </c>
      <c r="C364">
        <v>0.1</v>
      </c>
    </row>
    <row r="365" spans="1:3" x14ac:dyDescent="0.3">
      <c r="A365" t="s">
        <v>461</v>
      </c>
      <c r="B365" t="s">
        <v>698</v>
      </c>
      <c r="C365">
        <v>0.5</v>
      </c>
    </row>
    <row r="366" spans="1:3" x14ac:dyDescent="0.3">
      <c r="A366" t="s">
        <v>462</v>
      </c>
      <c r="B366" t="s">
        <v>26</v>
      </c>
      <c r="C366">
        <v>1.5</v>
      </c>
    </row>
    <row r="367" spans="1:3" x14ac:dyDescent="0.3">
      <c r="A367" t="s">
        <v>463</v>
      </c>
      <c r="B367" t="s">
        <v>698</v>
      </c>
      <c r="C367">
        <v>0.5</v>
      </c>
    </row>
    <row r="368" spans="1:3" x14ac:dyDescent="0.3">
      <c r="A368" t="s">
        <v>464</v>
      </c>
      <c r="B368" t="s">
        <v>698</v>
      </c>
      <c r="C368">
        <v>0.5</v>
      </c>
    </row>
    <row r="369" spans="1:3" x14ac:dyDescent="0.3">
      <c r="A369" t="s">
        <v>465</v>
      </c>
      <c r="B369" t="s">
        <v>696</v>
      </c>
      <c r="C369">
        <v>0.1</v>
      </c>
    </row>
    <row r="370" spans="1:3" x14ac:dyDescent="0.3">
      <c r="A370" t="s">
        <v>466</v>
      </c>
      <c r="B370" t="s">
        <v>696</v>
      </c>
      <c r="C370">
        <v>0.1</v>
      </c>
    </row>
    <row r="371" spans="1:3" x14ac:dyDescent="0.3">
      <c r="A371" t="s">
        <v>467</v>
      </c>
      <c r="B371" t="s">
        <v>714</v>
      </c>
      <c r="C371">
        <v>1</v>
      </c>
    </row>
    <row r="372" spans="1:3" x14ac:dyDescent="0.3">
      <c r="A372" t="s">
        <v>754</v>
      </c>
      <c r="B372" t="s">
        <v>696</v>
      </c>
      <c r="C372">
        <v>0.1</v>
      </c>
    </row>
    <row r="373" spans="1:3" x14ac:dyDescent="0.3">
      <c r="A373" t="s">
        <v>468</v>
      </c>
      <c r="B373" t="s">
        <v>696</v>
      </c>
      <c r="C373">
        <v>0.1</v>
      </c>
    </row>
    <row r="374" spans="1:3" x14ac:dyDescent="0.3">
      <c r="A374" t="s">
        <v>469</v>
      </c>
      <c r="B374" t="s">
        <v>701</v>
      </c>
      <c r="C374">
        <v>5</v>
      </c>
    </row>
    <row r="375" spans="1:3" x14ac:dyDescent="0.3">
      <c r="A375" t="s">
        <v>470</v>
      </c>
      <c r="B375" t="s">
        <v>702</v>
      </c>
      <c r="C375">
        <v>2</v>
      </c>
    </row>
    <row r="376" spans="1:3" x14ac:dyDescent="0.3">
      <c r="A376" t="s">
        <v>471</v>
      </c>
      <c r="B376" t="s">
        <v>696</v>
      </c>
      <c r="C376">
        <v>0.1</v>
      </c>
    </row>
    <row r="377" spans="1:3" x14ac:dyDescent="0.3">
      <c r="A377" t="s">
        <v>472</v>
      </c>
      <c r="B377" t="s">
        <v>26</v>
      </c>
      <c r="C377">
        <v>1.5</v>
      </c>
    </row>
    <row r="378" spans="1:3" x14ac:dyDescent="0.3">
      <c r="A378" t="s">
        <v>473</v>
      </c>
      <c r="B378" t="s">
        <v>699</v>
      </c>
      <c r="C378">
        <v>1</v>
      </c>
    </row>
    <row r="379" spans="1:3" x14ac:dyDescent="0.3">
      <c r="A379" t="s">
        <v>474</v>
      </c>
      <c r="B379" t="s">
        <v>698</v>
      </c>
      <c r="C379">
        <v>0.5</v>
      </c>
    </row>
    <row r="380" spans="1:3" x14ac:dyDescent="0.3">
      <c r="A380" t="s">
        <v>475</v>
      </c>
      <c r="B380" t="s">
        <v>696</v>
      </c>
      <c r="C380">
        <v>0.1</v>
      </c>
    </row>
    <row r="381" spans="1:3" x14ac:dyDescent="0.3">
      <c r="A381" t="s">
        <v>476</v>
      </c>
      <c r="B381" t="s">
        <v>696</v>
      </c>
      <c r="C381">
        <v>0.1</v>
      </c>
    </row>
    <row r="382" spans="1:3" x14ac:dyDescent="0.3">
      <c r="A382" t="s">
        <v>477</v>
      </c>
      <c r="B382" t="s">
        <v>696</v>
      </c>
      <c r="C382">
        <v>0.1</v>
      </c>
    </row>
    <row r="383" spans="1:3" x14ac:dyDescent="0.3">
      <c r="A383" t="s">
        <v>135</v>
      </c>
      <c r="B383" t="s">
        <v>696</v>
      </c>
      <c r="C383">
        <v>0.1</v>
      </c>
    </row>
    <row r="384" spans="1:3" x14ac:dyDescent="0.3">
      <c r="A384" t="s">
        <v>478</v>
      </c>
      <c r="B384" t="s">
        <v>696</v>
      </c>
      <c r="C384">
        <v>0.1</v>
      </c>
    </row>
    <row r="385" spans="1:3" x14ac:dyDescent="0.3">
      <c r="A385" t="s">
        <v>479</v>
      </c>
      <c r="B385" t="s">
        <v>696</v>
      </c>
      <c r="C385">
        <v>0.1</v>
      </c>
    </row>
    <row r="386" spans="1:3" x14ac:dyDescent="0.3">
      <c r="A386" t="s">
        <v>480</v>
      </c>
      <c r="B386" t="s">
        <v>714</v>
      </c>
      <c r="C386">
        <v>1</v>
      </c>
    </row>
    <row r="387" spans="1:3" x14ac:dyDescent="0.3">
      <c r="A387" t="s">
        <v>481</v>
      </c>
      <c r="B387" t="s">
        <v>696</v>
      </c>
      <c r="C387">
        <v>0.1</v>
      </c>
    </row>
    <row r="388" spans="1:3" x14ac:dyDescent="0.3">
      <c r="A388" t="s">
        <v>102</v>
      </c>
      <c r="B388" t="s">
        <v>706</v>
      </c>
      <c r="C388">
        <v>8</v>
      </c>
    </row>
    <row r="389" spans="1:3" x14ac:dyDescent="0.3">
      <c r="A389" t="s">
        <v>482</v>
      </c>
      <c r="B389" t="s">
        <v>702</v>
      </c>
      <c r="C389">
        <v>2</v>
      </c>
    </row>
    <row r="390" spans="1:3" x14ac:dyDescent="0.3">
      <c r="A390" t="s">
        <v>483</v>
      </c>
      <c r="B390" t="s">
        <v>696</v>
      </c>
      <c r="C390">
        <v>0.1</v>
      </c>
    </row>
    <row r="391" spans="1:3" x14ac:dyDescent="0.3">
      <c r="A391" t="s">
        <v>484</v>
      </c>
      <c r="B391" t="s">
        <v>696</v>
      </c>
      <c r="C391">
        <v>0.1</v>
      </c>
    </row>
    <row r="392" spans="1:3" x14ac:dyDescent="0.3">
      <c r="A392" t="s">
        <v>485</v>
      </c>
      <c r="B392" t="s">
        <v>696</v>
      </c>
      <c r="C392">
        <v>0.1</v>
      </c>
    </row>
    <row r="393" spans="1:3" x14ac:dyDescent="0.3">
      <c r="A393" t="s">
        <v>486</v>
      </c>
      <c r="B393" t="s">
        <v>696</v>
      </c>
      <c r="C393">
        <v>0.1</v>
      </c>
    </row>
    <row r="394" spans="1:3" x14ac:dyDescent="0.3">
      <c r="A394" t="s">
        <v>137</v>
      </c>
      <c r="B394" t="s">
        <v>696</v>
      </c>
      <c r="C394">
        <v>0.1</v>
      </c>
    </row>
    <row r="395" spans="1:3" x14ac:dyDescent="0.3">
      <c r="A395" t="s">
        <v>487</v>
      </c>
      <c r="B395" t="s">
        <v>697</v>
      </c>
      <c r="C395">
        <v>1.5</v>
      </c>
    </row>
    <row r="396" spans="1:3" x14ac:dyDescent="0.3">
      <c r="A396" t="s">
        <v>488</v>
      </c>
      <c r="B396" t="s">
        <v>698</v>
      </c>
      <c r="C396">
        <v>0.5</v>
      </c>
    </row>
    <row r="397" spans="1:3" x14ac:dyDescent="0.3">
      <c r="A397" t="s">
        <v>489</v>
      </c>
      <c r="B397" t="s">
        <v>714</v>
      </c>
      <c r="C397">
        <v>1</v>
      </c>
    </row>
    <row r="398" spans="1:3" x14ac:dyDescent="0.3">
      <c r="A398" t="s">
        <v>490</v>
      </c>
      <c r="B398" t="s">
        <v>25</v>
      </c>
      <c r="C398">
        <v>1.5</v>
      </c>
    </row>
    <row r="399" spans="1:3" x14ac:dyDescent="0.3">
      <c r="A399" t="s">
        <v>491</v>
      </c>
      <c r="B399" t="s">
        <v>696</v>
      </c>
      <c r="C399">
        <v>0.1</v>
      </c>
    </row>
    <row r="400" spans="1:3" x14ac:dyDescent="0.3">
      <c r="A400" t="s">
        <v>492</v>
      </c>
      <c r="B400" t="s">
        <v>26</v>
      </c>
      <c r="C400">
        <v>1.5</v>
      </c>
    </row>
    <row r="401" spans="1:3" x14ac:dyDescent="0.3">
      <c r="A401" t="s">
        <v>493</v>
      </c>
      <c r="B401" t="s">
        <v>704</v>
      </c>
      <c r="C401">
        <v>1</v>
      </c>
    </row>
    <row r="402" spans="1:3" x14ac:dyDescent="0.3">
      <c r="A402" t="s">
        <v>494</v>
      </c>
      <c r="B402" t="s">
        <v>696</v>
      </c>
      <c r="C402">
        <v>0.1</v>
      </c>
    </row>
    <row r="403" spans="1:3" x14ac:dyDescent="0.3">
      <c r="A403" t="s">
        <v>495</v>
      </c>
      <c r="B403" t="s">
        <v>696</v>
      </c>
      <c r="C403">
        <v>0.1</v>
      </c>
    </row>
    <row r="404" spans="1:3" x14ac:dyDescent="0.3">
      <c r="A404" t="s">
        <v>496</v>
      </c>
      <c r="B404" t="s">
        <v>696</v>
      </c>
      <c r="C404">
        <v>0.1</v>
      </c>
    </row>
    <row r="405" spans="1:3" x14ac:dyDescent="0.3">
      <c r="A405" t="s">
        <v>497</v>
      </c>
      <c r="B405" t="s">
        <v>696</v>
      </c>
      <c r="C405">
        <v>0.1</v>
      </c>
    </row>
    <row r="406" spans="1:3" x14ac:dyDescent="0.3">
      <c r="A406" t="s">
        <v>498</v>
      </c>
      <c r="B406" t="s">
        <v>26</v>
      </c>
      <c r="C406">
        <v>1.5</v>
      </c>
    </row>
    <row r="407" spans="1:3" x14ac:dyDescent="0.3">
      <c r="A407" t="s">
        <v>499</v>
      </c>
      <c r="B407" t="s">
        <v>696</v>
      </c>
      <c r="C407">
        <v>0.1</v>
      </c>
    </row>
    <row r="408" spans="1:3" x14ac:dyDescent="0.3">
      <c r="A408" t="s">
        <v>500</v>
      </c>
      <c r="B408" t="s">
        <v>696</v>
      </c>
      <c r="C408">
        <v>0.1</v>
      </c>
    </row>
    <row r="409" spans="1:3" x14ac:dyDescent="0.3">
      <c r="A409" t="s">
        <v>501</v>
      </c>
      <c r="B409" t="s">
        <v>696</v>
      </c>
      <c r="C409">
        <v>0.1</v>
      </c>
    </row>
    <row r="410" spans="1:3" x14ac:dyDescent="0.3">
      <c r="A410" t="s">
        <v>502</v>
      </c>
      <c r="B410" t="s">
        <v>696</v>
      </c>
      <c r="C410">
        <v>0.1</v>
      </c>
    </row>
    <row r="411" spans="1:3" x14ac:dyDescent="0.3">
      <c r="A411" t="s">
        <v>503</v>
      </c>
      <c r="B411" t="s">
        <v>696</v>
      </c>
      <c r="C411">
        <v>0.1</v>
      </c>
    </row>
    <row r="412" spans="1:3" x14ac:dyDescent="0.3">
      <c r="A412" t="s">
        <v>504</v>
      </c>
      <c r="B412" t="s">
        <v>696</v>
      </c>
      <c r="C412">
        <v>0.1</v>
      </c>
    </row>
    <row r="413" spans="1:3" x14ac:dyDescent="0.3">
      <c r="A413" t="s">
        <v>505</v>
      </c>
      <c r="B413" t="s">
        <v>26</v>
      </c>
      <c r="C413">
        <v>1.5</v>
      </c>
    </row>
    <row r="414" spans="1:3" x14ac:dyDescent="0.3">
      <c r="A414" t="s">
        <v>506</v>
      </c>
      <c r="B414" t="s">
        <v>699</v>
      </c>
      <c r="C414">
        <v>1</v>
      </c>
    </row>
    <row r="415" spans="1:3" x14ac:dyDescent="0.3">
      <c r="A415" t="s">
        <v>507</v>
      </c>
      <c r="B415" t="s">
        <v>698</v>
      </c>
      <c r="C415">
        <v>0.5</v>
      </c>
    </row>
    <row r="416" spans="1:3" x14ac:dyDescent="0.3">
      <c r="A416" t="s">
        <v>508</v>
      </c>
      <c r="B416" t="s">
        <v>696</v>
      </c>
      <c r="C416">
        <v>0.1</v>
      </c>
    </row>
    <row r="417" spans="1:3" x14ac:dyDescent="0.3">
      <c r="A417" t="s">
        <v>509</v>
      </c>
      <c r="B417" t="s">
        <v>696</v>
      </c>
      <c r="C417">
        <v>0.1</v>
      </c>
    </row>
    <row r="418" spans="1:3" x14ac:dyDescent="0.3">
      <c r="A418" t="s">
        <v>510</v>
      </c>
      <c r="B418" t="s">
        <v>696</v>
      </c>
      <c r="C418">
        <v>0.1</v>
      </c>
    </row>
    <row r="419" spans="1:3" x14ac:dyDescent="0.3">
      <c r="A419" t="s">
        <v>511</v>
      </c>
      <c r="B419" t="s">
        <v>696</v>
      </c>
      <c r="C419">
        <v>0.1</v>
      </c>
    </row>
    <row r="420" spans="1:3" x14ac:dyDescent="0.3">
      <c r="A420" t="s">
        <v>512</v>
      </c>
      <c r="B420" t="s">
        <v>696</v>
      </c>
      <c r="C420">
        <v>0.1</v>
      </c>
    </row>
    <row r="421" spans="1:3" x14ac:dyDescent="0.3">
      <c r="A421" t="s">
        <v>513</v>
      </c>
      <c r="B421" t="s">
        <v>710</v>
      </c>
      <c r="C421">
        <v>1</v>
      </c>
    </row>
    <row r="422" spans="1:3" x14ac:dyDescent="0.3">
      <c r="A422" t="s">
        <v>514</v>
      </c>
      <c r="B422" t="s">
        <v>23</v>
      </c>
      <c r="C422">
        <v>4</v>
      </c>
    </row>
    <row r="423" spans="1:3" x14ac:dyDescent="0.3">
      <c r="A423" t="s">
        <v>515</v>
      </c>
      <c r="B423" t="s">
        <v>696</v>
      </c>
      <c r="C423">
        <v>0.1</v>
      </c>
    </row>
    <row r="424" spans="1:3" x14ac:dyDescent="0.3">
      <c r="A424" t="s">
        <v>516</v>
      </c>
      <c r="B424" t="s">
        <v>696</v>
      </c>
      <c r="C424">
        <v>0.1</v>
      </c>
    </row>
    <row r="425" spans="1:3" x14ac:dyDescent="0.3">
      <c r="A425" t="s">
        <v>517</v>
      </c>
      <c r="B425" t="s">
        <v>696</v>
      </c>
      <c r="C425">
        <v>0.1</v>
      </c>
    </row>
    <row r="426" spans="1:3" x14ac:dyDescent="0.3">
      <c r="A426" t="s">
        <v>518</v>
      </c>
      <c r="B426" t="s">
        <v>696</v>
      </c>
      <c r="C426">
        <v>0.1</v>
      </c>
    </row>
    <row r="427" spans="1:3" x14ac:dyDescent="0.3">
      <c r="A427" t="s">
        <v>519</v>
      </c>
      <c r="B427" t="s">
        <v>23</v>
      </c>
      <c r="C427">
        <v>4</v>
      </c>
    </row>
    <row r="428" spans="1:3" x14ac:dyDescent="0.3">
      <c r="A428" t="s">
        <v>520</v>
      </c>
      <c r="B428" t="s">
        <v>700</v>
      </c>
      <c r="C428">
        <v>4</v>
      </c>
    </row>
    <row r="429" spans="1:3" x14ac:dyDescent="0.3">
      <c r="A429" t="s">
        <v>521</v>
      </c>
      <c r="B429" t="s">
        <v>25</v>
      </c>
      <c r="C429">
        <v>1.5</v>
      </c>
    </row>
    <row r="430" spans="1:3" x14ac:dyDescent="0.3">
      <c r="A430" t="s">
        <v>522</v>
      </c>
      <c r="B430" t="s">
        <v>697</v>
      </c>
      <c r="C430">
        <v>1.5</v>
      </c>
    </row>
    <row r="431" spans="1:3" x14ac:dyDescent="0.3">
      <c r="A431" t="s">
        <v>523</v>
      </c>
      <c r="B431" t="s">
        <v>703</v>
      </c>
      <c r="C431">
        <v>4</v>
      </c>
    </row>
    <row r="432" spans="1:3" x14ac:dyDescent="0.3">
      <c r="A432" t="s">
        <v>524</v>
      </c>
      <c r="B432" t="s">
        <v>23</v>
      </c>
      <c r="C432">
        <v>4</v>
      </c>
    </row>
    <row r="433" spans="1:3" x14ac:dyDescent="0.3">
      <c r="A433" t="s">
        <v>525</v>
      </c>
      <c r="B433" t="s">
        <v>26</v>
      </c>
      <c r="C433">
        <v>1.5</v>
      </c>
    </row>
    <row r="434" spans="1:3" x14ac:dyDescent="0.3">
      <c r="A434" t="s">
        <v>526</v>
      </c>
      <c r="B434" t="s">
        <v>26</v>
      </c>
      <c r="C434">
        <v>1.5</v>
      </c>
    </row>
    <row r="435" spans="1:3" x14ac:dyDescent="0.3">
      <c r="A435" t="s">
        <v>527</v>
      </c>
      <c r="B435" t="s">
        <v>696</v>
      </c>
      <c r="C435">
        <v>0.1</v>
      </c>
    </row>
    <row r="436" spans="1:3" x14ac:dyDescent="0.3">
      <c r="A436" t="s">
        <v>528</v>
      </c>
      <c r="B436" t="s">
        <v>696</v>
      </c>
      <c r="C436">
        <v>0.1</v>
      </c>
    </row>
    <row r="437" spans="1:3" x14ac:dyDescent="0.3">
      <c r="A437" t="s">
        <v>529</v>
      </c>
      <c r="B437" t="s">
        <v>696</v>
      </c>
      <c r="C437">
        <v>0.1</v>
      </c>
    </row>
    <row r="438" spans="1:3" x14ac:dyDescent="0.3">
      <c r="A438" t="s">
        <v>530</v>
      </c>
      <c r="B438" t="s">
        <v>696</v>
      </c>
      <c r="C438">
        <v>0.1</v>
      </c>
    </row>
    <row r="439" spans="1:3" x14ac:dyDescent="0.3">
      <c r="A439" t="s">
        <v>531</v>
      </c>
      <c r="B439" t="s">
        <v>696</v>
      </c>
      <c r="C439">
        <v>0.1</v>
      </c>
    </row>
    <row r="440" spans="1:3" x14ac:dyDescent="0.3">
      <c r="A440" t="s">
        <v>532</v>
      </c>
      <c r="B440" t="s">
        <v>696</v>
      </c>
      <c r="C440">
        <v>0.1</v>
      </c>
    </row>
    <row r="441" spans="1:3" x14ac:dyDescent="0.3">
      <c r="A441" t="s">
        <v>533</v>
      </c>
      <c r="B441" t="s">
        <v>696</v>
      </c>
      <c r="C441">
        <v>0.1</v>
      </c>
    </row>
    <row r="442" spans="1:3" x14ac:dyDescent="0.3">
      <c r="A442" t="s">
        <v>534</v>
      </c>
      <c r="B442" t="s">
        <v>696</v>
      </c>
      <c r="C442">
        <v>0.1</v>
      </c>
    </row>
    <row r="443" spans="1:3" x14ac:dyDescent="0.3">
      <c r="A443" t="s">
        <v>535</v>
      </c>
      <c r="B443" t="s">
        <v>26</v>
      </c>
      <c r="C443">
        <v>1.5</v>
      </c>
    </row>
    <row r="444" spans="1:3" x14ac:dyDescent="0.3">
      <c r="A444" t="s">
        <v>536</v>
      </c>
      <c r="B444" t="s">
        <v>704</v>
      </c>
      <c r="C444">
        <v>1</v>
      </c>
    </row>
    <row r="445" spans="1:3" x14ac:dyDescent="0.3">
      <c r="A445" t="s">
        <v>537</v>
      </c>
      <c r="B445" t="s">
        <v>696</v>
      </c>
      <c r="C445">
        <v>0.1</v>
      </c>
    </row>
    <row r="446" spans="1:3" x14ac:dyDescent="0.3">
      <c r="A446" t="s">
        <v>538</v>
      </c>
      <c r="B446" t="s">
        <v>696</v>
      </c>
      <c r="C446">
        <v>0.1</v>
      </c>
    </row>
    <row r="447" spans="1:3" x14ac:dyDescent="0.3">
      <c r="A447" t="s">
        <v>539</v>
      </c>
      <c r="B447" t="s">
        <v>696</v>
      </c>
      <c r="C447">
        <v>0.1</v>
      </c>
    </row>
    <row r="448" spans="1:3" x14ac:dyDescent="0.3">
      <c r="A448" t="s">
        <v>540</v>
      </c>
      <c r="B448" t="s">
        <v>696</v>
      </c>
      <c r="C448">
        <v>0.1</v>
      </c>
    </row>
    <row r="449" spans="1:3" x14ac:dyDescent="0.3">
      <c r="A449" t="s">
        <v>541</v>
      </c>
      <c r="B449" t="s">
        <v>26</v>
      </c>
      <c r="C449">
        <v>1.5</v>
      </c>
    </row>
    <row r="450" spans="1:3" x14ac:dyDescent="0.3">
      <c r="A450" t="s">
        <v>542</v>
      </c>
      <c r="B450" t="s">
        <v>717</v>
      </c>
      <c r="C450">
        <v>4</v>
      </c>
    </row>
    <row r="451" spans="1:3" x14ac:dyDescent="0.3">
      <c r="A451" t="s">
        <v>285</v>
      </c>
      <c r="B451" t="s">
        <v>717</v>
      </c>
      <c r="C451">
        <v>4</v>
      </c>
    </row>
    <row r="452" spans="1:3" x14ac:dyDescent="0.3">
      <c r="A452" t="s">
        <v>543</v>
      </c>
      <c r="B452" t="s">
        <v>710</v>
      </c>
      <c r="C452">
        <v>1</v>
      </c>
    </row>
    <row r="453" spans="1:3" x14ac:dyDescent="0.3">
      <c r="A453" t="s">
        <v>544</v>
      </c>
      <c r="B453" t="s">
        <v>696</v>
      </c>
      <c r="C453">
        <v>0.1</v>
      </c>
    </row>
    <row r="454" spans="1:3" x14ac:dyDescent="0.3">
      <c r="A454" t="s">
        <v>545</v>
      </c>
      <c r="B454" t="s">
        <v>696</v>
      </c>
      <c r="C454">
        <v>0.1</v>
      </c>
    </row>
    <row r="455" spans="1:3" x14ac:dyDescent="0.3">
      <c r="A455" t="s">
        <v>546</v>
      </c>
      <c r="B455" t="s">
        <v>696</v>
      </c>
      <c r="C455">
        <v>0.1</v>
      </c>
    </row>
    <row r="456" spans="1:3" x14ac:dyDescent="0.3">
      <c r="A456" t="s">
        <v>547</v>
      </c>
      <c r="B456" t="s">
        <v>696</v>
      </c>
      <c r="C456">
        <v>0.1</v>
      </c>
    </row>
    <row r="457" spans="1:3" x14ac:dyDescent="0.3">
      <c r="A457" t="s">
        <v>548</v>
      </c>
      <c r="B457" t="s">
        <v>696</v>
      </c>
      <c r="C457">
        <v>0.1</v>
      </c>
    </row>
    <row r="458" spans="1:3" x14ac:dyDescent="0.3">
      <c r="A458" t="s">
        <v>549</v>
      </c>
      <c r="B458" t="s">
        <v>696</v>
      </c>
      <c r="C458">
        <v>0.1</v>
      </c>
    </row>
    <row r="459" spans="1:3" x14ac:dyDescent="0.3">
      <c r="A459" t="s">
        <v>550</v>
      </c>
      <c r="B459" t="s">
        <v>26</v>
      </c>
      <c r="C459">
        <v>1.5</v>
      </c>
    </row>
    <row r="460" spans="1:3" x14ac:dyDescent="0.3">
      <c r="A460" t="s">
        <v>551</v>
      </c>
      <c r="B460" t="s">
        <v>705</v>
      </c>
      <c r="C460">
        <v>3</v>
      </c>
    </row>
    <row r="461" spans="1:3" x14ac:dyDescent="0.3">
      <c r="A461" t="s">
        <v>552</v>
      </c>
      <c r="B461" t="s">
        <v>696</v>
      </c>
      <c r="C461">
        <v>0.1</v>
      </c>
    </row>
    <row r="462" spans="1:3" x14ac:dyDescent="0.3">
      <c r="A462" t="s">
        <v>445</v>
      </c>
      <c r="B462" t="s">
        <v>26</v>
      </c>
      <c r="C462">
        <v>1.5</v>
      </c>
    </row>
    <row r="463" spans="1:3" x14ac:dyDescent="0.3">
      <c r="A463" t="s">
        <v>553</v>
      </c>
      <c r="B463" t="s">
        <v>698</v>
      </c>
      <c r="C463">
        <v>0.5</v>
      </c>
    </row>
    <row r="464" spans="1:3" x14ac:dyDescent="0.3">
      <c r="A464" t="s">
        <v>143</v>
      </c>
      <c r="B464" t="s">
        <v>696</v>
      </c>
      <c r="C464">
        <v>0.1</v>
      </c>
    </row>
    <row r="465" spans="1:3" x14ac:dyDescent="0.3">
      <c r="A465" t="s">
        <v>554</v>
      </c>
      <c r="B465" t="s">
        <v>696</v>
      </c>
      <c r="C465">
        <v>0.1</v>
      </c>
    </row>
    <row r="466" spans="1:3" x14ac:dyDescent="0.3">
      <c r="A466" t="s">
        <v>555</v>
      </c>
      <c r="B466" t="s">
        <v>696</v>
      </c>
      <c r="C466">
        <v>0.1</v>
      </c>
    </row>
    <row r="467" spans="1:3" x14ac:dyDescent="0.3">
      <c r="A467" t="s">
        <v>556</v>
      </c>
      <c r="B467" t="s">
        <v>696</v>
      </c>
      <c r="C467">
        <v>0.1</v>
      </c>
    </row>
    <row r="468" spans="1:3" x14ac:dyDescent="0.3">
      <c r="A468" t="s">
        <v>557</v>
      </c>
      <c r="B468" t="s">
        <v>696</v>
      </c>
      <c r="C468">
        <v>0.1</v>
      </c>
    </row>
    <row r="469" spans="1:3" x14ac:dyDescent="0.3">
      <c r="A469" t="s">
        <v>558</v>
      </c>
      <c r="B469" t="s">
        <v>696</v>
      </c>
      <c r="C469">
        <v>0.1</v>
      </c>
    </row>
    <row r="470" spans="1:3" x14ac:dyDescent="0.3">
      <c r="A470" t="s">
        <v>559</v>
      </c>
      <c r="B470" t="s">
        <v>696</v>
      </c>
      <c r="C470">
        <v>0.1</v>
      </c>
    </row>
    <row r="471" spans="1:3" x14ac:dyDescent="0.3">
      <c r="A471" t="s">
        <v>560</v>
      </c>
      <c r="B471" t="s">
        <v>696</v>
      </c>
      <c r="C471">
        <v>0.1</v>
      </c>
    </row>
    <row r="472" spans="1:3" x14ac:dyDescent="0.3">
      <c r="A472" t="s">
        <v>561</v>
      </c>
      <c r="B472" t="s">
        <v>696</v>
      </c>
      <c r="C472">
        <v>0.1</v>
      </c>
    </row>
    <row r="473" spans="1:3" x14ac:dyDescent="0.3">
      <c r="A473" t="s">
        <v>562</v>
      </c>
      <c r="B473" t="s">
        <v>696</v>
      </c>
      <c r="C473">
        <v>0.1</v>
      </c>
    </row>
    <row r="474" spans="1:3" x14ac:dyDescent="0.3">
      <c r="A474" t="s">
        <v>563</v>
      </c>
      <c r="B474" t="s">
        <v>696</v>
      </c>
      <c r="C474">
        <v>0.1</v>
      </c>
    </row>
    <row r="475" spans="1:3" x14ac:dyDescent="0.3">
      <c r="A475" t="s">
        <v>564</v>
      </c>
      <c r="B475" t="s">
        <v>696</v>
      </c>
      <c r="C475">
        <v>0.1</v>
      </c>
    </row>
    <row r="476" spans="1:3" x14ac:dyDescent="0.3">
      <c r="A476" t="s">
        <v>565</v>
      </c>
      <c r="B476" t="s">
        <v>696</v>
      </c>
      <c r="C476">
        <v>0.1</v>
      </c>
    </row>
    <row r="477" spans="1:3" x14ac:dyDescent="0.3">
      <c r="A477" t="s">
        <v>566</v>
      </c>
      <c r="B477" t="s">
        <v>696</v>
      </c>
      <c r="C477">
        <v>0.1</v>
      </c>
    </row>
    <row r="478" spans="1:3" x14ac:dyDescent="0.3">
      <c r="A478" t="s">
        <v>567</v>
      </c>
      <c r="B478" t="s">
        <v>698</v>
      </c>
      <c r="C478">
        <v>0.5</v>
      </c>
    </row>
    <row r="479" spans="1:3" x14ac:dyDescent="0.3">
      <c r="A479" t="s">
        <v>568</v>
      </c>
      <c r="B479" t="s">
        <v>696</v>
      </c>
      <c r="C479">
        <v>0.1</v>
      </c>
    </row>
    <row r="480" spans="1:3" x14ac:dyDescent="0.3">
      <c r="A480" t="s">
        <v>569</v>
      </c>
      <c r="B480" t="s">
        <v>696</v>
      </c>
      <c r="C480">
        <v>0.1</v>
      </c>
    </row>
    <row r="481" spans="1:3" x14ac:dyDescent="0.3">
      <c r="A481" t="s">
        <v>570</v>
      </c>
      <c r="B481" t="s">
        <v>696</v>
      </c>
      <c r="C481">
        <v>0.1</v>
      </c>
    </row>
    <row r="482" spans="1:3" x14ac:dyDescent="0.3">
      <c r="A482" t="s">
        <v>571</v>
      </c>
      <c r="B482" t="s">
        <v>696</v>
      </c>
      <c r="C482">
        <v>0.1</v>
      </c>
    </row>
    <row r="483" spans="1:3" x14ac:dyDescent="0.3">
      <c r="A483" t="s">
        <v>572</v>
      </c>
      <c r="B483" t="s">
        <v>26</v>
      </c>
      <c r="C483">
        <v>1.5</v>
      </c>
    </row>
    <row r="484" spans="1:3" x14ac:dyDescent="0.3">
      <c r="A484" t="s">
        <v>573</v>
      </c>
      <c r="B484" t="s">
        <v>698</v>
      </c>
      <c r="C484">
        <v>0.5</v>
      </c>
    </row>
    <row r="485" spans="1:3" x14ac:dyDescent="0.3">
      <c r="A485" t="s">
        <v>574</v>
      </c>
      <c r="B485" t="s">
        <v>697</v>
      </c>
      <c r="C485">
        <v>1.5</v>
      </c>
    </row>
    <row r="486" spans="1:3" x14ac:dyDescent="0.3">
      <c r="A486" t="s">
        <v>782</v>
      </c>
      <c r="B486" t="s">
        <v>26</v>
      </c>
      <c r="C486">
        <v>1.5</v>
      </c>
    </row>
    <row r="487" spans="1:3" x14ac:dyDescent="0.3">
      <c r="A487" t="s">
        <v>575</v>
      </c>
      <c r="B487" t="s">
        <v>696</v>
      </c>
      <c r="C487">
        <v>0.1</v>
      </c>
    </row>
    <row r="488" spans="1:3" x14ac:dyDescent="0.3">
      <c r="A488" t="s">
        <v>752</v>
      </c>
      <c r="B488" t="s">
        <v>709</v>
      </c>
      <c r="C488">
        <v>2.5</v>
      </c>
    </row>
    <row r="489" spans="1:3" x14ac:dyDescent="0.3">
      <c r="A489" t="s">
        <v>576</v>
      </c>
      <c r="B489" t="s">
        <v>696</v>
      </c>
      <c r="C489">
        <v>0.1</v>
      </c>
    </row>
    <row r="490" spans="1:3" x14ac:dyDescent="0.3">
      <c r="A490" t="s">
        <v>577</v>
      </c>
      <c r="B490" t="s">
        <v>696</v>
      </c>
      <c r="C490">
        <v>0.1</v>
      </c>
    </row>
    <row r="491" spans="1:3" x14ac:dyDescent="0.3">
      <c r="A491" t="s">
        <v>578</v>
      </c>
      <c r="B491" t="s">
        <v>699</v>
      </c>
      <c r="C491">
        <v>1</v>
      </c>
    </row>
    <row r="492" spans="1:3" x14ac:dyDescent="0.3">
      <c r="A492" t="s">
        <v>579</v>
      </c>
      <c r="B492" t="s">
        <v>696</v>
      </c>
      <c r="C492">
        <v>0.1</v>
      </c>
    </row>
    <row r="493" spans="1:3" x14ac:dyDescent="0.3">
      <c r="A493" t="s">
        <v>580</v>
      </c>
      <c r="B493" t="s">
        <v>26</v>
      </c>
      <c r="C493">
        <v>1.5</v>
      </c>
    </row>
    <row r="494" spans="1:3" x14ac:dyDescent="0.3">
      <c r="A494" t="s">
        <v>581</v>
      </c>
      <c r="B494" t="s">
        <v>696</v>
      </c>
      <c r="C494">
        <v>0.1</v>
      </c>
    </row>
    <row r="495" spans="1:3" x14ac:dyDescent="0.3">
      <c r="A495" t="s">
        <v>582</v>
      </c>
      <c r="B495" t="s">
        <v>696</v>
      </c>
      <c r="C495">
        <v>0.1</v>
      </c>
    </row>
    <row r="496" spans="1:3" x14ac:dyDescent="0.3">
      <c r="A496" t="s">
        <v>583</v>
      </c>
      <c r="B496" t="s">
        <v>696</v>
      </c>
      <c r="C496">
        <v>0.1</v>
      </c>
    </row>
    <row r="497" spans="1:3" x14ac:dyDescent="0.3">
      <c r="A497" t="s">
        <v>113</v>
      </c>
      <c r="B497" t="s">
        <v>706</v>
      </c>
      <c r="C497">
        <v>8</v>
      </c>
    </row>
    <row r="498" spans="1:3" x14ac:dyDescent="0.3">
      <c r="A498" t="s">
        <v>584</v>
      </c>
      <c r="B498" t="s">
        <v>696</v>
      </c>
      <c r="C498">
        <v>0.1</v>
      </c>
    </row>
    <row r="499" spans="1:3" x14ac:dyDescent="0.3">
      <c r="A499" t="s">
        <v>585</v>
      </c>
      <c r="B499" t="s">
        <v>696</v>
      </c>
      <c r="C499">
        <v>0.1</v>
      </c>
    </row>
    <row r="500" spans="1:3" x14ac:dyDescent="0.3">
      <c r="A500" t="s">
        <v>586</v>
      </c>
      <c r="B500" t="s">
        <v>696</v>
      </c>
      <c r="C500">
        <v>0.1</v>
      </c>
    </row>
    <row r="501" spans="1:3" x14ac:dyDescent="0.3">
      <c r="A501" t="s">
        <v>587</v>
      </c>
      <c r="B501" t="s">
        <v>696</v>
      </c>
      <c r="C501">
        <v>0.1</v>
      </c>
    </row>
    <row r="502" spans="1:3" x14ac:dyDescent="0.3">
      <c r="A502" t="s">
        <v>588</v>
      </c>
      <c r="B502" t="s">
        <v>696</v>
      </c>
      <c r="C502">
        <v>0.1</v>
      </c>
    </row>
    <row r="503" spans="1:3" x14ac:dyDescent="0.3">
      <c r="A503" t="s">
        <v>589</v>
      </c>
      <c r="B503" t="s">
        <v>23</v>
      </c>
      <c r="C503">
        <v>4</v>
      </c>
    </row>
    <row r="504" spans="1:3" x14ac:dyDescent="0.3">
      <c r="A504" t="s">
        <v>590</v>
      </c>
      <c r="B504" t="s">
        <v>696</v>
      </c>
      <c r="C504">
        <v>0.1</v>
      </c>
    </row>
    <row r="505" spans="1:3" x14ac:dyDescent="0.3">
      <c r="A505" t="s">
        <v>591</v>
      </c>
      <c r="B505" t="s">
        <v>714</v>
      </c>
      <c r="C505">
        <v>1</v>
      </c>
    </row>
    <row r="506" spans="1:3" x14ac:dyDescent="0.3">
      <c r="A506" t="s">
        <v>221</v>
      </c>
      <c r="B506" t="s">
        <v>714</v>
      </c>
      <c r="C506">
        <v>1</v>
      </c>
    </row>
    <row r="507" spans="1:3" x14ac:dyDescent="0.3">
      <c r="A507" t="s">
        <v>592</v>
      </c>
      <c r="B507" t="s">
        <v>696</v>
      </c>
      <c r="C507">
        <v>0.1</v>
      </c>
    </row>
    <row r="508" spans="1:3" x14ac:dyDescent="0.3">
      <c r="A508" t="s">
        <v>593</v>
      </c>
      <c r="B508" t="s">
        <v>696</v>
      </c>
      <c r="C508">
        <v>0.1</v>
      </c>
    </row>
    <row r="509" spans="1:3" x14ac:dyDescent="0.3">
      <c r="A509" t="s">
        <v>594</v>
      </c>
      <c r="B509" t="s">
        <v>696</v>
      </c>
      <c r="C509">
        <v>0.1</v>
      </c>
    </row>
    <row r="510" spans="1:3" x14ac:dyDescent="0.3">
      <c r="A510" t="s">
        <v>595</v>
      </c>
      <c r="B510" t="s">
        <v>696</v>
      </c>
      <c r="C510">
        <v>0.1</v>
      </c>
    </row>
    <row r="511" spans="1:3" x14ac:dyDescent="0.3">
      <c r="A511" t="s">
        <v>596</v>
      </c>
      <c r="B511" t="s">
        <v>696</v>
      </c>
      <c r="C511">
        <v>0.1</v>
      </c>
    </row>
    <row r="512" spans="1:3" x14ac:dyDescent="0.3">
      <c r="A512" t="s">
        <v>597</v>
      </c>
      <c r="B512" t="s">
        <v>23</v>
      </c>
      <c r="C512">
        <v>4</v>
      </c>
    </row>
    <row r="513" spans="1:3" x14ac:dyDescent="0.3">
      <c r="A513" t="s">
        <v>149</v>
      </c>
      <c r="B513" t="s">
        <v>23</v>
      </c>
      <c r="C513">
        <v>4</v>
      </c>
    </row>
    <row r="514" spans="1:3" x14ac:dyDescent="0.3">
      <c r="A514" t="s">
        <v>598</v>
      </c>
      <c r="B514" t="s">
        <v>696</v>
      </c>
      <c r="C514">
        <v>0.1</v>
      </c>
    </row>
    <row r="515" spans="1:3" x14ac:dyDescent="0.3">
      <c r="A515" t="s">
        <v>599</v>
      </c>
      <c r="B515" t="s">
        <v>23</v>
      </c>
      <c r="C515">
        <v>4</v>
      </c>
    </row>
    <row r="516" spans="1:3" x14ac:dyDescent="0.3">
      <c r="A516" t="s">
        <v>600</v>
      </c>
      <c r="B516" t="s">
        <v>696</v>
      </c>
      <c r="C516">
        <v>0.1</v>
      </c>
    </row>
    <row r="517" spans="1:3" x14ac:dyDescent="0.3">
      <c r="A517" t="s">
        <v>601</v>
      </c>
      <c r="B517" t="s">
        <v>696</v>
      </c>
      <c r="C517">
        <v>0.1</v>
      </c>
    </row>
    <row r="518" spans="1:3" x14ac:dyDescent="0.3">
      <c r="A518" t="s">
        <v>602</v>
      </c>
      <c r="B518" t="s">
        <v>25</v>
      </c>
      <c r="C518">
        <v>1.5</v>
      </c>
    </row>
    <row r="519" spans="1:3" x14ac:dyDescent="0.3">
      <c r="A519" t="s">
        <v>603</v>
      </c>
      <c r="B519" t="s">
        <v>696</v>
      </c>
      <c r="C519">
        <v>0.1</v>
      </c>
    </row>
    <row r="520" spans="1:3" x14ac:dyDescent="0.3">
      <c r="A520" t="s">
        <v>604</v>
      </c>
      <c r="B520" t="s">
        <v>697</v>
      </c>
      <c r="C520">
        <v>1.5</v>
      </c>
    </row>
    <row r="521" spans="1:3" x14ac:dyDescent="0.3">
      <c r="A521" t="s">
        <v>605</v>
      </c>
      <c r="B521" t="s">
        <v>696</v>
      </c>
      <c r="C521">
        <v>0.1</v>
      </c>
    </row>
    <row r="522" spans="1:3" x14ac:dyDescent="0.3">
      <c r="A522" t="s">
        <v>606</v>
      </c>
      <c r="B522" t="s">
        <v>696</v>
      </c>
      <c r="C522">
        <v>0.1</v>
      </c>
    </row>
    <row r="523" spans="1:3" x14ac:dyDescent="0.3">
      <c r="A523" t="s">
        <v>607</v>
      </c>
      <c r="B523" t="s">
        <v>23</v>
      </c>
      <c r="C523">
        <v>4</v>
      </c>
    </row>
    <row r="524" spans="1:3" x14ac:dyDescent="0.3">
      <c r="A524" t="s">
        <v>608</v>
      </c>
      <c r="B524" t="s">
        <v>26</v>
      </c>
      <c r="C524">
        <v>1.5</v>
      </c>
    </row>
    <row r="525" spans="1:3" x14ac:dyDescent="0.3">
      <c r="A525" t="s">
        <v>609</v>
      </c>
      <c r="B525" t="s">
        <v>702</v>
      </c>
      <c r="C525">
        <v>2</v>
      </c>
    </row>
    <row r="526" spans="1:3" x14ac:dyDescent="0.3">
      <c r="A526" t="s">
        <v>610</v>
      </c>
      <c r="B526" t="s">
        <v>25</v>
      </c>
      <c r="C526">
        <v>1.5</v>
      </c>
    </row>
    <row r="527" spans="1:3" x14ac:dyDescent="0.3">
      <c r="A527" t="s">
        <v>161</v>
      </c>
      <c r="B527" t="s">
        <v>25</v>
      </c>
      <c r="C527">
        <v>1.5</v>
      </c>
    </row>
    <row r="528" spans="1:3" x14ac:dyDescent="0.3">
      <c r="A528" t="s">
        <v>611</v>
      </c>
      <c r="B528" t="s">
        <v>714</v>
      </c>
      <c r="C528">
        <v>1</v>
      </c>
    </row>
    <row r="529" spans="1:3" x14ac:dyDescent="0.3">
      <c r="A529" t="s">
        <v>612</v>
      </c>
      <c r="B529" t="s">
        <v>709</v>
      </c>
      <c r="C529">
        <v>2.5</v>
      </c>
    </row>
    <row r="530" spans="1:3" x14ac:dyDescent="0.3">
      <c r="A530" t="s">
        <v>613</v>
      </c>
      <c r="B530" t="s">
        <v>696</v>
      </c>
      <c r="C530">
        <v>0.1</v>
      </c>
    </row>
    <row r="531" spans="1:3" x14ac:dyDescent="0.3">
      <c r="A531" t="s">
        <v>614</v>
      </c>
      <c r="B531" t="s">
        <v>25</v>
      </c>
      <c r="C531">
        <v>1.5</v>
      </c>
    </row>
    <row r="532" spans="1:3" x14ac:dyDescent="0.3">
      <c r="A532" t="s">
        <v>153</v>
      </c>
      <c r="B532" t="s">
        <v>696</v>
      </c>
      <c r="C532">
        <v>0.1</v>
      </c>
    </row>
    <row r="533" spans="1:3" x14ac:dyDescent="0.3">
      <c r="A533" t="s">
        <v>615</v>
      </c>
      <c r="B533" t="s">
        <v>715</v>
      </c>
      <c r="C533">
        <v>8</v>
      </c>
    </row>
    <row r="534" spans="1:3" x14ac:dyDescent="0.3">
      <c r="A534" t="s">
        <v>154</v>
      </c>
      <c r="B534" t="s">
        <v>696</v>
      </c>
      <c r="C534">
        <v>0.1</v>
      </c>
    </row>
    <row r="535" spans="1:3" x14ac:dyDescent="0.3">
      <c r="A535" t="s">
        <v>616</v>
      </c>
      <c r="B535" t="s">
        <v>696</v>
      </c>
      <c r="C535">
        <v>0.1</v>
      </c>
    </row>
    <row r="536" spans="1:3" x14ac:dyDescent="0.3">
      <c r="A536" t="s">
        <v>617</v>
      </c>
      <c r="B536" t="s">
        <v>23</v>
      </c>
      <c r="C536">
        <v>4</v>
      </c>
    </row>
    <row r="537" spans="1:3" x14ac:dyDescent="0.3">
      <c r="A537" t="s">
        <v>618</v>
      </c>
      <c r="B537" t="s">
        <v>23</v>
      </c>
      <c r="C537">
        <v>4</v>
      </c>
    </row>
    <row r="538" spans="1:3" x14ac:dyDescent="0.3">
      <c r="A538" t="s">
        <v>619</v>
      </c>
      <c r="B538" t="s">
        <v>696</v>
      </c>
      <c r="C538">
        <v>0.1</v>
      </c>
    </row>
    <row r="539" spans="1:3" x14ac:dyDescent="0.3">
      <c r="A539" t="s">
        <v>620</v>
      </c>
      <c r="B539" t="s">
        <v>23</v>
      </c>
      <c r="C539">
        <v>4</v>
      </c>
    </row>
    <row r="540" spans="1:3" x14ac:dyDescent="0.3">
      <c r="A540" t="s">
        <v>621</v>
      </c>
      <c r="B540" t="s">
        <v>26</v>
      </c>
      <c r="C540">
        <v>1.5</v>
      </c>
    </row>
    <row r="541" spans="1:3" x14ac:dyDescent="0.3">
      <c r="A541" t="s">
        <v>543</v>
      </c>
      <c r="B541" t="s">
        <v>717</v>
      </c>
      <c r="C541">
        <v>4</v>
      </c>
    </row>
    <row r="542" spans="1:3" x14ac:dyDescent="0.3">
      <c r="A542" t="s">
        <v>622</v>
      </c>
      <c r="B542" t="s">
        <v>696</v>
      </c>
      <c r="C542">
        <v>0.1</v>
      </c>
    </row>
    <row r="543" spans="1:3" x14ac:dyDescent="0.3">
      <c r="A543" t="s">
        <v>623</v>
      </c>
      <c r="B543" t="s">
        <v>696</v>
      </c>
      <c r="C543">
        <v>0.1</v>
      </c>
    </row>
    <row r="544" spans="1:3" x14ac:dyDescent="0.3">
      <c r="A544" t="s">
        <v>624</v>
      </c>
      <c r="B544" t="s">
        <v>696</v>
      </c>
      <c r="C544">
        <v>0.1</v>
      </c>
    </row>
    <row r="545" spans="1:3" x14ac:dyDescent="0.3">
      <c r="A545" t="s">
        <v>625</v>
      </c>
      <c r="B545" t="s">
        <v>26</v>
      </c>
      <c r="C545">
        <v>1.5</v>
      </c>
    </row>
    <row r="546" spans="1:3" x14ac:dyDescent="0.3">
      <c r="A546" t="s">
        <v>626</v>
      </c>
      <c r="B546" t="s">
        <v>26</v>
      </c>
      <c r="C546">
        <v>1.5</v>
      </c>
    </row>
    <row r="547" spans="1:3" x14ac:dyDescent="0.3">
      <c r="A547" t="s">
        <v>627</v>
      </c>
      <c r="B547" t="s">
        <v>696</v>
      </c>
      <c r="C547">
        <v>0.1</v>
      </c>
    </row>
    <row r="548" spans="1:3" x14ac:dyDescent="0.3">
      <c r="A548" t="s">
        <v>628</v>
      </c>
      <c r="B548" t="s">
        <v>701</v>
      </c>
      <c r="C548">
        <v>5</v>
      </c>
    </row>
    <row r="549" spans="1:3" x14ac:dyDescent="0.3">
      <c r="A549" t="s">
        <v>629</v>
      </c>
      <c r="B549" t="s">
        <v>709</v>
      </c>
      <c r="C549">
        <v>2.5</v>
      </c>
    </row>
    <row r="550" spans="1:3" x14ac:dyDescent="0.3">
      <c r="A550" t="s">
        <v>158</v>
      </c>
      <c r="B550" t="s">
        <v>25</v>
      </c>
      <c r="C550">
        <v>1.5</v>
      </c>
    </row>
    <row r="551" spans="1:3" x14ac:dyDescent="0.3">
      <c r="A551" t="s">
        <v>630</v>
      </c>
      <c r="B551" t="s">
        <v>696</v>
      </c>
      <c r="C551">
        <v>0.1</v>
      </c>
    </row>
    <row r="552" spans="1:3" x14ac:dyDescent="0.3">
      <c r="A552" t="s">
        <v>631</v>
      </c>
      <c r="B552" t="s">
        <v>696</v>
      </c>
      <c r="C552">
        <v>0.1</v>
      </c>
    </row>
    <row r="553" spans="1:3" x14ac:dyDescent="0.3">
      <c r="A553" t="s">
        <v>632</v>
      </c>
      <c r="B553" t="s">
        <v>26</v>
      </c>
      <c r="C553">
        <v>1.5</v>
      </c>
    </row>
    <row r="554" spans="1:3" x14ac:dyDescent="0.3">
      <c r="A554" t="s">
        <v>633</v>
      </c>
      <c r="B554" t="s">
        <v>23</v>
      </c>
      <c r="C554">
        <v>4</v>
      </c>
    </row>
    <row r="555" spans="1:3" x14ac:dyDescent="0.3">
      <c r="A555" t="s">
        <v>634</v>
      </c>
      <c r="B555" t="s">
        <v>700</v>
      </c>
      <c r="C555">
        <v>4</v>
      </c>
    </row>
    <row r="556" spans="1:3" x14ac:dyDescent="0.3">
      <c r="A556" t="s">
        <v>159</v>
      </c>
      <c r="B556" t="s">
        <v>25</v>
      </c>
      <c r="C556">
        <v>1.5</v>
      </c>
    </row>
    <row r="557" spans="1:3" x14ac:dyDescent="0.3">
      <c r="A557" t="s">
        <v>635</v>
      </c>
      <c r="B557" t="s">
        <v>696</v>
      </c>
      <c r="C557">
        <v>0.1</v>
      </c>
    </row>
    <row r="558" spans="1:3" x14ac:dyDescent="0.3">
      <c r="A558" t="s">
        <v>636</v>
      </c>
      <c r="B558" t="s">
        <v>703</v>
      </c>
      <c r="C558">
        <v>4</v>
      </c>
    </row>
    <row r="559" spans="1:3" x14ac:dyDescent="0.3">
      <c r="A559" t="s">
        <v>283</v>
      </c>
      <c r="B559" t="s">
        <v>706</v>
      </c>
      <c r="C559">
        <v>8</v>
      </c>
    </row>
    <row r="560" spans="1:3" x14ac:dyDescent="0.3">
      <c r="A560" t="s">
        <v>160</v>
      </c>
      <c r="B560" t="s">
        <v>697</v>
      </c>
      <c r="C560">
        <v>1.5</v>
      </c>
    </row>
    <row r="561" spans="1:3" x14ac:dyDescent="0.3">
      <c r="A561" t="s">
        <v>162</v>
      </c>
      <c r="B561" t="s">
        <v>696</v>
      </c>
      <c r="C561">
        <v>0.1</v>
      </c>
    </row>
    <row r="562" spans="1:3" x14ac:dyDescent="0.3">
      <c r="A562" t="s">
        <v>164</v>
      </c>
      <c r="B562" t="s">
        <v>696</v>
      </c>
      <c r="C562">
        <v>0.1</v>
      </c>
    </row>
    <row r="563" spans="1:3" x14ac:dyDescent="0.3">
      <c r="A563" t="s">
        <v>637</v>
      </c>
      <c r="B563" t="s">
        <v>26</v>
      </c>
      <c r="C563">
        <v>1.5</v>
      </c>
    </row>
    <row r="564" spans="1:3" x14ac:dyDescent="0.3">
      <c r="A564" t="s">
        <v>638</v>
      </c>
      <c r="B564" t="s">
        <v>698</v>
      </c>
      <c r="C564">
        <v>0.5</v>
      </c>
    </row>
    <row r="565" spans="1:3" x14ac:dyDescent="0.3">
      <c r="A565" t="s">
        <v>639</v>
      </c>
      <c r="B565" t="s">
        <v>696</v>
      </c>
      <c r="C565">
        <v>0.1</v>
      </c>
    </row>
    <row r="566" spans="1:3" x14ac:dyDescent="0.3">
      <c r="A566" t="s">
        <v>640</v>
      </c>
      <c r="B566" t="s">
        <v>709</v>
      </c>
      <c r="C566">
        <v>2.5</v>
      </c>
    </row>
    <row r="567" spans="1:3" x14ac:dyDescent="0.3">
      <c r="A567" t="s">
        <v>641</v>
      </c>
      <c r="B567" t="s">
        <v>696</v>
      </c>
      <c r="C567">
        <v>0.1</v>
      </c>
    </row>
    <row r="568" spans="1:3" x14ac:dyDescent="0.3">
      <c r="A568" t="s">
        <v>642</v>
      </c>
      <c r="B568" t="s">
        <v>713</v>
      </c>
      <c r="C568">
        <v>3</v>
      </c>
    </row>
    <row r="569" spans="1:3" x14ac:dyDescent="0.3">
      <c r="A569" t="s">
        <v>643</v>
      </c>
      <c r="B569" t="s">
        <v>696</v>
      </c>
      <c r="C569">
        <v>0.1</v>
      </c>
    </row>
    <row r="570" spans="1:3" x14ac:dyDescent="0.3">
      <c r="A570" t="s">
        <v>644</v>
      </c>
      <c r="B570" t="s">
        <v>700</v>
      </c>
      <c r="C570">
        <v>4</v>
      </c>
    </row>
    <row r="571" spans="1:3" x14ac:dyDescent="0.3">
      <c r="A571" t="s">
        <v>645</v>
      </c>
      <c r="B571" t="s">
        <v>25</v>
      </c>
      <c r="C571">
        <v>1.5</v>
      </c>
    </row>
    <row r="572" spans="1:3" x14ac:dyDescent="0.3">
      <c r="A572" t="s">
        <v>646</v>
      </c>
      <c r="B572" t="s">
        <v>696</v>
      </c>
      <c r="C572">
        <v>0.1</v>
      </c>
    </row>
    <row r="573" spans="1:3" x14ac:dyDescent="0.3">
      <c r="A573" t="s">
        <v>107</v>
      </c>
      <c r="B573" t="s">
        <v>706</v>
      </c>
      <c r="C573">
        <v>8</v>
      </c>
    </row>
    <row r="574" spans="1:3" x14ac:dyDescent="0.3">
      <c r="A574" t="s">
        <v>647</v>
      </c>
      <c r="B574" t="s">
        <v>23</v>
      </c>
      <c r="C574">
        <v>4</v>
      </c>
    </row>
    <row r="575" spans="1:3" x14ac:dyDescent="0.3">
      <c r="A575" t="s">
        <v>648</v>
      </c>
      <c r="B575" t="s">
        <v>696</v>
      </c>
      <c r="C575">
        <v>0.1</v>
      </c>
    </row>
    <row r="576" spans="1:3" x14ac:dyDescent="0.3">
      <c r="A576" t="s">
        <v>649</v>
      </c>
      <c r="B576" t="s">
        <v>696</v>
      </c>
      <c r="C576">
        <v>0.1</v>
      </c>
    </row>
    <row r="577" spans="1:3" x14ac:dyDescent="0.3">
      <c r="A577" t="s">
        <v>650</v>
      </c>
      <c r="B577" t="s">
        <v>709</v>
      </c>
      <c r="C577">
        <v>2.5</v>
      </c>
    </row>
    <row r="578" spans="1:3" x14ac:dyDescent="0.3">
      <c r="A578" t="s">
        <v>651</v>
      </c>
      <c r="B578" t="s">
        <v>696</v>
      </c>
      <c r="C578">
        <v>0.1</v>
      </c>
    </row>
    <row r="579" spans="1:3" x14ac:dyDescent="0.3">
      <c r="A579" t="s">
        <v>652</v>
      </c>
      <c r="B579" t="s">
        <v>696</v>
      </c>
      <c r="C579">
        <v>0.1</v>
      </c>
    </row>
    <row r="580" spans="1:3" x14ac:dyDescent="0.3">
      <c r="A580" t="s">
        <v>653</v>
      </c>
      <c r="B580" t="s">
        <v>696</v>
      </c>
      <c r="C580">
        <v>0.1</v>
      </c>
    </row>
    <row r="581" spans="1:3" x14ac:dyDescent="0.3">
      <c r="A581" t="s">
        <v>654</v>
      </c>
      <c r="B581" t="s">
        <v>696</v>
      </c>
      <c r="C581">
        <v>0.1</v>
      </c>
    </row>
    <row r="582" spans="1:3" x14ac:dyDescent="0.3">
      <c r="A582" t="s">
        <v>655</v>
      </c>
      <c r="B582" t="s">
        <v>696</v>
      </c>
      <c r="C582">
        <v>0.1</v>
      </c>
    </row>
    <row r="583" spans="1:3" x14ac:dyDescent="0.3">
      <c r="A583" t="s">
        <v>656</v>
      </c>
      <c r="B583" t="s">
        <v>696</v>
      </c>
      <c r="C583">
        <v>0.1</v>
      </c>
    </row>
    <row r="584" spans="1:3" x14ac:dyDescent="0.3">
      <c r="A584" t="s">
        <v>657</v>
      </c>
      <c r="B584" t="s">
        <v>696</v>
      </c>
      <c r="C584">
        <v>0.1</v>
      </c>
    </row>
    <row r="585" spans="1:3" x14ac:dyDescent="0.3">
      <c r="A585" t="s">
        <v>658</v>
      </c>
      <c r="B585" t="s">
        <v>696</v>
      </c>
      <c r="C585">
        <v>0.1</v>
      </c>
    </row>
    <row r="586" spans="1:3" x14ac:dyDescent="0.3">
      <c r="A586" t="s">
        <v>659</v>
      </c>
      <c r="B586" t="s">
        <v>696</v>
      </c>
      <c r="C586">
        <v>0.1</v>
      </c>
    </row>
    <row r="587" spans="1:3" x14ac:dyDescent="0.3">
      <c r="A587" t="s">
        <v>660</v>
      </c>
      <c r="B587" t="s">
        <v>696</v>
      </c>
      <c r="C587">
        <v>0.1</v>
      </c>
    </row>
    <row r="588" spans="1:3" x14ac:dyDescent="0.3">
      <c r="A588" t="s">
        <v>661</v>
      </c>
      <c r="B588" t="s">
        <v>696</v>
      </c>
      <c r="C588">
        <v>0.1</v>
      </c>
    </row>
    <row r="589" spans="1:3" x14ac:dyDescent="0.3">
      <c r="A589" t="s">
        <v>662</v>
      </c>
      <c r="B589" t="s">
        <v>696</v>
      </c>
      <c r="C589">
        <v>0.1</v>
      </c>
    </row>
    <row r="590" spans="1:3" x14ac:dyDescent="0.3">
      <c r="A590" t="s">
        <v>663</v>
      </c>
      <c r="B590" t="s">
        <v>696</v>
      </c>
      <c r="C590">
        <v>0.1</v>
      </c>
    </row>
    <row r="591" spans="1:3" x14ac:dyDescent="0.3">
      <c r="A591" t="s">
        <v>664</v>
      </c>
      <c r="B591" t="s">
        <v>696</v>
      </c>
      <c r="C591">
        <v>0.1</v>
      </c>
    </row>
    <row r="592" spans="1:3" x14ac:dyDescent="0.3">
      <c r="A592" t="s">
        <v>665</v>
      </c>
      <c r="B592" t="s">
        <v>26</v>
      </c>
      <c r="C592">
        <v>1.5</v>
      </c>
    </row>
    <row r="593" spans="1:3" x14ac:dyDescent="0.3">
      <c r="A593" t="s">
        <v>666</v>
      </c>
      <c r="B593" t="s">
        <v>26</v>
      </c>
      <c r="C593">
        <v>1.5</v>
      </c>
    </row>
    <row r="594" spans="1:3" x14ac:dyDescent="0.3">
      <c r="A594" t="s">
        <v>667</v>
      </c>
      <c r="B594" t="s">
        <v>699</v>
      </c>
      <c r="C594">
        <v>1</v>
      </c>
    </row>
    <row r="595" spans="1:3" x14ac:dyDescent="0.3">
      <c r="A595" t="s">
        <v>668</v>
      </c>
      <c r="B595" t="s">
        <v>696</v>
      </c>
      <c r="C595">
        <v>0.1</v>
      </c>
    </row>
    <row r="596" spans="1:3" x14ac:dyDescent="0.3">
      <c r="A596" t="s">
        <v>669</v>
      </c>
      <c r="B596" t="s">
        <v>696</v>
      </c>
      <c r="C596">
        <v>0.1</v>
      </c>
    </row>
    <row r="597" spans="1:3" x14ac:dyDescent="0.3">
      <c r="A597" t="s">
        <v>670</v>
      </c>
      <c r="B597" t="s">
        <v>23</v>
      </c>
      <c r="C597">
        <v>4</v>
      </c>
    </row>
    <row r="598" spans="1:3" x14ac:dyDescent="0.3">
      <c r="A598" t="s">
        <v>671</v>
      </c>
      <c r="B598" t="s">
        <v>699</v>
      </c>
      <c r="C598">
        <v>1</v>
      </c>
    </row>
    <row r="599" spans="1:3" x14ac:dyDescent="0.3">
      <c r="A599" t="s">
        <v>672</v>
      </c>
      <c r="B599" t="s">
        <v>704</v>
      </c>
      <c r="C599">
        <v>1</v>
      </c>
    </row>
    <row r="600" spans="1:3" x14ac:dyDescent="0.3">
      <c r="A600" t="s">
        <v>673</v>
      </c>
      <c r="B600" t="s">
        <v>711</v>
      </c>
      <c r="C600">
        <v>2</v>
      </c>
    </row>
    <row r="601" spans="1:3" x14ac:dyDescent="0.3">
      <c r="A601" t="s">
        <v>674</v>
      </c>
      <c r="B601" t="s">
        <v>696</v>
      </c>
      <c r="C601">
        <v>0.1</v>
      </c>
    </row>
    <row r="602" spans="1:3" x14ac:dyDescent="0.3">
      <c r="A602" t="s">
        <v>675</v>
      </c>
      <c r="B602" t="s">
        <v>698</v>
      </c>
      <c r="C602">
        <v>0.5</v>
      </c>
    </row>
    <row r="603" spans="1:3" x14ac:dyDescent="0.3">
      <c r="A603" t="s">
        <v>676</v>
      </c>
      <c r="B603" t="s">
        <v>696</v>
      </c>
      <c r="C603">
        <v>0.1</v>
      </c>
    </row>
    <row r="604" spans="1:3" x14ac:dyDescent="0.3">
      <c r="A604" t="s">
        <v>677</v>
      </c>
      <c r="B604" t="s">
        <v>696</v>
      </c>
      <c r="C604">
        <v>0.1</v>
      </c>
    </row>
    <row r="605" spans="1:3" x14ac:dyDescent="0.3">
      <c r="A605" t="s">
        <v>678</v>
      </c>
      <c r="B605" t="s">
        <v>696</v>
      </c>
      <c r="C605">
        <v>0.1</v>
      </c>
    </row>
    <row r="606" spans="1:3" x14ac:dyDescent="0.3">
      <c r="A606" t="s">
        <v>679</v>
      </c>
      <c r="B606" t="s">
        <v>696</v>
      </c>
      <c r="C606">
        <v>0.1</v>
      </c>
    </row>
    <row r="607" spans="1:3" x14ac:dyDescent="0.3">
      <c r="A607" t="s">
        <v>680</v>
      </c>
      <c r="B607" t="s">
        <v>696</v>
      </c>
      <c r="C607">
        <v>0.1</v>
      </c>
    </row>
    <row r="608" spans="1:3" x14ac:dyDescent="0.3">
      <c r="A608" t="s">
        <v>681</v>
      </c>
      <c r="B608" t="s">
        <v>696</v>
      </c>
      <c r="C608">
        <v>0.1</v>
      </c>
    </row>
    <row r="609" spans="1:3" x14ac:dyDescent="0.3">
      <c r="A609" t="s">
        <v>682</v>
      </c>
      <c r="B609" t="s">
        <v>696</v>
      </c>
      <c r="C609">
        <v>0.1</v>
      </c>
    </row>
    <row r="610" spans="1:3" x14ac:dyDescent="0.3">
      <c r="A610" t="s">
        <v>683</v>
      </c>
      <c r="B610" t="s">
        <v>26</v>
      </c>
      <c r="C610">
        <v>1.5</v>
      </c>
    </row>
    <row r="611" spans="1:3" x14ac:dyDescent="0.3">
      <c r="A611" t="s">
        <v>684</v>
      </c>
      <c r="B611" t="s">
        <v>699</v>
      </c>
      <c r="C611">
        <v>1</v>
      </c>
    </row>
    <row r="612" spans="1:3" x14ac:dyDescent="0.3">
      <c r="A612" t="s">
        <v>685</v>
      </c>
      <c r="B612" t="s">
        <v>704</v>
      </c>
      <c r="C612">
        <v>1</v>
      </c>
    </row>
    <row r="613" spans="1:3" x14ac:dyDescent="0.3">
      <c r="A613" t="s">
        <v>686</v>
      </c>
      <c r="B613" t="s">
        <v>714</v>
      </c>
      <c r="C613">
        <v>1</v>
      </c>
    </row>
    <row r="614" spans="1:3" x14ac:dyDescent="0.3">
      <c r="A614" t="s">
        <v>687</v>
      </c>
      <c r="B614" t="s">
        <v>698</v>
      </c>
      <c r="C614">
        <v>0.5</v>
      </c>
    </row>
    <row r="615" spans="1:3" x14ac:dyDescent="0.3">
      <c r="A615" t="s">
        <v>688</v>
      </c>
      <c r="B615" t="s">
        <v>696</v>
      </c>
      <c r="C615">
        <v>0.1</v>
      </c>
    </row>
    <row r="616" spans="1:3" x14ac:dyDescent="0.3">
      <c r="A616" t="s">
        <v>689</v>
      </c>
      <c r="B616" t="s">
        <v>696</v>
      </c>
      <c r="C616">
        <v>0.1</v>
      </c>
    </row>
    <row r="617" spans="1:3" x14ac:dyDescent="0.3">
      <c r="A617" t="s">
        <v>166</v>
      </c>
      <c r="B617" t="s">
        <v>696</v>
      </c>
      <c r="C617">
        <v>0.1</v>
      </c>
    </row>
    <row r="618" spans="1:3" x14ac:dyDescent="0.3">
      <c r="A618" t="s">
        <v>690</v>
      </c>
      <c r="B618" t="s">
        <v>696</v>
      </c>
      <c r="C618">
        <v>0.1</v>
      </c>
    </row>
    <row r="619" spans="1:3" x14ac:dyDescent="0.3">
      <c r="A619" t="s">
        <v>691</v>
      </c>
      <c r="B619" t="s">
        <v>696</v>
      </c>
      <c r="C619">
        <v>0.1</v>
      </c>
    </row>
    <row r="620" spans="1:3" x14ac:dyDescent="0.3">
      <c r="A620" t="s">
        <v>692</v>
      </c>
      <c r="B620" t="s">
        <v>696</v>
      </c>
      <c r="C620">
        <v>0.1</v>
      </c>
    </row>
    <row r="621" spans="1:3" x14ac:dyDescent="0.3">
      <c r="A621" t="s">
        <v>693</v>
      </c>
      <c r="B621" t="s">
        <v>696</v>
      </c>
      <c r="C621">
        <v>0.1</v>
      </c>
    </row>
    <row r="622" spans="1:3" x14ac:dyDescent="0.3">
      <c r="A622" t="s">
        <v>694</v>
      </c>
      <c r="B622" t="s">
        <v>711</v>
      </c>
      <c r="C622">
        <v>2</v>
      </c>
    </row>
    <row r="623" spans="1:3" x14ac:dyDescent="0.3">
      <c r="A623" t="s">
        <v>167</v>
      </c>
      <c r="B623" t="s">
        <v>25</v>
      </c>
      <c r="C623">
        <v>1.5</v>
      </c>
    </row>
    <row r="624" spans="1:3" x14ac:dyDescent="0.3">
      <c r="A624" t="s">
        <v>695</v>
      </c>
      <c r="B624" t="s">
        <v>696</v>
      </c>
      <c r="C624">
        <v>0.1</v>
      </c>
    </row>
    <row r="625" spans="1:3" x14ac:dyDescent="0.3">
      <c r="A625" t="s">
        <v>730</v>
      </c>
      <c r="B625" t="s">
        <v>26</v>
      </c>
      <c r="C625">
        <v>1.5</v>
      </c>
    </row>
    <row r="626" spans="1:3" x14ac:dyDescent="0.3">
      <c r="A626" t="s">
        <v>731</v>
      </c>
      <c r="B626" t="s">
        <v>26</v>
      </c>
      <c r="C626">
        <v>1.5</v>
      </c>
    </row>
    <row r="627" spans="1:3" x14ac:dyDescent="0.3">
      <c r="A627" t="s">
        <v>732</v>
      </c>
      <c r="B627" t="s">
        <v>696</v>
      </c>
      <c r="C627">
        <v>0.1</v>
      </c>
    </row>
    <row r="628" spans="1:3" x14ac:dyDescent="0.3">
      <c r="A628" t="s">
        <v>733</v>
      </c>
      <c r="B628" t="s">
        <v>696</v>
      </c>
      <c r="C628">
        <v>0.1</v>
      </c>
    </row>
    <row r="629" spans="1:3" x14ac:dyDescent="0.3">
      <c r="A629" t="s">
        <v>734</v>
      </c>
      <c r="B629" t="s">
        <v>696</v>
      </c>
      <c r="C629">
        <v>0.1</v>
      </c>
    </row>
    <row r="630" spans="1:3" x14ac:dyDescent="0.3">
      <c r="A630" t="s">
        <v>735</v>
      </c>
      <c r="B630" t="s">
        <v>696</v>
      </c>
      <c r="C630">
        <v>0.1</v>
      </c>
    </row>
    <row r="631" spans="1:3" x14ac:dyDescent="0.3">
      <c r="A631" t="s">
        <v>736</v>
      </c>
      <c r="B631" t="s">
        <v>696</v>
      </c>
      <c r="C631">
        <v>0.1</v>
      </c>
    </row>
    <row r="632" spans="1:3" x14ac:dyDescent="0.3">
      <c r="A632" t="s">
        <v>737</v>
      </c>
      <c r="B632" t="s">
        <v>696</v>
      </c>
      <c r="C632">
        <v>0.1</v>
      </c>
    </row>
    <row r="633" spans="1:3" x14ac:dyDescent="0.3">
      <c r="A633" t="s">
        <v>738</v>
      </c>
      <c r="B633" t="s">
        <v>696</v>
      </c>
      <c r="C633">
        <v>0.1</v>
      </c>
    </row>
    <row r="634" spans="1:3" x14ac:dyDescent="0.3">
      <c r="A634" t="s">
        <v>739</v>
      </c>
      <c r="B634" t="s">
        <v>696</v>
      </c>
      <c r="C634">
        <v>0.1</v>
      </c>
    </row>
    <row r="635" spans="1:3" x14ac:dyDescent="0.3">
      <c r="A635" t="s">
        <v>740</v>
      </c>
      <c r="B635" t="s">
        <v>696</v>
      </c>
      <c r="C635">
        <v>0.1</v>
      </c>
    </row>
    <row r="636" spans="1:3" x14ac:dyDescent="0.3">
      <c r="A636" t="s">
        <v>741</v>
      </c>
      <c r="B636" t="s">
        <v>696</v>
      </c>
      <c r="C636">
        <v>0.1</v>
      </c>
    </row>
    <row r="637" spans="1:3" x14ac:dyDescent="0.3">
      <c r="A637" t="s">
        <v>742</v>
      </c>
      <c r="B637" t="s">
        <v>696</v>
      </c>
      <c r="C637">
        <v>0.1</v>
      </c>
    </row>
    <row r="638" spans="1:3" x14ac:dyDescent="0.3">
      <c r="A638" t="s">
        <v>743</v>
      </c>
      <c r="B638" t="s">
        <v>696</v>
      </c>
      <c r="C638">
        <v>0.1</v>
      </c>
    </row>
    <row r="639" spans="1:3" x14ac:dyDescent="0.3">
      <c r="A639" t="s">
        <v>744</v>
      </c>
      <c r="B639" t="s">
        <v>696</v>
      </c>
      <c r="C639">
        <v>0.1</v>
      </c>
    </row>
    <row r="640" spans="1:3" x14ac:dyDescent="0.3">
      <c r="A640" t="s">
        <v>745</v>
      </c>
      <c r="B640" t="s">
        <v>696</v>
      </c>
      <c r="C640">
        <v>0.1</v>
      </c>
    </row>
    <row r="641" spans="1:3" x14ac:dyDescent="0.3">
      <c r="A641" t="s">
        <v>746</v>
      </c>
      <c r="B641" t="s">
        <v>747</v>
      </c>
      <c r="C641">
        <v>0.1</v>
      </c>
    </row>
    <row r="642" spans="1:3" x14ac:dyDescent="0.3">
      <c r="A642" t="s">
        <v>748</v>
      </c>
      <c r="B642" t="s">
        <v>709</v>
      </c>
      <c r="C642">
        <v>2.5</v>
      </c>
    </row>
    <row r="643" spans="1:3" x14ac:dyDescent="0.3">
      <c r="A643" t="s">
        <v>749</v>
      </c>
      <c r="B643" t="s">
        <v>49</v>
      </c>
      <c r="C643">
        <v>0.1</v>
      </c>
    </row>
    <row r="644" spans="1:3" x14ac:dyDescent="0.3">
      <c r="A644" t="s">
        <v>750</v>
      </c>
      <c r="B644" t="s">
        <v>25</v>
      </c>
      <c r="C644">
        <v>1.5</v>
      </c>
    </row>
    <row r="645" spans="1:3" x14ac:dyDescent="0.3">
      <c r="A645" t="s">
        <v>751</v>
      </c>
      <c r="B645" t="s">
        <v>709</v>
      </c>
      <c r="C645">
        <v>2.5</v>
      </c>
    </row>
    <row r="646" spans="1:3" x14ac:dyDescent="0.3">
      <c r="A646" t="s">
        <v>753</v>
      </c>
      <c r="B646" t="s">
        <v>49</v>
      </c>
      <c r="C646">
        <v>0.1</v>
      </c>
    </row>
    <row r="647" spans="1:3" x14ac:dyDescent="0.3">
      <c r="A647" t="s">
        <v>755</v>
      </c>
      <c r="B647" t="s">
        <v>49</v>
      </c>
      <c r="C647">
        <v>0.1</v>
      </c>
    </row>
    <row r="648" spans="1:3" x14ac:dyDescent="0.3">
      <c r="A648" t="s">
        <v>756</v>
      </c>
      <c r="B648" t="s">
        <v>49</v>
      </c>
      <c r="C648">
        <v>0.1</v>
      </c>
    </row>
    <row r="649" spans="1:3" x14ac:dyDescent="0.3">
      <c r="A649" t="s">
        <v>757</v>
      </c>
      <c r="B649" t="s">
        <v>49</v>
      </c>
      <c r="C649">
        <v>0.1</v>
      </c>
    </row>
    <row r="650" spans="1:3" x14ac:dyDescent="0.3">
      <c r="A650" t="s">
        <v>758</v>
      </c>
      <c r="B650" t="s">
        <v>49</v>
      </c>
      <c r="C650">
        <v>0.1</v>
      </c>
    </row>
    <row r="651" spans="1:3" x14ac:dyDescent="0.3">
      <c r="A651" t="s">
        <v>759</v>
      </c>
      <c r="B651" t="s">
        <v>49</v>
      </c>
      <c r="C651">
        <v>0.1</v>
      </c>
    </row>
    <row r="652" spans="1:3" x14ac:dyDescent="0.3">
      <c r="A652" t="s">
        <v>762</v>
      </c>
      <c r="B652" t="s">
        <v>49</v>
      </c>
      <c r="C652">
        <v>0.1</v>
      </c>
    </row>
    <row r="653" spans="1:3" x14ac:dyDescent="0.3">
      <c r="A653" t="s">
        <v>763</v>
      </c>
      <c r="B653" t="s">
        <v>49</v>
      </c>
      <c r="C653">
        <v>0.1</v>
      </c>
    </row>
    <row r="654" spans="1:3" x14ac:dyDescent="0.3">
      <c r="A654" t="s">
        <v>764</v>
      </c>
      <c r="B654" t="s">
        <v>49</v>
      </c>
      <c r="C654">
        <v>0.1</v>
      </c>
    </row>
    <row r="655" spans="1:3" x14ac:dyDescent="0.3">
      <c r="A655" s="64" t="s">
        <v>765</v>
      </c>
      <c r="B655" t="s">
        <v>49</v>
      </c>
      <c r="C655">
        <v>0.1</v>
      </c>
    </row>
    <row r="656" spans="1:3" x14ac:dyDescent="0.3">
      <c r="A656" s="64" t="s">
        <v>766</v>
      </c>
      <c r="B656" t="s">
        <v>49</v>
      </c>
      <c r="C656">
        <v>0.1</v>
      </c>
    </row>
    <row r="657" spans="1:3" x14ac:dyDescent="0.3">
      <c r="A657" t="s">
        <v>777</v>
      </c>
      <c r="B657" t="s">
        <v>49</v>
      </c>
      <c r="C657">
        <v>0.1</v>
      </c>
    </row>
    <row r="658" spans="1:3" x14ac:dyDescent="0.3">
      <c r="A658" t="s">
        <v>779</v>
      </c>
      <c r="B658" t="s">
        <v>709</v>
      </c>
      <c r="C658">
        <v>2.5</v>
      </c>
    </row>
    <row r="659" spans="1:3" x14ac:dyDescent="0.3">
      <c r="A659" t="s">
        <v>778</v>
      </c>
      <c r="B659" t="s">
        <v>49</v>
      </c>
      <c r="C659">
        <v>0.1</v>
      </c>
    </row>
    <row r="660" spans="1:3" x14ac:dyDescent="0.3">
      <c r="A660" t="s">
        <v>780</v>
      </c>
      <c r="B660" t="s">
        <v>49</v>
      </c>
      <c r="C660">
        <v>0.1</v>
      </c>
    </row>
    <row r="661" spans="1:3" x14ac:dyDescent="0.3">
      <c r="A661" t="s">
        <v>781</v>
      </c>
      <c r="B661" t="s">
        <v>49</v>
      </c>
      <c r="C661">
        <v>0.1</v>
      </c>
    </row>
    <row r="662" spans="1:3" x14ac:dyDescent="0.3">
      <c r="A662" t="s">
        <v>783</v>
      </c>
      <c r="B662" t="s">
        <v>23</v>
      </c>
      <c r="C662">
        <v>4</v>
      </c>
    </row>
    <row r="663" spans="1:3" x14ac:dyDescent="0.3">
      <c r="A663" t="s">
        <v>784</v>
      </c>
      <c r="B663" t="s">
        <v>709</v>
      </c>
      <c r="C663">
        <v>2.5</v>
      </c>
    </row>
    <row r="664" spans="1:3" x14ac:dyDescent="0.3">
      <c r="A664" t="s">
        <v>785</v>
      </c>
      <c r="B664" t="s">
        <v>26</v>
      </c>
      <c r="C664">
        <v>1.5</v>
      </c>
    </row>
    <row r="665" spans="1:3" x14ac:dyDescent="0.3">
      <c r="A665" t="s">
        <v>786</v>
      </c>
      <c r="B665" t="s">
        <v>49</v>
      </c>
      <c r="C665">
        <v>0.1</v>
      </c>
    </row>
    <row r="666" spans="1:3" x14ac:dyDescent="0.3">
      <c r="A666" t="s">
        <v>787</v>
      </c>
      <c r="B666" t="s">
        <v>23</v>
      </c>
      <c r="C666">
        <v>4</v>
      </c>
    </row>
    <row r="667" spans="1:3" x14ac:dyDescent="0.3">
      <c r="A667" t="s">
        <v>789</v>
      </c>
      <c r="B667" t="s">
        <v>26</v>
      </c>
      <c r="C667">
        <v>1.5</v>
      </c>
    </row>
    <row r="668" spans="1:3" x14ac:dyDescent="0.3">
      <c r="A668" t="s">
        <v>790</v>
      </c>
      <c r="B668" t="s">
        <v>49</v>
      </c>
      <c r="C668">
        <v>0.1</v>
      </c>
    </row>
    <row r="669" spans="1:3" x14ac:dyDescent="0.3">
      <c r="A669" t="s">
        <v>792</v>
      </c>
      <c r="B669" t="s">
        <v>49</v>
      </c>
      <c r="C669">
        <v>0.1</v>
      </c>
    </row>
    <row r="670" spans="1:3" x14ac:dyDescent="0.3">
      <c r="A670" t="s">
        <v>793</v>
      </c>
      <c r="B670" t="s">
        <v>49</v>
      </c>
      <c r="C670">
        <v>0.1</v>
      </c>
    </row>
    <row r="671" spans="1:3" x14ac:dyDescent="0.3">
      <c r="A671" t="s">
        <v>795</v>
      </c>
      <c r="B671" t="s">
        <v>49</v>
      </c>
      <c r="C671">
        <v>0.1</v>
      </c>
    </row>
    <row r="672" spans="1:3" x14ac:dyDescent="0.3">
      <c r="A672" t="s">
        <v>796</v>
      </c>
      <c r="B672" t="s">
        <v>26</v>
      </c>
      <c r="C672">
        <v>1.5</v>
      </c>
    </row>
    <row r="673" spans="1:3" x14ac:dyDescent="0.3">
      <c r="A673" t="s">
        <v>850</v>
      </c>
      <c r="B673" t="s">
        <v>49</v>
      </c>
      <c r="C673">
        <v>0.1</v>
      </c>
    </row>
    <row r="674" spans="1:3" x14ac:dyDescent="0.3">
      <c r="A674" t="s">
        <v>854</v>
      </c>
      <c r="B674" t="s">
        <v>49</v>
      </c>
      <c r="C674">
        <v>0.1</v>
      </c>
    </row>
    <row r="675" spans="1:3" x14ac:dyDescent="0.3">
      <c r="A675" t="s">
        <v>856</v>
      </c>
      <c r="B675" t="s">
        <v>49</v>
      </c>
      <c r="C675">
        <v>0.1</v>
      </c>
    </row>
    <row r="676" spans="1:3" x14ac:dyDescent="0.3">
      <c r="A676" t="s">
        <v>894</v>
      </c>
      <c r="B676" t="s">
        <v>49</v>
      </c>
      <c r="C676">
        <v>0.1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activeCell="A19" sqref="A19"/>
    </sheetView>
  </sheetViews>
  <sheetFormatPr defaultRowHeight="16.5" x14ac:dyDescent="0.3"/>
  <cols>
    <col min="1" max="1" width="23.125" customWidth="1"/>
    <col min="2" max="2" width="15.25" customWidth="1"/>
  </cols>
  <sheetData>
    <row r="1" spans="1:2" x14ac:dyDescent="0.3">
      <c r="A1" s="4" t="s">
        <v>3</v>
      </c>
      <c r="B1" s="4" t="s">
        <v>2</v>
      </c>
    </row>
    <row r="2" spans="1:2" x14ac:dyDescent="0.3">
      <c r="A2" s="12" t="s">
        <v>722</v>
      </c>
      <c r="B2" s="10" t="s">
        <v>30</v>
      </c>
    </row>
    <row r="3" spans="1:2" x14ac:dyDescent="0.3">
      <c r="A3" s="2" t="s">
        <v>726</v>
      </c>
      <c r="B3" s="10" t="s">
        <v>30</v>
      </c>
    </row>
    <row r="4" spans="1:2" x14ac:dyDescent="0.3">
      <c r="A4" s="12" t="s">
        <v>720</v>
      </c>
      <c r="B4" s="35" t="s">
        <v>8</v>
      </c>
    </row>
    <row r="5" spans="1:2" x14ac:dyDescent="0.3">
      <c r="A5" s="36" t="s">
        <v>51</v>
      </c>
      <c r="B5" s="36" t="s">
        <v>8</v>
      </c>
    </row>
    <row r="6" spans="1:2" x14ac:dyDescent="0.3">
      <c r="A6" s="2" t="s">
        <v>725</v>
      </c>
      <c r="B6" s="14" t="s">
        <v>721</v>
      </c>
    </row>
    <row r="7" spans="1:2" x14ac:dyDescent="0.3">
      <c r="A7" s="14" t="s">
        <v>767</v>
      </c>
      <c r="B7" s="14" t="s">
        <v>721</v>
      </c>
    </row>
    <row r="8" spans="1:2" x14ac:dyDescent="0.3">
      <c r="A8" s="12" t="s">
        <v>768</v>
      </c>
      <c r="B8" s="35" t="s">
        <v>719</v>
      </c>
    </row>
    <row r="9" spans="1:2" x14ac:dyDescent="0.3">
      <c r="A9" s="2" t="s">
        <v>724</v>
      </c>
      <c r="B9" s="35" t="s">
        <v>719</v>
      </c>
    </row>
    <row r="10" spans="1:2" x14ac:dyDescent="0.3">
      <c r="A10" s="12" t="s">
        <v>769</v>
      </c>
      <c r="B10" s="35" t="s">
        <v>719</v>
      </c>
    </row>
    <row r="11" spans="1:2" x14ac:dyDescent="0.3">
      <c r="A11" s="35" t="s">
        <v>770</v>
      </c>
      <c r="B11" s="35" t="s">
        <v>719</v>
      </c>
    </row>
    <row r="12" spans="1:2" x14ac:dyDescent="0.3">
      <c r="A12" s="2" t="s">
        <v>771</v>
      </c>
      <c r="B12" s="35" t="s">
        <v>719</v>
      </c>
    </row>
    <row r="13" spans="1:2" x14ac:dyDescent="0.3">
      <c r="A13" s="2" t="s">
        <v>772</v>
      </c>
      <c r="B13" s="35" t="s">
        <v>719</v>
      </c>
    </row>
    <row r="14" spans="1:2" x14ac:dyDescent="0.3">
      <c r="A14" s="35" t="s">
        <v>760</v>
      </c>
      <c r="B14" s="35" t="s">
        <v>19</v>
      </c>
    </row>
    <row r="15" spans="1:2" x14ac:dyDescent="0.3">
      <c r="A15" s="35" t="s">
        <v>761</v>
      </c>
      <c r="B15" s="35" t="s">
        <v>19</v>
      </c>
    </row>
    <row r="16" spans="1:2" x14ac:dyDescent="0.3">
      <c r="A16" s="12" t="s">
        <v>718</v>
      </c>
      <c r="B16" s="35" t="s">
        <v>723</v>
      </c>
    </row>
    <row r="17" spans="1:2" x14ac:dyDescent="0.3">
      <c r="A17" s="36" t="s">
        <v>773</v>
      </c>
      <c r="B17" s="35" t="s">
        <v>19</v>
      </c>
    </row>
    <row r="18" spans="1:2" x14ac:dyDescent="0.3">
      <c r="A18" s="12" t="s">
        <v>774</v>
      </c>
      <c r="B18" s="35" t="s">
        <v>723</v>
      </c>
    </row>
    <row r="19" spans="1:2" x14ac:dyDescent="0.3">
      <c r="A19" s="12" t="s">
        <v>775</v>
      </c>
      <c r="B19" s="35" t="s">
        <v>723</v>
      </c>
    </row>
    <row r="20" spans="1:2" x14ac:dyDescent="0.3">
      <c r="A20" s="2" t="s">
        <v>776</v>
      </c>
      <c r="B20" s="35" t="s">
        <v>723</v>
      </c>
    </row>
  </sheetData>
  <autoFilter ref="B1:B19">
    <sortState ref="B2:C23">
      <sortCondition ref="B1:B23"/>
    </sortState>
  </autoFilter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이름이 지정된 범위</vt:lpstr>
      </vt:variant>
      <vt:variant>
        <vt:i4>1</vt:i4>
      </vt:variant>
    </vt:vector>
  </HeadingPairs>
  <TitlesOfParts>
    <vt:vector size="6" baseType="lpstr">
      <vt:lpstr>2022년 누적시트</vt:lpstr>
      <vt:lpstr>Sheet2</vt:lpstr>
      <vt:lpstr>양식</vt:lpstr>
      <vt:lpstr>보도매체</vt:lpstr>
      <vt:lpstr>소속부서</vt:lpstr>
      <vt:lpstr>양식!Print_Area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cp:lastPrinted>2024-12-27T04:28:33Z</cp:lastPrinted>
  <dcterms:created xsi:type="dcterms:W3CDTF">2016-01-04T04:58:30Z</dcterms:created>
  <dcterms:modified xsi:type="dcterms:W3CDTF">2025-08-28T07:25:22Z</dcterms:modified>
</cp:coreProperties>
</file>